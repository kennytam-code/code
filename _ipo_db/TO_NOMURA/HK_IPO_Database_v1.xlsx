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engine)'!$AA$3:$AA$535</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'Database'!$A$4:$CB$523</definedName>
    <definedName name="_xlnm._FilterDatabase" localSheetId="4" hidden="1">'CS League'!$A$4:$K$1092</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91">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 fontId="4" fillId="11" borderId="1" pivotButton="0" quotePrefix="0" xfId="0"/>
    <xf numFmtId="17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2" fontId="4" fillId="12" borderId="0" pivotButton="0" quotePrefix="0" xfId="0"/>
    <xf numFmtId="169" fontId="4" fillId="12" borderId="6"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Y6"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Y7" authorId="0" shapeId="0">
      <text>
        <t>We develop, manufacture and sell a comprehensive range of PCB to meet diverse customer needs, comprising: (i) RPCB including single- and double-sided PCB, MLPCB, and HDI PCB, (ii) FPC, and (iii) other PCB, including MPCB and rigid-flex PCB. During the Track Record Period, RPCB accounted for the majority of our revenue.</t>
      </text>
    </comment>
    <comment ref="Y8" authorId="0" shapeId="0">
      <text>
        <t>We are a leading local supplier of semiconductor photoresists in the PRC. According to F&amp;S, we ranked first, in terms of sale revenue, among local suppliers in both the PRC semiconductor photoresist markets and the PRC TFT array photoresist marketin FY2025. BUSINESS –1 0 6– . We are a leading supplier of phenolic resins worldwide. According to the F&amp;S Report, we ranked first in sales revenue in both the global and PRC phenolic resins rubber additives markets for tyres in FY2025.</t>
      </text>
    </comment>
    <comment ref="Y9"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directdrive actuator module industry, a sub-segment representing 3.9% of the PRC consumer robotic actuator module industry, according to Frost &amp; Sullivan.</t>
      </text>
    </comment>
    <comment ref="Y10" authorId="0" shapeId="0">
      <text>
        <t>We are a global provider of manufacturing equipment and systems for photovoltaic (“PV”) industry and silicon photonics (“ SiPh”) industry. Our PV manufacturing solutions comprise i) PV manufacturing equipment, which primarily comprises automation equipment for PV cell production and performs functions such as the loading and unloading of silicon wafers, ii) complete production line, in which we integrate our own equipment with equipment sourced from third-party suppliers where required, together with related design, configuration and installation services, to provide a complete solution tailored to customer’s specific needs, and iii) intelligent manufacturing system, which is a…</t>
      </text>
    </comment>
    <comment ref="Y11" authorId="0" shapeId="0">
      <text>
        <t>We are an established provider of spatialsensing productsfor roboticvacuum. As a specialized spatialsensing technology provider, ourproducts formthe critical foundation layerthatenablesourcustomers’roboticsystemstoachieveembodiedintelligence,supporting their autonomous navigation and task execution requirementsin dynamic, unstructured environments. Webelieve we are positioned at a uniquely strategic and pivotal point. Robotic spatialsensing technology servesas a critical bridge connecting digital intelligence withthe physical worldand presents expansive growth potential.</t>
      </text>
    </comment>
    <comment ref="I12" authorId="0" shapeId="0">
      <text>
        <t>estimated (press report: Bamboo Works 2025-10 / Smartkarma 2026)</t>
      </text>
    </comment>
    <comment ref="Y12"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3" authorId="0" shapeId="0">
      <text>
        <t>We operate a tiered proprietary brand matrix tailored to distinct user segments and channels, comprising DENAGO TM, GOTRAX TM, TEKO TM and TAO 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 in key markets.</t>
      </text>
    </comment>
    <comment ref="Y14"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I19" authorId="0" shapeId="0">
      <text>
        <t>prospectus: net proceeds at the maximum price</t>
      </text>
    </comment>
    <comment ref="Y19"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V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8" customWidth="1" min="20" max="20"/>
    <col width="10" customWidth="1" min="21" max="21"/>
    <col width="8" customWidth="1" min="22" max="22"/>
    <col width="13" customWidth="1" min="23" max="23"/>
    <col width="15" customWidth="1" min="24" max="24"/>
    <col width="11" customWidth="1" min="25" max="25"/>
    <col width="4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10"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10" customWidth="1" min="44" max="44"/>
    <col width="10" customWidth="1" min="45" max="45"/>
    <col width="10" customWidth="1" min="46" max="46"/>
    <col width="10" customWidth="1" min="47" max="47"/>
    <col width="11" customWidth="1" min="48" max="48"/>
    <col width="11" customWidth="1" min="49" max="49"/>
    <col width="10"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10" customWidth="1" min="59" max="59"/>
    <col width="10" customWidth="1" min="60" max="60"/>
    <col width="8" customWidth="1" min="61" max="61"/>
    <col width="11" customWidth="1" min="62" max="62"/>
    <col width="11" customWidth="1" min="63" max="63"/>
    <col width="10" customWidth="1" min="64" max="64"/>
    <col width="11" customWidth="1" min="65" max="65"/>
    <col width="14" customWidth="1" min="66" max="66"/>
    <col width="11" customWidth="1" min="67" max="67"/>
    <col width="11" customWidth="1" min="68" max="68"/>
    <col width="30" customWidth="1" min="69" max="69"/>
    <col width="34" customWidth="1" min="70" max="70"/>
    <col width="9" customWidth="1" min="71" max="71"/>
    <col width="14" customWidth="1" min="72" max="72"/>
    <col width="8" customWidth="1" min="73" max="73"/>
    <col width="46" customWidth="1" min="74" max="74"/>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Shenzhen Forms Syntron Information Co., Ltd.</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engine)'!$AB$3:$AB$535,MATCH($B$5,AllDeals,0)),"")</f>
        <v/>
      </c>
      <c r="C7" s="7" t="n"/>
      <c r="D7" s="10">
        <f>IF($C7&lt;&gt;"",$C7,$B7)</f>
        <v/>
      </c>
      <c r="E7" s="9" t="n"/>
      <c r="G7" s="14" t="inlineStr">
        <is>
          <t>SIZE BENCHMARK</t>
        </is>
      </c>
      <c r="H7" s="15" t="n"/>
    </row>
    <row r="8" ht="16" customHeight="1">
      <c r="A8" s="6" t="inlineStr">
        <is>
          <t>Subsector (ranks first)</t>
        </is>
      </c>
      <c r="B8" s="10">
        <f>IFERROR(INDEX('Calc (scoring engine)'!$AC$3:$AC$535,MATCH($B$5,AllDeals,0)),"")</f>
        <v/>
      </c>
      <c r="C8" s="7" t="n"/>
      <c r="D8" s="10">
        <f>IF($C8&lt;&gt;"",$C8,$B8)</f>
        <v/>
      </c>
      <c r="E8" s="16" t="n"/>
      <c r="G8" s="17" t="inlineStr">
        <is>
          <t>Percentile vs 2021-26 deals</t>
        </is>
      </c>
      <c r="H8" s="18">
        <f>IF(N($D$9)&lt;=0,"n/a",COUNTIF(Database!$I$5:$I$523,"&lt;"&amp;$D$9)/COUNT(Database!$I$5:$I$523))</f>
        <v/>
      </c>
    </row>
    <row r="9" ht="16" customHeight="1">
      <c r="A9" s="6" t="inlineStr">
        <is>
          <t>Size (HK$m)</t>
        </is>
      </c>
      <c r="B9" s="19">
        <f>IFERROR(INDEX('Calc (scoring engine)'!$AD$3:$AD$535,MATCH($B$5,AllDeals,0)),"")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engine)'!$AE$3:$AE$535,MATCH($B$5,AllDeals,0)),"")</f>
        <v/>
      </c>
      <c r="C10" s="7" t="n"/>
      <c r="D10" s="10">
        <f>IF($C10&lt;&gt;"",$C10,$B10)</f>
        <v/>
      </c>
      <c r="E10" s="16" t="n"/>
    </row>
    <row r="11" ht="16" customHeight="1">
      <c r="A11" s="6" t="inlineStr">
        <is>
          <t>H-share (Y/N)</t>
        </is>
      </c>
      <c r="B11" s="10">
        <f>IFERROR(INDEX('Calc (scoring engine)'!$AF$3:$AF$535,MATCH($B$5,AllDeals,0)),"")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engine)'!$AG$3:$AG$535,MATCH($B$5,AllDeals,0)),"")</f>
        <v/>
      </c>
      <c r="C12" s="22" t="n"/>
      <c r="D12" s="21">
        <f>IF($C12&lt;&gt;"",$C12,IF(ISNUMBER($B12),$B12,TODAY()))</f>
        <v/>
      </c>
      <c r="E12" s="16" t="n"/>
      <c r="G12" s="17" t="inlineStr">
        <is>
          <t>Day-1</t>
        </is>
      </c>
      <c r="H12" s="23">
        <f>IFERROR(IF(INDEX(Database!$AJ$5:$AJ$523,MATCH($B$5,Database!$B$5:$B$523,0))="","—",INDEX(Database!$AJ$5:$AJ$523,MATCH($B$5,Database!$B$5:$B$523,0))),"not listed yet")</f>
        <v/>
      </c>
    </row>
    <row r="13" ht="16" customHeight="1">
      <c r="A13" s="6" t="inlineStr">
        <is>
          <t>Target P/E (x)</t>
        </is>
      </c>
      <c r="B13" s="24">
        <f>IFERROR(INDEX('Calc (scoring engine)'!$AH$3:$AH$535,MATCH($B$5,AllDeals,0)),"")</f>
        <v/>
      </c>
      <c r="C13" s="25" t="n"/>
      <c r="D13" s="24">
        <f>IF($C13&lt;&gt;"",$C13,$B13)</f>
        <v/>
      </c>
      <c r="E13" s="9" t="n"/>
      <c r="G13" s="17" t="inlineStr">
        <is>
          <t>1-month</t>
        </is>
      </c>
      <c r="H13" s="23">
        <f>IFERROR(IF(INDEX(Database!$AP$5:$AP$523,MATCH($B$5,Database!$B$5:$B$523,0))="","—",INDEX(Database!$AP$5:$AP$523,MATCH($B$5,Database!$B$5:$B$523,0))),"not listed yet")</f>
        <v/>
      </c>
    </row>
    <row r="14" ht="16" customHeight="1">
      <c r="A14" s="6" t="inlineStr">
        <is>
          <t>Public sub (x), expected</t>
        </is>
      </c>
      <c r="B14" s="26">
        <f>IFERROR(INDEX(Database!$S$5:$S$523,MATCH($B$5,Database!$B$5:$B$523,0)),"")</f>
        <v/>
      </c>
      <c r="C14" s="27" t="n"/>
      <c r="D14" s="26">
        <f>IF($C14&lt;&gt;"",$C14,$B14)</f>
        <v/>
      </c>
      <c r="E14" s="16" t="n"/>
      <c r="G14" s="17" t="inlineStr">
        <is>
          <t>Public sub (x)</t>
        </is>
      </c>
      <c r="H14" s="26">
        <f>IFERROR(IF(INDEX(Database!$S$5:$S$523,MATCH($B$5,Database!$B$5:$B$523,0))="","—",INDEX(Database!$S$5:$S$523,MATCH($B$5,Database!$B$5:$B$523,0))),"not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IFERROR(IF(INDEX(Database!$U$5:$U$523,MATCH($B$5,Database!$B$5:$B$523,0))="","—",INDEX(Database!$U$5:$U$523,MATCH($B$5,Database!$B$5:$B$523,0))),"not listed yet")</f>
        <v/>
      </c>
    </row>
    <row r="16" ht="16" customHeight="1">
      <c r="A16" s="6" t="inlineStr">
        <is>
          <t>Rank by</t>
        </is>
      </c>
      <c r="B16" s="7" t="inlineStr">
        <is>
          <t>standard</t>
        </is>
      </c>
      <c r="C16" s="8" t="n"/>
      <c r="D16" s="8" t="n"/>
      <c r="E16" s="9" t="n"/>
      <c r="G16" s="17" t="inlineStr">
        <is>
          <t>Sponsors</t>
        </is>
      </c>
      <c r="H16" s="10">
        <f>IFERROR(IF(INDEX(Database!$BT$5:$BT$523,MATCH($B$5,Database!$B$5:$B$523,0))="","—",INDEX(Database!$BT$5:$BT$523,MATCH($B$5,Database!$B$5:$B$523,0))),"not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38" t="n"/>
      <c r="AC19" s="38" t="n"/>
      <c r="AD19" s="38" t="n"/>
      <c r="AE19" s="15" t="n"/>
      <c r="AF19" s="41" t="inlineStr">
        <is>
          <t>PERFORMANCE</t>
        </is>
      </c>
      <c r="AG19" s="38" t="n"/>
      <c r="AH19" s="38" t="n"/>
      <c r="AI19" s="38" t="n"/>
      <c r="AJ19" s="38" t="n"/>
      <c r="AK19" s="38" t="n"/>
      <c r="AL19" s="38" t="n"/>
      <c r="AM19" s="38" t="n"/>
      <c r="AN19" s="38" t="n"/>
      <c r="AO19" s="38" t="n"/>
      <c r="AP19" s="38" t="n"/>
      <c r="AQ19" s="38" t="n"/>
      <c r="AR19" s="38" t="n"/>
      <c r="AS19" s="38" t="n"/>
      <c r="AT19" s="38" t="n"/>
      <c r="AU19" s="38" t="n"/>
      <c r="AV19" s="38" t="n"/>
      <c r="AW19" s="38" t="n"/>
      <c r="AX19" s="15" t="n"/>
      <c r="AY19" s="42" t="inlineStr">
        <is>
          <t>FUNDAMENTALS</t>
        </is>
      </c>
      <c r="AZ19" s="38" t="n"/>
      <c r="BA19" s="38" t="n"/>
      <c r="BB19" s="38" t="n"/>
      <c r="BC19" s="38" t="n"/>
      <c r="BD19" s="38" t="n"/>
      <c r="BE19" s="38" t="n"/>
      <c r="BF19" s="38" t="n"/>
      <c r="BG19" s="38" t="n"/>
      <c r="BH19" s="15" t="n"/>
      <c r="BI19" s="43" t="inlineStr">
        <is>
          <t>A / H</t>
        </is>
      </c>
      <c r="BJ19" s="38" t="n"/>
      <c r="BK19" s="38" t="n"/>
      <c r="BL19" s="38" t="n"/>
      <c r="BM19" s="38" t="n"/>
      <c r="BN19" s="38" t="n"/>
      <c r="BO19" s="38" t="n"/>
      <c r="BP19" s="15" t="n"/>
      <c r="BQ19" s="44" t="inlineStr">
        <is>
          <t>BANKS &amp; DOCS</t>
        </is>
      </c>
      <c r="BR19" s="15" t="n"/>
      <c r="BS19" s="45" t="inlineStr">
        <is>
          <t>SCORING</t>
        </is>
      </c>
      <c r="BT19" s="38" t="n"/>
      <c r="BU19" s="38" t="n"/>
      <c r="BV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Intl placees</t>
        </is>
      </c>
      <c r="U20" s="46" t="inlineStr">
        <is>
          <t>Public alloc % (final)</t>
        </is>
      </c>
      <c r="V20" s="46" t="inlineStr">
        <is>
          <t>Clawback</t>
        </is>
      </c>
      <c r="W20" s="46" t="inlineStr">
        <is>
          <t>Eff. free float (HK$m)</t>
        </is>
      </c>
      <c r="X20" s="46" t="inlineStr">
        <is>
          <t>Eff. free float (shares)</t>
        </is>
      </c>
      <c r="Y20" s="46" t="inlineStr">
        <is>
          <t>Eff. free float (% of cap)</t>
        </is>
      </c>
      <c r="Z20" s="46" t="inlineStr">
        <is>
          <t>Cornerstone investors</t>
        </is>
      </c>
      <c r="AA20" s="46" t="inlineStr">
        <is>
          <t>Greenshoe size (%)</t>
        </is>
      </c>
      <c r="AB20" s="46" t="inlineStr">
        <is>
          <t>Shoe outcome (final)</t>
        </is>
      </c>
      <c r="AC20" s="46" t="inlineStr">
        <is>
          <t>Shoe ends (filed)</t>
        </is>
      </c>
      <c r="AD20" s="46" t="inlineStr">
        <is>
          <t>Stabilising manager</t>
        </is>
      </c>
      <c r="AE20" s="46" t="inlineStr">
        <is>
          <t>SM key</t>
        </is>
      </c>
      <c r="AF20" s="46" t="inlineStr">
        <is>
          <t>Grey mkt % vs offer</t>
        </is>
      </c>
      <c r="AG20" s="46" t="inlineStr">
        <is>
          <t>Day-1</t>
        </is>
      </c>
      <c r="AH20" s="46" t="inlineStr">
        <is>
          <t>Day-1 open pop</t>
        </is>
      </c>
      <c r="AI20" s="46" t="inlineStr">
        <is>
          <t>Day-1 open to close</t>
        </is>
      </c>
      <c r="AJ20" s="46" t="inlineStr">
        <is>
          <t>Day-1 vol / retail float (x)</t>
        </is>
      </c>
      <c r="AK20" s="46" t="inlineStr">
        <is>
          <t>Day-1 range %</t>
        </is>
      </c>
      <c r="AL20" s="46" t="inlineStr">
        <is>
          <t>1-week</t>
        </is>
      </c>
      <c r="AM20" s="46" t="inlineStr">
        <is>
          <t>1-month</t>
        </is>
      </c>
      <c r="AN20" s="46" t="inlineStr">
        <is>
          <t>3-month</t>
        </is>
      </c>
      <c r="AO20" s="47" t="inlineStr">
        <is>
          <t>1w ex-pop</t>
        </is>
      </c>
      <c r="AP20" s="47" t="inlineStr">
        <is>
          <t>1m ex-pop</t>
        </is>
      </c>
      <c r="AQ20" s="47" t="inlineStr">
        <is>
          <t>3m ex-pop</t>
        </is>
      </c>
      <c r="AR20" s="46" t="inlineStr">
        <is>
          <t>Alpha 1w vs index</t>
        </is>
      </c>
      <c r="AS20" s="46" t="inlineStr">
        <is>
          <t>Alpha 1m vs index</t>
        </is>
      </c>
      <c r="AT20" s="46" t="inlineStr">
        <is>
          <t>Alpha 3m vs index</t>
        </is>
      </c>
      <c r="AU20" s="47" t="inlineStr">
        <is>
          <t>Alpha 1m ex-pop</t>
        </is>
      </c>
      <c r="AV20" s="46" t="inlineStr">
        <is>
          <t>Index, IPO to 1m</t>
        </is>
      </c>
      <c r="AW20" s="46" t="inlineStr">
        <is>
          <t>Index, day-1 to 1m</t>
        </is>
      </c>
      <c r="AX20" s="46" t="inlineStr">
        <is>
          <t>Since IPO</t>
        </is>
      </c>
      <c r="AY20" s="46" t="inlineStr">
        <is>
          <t>Latest FY rev (HK$m)</t>
        </is>
      </c>
      <c r="AZ20" s="46" t="inlineStr">
        <is>
          <t>Latest FY NI (HK$m)</t>
        </is>
      </c>
      <c r="BA20" s="46" t="inlineStr">
        <is>
          <t>Profitable</t>
        </is>
      </c>
      <c r="BB20" s="46" t="inlineStr">
        <is>
          <t>P/E at IPO</t>
        </is>
      </c>
      <c r="BC20" s="46" t="inlineStr">
        <is>
          <t>P/E at IPO (BBG)</t>
        </is>
      </c>
      <c r="BD20" s="46" t="inlineStr">
        <is>
          <t>P/E today (BBG)</t>
        </is>
      </c>
      <c r="BE20" s="46" t="inlineStr">
        <is>
          <t>P/S at IPO</t>
        </is>
      </c>
      <c r="BF20" s="46" t="inlineStr">
        <is>
          <t>P/S today (BBG)</t>
        </is>
      </c>
      <c r="BG20" s="46" t="inlineStr">
        <is>
          <t>P/E now (x)</t>
        </is>
      </c>
      <c r="BH20" s="46" t="inlineStr">
        <is>
          <t>P/S now (x)</t>
        </is>
      </c>
      <c r="BI20" s="46" t="inlineStr">
        <is>
          <t>A/H pair</t>
        </is>
      </c>
      <c r="BJ20" s="46" t="inlineStr">
        <is>
          <t>A-share code</t>
        </is>
      </c>
      <c r="BK20" s="46" t="inlineStr">
        <is>
          <t>A prem vs H at IPO</t>
        </is>
      </c>
      <c r="BL20" s="46" t="inlineStr">
        <is>
          <t>A close used (HK$)</t>
        </is>
      </c>
      <c r="BM20" s="46" t="inlineStr">
        <is>
          <t>A premium (today)</t>
        </is>
      </c>
      <c r="BN20" s="46" t="inlineStr">
        <is>
          <t>A-line mkt cap now (HK$m)</t>
        </is>
      </c>
      <c r="BO20" s="46" t="inlineStr">
        <is>
          <t>A P/E @H-IPO (BBG)</t>
        </is>
      </c>
      <c r="BP20" s="46" t="inlineStr">
        <is>
          <t>HSAHP @IPO (BBG)</t>
        </is>
      </c>
      <c r="BQ20" s="46" t="inlineStr">
        <is>
          <t>Sponsors</t>
        </is>
      </c>
      <c r="BR20" s="46" t="inlineStr">
        <is>
          <t>Bookrunners</t>
        </is>
      </c>
      <c r="BS20" s="46" t="inlineStr">
        <is>
          <t>Shared CS</t>
        </is>
      </c>
      <c r="BT20" s="46" t="inlineStr">
        <is>
          <t>Match</t>
        </is>
      </c>
      <c r="BU20" s="46" t="inlineStr">
        <is>
          <t>Score</t>
        </is>
      </c>
      <c r="BV20" s="46" t="inlineStr">
        <is>
          <t>why</t>
        </is>
      </c>
    </row>
    <row r="21">
      <c r="A21" s="48">
        <f>IF(OR(1&gt;MAX(3,MIN(15,N($D$18))),IFERROR(LARGE('Calc (scoring engine)'!$K$5:$K$523,1),-999999)&lt;=-900000),"",1)</f>
        <v/>
      </c>
      <c r="B21" s="10">
        <f>IF(OR(1&gt;MAX(3,MIN(15,N($D$18))),IFERROR(LARGE('Calc (scoring engine)'!$K$5:$K$523,1),-999999)&lt;=-900000),"",IFERROR(IF(INDEX(Database!$B$5:$B$523,MATCH(LARGE('Calc (scoring engine)'!$K$5:$K$523,1),'Calc (scoring engine)'!$K$5:$K$523,0))="","—",INDEX(Database!$B$5:$B$523,MATCH(LARGE('Calc (scoring engine)'!$K$5:$K$523,1),'Calc (scoring engine)'!$K$5:$K$523,0))),""))</f>
        <v/>
      </c>
      <c r="C21" s="49">
        <f>IF(OR(1&gt;MAX(3,MIN(15,N($D$18))),IFERROR(LARGE('Calc (scoring engine)'!$K$5:$K$523,1),-999999)&lt;=-900000),"",IFERROR(IF(INDEX(Database!$A$5:$A$523,MATCH(LARGE('Calc (scoring engine)'!$K$5:$K$523,1),'Calc (scoring engine)'!$K$5:$K$523,0))="","—",INDEX(Database!$A$5:$A$523,MATCH(LARGE('Calc (scoring engine)'!$K$5:$K$523,1),'Calc (scoring engine)'!$K$5:$K$523,0))),""))</f>
        <v/>
      </c>
      <c r="D21" s="10">
        <f>IF(OR(1&gt;MAX(3,MIN(15,N($D$18))),IFERROR(LARGE('Calc (scoring engine)'!$K$5:$K$523,1),-999999)&lt;=-900000),"",IFERROR(IF(INDEX(Database!$D$5:$D$523,MATCH(LARGE('Calc (scoring engine)'!$K$5:$K$523,1),'Calc (scoring engine)'!$K$5:$K$523,0))="","—",INDEX(Database!$D$5:$D$523,MATCH(LARGE('Calc (scoring engine)'!$K$5:$K$523,1),'Calc (scoring engine)'!$K$5:$K$523,0))),""))</f>
        <v/>
      </c>
      <c r="E21" s="10">
        <f>IF(OR(1&gt;MAX(3,MIN(15,N($D$18))),IFERROR(LARGE('Calc (scoring engine)'!$K$5:$K$523,1),-999999)&lt;=-900000),"",IFERROR(IF(INDEX(Database!$E$5:$E$523,MATCH(LARGE('Calc (scoring engine)'!$K$5:$K$523,1),'Calc (scoring engine)'!$K$5:$K$523,0))="","—",INDEX(Database!$E$5:$E$523,MATCH(LARGE('Calc (scoring engine)'!$K$5:$K$523,1),'Calc (scoring engine)'!$K$5:$K$523,0))),""))</f>
        <v/>
      </c>
      <c r="F21" s="10">
        <f>IF(OR(1&gt;MAX(3,MIN(15,N($D$18))),IFERROR(LARGE('Calc (scoring engine)'!$K$5:$K$523,1),-999999)&lt;=-900000),"",IFERROR(IF(INDEX(Database!$F$5:$F$523,MATCH(LARGE('Calc (scoring engine)'!$K$5:$K$523,1),'Calc (scoring engine)'!$K$5:$K$523,0))="","—",INDEX(Database!$F$5:$F$523,MATCH(LARGE('Calc (scoring engine)'!$K$5:$K$523,1),'Calc (scoring engine)'!$K$5:$K$523,0))),""))</f>
        <v/>
      </c>
      <c r="G21" s="10">
        <f>IF(OR(1&gt;MAX(3,MIN(15,N($D$18))),IFERROR(LARGE('Calc (scoring engine)'!$K$5:$K$523,1),-999999)&lt;=-900000),"",IFERROR(IF(INDEX(Database!$G$5:$G$523,MATCH(LARGE('Calc (scoring engine)'!$K$5:$K$523,1),'Calc (scoring engine)'!$K$5:$K$523,0))="","—",INDEX(Database!$G$5:$G$523,MATCH(LARGE('Calc (scoring engine)'!$K$5:$K$523,1),'Calc (scoring engine)'!$K$5:$K$523,0))),""))</f>
        <v/>
      </c>
      <c r="H21" s="21">
        <f>IF(OR(1&gt;MAX(3,MIN(15,N($D$18))),IFERROR(LARGE('Calc (scoring engine)'!$K$5:$K$523,1),-999999)&lt;=-900000),"",IFERROR(IF(INDEX(Database!$H$5:$H$523,MATCH(LARGE('Calc (scoring engine)'!$K$5:$K$523,1),'Calc (scoring engine)'!$K$5:$K$523,0))="","—",INDEX(Database!$H$5:$H$523,MATCH(LARGE('Calc (scoring engine)'!$K$5:$K$523,1),'Calc (scoring engine)'!$K$5:$K$523,0))),""))</f>
        <v/>
      </c>
      <c r="I21" s="19">
        <f>IF(OR(1&gt;MAX(3,MIN(15,N($D$18))),IFERROR(LARGE('Calc (scoring engine)'!$K$5:$K$523,1),-999999)&lt;=-900000),"",IFERROR(IF(INDEX(Database!$I$5:$I$523,MATCH(LARGE('Calc (scoring engine)'!$K$5:$K$523,1),'Calc (scoring engine)'!$K$5:$K$523,0))="","—",INDEX(Database!$I$5:$I$523,MATCH(LARGE('Calc (scoring engine)'!$K$5:$K$523,1),'Calc (scoring engine)'!$K$5:$K$523,0))),""))</f>
        <v/>
      </c>
      <c r="J21" s="50">
        <f>IF(OR(1&gt;MAX(3,MIN(15,N($D$18))),IFERROR(LARGE('Calc (scoring engine)'!$K$5:$K$523,1),-999999)&lt;=-900000),"",IFERROR(IF(INDEX(Database!$K$5:$K$523,MATCH(LARGE('Calc (scoring engine)'!$K$5:$K$523,1),'Calc (scoring engine)'!$K$5:$K$523,0))="","—",INDEX(Database!$K$5:$K$523,MATCH(LARGE('Calc (scoring engine)'!$K$5:$K$523,1),'Calc (scoring engine)'!$K$5:$K$523,0))),""))</f>
        <v/>
      </c>
      <c r="K21" s="50">
        <f>IF(OR(1&gt;MAX(3,MIN(15,N($D$18))),IFERROR(LARGE('Calc (scoring engine)'!$K$5:$K$523,1),-999999)&lt;=-900000),"",IFERROR(IF(INDEX(Database!$L$5:$L$523,MATCH(LARGE('Calc (scoring engine)'!$K$5:$K$523,1),'Calc (scoring engine)'!$K$5:$K$523,0))="","—",INDEX(Database!$L$5:$L$523,MATCH(LARGE('Calc (scoring engine)'!$K$5:$K$523,1),'Calc (scoring engine)'!$K$5:$K$523,0))),""))</f>
        <v/>
      </c>
      <c r="L21" s="50">
        <f>IF(OR(1&gt;MAX(3,MIN(15,N($D$18))),IFERROR(LARGE('Calc (scoring engine)'!$K$5:$K$523,1),-999999)&lt;=-900000),"",IFERROR(IF(INDEX(Database!$M$5:$M$523,MATCH(LARGE('Calc (scoring engine)'!$K$5:$K$523,1),'Calc (scoring engine)'!$K$5:$K$523,0))="","—",INDEX(Database!$M$5:$M$523,MATCH(LARGE('Calc (scoring engine)'!$K$5:$K$523,1),'Calc (scoring engine)'!$K$5:$K$523,0))),""))</f>
        <v/>
      </c>
      <c r="M21" s="10">
        <f>IF(OR(1&gt;MAX(3,MIN(15,N($D$18))),IFERROR(LARGE('Calc (scoring engine)'!$K$5:$K$523,1),-999999)&lt;=-900000),"",IFERROR(IF(INDEX(Database!$N$5:$N$523,MATCH(LARGE('Calc (scoring engine)'!$K$5:$K$523,1),'Calc (scoring engine)'!$K$5:$K$523,0))="","—",INDEX(Database!$N$5:$N$523,MATCH(LARGE('Calc (scoring engine)'!$K$5:$K$523,1),'Calc (scoring engine)'!$K$5:$K$523,0))),""))</f>
        <v/>
      </c>
      <c r="N21" s="31">
        <f>IF(OR(1&gt;MAX(3,MIN(15,N($D$18))),IFERROR(LARGE('Calc (scoring engine)'!$K$5:$K$523,1),-999999)&lt;=-900000),"",IFERROR(IF(INDEX(Database!$O$5:$O$523,MATCH(LARGE('Calc (scoring engine)'!$K$5:$K$523,1),'Calc (scoring engine)'!$K$5:$K$523,0))="","—",INDEX(Database!$O$5:$O$523,MATCH(LARGE('Calc (scoring engine)'!$K$5:$K$523,1),'Calc (scoring engine)'!$K$5:$K$523,0))),""))</f>
        <v/>
      </c>
      <c r="O21" s="31">
        <f>IF(OR(1&gt;MAX(3,MIN(15,N($D$18))),IFERROR(LARGE('Calc (scoring engine)'!$K$5:$K$523,1),-999999)&lt;=-900000),"",IFERROR(IF(INDEX(Database!$P$5:$P$523,MATCH(LARGE('Calc (scoring engine)'!$K$5:$K$523,1),'Calc (scoring engine)'!$K$5:$K$523,0))="","—",INDEX(Database!$P$5:$P$523,MATCH(LARGE('Calc (scoring engine)'!$K$5:$K$523,1),'Calc (scoring engine)'!$K$5:$K$523,0))),""))</f>
        <v/>
      </c>
      <c r="P21" s="19">
        <f>IF(OR(1&gt;MAX(3,MIN(15,N($D$18))),IFERROR(LARGE('Calc (scoring engine)'!$K$5:$K$523,1),-999999)&lt;=-900000),"",IFERROR(IF(INDEX(Database!$Q$5:$Q$523,MATCH(LARGE('Calc (scoring engine)'!$K$5:$K$523,1),'Calc (scoring engine)'!$K$5:$K$523,0))="","—",INDEX(Database!$Q$5:$Q$523,MATCH(LARGE('Calc (scoring engine)'!$K$5:$K$523,1),'Calc (scoring engine)'!$K$5:$K$523,0))),""))</f>
        <v/>
      </c>
      <c r="Q21" s="26">
        <f>IF(OR(1&gt;MAX(3,MIN(15,N($D$18))),IFERROR(LARGE('Calc (scoring engine)'!$K$5:$K$523,1),-999999)&lt;=-900000),"",IFERROR(IF(INDEX(Database!$S$5:$S$523,MATCH(LARGE('Calc (scoring engine)'!$K$5:$K$523,1),'Calc (scoring engine)'!$K$5:$K$523,0))="","—",INDEX(Database!$S$5:$S$523,MATCH(LARGE('Calc (scoring engine)'!$K$5:$K$523,1),'Calc (scoring engine)'!$K$5:$K$523,0))),""))</f>
        <v/>
      </c>
      <c r="R21" s="51">
        <f>IF(OR(1&gt;MAX(3,MIN(15,N($D$18))),IFERROR(LARGE('Calc (scoring engine)'!$K$5:$K$523,1),-999999)&lt;=-900000),"",IFERROR(IF(INDEX(Database!$T$5:$T$523,MATCH(LARGE('Calc (scoring engine)'!$K$5:$K$523,1),'Calc (scoring engine)'!$K$5:$K$523,0))="","—",INDEX(Database!$T$5:$T$523,MATCH(LARGE('Calc (scoring engine)'!$K$5:$K$523,1),'Calc (scoring engine)'!$K$5:$K$523,0))),""))</f>
        <v/>
      </c>
      <c r="S21" s="52">
        <f>IF(OR(1&gt;MAX(3,MIN(15,N($D$18))),IFERROR(LARGE('Calc (scoring engine)'!$K$5:$K$523,1),-999999)&lt;=-900000),"",IFERROR(IF(INDEX(Database!$U$5:$U$523,MATCH(LARGE('Calc (scoring engine)'!$K$5:$K$523,1),'Calc (scoring engine)'!$K$5:$K$523,0))="","—",INDEX(Database!$U$5:$U$523,MATCH(LARGE('Calc (scoring engine)'!$K$5:$K$523,1),'Calc (scoring engine)'!$K$5:$K$523,0))),""))</f>
        <v/>
      </c>
      <c r="T21" s="53">
        <f>IF(OR(1&gt;MAX(3,MIN(15,N($D$18))),IFERROR(LARGE('Calc (scoring engine)'!$K$5:$K$523,1),-999999)&lt;=-900000),"",IFERROR(IF(INDEX(Database!$V$5:$V$523,MATCH(LARGE('Calc (scoring engine)'!$K$5:$K$523,1),'Calc (scoring engine)'!$K$5:$K$523,0))="","—",INDEX(Database!$V$5:$V$523,MATCH(LARGE('Calc (scoring engine)'!$K$5:$K$523,1),'Calc (scoring engine)'!$K$5:$K$523,0))),""))</f>
        <v/>
      </c>
      <c r="U21" s="31">
        <f>IF(OR(1&gt;MAX(3,MIN(15,N($D$18))),IFERROR(LARGE('Calc (scoring engine)'!$K$5:$K$523,1),-999999)&lt;=-900000),"",IFERROR(IF(INDEX(Database!$W$5:$W$523,MATCH(LARGE('Calc (scoring engine)'!$K$5:$K$523,1),'Calc (scoring engine)'!$K$5:$K$523,0))="","—",INDEX(Database!$W$5:$W$523,MATCH(LARGE('Calc (scoring engine)'!$K$5:$K$523,1),'Calc (scoring engine)'!$K$5:$K$523,0))),""))</f>
        <v/>
      </c>
      <c r="V21" s="10">
        <f>IF(OR(1&gt;MAX(3,MIN(15,N($D$18))),IFERROR(LARGE('Calc (scoring engine)'!$K$5:$K$523,1),-999999)&lt;=-900000),"",IFERROR(IF(INDEX(Database!$X$5:$X$523,MATCH(LARGE('Calc (scoring engine)'!$K$5:$K$523,1),'Calc (scoring engine)'!$K$5:$K$523,0))="","—",INDEX(Database!$X$5:$X$523,MATCH(LARGE('Calc (scoring engine)'!$K$5:$K$523,1),'Calc (scoring engine)'!$K$5:$K$523,0))),""))</f>
        <v/>
      </c>
      <c r="W21" s="19">
        <f>IF(OR(1&gt;MAX(3,MIN(15,N($D$18))),IFERROR(LARGE('Calc (scoring engine)'!$K$5:$K$523,1),-999999)&lt;=-900000),"",IFERROR(IF(INDEX(Database!$Y$5:$Y$523,MATCH(LARGE('Calc (scoring engine)'!$K$5:$K$523,1),'Calc (scoring engine)'!$K$5:$K$523,0))="","—",INDEX(Database!$Y$5:$Y$523,MATCH(LARGE('Calc (scoring engine)'!$K$5:$K$523,1),'Calc (scoring engine)'!$K$5:$K$523,0))),""))</f>
        <v/>
      </c>
      <c r="X21" s="19">
        <f>IF(OR(1&gt;MAX(3,MIN(15,N($D$18))),IFERROR(LARGE('Calc (scoring engine)'!$K$5:$K$523,1),-999999)&lt;=-900000),"",IFERROR(IF(INDEX(Database!$Z$5:$Z$523,MATCH(LARGE('Calc (scoring engine)'!$K$5:$K$523,1),'Calc (scoring engine)'!$K$5:$K$523,0))="","—",INDEX(Database!$Z$5:$Z$523,MATCH(LARGE('Calc (scoring engine)'!$K$5:$K$523,1),'Calc (scoring engine)'!$K$5:$K$523,0))),""))</f>
        <v/>
      </c>
      <c r="Y21" s="31">
        <f>IF(OR(1&gt;MAX(3,MIN(15,N($D$18))),IFERROR(LARGE('Calc (scoring engine)'!$K$5:$K$523,1),-999999)&lt;=-900000),"",IFERROR(IF(INDEX(Database!$AA$5:$AA$523,MATCH(LARGE('Calc (scoring engine)'!$K$5:$K$523,1),'Calc (scoring engine)'!$K$5:$K$523,0))="","—",INDEX(Database!$AA$5:$AA$523,MATCH(LARGE('Calc (scoring engine)'!$K$5:$K$523,1),'Calc (scoring engine)'!$K$5:$K$523,0))),""))</f>
        <v/>
      </c>
      <c r="Z21" s="10">
        <f>IF(OR(1&gt;MAX(3,MIN(15,N($D$18))),IFERROR(LARGE('Calc (scoring engine)'!$K$5:$K$523,1),-999999)&lt;=-900000),"",IFERROR(IF(INDEX(Database!$AB$5:$AB$523,MATCH(LARGE('Calc (scoring engine)'!$K$5:$K$523,1),'Calc (scoring engine)'!$K$5:$K$523,0))="","—",INDEX(Database!$AB$5:$AB$523,MATCH(LARGE('Calc (scoring engine)'!$K$5:$K$523,1),'Calc (scoring engine)'!$K$5:$K$523,0))),""))</f>
        <v/>
      </c>
      <c r="AA21" s="31">
        <f>IF(OR(1&gt;MAX(3,MIN(15,N($D$18))),IFERROR(LARGE('Calc (scoring engine)'!$K$5:$K$523,1),-999999)&lt;=-900000),"",IFERROR(IF(INDEX(Database!$AD$5:$AD$523,MATCH(LARGE('Calc (scoring engine)'!$K$5:$K$523,1),'Calc (scoring engine)'!$K$5:$K$523,0))="","—",INDEX(Database!$AD$5:$AD$523,MATCH(LARGE('Calc (scoring engine)'!$K$5:$K$523,1),'Calc (scoring engine)'!$K$5:$K$523,0))),""))</f>
        <v/>
      </c>
      <c r="AB21" s="10">
        <f>IF(OR(1&gt;MAX(3,MIN(15,N($D$18))),IFERROR(LARGE('Calc (scoring engine)'!$K$5:$K$523,1),-999999)&lt;=-900000),"",IFERROR(IF(INDEX(Database!$AE$5:$AE$523,MATCH(LARGE('Calc (scoring engine)'!$K$5:$K$523,1),'Calc (scoring engine)'!$K$5:$K$523,0))="","—",INDEX(Database!$AE$5:$AE$523,MATCH(LARGE('Calc (scoring engine)'!$K$5:$K$523,1),'Calc (scoring engine)'!$K$5:$K$523,0))),""))</f>
        <v/>
      </c>
      <c r="AC21" s="10">
        <f>IF(OR(1&gt;MAX(3,MIN(15,N($D$18))),IFERROR(LARGE('Calc (scoring engine)'!$K$5:$K$523,1),-999999)&lt;=-900000),"",IFERROR(IF(INDEX(Database!$AF$5:$AF$523,MATCH(LARGE('Calc (scoring engine)'!$K$5:$K$523,1),'Calc (scoring engine)'!$K$5:$K$523,0))="","—",INDEX(Database!$AF$5:$AF$523,MATCH(LARGE('Calc (scoring engine)'!$K$5:$K$523,1),'Calc (scoring engine)'!$K$5:$K$523,0))),""))</f>
        <v/>
      </c>
      <c r="AD21" s="10">
        <f>IF(OR(1&gt;MAX(3,MIN(15,N($D$18))),IFERROR(LARGE('Calc (scoring engine)'!$K$5:$K$523,1),-999999)&lt;=-900000),"",IFERROR(IF(INDEX(Database!$AG$5:$AG$523,MATCH(LARGE('Calc (scoring engine)'!$K$5:$K$523,1),'Calc (scoring engine)'!$K$5:$K$523,0))="","—",INDEX(Database!$AG$5:$AG$523,MATCH(LARGE('Calc (scoring engine)'!$K$5:$K$523,1),'Calc (scoring engine)'!$K$5:$K$523,0))),""))</f>
        <v/>
      </c>
      <c r="AE21" s="10">
        <f>IF(OR(1&gt;MAX(3,MIN(15,N($D$18))),IFERROR(LARGE('Calc (scoring engine)'!$K$5:$K$523,1),-999999)&lt;=-900000),"",IFERROR(IF(INDEX(Database!$AH$5:$AH$523,MATCH(LARGE('Calc (scoring engine)'!$K$5:$K$523,1),'Calc (scoring engine)'!$K$5:$K$523,0))="","—",INDEX(Database!$AH$5:$AH$523,MATCH(LARGE('Calc (scoring engine)'!$K$5:$K$523,1),'Calc (scoring engine)'!$K$5:$K$523,0))),""))</f>
        <v/>
      </c>
      <c r="AF21" s="23">
        <f>IF(OR(1&gt;MAX(3,MIN(15,N($D$18))),IFERROR(LARGE('Calc (scoring engine)'!$K$5:$K$523,1),-999999)&lt;=-900000),"",IFERROR(IF(INDEX(Database!$AI$5:$AI$523,MATCH(LARGE('Calc (scoring engine)'!$K$5:$K$523,1),'Calc (scoring engine)'!$K$5:$K$523,0))="","—",INDEX(Database!$AI$5:$AI$523,MATCH(LARGE('Calc (scoring engine)'!$K$5:$K$523,1),'Calc (scoring engine)'!$K$5:$K$523,0))),""))</f>
        <v/>
      </c>
      <c r="AG21" s="23">
        <f>IF(OR(1&gt;MAX(3,MIN(15,N($D$18))),IFERROR(LARGE('Calc (scoring engine)'!$K$5:$K$523,1),-999999)&lt;=-900000),"",IFERROR(IF(INDEX(Database!$AJ$5:$AJ$523,MATCH(LARGE('Calc (scoring engine)'!$K$5:$K$523,1),'Calc (scoring engine)'!$K$5:$K$523,0))="","—",INDEX(Database!$AJ$5:$AJ$523,MATCH(LARGE('Calc (scoring engine)'!$K$5:$K$523,1),'Calc (scoring engine)'!$K$5:$K$523,0))),""))</f>
        <v/>
      </c>
      <c r="AH21" s="23">
        <f>IF(OR(1&gt;MAX(3,MIN(15,N($D$18))),IFERROR(LARGE('Calc (scoring engine)'!$K$5:$K$523,1),-999999)&lt;=-900000),"",IFERROR(IF(INDEX(Database!$AK$5:$AK$523,MATCH(LARGE('Calc (scoring engine)'!$K$5:$K$523,1),'Calc (scoring engine)'!$K$5:$K$523,0))="","—",INDEX(Database!$AK$5:$AK$523,MATCH(LARGE('Calc (scoring engine)'!$K$5:$K$523,1),'Calc (scoring engine)'!$K$5:$K$523,0))),""))</f>
        <v/>
      </c>
      <c r="AI21" s="23">
        <f>IF(OR(1&gt;MAX(3,MIN(15,N($D$18))),IFERROR(LARGE('Calc (scoring engine)'!$K$5:$K$523,1),-999999)&lt;=-900000),"",IFERROR(IF(INDEX(Database!$AL$5:$AL$523,MATCH(LARGE('Calc (scoring engine)'!$K$5:$K$523,1),'Calc (scoring engine)'!$K$5:$K$523,0))="","—",INDEX(Database!$AL$5:$AL$523,MATCH(LARGE('Calc (scoring engine)'!$K$5:$K$523,1),'Calc (scoring engine)'!$K$5:$K$523,0))),""))</f>
        <v/>
      </c>
      <c r="AJ21" s="24">
        <f>IF(OR(1&gt;MAX(3,MIN(15,N($D$18))),IFERROR(LARGE('Calc (scoring engine)'!$K$5:$K$523,1),-999999)&lt;=-900000),"",IFERROR(IF(INDEX(Database!$AM$5:$AM$523,MATCH(LARGE('Calc (scoring engine)'!$K$5:$K$523,1),'Calc (scoring engine)'!$K$5:$K$523,0))="","—",INDEX(Database!$AM$5:$AM$523,MATCH(LARGE('Calc (scoring engine)'!$K$5:$K$523,1),'Calc (scoring engine)'!$K$5:$K$523,0))),""))</f>
        <v/>
      </c>
      <c r="AK21" s="31">
        <f>IF(OR(1&gt;MAX(3,MIN(15,N($D$18))),IFERROR(LARGE('Calc (scoring engine)'!$K$5:$K$523,1),-999999)&lt;=-900000),"",IFERROR(IF(INDEX(Database!$AN$5:$AN$523,MATCH(LARGE('Calc (scoring engine)'!$K$5:$K$523,1),'Calc (scoring engine)'!$K$5:$K$523,0))="","—",INDEX(Database!$AN$5:$AN$523,MATCH(LARGE('Calc (scoring engine)'!$K$5:$K$523,1),'Calc (scoring engine)'!$K$5:$K$523,0))),""))</f>
        <v/>
      </c>
      <c r="AL21" s="23">
        <f>IF(OR(1&gt;MAX(3,MIN(15,N($D$18))),IFERROR(LARGE('Calc (scoring engine)'!$K$5:$K$523,1),-999999)&lt;=-900000),"",IFERROR(IF(INDEX(Database!$AO$5:$AO$523,MATCH(LARGE('Calc (scoring engine)'!$K$5:$K$523,1),'Calc (scoring engine)'!$K$5:$K$523,0))="","—",INDEX(Database!$AO$5:$AO$523,MATCH(LARGE('Calc (scoring engine)'!$K$5:$K$523,1),'Calc (scoring engine)'!$K$5:$K$523,0))),""))</f>
        <v/>
      </c>
      <c r="AM21" s="23">
        <f>IF(OR(1&gt;MAX(3,MIN(15,N($D$18))),IFERROR(LARGE('Calc (scoring engine)'!$K$5:$K$523,1),-999999)&lt;=-900000),"",IFERROR(IF(INDEX(Database!$AP$5:$AP$523,MATCH(LARGE('Calc (scoring engine)'!$K$5:$K$523,1),'Calc (scoring engine)'!$K$5:$K$523,0))="","—",INDEX(Database!$AP$5:$AP$523,MATCH(LARGE('Calc (scoring engine)'!$K$5:$K$523,1),'Calc (scoring engine)'!$K$5:$K$523,0))),""))</f>
        <v/>
      </c>
      <c r="AN21" s="23">
        <f>IF(OR(1&gt;MAX(3,MIN(15,N($D$18))),IFERROR(LARGE('Calc (scoring engine)'!$K$5:$K$523,1),-999999)&lt;=-900000),"",IFERROR(IF(INDEX(Database!$AQ$5:$AQ$523,MATCH(LARGE('Calc (scoring engine)'!$K$5:$K$523,1),'Calc (scoring engine)'!$K$5:$K$523,0))="","—",INDEX(Database!$AQ$5:$AQ$523,MATCH(LARGE('Calc (scoring engine)'!$K$5:$K$523,1),'Calc (scoring engine)'!$K$5:$K$523,0))),""))</f>
        <v/>
      </c>
      <c r="AO21" s="23">
        <f>IF(OR(1&gt;MAX(3,MIN(15,N($D$18))),IFERROR(LARGE('Calc (scoring engine)'!$K$5:$K$523,1),-999999)&lt;=-900000),"",IFERROR(IF(INDEX(Database!$AR$5:$AR$523,MATCH(LARGE('Calc (scoring engine)'!$K$5:$K$523,1),'Calc (scoring engine)'!$K$5:$K$523,0))="","—",INDEX(Database!$AR$5:$AR$523,MATCH(LARGE('Calc (scoring engine)'!$K$5:$K$523,1),'Calc (scoring engine)'!$K$5:$K$523,0))),""))</f>
        <v/>
      </c>
      <c r="AP21" s="23">
        <f>IF(OR(1&gt;MAX(3,MIN(15,N($D$18))),IFERROR(LARGE('Calc (scoring engine)'!$K$5:$K$523,1),-999999)&lt;=-900000),"",IFERROR(IF(INDEX(Database!$AS$5:$AS$523,MATCH(LARGE('Calc (scoring engine)'!$K$5:$K$523,1),'Calc (scoring engine)'!$K$5:$K$523,0))="","—",INDEX(Database!$AS$5:$AS$523,MATCH(LARGE('Calc (scoring engine)'!$K$5:$K$523,1),'Calc (scoring engine)'!$K$5:$K$523,0))),""))</f>
        <v/>
      </c>
      <c r="AQ21" s="23">
        <f>IF(OR(1&gt;MAX(3,MIN(15,N($D$18))),IFERROR(LARGE('Calc (scoring engine)'!$K$5:$K$523,1),-999999)&lt;=-900000),"",IFERROR(IF(INDEX(Database!$AT$5:$AT$523,MATCH(LARGE('Calc (scoring engine)'!$K$5:$K$523,1),'Calc (scoring engine)'!$K$5:$K$523,0))="","—",INDEX(Database!$AT$5:$AT$523,MATCH(LARGE('Calc (scoring engine)'!$K$5:$K$523,1),'Calc (scoring engine)'!$K$5:$K$523,0))),""))</f>
        <v/>
      </c>
      <c r="AR21" s="23">
        <f>IF(OR(1&gt;MAX(3,MIN(15,N($D$18))),IFERROR(LARGE('Calc (scoring engine)'!$K$5:$K$523,1),-999999)&lt;=-900000),"",IFERROR(IF(INDEX(Database!$AU$5:$AU$523,MATCH(LARGE('Calc (scoring engine)'!$K$5:$K$523,1),'Calc (scoring engine)'!$K$5:$K$523,0))="","—",INDEX(Database!$AU$5:$AU$523,MATCH(LARGE('Calc (scoring engine)'!$K$5:$K$523,1),'Calc (scoring engine)'!$K$5:$K$523,0))),""))</f>
        <v/>
      </c>
      <c r="AS21" s="23">
        <f>IF(OR(1&gt;MAX(3,MIN(15,N($D$18))),IFERROR(LARGE('Calc (scoring engine)'!$K$5:$K$523,1),-999999)&lt;=-900000),"",IFERROR(IF(INDEX(Database!$AV$5:$AV$523,MATCH(LARGE('Calc (scoring engine)'!$K$5:$K$523,1),'Calc (scoring engine)'!$K$5:$K$523,0))="","—",INDEX(Database!$AV$5:$AV$523,MATCH(LARGE('Calc (scoring engine)'!$K$5:$K$523,1),'Calc (scoring engine)'!$K$5:$K$523,0))),""))</f>
        <v/>
      </c>
      <c r="AT21" s="23">
        <f>IF(OR(1&gt;MAX(3,MIN(15,N($D$18))),IFERROR(LARGE('Calc (scoring engine)'!$K$5:$K$523,1),-999999)&lt;=-900000),"",IFERROR(IF(INDEX(Database!$AW$5:$AW$523,MATCH(LARGE('Calc (scoring engine)'!$K$5:$K$523,1),'Calc (scoring engine)'!$K$5:$K$523,0))="","—",INDEX(Database!$AW$5:$AW$523,MATCH(LARGE('Calc (scoring engine)'!$K$5:$K$523,1),'Calc (scoring engine)'!$K$5:$K$523,0))),""))</f>
        <v/>
      </c>
      <c r="AU21" s="23">
        <f>IF(OR(1&gt;MAX(3,MIN(15,N($D$18))),IFERROR(LARGE('Calc (scoring engine)'!$K$5:$K$523,1),-999999)&lt;=-900000),"",IFERROR(IF(INDEX(Database!$AX$5:$AX$523,MATCH(LARGE('Calc (scoring engine)'!$K$5:$K$523,1),'Calc (scoring engine)'!$K$5:$K$523,0))="","—",INDEX(Database!$AX$5:$AX$523,MATCH(LARGE('Calc (scoring engine)'!$K$5:$K$523,1),'Calc (scoring engine)'!$K$5:$K$523,0))),""))</f>
        <v/>
      </c>
      <c r="AV21" s="23">
        <f>IF(OR(1&gt;MAX(3,MIN(15,N($D$18))),IFERROR(LARGE('Calc (scoring engine)'!$K$5:$K$523,1),-999999)&lt;=-900000),"",IFERROR(IF(INDEX(Database!$AY$5:$AY$523,MATCH(LARGE('Calc (scoring engine)'!$K$5:$K$523,1),'Calc (scoring engine)'!$K$5:$K$523,0))="","—",INDEX(Database!$AY$5:$AY$523,MATCH(LARGE('Calc (scoring engine)'!$K$5:$K$523,1),'Calc (scoring engine)'!$K$5:$K$523,0))),""))</f>
        <v/>
      </c>
      <c r="AW21" s="23">
        <f>IF(OR(1&gt;MAX(3,MIN(15,N($D$18))),IFERROR(LARGE('Calc (scoring engine)'!$K$5:$K$523,1),-999999)&lt;=-900000),"",IFERROR(IF(INDEX(Database!$AZ$5:$AZ$523,MATCH(LARGE('Calc (scoring engine)'!$K$5:$K$523,1),'Calc (scoring engine)'!$K$5:$K$523,0))="","—",INDEX(Database!$AZ$5:$AZ$523,MATCH(LARGE('Calc (scoring engine)'!$K$5:$K$523,1),'Calc (scoring engine)'!$K$5:$K$523,0))),""))</f>
        <v/>
      </c>
      <c r="AX21" s="23">
        <f>IF(OR(1&gt;MAX(3,MIN(15,N($D$18))),IFERROR(LARGE('Calc (scoring engine)'!$K$5:$K$523,1),-999999)&lt;=-900000),"",IFERROR(IF(INDEX(Database!$BB$5:$BB$523,MATCH(LARGE('Calc (scoring engine)'!$K$5:$K$523,1),'Calc (scoring engine)'!$K$5:$K$523,0))="","—",INDEX(Database!$BB$5:$BB$523,MATCH(LARGE('Calc (scoring engine)'!$K$5:$K$523,1),'Calc (scoring engine)'!$K$5:$K$523,0))),""))</f>
        <v/>
      </c>
      <c r="AY21" s="19">
        <f>IF(OR(1&gt;MAX(3,MIN(15,N($D$18))),IFERROR(LARGE('Calc (scoring engine)'!$K$5:$K$523,1),-999999)&lt;=-900000),"",IFERROR(IF(INDEX(Database!$BD$5:$BD$523,MATCH(LARGE('Calc (scoring engine)'!$K$5:$K$523,1),'Calc (scoring engine)'!$K$5:$K$523,0))="","—",INDEX(Database!$BD$5:$BD$523,MATCH(LARGE('Calc (scoring engine)'!$K$5:$K$523,1),'Calc (scoring engine)'!$K$5:$K$523,0))),""))</f>
        <v/>
      </c>
      <c r="AZ21" s="19">
        <f>IF(OR(1&gt;MAX(3,MIN(15,N($D$18))),IFERROR(LARGE('Calc (scoring engine)'!$K$5:$K$523,1),-999999)&lt;=-900000),"",IFERROR(IF(INDEX(Database!$BE$5:$BE$523,MATCH(LARGE('Calc (scoring engine)'!$K$5:$K$523,1),'Calc (scoring engine)'!$K$5:$K$523,0))="","—",INDEX(Database!$BE$5:$BE$523,MATCH(LARGE('Calc (scoring engine)'!$K$5:$K$523,1),'Calc (scoring engine)'!$K$5:$K$523,0))),""))</f>
        <v/>
      </c>
      <c r="BA21" s="10">
        <f>IF(OR(1&gt;MAX(3,MIN(15,N($D$18))),IFERROR(LARGE('Calc (scoring engine)'!$K$5:$K$523,1),-999999)&lt;=-900000),"",IFERROR(IF(INDEX(Database!$BF$5:$BF$523,MATCH(LARGE('Calc (scoring engine)'!$K$5:$K$523,1),'Calc (scoring engine)'!$K$5:$K$523,0))="","—",INDEX(Database!$BF$5:$BF$523,MATCH(LARGE('Calc (scoring engine)'!$K$5:$K$523,1),'Calc (scoring engine)'!$K$5:$K$523,0))),""))</f>
        <v/>
      </c>
      <c r="BB21" s="24">
        <f>IF(OR(1&gt;MAX(3,MIN(15,N($D$18))),IFERROR(LARGE('Calc (scoring engine)'!$K$5:$K$523,1),-999999)&lt;=-900000),"",IFERROR(IF(N(INDEX(Database!$BG$5:$BG$523,MATCH(LARGE('Calc (scoring engine)'!$K$5:$K$523,1),'Calc (scoring engine)'!$K$5:$K$523,0)))&lt;=0,IF(INDEX(Database!$BF$5:$BF$523,MATCH(LARGE('Calc (scoring engine)'!$K$5:$K$523,1),'Calc (scoring engine)'!$K$5:$K$523,0))="N","n/m","—"),INDEX(Database!$BG$5:$BG$523,MATCH(LARGE('Calc (scoring engine)'!$K$5:$K$523,1),'Calc (scoring engine)'!$K$5:$K$523,0))),""))</f>
        <v/>
      </c>
      <c r="BC21" s="24">
        <f>IF(OR(1&gt;MAX(3,MIN(15,N($D$18))),IFERROR(LARGE('Calc (scoring engine)'!$K$5:$K$523,1),-999999)&lt;=-900000),"",IFERROR(IF(INDEX(Database!$BH$5:$BH$523,MATCH(LARGE('Calc (scoring engine)'!$K$5:$K$523,1),'Calc (scoring engine)'!$K$5:$K$523,0))="","—",INDEX(Database!$BH$5:$BH$523,MATCH(LARGE('Calc (scoring engine)'!$K$5:$K$523,1),'Calc (scoring engine)'!$K$5:$K$523,0))),""))</f>
        <v/>
      </c>
      <c r="BD21" s="24">
        <f>IF(OR(1&gt;MAX(3,MIN(15,N($D$18))),IFERROR(LARGE('Calc (scoring engine)'!$K$5:$K$523,1),-999999)&lt;=-900000),"",IFERROR(IF(INDEX(Database!$BI$5:$BI$523,MATCH(LARGE('Calc (scoring engine)'!$K$5:$K$523,1),'Calc (scoring engine)'!$K$5:$K$523,0))="","—",INDEX(Database!$BI$5:$BI$523,MATCH(LARGE('Calc (scoring engine)'!$K$5:$K$523,1),'Calc (scoring engine)'!$K$5:$K$523,0))),""))</f>
        <v/>
      </c>
      <c r="BE21" s="24">
        <f>IF(OR(1&gt;MAX(3,MIN(15,N($D$18))),IFERROR(LARGE('Calc (scoring engine)'!$K$5:$K$523,1),-999999)&lt;=-900000),"",IFERROR(IF(INDEX(Database!$BJ$5:$BJ$523,MATCH(LARGE('Calc (scoring engine)'!$K$5:$K$523,1),'Calc (scoring engine)'!$K$5:$K$523,0))="","—",INDEX(Database!$BJ$5:$BJ$523,MATCH(LARGE('Calc (scoring engine)'!$K$5:$K$523,1),'Calc (scoring engine)'!$K$5:$K$523,0))),""))</f>
        <v/>
      </c>
      <c r="BF21" s="24">
        <f>IF(OR(1&gt;MAX(3,MIN(15,N($D$18))),IFERROR(LARGE('Calc (scoring engine)'!$K$5:$K$523,1),-999999)&lt;=-900000),"",IFERROR(IF(INDEX(Database!$BK$5:$BK$523,MATCH(LARGE('Calc (scoring engine)'!$K$5:$K$523,1),'Calc (scoring engine)'!$K$5:$K$523,0))="","—",INDEX(Database!$BK$5:$BK$523,MATCH(LARGE('Calc (scoring engine)'!$K$5:$K$523,1),'Calc (scoring engine)'!$K$5:$K$523,0))),""))</f>
        <v/>
      </c>
      <c r="BG21" s="24">
        <f>IF(OR(1&gt;MAX(3,MIN(15,N($D$18))),IFERROR(LARGE('Calc (scoring engine)'!$K$5:$K$523,1),-999999)&lt;=-900000),"",IFERROR(IFERROR(BDP(TEXT(INDEX(Database!$A$5:$A$523,MATCH(LARGE('Calc (scoring engine)'!$K$5:$K$523,1),'Calc (scoring engine)'!$K$5:$K$523,0)),"0")&amp;" HK Equity","PE_RATIO"),IF(INDEX(Database!$BI$5:$BI$523,MATCH(LARGE('Calc (scoring engine)'!$K$5:$K$523,1),'Calc (scoring engine)'!$K$5:$K$523,0))="","—",INDEX(Database!$BI$5:$BI$523,MATCH(LARGE('Calc (scoring engine)'!$K$5:$K$523,1),'Calc (scoring engine)'!$K$5:$K$523,0)))),""))</f>
        <v/>
      </c>
      <c r="BH21" s="24">
        <f>IF(OR(1&gt;MAX(3,MIN(15,N($D$18))),IFERROR(LARGE('Calc (scoring engine)'!$K$5:$K$523,1),-999999)&lt;=-900000),"",IFERROR(IFERROR(BDP(TEXT(INDEX(Database!$A$5:$A$523,MATCH(LARGE('Calc (scoring engine)'!$K$5:$K$523,1),'Calc (scoring engine)'!$K$5:$K$523,0)),"0")&amp;" HK Equity","PX_TO_SALES_RATIO"),IF(INDEX(Database!$BJ$5:$BJ$523,MATCH(LARGE('Calc (scoring engine)'!$K$5:$K$523,1),'Calc (scoring engine)'!$K$5:$K$523,0))="","—",INDEX(Database!$BJ$5:$BJ$523,MATCH(LARGE('Calc (scoring engine)'!$K$5:$K$523,1),'Calc (scoring engine)'!$K$5:$K$523,0)))),""))</f>
        <v/>
      </c>
      <c r="BI21" s="10">
        <f>IF(OR(1&gt;MAX(3,MIN(15,N($D$18))),IFERROR(LARGE('Calc (scoring engine)'!$K$5:$K$523,1),-999999)&lt;=-900000),"",IFERROR(IF(INDEX(Database!$BL$5:$BL$523,MATCH(LARGE('Calc (scoring engine)'!$K$5:$K$523,1),'Calc (scoring engine)'!$K$5:$K$523,0))="","—",INDEX(Database!$BL$5:$BL$523,MATCH(LARGE('Calc (scoring engine)'!$K$5:$K$523,1),'Calc (scoring engine)'!$K$5:$K$523,0))),""))</f>
        <v/>
      </c>
      <c r="BJ21" s="10">
        <f>IF(OR(1&gt;MAX(3,MIN(15,N($D$18))),IFERROR(LARGE('Calc (scoring engine)'!$K$5:$K$523,1),-999999)&lt;=-900000),"",IFERROR(IF(INDEX(Database!$BM$5:$BM$523,MATCH(LARGE('Calc (scoring engine)'!$K$5:$K$523,1),'Calc (scoring engine)'!$K$5:$K$523,0))="","—",INDEX(Database!$BM$5:$BM$523,MATCH(LARGE('Calc (scoring engine)'!$K$5:$K$523,1),'Calc (scoring engine)'!$K$5:$K$523,0))),""))</f>
        <v/>
      </c>
      <c r="BK21" s="23">
        <f>IF(OR(1&gt;MAX(3,MIN(15,N($D$18))),IFERROR(LARGE('Calc (scoring engine)'!$K$5:$K$523,1),-999999)&lt;=-900000),"",IFERROR(IF(INDEX(Database!$BN$5:$BN$523,MATCH(LARGE('Calc (scoring engine)'!$K$5:$K$523,1),'Calc (scoring engine)'!$K$5:$K$523,0))="","—",INDEX(Database!$BN$5:$BN$523,MATCH(LARGE('Calc (scoring engine)'!$K$5:$K$523,1),'Calc (scoring engine)'!$K$5:$K$523,0))),""))</f>
        <v/>
      </c>
      <c r="BL21" s="50">
        <f>IF(OR(1&gt;MAX(3,MIN(15,N($D$18))),IFERROR(LARGE('Calc (scoring engine)'!$K$5:$K$523,1),-999999)&lt;=-900000),"",IFERROR(IF(INDEX(Database!$BO$5:$BO$523,MATCH(LARGE('Calc (scoring engine)'!$K$5:$K$523,1),'Calc (scoring engine)'!$K$5:$K$523,0))="","—",INDEX(Database!$BO$5:$BO$523,MATCH(LARGE('Calc (scoring engine)'!$K$5:$K$523,1),'Calc (scoring engine)'!$K$5:$K$523,0))),""))</f>
        <v/>
      </c>
      <c r="BM21" s="54">
        <f>IF(OR(1&gt;MAX(3,MIN(15,N($D$18))),IFERROR(LARGE('Calc (scoring engine)'!$K$5:$K$523,1),-999999)&lt;=-900000),"",IFERROR(IF(INDEX(Database!$BP$5:$BP$523,MATCH(LARGE('Calc (scoring engine)'!$K$5:$K$523,1),'Calc (scoring engine)'!$K$5:$K$523,0))="","—",INDEX(Database!$BP$5:$BP$523,MATCH(LARGE('Calc (scoring engine)'!$K$5:$K$523,1),'Calc (scoring engine)'!$K$5:$K$523,0))),""))</f>
        <v/>
      </c>
      <c r="BN21" s="19">
        <f>IF(OR(1&gt;MAX(3,MIN(15,N($D$18))),IFERROR(LARGE('Calc (scoring engine)'!$K$5:$K$523,1),-999999)&lt;=-900000),"",IFERROR(IF(INDEX(Database!$BQ$5:$BQ$523,MATCH(LARGE('Calc (scoring engine)'!$K$5:$K$523,1),'Calc (scoring engine)'!$K$5:$K$523,0))="","—",INDEX(Database!$BQ$5:$BQ$523,MATCH(LARGE('Calc (scoring engine)'!$K$5:$K$523,1),'Calc (scoring engine)'!$K$5:$K$523,0))),""))</f>
        <v/>
      </c>
      <c r="BO21" s="24">
        <f>IF(OR(1&gt;MAX(3,MIN(15,N($D$18))),IFERROR(LARGE('Calc (scoring engine)'!$K$5:$K$523,1),-999999)&lt;=-900000),"",IFERROR(IF(INDEX(Database!$BR$5:$BR$523,MATCH(LARGE('Calc (scoring engine)'!$K$5:$K$523,1),'Calc (scoring engine)'!$K$5:$K$523,0))="","—",INDEX(Database!$BR$5:$BR$523,MATCH(LARGE('Calc (scoring engine)'!$K$5:$K$523,1),'Calc (scoring engine)'!$K$5:$K$523,0))),""))</f>
        <v/>
      </c>
      <c r="BP21" s="24">
        <f>IF(OR(1&gt;MAX(3,MIN(15,N($D$18))),IFERROR(LARGE('Calc (scoring engine)'!$K$5:$K$523,1),-999999)&lt;=-900000),"",IFERROR(IF(INDEX(Database!$BS$5:$BS$523,MATCH(LARGE('Calc (scoring engine)'!$K$5:$K$523,1),'Calc (scoring engine)'!$K$5:$K$523,0))="","—",INDEX(Database!$BS$5:$BS$523,MATCH(LARGE('Calc (scoring engine)'!$K$5:$K$523,1),'Calc (scoring engine)'!$K$5:$K$523,0))),""))</f>
        <v/>
      </c>
      <c r="BQ21" s="10">
        <f>IF(OR(1&gt;MAX(3,MIN(15,N($D$18))),IFERROR(LARGE('Calc (scoring engine)'!$K$5:$K$523,1),-999999)&lt;=-900000),"",IFERROR(IF(INDEX(Database!$BT$5:$BT$523,MATCH(LARGE('Calc (scoring engine)'!$K$5:$K$523,1),'Calc (scoring engine)'!$K$5:$K$523,0))="","—",INDEX(Database!$BT$5:$BT$523,MATCH(LARGE('Calc (scoring engine)'!$K$5:$K$523,1),'Calc (scoring engine)'!$K$5:$K$523,0))),""))</f>
        <v/>
      </c>
      <c r="BR21" s="10">
        <f>IF(OR(1&gt;MAX(3,MIN(15,N($D$18))),IFERROR(LARGE('Calc (scoring engine)'!$K$5:$K$523,1),-999999)&lt;=-900000),"",IFERROR(IF(INDEX(Database!$BV$5:$BV$523,MATCH(LARGE('Calc (scoring engine)'!$K$5:$K$523,1),'Calc (scoring engine)'!$K$5:$K$523,0))="","—",INDEX(Database!$BV$5:$BV$523,MATCH(LARGE('Calc (scoring engine)'!$K$5:$K$523,1),'Calc (scoring engine)'!$K$5:$K$523,0))),""))</f>
        <v/>
      </c>
      <c r="BS21" s="53">
        <f>IF(OR(1&gt;MAX(3,MIN(15,N($D$18))),IFERROR(LARGE('Calc (scoring engine)'!$K$5:$K$523,1),-999999)&lt;=-900000),"",IFERROR(IF(INDEX('Calc (scoring engine)'!$H$5:$H$523,MATCH(LARGE('Calc (scoring engine)'!$K$5:$K$523,1),'Calc (scoring engine)'!$K$5:$K$523,0))&gt;0,INDEX('Calc (scoring engine)'!$H$5:$H$523,MATCH(LARGE('Calc (scoring engine)'!$K$5:$K$523,1),'Calc (scoring engine)'!$K$5:$K$523,0)),""),""))</f>
        <v/>
      </c>
      <c r="BT21" s="10">
        <f>IF(OR(1&gt;MAX(3,MIN(15,N($D$18))),IFERROR(LARGE('Calc (scoring engine)'!$K$5:$K$523,1),-999999)&lt;=-900000),"",IF(IFERROR(INDEX('Calc (scoring engine)'!$B$5:$B$523,MATCH(LARGE('Calc (scoring engine)'!$K$5:$K$523,1),'Calc (scoring engine)'!$K$5:$K$523,0)),0)=1,"same subsector","sector only"))</f>
        <v/>
      </c>
      <c r="BU21" s="53">
        <f>IF(OR(1&gt;MAX(3,MIN(15,N($D$18))),IFERROR(LARGE('Calc (scoring engine)'!$K$5:$K$523,1),-999999)&lt;=-900000),"",ROUND(IFERROR(LARGE('Calc (scoring engine)'!$K$5:$K$523,1),0),0))</f>
        <v/>
      </c>
      <c r="BV21" s="10">
        <f>IF(OR(1&gt;MAX(3,MIN(15,N($D$18))),IFERROR(LARGE('Calc (scoring engine)'!$K$5:$K$523,1),-999999)&lt;=-900000),"",IFERROR("sub "&amp;INDEX('Calc (scoring engine)'!$B$5:$B$523,MATCH(LARGE('Calc (scoring engine)'!$K$5:$K$523,1),'Calc (scoring engine)'!$K$5:$K$523,0))*W_SUB&amp;" + size "&amp;ROUND(INDEX('Calc (scoring engine)'!$D$5:$D$523,MATCH(LARGE('Calc (scoring engine)'!$K$5:$K$523,1),'Calc (scoring engine)'!$K$5:$K$523,0))*W_SIZE,0)&amp;" + prof "&amp;INDEX('Calc (scoring engine)'!$E$5:$E$523,MATCH(LARGE('Calc (scoring engine)'!$K$5:$K$523,1),'Calc (scoring engine)'!$K$5:$K$523,0))*W_PROF&amp;" + recency "&amp;ROUND(INDEX('Calc (scoring engine)'!$G$5:$G$523,MATCH(LARGE('Calc (scoring engine)'!$K$5:$K$523,1),'Calc (scoring engine)'!$K$5:$K$523,0))*W_REC,0)&amp;IF(INDEX('Calc (scoring engine)'!$H$5:$H$523,MATCH(LARGE('Calc (scoring engine)'!$K$5:$K$523,1),'Calc (scoring engine)'!$K$5:$K$523,0))&gt;0," + shared CS x"&amp;INDEX('Calc (scoring engine)'!$H$5:$H$523,MATCH(LARGE('Calc (scoring engine)'!$K$5:$K$523,1),'Calc (scoring engine)'!$K$5:$K$523,0)),""),""))</f>
        <v/>
      </c>
    </row>
    <row r="22">
      <c r="A22" s="48">
        <f>IF(OR(2&gt;MAX(3,MIN(15,N($D$18))),IFERROR(LARGE('Calc (scoring engine)'!$K$5:$K$523,2),-999999)&lt;=-900000),"",2)</f>
        <v/>
      </c>
      <c r="B22" s="10">
        <f>IF(OR(2&gt;MAX(3,MIN(15,N($D$18))),IFERROR(LARGE('Calc (scoring engine)'!$K$5:$K$523,2),-999999)&lt;=-900000),"",IFERROR(IF(INDEX(Database!$B$5:$B$523,MATCH(LARGE('Calc (scoring engine)'!$K$5:$K$523,2),'Calc (scoring engine)'!$K$5:$K$523,0))="","—",INDEX(Database!$B$5:$B$523,MATCH(LARGE('Calc (scoring engine)'!$K$5:$K$523,2),'Calc (scoring engine)'!$K$5:$K$523,0))),""))</f>
        <v/>
      </c>
      <c r="C22" s="49">
        <f>IF(OR(2&gt;MAX(3,MIN(15,N($D$18))),IFERROR(LARGE('Calc (scoring engine)'!$K$5:$K$523,2),-999999)&lt;=-900000),"",IFERROR(IF(INDEX(Database!$A$5:$A$523,MATCH(LARGE('Calc (scoring engine)'!$K$5:$K$523,2),'Calc (scoring engine)'!$K$5:$K$523,0))="","—",INDEX(Database!$A$5:$A$523,MATCH(LARGE('Calc (scoring engine)'!$K$5:$K$523,2),'Calc (scoring engine)'!$K$5:$K$523,0))),""))</f>
        <v/>
      </c>
      <c r="D22" s="10">
        <f>IF(OR(2&gt;MAX(3,MIN(15,N($D$18))),IFERROR(LARGE('Calc (scoring engine)'!$K$5:$K$523,2),-999999)&lt;=-900000),"",IFERROR(IF(INDEX(Database!$D$5:$D$523,MATCH(LARGE('Calc (scoring engine)'!$K$5:$K$523,2),'Calc (scoring engine)'!$K$5:$K$523,0))="","—",INDEX(Database!$D$5:$D$523,MATCH(LARGE('Calc (scoring engine)'!$K$5:$K$523,2),'Calc (scoring engine)'!$K$5:$K$523,0))),""))</f>
        <v/>
      </c>
      <c r="E22" s="10">
        <f>IF(OR(2&gt;MAX(3,MIN(15,N($D$18))),IFERROR(LARGE('Calc (scoring engine)'!$K$5:$K$523,2),-999999)&lt;=-900000),"",IFERROR(IF(INDEX(Database!$E$5:$E$523,MATCH(LARGE('Calc (scoring engine)'!$K$5:$K$523,2),'Calc (scoring engine)'!$K$5:$K$523,0))="","—",INDEX(Database!$E$5:$E$523,MATCH(LARGE('Calc (scoring engine)'!$K$5:$K$523,2),'Calc (scoring engine)'!$K$5:$K$523,0))),""))</f>
        <v/>
      </c>
      <c r="F22" s="10">
        <f>IF(OR(2&gt;MAX(3,MIN(15,N($D$18))),IFERROR(LARGE('Calc (scoring engine)'!$K$5:$K$523,2),-999999)&lt;=-900000),"",IFERROR(IF(INDEX(Database!$F$5:$F$523,MATCH(LARGE('Calc (scoring engine)'!$K$5:$K$523,2),'Calc (scoring engine)'!$K$5:$K$523,0))="","—",INDEX(Database!$F$5:$F$523,MATCH(LARGE('Calc (scoring engine)'!$K$5:$K$523,2),'Calc (scoring engine)'!$K$5:$K$523,0))),""))</f>
        <v/>
      </c>
      <c r="G22" s="10">
        <f>IF(OR(2&gt;MAX(3,MIN(15,N($D$18))),IFERROR(LARGE('Calc (scoring engine)'!$K$5:$K$523,2),-999999)&lt;=-900000),"",IFERROR(IF(INDEX(Database!$G$5:$G$523,MATCH(LARGE('Calc (scoring engine)'!$K$5:$K$523,2),'Calc (scoring engine)'!$K$5:$K$523,0))="","—",INDEX(Database!$G$5:$G$523,MATCH(LARGE('Calc (scoring engine)'!$K$5:$K$523,2),'Calc (scoring engine)'!$K$5:$K$523,0))),""))</f>
        <v/>
      </c>
      <c r="H22" s="21">
        <f>IF(OR(2&gt;MAX(3,MIN(15,N($D$18))),IFERROR(LARGE('Calc (scoring engine)'!$K$5:$K$523,2),-999999)&lt;=-900000),"",IFERROR(IF(INDEX(Database!$H$5:$H$523,MATCH(LARGE('Calc (scoring engine)'!$K$5:$K$523,2),'Calc (scoring engine)'!$K$5:$K$523,0))="","—",INDEX(Database!$H$5:$H$523,MATCH(LARGE('Calc (scoring engine)'!$K$5:$K$523,2),'Calc (scoring engine)'!$K$5:$K$523,0))),""))</f>
        <v/>
      </c>
      <c r="I22" s="19">
        <f>IF(OR(2&gt;MAX(3,MIN(15,N($D$18))),IFERROR(LARGE('Calc (scoring engine)'!$K$5:$K$523,2),-999999)&lt;=-900000),"",IFERROR(IF(INDEX(Database!$I$5:$I$523,MATCH(LARGE('Calc (scoring engine)'!$K$5:$K$523,2),'Calc (scoring engine)'!$K$5:$K$523,0))="","—",INDEX(Database!$I$5:$I$523,MATCH(LARGE('Calc (scoring engine)'!$K$5:$K$523,2),'Calc (scoring engine)'!$K$5:$K$523,0))),""))</f>
        <v/>
      </c>
      <c r="J22" s="50">
        <f>IF(OR(2&gt;MAX(3,MIN(15,N($D$18))),IFERROR(LARGE('Calc (scoring engine)'!$K$5:$K$523,2),-999999)&lt;=-900000),"",IFERROR(IF(INDEX(Database!$K$5:$K$523,MATCH(LARGE('Calc (scoring engine)'!$K$5:$K$523,2),'Calc (scoring engine)'!$K$5:$K$523,0))="","—",INDEX(Database!$K$5:$K$523,MATCH(LARGE('Calc (scoring engine)'!$K$5:$K$523,2),'Calc (scoring engine)'!$K$5:$K$523,0))),""))</f>
        <v/>
      </c>
      <c r="K22" s="50">
        <f>IF(OR(2&gt;MAX(3,MIN(15,N($D$18))),IFERROR(LARGE('Calc (scoring engine)'!$K$5:$K$523,2),-999999)&lt;=-900000),"",IFERROR(IF(INDEX(Database!$L$5:$L$523,MATCH(LARGE('Calc (scoring engine)'!$K$5:$K$523,2),'Calc (scoring engine)'!$K$5:$K$523,0))="","—",INDEX(Database!$L$5:$L$523,MATCH(LARGE('Calc (scoring engine)'!$K$5:$K$523,2),'Calc (scoring engine)'!$K$5:$K$523,0))),""))</f>
        <v/>
      </c>
      <c r="L22" s="50">
        <f>IF(OR(2&gt;MAX(3,MIN(15,N($D$18))),IFERROR(LARGE('Calc (scoring engine)'!$K$5:$K$523,2),-999999)&lt;=-900000),"",IFERROR(IF(INDEX(Database!$M$5:$M$523,MATCH(LARGE('Calc (scoring engine)'!$K$5:$K$523,2),'Calc (scoring engine)'!$K$5:$K$523,0))="","—",INDEX(Database!$M$5:$M$523,MATCH(LARGE('Calc (scoring engine)'!$K$5:$K$523,2),'Calc (scoring engine)'!$K$5:$K$523,0))),""))</f>
        <v/>
      </c>
      <c r="M22" s="10">
        <f>IF(OR(2&gt;MAX(3,MIN(15,N($D$18))),IFERROR(LARGE('Calc (scoring engine)'!$K$5:$K$523,2),-999999)&lt;=-900000),"",IFERROR(IF(INDEX(Database!$N$5:$N$523,MATCH(LARGE('Calc (scoring engine)'!$K$5:$K$523,2),'Calc (scoring engine)'!$K$5:$K$523,0))="","—",INDEX(Database!$N$5:$N$523,MATCH(LARGE('Calc (scoring engine)'!$K$5:$K$523,2),'Calc (scoring engine)'!$K$5:$K$523,0))),""))</f>
        <v/>
      </c>
      <c r="N22" s="31">
        <f>IF(OR(2&gt;MAX(3,MIN(15,N($D$18))),IFERROR(LARGE('Calc (scoring engine)'!$K$5:$K$523,2),-999999)&lt;=-900000),"",IFERROR(IF(INDEX(Database!$O$5:$O$523,MATCH(LARGE('Calc (scoring engine)'!$K$5:$K$523,2),'Calc (scoring engine)'!$K$5:$K$523,0))="","—",INDEX(Database!$O$5:$O$523,MATCH(LARGE('Calc (scoring engine)'!$K$5:$K$523,2),'Calc (scoring engine)'!$K$5:$K$523,0))),""))</f>
        <v/>
      </c>
      <c r="O22" s="31">
        <f>IF(OR(2&gt;MAX(3,MIN(15,N($D$18))),IFERROR(LARGE('Calc (scoring engine)'!$K$5:$K$523,2),-999999)&lt;=-900000),"",IFERROR(IF(INDEX(Database!$P$5:$P$523,MATCH(LARGE('Calc (scoring engine)'!$K$5:$K$523,2),'Calc (scoring engine)'!$K$5:$K$523,0))="","—",INDEX(Database!$P$5:$P$523,MATCH(LARGE('Calc (scoring engine)'!$K$5:$K$523,2),'Calc (scoring engine)'!$K$5:$K$523,0))),""))</f>
        <v/>
      </c>
      <c r="P22" s="19">
        <f>IF(OR(2&gt;MAX(3,MIN(15,N($D$18))),IFERROR(LARGE('Calc (scoring engine)'!$K$5:$K$523,2),-999999)&lt;=-900000),"",IFERROR(IF(INDEX(Database!$Q$5:$Q$523,MATCH(LARGE('Calc (scoring engine)'!$K$5:$K$523,2),'Calc (scoring engine)'!$K$5:$K$523,0))="","—",INDEX(Database!$Q$5:$Q$523,MATCH(LARGE('Calc (scoring engine)'!$K$5:$K$523,2),'Calc (scoring engine)'!$K$5:$K$523,0))),""))</f>
        <v/>
      </c>
      <c r="Q22" s="26">
        <f>IF(OR(2&gt;MAX(3,MIN(15,N($D$18))),IFERROR(LARGE('Calc (scoring engine)'!$K$5:$K$523,2),-999999)&lt;=-900000),"",IFERROR(IF(INDEX(Database!$S$5:$S$523,MATCH(LARGE('Calc (scoring engine)'!$K$5:$K$523,2),'Calc (scoring engine)'!$K$5:$K$523,0))="","—",INDEX(Database!$S$5:$S$523,MATCH(LARGE('Calc (scoring engine)'!$K$5:$K$523,2),'Calc (scoring engine)'!$K$5:$K$523,0))),""))</f>
        <v/>
      </c>
      <c r="R22" s="51">
        <f>IF(OR(2&gt;MAX(3,MIN(15,N($D$18))),IFERROR(LARGE('Calc (scoring engine)'!$K$5:$K$523,2),-999999)&lt;=-900000),"",IFERROR(IF(INDEX(Database!$T$5:$T$523,MATCH(LARGE('Calc (scoring engine)'!$K$5:$K$523,2),'Calc (scoring engine)'!$K$5:$K$523,0))="","—",INDEX(Database!$T$5:$T$523,MATCH(LARGE('Calc (scoring engine)'!$K$5:$K$523,2),'Calc (scoring engine)'!$K$5:$K$523,0))),""))</f>
        <v/>
      </c>
      <c r="S22" s="52">
        <f>IF(OR(2&gt;MAX(3,MIN(15,N($D$18))),IFERROR(LARGE('Calc (scoring engine)'!$K$5:$K$523,2),-999999)&lt;=-900000),"",IFERROR(IF(INDEX(Database!$U$5:$U$523,MATCH(LARGE('Calc (scoring engine)'!$K$5:$K$523,2),'Calc (scoring engine)'!$K$5:$K$523,0))="","—",INDEX(Database!$U$5:$U$523,MATCH(LARGE('Calc (scoring engine)'!$K$5:$K$523,2),'Calc (scoring engine)'!$K$5:$K$523,0))),""))</f>
        <v/>
      </c>
      <c r="T22" s="53">
        <f>IF(OR(2&gt;MAX(3,MIN(15,N($D$18))),IFERROR(LARGE('Calc (scoring engine)'!$K$5:$K$523,2),-999999)&lt;=-900000),"",IFERROR(IF(INDEX(Database!$V$5:$V$523,MATCH(LARGE('Calc (scoring engine)'!$K$5:$K$523,2),'Calc (scoring engine)'!$K$5:$K$523,0))="","—",INDEX(Database!$V$5:$V$523,MATCH(LARGE('Calc (scoring engine)'!$K$5:$K$523,2),'Calc (scoring engine)'!$K$5:$K$523,0))),""))</f>
        <v/>
      </c>
      <c r="U22" s="31">
        <f>IF(OR(2&gt;MAX(3,MIN(15,N($D$18))),IFERROR(LARGE('Calc (scoring engine)'!$K$5:$K$523,2),-999999)&lt;=-900000),"",IFERROR(IF(INDEX(Database!$W$5:$W$523,MATCH(LARGE('Calc (scoring engine)'!$K$5:$K$523,2),'Calc (scoring engine)'!$K$5:$K$523,0))="","—",INDEX(Database!$W$5:$W$523,MATCH(LARGE('Calc (scoring engine)'!$K$5:$K$523,2),'Calc (scoring engine)'!$K$5:$K$523,0))),""))</f>
        <v/>
      </c>
      <c r="V22" s="10">
        <f>IF(OR(2&gt;MAX(3,MIN(15,N($D$18))),IFERROR(LARGE('Calc (scoring engine)'!$K$5:$K$523,2),-999999)&lt;=-900000),"",IFERROR(IF(INDEX(Database!$X$5:$X$523,MATCH(LARGE('Calc (scoring engine)'!$K$5:$K$523,2),'Calc (scoring engine)'!$K$5:$K$523,0))="","—",INDEX(Database!$X$5:$X$523,MATCH(LARGE('Calc (scoring engine)'!$K$5:$K$523,2),'Calc (scoring engine)'!$K$5:$K$523,0))),""))</f>
        <v/>
      </c>
      <c r="W22" s="19">
        <f>IF(OR(2&gt;MAX(3,MIN(15,N($D$18))),IFERROR(LARGE('Calc (scoring engine)'!$K$5:$K$523,2),-999999)&lt;=-900000),"",IFERROR(IF(INDEX(Database!$Y$5:$Y$523,MATCH(LARGE('Calc (scoring engine)'!$K$5:$K$523,2),'Calc (scoring engine)'!$K$5:$K$523,0))="","—",INDEX(Database!$Y$5:$Y$523,MATCH(LARGE('Calc (scoring engine)'!$K$5:$K$523,2),'Calc (scoring engine)'!$K$5:$K$523,0))),""))</f>
        <v/>
      </c>
      <c r="X22" s="19">
        <f>IF(OR(2&gt;MAX(3,MIN(15,N($D$18))),IFERROR(LARGE('Calc (scoring engine)'!$K$5:$K$523,2),-999999)&lt;=-900000),"",IFERROR(IF(INDEX(Database!$Z$5:$Z$523,MATCH(LARGE('Calc (scoring engine)'!$K$5:$K$523,2),'Calc (scoring engine)'!$K$5:$K$523,0))="","—",INDEX(Database!$Z$5:$Z$523,MATCH(LARGE('Calc (scoring engine)'!$K$5:$K$523,2),'Calc (scoring engine)'!$K$5:$K$523,0))),""))</f>
        <v/>
      </c>
      <c r="Y22" s="31">
        <f>IF(OR(2&gt;MAX(3,MIN(15,N($D$18))),IFERROR(LARGE('Calc (scoring engine)'!$K$5:$K$523,2),-999999)&lt;=-900000),"",IFERROR(IF(INDEX(Database!$AA$5:$AA$523,MATCH(LARGE('Calc (scoring engine)'!$K$5:$K$523,2),'Calc (scoring engine)'!$K$5:$K$523,0))="","—",INDEX(Database!$AA$5:$AA$523,MATCH(LARGE('Calc (scoring engine)'!$K$5:$K$523,2),'Calc (scoring engine)'!$K$5:$K$523,0))),""))</f>
        <v/>
      </c>
      <c r="Z22" s="10">
        <f>IF(OR(2&gt;MAX(3,MIN(15,N($D$18))),IFERROR(LARGE('Calc (scoring engine)'!$K$5:$K$523,2),-999999)&lt;=-900000),"",IFERROR(IF(INDEX(Database!$AB$5:$AB$523,MATCH(LARGE('Calc (scoring engine)'!$K$5:$K$523,2),'Calc (scoring engine)'!$K$5:$K$523,0))="","—",INDEX(Database!$AB$5:$AB$523,MATCH(LARGE('Calc (scoring engine)'!$K$5:$K$523,2),'Calc (scoring engine)'!$K$5:$K$523,0))),""))</f>
        <v/>
      </c>
      <c r="AA22" s="31">
        <f>IF(OR(2&gt;MAX(3,MIN(15,N($D$18))),IFERROR(LARGE('Calc (scoring engine)'!$K$5:$K$523,2),-999999)&lt;=-900000),"",IFERROR(IF(INDEX(Database!$AD$5:$AD$523,MATCH(LARGE('Calc (scoring engine)'!$K$5:$K$523,2),'Calc (scoring engine)'!$K$5:$K$523,0))="","—",INDEX(Database!$AD$5:$AD$523,MATCH(LARGE('Calc (scoring engine)'!$K$5:$K$523,2),'Calc (scoring engine)'!$K$5:$K$523,0))),""))</f>
        <v/>
      </c>
      <c r="AB22" s="10">
        <f>IF(OR(2&gt;MAX(3,MIN(15,N($D$18))),IFERROR(LARGE('Calc (scoring engine)'!$K$5:$K$523,2),-999999)&lt;=-900000),"",IFERROR(IF(INDEX(Database!$AE$5:$AE$523,MATCH(LARGE('Calc (scoring engine)'!$K$5:$K$523,2),'Calc (scoring engine)'!$K$5:$K$523,0))="","—",INDEX(Database!$AE$5:$AE$523,MATCH(LARGE('Calc (scoring engine)'!$K$5:$K$523,2),'Calc (scoring engine)'!$K$5:$K$523,0))),""))</f>
        <v/>
      </c>
      <c r="AC22" s="10">
        <f>IF(OR(2&gt;MAX(3,MIN(15,N($D$18))),IFERROR(LARGE('Calc (scoring engine)'!$K$5:$K$523,2),-999999)&lt;=-900000),"",IFERROR(IF(INDEX(Database!$AF$5:$AF$523,MATCH(LARGE('Calc (scoring engine)'!$K$5:$K$523,2),'Calc (scoring engine)'!$K$5:$K$523,0))="","—",INDEX(Database!$AF$5:$AF$523,MATCH(LARGE('Calc (scoring engine)'!$K$5:$K$523,2),'Calc (scoring engine)'!$K$5:$K$523,0))),""))</f>
        <v/>
      </c>
      <c r="AD22" s="10">
        <f>IF(OR(2&gt;MAX(3,MIN(15,N($D$18))),IFERROR(LARGE('Calc (scoring engine)'!$K$5:$K$523,2),-999999)&lt;=-900000),"",IFERROR(IF(INDEX(Database!$AG$5:$AG$523,MATCH(LARGE('Calc (scoring engine)'!$K$5:$K$523,2),'Calc (scoring engine)'!$K$5:$K$523,0))="","—",INDEX(Database!$AG$5:$AG$523,MATCH(LARGE('Calc (scoring engine)'!$K$5:$K$523,2),'Calc (scoring engine)'!$K$5:$K$523,0))),""))</f>
        <v/>
      </c>
      <c r="AE22" s="10">
        <f>IF(OR(2&gt;MAX(3,MIN(15,N($D$18))),IFERROR(LARGE('Calc (scoring engine)'!$K$5:$K$523,2),-999999)&lt;=-900000),"",IFERROR(IF(INDEX(Database!$AH$5:$AH$523,MATCH(LARGE('Calc (scoring engine)'!$K$5:$K$523,2),'Calc (scoring engine)'!$K$5:$K$523,0))="","—",INDEX(Database!$AH$5:$AH$523,MATCH(LARGE('Calc (scoring engine)'!$K$5:$K$523,2),'Calc (scoring engine)'!$K$5:$K$523,0))),""))</f>
        <v/>
      </c>
      <c r="AF22" s="23">
        <f>IF(OR(2&gt;MAX(3,MIN(15,N($D$18))),IFERROR(LARGE('Calc (scoring engine)'!$K$5:$K$523,2),-999999)&lt;=-900000),"",IFERROR(IF(INDEX(Database!$AI$5:$AI$523,MATCH(LARGE('Calc (scoring engine)'!$K$5:$K$523,2),'Calc (scoring engine)'!$K$5:$K$523,0))="","—",INDEX(Database!$AI$5:$AI$523,MATCH(LARGE('Calc (scoring engine)'!$K$5:$K$523,2),'Calc (scoring engine)'!$K$5:$K$523,0))),""))</f>
        <v/>
      </c>
      <c r="AG22" s="23">
        <f>IF(OR(2&gt;MAX(3,MIN(15,N($D$18))),IFERROR(LARGE('Calc (scoring engine)'!$K$5:$K$523,2),-999999)&lt;=-900000),"",IFERROR(IF(INDEX(Database!$AJ$5:$AJ$523,MATCH(LARGE('Calc (scoring engine)'!$K$5:$K$523,2),'Calc (scoring engine)'!$K$5:$K$523,0))="","—",INDEX(Database!$AJ$5:$AJ$523,MATCH(LARGE('Calc (scoring engine)'!$K$5:$K$523,2),'Calc (scoring engine)'!$K$5:$K$523,0))),""))</f>
        <v/>
      </c>
      <c r="AH22" s="23">
        <f>IF(OR(2&gt;MAX(3,MIN(15,N($D$18))),IFERROR(LARGE('Calc (scoring engine)'!$K$5:$K$523,2),-999999)&lt;=-900000),"",IFERROR(IF(INDEX(Database!$AK$5:$AK$523,MATCH(LARGE('Calc (scoring engine)'!$K$5:$K$523,2),'Calc (scoring engine)'!$K$5:$K$523,0))="","—",INDEX(Database!$AK$5:$AK$523,MATCH(LARGE('Calc (scoring engine)'!$K$5:$K$523,2),'Calc (scoring engine)'!$K$5:$K$523,0))),""))</f>
        <v/>
      </c>
      <c r="AI22" s="23">
        <f>IF(OR(2&gt;MAX(3,MIN(15,N($D$18))),IFERROR(LARGE('Calc (scoring engine)'!$K$5:$K$523,2),-999999)&lt;=-900000),"",IFERROR(IF(INDEX(Database!$AL$5:$AL$523,MATCH(LARGE('Calc (scoring engine)'!$K$5:$K$523,2),'Calc (scoring engine)'!$K$5:$K$523,0))="","—",INDEX(Database!$AL$5:$AL$523,MATCH(LARGE('Calc (scoring engine)'!$K$5:$K$523,2),'Calc (scoring engine)'!$K$5:$K$523,0))),""))</f>
        <v/>
      </c>
      <c r="AJ22" s="24">
        <f>IF(OR(2&gt;MAX(3,MIN(15,N($D$18))),IFERROR(LARGE('Calc (scoring engine)'!$K$5:$K$523,2),-999999)&lt;=-900000),"",IFERROR(IF(INDEX(Database!$AM$5:$AM$523,MATCH(LARGE('Calc (scoring engine)'!$K$5:$K$523,2),'Calc (scoring engine)'!$K$5:$K$523,0))="","—",INDEX(Database!$AM$5:$AM$523,MATCH(LARGE('Calc (scoring engine)'!$K$5:$K$523,2),'Calc (scoring engine)'!$K$5:$K$523,0))),""))</f>
        <v/>
      </c>
      <c r="AK22" s="31">
        <f>IF(OR(2&gt;MAX(3,MIN(15,N($D$18))),IFERROR(LARGE('Calc (scoring engine)'!$K$5:$K$523,2),-999999)&lt;=-900000),"",IFERROR(IF(INDEX(Database!$AN$5:$AN$523,MATCH(LARGE('Calc (scoring engine)'!$K$5:$K$523,2),'Calc (scoring engine)'!$K$5:$K$523,0))="","—",INDEX(Database!$AN$5:$AN$523,MATCH(LARGE('Calc (scoring engine)'!$K$5:$K$523,2),'Calc (scoring engine)'!$K$5:$K$523,0))),""))</f>
        <v/>
      </c>
      <c r="AL22" s="23">
        <f>IF(OR(2&gt;MAX(3,MIN(15,N($D$18))),IFERROR(LARGE('Calc (scoring engine)'!$K$5:$K$523,2),-999999)&lt;=-900000),"",IFERROR(IF(INDEX(Database!$AO$5:$AO$523,MATCH(LARGE('Calc (scoring engine)'!$K$5:$K$523,2),'Calc (scoring engine)'!$K$5:$K$523,0))="","—",INDEX(Database!$AO$5:$AO$523,MATCH(LARGE('Calc (scoring engine)'!$K$5:$K$523,2),'Calc (scoring engine)'!$K$5:$K$523,0))),""))</f>
        <v/>
      </c>
      <c r="AM22" s="23">
        <f>IF(OR(2&gt;MAX(3,MIN(15,N($D$18))),IFERROR(LARGE('Calc (scoring engine)'!$K$5:$K$523,2),-999999)&lt;=-900000),"",IFERROR(IF(INDEX(Database!$AP$5:$AP$523,MATCH(LARGE('Calc (scoring engine)'!$K$5:$K$523,2),'Calc (scoring engine)'!$K$5:$K$523,0))="","—",INDEX(Database!$AP$5:$AP$523,MATCH(LARGE('Calc (scoring engine)'!$K$5:$K$523,2),'Calc (scoring engine)'!$K$5:$K$523,0))),""))</f>
        <v/>
      </c>
      <c r="AN22" s="23">
        <f>IF(OR(2&gt;MAX(3,MIN(15,N($D$18))),IFERROR(LARGE('Calc (scoring engine)'!$K$5:$K$523,2),-999999)&lt;=-900000),"",IFERROR(IF(INDEX(Database!$AQ$5:$AQ$523,MATCH(LARGE('Calc (scoring engine)'!$K$5:$K$523,2),'Calc (scoring engine)'!$K$5:$K$523,0))="","—",INDEX(Database!$AQ$5:$AQ$523,MATCH(LARGE('Calc (scoring engine)'!$K$5:$K$523,2),'Calc (scoring engine)'!$K$5:$K$523,0))),""))</f>
        <v/>
      </c>
      <c r="AO22" s="23">
        <f>IF(OR(2&gt;MAX(3,MIN(15,N($D$18))),IFERROR(LARGE('Calc (scoring engine)'!$K$5:$K$523,2),-999999)&lt;=-900000),"",IFERROR(IF(INDEX(Database!$AR$5:$AR$523,MATCH(LARGE('Calc (scoring engine)'!$K$5:$K$523,2),'Calc (scoring engine)'!$K$5:$K$523,0))="","—",INDEX(Database!$AR$5:$AR$523,MATCH(LARGE('Calc (scoring engine)'!$K$5:$K$523,2),'Calc (scoring engine)'!$K$5:$K$523,0))),""))</f>
        <v/>
      </c>
      <c r="AP22" s="23">
        <f>IF(OR(2&gt;MAX(3,MIN(15,N($D$18))),IFERROR(LARGE('Calc (scoring engine)'!$K$5:$K$523,2),-999999)&lt;=-900000),"",IFERROR(IF(INDEX(Database!$AS$5:$AS$523,MATCH(LARGE('Calc (scoring engine)'!$K$5:$K$523,2),'Calc (scoring engine)'!$K$5:$K$523,0))="","—",INDEX(Database!$AS$5:$AS$523,MATCH(LARGE('Calc (scoring engine)'!$K$5:$K$523,2),'Calc (scoring engine)'!$K$5:$K$523,0))),""))</f>
        <v/>
      </c>
      <c r="AQ22" s="23">
        <f>IF(OR(2&gt;MAX(3,MIN(15,N($D$18))),IFERROR(LARGE('Calc (scoring engine)'!$K$5:$K$523,2),-999999)&lt;=-900000),"",IFERROR(IF(INDEX(Database!$AT$5:$AT$523,MATCH(LARGE('Calc (scoring engine)'!$K$5:$K$523,2),'Calc (scoring engine)'!$K$5:$K$523,0))="","—",INDEX(Database!$AT$5:$AT$523,MATCH(LARGE('Calc (scoring engine)'!$K$5:$K$523,2),'Calc (scoring engine)'!$K$5:$K$523,0))),""))</f>
        <v/>
      </c>
      <c r="AR22" s="23">
        <f>IF(OR(2&gt;MAX(3,MIN(15,N($D$18))),IFERROR(LARGE('Calc (scoring engine)'!$K$5:$K$523,2),-999999)&lt;=-900000),"",IFERROR(IF(INDEX(Database!$AU$5:$AU$523,MATCH(LARGE('Calc (scoring engine)'!$K$5:$K$523,2),'Calc (scoring engine)'!$K$5:$K$523,0))="","—",INDEX(Database!$AU$5:$AU$523,MATCH(LARGE('Calc (scoring engine)'!$K$5:$K$523,2),'Calc (scoring engine)'!$K$5:$K$523,0))),""))</f>
        <v/>
      </c>
      <c r="AS22" s="23">
        <f>IF(OR(2&gt;MAX(3,MIN(15,N($D$18))),IFERROR(LARGE('Calc (scoring engine)'!$K$5:$K$523,2),-999999)&lt;=-900000),"",IFERROR(IF(INDEX(Database!$AV$5:$AV$523,MATCH(LARGE('Calc (scoring engine)'!$K$5:$K$523,2),'Calc (scoring engine)'!$K$5:$K$523,0))="","—",INDEX(Database!$AV$5:$AV$523,MATCH(LARGE('Calc (scoring engine)'!$K$5:$K$523,2),'Calc (scoring engine)'!$K$5:$K$523,0))),""))</f>
        <v/>
      </c>
      <c r="AT22" s="23">
        <f>IF(OR(2&gt;MAX(3,MIN(15,N($D$18))),IFERROR(LARGE('Calc (scoring engine)'!$K$5:$K$523,2),-999999)&lt;=-900000),"",IFERROR(IF(INDEX(Database!$AW$5:$AW$523,MATCH(LARGE('Calc (scoring engine)'!$K$5:$K$523,2),'Calc (scoring engine)'!$K$5:$K$523,0))="","—",INDEX(Database!$AW$5:$AW$523,MATCH(LARGE('Calc (scoring engine)'!$K$5:$K$523,2),'Calc (scoring engine)'!$K$5:$K$523,0))),""))</f>
        <v/>
      </c>
      <c r="AU22" s="23">
        <f>IF(OR(2&gt;MAX(3,MIN(15,N($D$18))),IFERROR(LARGE('Calc (scoring engine)'!$K$5:$K$523,2),-999999)&lt;=-900000),"",IFERROR(IF(INDEX(Database!$AX$5:$AX$523,MATCH(LARGE('Calc (scoring engine)'!$K$5:$K$523,2),'Calc (scoring engine)'!$K$5:$K$523,0))="","—",INDEX(Database!$AX$5:$AX$523,MATCH(LARGE('Calc (scoring engine)'!$K$5:$K$523,2),'Calc (scoring engine)'!$K$5:$K$523,0))),""))</f>
        <v/>
      </c>
      <c r="AV22" s="23">
        <f>IF(OR(2&gt;MAX(3,MIN(15,N($D$18))),IFERROR(LARGE('Calc (scoring engine)'!$K$5:$K$523,2),-999999)&lt;=-900000),"",IFERROR(IF(INDEX(Database!$AY$5:$AY$523,MATCH(LARGE('Calc (scoring engine)'!$K$5:$K$523,2),'Calc (scoring engine)'!$K$5:$K$523,0))="","—",INDEX(Database!$AY$5:$AY$523,MATCH(LARGE('Calc (scoring engine)'!$K$5:$K$523,2),'Calc (scoring engine)'!$K$5:$K$523,0))),""))</f>
        <v/>
      </c>
      <c r="AW22" s="23">
        <f>IF(OR(2&gt;MAX(3,MIN(15,N($D$18))),IFERROR(LARGE('Calc (scoring engine)'!$K$5:$K$523,2),-999999)&lt;=-900000),"",IFERROR(IF(INDEX(Database!$AZ$5:$AZ$523,MATCH(LARGE('Calc (scoring engine)'!$K$5:$K$523,2),'Calc (scoring engine)'!$K$5:$K$523,0))="","—",INDEX(Database!$AZ$5:$AZ$523,MATCH(LARGE('Calc (scoring engine)'!$K$5:$K$523,2),'Calc (scoring engine)'!$K$5:$K$523,0))),""))</f>
        <v/>
      </c>
      <c r="AX22" s="23">
        <f>IF(OR(2&gt;MAX(3,MIN(15,N($D$18))),IFERROR(LARGE('Calc (scoring engine)'!$K$5:$K$523,2),-999999)&lt;=-900000),"",IFERROR(IF(INDEX(Database!$BB$5:$BB$523,MATCH(LARGE('Calc (scoring engine)'!$K$5:$K$523,2),'Calc (scoring engine)'!$K$5:$K$523,0))="","—",INDEX(Database!$BB$5:$BB$523,MATCH(LARGE('Calc (scoring engine)'!$K$5:$K$523,2),'Calc (scoring engine)'!$K$5:$K$523,0))),""))</f>
        <v/>
      </c>
      <c r="AY22" s="19">
        <f>IF(OR(2&gt;MAX(3,MIN(15,N($D$18))),IFERROR(LARGE('Calc (scoring engine)'!$K$5:$K$523,2),-999999)&lt;=-900000),"",IFERROR(IF(INDEX(Database!$BD$5:$BD$523,MATCH(LARGE('Calc (scoring engine)'!$K$5:$K$523,2),'Calc (scoring engine)'!$K$5:$K$523,0))="","—",INDEX(Database!$BD$5:$BD$523,MATCH(LARGE('Calc (scoring engine)'!$K$5:$K$523,2),'Calc (scoring engine)'!$K$5:$K$523,0))),""))</f>
        <v/>
      </c>
      <c r="AZ22" s="19">
        <f>IF(OR(2&gt;MAX(3,MIN(15,N($D$18))),IFERROR(LARGE('Calc (scoring engine)'!$K$5:$K$523,2),-999999)&lt;=-900000),"",IFERROR(IF(INDEX(Database!$BE$5:$BE$523,MATCH(LARGE('Calc (scoring engine)'!$K$5:$K$523,2),'Calc (scoring engine)'!$K$5:$K$523,0))="","—",INDEX(Database!$BE$5:$BE$523,MATCH(LARGE('Calc (scoring engine)'!$K$5:$K$523,2),'Calc (scoring engine)'!$K$5:$K$523,0))),""))</f>
        <v/>
      </c>
      <c r="BA22" s="10">
        <f>IF(OR(2&gt;MAX(3,MIN(15,N($D$18))),IFERROR(LARGE('Calc (scoring engine)'!$K$5:$K$523,2),-999999)&lt;=-900000),"",IFERROR(IF(INDEX(Database!$BF$5:$BF$523,MATCH(LARGE('Calc (scoring engine)'!$K$5:$K$523,2),'Calc (scoring engine)'!$K$5:$K$523,0))="","—",INDEX(Database!$BF$5:$BF$523,MATCH(LARGE('Calc (scoring engine)'!$K$5:$K$523,2),'Calc (scoring engine)'!$K$5:$K$523,0))),""))</f>
        <v/>
      </c>
      <c r="BB22" s="24">
        <f>IF(OR(2&gt;MAX(3,MIN(15,N($D$18))),IFERROR(LARGE('Calc (scoring engine)'!$K$5:$K$523,2),-999999)&lt;=-900000),"",IFERROR(IF(N(INDEX(Database!$BG$5:$BG$523,MATCH(LARGE('Calc (scoring engine)'!$K$5:$K$523,2),'Calc (scoring engine)'!$K$5:$K$523,0)))&lt;=0,IF(INDEX(Database!$BF$5:$BF$523,MATCH(LARGE('Calc (scoring engine)'!$K$5:$K$523,2),'Calc (scoring engine)'!$K$5:$K$523,0))="N","n/m","—"),INDEX(Database!$BG$5:$BG$523,MATCH(LARGE('Calc (scoring engine)'!$K$5:$K$523,2),'Calc (scoring engine)'!$K$5:$K$523,0))),""))</f>
        <v/>
      </c>
      <c r="BC22" s="24">
        <f>IF(OR(2&gt;MAX(3,MIN(15,N($D$18))),IFERROR(LARGE('Calc (scoring engine)'!$K$5:$K$523,2),-999999)&lt;=-900000),"",IFERROR(IF(INDEX(Database!$BH$5:$BH$523,MATCH(LARGE('Calc (scoring engine)'!$K$5:$K$523,2),'Calc (scoring engine)'!$K$5:$K$523,0))="","—",INDEX(Database!$BH$5:$BH$523,MATCH(LARGE('Calc (scoring engine)'!$K$5:$K$523,2),'Calc (scoring engine)'!$K$5:$K$523,0))),""))</f>
        <v/>
      </c>
      <c r="BD22" s="24">
        <f>IF(OR(2&gt;MAX(3,MIN(15,N($D$18))),IFERROR(LARGE('Calc (scoring engine)'!$K$5:$K$523,2),-999999)&lt;=-900000),"",IFERROR(IF(INDEX(Database!$BI$5:$BI$523,MATCH(LARGE('Calc (scoring engine)'!$K$5:$K$523,2),'Calc (scoring engine)'!$K$5:$K$523,0))="","—",INDEX(Database!$BI$5:$BI$523,MATCH(LARGE('Calc (scoring engine)'!$K$5:$K$523,2),'Calc (scoring engine)'!$K$5:$K$523,0))),""))</f>
        <v/>
      </c>
      <c r="BE22" s="24">
        <f>IF(OR(2&gt;MAX(3,MIN(15,N($D$18))),IFERROR(LARGE('Calc (scoring engine)'!$K$5:$K$523,2),-999999)&lt;=-900000),"",IFERROR(IF(INDEX(Database!$BJ$5:$BJ$523,MATCH(LARGE('Calc (scoring engine)'!$K$5:$K$523,2),'Calc (scoring engine)'!$K$5:$K$523,0))="","—",INDEX(Database!$BJ$5:$BJ$523,MATCH(LARGE('Calc (scoring engine)'!$K$5:$K$523,2),'Calc (scoring engine)'!$K$5:$K$523,0))),""))</f>
        <v/>
      </c>
      <c r="BF22" s="24">
        <f>IF(OR(2&gt;MAX(3,MIN(15,N($D$18))),IFERROR(LARGE('Calc (scoring engine)'!$K$5:$K$523,2),-999999)&lt;=-900000),"",IFERROR(IF(INDEX(Database!$BK$5:$BK$523,MATCH(LARGE('Calc (scoring engine)'!$K$5:$K$523,2),'Calc (scoring engine)'!$K$5:$K$523,0))="","—",INDEX(Database!$BK$5:$BK$523,MATCH(LARGE('Calc (scoring engine)'!$K$5:$K$523,2),'Calc (scoring engine)'!$K$5:$K$523,0))),""))</f>
        <v/>
      </c>
      <c r="BG22" s="24">
        <f>IF(OR(2&gt;MAX(3,MIN(15,N($D$18))),IFERROR(LARGE('Calc (scoring engine)'!$K$5:$K$523,2),-999999)&lt;=-900000),"",IFERROR(IFERROR(BDP(TEXT(INDEX(Database!$A$5:$A$523,MATCH(LARGE('Calc (scoring engine)'!$K$5:$K$523,2),'Calc (scoring engine)'!$K$5:$K$523,0)),"0")&amp;" HK Equity","PE_RATIO"),IF(INDEX(Database!$BI$5:$BI$523,MATCH(LARGE('Calc (scoring engine)'!$K$5:$K$523,2),'Calc (scoring engine)'!$K$5:$K$523,0))="","—",INDEX(Database!$BI$5:$BI$523,MATCH(LARGE('Calc (scoring engine)'!$K$5:$K$523,2),'Calc (scoring engine)'!$K$5:$K$523,0)))),""))</f>
        <v/>
      </c>
      <c r="BH22" s="24">
        <f>IF(OR(2&gt;MAX(3,MIN(15,N($D$18))),IFERROR(LARGE('Calc (scoring engine)'!$K$5:$K$523,2),-999999)&lt;=-900000),"",IFERROR(IFERROR(BDP(TEXT(INDEX(Database!$A$5:$A$523,MATCH(LARGE('Calc (scoring engine)'!$K$5:$K$523,2),'Calc (scoring engine)'!$K$5:$K$523,0)),"0")&amp;" HK Equity","PX_TO_SALES_RATIO"),IF(INDEX(Database!$BJ$5:$BJ$523,MATCH(LARGE('Calc (scoring engine)'!$K$5:$K$523,2),'Calc (scoring engine)'!$K$5:$K$523,0))="","—",INDEX(Database!$BJ$5:$BJ$523,MATCH(LARGE('Calc (scoring engine)'!$K$5:$K$523,2),'Calc (scoring engine)'!$K$5:$K$523,0)))),""))</f>
        <v/>
      </c>
      <c r="BI22" s="10">
        <f>IF(OR(2&gt;MAX(3,MIN(15,N($D$18))),IFERROR(LARGE('Calc (scoring engine)'!$K$5:$K$523,2),-999999)&lt;=-900000),"",IFERROR(IF(INDEX(Database!$BL$5:$BL$523,MATCH(LARGE('Calc (scoring engine)'!$K$5:$K$523,2),'Calc (scoring engine)'!$K$5:$K$523,0))="","—",INDEX(Database!$BL$5:$BL$523,MATCH(LARGE('Calc (scoring engine)'!$K$5:$K$523,2),'Calc (scoring engine)'!$K$5:$K$523,0))),""))</f>
        <v/>
      </c>
      <c r="BJ22" s="10">
        <f>IF(OR(2&gt;MAX(3,MIN(15,N($D$18))),IFERROR(LARGE('Calc (scoring engine)'!$K$5:$K$523,2),-999999)&lt;=-900000),"",IFERROR(IF(INDEX(Database!$BM$5:$BM$523,MATCH(LARGE('Calc (scoring engine)'!$K$5:$K$523,2),'Calc (scoring engine)'!$K$5:$K$523,0))="","—",INDEX(Database!$BM$5:$BM$523,MATCH(LARGE('Calc (scoring engine)'!$K$5:$K$523,2),'Calc (scoring engine)'!$K$5:$K$523,0))),""))</f>
        <v/>
      </c>
      <c r="BK22" s="23">
        <f>IF(OR(2&gt;MAX(3,MIN(15,N($D$18))),IFERROR(LARGE('Calc (scoring engine)'!$K$5:$K$523,2),-999999)&lt;=-900000),"",IFERROR(IF(INDEX(Database!$BN$5:$BN$523,MATCH(LARGE('Calc (scoring engine)'!$K$5:$K$523,2),'Calc (scoring engine)'!$K$5:$K$523,0))="","—",INDEX(Database!$BN$5:$BN$523,MATCH(LARGE('Calc (scoring engine)'!$K$5:$K$523,2),'Calc (scoring engine)'!$K$5:$K$523,0))),""))</f>
        <v/>
      </c>
      <c r="BL22" s="50">
        <f>IF(OR(2&gt;MAX(3,MIN(15,N($D$18))),IFERROR(LARGE('Calc (scoring engine)'!$K$5:$K$523,2),-999999)&lt;=-900000),"",IFERROR(IF(INDEX(Database!$BO$5:$BO$523,MATCH(LARGE('Calc (scoring engine)'!$K$5:$K$523,2),'Calc (scoring engine)'!$K$5:$K$523,0))="","—",INDEX(Database!$BO$5:$BO$523,MATCH(LARGE('Calc (scoring engine)'!$K$5:$K$523,2),'Calc (scoring engine)'!$K$5:$K$523,0))),""))</f>
        <v/>
      </c>
      <c r="BM22" s="54">
        <f>IF(OR(2&gt;MAX(3,MIN(15,N($D$18))),IFERROR(LARGE('Calc (scoring engine)'!$K$5:$K$523,2),-999999)&lt;=-900000),"",IFERROR(IF(INDEX(Database!$BP$5:$BP$523,MATCH(LARGE('Calc (scoring engine)'!$K$5:$K$523,2),'Calc (scoring engine)'!$K$5:$K$523,0))="","—",INDEX(Database!$BP$5:$BP$523,MATCH(LARGE('Calc (scoring engine)'!$K$5:$K$523,2),'Calc (scoring engine)'!$K$5:$K$523,0))),""))</f>
        <v/>
      </c>
      <c r="BN22" s="19">
        <f>IF(OR(2&gt;MAX(3,MIN(15,N($D$18))),IFERROR(LARGE('Calc (scoring engine)'!$K$5:$K$523,2),-999999)&lt;=-900000),"",IFERROR(IF(INDEX(Database!$BQ$5:$BQ$523,MATCH(LARGE('Calc (scoring engine)'!$K$5:$K$523,2),'Calc (scoring engine)'!$K$5:$K$523,0))="","—",INDEX(Database!$BQ$5:$BQ$523,MATCH(LARGE('Calc (scoring engine)'!$K$5:$K$523,2),'Calc (scoring engine)'!$K$5:$K$523,0))),""))</f>
        <v/>
      </c>
      <c r="BO22" s="24">
        <f>IF(OR(2&gt;MAX(3,MIN(15,N($D$18))),IFERROR(LARGE('Calc (scoring engine)'!$K$5:$K$523,2),-999999)&lt;=-900000),"",IFERROR(IF(INDEX(Database!$BR$5:$BR$523,MATCH(LARGE('Calc (scoring engine)'!$K$5:$K$523,2),'Calc (scoring engine)'!$K$5:$K$523,0))="","—",INDEX(Database!$BR$5:$BR$523,MATCH(LARGE('Calc (scoring engine)'!$K$5:$K$523,2),'Calc (scoring engine)'!$K$5:$K$523,0))),""))</f>
        <v/>
      </c>
      <c r="BP22" s="24">
        <f>IF(OR(2&gt;MAX(3,MIN(15,N($D$18))),IFERROR(LARGE('Calc (scoring engine)'!$K$5:$K$523,2),-999999)&lt;=-900000),"",IFERROR(IF(INDEX(Database!$BS$5:$BS$523,MATCH(LARGE('Calc (scoring engine)'!$K$5:$K$523,2),'Calc (scoring engine)'!$K$5:$K$523,0))="","—",INDEX(Database!$BS$5:$BS$523,MATCH(LARGE('Calc (scoring engine)'!$K$5:$K$523,2),'Calc (scoring engine)'!$K$5:$K$523,0))),""))</f>
        <v/>
      </c>
      <c r="BQ22" s="10">
        <f>IF(OR(2&gt;MAX(3,MIN(15,N($D$18))),IFERROR(LARGE('Calc (scoring engine)'!$K$5:$K$523,2),-999999)&lt;=-900000),"",IFERROR(IF(INDEX(Database!$BT$5:$BT$523,MATCH(LARGE('Calc (scoring engine)'!$K$5:$K$523,2),'Calc (scoring engine)'!$K$5:$K$523,0))="","—",INDEX(Database!$BT$5:$BT$523,MATCH(LARGE('Calc (scoring engine)'!$K$5:$K$523,2),'Calc (scoring engine)'!$K$5:$K$523,0))),""))</f>
        <v/>
      </c>
      <c r="BR22" s="10">
        <f>IF(OR(2&gt;MAX(3,MIN(15,N($D$18))),IFERROR(LARGE('Calc (scoring engine)'!$K$5:$K$523,2),-999999)&lt;=-900000),"",IFERROR(IF(INDEX(Database!$BV$5:$BV$523,MATCH(LARGE('Calc (scoring engine)'!$K$5:$K$523,2),'Calc (scoring engine)'!$K$5:$K$523,0))="","—",INDEX(Database!$BV$5:$BV$523,MATCH(LARGE('Calc (scoring engine)'!$K$5:$K$523,2),'Calc (scoring engine)'!$K$5:$K$523,0))),""))</f>
        <v/>
      </c>
      <c r="BS22" s="53">
        <f>IF(OR(2&gt;MAX(3,MIN(15,N($D$18))),IFERROR(LARGE('Calc (scoring engine)'!$K$5:$K$523,2),-999999)&lt;=-900000),"",IFERROR(IF(INDEX('Calc (scoring engine)'!$H$5:$H$523,MATCH(LARGE('Calc (scoring engine)'!$K$5:$K$523,2),'Calc (scoring engine)'!$K$5:$K$523,0))&gt;0,INDEX('Calc (scoring engine)'!$H$5:$H$523,MATCH(LARGE('Calc (scoring engine)'!$K$5:$K$523,2),'Calc (scoring engine)'!$K$5:$K$523,0)),""),""))</f>
        <v/>
      </c>
      <c r="BT22" s="10">
        <f>IF(OR(2&gt;MAX(3,MIN(15,N($D$18))),IFERROR(LARGE('Calc (scoring engine)'!$K$5:$K$523,2),-999999)&lt;=-900000),"",IF(IFERROR(INDEX('Calc (scoring engine)'!$B$5:$B$523,MATCH(LARGE('Calc (scoring engine)'!$K$5:$K$523,2),'Calc (scoring engine)'!$K$5:$K$523,0)),0)=1,"same subsector","sector only"))</f>
        <v/>
      </c>
      <c r="BU22" s="53">
        <f>IF(OR(2&gt;MAX(3,MIN(15,N($D$18))),IFERROR(LARGE('Calc (scoring engine)'!$K$5:$K$523,2),-999999)&lt;=-900000),"",ROUND(IFERROR(LARGE('Calc (scoring engine)'!$K$5:$K$523,2),0),0))</f>
        <v/>
      </c>
      <c r="BV22" s="10">
        <f>IF(OR(2&gt;MAX(3,MIN(15,N($D$18))),IFERROR(LARGE('Calc (scoring engine)'!$K$5:$K$523,2),-999999)&lt;=-900000),"",IFERROR("sub "&amp;INDEX('Calc (scoring engine)'!$B$5:$B$523,MATCH(LARGE('Calc (scoring engine)'!$K$5:$K$523,2),'Calc (scoring engine)'!$K$5:$K$523,0))*W_SUB&amp;" + size "&amp;ROUND(INDEX('Calc (scoring engine)'!$D$5:$D$523,MATCH(LARGE('Calc (scoring engine)'!$K$5:$K$523,2),'Calc (scoring engine)'!$K$5:$K$523,0))*W_SIZE,0)&amp;" + prof "&amp;INDEX('Calc (scoring engine)'!$E$5:$E$523,MATCH(LARGE('Calc (scoring engine)'!$K$5:$K$523,2),'Calc (scoring engine)'!$K$5:$K$523,0))*W_PROF&amp;" + recency "&amp;ROUND(INDEX('Calc (scoring engine)'!$G$5:$G$523,MATCH(LARGE('Calc (scoring engine)'!$K$5:$K$523,2),'Calc (scoring engine)'!$K$5:$K$523,0))*W_REC,0)&amp;IF(INDEX('Calc (scoring engine)'!$H$5:$H$523,MATCH(LARGE('Calc (scoring engine)'!$K$5:$K$523,2),'Calc (scoring engine)'!$K$5:$K$523,0))&gt;0," + shared CS x"&amp;INDEX('Calc (scoring engine)'!$H$5:$H$523,MATCH(LARGE('Calc (scoring engine)'!$K$5:$K$523,2),'Calc (scoring engine)'!$K$5:$K$523,0)),""),""))</f>
        <v/>
      </c>
    </row>
    <row r="23">
      <c r="A23" s="48">
        <f>IF(OR(3&gt;MAX(3,MIN(15,N($D$18))),IFERROR(LARGE('Calc (scoring engine)'!$K$5:$K$523,3),-999999)&lt;=-900000),"",3)</f>
        <v/>
      </c>
      <c r="B23" s="10">
        <f>IF(OR(3&gt;MAX(3,MIN(15,N($D$18))),IFERROR(LARGE('Calc (scoring engine)'!$K$5:$K$523,3),-999999)&lt;=-900000),"",IFERROR(IF(INDEX(Database!$B$5:$B$523,MATCH(LARGE('Calc (scoring engine)'!$K$5:$K$523,3),'Calc (scoring engine)'!$K$5:$K$523,0))="","—",INDEX(Database!$B$5:$B$523,MATCH(LARGE('Calc (scoring engine)'!$K$5:$K$523,3),'Calc (scoring engine)'!$K$5:$K$523,0))),""))</f>
        <v/>
      </c>
      <c r="C23" s="49">
        <f>IF(OR(3&gt;MAX(3,MIN(15,N($D$18))),IFERROR(LARGE('Calc (scoring engine)'!$K$5:$K$523,3),-999999)&lt;=-900000),"",IFERROR(IF(INDEX(Database!$A$5:$A$523,MATCH(LARGE('Calc (scoring engine)'!$K$5:$K$523,3),'Calc (scoring engine)'!$K$5:$K$523,0))="","—",INDEX(Database!$A$5:$A$523,MATCH(LARGE('Calc (scoring engine)'!$K$5:$K$523,3),'Calc (scoring engine)'!$K$5:$K$523,0))),""))</f>
        <v/>
      </c>
      <c r="D23" s="10">
        <f>IF(OR(3&gt;MAX(3,MIN(15,N($D$18))),IFERROR(LARGE('Calc (scoring engine)'!$K$5:$K$523,3),-999999)&lt;=-900000),"",IFERROR(IF(INDEX(Database!$D$5:$D$523,MATCH(LARGE('Calc (scoring engine)'!$K$5:$K$523,3),'Calc (scoring engine)'!$K$5:$K$523,0))="","—",INDEX(Database!$D$5:$D$523,MATCH(LARGE('Calc (scoring engine)'!$K$5:$K$523,3),'Calc (scoring engine)'!$K$5:$K$523,0))),""))</f>
        <v/>
      </c>
      <c r="E23" s="10">
        <f>IF(OR(3&gt;MAX(3,MIN(15,N($D$18))),IFERROR(LARGE('Calc (scoring engine)'!$K$5:$K$523,3),-999999)&lt;=-900000),"",IFERROR(IF(INDEX(Database!$E$5:$E$523,MATCH(LARGE('Calc (scoring engine)'!$K$5:$K$523,3),'Calc (scoring engine)'!$K$5:$K$523,0))="","—",INDEX(Database!$E$5:$E$523,MATCH(LARGE('Calc (scoring engine)'!$K$5:$K$523,3),'Calc (scoring engine)'!$K$5:$K$523,0))),""))</f>
        <v/>
      </c>
      <c r="F23" s="10">
        <f>IF(OR(3&gt;MAX(3,MIN(15,N($D$18))),IFERROR(LARGE('Calc (scoring engine)'!$K$5:$K$523,3),-999999)&lt;=-900000),"",IFERROR(IF(INDEX(Database!$F$5:$F$523,MATCH(LARGE('Calc (scoring engine)'!$K$5:$K$523,3),'Calc (scoring engine)'!$K$5:$K$523,0))="","—",INDEX(Database!$F$5:$F$523,MATCH(LARGE('Calc (scoring engine)'!$K$5:$K$523,3),'Calc (scoring engine)'!$K$5:$K$523,0))),""))</f>
        <v/>
      </c>
      <c r="G23" s="10">
        <f>IF(OR(3&gt;MAX(3,MIN(15,N($D$18))),IFERROR(LARGE('Calc (scoring engine)'!$K$5:$K$523,3),-999999)&lt;=-900000),"",IFERROR(IF(INDEX(Database!$G$5:$G$523,MATCH(LARGE('Calc (scoring engine)'!$K$5:$K$523,3),'Calc (scoring engine)'!$K$5:$K$523,0))="","—",INDEX(Database!$G$5:$G$523,MATCH(LARGE('Calc (scoring engine)'!$K$5:$K$523,3),'Calc (scoring engine)'!$K$5:$K$523,0))),""))</f>
        <v/>
      </c>
      <c r="H23" s="21">
        <f>IF(OR(3&gt;MAX(3,MIN(15,N($D$18))),IFERROR(LARGE('Calc (scoring engine)'!$K$5:$K$523,3),-999999)&lt;=-900000),"",IFERROR(IF(INDEX(Database!$H$5:$H$523,MATCH(LARGE('Calc (scoring engine)'!$K$5:$K$523,3),'Calc (scoring engine)'!$K$5:$K$523,0))="","—",INDEX(Database!$H$5:$H$523,MATCH(LARGE('Calc (scoring engine)'!$K$5:$K$523,3),'Calc (scoring engine)'!$K$5:$K$523,0))),""))</f>
        <v/>
      </c>
      <c r="I23" s="19">
        <f>IF(OR(3&gt;MAX(3,MIN(15,N($D$18))),IFERROR(LARGE('Calc (scoring engine)'!$K$5:$K$523,3),-999999)&lt;=-900000),"",IFERROR(IF(INDEX(Database!$I$5:$I$523,MATCH(LARGE('Calc (scoring engine)'!$K$5:$K$523,3),'Calc (scoring engine)'!$K$5:$K$523,0))="","—",INDEX(Database!$I$5:$I$523,MATCH(LARGE('Calc (scoring engine)'!$K$5:$K$523,3),'Calc (scoring engine)'!$K$5:$K$523,0))),""))</f>
        <v/>
      </c>
      <c r="J23" s="50">
        <f>IF(OR(3&gt;MAX(3,MIN(15,N($D$18))),IFERROR(LARGE('Calc (scoring engine)'!$K$5:$K$523,3),-999999)&lt;=-900000),"",IFERROR(IF(INDEX(Database!$K$5:$K$523,MATCH(LARGE('Calc (scoring engine)'!$K$5:$K$523,3),'Calc (scoring engine)'!$K$5:$K$523,0))="","—",INDEX(Database!$K$5:$K$523,MATCH(LARGE('Calc (scoring engine)'!$K$5:$K$523,3),'Calc (scoring engine)'!$K$5:$K$523,0))),""))</f>
        <v/>
      </c>
      <c r="K23" s="50">
        <f>IF(OR(3&gt;MAX(3,MIN(15,N($D$18))),IFERROR(LARGE('Calc (scoring engine)'!$K$5:$K$523,3),-999999)&lt;=-900000),"",IFERROR(IF(INDEX(Database!$L$5:$L$523,MATCH(LARGE('Calc (scoring engine)'!$K$5:$K$523,3),'Calc (scoring engine)'!$K$5:$K$523,0))="","—",INDEX(Database!$L$5:$L$523,MATCH(LARGE('Calc (scoring engine)'!$K$5:$K$523,3),'Calc (scoring engine)'!$K$5:$K$523,0))),""))</f>
        <v/>
      </c>
      <c r="L23" s="50">
        <f>IF(OR(3&gt;MAX(3,MIN(15,N($D$18))),IFERROR(LARGE('Calc (scoring engine)'!$K$5:$K$523,3),-999999)&lt;=-900000),"",IFERROR(IF(INDEX(Database!$M$5:$M$523,MATCH(LARGE('Calc (scoring engine)'!$K$5:$K$523,3),'Calc (scoring engine)'!$K$5:$K$523,0))="","—",INDEX(Database!$M$5:$M$523,MATCH(LARGE('Calc (scoring engine)'!$K$5:$K$523,3),'Calc (scoring engine)'!$K$5:$K$523,0))),""))</f>
        <v/>
      </c>
      <c r="M23" s="10">
        <f>IF(OR(3&gt;MAX(3,MIN(15,N($D$18))),IFERROR(LARGE('Calc (scoring engine)'!$K$5:$K$523,3),-999999)&lt;=-900000),"",IFERROR(IF(INDEX(Database!$N$5:$N$523,MATCH(LARGE('Calc (scoring engine)'!$K$5:$K$523,3),'Calc (scoring engine)'!$K$5:$K$523,0))="","—",INDEX(Database!$N$5:$N$523,MATCH(LARGE('Calc (scoring engine)'!$K$5:$K$523,3),'Calc (scoring engine)'!$K$5:$K$523,0))),""))</f>
        <v/>
      </c>
      <c r="N23" s="31">
        <f>IF(OR(3&gt;MAX(3,MIN(15,N($D$18))),IFERROR(LARGE('Calc (scoring engine)'!$K$5:$K$523,3),-999999)&lt;=-900000),"",IFERROR(IF(INDEX(Database!$O$5:$O$523,MATCH(LARGE('Calc (scoring engine)'!$K$5:$K$523,3),'Calc (scoring engine)'!$K$5:$K$523,0))="","—",INDEX(Database!$O$5:$O$523,MATCH(LARGE('Calc (scoring engine)'!$K$5:$K$523,3),'Calc (scoring engine)'!$K$5:$K$523,0))),""))</f>
        <v/>
      </c>
      <c r="O23" s="31">
        <f>IF(OR(3&gt;MAX(3,MIN(15,N($D$18))),IFERROR(LARGE('Calc (scoring engine)'!$K$5:$K$523,3),-999999)&lt;=-900000),"",IFERROR(IF(INDEX(Database!$P$5:$P$523,MATCH(LARGE('Calc (scoring engine)'!$K$5:$K$523,3),'Calc (scoring engine)'!$K$5:$K$523,0))="","—",INDEX(Database!$P$5:$P$523,MATCH(LARGE('Calc (scoring engine)'!$K$5:$K$523,3),'Calc (scoring engine)'!$K$5:$K$523,0))),""))</f>
        <v/>
      </c>
      <c r="P23" s="19">
        <f>IF(OR(3&gt;MAX(3,MIN(15,N($D$18))),IFERROR(LARGE('Calc (scoring engine)'!$K$5:$K$523,3),-999999)&lt;=-900000),"",IFERROR(IF(INDEX(Database!$Q$5:$Q$523,MATCH(LARGE('Calc (scoring engine)'!$K$5:$K$523,3),'Calc (scoring engine)'!$K$5:$K$523,0))="","—",INDEX(Database!$Q$5:$Q$523,MATCH(LARGE('Calc (scoring engine)'!$K$5:$K$523,3),'Calc (scoring engine)'!$K$5:$K$523,0))),""))</f>
        <v/>
      </c>
      <c r="Q23" s="26">
        <f>IF(OR(3&gt;MAX(3,MIN(15,N($D$18))),IFERROR(LARGE('Calc (scoring engine)'!$K$5:$K$523,3),-999999)&lt;=-900000),"",IFERROR(IF(INDEX(Database!$S$5:$S$523,MATCH(LARGE('Calc (scoring engine)'!$K$5:$K$523,3),'Calc (scoring engine)'!$K$5:$K$523,0))="","—",INDEX(Database!$S$5:$S$523,MATCH(LARGE('Calc (scoring engine)'!$K$5:$K$523,3),'Calc (scoring engine)'!$K$5:$K$523,0))),""))</f>
        <v/>
      </c>
      <c r="R23" s="51">
        <f>IF(OR(3&gt;MAX(3,MIN(15,N($D$18))),IFERROR(LARGE('Calc (scoring engine)'!$K$5:$K$523,3),-999999)&lt;=-900000),"",IFERROR(IF(INDEX(Database!$T$5:$T$523,MATCH(LARGE('Calc (scoring engine)'!$K$5:$K$523,3),'Calc (scoring engine)'!$K$5:$K$523,0))="","—",INDEX(Database!$T$5:$T$523,MATCH(LARGE('Calc (scoring engine)'!$K$5:$K$523,3),'Calc (scoring engine)'!$K$5:$K$523,0))),""))</f>
        <v/>
      </c>
      <c r="S23" s="52">
        <f>IF(OR(3&gt;MAX(3,MIN(15,N($D$18))),IFERROR(LARGE('Calc (scoring engine)'!$K$5:$K$523,3),-999999)&lt;=-900000),"",IFERROR(IF(INDEX(Database!$U$5:$U$523,MATCH(LARGE('Calc (scoring engine)'!$K$5:$K$523,3),'Calc (scoring engine)'!$K$5:$K$523,0))="","—",INDEX(Database!$U$5:$U$523,MATCH(LARGE('Calc (scoring engine)'!$K$5:$K$523,3),'Calc (scoring engine)'!$K$5:$K$523,0))),""))</f>
        <v/>
      </c>
      <c r="T23" s="53">
        <f>IF(OR(3&gt;MAX(3,MIN(15,N($D$18))),IFERROR(LARGE('Calc (scoring engine)'!$K$5:$K$523,3),-999999)&lt;=-900000),"",IFERROR(IF(INDEX(Database!$V$5:$V$523,MATCH(LARGE('Calc (scoring engine)'!$K$5:$K$523,3),'Calc (scoring engine)'!$K$5:$K$523,0))="","—",INDEX(Database!$V$5:$V$523,MATCH(LARGE('Calc (scoring engine)'!$K$5:$K$523,3),'Calc (scoring engine)'!$K$5:$K$523,0))),""))</f>
        <v/>
      </c>
      <c r="U23" s="31">
        <f>IF(OR(3&gt;MAX(3,MIN(15,N($D$18))),IFERROR(LARGE('Calc (scoring engine)'!$K$5:$K$523,3),-999999)&lt;=-900000),"",IFERROR(IF(INDEX(Database!$W$5:$W$523,MATCH(LARGE('Calc (scoring engine)'!$K$5:$K$523,3),'Calc (scoring engine)'!$K$5:$K$523,0))="","—",INDEX(Database!$W$5:$W$523,MATCH(LARGE('Calc (scoring engine)'!$K$5:$K$523,3),'Calc (scoring engine)'!$K$5:$K$523,0))),""))</f>
        <v/>
      </c>
      <c r="V23" s="10">
        <f>IF(OR(3&gt;MAX(3,MIN(15,N($D$18))),IFERROR(LARGE('Calc (scoring engine)'!$K$5:$K$523,3),-999999)&lt;=-900000),"",IFERROR(IF(INDEX(Database!$X$5:$X$523,MATCH(LARGE('Calc (scoring engine)'!$K$5:$K$523,3),'Calc (scoring engine)'!$K$5:$K$523,0))="","—",INDEX(Database!$X$5:$X$523,MATCH(LARGE('Calc (scoring engine)'!$K$5:$K$523,3),'Calc (scoring engine)'!$K$5:$K$523,0))),""))</f>
        <v/>
      </c>
      <c r="W23" s="19">
        <f>IF(OR(3&gt;MAX(3,MIN(15,N($D$18))),IFERROR(LARGE('Calc (scoring engine)'!$K$5:$K$523,3),-999999)&lt;=-900000),"",IFERROR(IF(INDEX(Database!$Y$5:$Y$523,MATCH(LARGE('Calc (scoring engine)'!$K$5:$K$523,3),'Calc (scoring engine)'!$K$5:$K$523,0))="","—",INDEX(Database!$Y$5:$Y$523,MATCH(LARGE('Calc (scoring engine)'!$K$5:$K$523,3),'Calc (scoring engine)'!$K$5:$K$523,0))),""))</f>
        <v/>
      </c>
      <c r="X23" s="19">
        <f>IF(OR(3&gt;MAX(3,MIN(15,N($D$18))),IFERROR(LARGE('Calc (scoring engine)'!$K$5:$K$523,3),-999999)&lt;=-900000),"",IFERROR(IF(INDEX(Database!$Z$5:$Z$523,MATCH(LARGE('Calc (scoring engine)'!$K$5:$K$523,3),'Calc (scoring engine)'!$K$5:$K$523,0))="","—",INDEX(Database!$Z$5:$Z$523,MATCH(LARGE('Calc (scoring engine)'!$K$5:$K$523,3),'Calc (scoring engine)'!$K$5:$K$523,0))),""))</f>
        <v/>
      </c>
      <c r="Y23" s="31">
        <f>IF(OR(3&gt;MAX(3,MIN(15,N($D$18))),IFERROR(LARGE('Calc (scoring engine)'!$K$5:$K$523,3),-999999)&lt;=-900000),"",IFERROR(IF(INDEX(Database!$AA$5:$AA$523,MATCH(LARGE('Calc (scoring engine)'!$K$5:$K$523,3),'Calc (scoring engine)'!$K$5:$K$523,0))="","—",INDEX(Database!$AA$5:$AA$523,MATCH(LARGE('Calc (scoring engine)'!$K$5:$K$523,3),'Calc (scoring engine)'!$K$5:$K$523,0))),""))</f>
        <v/>
      </c>
      <c r="Z23" s="10">
        <f>IF(OR(3&gt;MAX(3,MIN(15,N($D$18))),IFERROR(LARGE('Calc (scoring engine)'!$K$5:$K$523,3),-999999)&lt;=-900000),"",IFERROR(IF(INDEX(Database!$AB$5:$AB$523,MATCH(LARGE('Calc (scoring engine)'!$K$5:$K$523,3),'Calc (scoring engine)'!$K$5:$K$523,0))="","—",INDEX(Database!$AB$5:$AB$523,MATCH(LARGE('Calc (scoring engine)'!$K$5:$K$523,3),'Calc (scoring engine)'!$K$5:$K$523,0))),""))</f>
        <v/>
      </c>
      <c r="AA23" s="31">
        <f>IF(OR(3&gt;MAX(3,MIN(15,N($D$18))),IFERROR(LARGE('Calc (scoring engine)'!$K$5:$K$523,3),-999999)&lt;=-900000),"",IFERROR(IF(INDEX(Database!$AD$5:$AD$523,MATCH(LARGE('Calc (scoring engine)'!$K$5:$K$523,3),'Calc (scoring engine)'!$K$5:$K$523,0))="","—",INDEX(Database!$AD$5:$AD$523,MATCH(LARGE('Calc (scoring engine)'!$K$5:$K$523,3),'Calc (scoring engine)'!$K$5:$K$523,0))),""))</f>
        <v/>
      </c>
      <c r="AB23" s="10">
        <f>IF(OR(3&gt;MAX(3,MIN(15,N($D$18))),IFERROR(LARGE('Calc (scoring engine)'!$K$5:$K$523,3),-999999)&lt;=-900000),"",IFERROR(IF(INDEX(Database!$AE$5:$AE$523,MATCH(LARGE('Calc (scoring engine)'!$K$5:$K$523,3),'Calc (scoring engine)'!$K$5:$K$523,0))="","—",INDEX(Database!$AE$5:$AE$523,MATCH(LARGE('Calc (scoring engine)'!$K$5:$K$523,3),'Calc (scoring engine)'!$K$5:$K$523,0))),""))</f>
        <v/>
      </c>
      <c r="AC23" s="10">
        <f>IF(OR(3&gt;MAX(3,MIN(15,N($D$18))),IFERROR(LARGE('Calc (scoring engine)'!$K$5:$K$523,3),-999999)&lt;=-900000),"",IFERROR(IF(INDEX(Database!$AF$5:$AF$523,MATCH(LARGE('Calc (scoring engine)'!$K$5:$K$523,3),'Calc (scoring engine)'!$K$5:$K$523,0))="","—",INDEX(Database!$AF$5:$AF$523,MATCH(LARGE('Calc (scoring engine)'!$K$5:$K$523,3),'Calc (scoring engine)'!$K$5:$K$523,0))),""))</f>
        <v/>
      </c>
      <c r="AD23" s="10">
        <f>IF(OR(3&gt;MAX(3,MIN(15,N($D$18))),IFERROR(LARGE('Calc (scoring engine)'!$K$5:$K$523,3),-999999)&lt;=-900000),"",IFERROR(IF(INDEX(Database!$AG$5:$AG$523,MATCH(LARGE('Calc (scoring engine)'!$K$5:$K$523,3),'Calc (scoring engine)'!$K$5:$K$523,0))="","—",INDEX(Database!$AG$5:$AG$523,MATCH(LARGE('Calc (scoring engine)'!$K$5:$K$523,3),'Calc (scoring engine)'!$K$5:$K$523,0))),""))</f>
        <v/>
      </c>
      <c r="AE23" s="10">
        <f>IF(OR(3&gt;MAX(3,MIN(15,N($D$18))),IFERROR(LARGE('Calc (scoring engine)'!$K$5:$K$523,3),-999999)&lt;=-900000),"",IFERROR(IF(INDEX(Database!$AH$5:$AH$523,MATCH(LARGE('Calc (scoring engine)'!$K$5:$K$523,3),'Calc (scoring engine)'!$K$5:$K$523,0))="","—",INDEX(Database!$AH$5:$AH$523,MATCH(LARGE('Calc (scoring engine)'!$K$5:$K$523,3),'Calc (scoring engine)'!$K$5:$K$523,0))),""))</f>
        <v/>
      </c>
      <c r="AF23" s="23">
        <f>IF(OR(3&gt;MAX(3,MIN(15,N($D$18))),IFERROR(LARGE('Calc (scoring engine)'!$K$5:$K$523,3),-999999)&lt;=-900000),"",IFERROR(IF(INDEX(Database!$AI$5:$AI$523,MATCH(LARGE('Calc (scoring engine)'!$K$5:$K$523,3),'Calc (scoring engine)'!$K$5:$K$523,0))="","—",INDEX(Database!$AI$5:$AI$523,MATCH(LARGE('Calc (scoring engine)'!$K$5:$K$523,3),'Calc (scoring engine)'!$K$5:$K$523,0))),""))</f>
        <v/>
      </c>
      <c r="AG23" s="23">
        <f>IF(OR(3&gt;MAX(3,MIN(15,N($D$18))),IFERROR(LARGE('Calc (scoring engine)'!$K$5:$K$523,3),-999999)&lt;=-900000),"",IFERROR(IF(INDEX(Database!$AJ$5:$AJ$523,MATCH(LARGE('Calc (scoring engine)'!$K$5:$K$523,3),'Calc (scoring engine)'!$K$5:$K$523,0))="","—",INDEX(Database!$AJ$5:$AJ$523,MATCH(LARGE('Calc (scoring engine)'!$K$5:$K$523,3),'Calc (scoring engine)'!$K$5:$K$523,0))),""))</f>
        <v/>
      </c>
      <c r="AH23" s="23">
        <f>IF(OR(3&gt;MAX(3,MIN(15,N($D$18))),IFERROR(LARGE('Calc (scoring engine)'!$K$5:$K$523,3),-999999)&lt;=-900000),"",IFERROR(IF(INDEX(Database!$AK$5:$AK$523,MATCH(LARGE('Calc (scoring engine)'!$K$5:$K$523,3),'Calc (scoring engine)'!$K$5:$K$523,0))="","—",INDEX(Database!$AK$5:$AK$523,MATCH(LARGE('Calc (scoring engine)'!$K$5:$K$523,3),'Calc (scoring engine)'!$K$5:$K$523,0))),""))</f>
        <v/>
      </c>
      <c r="AI23" s="23">
        <f>IF(OR(3&gt;MAX(3,MIN(15,N($D$18))),IFERROR(LARGE('Calc (scoring engine)'!$K$5:$K$523,3),-999999)&lt;=-900000),"",IFERROR(IF(INDEX(Database!$AL$5:$AL$523,MATCH(LARGE('Calc (scoring engine)'!$K$5:$K$523,3),'Calc (scoring engine)'!$K$5:$K$523,0))="","—",INDEX(Database!$AL$5:$AL$523,MATCH(LARGE('Calc (scoring engine)'!$K$5:$K$523,3),'Calc (scoring engine)'!$K$5:$K$523,0))),""))</f>
        <v/>
      </c>
      <c r="AJ23" s="24">
        <f>IF(OR(3&gt;MAX(3,MIN(15,N($D$18))),IFERROR(LARGE('Calc (scoring engine)'!$K$5:$K$523,3),-999999)&lt;=-900000),"",IFERROR(IF(INDEX(Database!$AM$5:$AM$523,MATCH(LARGE('Calc (scoring engine)'!$K$5:$K$523,3),'Calc (scoring engine)'!$K$5:$K$523,0))="","—",INDEX(Database!$AM$5:$AM$523,MATCH(LARGE('Calc (scoring engine)'!$K$5:$K$523,3),'Calc (scoring engine)'!$K$5:$K$523,0))),""))</f>
        <v/>
      </c>
      <c r="AK23" s="31">
        <f>IF(OR(3&gt;MAX(3,MIN(15,N($D$18))),IFERROR(LARGE('Calc (scoring engine)'!$K$5:$K$523,3),-999999)&lt;=-900000),"",IFERROR(IF(INDEX(Database!$AN$5:$AN$523,MATCH(LARGE('Calc (scoring engine)'!$K$5:$K$523,3),'Calc (scoring engine)'!$K$5:$K$523,0))="","—",INDEX(Database!$AN$5:$AN$523,MATCH(LARGE('Calc (scoring engine)'!$K$5:$K$523,3),'Calc (scoring engine)'!$K$5:$K$523,0))),""))</f>
        <v/>
      </c>
      <c r="AL23" s="23">
        <f>IF(OR(3&gt;MAX(3,MIN(15,N($D$18))),IFERROR(LARGE('Calc (scoring engine)'!$K$5:$K$523,3),-999999)&lt;=-900000),"",IFERROR(IF(INDEX(Database!$AO$5:$AO$523,MATCH(LARGE('Calc (scoring engine)'!$K$5:$K$523,3),'Calc (scoring engine)'!$K$5:$K$523,0))="","—",INDEX(Database!$AO$5:$AO$523,MATCH(LARGE('Calc (scoring engine)'!$K$5:$K$523,3),'Calc (scoring engine)'!$K$5:$K$523,0))),""))</f>
        <v/>
      </c>
      <c r="AM23" s="23">
        <f>IF(OR(3&gt;MAX(3,MIN(15,N($D$18))),IFERROR(LARGE('Calc (scoring engine)'!$K$5:$K$523,3),-999999)&lt;=-900000),"",IFERROR(IF(INDEX(Database!$AP$5:$AP$523,MATCH(LARGE('Calc (scoring engine)'!$K$5:$K$523,3),'Calc (scoring engine)'!$K$5:$K$523,0))="","—",INDEX(Database!$AP$5:$AP$523,MATCH(LARGE('Calc (scoring engine)'!$K$5:$K$523,3),'Calc (scoring engine)'!$K$5:$K$523,0))),""))</f>
        <v/>
      </c>
      <c r="AN23" s="23">
        <f>IF(OR(3&gt;MAX(3,MIN(15,N($D$18))),IFERROR(LARGE('Calc (scoring engine)'!$K$5:$K$523,3),-999999)&lt;=-900000),"",IFERROR(IF(INDEX(Database!$AQ$5:$AQ$523,MATCH(LARGE('Calc (scoring engine)'!$K$5:$K$523,3),'Calc (scoring engine)'!$K$5:$K$523,0))="","—",INDEX(Database!$AQ$5:$AQ$523,MATCH(LARGE('Calc (scoring engine)'!$K$5:$K$523,3),'Calc (scoring engine)'!$K$5:$K$523,0))),""))</f>
        <v/>
      </c>
      <c r="AO23" s="23">
        <f>IF(OR(3&gt;MAX(3,MIN(15,N($D$18))),IFERROR(LARGE('Calc (scoring engine)'!$K$5:$K$523,3),-999999)&lt;=-900000),"",IFERROR(IF(INDEX(Database!$AR$5:$AR$523,MATCH(LARGE('Calc (scoring engine)'!$K$5:$K$523,3),'Calc (scoring engine)'!$K$5:$K$523,0))="","—",INDEX(Database!$AR$5:$AR$523,MATCH(LARGE('Calc (scoring engine)'!$K$5:$K$523,3),'Calc (scoring engine)'!$K$5:$K$523,0))),""))</f>
        <v/>
      </c>
      <c r="AP23" s="23">
        <f>IF(OR(3&gt;MAX(3,MIN(15,N($D$18))),IFERROR(LARGE('Calc (scoring engine)'!$K$5:$K$523,3),-999999)&lt;=-900000),"",IFERROR(IF(INDEX(Database!$AS$5:$AS$523,MATCH(LARGE('Calc (scoring engine)'!$K$5:$K$523,3),'Calc (scoring engine)'!$K$5:$K$523,0))="","—",INDEX(Database!$AS$5:$AS$523,MATCH(LARGE('Calc (scoring engine)'!$K$5:$K$523,3),'Calc (scoring engine)'!$K$5:$K$523,0))),""))</f>
        <v/>
      </c>
      <c r="AQ23" s="23">
        <f>IF(OR(3&gt;MAX(3,MIN(15,N($D$18))),IFERROR(LARGE('Calc (scoring engine)'!$K$5:$K$523,3),-999999)&lt;=-900000),"",IFERROR(IF(INDEX(Database!$AT$5:$AT$523,MATCH(LARGE('Calc (scoring engine)'!$K$5:$K$523,3),'Calc (scoring engine)'!$K$5:$K$523,0))="","—",INDEX(Database!$AT$5:$AT$523,MATCH(LARGE('Calc (scoring engine)'!$K$5:$K$523,3),'Calc (scoring engine)'!$K$5:$K$523,0))),""))</f>
        <v/>
      </c>
      <c r="AR23" s="23">
        <f>IF(OR(3&gt;MAX(3,MIN(15,N($D$18))),IFERROR(LARGE('Calc (scoring engine)'!$K$5:$K$523,3),-999999)&lt;=-900000),"",IFERROR(IF(INDEX(Database!$AU$5:$AU$523,MATCH(LARGE('Calc (scoring engine)'!$K$5:$K$523,3),'Calc (scoring engine)'!$K$5:$K$523,0))="","—",INDEX(Database!$AU$5:$AU$523,MATCH(LARGE('Calc (scoring engine)'!$K$5:$K$523,3),'Calc (scoring engine)'!$K$5:$K$523,0))),""))</f>
        <v/>
      </c>
      <c r="AS23" s="23">
        <f>IF(OR(3&gt;MAX(3,MIN(15,N($D$18))),IFERROR(LARGE('Calc (scoring engine)'!$K$5:$K$523,3),-999999)&lt;=-900000),"",IFERROR(IF(INDEX(Database!$AV$5:$AV$523,MATCH(LARGE('Calc (scoring engine)'!$K$5:$K$523,3),'Calc (scoring engine)'!$K$5:$K$523,0))="","—",INDEX(Database!$AV$5:$AV$523,MATCH(LARGE('Calc (scoring engine)'!$K$5:$K$523,3),'Calc (scoring engine)'!$K$5:$K$523,0))),""))</f>
        <v/>
      </c>
      <c r="AT23" s="23">
        <f>IF(OR(3&gt;MAX(3,MIN(15,N($D$18))),IFERROR(LARGE('Calc (scoring engine)'!$K$5:$K$523,3),-999999)&lt;=-900000),"",IFERROR(IF(INDEX(Database!$AW$5:$AW$523,MATCH(LARGE('Calc (scoring engine)'!$K$5:$K$523,3),'Calc (scoring engine)'!$K$5:$K$523,0))="","—",INDEX(Database!$AW$5:$AW$523,MATCH(LARGE('Calc (scoring engine)'!$K$5:$K$523,3),'Calc (scoring engine)'!$K$5:$K$523,0))),""))</f>
        <v/>
      </c>
      <c r="AU23" s="23">
        <f>IF(OR(3&gt;MAX(3,MIN(15,N($D$18))),IFERROR(LARGE('Calc (scoring engine)'!$K$5:$K$523,3),-999999)&lt;=-900000),"",IFERROR(IF(INDEX(Database!$AX$5:$AX$523,MATCH(LARGE('Calc (scoring engine)'!$K$5:$K$523,3),'Calc (scoring engine)'!$K$5:$K$523,0))="","—",INDEX(Database!$AX$5:$AX$523,MATCH(LARGE('Calc (scoring engine)'!$K$5:$K$523,3),'Calc (scoring engine)'!$K$5:$K$523,0))),""))</f>
        <v/>
      </c>
      <c r="AV23" s="23">
        <f>IF(OR(3&gt;MAX(3,MIN(15,N($D$18))),IFERROR(LARGE('Calc (scoring engine)'!$K$5:$K$523,3),-999999)&lt;=-900000),"",IFERROR(IF(INDEX(Database!$AY$5:$AY$523,MATCH(LARGE('Calc (scoring engine)'!$K$5:$K$523,3),'Calc (scoring engine)'!$K$5:$K$523,0))="","—",INDEX(Database!$AY$5:$AY$523,MATCH(LARGE('Calc (scoring engine)'!$K$5:$K$523,3),'Calc (scoring engine)'!$K$5:$K$523,0))),""))</f>
        <v/>
      </c>
      <c r="AW23" s="23">
        <f>IF(OR(3&gt;MAX(3,MIN(15,N($D$18))),IFERROR(LARGE('Calc (scoring engine)'!$K$5:$K$523,3),-999999)&lt;=-900000),"",IFERROR(IF(INDEX(Database!$AZ$5:$AZ$523,MATCH(LARGE('Calc (scoring engine)'!$K$5:$K$523,3),'Calc (scoring engine)'!$K$5:$K$523,0))="","—",INDEX(Database!$AZ$5:$AZ$523,MATCH(LARGE('Calc (scoring engine)'!$K$5:$K$523,3),'Calc (scoring engine)'!$K$5:$K$523,0))),""))</f>
        <v/>
      </c>
      <c r="AX23" s="23">
        <f>IF(OR(3&gt;MAX(3,MIN(15,N($D$18))),IFERROR(LARGE('Calc (scoring engine)'!$K$5:$K$523,3),-999999)&lt;=-900000),"",IFERROR(IF(INDEX(Database!$BB$5:$BB$523,MATCH(LARGE('Calc (scoring engine)'!$K$5:$K$523,3),'Calc (scoring engine)'!$K$5:$K$523,0))="","—",INDEX(Database!$BB$5:$BB$523,MATCH(LARGE('Calc (scoring engine)'!$K$5:$K$523,3),'Calc (scoring engine)'!$K$5:$K$523,0))),""))</f>
        <v/>
      </c>
      <c r="AY23" s="19">
        <f>IF(OR(3&gt;MAX(3,MIN(15,N($D$18))),IFERROR(LARGE('Calc (scoring engine)'!$K$5:$K$523,3),-999999)&lt;=-900000),"",IFERROR(IF(INDEX(Database!$BD$5:$BD$523,MATCH(LARGE('Calc (scoring engine)'!$K$5:$K$523,3),'Calc (scoring engine)'!$K$5:$K$523,0))="","—",INDEX(Database!$BD$5:$BD$523,MATCH(LARGE('Calc (scoring engine)'!$K$5:$K$523,3),'Calc (scoring engine)'!$K$5:$K$523,0))),""))</f>
        <v/>
      </c>
      <c r="AZ23" s="19">
        <f>IF(OR(3&gt;MAX(3,MIN(15,N($D$18))),IFERROR(LARGE('Calc (scoring engine)'!$K$5:$K$523,3),-999999)&lt;=-900000),"",IFERROR(IF(INDEX(Database!$BE$5:$BE$523,MATCH(LARGE('Calc (scoring engine)'!$K$5:$K$523,3),'Calc (scoring engine)'!$K$5:$K$523,0))="","—",INDEX(Database!$BE$5:$BE$523,MATCH(LARGE('Calc (scoring engine)'!$K$5:$K$523,3),'Calc (scoring engine)'!$K$5:$K$523,0))),""))</f>
        <v/>
      </c>
      <c r="BA23" s="10">
        <f>IF(OR(3&gt;MAX(3,MIN(15,N($D$18))),IFERROR(LARGE('Calc (scoring engine)'!$K$5:$K$523,3),-999999)&lt;=-900000),"",IFERROR(IF(INDEX(Database!$BF$5:$BF$523,MATCH(LARGE('Calc (scoring engine)'!$K$5:$K$523,3),'Calc (scoring engine)'!$K$5:$K$523,0))="","—",INDEX(Database!$BF$5:$BF$523,MATCH(LARGE('Calc (scoring engine)'!$K$5:$K$523,3),'Calc (scoring engine)'!$K$5:$K$523,0))),""))</f>
        <v/>
      </c>
      <c r="BB23" s="24">
        <f>IF(OR(3&gt;MAX(3,MIN(15,N($D$18))),IFERROR(LARGE('Calc (scoring engine)'!$K$5:$K$523,3),-999999)&lt;=-900000),"",IFERROR(IF(N(INDEX(Database!$BG$5:$BG$523,MATCH(LARGE('Calc (scoring engine)'!$K$5:$K$523,3),'Calc (scoring engine)'!$K$5:$K$523,0)))&lt;=0,IF(INDEX(Database!$BF$5:$BF$523,MATCH(LARGE('Calc (scoring engine)'!$K$5:$K$523,3),'Calc (scoring engine)'!$K$5:$K$523,0))="N","n/m","—"),INDEX(Database!$BG$5:$BG$523,MATCH(LARGE('Calc (scoring engine)'!$K$5:$K$523,3),'Calc (scoring engine)'!$K$5:$K$523,0))),""))</f>
        <v/>
      </c>
      <c r="BC23" s="24">
        <f>IF(OR(3&gt;MAX(3,MIN(15,N($D$18))),IFERROR(LARGE('Calc (scoring engine)'!$K$5:$K$523,3),-999999)&lt;=-900000),"",IFERROR(IF(INDEX(Database!$BH$5:$BH$523,MATCH(LARGE('Calc (scoring engine)'!$K$5:$K$523,3),'Calc (scoring engine)'!$K$5:$K$523,0))="","—",INDEX(Database!$BH$5:$BH$523,MATCH(LARGE('Calc (scoring engine)'!$K$5:$K$523,3),'Calc (scoring engine)'!$K$5:$K$523,0))),""))</f>
        <v/>
      </c>
      <c r="BD23" s="24">
        <f>IF(OR(3&gt;MAX(3,MIN(15,N($D$18))),IFERROR(LARGE('Calc (scoring engine)'!$K$5:$K$523,3),-999999)&lt;=-900000),"",IFERROR(IF(INDEX(Database!$BI$5:$BI$523,MATCH(LARGE('Calc (scoring engine)'!$K$5:$K$523,3),'Calc (scoring engine)'!$K$5:$K$523,0))="","—",INDEX(Database!$BI$5:$BI$523,MATCH(LARGE('Calc (scoring engine)'!$K$5:$K$523,3),'Calc (scoring engine)'!$K$5:$K$523,0))),""))</f>
        <v/>
      </c>
      <c r="BE23" s="24">
        <f>IF(OR(3&gt;MAX(3,MIN(15,N($D$18))),IFERROR(LARGE('Calc (scoring engine)'!$K$5:$K$523,3),-999999)&lt;=-900000),"",IFERROR(IF(INDEX(Database!$BJ$5:$BJ$523,MATCH(LARGE('Calc (scoring engine)'!$K$5:$K$523,3),'Calc (scoring engine)'!$K$5:$K$523,0))="","—",INDEX(Database!$BJ$5:$BJ$523,MATCH(LARGE('Calc (scoring engine)'!$K$5:$K$523,3),'Calc (scoring engine)'!$K$5:$K$523,0))),""))</f>
        <v/>
      </c>
      <c r="BF23" s="24">
        <f>IF(OR(3&gt;MAX(3,MIN(15,N($D$18))),IFERROR(LARGE('Calc (scoring engine)'!$K$5:$K$523,3),-999999)&lt;=-900000),"",IFERROR(IF(INDEX(Database!$BK$5:$BK$523,MATCH(LARGE('Calc (scoring engine)'!$K$5:$K$523,3),'Calc (scoring engine)'!$K$5:$K$523,0))="","—",INDEX(Database!$BK$5:$BK$523,MATCH(LARGE('Calc (scoring engine)'!$K$5:$K$523,3),'Calc (scoring engine)'!$K$5:$K$523,0))),""))</f>
        <v/>
      </c>
      <c r="BG23" s="24">
        <f>IF(OR(3&gt;MAX(3,MIN(15,N($D$18))),IFERROR(LARGE('Calc (scoring engine)'!$K$5:$K$523,3),-999999)&lt;=-900000),"",IFERROR(IFERROR(BDP(TEXT(INDEX(Database!$A$5:$A$523,MATCH(LARGE('Calc (scoring engine)'!$K$5:$K$523,3),'Calc (scoring engine)'!$K$5:$K$523,0)),"0")&amp;" HK Equity","PE_RATIO"),IF(INDEX(Database!$BI$5:$BI$523,MATCH(LARGE('Calc (scoring engine)'!$K$5:$K$523,3),'Calc (scoring engine)'!$K$5:$K$523,0))="","—",INDEX(Database!$BI$5:$BI$523,MATCH(LARGE('Calc (scoring engine)'!$K$5:$K$523,3),'Calc (scoring engine)'!$K$5:$K$523,0)))),""))</f>
        <v/>
      </c>
      <c r="BH23" s="24">
        <f>IF(OR(3&gt;MAX(3,MIN(15,N($D$18))),IFERROR(LARGE('Calc (scoring engine)'!$K$5:$K$523,3),-999999)&lt;=-900000),"",IFERROR(IFERROR(BDP(TEXT(INDEX(Database!$A$5:$A$523,MATCH(LARGE('Calc (scoring engine)'!$K$5:$K$523,3),'Calc (scoring engine)'!$K$5:$K$523,0)),"0")&amp;" HK Equity","PX_TO_SALES_RATIO"),IF(INDEX(Database!$BJ$5:$BJ$523,MATCH(LARGE('Calc (scoring engine)'!$K$5:$K$523,3),'Calc (scoring engine)'!$K$5:$K$523,0))="","—",INDEX(Database!$BJ$5:$BJ$523,MATCH(LARGE('Calc (scoring engine)'!$K$5:$K$523,3),'Calc (scoring engine)'!$K$5:$K$523,0)))),""))</f>
        <v/>
      </c>
      <c r="BI23" s="10">
        <f>IF(OR(3&gt;MAX(3,MIN(15,N($D$18))),IFERROR(LARGE('Calc (scoring engine)'!$K$5:$K$523,3),-999999)&lt;=-900000),"",IFERROR(IF(INDEX(Database!$BL$5:$BL$523,MATCH(LARGE('Calc (scoring engine)'!$K$5:$K$523,3),'Calc (scoring engine)'!$K$5:$K$523,0))="","—",INDEX(Database!$BL$5:$BL$523,MATCH(LARGE('Calc (scoring engine)'!$K$5:$K$523,3),'Calc (scoring engine)'!$K$5:$K$523,0))),""))</f>
        <v/>
      </c>
      <c r="BJ23" s="10">
        <f>IF(OR(3&gt;MAX(3,MIN(15,N($D$18))),IFERROR(LARGE('Calc (scoring engine)'!$K$5:$K$523,3),-999999)&lt;=-900000),"",IFERROR(IF(INDEX(Database!$BM$5:$BM$523,MATCH(LARGE('Calc (scoring engine)'!$K$5:$K$523,3),'Calc (scoring engine)'!$K$5:$K$523,0))="","—",INDEX(Database!$BM$5:$BM$523,MATCH(LARGE('Calc (scoring engine)'!$K$5:$K$523,3),'Calc (scoring engine)'!$K$5:$K$523,0))),""))</f>
        <v/>
      </c>
      <c r="BK23" s="23">
        <f>IF(OR(3&gt;MAX(3,MIN(15,N($D$18))),IFERROR(LARGE('Calc (scoring engine)'!$K$5:$K$523,3),-999999)&lt;=-900000),"",IFERROR(IF(INDEX(Database!$BN$5:$BN$523,MATCH(LARGE('Calc (scoring engine)'!$K$5:$K$523,3),'Calc (scoring engine)'!$K$5:$K$523,0))="","—",INDEX(Database!$BN$5:$BN$523,MATCH(LARGE('Calc (scoring engine)'!$K$5:$K$523,3),'Calc (scoring engine)'!$K$5:$K$523,0))),""))</f>
        <v/>
      </c>
      <c r="BL23" s="50">
        <f>IF(OR(3&gt;MAX(3,MIN(15,N($D$18))),IFERROR(LARGE('Calc (scoring engine)'!$K$5:$K$523,3),-999999)&lt;=-900000),"",IFERROR(IF(INDEX(Database!$BO$5:$BO$523,MATCH(LARGE('Calc (scoring engine)'!$K$5:$K$523,3),'Calc (scoring engine)'!$K$5:$K$523,0))="","—",INDEX(Database!$BO$5:$BO$523,MATCH(LARGE('Calc (scoring engine)'!$K$5:$K$523,3),'Calc (scoring engine)'!$K$5:$K$523,0))),""))</f>
        <v/>
      </c>
      <c r="BM23" s="54">
        <f>IF(OR(3&gt;MAX(3,MIN(15,N($D$18))),IFERROR(LARGE('Calc (scoring engine)'!$K$5:$K$523,3),-999999)&lt;=-900000),"",IFERROR(IF(INDEX(Database!$BP$5:$BP$523,MATCH(LARGE('Calc (scoring engine)'!$K$5:$K$523,3),'Calc (scoring engine)'!$K$5:$K$523,0))="","—",INDEX(Database!$BP$5:$BP$523,MATCH(LARGE('Calc (scoring engine)'!$K$5:$K$523,3),'Calc (scoring engine)'!$K$5:$K$523,0))),""))</f>
        <v/>
      </c>
      <c r="BN23" s="19">
        <f>IF(OR(3&gt;MAX(3,MIN(15,N($D$18))),IFERROR(LARGE('Calc (scoring engine)'!$K$5:$K$523,3),-999999)&lt;=-900000),"",IFERROR(IF(INDEX(Database!$BQ$5:$BQ$523,MATCH(LARGE('Calc (scoring engine)'!$K$5:$K$523,3),'Calc (scoring engine)'!$K$5:$K$523,0))="","—",INDEX(Database!$BQ$5:$BQ$523,MATCH(LARGE('Calc (scoring engine)'!$K$5:$K$523,3),'Calc (scoring engine)'!$K$5:$K$523,0))),""))</f>
        <v/>
      </c>
      <c r="BO23" s="24">
        <f>IF(OR(3&gt;MAX(3,MIN(15,N($D$18))),IFERROR(LARGE('Calc (scoring engine)'!$K$5:$K$523,3),-999999)&lt;=-900000),"",IFERROR(IF(INDEX(Database!$BR$5:$BR$523,MATCH(LARGE('Calc (scoring engine)'!$K$5:$K$523,3),'Calc (scoring engine)'!$K$5:$K$523,0))="","—",INDEX(Database!$BR$5:$BR$523,MATCH(LARGE('Calc (scoring engine)'!$K$5:$K$523,3),'Calc (scoring engine)'!$K$5:$K$523,0))),""))</f>
        <v/>
      </c>
      <c r="BP23" s="24">
        <f>IF(OR(3&gt;MAX(3,MIN(15,N($D$18))),IFERROR(LARGE('Calc (scoring engine)'!$K$5:$K$523,3),-999999)&lt;=-900000),"",IFERROR(IF(INDEX(Database!$BS$5:$BS$523,MATCH(LARGE('Calc (scoring engine)'!$K$5:$K$523,3),'Calc (scoring engine)'!$K$5:$K$523,0))="","—",INDEX(Database!$BS$5:$BS$523,MATCH(LARGE('Calc (scoring engine)'!$K$5:$K$523,3),'Calc (scoring engine)'!$K$5:$K$523,0))),""))</f>
        <v/>
      </c>
      <c r="BQ23" s="10">
        <f>IF(OR(3&gt;MAX(3,MIN(15,N($D$18))),IFERROR(LARGE('Calc (scoring engine)'!$K$5:$K$523,3),-999999)&lt;=-900000),"",IFERROR(IF(INDEX(Database!$BT$5:$BT$523,MATCH(LARGE('Calc (scoring engine)'!$K$5:$K$523,3),'Calc (scoring engine)'!$K$5:$K$523,0))="","—",INDEX(Database!$BT$5:$BT$523,MATCH(LARGE('Calc (scoring engine)'!$K$5:$K$523,3),'Calc (scoring engine)'!$K$5:$K$523,0))),""))</f>
        <v/>
      </c>
      <c r="BR23" s="10">
        <f>IF(OR(3&gt;MAX(3,MIN(15,N($D$18))),IFERROR(LARGE('Calc (scoring engine)'!$K$5:$K$523,3),-999999)&lt;=-900000),"",IFERROR(IF(INDEX(Database!$BV$5:$BV$523,MATCH(LARGE('Calc (scoring engine)'!$K$5:$K$523,3),'Calc (scoring engine)'!$K$5:$K$523,0))="","—",INDEX(Database!$BV$5:$BV$523,MATCH(LARGE('Calc (scoring engine)'!$K$5:$K$523,3),'Calc (scoring engine)'!$K$5:$K$523,0))),""))</f>
        <v/>
      </c>
      <c r="BS23" s="53">
        <f>IF(OR(3&gt;MAX(3,MIN(15,N($D$18))),IFERROR(LARGE('Calc (scoring engine)'!$K$5:$K$523,3),-999999)&lt;=-900000),"",IFERROR(IF(INDEX('Calc (scoring engine)'!$H$5:$H$523,MATCH(LARGE('Calc (scoring engine)'!$K$5:$K$523,3),'Calc (scoring engine)'!$K$5:$K$523,0))&gt;0,INDEX('Calc (scoring engine)'!$H$5:$H$523,MATCH(LARGE('Calc (scoring engine)'!$K$5:$K$523,3),'Calc (scoring engine)'!$K$5:$K$523,0)),""),""))</f>
        <v/>
      </c>
      <c r="BT23" s="10">
        <f>IF(OR(3&gt;MAX(3,MIN(15,N($D$18))),IFERROR(LARGE('Calc (scoring engine)'!$K$5:$K$523,3),-999999)&lt;=-900000),"",IF(IFERROR(INDEX('Calc (scoring engine)'!$B$5:$B$523,MATCH(LARGE('Calc (scoring engine)'!$K$5:$K$523,3),'Calc (scoring engine)'!$K$5:$K$523,0)),0)=1,"same subsector","sector only"))</f>
        <v/>
      </c>
      <c r="BU23" s="53">
        <f>IF(OR(3&gt;MAX(3,MIN(15,N($D$18))),IFERROR(LARGE('Calc (scoring engine)'!$K$5:$K$523,3),-999999)&lt;=-900000),"",ROUND(IFERROR(LARGE('Calc (scoring engine)'!$K$5:$K$523,3),0),0))</f>
        <v/>
      </c>
      <c r="BV23" s="10">
        <f>IF(OR(3&gt;MAX(3,MIN(15,N($D$18))),IFERROR(LARGE('Calc (scoring engine)'!$K$5:$K$523,3),-999999)&lt;=-900000),"",IFERROR("sub "&amp;INDEX('Calc (scoring engine)'!$B$5:$B$523,MATCH(LARGE('Calc (scoring engine)'!$K$5:$K$523,3),'Calc (scoring engine)'!$K$5:$K$523,0))*W_SUB&amp;" + size "&amp;ROUND(INDEX('Calc (scoring engine)'!$D$5:$D$523,MATCH(LARGE('Calc (scoring engine)'!$K$5:$K$523,3),'Calc (scoring engine)'!$K$5:$K$523,0))*W_SIZE,0)&amp;" + prof "&amp;INDEX('Calc (scoring engine)'!$E$5:$E$523,MATCH(LARGE('Calc (scoring engine)'!$K$5:$K$523,3),'Calc (scoring engine)'!$K$5:$K$523,0))*W_PROF&amp;" + recency "&amp;ROUND(INDEX('Calc (scoring engine)'!$G$5:$G$523,MATCH(LARGE('Calc (scoring engine)'!$K$5:$K$523,3),'Calc (scoring engine)'!$K$5:$K$523,0))*W_REC,0)&amp;IF(INDEX('Calc (scoring engine)'!$H$5:$H$523,MATCH(LARGE('Calc (scoring engine)'!$K$5:$K$523,3),'Calc (scoring engine)'!$K$5:$K$523,0))&gt;0," + shared CS x"&amp;INDEX('Calc (scoring engine)'!$H$5:$H$523,MATCH(LARGE('Calc (scoring engine)'!$K$5:$K$523,3),'Calc (scoring engine)'!$K$5:$K$523,0)),""),""))</f>
        <v/>
      </c>
    </row>
    <row r="24">
      <c r="A24" s="48">
        <f>IF(OR(4&gt;MAX(3,MIN(15,N($D$18))),IFERROR(LARGE('Calc (scoring engine)'!$K$5:$K$523,4),-999999)&lt;=-900000),"",4)</f>
        <v/>
      </c>
      <c r="B24" s="10">
        <f>IF(OR(4&gt;MAX(3,MIN(15,N($D$18))),IFERROR(LARGE('Calc (scoring engine)'!$K$5:$K$523,4),-999999)&lt;=-900000),"",IFERROR(IF(INDEX(Database!$B$5:$B$523,MATCH(LARGE('Calc (scoring engine)'!$K$5:$K$523,4),'Calc (scoring engine)'!$K$5:$K$523,0))="","—",INDEX(Database!$B$5:$B$523,MATCH(LARGE('Calc (scoring engine)'!$K$5:$K$523,4),'Calc (scoring engine)'!$K$5:$K$523,0))),""))</f>
        <v/>
      </c>
      <c r="C24" s="49">
        <f>IF(OR(4&gt;MAX(3,MIN(15,N($D$18))),IFERROR(LARGE('Calc (scoring engine)'!$K$5:$K$523,4),-999999)&lt;=-900000),"",IFERROR(IF(INDEX(Database!$A$5:$A$523,MATCH(LARGE('Calc (scoring engine)'!$K$5:$K$523,4),'Calc (scoring engine)'!$K$5:$K$523,0))="","—",INDEX(Database!$A$5:$A$523,MATCH(LARGE('Calc (scoring engine)'!$K$5:$K$523,4),'Calc (scoring engine)'!$K$5:$K$523,0))),""))</f>
        <v/>
      </c>
      <c r="D24" s="10">
        <f>IF(OR(4&gt;MAX(3,MIN(15,N($D$18))),IFERROR(LARGE('Calc (scoring engine)'!$K$5:$K$523,4),-999999)&lt;=-900000),"",IFERROR(IF(INDEX(Database!$D$5:$D$523,MATCH(LARGE('Calc (scoring engine)'!$K$5:$K$523,4),'Calc (scoring engine)'!$K$5:$K$523,0))="","—",INDEX(Database!$D$5:$D$523,MATCH(LARGE('Calc (scoring engine)'!$K$5:$K$523,4),'Calc (scoring engine)'!$K$5:$K$523,0))),""))</f>
        <v/>
      </c>
      <c r="E24" s="10">
        <f>IF(OR(4&gt;MAX(3,MIN(15,N($D$18))),IFERROR(LARGE('Calc (scoring engine)'!$K$5:$K$523,4),-999999)&lt;=-900000),"",IFERROR(IF(INDEX(Database!$E$5:$E$523,MATCH(LARGE('Calc (scoring engine)'!$K$5:$K$523,4),'Calc (scoring engine)'!$K$5:$K$523,0))="","—",INDEX(Database!$E$5:$E$523,MATCH(LARGE('Calc (scoring engine)'!$K$5:$K$523,4),'Calc (scoring engine)'!$K$5:$K$523,0))),""))</f>
        <v/>
      </c>
      <c r="F24" s="10">
        <f>IF(OR(4&gt;MAX(3,MIN(15,N($D$18))),IFERROR(LARGE('Calc (scoring engine)'!$K$5:$K$523,4),-999999)&lt;=-900000),"",IFERROR(IF(INDEX(Database!$F$5:$F$523,MATCH(LARGE('Calc (scoring engine)'!$K$5:$K$523,4),'Calc (scoring engine)'!$K$5:$K$523,0))="","—",INDEX(Database!$F$5:$F$523,MATCH(LARGE('Calc (scoring engine)'!$K$5:$K$523,4),'Calc (scoring engine)'!$K$5:$K$523,0))),""))</f>
        <v/>
      </c>
      <c r="G24" s="10">
        <f>IF(OR(4&gt;MAX(3,MIN(15,N($D$18))),IFERROR(LARGE('Calc (scoring engine)'!$K$5:$K$523,4),-999999)&lt;=-900000),"",IFERROR(IF(INDEX(Database!$G$5:$G$523,MATCH(LARGE('Calc (scoring engine)'!$K$5:$K$523,4),'Calc (scoring engine)'!$K$5:$K$523,0))="","—",INDEX(Database!$G$5:$G$523,MATCH(LARGE('Calc (scoring engine)'!$K$5:$K$523,4),'Calc (scoring engine)'!$K$5:$K$523,0))),""))</f>
        <v/>
      </c>
      <c r="H24" s="21">
        <f>IF(OR(4&gt;MAX(3,MIN(15,N($D$18))),IFERROR(LARGE('Calc (scoring engine)'!$K$5:$K$523,4),-999999)&lt;=-900000),"",IFERROR(IF(INDEX(Database!$H$5:$H$523,MATCH(LARGE('Calc (scoring engine)'!$K$5:$K$523,4),'Calc (scoring engine)'!$K$5:$K$523,0))="","—",INDEX(Database!$H$5:$H$523,MATCH(LARGE('Calc (scoring engine)'!$K$5:$K$523,4),'Calc (scoring engine)'!$K$5:$K$523,0))),""))</f>
        <v/>
      </c>
      <c r="I24" s="19">
        <f>IF(OR(4&gt;MAX(3,MIN(15,N($D$18))),IFERROR(LARGE('Calc (scoring engine)'!$K$5:$K$523,4),-999999)&lt;=-900000),"",IFERROR(IF(INDEX(Database!$I$5:$I$523,MATCH(LARGE('Calc (scoring engine)'!$K$5:$K$523,4),'Calc (scoring engine)'!$K$5:$K$523,0))="","—",INDEX(Database!$I$5:$I$523,MATCH(LARGE('Calc (scoring engine)'!$K$5:$K$523,4),'Calc (scoring engine)'!$K$5:$K$523,0))),""))</f>
        <v/>
      </c>
      <c r="J24" s="50">
        <f>IF(OR(4&gt;MAX(3,MIN(15,N($D$18))),IFERROR(LARGE('Calc (scoring engine)'!$K$5:$K$523,4),-999999)&lt;=-900000),"",IFERROR(IF(INDEX(Database!$K$5:$K$523,MATCH(LARGE('Calc (scoring engine)'!$K$5:$K$523,4),'Calc (scoring engine)'!$K$5:$K$523,0))="","—",INDEX(Database!$K$5:$K$523,MATCH(LARGE('Calc (scoring engine)'!$K$5:$K$523,4),'Calc (scoring engine)'!$K$5:$K$523,0))),""))</f>
        <v/>
      </c>
      <c r="K24" s="50">
        <f>IF(OR(4&gt;MAX(3,MIN(15,N($D$18))),IFERROR(LARGE('Calc (scoring engine)'!$K$5:$K$523,4),-999999)&lt;=-900000),"",IFERROR(IF(INDEX(Database!$L$5:$L$523,MATCH(LARGE('Calc (scoring engine)'!$K$5:$K$523,4),'Calc (scoring engine)'!$K$5:$K$523,0))="","—",INDEX(Database!$L$5:$L$523,MATCH(LARGE('Calc (scoring engine)'!$K$5:$K$523,4),'Calc (scoring engine)'!$K$5:$K$523,0))),""))</f>
        <v/>
      </c>
      <c r="L24" s="50">
        <f>IF(OR(4&gt;MAX(3,MIN(15,N($D$18))),IFERROR(LARGE('Calc (scoring engine)'!$K$5:$K$523,4),-999999)&lt;=-900000),"",IFERROR(IF(INDEX(Database!$M$5:$M$523,MATCH(LARGE('Calc (scoring engine)'!$K$5:$K$523,4),'Calc (scoring engine)'!$K$5:$K$523,0))="","—",INDEX(Database!$M$5:$M$523,MATCH(LARGE('Calc (scoring engine)'!$K$5:$K$523,4),'Calc (scoring engine)'!$K$5:$K$523,0))),""))</f>
        <v/>
      </c>
      <c r="M24" s="10">
        <f>IF(OR(4&gt;MAX(3,MIN(15,N($D$18))),IFERROR(LARGE('Calc (scoring engine)'!$K$5:$K$523,4),-999999)&lt;=-900000),"",IFERROR(IF(INDEX(Database!$N$5:$N$523,MATCH(LARGE('Calc (scoring engine)'!$K$5:$K$523,4),'Calc (scoring engine)'!$K$5:$K$523,0))="","—",INDEX(Database!$N$5:$N$523,MATCH(LARGE('Calc (scoring engine)'!$K$5:$K$523,4),'Calc (scoring engine)'!$K$5:$K$523,0))),""))</f>
        <v/>
      </c>
      <c r="N24" s="31">
        <f>IF(OR(4&gt;MAX(3,MIN(15,N($D$18))),IFERROR(LARGE('Calc (scoring engine)'!$K$5:$K$523,4),-999999)&lt;=-900000),"",IFERROR(IF(INDEX(Database!$O$5:$O$523,MATCH(LARGE('Calc (scoring engine)'!$K$5:$K$523,4),'Calc (scoring engine)'!$K$5:$K$523,0))="","—",INDEX(Database!$O$5:$O$523,MATCH(LARGE('Calc (scoring engine)'!$K$5:$K$523,4),'Calc (scoring engine)'!$K$5:$K$523,0))),""))</f>
        <v/>
      </c>
      <c r="O24" s="31">
        <f>IF(OR(4&gt;MAX(3,MIN(15,N($D$18))),IFERROR(LARGE('Calc (scoring engine)'!$K$5:$K$523,4),-999999)&lt;=-900000),"",IFERROR(IF(INDEX(Database!$P$5:$P$523,MATCH(LARGE('Calc (scoring engine)'!$K$5:$K$523,4),'Calc (scoring engine)'!$K$5:$K$523,0))="","—",INDEX(Database!$P$5:$P$523,MATCH(LARGE('Calc (scoring engine)'!$K$5:$K$523,4),'Calc (scoring engine)'!$K$5:$K$523,0))),""))</f>
        <v/>
      </c>
      <c r="P24" s="19">
        <f>IF(OR(4&gt;MAX(3,MIN(15,N($D$18))),IFERROR(LARGE('Calc (scoring engine)'!$K$5:$K$523,4),-999999)&lt;=-900000),"",IFERROR(IF(INDEX(Database!$Q$5:$Q$523,MATCH(LARGE('Calc (scoring engine)'!$K$5:$K$523,4),'Calc (scoring engine)'!$K$5:$K$523,0))="","—",INDEX(Database!$Q$5:$Q$523,MATCH(LARGE('Calc (scoring engine)'!$K$5:$K$523,4),'Calc (scoring engine)'!$K$5:$K$523,0))),""))</f>
        <v/>
      </c>
      <c r="Q24" s="26">
        <f>IF(OR(4&gt;MAX(3,MIN(15,N($D$18))),IFERROR(LARGE('Calc (scoring engine)'!$K$5:$K$523,4),-999999)&lt;=-900000),"",IFERROR(IF(INDEX(Database!$S$5:$S$523,MATCH(LARGE('Calc (scoring engine)'!$K$5:$K$523,4),'Calc (scoring engine)'!$K$5:$K$523,0))="","—",INDEX(Database!$S$5:$S$523,MATCH(LARGE('Calc (scoring engine)'!$K$5:$K$523,4),'Calc (scoring engine)'!$K$5:$K$523,0))),""))</f>
        <v/>
      </c>
      <c r="R24" s="51">
        <f>IF(OR(4&gt;MAX(3,MIN(15,N($D$18))),IFERROR(LARGE('Calc (scoring engine)'!$K$5:$K$523,4),-999999)&lt;=-900000),"",IFERROR(IF(INDEX(Database!$T$5:$T$523,MATCH(LARGE('Calc (scoring engine)'!$K$5:$K$523,4),'Calc (scoring engine)'!$K$5:$K$523,0))="","—",INDEX(Database!$T$5:$T$523,MATCH(LARGE('Calc (scoring engine)'!$K$5:$K$523,4),'Calc (scoring engine)'!$K$5:$K$523,0))),""))</f>
        <v/>
      </c>
      <c r="S24" s="52">
        <f>IF(OR(4&gt;MAX(3,MIN(15,N($D$18))),IFERROR(LARGE('Calc (scoring engine)'!$K$5:$K$523,4),-999999)&lt;=-900000),"",IFERROR(IF(INDEX(Database!$U$5:$U$523,MATCH(LARGE('Calc (scoring engine)'!$K$5:$K$523,4),'Calc (scoring engine)'!$K$5:$K$523,0))="","—",INDEX(Database!$U$5:$U$523,MATCH(LARGE('Calc (scoring engine)'!$K$5:$K$523,4),'Calc (scoring engine)'!$K$5:$K$523,0))),""))</f>
        <v/>
      </c>
      <c r="T24" s="53">
        <f>IF(OR(4&gt;MAX(3,MIN(15,N($D$18))),IFERROR(LARGE('Calc (scoring engine)'!$K$5:$K$523,4),-999999)&lt;=-900000),"",IFERROR(IF(INDEX(Database!$V$5:$V$523,MATCH(LARGE('Calc (scoring engine)'!$K$5:$K$523,4),'Calc (scoring engine)'!$K$5:$K$523,0))="","—",INDEX(Database!$V$5:$V$523,MATCH(LARGE('Calc (scoring engine)'!$K$5:$K$523,4),'Calc (scoring engine)'!$K$5:$K$523,0))),""))</f>
        <v/>
      </c>
      <c r="U24" s="31">
        <f>IF(OR(4&gt;MAX(3,MIN(15,N($D$18))),IFERROR(LARGE('Calc (scoring engine)'!$K$5:$K$523,4),-999999)&lt;=-900000),"",IFERROR(IF(INDEX(Database!$W$5:$W$523,MATCH(LARGE('Calc (scoring engine)'!$K$5:$K$523,4),'Calc (scoring engine)'!$K$5:$K$523,0))="","—",INDEX(Database!$W$5:$W$523,MATCH(LARGE('Calc (scoring engine)'!$K$5:$K$523,4),'Calc (scoring engine)'!$K$5:$K$523,0))),""))</f>
        <v/>
      </c>
      <c r="V24" s="10">
        <f>IF(OR(4&gt;MAX(3,MIN(15,N($D$18))),IFERROR(LARGE('Calc (scoring engine)'!$K$5:$K$523,4),-999999)&lt;=-900000),"",IFERROR(IF(INDEX(Database!$X$5:$X$523,MATCH(LARGE('Calc (scoring engine)'!$K$5:$K$523,4),'Calc (scoring engine)'!$K$5:$K$523,0))="","—",INDEX(Database!$X$5:$X$523,MATCH(LARGE('Calc (scoring engine)'!$K$5:$K$523,4),'Calc (scoring engine)'!$K$5:$K$523,0))),""))</f>
        <v/>
      </c>
      <c r="W24" s="19">
        <f>IF(OR(4&gt;MAX(3,MIN(15,N($D$18))),IFERROR(LARGE('Calc (scoring engine)'!$K$5:$K$523,4),-999999)&lt;=-900000),"",IFERROR(IF(INDEX(Database!$Y$5:$Y$523,MATCH(LARGE('Calc (scoring engine)'!$K$5:$K$523,4),'Calc (scoring engine)'!$K$5:$K$523,0))="","—",INDEX(Database!$Y$5:$Y$523,MATCH(LARGE('Calc (scoring engine)'!$K$5:$K$523,4),'Calc (scoring engine)'!$K$5:$K$523,0))),""))</f>
        <v/>
      </c>
      <c r="X24" s="19">
        <f>IF(OR(4&gt;MAX(3,MIN(15,N($D$18))),IFERROR(LARGE('Calc (scoring engine)'!$K$5:$K$523,4),-999999)&lt;=-900000),"",IFERROR(IF(INDEX(Database!$Z$5:$Z$523,MATCH(LARGE('Calc (scoring engine)'!$K$5:$K$523,4),'Calc (scoring engine)'!$K$5:$K$523,0))="","—",INDEX(Database!$Z$5:$Z$523,MATCH(LARGE('Calc (scoring engine)'!$K$5:$K$523,4),'Calc (scoring engine)'!$K$5:$K$523,0))),""))</f>
        <v/>
      </c>
      <c r="Y24" s="31">
        <f>IF(OR(4&gt;MAX(3,MIN(15,N($D$18))),IFERROR(LARGE('Calc (scoring engine)'!$K$5:$K$523,4),-999999)&lt;=-900000),"",IFERROR(IF(INDEX(Database!$AA$5:$AA$523,MATCH(LARGE('Calc (scoring engine)'!$K$5:$K$523,4),'Calc (scoring engine)'!$K$5:$K$523,0))="","—",INDEX(Database!$AA$5:$AA$523,MATCH(LARGE('Calc (scoring engine)'!$K$5:$K$523,4),'Calc (scoring engine)'!$K$5:$K$523,0))),""))</f>
        <v/>
      </c>
      <c r="Z24" s="10">
        <f>IF(OR(4&gt;MAX(3,MIN(15,N($D$18))),IFERROR(LARGE('Calc (scoring engine)'!$K$5:$K$523,4),-999999)&lt;=-900000),"",IFERROR(IF(INDEX(Database!$AB$5:$AB$523,MATCH(LARGE('Calc (scoring engine)'!$K$5:$K$523,4),'Calc (scoring engine)'!$K$5:$K$523,0))="","—",INDEX(Database!$AB$5:$AB$523,MATCH(LARGE('Calc (scoring engine)'!$K$5:$K$523,4),'Calc (scoring engine)'!$K$5:$K$523,0))),""))</f>
        <v/>
      </c>
      <c r="AA24" s="31">
        <f>IF(OR(4&gt;MAX(3,MIN(15,N($D$18))),IFERROR(LARGE('Calc (scoring engine)'!$K$5:$K$523,4),-999999)&lt;=-900000),"",IFERROR(IF(INDEX(Database!$AD$5:$AD$523,MATCH(LARGE('Calc (scoring engine)'!$K$5:$K$523,4),'Calc (scoring engine)'!$K$5:$K$523,0))="","—",INDEX(Database!$AD$5:$AD$523,MATCH(LARGE('Calc (scoring engine)'!$K$5:$K$523,4),'Calc (scoring engine)'!$K$5:$K$523,0))),""))</f>
        <v/>
      </c>
      <c r="AB24" s="10">
        <f>IF(OR(4&gt;MAX(3,MIN(15,N($D$18))),IFERROR(LARGE('Calc (scoring engine)'!$K$5:$K$523,4),-999999)&lt;=-900000),"",IFERROR(IF(INDEX(Database!$AE$5:$AE$523,MATCH(LARGE('Calc (scoring engine)'!$K$5:$K$523,4),'Calc (scoring engine)'!$K$5:$K$523,0))="","—",INDEX(Database!$AE$5:$AE$523,MATCH(LARGE('Calc (scoring engine)'!$K$5:$K$523,4),'Calc (scoring engine)'!$K$5:$K$523,0))),""))</f>
        <v/>
      </c>
      <c r="AC24" s="10">
        <f>IF(OR(4&gt;MAX(3,MIN(15,N($D$18))),IFERROR(LARGE('Calc (scoring engine)'!$K$5:$K$523,4),-999999)&lt;=-900000),"",IFERROR(IF(INDEX(Database!$AF$5:$AF$523,MATCH(LARGE('Calc (scoring engine)'!$K$5:$K$523,4),'Calc (scoring engine)'!$K$5:$K$523,0))="","—",INDEX(Database!$AF$5:$AF$523,MATCH(LARGE('Calc (scoring engine)'!$K$5:$K$523,4),'Calc (scoring engine)'!$K$5:$K$523,0))),""))</f>
        <v/>
      </c>
      <c r="AD24" s="10">
        <f>IF(OR(4&gt;MAX(3,MIN(15,N($D$18))),IFERROR(LARGE('Calc (scoring engine)'!$K$5:$K$523,4),-999999)&lt;=-900000),"",IFERROR(IF(INDEX(Database!$AG$5:$AG$523,MATCH(LARGE('Calc (scoring engine)'!$K$5:$K$523,4),'Calc (scoring engine)'!$K$5:$K$523,0))="","—",INDEX(Database!$AG$5:$AG$523,MATCH(LARGE('Calc (scoring engine)'!$K$5:$K$523,4),'Calc (scoring engine)'!$K$5:$K$523,0))),""))</f>
        <v/>
      </c>
      <c r="AE24" s="10">
        <f>IF(OR(4&gt;MAX(3,MIN(15,N($D$18))),IFERROR(LARGE('Calc (scoring engine)'!$K$5:$K$523,4),-999999)&lt;=-900000),"",IFERROR(IF(INDEX(Database!$AH$5:$AH$523,MATCH(LARGE('Calc (scoring engine)'!$K$5:$K$523,4),'Calc (scoring engine)'!$K$5:$K$523,0))="","—",INDEX(Database!$AH$5:$AH$523,MATCH(LARGE('Calc (scoring engine)'!$K$5:$K$523,4),'Calc (scoring engine)'!$K$5:$K$523,0))),""))</f>
        <v/>
      </c>
      <c r="AF24" s="23">
        <f>IF(OR(4&gt;MAX(3,MIN(15,N($D$18))),IFERROR(LARGE('Calc (scoring engine)'!$K$5:$K$523,4),-999999)&lt;=-900000),"",IFERROR(IF(INDEX(Database!$AI$5:$AI$523,MATCH(LARGE('Calc (scoring engine)'!$K$5:$K$523,4),'Calc (scoring engine)'!$K$5:$K$523,0))="","—",INDEX(Database!$AI$5:$AI$523,MATCH(LARGE('Calc (scoring engine)'!$K$5:$K$523,4),'Calc (scoring engine)'!$K$5:$K$523,0))),""))</f>
        <v/>
      </c>
      <c r="AG24" s="23">
        <f>IF(OR(4&gt;MAX(3,MIN(15,N($D$18))),IFERROR(LARGE('Calc (scoring engine)'!$K$5:$K$523,4),-999999)&lt;=-900000),"",IFERROR(IF(INDEX(Database!$AJ$5:$AJ$523,MATCH(LARGE('Calc (scoring engine)'!$K$5:$K$523,4),'Calc (scoring engine)'!$K$5:$K$523,0))="","—",INDEX(Database!$AJ$5:$AJ$523,MATCH(LARGE('Calc (scoring engine)'!$K$5:$K$523,4),'Calc (scoring engine)'!$K$5:$K$523,0))),""))</f>
        <v/>
      </c>
      <c r="AH24" s="23">
        <f>IF(OR(4&gt;MAX(3,MIN(15,N($D$18))),IFERROR(LARGE('Calc (scoring engine)'!$K$5:$K$523,4),-999999)&lt;=-900000),"",IFERROR(IF(INDEX(Database!$AK$5:$AK$523,MATCH(LARGE('Calc (scoring engine)'!$K$5:$K$523,4),'Calc (scoring engine)'!$K$5:$K$523,0))="","—",INDEX(Database!$AK$5:$AK$523,MATCH(LARGE('Calc (scoring engine)'!$K$5:$K$523,4),'Calc (scoring engine)'!$K$5:$K$523,0))),""))</f>
        <v/>
      </c>
      <c r="AI24" s="23">
        <f>IF(OR(4&gt;MAX(3,MIN(15,N($D$18))),IFERROR(LARGE('Calc (scoring engine)'!$K$5:$K$523,4),-999999)&lt;=-900000),"",IFERROR(IF(INDEX(Database!$AL$5:$AL$523,MATCH(LARGE('Calc (scoring engine)'!$K$5:$K$523,4),'Calc (scoring engine)'!$K$5:$K$523,0))="","—",INDEX(Database!$AL$5:$AL$523,MATCH(LARGE('Calc (scoring engine)'!$K$5:$K$523,4),'Calc (scoring engine)'!$K$5:$K$523,0))),""))</f>
        <v/>
      </c>
      <c r="AJ24" s="24">
        <f>IF(OR(4&gt;MAX(3,MIN(15,N($D$18))),IFERROR(LARGE('Calc (scoring engine)'!$K$5:$K$523,4),-999999)&lt;=-900000),"",IFERROR(IF(INDEX(Database!$AM$5:$AM$523,MATCH(LARGE('Calc (scoring engine)'!$K$5:$K$523,4),'Calc (scoring engine)'!$K$5:$K$523,0))="","—",INDEX(Database!$AM$5:$AM$523,MATCH(LARGE('Calc (scoring engine)'!$K$5:$K$523,4),'Calc (scoring engine)'!$K$5:$K$523,0))),""))</f>
        <v/>
      </c>
      <c r="AK24" s="31">
        <f>IF(OR(4&gt;MAX(3,MIN(15,N($D$18))),IFERROR(LARGE('Calc (scoring engine)'!$K$5:$K$523,4),-999999)&lt;=-900000),"",IFERROR(IF(INDEX(Database!$AN$5:$AN$523,MATCH(LARGE('Calc (scoring engine)'!$K$5:$K$523,4),'Calc (scoring engine)'!$K$5:$K$523,0))="","—",INDEX(Database!$AN$5:$AN$523,MATCH(LARGE('Calc (scoring engine)'!$K$5:$K$523,4),'Calc (scoring engine)'!$K$5:$K$523,0))),""))</f>
        <v/>
      </c>
      <c r="AL24" s="23">
        <f>IF(OR(4&gt;MAX(3,MIN(15,N($D$18))),IFERROR(LARGE('Calc (scoring engine)'!$K$5:$K$523,4),-999999)&lt;=-900000),"",IFERROR(IF(INDEX(Database!$AO$5:$AO$523,MATCH(LARGE('Calc (scoring engine)'!$K$5:$K$523,4),'Calc (scoring engine)'!$K$5:$K$523,0))="","—",INDEX(Database!$AO$5:$AO$523,MATCH(LARGE('Calc (scoring engine)'!$K$5:$K$523,4),'Calc (scoring engine)'!$K$5:$K$523,0))),""))</f>
        <v/>
      </c>
      <c r="AM24" s="23">
        <f>IF(OR(4&gt;MAX(3,MIN(15,N($D$18))),IFERROR(LARGE('Calc (scoring engine)'!$K$5:$K$523,4),-999999)&lt;=-900000),"",IFERROR(IF(INDEX(Database!$AP$5:$AP$523,MATCH(LARGE('Calc (scoring engine)'!$K$5:$K$523,4),'Calc (scoring engine)'!$K$5:$K$523,0))="","—",INDEX(Database!$AP$5:$AP$523,MATCH(LARGE('Calc (scoring engine)'!$K$5:$K$523,4),'Calc (scoring engine)'!$K$5:$K$523,0))),""))</f>
        <v/>
      </c>
      <c r="AN24" s="23">
        <f>IF(OR(4&gt;MAX(3,MIN(15,N($D$18))),IFERROR(LARGE('Calc (scoring engine)'!$K$5:$K$523,4),-999999)&lt;=-900000),"",IFERROR(IF(INDEX(Database!$AQ$5:$AQ$523,MATCH(LARGE('Calc (scoring engine)'!$K$5:$K$523,4),'Calc (scoring engine)'!$K$5:$K$523,0))="","—",INDEX(Database!$AQ$5:$AQ$523,MATCH(LARGE('Calc (scoring engine)'!$K$5:$K$523,4),'Calc (scoring engine)'!$K$5:$K$523,0))),""))</f>
        <v/>
      </c>
      <c r="AO24" s="23">
        <f>IF(OR(4&gt;MAX(3,MIN(15,N($D$18))),IFERROR(LARGE('Calc (scoring engine)'!$K$5:$K$523,4),-999999)&lt;=-900000),"",IFERROR(IF(INDEX(Database!$AR$5:$AR$523,MATCH(LARGE('Calc (scoring engine)'!$K$5:$K$523,4),'Calc (scoring engine)'!$K$5:$K$523,0))="","—",INDEX(Database!$AR$5:$AR$523,MATCH(LARGE('Calc (scoring engine)'!$K$5:$K$523,4),'Calc (scoring engine)'!$K$5:$K$523,0))),""))</f>
        <v/>
      </c>
      <c r="AP24" s="23">
        <f>IF(OR(4&gt;MAX(3,MIN(15,N($D$18))),IFERROR(LARGE('Calc (scoring engine)'!$K$5:$K$523,4),-999999)&lt;=-900000),"",IFERROR(IF(INDEX(Database!$AS$5:$AS$523,MATCH(LARGE('Calc (scoring engine)'!$K$5:$K$523,4),'Calc (scoring engine)'!$K$5:$K$523,0))="","—",INDEX(Database!$AS$5:$AS$523,MATCH(LARGE('Calc (scoring engine)'!$K$5:$K$523,4),'Calc (scoring engine)'!$K$5:$K$523,0))),""))</f>
        <v/>
      </c>
      <c r="AQ24" s="23">
        <f>IF(OR(4&gt;MAX(3,MIN(15,N($D$18))),IFERROR(LARGE('Calc (scoring engine)'!$K$5:$K$523,4),-999999)&lt;=-900000),"",IFERROR(IF(INDEX(Database!$AT$5:$AT$523,MATCH(LARGE('Calc (scoring engine)'!$K$5:$K$523,4),'Calc (scoring engine)'!$K$5:$K$523,0))="","—",INDEX(Database!$AT$5:$AT$523,MATCH(LARGE('Calc (scoring engine)'!$K$5:$K$523,4),'Calc (scoring engine)'!$K$5:$K$523,0))),""))</f>
        <v/>
      </c>
      <c r="AR24" s="23">
        <f>IF(OR(4&gt;MAX(3,MIN(15,N($D$18))),IFERROR(LARGE('Calc (scoring engine)'!$K$5:$K$523,4),-999999)&lt;=-900000),"",IFERROR(IF(INDEX(Database!$AU$5:$AU$523,MATCH(LARGE('Calc (scoring engine)'!$K$5:$K$523,4),'Calc (scoring engine)'!$K$5:$K$523,0))="","—",INDEX(Database!$AU$5:$AU$523,MATCH(LARGE('Calc (scoring engine)'!$K$5:$K$523,4),'Calc (scoring engine)'!$K$5:$K$523,0))),""))</f>
        <v/>
      </c>
      <c r="AS24" s="23">
        <f>IF(OR(4&gt;MAX(3,MIN(15,N($D$18))),IFERROR(LARGE('Calc (scoring engine)'!$K$5:$K$523,4),-999999)&lt;=-900000),"",IFERROR(IF(INDEX(Database!$AV$5:$AV$523,MATCH(LARGE('Calc (scoring engine)'!$K$5:$K$523,4),'Calc (scoring engine)'!$K$5:$K$523,0))="","—",INDEX(Database!$AV$5:$AV$523,MATCH(LARGE('Calc (scoring engine)'!$K$5:$K$523,4),'Calc (scoring engine)'!$K$5:$K$523,0))),""))</f>
        <v/>
      </c>
      <c r="AT24" s="23">
        <f>IF(OR(4&gt;MAX(3,MIN(15,N($D$18))),IFERROR(LARGE('Calc (scoring engine)'!$K$5:$K$523,4),-999999)&lt;=-900000),"",IFERROR(IF(INDEX(Database!$AW$5:$AW$523,MATCH(LARGE('Calc (scoring engine)'!$K$5:$K$523,4),'Calc (scoring engine)'!$K$5:$K$523,0))="","—",INDEX(Database!$AW$5:$AW$523,MATCH(LARGE('Calc (scoring engine)'!$K$5:$K$523,4),'Calc (scoring engine)'!$K$5:$K$523,0))),""))</f>
        <v/>
      </c>
      <c r="AU24" s="23">
        <f>IF(OR(4&gt;MAX(3,MIN(15,N($D$18))),IFERROR(LARGE('Calc (scoring engine)'!$K$5:$K$523,4),-999999)&lt;=-900000),"",IFERROR(IF(INDEX(Database!$AX$5:$AX$523,MATCH(LARGE('Calc (scoring engine)'!$K$5:$K$523,4),'Calc (scoring engine)'!$K$5:$K$523,0))="","—",INDEX(Database!$AX$5:$AX$523,MATCH(LARGE('Calc (scoring engine)'!$K$5:$K$523,4),'Calc (scoring engine)'!$K$5:$K$523,0))),""))</f>
        <v/>
      </c>
      <c r="AV24" s="23">
        <f>IF(OR(4&gt;MAX(3,MIN(15,N($D$18))),IFERROR(LARGE('Calc (scoring engine)'!$K$5:$K$523,4),-999999)&lt;=-900000),"",IFERROR(IF(INDEX(Database!$AY$5:$AY$523,MATCH(LARGE('Calc (scoring engine)'!$K$5:$K$523,4),'Calc (scoring engine)'!$K$5:$K$523,0))="","—",INDEX(Database!$AY$5:$AY$523,MATCH(LARGE('Calc (scoring engine)'!$K$5:$K$523,4),'Calc (scoring engine)'!$K$5:$K$523,0))),""))</f>
        <v/>
      </c>
      <c r="AW24" s="23">
        <f>IF(OR(4&gt;MAX(3,MIN(15,N($D$18))),IFERROR(LARGE('Calc (scoring engine)'!$K$5:$K$523,4),-999999)&lt;=-900000),"",IFERROR(IF(INDEX(Database!$AZ$5:$AZ$523,MATCH(LARGE('Calc (scoring engine)'!$K$5:$K$523,4),'Calc (scoring engine)'!$K$5:$K$523,0))="","—",INDEX(Database!$AZ$5:$AZ$523,MATCH(LARGE('Calc (scoring engine)'!$K$5:$K$523,4),'Calc (scoring engine)'!$K$5:$K$523,0))),""))</f>
        <v/>
      </c>
      <c r="AX24" s="23">
        <f>IF(OR(4&gt;MAX(3,MIN(15,N($D$18))),IFERROR(LARGE('Calc (scoring engine)'!$K$5:$K$523,4),-999999)&lt;=-900000),"",IFERROR(IF(INDEX(Database!$BB$5:$BB$523,MATCH(LARGE('Calc (scoring engine)'!$K$5:$K$523,4),'Calc (scoring engine)'!$K$5:$K$523,0))="","—",INDEX(Database!$BB$5:$BB$523,MATCH(LARGE('Calc (scoring engine)'!$K$5:$K$523,4),'Calc (scoring engine)'!$K$5:$K$523,0))),""))</f>
        <v/>
      </c>
      <c r="AY24" s="19">
        <f>IF(OR(4&gt;MAX(3,MIN(15,N($D$18))),IFERROR(LARGE('Calc (scoring engine)'!$K$5:$K$523,4),-999999)&lt;=-900000),"",IFERROR(IF(INDEX(Database!$BD$5:$BD$523,MATCH(LARGE('Calc (scoring engine)'!$K$5:$K$523,4),'Calc (scoring engine)'!$K$5:$K$523,0))="","—",INDEX(Database!$BD$5:$BD$523,MATCH(LARGE('Calc (scoring engine)'!$K$5:$K$523,4),'Calc (scoring engine)'!$K$5:$K$523,0))),""))</f>
        <v/>
      </c>
      <c r="AZ24" s="19">
        <f>IF(OR(4&gt;MAX(3,MIN(15,N($D$18))),IFERROR(LARGE('Calc (scoring engine)'!$K$5:$K$523,4),-999999)&lt;=-900000),"",IFERROR(IF(INDEX(Database!$BE$5:$BE$523,MATCH(LARGE('Calc (scoring engine)'!$K$5:$K$523,4),'Calc (scoring engine)'!$K$5:$K$523,0))="","—",INDEX(Database!$BE$5:$BE$523,MATCH(LARGE('Calc (scoring engine)'!$K$5:$K$523,4),'Calc (scoring engine)'!$K$5:$K$523,0))),""))</f>
        <v/>
      </c>
      <c r="BA24" s="10">
        <f>IF(OR(4&gt;MAX(3,MIN(15,N($D$18))),IFERROR(LARGE('Calc (scoring engine)'!$K$5:$K$523,4),-999999)&lt;=-900000),"",IFERROR(IF(INDEX(Database!$BF$5:$BF$523,MATCH(LARGE('Calc (scoring engine)'!$K$5:$K$523,4),'Calc (scoring engine)'!$K$5:$K$523,0))="","—",INDEX(Database!$BF$5:$BF$523,MATCH(LARGE('Calc (scoring engine)'!$K$5:$K$523,4),'Calc (scoring engine)'!$K$5:$K$523,0))),""))</f>
        <v/>
      </c>
      <c r="BB24" s="24">
        <f>IF(OR(4&gt;MAX(3,MIN(15,N($D$18))),IFERROR(LARGE('Calc (scoring engine)'!$K$5:$K$523,4),-999999)&lt;=-900000),"",IFERROR(IF(N(INDEX(Database!$BG$5:$BG$523,MATCH(LARGE('Calc (scoring engine)'!$K$5:$K$523,4),'Calc (scoring engine)'!$K$5:$K$523,0)))&lt;=0,IF(INDEX(Database!$BF$5:$BF$523,MATCH(LARGE('Calc (scoring engine)'!$K$5:$K$523,4),'Calc (scoring engine)'!$K$5:$K$523,0))="N","n/m","—"),INDEX(Database!$BG$5:$BG$523,MATCH(LARGE('Calc (scoring engine)'!$K$5:$K$523,4),'Calc (scoring engine)'!$K$5:$K$523,0))),""))</f>
        <v/>
      </c>
      <c r="BC24" s="24">
        <f>IF(OR(4&gt;MAX(3,MIN(15,N($D$18))),IFERROR(LARGE('Calc (scoring engine)'!$K$5:$K$523,4),-999999)&lt;=-900000),"",IFERROR(IF(INDEX(Database!$BH$5:$BH$523,MATCH(LARGE('Calc (scoring engine)'!$K$5:$K$523,4),'Calc (scoring engine)'!$K$5:$K$523,0))="","—",INDEX(Database!$BH$5:$BH$523,MATCH(LARGE('Calc (scoring engine)'!$K$5:$K$523,4),'Calc (scoring engine)'!$K$5:$K$523,0))),""))</f>
        <v/>
      </c>
      <c r="BD24" s="24">
        <f>IF(OR(4&gt;MAX(3,MIN(15,N($D$18))),IFERROR(LARGE('Calc (scoring engine)'!$K$5:$K$523,4),-999999)&lt;=-900000),"",IFERROR(IF(INDEX(Database!$BI$5:$BI$523,MATCH(LARGE('Calc (scoring engine)'!$K$5:$K$523,4),'Calc (scoring engine)'!$K$5:$K$523,0))="","—",INDEX(Database!$BI$5:$BI$523,MATCH(LARGE('Calc (scoring engine)'!$K$5:$K$523,4),'Calc (scoring engine)'!$K$5:$K$523,0))),""))</f>
        <v/>
      </c>
      <c r="BE24" s="24">
        <f>IF(OR(4&gt;MAX(3,MIN(15,N($D$18))),IFERROR(LARGE('Calc (scoring engine)'!$K$5:$K$523,4),-999999)&lt;=-900000),"",IFERROR(IF(INDEX(Database!$BJ$5:$BJ$523,MATCH(LARGE('Calc (scoring engine)'!$K$5:$K$523,4),'Calc (scoring engine)'!$K$5:$K$523,0))="","—",INDEX(Database!$BJ$5:$BJ$523,MATCH(LARGE('Calc (scoring engine)'!$K$5:$K$523,4),'Calc (scoring engine)'!$K$5:$K$523,0))),""))</f>
        <v/>
      </c>
      <c r="BF24" s="24">
        <f>IF(OR(4&gt;MAX(3,MIN(15,N($D$18))),IFERROR(LARGE('Calc (scoring engine)'!$K$5:$K$523,4),-999999)&lt;=-900000),"",IFERROR(IF(INDEX(Database!$BK$5:$BK$523,MATCH(LARGE('Calc (scoring engine)'!$K$5:$K$523,4),'Calc (scoring engine)'!$K$5:$K$523,0))="","—",INDEX(Database!$BK$5:$BK$523,MATCH(LARGE('Calc (scoring engine)'!$K$5:$K$523,4),'Calc (scoring engine)'!$K$5:$K$523,0))),""))</f>
        <v/>
      </c>
      <c r="BG24" s="24">
        <f>IF(OR(4&gt;MAX(3,MIN(15,N($D$18))),IFERROR(LARGE('Calc (scoring engine)'!$K$5:$K$523,4),-999999)&lt;=-900000),"",IFERROR(IFERROR(BDP(TEXT(INDEX(Database!$A$5:$A$523,MATCH(LARGE('Calc (scoring engine)'!$K$5:$K$523,4),'Calc (scoring engine)'!$K$5:$K$523,0)),"0")&amp;" HK Equity","PE_RATIO"),IF(INDEX(Database!$BI$5:$BI$523,MATCH(LARGE('Calc (scoring engine)'!$K$5:$K$523,4),'Calc (scoring engine)'!$K$5:$K$523,0))="","—",INDEX(Database!$BI$5:$BI$523,MATCH(LARGE('Calc (scoring engine)'!$K$5:$K$523,4),'Calc (scoring engine)'!$K$5:$K$523,0)))),""))</f>
        <v/>
      </c>
      <c r="BH24" s="24">
        <f>IF(OR(4&gt;MAX(3,MIN(15,N($D$18))),IFERROR(LARGE('Calc (scoring engine)'!$K$5:$K$523,4),-999999)&lt;=-900000),"",IFERROR(IFERROR(BDP(TEXT(INDEX(Database!$A$5:$A$523,MATCH(LARGE('Calc (scoring engine)'!$K$5:$K$523,4),'Calc (scoring engine)'!$K$5:$K$523,0)),"0")&amp;" HK Equity","PX_TO_SALES_RATIO"),IF(INDEX(Database!$BJ$5:$BJ$523,MATCH(LARGE('Calc (scoring engine)'!$K$5:$K$523,4),'Calc (scoring engine)'!$K$5:$K$523,0))="","—",INDEX(Database!$BJ$5:$BJ$523,MATCH(LARGE('Calc (scoring engine)'!$K$5:$K$523,4),'Calc (scoring engine)'!$K$5:$K$523,0)))),""))</f>
        <v/>
      </c>
      <c r="BI24" s="10">
        <f>IF(OR(4&gt;MAX(3,MIN(15,N($D$18))),IFERROR(LARGE('Calc (scoring engine)'!$K$5:$K$523,4),-999999)&lt;=-900000),"",IFERROR(IF(INDEX(Database!$BL$5:$BL$523,MATCH(LARGE('Calc (scoring engine)'!$K$5:$K$523,4),'Calc (scoring engine)'!$K$5:$K$523,0))="","—",INDEX(Database!$BL$5:$BL$523,MATCH(LARGE('Calc (scoring engine)'!$K$5:$K$523,4),'Calc (scoring engine)'!$K$5:$K$523,0))),""))</f>
        <v/>
      </c>
      <c r="BJ24" s="10">
        <f>IF(OR(4&gt;MAX(3,MIN(15,N($D$18))),IFERROR(LARGE('Calc (scoring engine)'!$K$5:$K$523,4),-999999)&lt;=-900000),"",IFERROR(IF(INDEX(Database!$BM$5:$BM$523,MATCH(LARGE('Calc (scoring engine)'!$K$5:$K$523,4),'Calc (scoring engine)'!$K$5:$K$523,0))="","—",INDEX(Database!$BM$5:$BM$523,MATCH(LARGE('Calc (scoring engine)'!$K$5:$K$523,4),'Calc (scoring engine)'!$K$5:$K$523,0))),""))</f>
        <v/>
      </c>
      <c r="BK24" s="23">
        <f>IF(OR(4&gt;MAX(3,MIN(15,N($D$18))),IFERROR(LARGE('Calc (scoring engine)'!$K$5:$K$523,4),-999999)&lt;=-900000),"",IFERROR(IF(INDEX(Database!$BN$5:$BN$523,MATCH(LARGE('Calc (scoring engine)'!$K$5:$K$523,4),'Calc (scoring engine)'!$K$5:$K$523,0))="","—",INDEX(Database!$BN$5:$BN$523,MATCH(LARGE('Calc (scoring engine)'!$K$5:$K$523,4),'Calc (scoring engine)'!$K$5:$K$523,0))),""))</f>
        <v/>
      </c>
      <c r="BL24" s="50">
        <f>IF(OR(4&gt;MAX(3,MIN(15,N($D$18))),IFERROR(LARGE('Calc (scoring engine)'!$K$5:$K$523,4),-999999)&lt;=-900000),"",IFERROR(IF(INDEX(Database!$BO$5:$BO$523,MATCH(LARGE('Calc (scoring engine)'!$K$5:$K$523,4),'Calc (scoring engine)'!$K$5:$K$523,0))="","—",INDEX(Database!$BO$5:$BO$523,MATCH(LARGE('Calc (scoring engine)'!$K$5:$K$523,4),'Calc (scoring engine)'!$K$5:$K$523,0))),""))</f>
        <v/>
      </c>
      <c r="BM24" s="54">
        <f>IF(OR(4&gt;MAX(3,MIN(15,N($D$18))),IFERROR(LARGE('Calc (scoring engine)'!$K$5:$K$523,4),-999999)&lt;=-900000),"",IFERROR(IF(INDEX(Database!$BP$5:$BP$523,MATCH(LARGE('Calc (scoring engine)'!$K$5:$K$523,4),'Calc (scoring engine)'!$K$5:$K$523,0))="","—",INDEX(Database!$BP$5:$BP$523,MATCH(LARGE('Calc (scoring engine)'!$K$5:$K$523,4),'Calc (scoring engine)'!$K$5:$K$523,0))),""))</f>
        <v/>
      </c>
      <c r="BN24" s="19">
        <f>IF(OR(4&gt;MAX(3,MIN(15,N($D$18))),IFERROR(LARGE('Calc (scoring engine)'!$K$5:$K$523,4),-999999)&lt;=-900000),"",IFERROR(IF(INDEX(Database!$BQ$5:$BQ$523,MATCH(LARGE('Calc (scoring engine)'!$K$5:$K$523,4),'Calc (scoring engine)'!$K$5:$K$523,0))="","—",INDEX(Database!$BQ$5:$BQ$523,MATCH(LARGE('Calc (scoring engine)'!$K$5:$K$523,4),'Calc (scoring engine)'!$K$5:$K$523,0))),""))</f>
        <v/>
      </c>
      <c r="BO24" s="24">
        <f>IF(OR(4&gt;MAX(3,MIN(15,N($D$18))),IFERROR(LARGE('Calc (scoring engine)'!$K$5:$K$523,4),-999999)&lt;=-900000),"",IFERROR(IF(INDEX(Database!$BR$5:$BR$523,MATCH(LARGE('Calc (scoring engine)'!$K$5:$K$523,4),'Calc (scoring engine)'!$K$5:$K$523,0))="","—",INDEX(Database!$BR$5:$BR$523,MATCH(LARGE('Calc (scoring engine)'!$K$5:$K$523,4),'Calc (scoring engine)'!$K$5:$K$523,0))),""))</f>
        <v/>
      </c>
      <c r="BP24" s="24">
        <f>IF(OR(4&gt;MAX(3,MIN(15,N($D$18))),IFERROR(LARGE('Calc (scoring engine)'!$K$5:$K$523,4),-999999)&lt;=-900000),"",IFERROR(IF(INDEX(Database!$BS$5:$BS$523,MATCH(LARGE('Calc (scoring engine)'!$K$5:$K$523,4),'Calc (scoring engine)'!$K$5:$K$523,0))="","—",INDEX(Database!$BS$5:$BS$523,MATCH(LARGE('Calc (scoring engine)'!$K$5:$K$523,4),'Calc (scoring engine)'!$K$5:$K$523,0))),""))</f>
        <v/>
      </c>
      <c r="BQ24" s="10">
        <f>IF(OR(4&gt;MAX(3,MIN(15,N($D$18))),IFERROR(LARGE('Calc (scoring engine)'!$K$5:$K$523,4),-999999)&lt;=-900000),"",IFERROR(IF(INDEX(Database!$BT$5:$BT$523,MATCH(LARGE('Calc (scoring engine)'!$K$5:$K$523,4),'Calc (scoring engine)'!$K$5:$K$523,0))="","—",INDEX(Database!$BT$5:$BT$523,MATCH(LARGE('Calc (scoring engine)'!$K$5:$K$523,4),'Calc (scoring engine)'!$K$5:$K$523,0))),""))</f>
        <v/>
      </c>
      <c r="BR24" s="10">
        <f>IF(OR(4&gt;MAX(3,MIN(15,N($D$18))),IFERROR(LARGE('Calc (scoring engine)'!$K$5:$K$523,4),-999999)&lt;=-900000),"",IFERROR(IF(INDEX(Database!$BV$5:$BV$523,MATCH(LARGE('Calc (scoring engine)'!$K$5:$K$523,4),'Calc (scoring engine)'!$K$5:$K$523,0))="","—",INDEX(Database!$BV$5:$BV$523,MATCH(LARGE('Calc (scoring engine)'!$K$5:$K$523,4),'Calc (scoring engine)'!$K$5:$K$523,0))),""))</f>
        <v/>
      </c>
      <c r="BS24" s="53">
        <f>IF(OR(4&gt;MAX(3,MIN(15,N($D$18))),IFERROR(LARGE('Calc (scoring engine)'!$K$5:$K$523,4),-999999)&lt;=-900000),"",IFERROR(IF(INDEX('Calc (scoring engine)'!$H$5:$H$523,MATCH(LARGE('Calc (scoring engine)'!$K$5:$K$523,4),'Calc (scoring engine)'!$K$5:$K$523,0))&gt;0,INDEX('Calc (scoring engine)'!$H$5:$H$523,MATCH(LARGE('Calc (scoring engine)'!$K$5:$K$523,4),'Calc (scoring engine)'!$K$5:$K$523,0)),""),""))</f>
        <v/>
      </c>
      <c r="BT24" s="10">
        <f>IF(OR(4&gt;MAX(3,MIN(15,N($D$18))),IFERROR(LARGE('Calc (scoring engine)'!$K$5:$K$523,4),-999999)&lt;=-900000),"",IF(IFERROR(INDEX('Calc (scoring engine)'!$B$5:$B$523,MATCH(LARGE('Calc (scoring engine)'!$K$5:$K$523,4),'Calc (scoring engine)'!$K$5:$K$523,0)),0)=1,"same subsector","sector only"))</f>
        <v/>
      </c>
      <c r="BU24" s="53">
        <f>IF(OR(4&gt;MAX(3,MIN(15,N($D$18))),IFERROR(LARGE('Calc (scoring engine)'!$K$5:$K$523,4),-999999)&lt;=-900000),"",ROUND(IFERROR(LARGE('Calc (scoring engine)'!$K$5:$K$523,4),0),0))</f>
        <v/>
      </c>
      <c r="BV24" s="10">
        <f>IF(OR(4&gt;MAX(3,MIN(15,N($D$18))),IFERROR(LARGE('Calc (scoring engine)'!$K$5:$K$523,4),-999999)&lt;=-900000),"",IFERROR("sub "&amp;INDEX('Calc (scoring engine)'!$B$5:$B$523,MATCH(LARGE('Calc (scoring engine)'!$K$5:$K$523,4),'Calc (scoring engine)'!$K$5:$K$523,0))*W_SUB&amp;" + size "&amp;ROUND(INDEX('Calc (scoring engine)'!$D$5:$D$523,MATCH(LARGE('Calc (scoring engine)'!$K$5:$K$523,4),'Calc (scoring engine)'!$K$5:$K$523,0))*W_SIZE,0)&amp;" + prof "&amp;INDEX('Calc (scoring engine)'!$E$5:$E$523,MATCH(LARGE('Calc (scoring engine)'!$K$5:$K$523,4),'Calc (scoring engine)'!$K$5:$K$523,0))*W_PROF&amp;" + recency "&amp;ROUND(INDEX('Calc (scoring engine)'!$G$5:$G$523,MATCH(LARGE('Calc (scoring engine)'!$K$5:$K$523,4),'Calc (scoring engine)'!$K$5:$K$523,0))*W_REC,0)&amp;IF(INDEX('Calc (scoring engine)'!$H$5:$H$523,MATCH(LARGE('Calc (scoring engine)'!$K$5:$K$523,4),'Calc (scoring engine)'!$K$5:$K$523,0))&gt;0," + shared CS x"&amp;INDEX('Calc (scoring engine)'!$H$5:$H$523,MATCH(LARGE('Calc (scoring engine)'!$K$5:$K$523,4),'Calc (scoring engine)'!$K$5:$K$523,0)),""),""))</f>
        <v/>
      </c>
    </row>
    <row r="25">
      <c r="A25" s="48">
        <f>IF(OR(5&gt;MAX(3,MIN(15,N($D$18))),IFERROR(LARGE('Calc (scoring engine)'!$K$5:$K$523,5),-999999)&lt;=-900000),"",5)</f>
        <v/>
      </c>
      <c r="B25" s="10">
        <f>IF(OR(5&gt;MAX(3,MIN(15,N($D$18))),IFERROR(LARGE('Calc (scoring engine)'!$K$5:$K$523,5),-999999)&lt;=-900000),"",IFERROR(IF(INDEX(Database!$B$5:$B$523,MATCH(LARGE('Calc (scoring engine)'!$K$5:$K$523,5),'Calc (scoring engine)'!$K$5:$K$523,0))="","—",INDEX(Database!$B$5:$B$523,MATCH(LARGE('Calc (scoring engine)'!$K$5:$K$523,5),'Calc (scoring engine)'!$K$5:$K$523,0))),""))</f>
        <v/>
      </c>
      <c r="C25" s="49">
        <f>IF(OR(5&gt;MAX(3,MIN(15,N($D$18))),IFERROR(LARGE('Calc (scoring engine)'!$K$5:$K$523,5),-999999)&lt;=-900000),"",IFERROR(IF(INDEX(Database!$A$5:$A$523,MATCH(LARGE('Calc (scoring engine)'!$K$5:$K$523,5),'Calc (scoring engine)'!$K$5:$K$523,0))="","—",INDEX(Database!$A$5:$A$523,MATCH(LARGE('Calc (scoring engine)'!$K$5:$K$523,5),'Calc (scoring engine)'!$K$5:$K$523,0))),""))</f>
        <v/>
      </c>
      <c r="D25" s="10">
        <f>IF(OR(5&gt;MAX(3,MIN(15,N($D$18))),IFERROR(LARGE('Calc (scoring engine)'!$K$5:$K$523,5),-999999)&lt;=-900000),"",IFERROR(IF(INDEX(Database!$D$5:$D$523,MATCH(LARGE('Calc (scoring engine)'!$K$5:$K$523,5),'Calc (scoring engine)'!$K$5:$K$523,0))="","—",INDEX(Database!$D$5:$D$523,MATCH(LARGE('Calc (scoring engine)'!$K$5:$K$523,5),'Calc (scoring engine)'!$K$5:$K$523,0))),""))</f>
        <v/>
      </c>
      <c r="E25" s="10">
        <f>IF(OR(5&gt;MAX(3,MIN(15,N($D$18))),IFERROR(LARGE('Calc (scoring engine)'!$K$5:$K$523,5),-999999)&lt;=-900000),"",IFERROR(IF(INDEX(Database!$E$5:$E$523,MATCH(LARGE('Calc (scoring engine)'!$K$5:$K$523,5),'Calc (scoring engine)'!$K$5:$K$523,0))="","—",INDEX(Database!$E$5:$E$523,MATCH(LARGE('Calc (scoring engine)'!$K$5:$K$523,5),'Calc (scoring engine)'!$K$5:$K$523,0))),""))</f>
        <v/>
      </c>
      <c r="F25" s="10">
        <f>IF(OR(5&gt;MAX(3,MIN(15,N($D$18))),IFERROR(LARGE('Calc (scoring engine)'!$K$5:$K$523,5),-999999)&lt;=-900000),"",IFERROR(IF(INDEX(Database!$F$5:$F$523,MATCH(LARGE('Calc (scoring engine)'!$K$5:$K$523,5),'Calc (scoring engine)'!$K$5:$K$523,0))="","—",INDEX(Database!$F$5:$F$523,MATCH(LARGE('Calc (scoring engine)'!$K$5:$K$523,5),'Calc (scoring engine)'!$K$5:$K$523,0))),""))</f>
        <v/>
      </c>
      <c r="G25" s="10">
        <f>IF(OR(5&gt;MAX(3,MIN(15,N($D$18))),IFERROR(LARGE('Calc (scoring engine)'!$K$5:$K$523,5),-999999)&lt;=-900000),"",IFERROR(IF(INDEX(Database!$G$5:$G$523,MATCH(LARGE('Calc (scoring engine)'!$K$5:$K$523,5),'Calc (scoring engine)'!$K$5:$K$523,0))="","—",INDEX(Database!$G$5:$G$523,MATCH(LARGE('Calc (scoring engine)'!$K$5:$K$523,5),'Calc (scoring engine)'!$K$5:$K$523,0))),""))</f>
        <v/>
      </c>
      <c r="H25" s="21">
        <f>IF(OR(5&gt;MAX(3,MIN(15,N($D$18))),IFERROR(LARGE('Calc (scoring engine)'!$K$5:$K$523,5),-999999)&lt;=-900000),"",IFERROR(IF(INDEX(Database!$H$5:$H$523,MATCH(LARGE('Calc (scoring engine)'!$K$5:$K$523,5),'Calc (scoring engine)'!$K$5:$K$523,0))="","—",INDEX(Database!$H$5:$H$523,MATCH(LARGE('Calc (scoring engine)'!$K$5:$K$523,5),'Calc (scoring engine)'!$K$5:$K$523,0))),""))</f>
        <v/>
      </c>
      <c r="I25" s="19">
        <f>IF(OR(5&gt;MAX(3,MIN(15,N($D$18))),IFERROR(LARGE('Calc (scoring engine)'!$K$5:$K$523,5),-999999)&lt;=-900000),"",IFERROR(IF(INDEX(Database!$I$5:$I$523,MATCH(LARGE('Calc (scoring engine)'!$K$5:$K$523,5),'Calc (scoring engine)'!$K$5:$K$523,0))="","—",INDEX(Database!$I$5:$I$523,MATCH(LARGE('Calc (scoring engine)'!$K$5:$K$523,5),'Calc (scoring engine)'!$K$5:$K$523,0))),""))</f>
        <v/>
      </c>
      <c r="J25" s="50">
        <f>IF(OR(5&gt;MAX(3,MIN(15,N($D$18))),IFERROR(LARGE('Calc (scoring engine)'!$K$5:$K$523,5),-999999)&lt;=-900000),"",IFERROR(IF(INDEX(Database!$K$5:$K$523,MATCH(LARGE('Calc (scoring engine)'!$K$5:$K$523,5),'Calc (scoring engine)'!$K$5:$K$523,0))="","—",INDEX(Database!$K$5:$K$523,MATCH(LARGE('Calc (scoring engine)'!$K$5:$K$523,5),'Calc (scoring engine)'!$K$5:$K$523,0))),""))</f>
        <v/>
      </c>
      <c r="K25" s="50">
        <f>IF(OR(5&gt;MAX(3,MIN(15,N($D$18))),IFERROR(LARGE('Calc (scoring engine)'!$K$5:$K$523,5),-999999)&lt;=-900000),"",IFERROR(IF(INDEX(Database!$L$5:$L$523,MATCH(LARGE('Calc (scoring engine)'!$K$5:$K$523,5),'Calc (scoring engine)'!$K$5:$K$523,0))="","—",INDEX(Database!$L$5:$L$523,MATCH(LARGE('Calc (scoring engine)'!$K$5:$K$523,5),'Calc (scoring engine)'!$K$5:$K$523,0))),""))</f>
        <v/>
      </c>
      <c r="L25" s="50">
        <f>IF(OR(5&gt;MAX(3,MIN(15,N($D$18))),IFERROR(LARGE('Calc (scoring engine)'!$K$5:$K$523,5),-999999)&lt;=-900000),"",IFERROR(IF(INDEX(Database!$M$5:$M$523,MATCH(LARGE('Calc (scoring engine)'!$K$5:$K$523,5),'Calc (scoring engine)'!$K$5:$K$523,0))="","—",INDEX(Database!$M$5:$M$523,MATCH(LARGE('Calc (scoring engine)'!$K$5:$K$523,5),'Calc (scoring engine)'!$K$5:$K$523,0))),""))</f>
        <v/>
      </c>
      <c r="M25" s="10">
        <f>IF(OR(5&gt;MAX(3,MIN(15,N($D$18))),IFERROR(LARGE('Calc (scoring engine)'!$K$5:$K$523,5),-999999)&lt;=-900000),"",IFERROR(IF(INDEX(Database!$N$5:$N$523,MATCH(LARGE('Calc (scoring engine)'!$K$5:$K$523,5),'Calc (scoring engine)'!$K$5:$K$523,0))="","—",INDEX(Database!$N$5:$N$523,MATCH(LARGE('Calc (scoring engine)'!$K$5:$K$523,5),'Calc (scoring engine)'!$K$5:$K$523,0))),""))</f>
        <v/>
      </c>
      <c r="N25" s="31">
        <f>IF(OR(5&gt;MAX(3,MIN(15,N($D$18))),IFERROR(LARGE('Calc (scoring engine)'!$K$5:$K$523,5),-999999)&lt;=-900000),"",IFERROR(IF(INDEX(Database!$O$5:$O$523,MATCH(LARGE('Calc (scoring engine)'!$K$5:$K$523,5),'Calc (scoring engine)'!$K$5:$K$523,0))="","—",INDEX(Database!$O$5:$O$523,MATCH(LARGE('Calc (scoring engine)'!$K$5:$K$523,5),'Calc (scoring engine)'!$K$5:$K$523,0))),""))</f>
        <v/>
      </c>
      <c r="O25" s="31">
        <f>IF(OR(5&gt;MAX(3,MIN(15,N($D$18))),IFERROR(LARGE('Calc (scoring engine)'!$K$5:$K$523,5),-999999)&lt;=-900000),"",IFERROR(IF(INDEX(Database!$P$5:$P$523,MATCH(LARGE('Calc (scoring engine)'!$K$5:$K$523,5),'Calc (scoring engine)'!$K$5:$K$523,0))="","—",INDEX(Database!$P$5:$P$523,MATCH(LARGE('Calc (scoring engine)'!$K$5:$K$523,5),'Calc (scoring engine)'!$K$5:$K$523,0))),""))</f>
        <v/>
      </c>
      <c r="P25" s="19">
        <f>IF(OR(5&gt;MAX(3,MIN(15,N($D$18))),IFERROR(LARGE('Calc (scoring engine)'!$K$5:$K$523,5),-999999)&lt;=-900000),"",IFERROR(IF(INDEX(Database!$Q$5:$Q$523,MATCH(LARGE('Calc (scoring engine)'!$K$5:$K$523,5),'Calc (scoring engine)'!$K$5:$K$523,0))="","—",INDEX(Database!$Q$5:$Q$523,MATCH(LARGE('Calc (scoring engine)'!$K$5:$K$523,5),'Calc (scoring engine)'!$K$5:$K$523,0))),""))</f>
        <v/>
      </c>
      <c r="Q25" s="26">
        <f>IF(OR(5&gt;MAX(3,MIN(15,N($D$18))),IFERROR(LARGE('Calc (scoring engine)'!$K$5:$K$523,5),-999999)&lt;=-900000),"",IFERROR(IF(INDEX(Database!$S$5:$S$523,MATCH(LARGE('Calc (scoring engine)'!$K$5:$K$523,5),'Calc (scoring engine)'!$K$5:$K$523,0))="","—",INDEX(Database!$S$5:$S$523,MATCH(LARGE('Calc (scoring engine)'!$K$5:$K$523,5),'Calc (scoring engine)'!$K$5:$K$523,0))),""))</f>
        <v/>
      </c>
      <c r="R25" s="51">
        <f>IF(OR(5&gt;MAX(3,MIN(15,N($D$18))),IFERROR(LARGE('Calc (scoring engine)'!$K$5:$K$523,5),-999999)&lt;=-900000),"",IFERROR(IF(INDEX(Database!$T$5:$T$523,MATCH(LARGE('Calc (scoring engine)'!$K$5:$K$523,5),'Calc (scoring engine)'!$K$5:$K$523,0))="","—",INDEX(Database!$T$5:$T$523,MATCH(LARGE('Calc (scoring engine)'!$K$5:$K$523,5),'Calc (scoring engine)'!$K$5:$K$523,0))),""))</f>
        <v/>
      </c>
      <c r="S25" s="52">
        <f>IF(OR(5&gt;MAX(3,MIN(15,N($D$18))),IFERROR(LARGE('Calc (scoring engine)'!$K$5:$K$523,5),-999999)&lt;=-900000),"",IFERROR(IF(INDEX(Database!$U$5:$U$523,MATCH(LARGE('Calc (scoring engine)'!$K$5:$K$523,5),'Calc (scoring engine)'!$K$5:$K$523,0))="","—",INDEX(Database!$U$5:$U$523,MATCH(LARGE('Calc (scoring engine)'!$K$5:$K$523,5),'Calc (scoring engine)'!$K$5:$K$523,0))),""))</f>
        <v/>
      </c>
      <c r="T25" s="53">
        <f>IF(OR(5&gt;MAX(3,MIN(15,N($D$18))),IFERROR(LARGE('Calc (scoring engine)'!$K$5:$K$523,5),-999999)&lt;=-900000),"",IFERROR(IF(INDEX(Database!$V$5:$V$523,MATCH(LARGE('Calc (scoring engine)'!$K$5:$K$523,5),'Calc (scoring engine)'!$K$5:$K$523,0))="","—",INDEX(Database!$V$5:$V$523,MATCH(LARGE('Calc (scoring engine)'!$K$5:$K$523,5),'Calc (scoring engine)'!$K$5:$K$523,0))),""))</f>
        <v/>
      </c>
      <c r="U25" s="31">
        <f>IF(OR(5&gt;MAX(3,MIN(15,N($D$18))),IFERROR(LARGE('Calc (scoring engine)'!$K$5:$K$523,5),-999999)&lt;=-900000),"",IFERROR(IF(INDEX(Database!$W$5:$W$523,MATCH(LARGE('Calc (scoring engine)'!$K$5:$K$523,5),'Calc (scoring engine)'!$K$5:$K$523,0))="","—",INDEX(Database!$W$5:$W$523,MATCH(LARGE('Calc (scoring engine)'!$K$5:$K$523,5),'Calc (scoring engine)'!$K$5:$K$523,0))),""))</f>
        <v/>
      </c>
      <c r="V25" s="10">
        <f>IF(OR(5&gt;MAX(3,MIN(15,N($D$18))),IFERROR(LARGE('Calc (scoring engine)'!$K$5:$K$523,5),-999999)&lt;=-900000),"",IFERROR(IF(INDEX(Database!$X$5:$X$523,MATCH(LARGE('Calc (scoring engine)'!$K$5:$K$523,5),'Calc (scoring engine)'!$K$5:$K$523,0))="","—",INDEX(Database!$X$5:$X$523,MATCH(LARGE('Calc (scoring engine)'!$K$5:$K$523,5),'Calc (scoring engine)'!$K$5:$K$523,0))),""))</f>
        <v/>
      </c>
      <c r="W25" s="19">
        <f>IF(OR(5&gt;MAX(3,MIN(15,N($D$18))),IFERROR(LARGE('Calc (scoring engine)'!$K$5:$K$523,5),-999999)&lt;=-900000),"",IFERROR(IF(INDEX(Database!$Y$5:$Y$523,MATCH(LARGE('Calc (scoring engine)'!$K$5:$K$523,5),'Calc (scoring engine)'!$K$5:$K$523,0))="","—",INDEX(Database!$Y$5:$Y$523,MATCH(LARGE('Calc (scoring engine)'!$K$5:$K$523,5),'Calc (scoring engine)'!$K$5:$K$523,0))),""))</f>
        <v/>
      </c>
      <c r="X25" s="19">
        <f>IF(OR(5&gt;MAX(3,MIN(15,N($D$18))),IFERROR(LARGE('Calc (scoring engine)'!$K$5:$K$523,5),-999999)&lt;=-900000),"",IFERROR(IF(INDEX(Database!$Z$5:$Z$523,MATCH(LARGE('Calc (scoring engine)'!$K$5:$K$523,5),'Calc (scoring engine)'!$K$5:$K$523,0))="","—",INDEX(Database!$Z$5:$Z$523,MATCH(LARGE('Calc (scoring engine)'!$K$5:$K$523,5),'Calc (scoring engine)'!$K$5:$K$523,0))),""))</f>
        <v/>
      </c>
      <c r="Y25" s="31">
        <f>IF(OR(5&gt;MAX(3,MIN(15,N($D$18))),IFERROR(LARGE('Calc (scoring engine)'!$K$5:$K$523,5),-999999)&lt;=-900000),"",IFERROR(IF(INDEX(Database!$AA$5:$AA$523,MATCH(LARGE('Calc (scoring engine)'!$K$5:$K$523,5),'Calc (scoring engine)'!$K$5:$K$523,0))="","—",INDEX(Database!$AA$5:$AA$523,MATCH(LARGE('Calc (scoring engine)'!$K$5:$K$523,5),'Calc (scoring engine)'!$K$5:$K$523,0))),""))</f>
        <v/>
      </c>
      <c r="Z25" s="10">
        <f>IF(OR(5&gt;MAX(3,MIN(15,N($D$18))),IFERROR(LARGE('Calc (scoring engine)'!$K$5:$K$523,5),-999999)&lt;=-900000),"",IFERROR(IF(INDEX(Database!$AB$5:$AB$523,MATCH(LARGE('Calc (scoring engine)'!$K$5:$K$523,5),'Calc (scoring engine)'!$K$5:$K$523,0))="","—",INDEX(Database!$AB$5:$AB$523,MATCH(LARGE('Calc (scoring engine)'!$K$5:$K$523,5),'Calc (scoring engine)'!$K$5:$K$523,0))),""))</f>
        <v/>
      </c>
      <c r="AA25" s="31">
        <f>IF(OR(5&gt;MAX(3,MIN(15,N($D$18))),IFERROR(LARGE('Calc (scoring engine)'!$K$5:$K$523,5),-999999)&lt;=-900000),"",IFERROR(IF(INDEX(Database!$AD$5:$AD$523,MATCH(LARGE('Calc (scoring engine)'!$K$5:$K$523,5),'Calc (scoring engine)'!$K$5:$K$523,0))="","—",INDEX(Database!$AD$5:$AD$523,MATCH(LARGE('Calc (scoring engine)'!$K$5:$K$523,5),'Calc (scoring engine)'!$K$5:$K$523,0))),""))</f>
        <v/>
      </c>
      <c r="AB25" s="10">
        <f>IF(OR(5&gt;MAX(3,MIN(15,N($D$18))),IFERROR(LARGE('Calc (scoring engine)'!$K$5:$K$523,5),-999999)&lt;=-900000),"",IFERROR(IF(INDEX(Database!$AE$5:$AE$523,MATCH(LARGE('Calc (scoring engine)'!$K$5:$K$523,5),'Calc (scoring engine)'!$K$5:$K$523,0))="","—",INDEX(Database!$AE$5:$AE$523,MATCH(LARGE('Calc (scoring engine)'!$K$5:$K$523,5),'Calc (scoring engine)'!$K$5:$K$523,0))),""))</f>
        <v/>
      </c>
      <c r="AC25" s="10">
        <f>IF(OR(5&gt;MAX(3,MIN(15,N($D$18))),IFERROR(LARGE('Calc (scoring engine)'!$K$5:$K$523,5),-999999)&lt;=-900000),"",IFERROR(IF(INDEX(Database!$AF$5:$AF$523,MATCH(LARGE('Calc (scoring engine)'!$K$5:$K$523,5),'Calc (scoring engine)'!$K$5:$K$523,0))="","—",INDEX(Database!$AF$5:$AF$523,MATCH(LARGE('Calc (scoring engine)'!$K$5:$K$523,5),'Calc (scoring engine)'!$K$5:$K$523,0))),""))</f>
        <v/>
      </c>
      <c r="AD25" s="10">
        <f>IF(OR(5&gt;MAX(3,MIN(15,N($D$18))),IFERROR(LARGE('Calc (scoring engine)'!$K$5:$K$523,5),-999999)&lt;=-900000),"",IFERROR(IF(INDEX(Database!$AG$5:$AG$523,MATCH(LARGE('Calc (scoring engine)'!$K$5:$K$523,5),'Calc (scoring engine)'!$K$5:$K$523,0))="","—",INDEX(Database!$AG$5:$AG$523,MATCH(LARGE('Calc (scoring engine)'!$K$5:$K$523,5),'Calc (scoring engine)'!$K$5:$K$523,0))),""))</f>
        <v/>
      </c>
      <c r="AE25" s="10">
        <f>IF(OR(5&gt;MAX(3,MIN(15,N($D$18))),IFERROR(LARGE('Calc (scoring engine)'!$K$5:$K$523,5),-999999)&lt;=-900000),"",IFERROR(IF(INDEX(Database!$AH$5:$AH$523,MATCH(LARGE('Calc (scoring engine)'!$K$5:$K$523,5),'Calc (scoring engine)'!$K$5:$K$523,0))="","—",INDEX(Database!$AH$5:$AH$523,MATCH(LARGE('Calc (scoring engine)'!$K$5:$K$523,5),'Calc (scoring engine)'!$K$5:$K$523,0))),""))</f>
        <v/>
      </c>
      <c r="AF25" s="23">
        <f>IF(OR(5&gt;MAX(3,MIN(15,N($D$18))),IFERROR(LARGE('Calc (scoring engine)'!$K$5:$K$523,5),-999999)&lt;=-900000),"",IFERROR(IF(INDEX(Database!$AI$5:$AI$523,MATCH(LARGE('Calc (scoring engine)'!$K$5:$K$523,5),'Calc (scoring engine)'!$K$5:$K$523,0))="","—",INDEX(Database!$AI$5:$AI$523,MATCH(LARGE('Calc (scoring engine)'!$K$5:$K$523,5),'Calc (scoring engine)'!$K$5:$K$523,0))),""))</f>
        <v/>
      </c>
      <c r="AG25" s="23">
        <f>IF(OR(5&gt;MAX(3,MIN(15,N($D$18))),IFERROR(LARGE('Calc (scoring engine)'!$K$5:$K$523,5),-999999)&lt;=-900000),"",IFERROR(IF(INDEX(Database!$AJ$5:$AJ$523,MATCH(LARGE('Calc (scoring engine)'!$K$5:$K$523,5),'Calc (scoring engine)'!$K$5:$K$523,0))="","—",INDEX(Database!$AJ$5:$AJ$523,MATCH(LARGE('Calc (scoring engine)'!$K$5:$K$523,5),'Calc (scoring engine)'!$K$5:$K$523,0))),""))</f>
        <v/>
      </c>
      <c r="AH25" s="23">
        <f>IF(OR(5&gt;MAX(3,MIN(15,N($D$18))),IFERROR(LARGE('Calc (scoring engine)'!$K$5:$K$523,5),-999999)&lt;=-900000),"",IFERROR(IF(INDEX(Database!$AK$5:$AK$523,MATCH(LARGE('Calc (scoring engine)'!$K$5:$K$523,5),'Calc (scoring engine)'!$K$5:$K$523,0))="","—",INDEX(Database!$AK$5:$AK$523,MATCH(LARGE('Calc (scoring engine)'!$K$5:$K$523,5),'Calc (scoring engine)'!$K$5:$K$523,0))),""))</f>
        <v/>
      </c>
      <c r="AI25" s="23">
        <f>IF(OR(5&gt;MAX(3,MIN(15,N($D$18))),IFERROR(LARGE('Calc (scoring engine)'!$K$5:$K$523,5),-999999)&lt;=-900000),"",IFERROR(IF(INDEX(Database!$AL$5:$AL$523,MATCH(LARGE('Calc (scoring engine)'!$K$5:$K$523,5),'Calc (scoring engine)'!$K$5:$K$523,0))="","—",INDEX(Database!$AL$5:$AL$523,MATCH(LARGE('Calc (scoring engine)'!$K$5:$K$523,5),'Calc (scoring engine)'!$K$5:$K$523,0))),""))</f>
        <v/>
      </c>
      <c r="AJ25" s="24">
        <f>IF(OR(5&gt;MAX(3,MIN(15,N($D$18))),IFERROR(LARGE('Calc (scoring engine)'!$K$5:$K$523,5),-999999)&lt;=-900000),"",IFERROR(IF(INDEX(Database!$AM$5:$AM$523,MATCH(LARGE('Calc (scoring engine)'!$K$5:$K$523,5),'Calc (scoring engine)'!$K$5:$K$523,0))="","—",INDEX(Database!$AM$5:$AM$523,MATCH(LARGE('Calc (scoring engine)'!$K$5:$K$523,5),'Calc (scoring engine)'!$K$5:$K$523,0))),""))</f>
        <v/>
      </c>
      <c r="AK25" s="31">
        <f>IF(OR(5&gt;MAX(3,MIN(15,N($D$18))),IFERROR(LARGE('Calc (scoring engine)'!$K$5:$K$523,5),-999999)&lt;=-900000),"",IFERROR(IF(INDEX(Database!$AN$5:$AN$523,MATCH(LARGE('Calc (scoring engine)'!$K$5:$K$523,5),'Calc (scoring engine)'!$K$5:$K$523,0))="","—",INDEX(Database!$AN$5:$AN$523,MATCH(LARGE('Calc (scoring engine)'!$K$5:$K$523,5),'Calc (scoring engine)'!$K$5:$K$523,0))),""))</f>
        <v/>
      </c>
      <c r="AL25" s="23">
        <f>IF(OR(5&gt;MAX(3,MIN(15,N($D$18))),IFERROR(LARGE('Calc (scoring engine)'!$K$5:$K$523,5),-999999)&lt;=-900000),"",IFERROR(IF(INDEX(Database!$AO$5:$AO$523,MATCH(LARGE('Calc (scoring engine)'!$K$5:$K$523,5),'Calc (scoring engine)'!$K$5:$K$523,0))="","—",INDEX(Database!$AO$5:$AO$523,MATCH(LARGE('Calc (scoring engine)'!$K$5:$K$523,5),'Calc (scoring engine)'!$K$5:$K$523,0))),""))</f>
        <v/>
      </c>
      <c r="AM25" s="23">
        <f>IF(OR(5&gt;MAX(3,MIN(15,N($D$18))),IFERROR(LARGE('Calc (scoring engine)'!$K$5:$K$523,5),-999999)&lt;=-900000),"",IFERROR(IF(INDEX(Database!$AP$5:$AP$523,MATCH(LARGE('Calc (scoring engine)'!$K$5:$K$523,5),'Calc (scoring engine)'!$K$5:$K$523,0))="","—",INDEX(Database!$AP$5:$AP$523,MATCH(LARGE('Calc (scoring engine)'!$K$5:$K$523,5),'Calc (scoring engine)'!$K$5:$K$523,0))),""))</f>
        <v/>
      </c>
      <c r="AN25" s="23">
        <f>IF(OR(5&gt;MAX(3,MIN(15,N($D$18))),IFERROR(LARGE('Calc (scoring engine)'!$K$5:$K$523,5),-999999)&lt;=-900000),"",IFERROR(IF(INDEX(Database!$AQ$5:$AQ$523,MATCH(LARGE('Calc (scoring engine)'!$K$5:$K$523,5),'Calc (scoring engine)'!$K$5:$K$523,0))="","—",INDEX(Database!$AQ$5:$AQ$523,MATCH(LARGE('Calc (scoring engine)'!$K$5:$K$523,5),'Calc (scoring engine)'!$K$5:$K$523,0))),""))</f>
        <v/>
      </c>
      <c r="AO25" s="23">
        <f>IF(OR(5&gt;MAX(3,MIN(15,N($D$18))),IFERROR(LARGE('Calc (scoring engine)'!$K$5:$K$523,5),-999999)&lt;=-900000),"",IFERROR(IF(INDEX(Database!$AR$5:$AR$523,MATCH(LARGE('Calc (scoring engine)'!$K$5:$K$523,5),'Calc (scoring engine)'!$K$5:$K$523,0))="","—",INDEX(Database!$AR$5:$AR$523,MATCH(LARGE('Calc (scoring engine)'!$K$5:$K$523,5),'Calc (scoring engine)'!$K$5:$K$523,0))),""))</f>
        <v/>
      </c>
      <c r="AP25" s="23">
        <f>IF(OR(5&gt;MAX(3,MIN(15,N($D$18))),IFERROR(LARGE('Calc (scoring engine)'!$K$5:$K$523,5),-999999)&lt;=-900000),"",IFERROR(IF(INDEX(Database!$AS$5:$AS$523,MATCH(LARGE('Calc (scoring engine)'!$K$5:$K$523,5),'Calc (scoring engine)'!$K$5:$K$523,0))="","—",INDEX(Database!$AS$5:$AS$523,MATCH(LARGE('Calc (scoring engine)'!$K$5:$K$523,5),'Calc (scoring engine)'!$K$5:$K$523,0))),""))</f>
        <v/>
      </c>
      <c r="AQ25" s="23">
        <f>IF(OR(5&gt;MAX(3,MIN(15,N($D$18))),IFERROR(LARGE('Calc (scoring engine)'!$K$5:$K$523,5),-999999)&lt;=-900000),"",IFERROR(IF(INDEX(Database!$AT$5:$AT$523,MATCH(LARGE('Calc (scoring engine)'!$K$5:$K$523,5),'Calc (scoring engine)'!$K$5:$K$523,0))="","—",INDEX(Database!$AT$5:$AT$523,MATCH(LARGE('Calc (scoring engine)'!$K$5:$K$523,5),'Calc (scoring engine)'!$K$5:$K$523,0))),""))</f>
        <v/>
      </c>
      <c r="AR25" s="23">
        <f>IF(OR(5&gt;MAX(3,MIN(15,N($D$18))),IFERROR(LARGE('Calc (scoring engine)'!$K$5:$K$523,5),-999999)&lt;=-900000),"",IFERROR(IF(INDEX(Database!$AU$5:$AU$523,MATCH(LARGE('Calc (scoring engine)'!$K$5:$K$523,5),'Calc (scoring engine)'!$K$5:$K$523,0))="","—",INDEX(Database!$AU$5:$AU$523,MATCH(LARGE('Calc (scoring engine)'!$K$5:$K$523,5),'Calc (scoring engine)'!$K$5:$K$523,0))),""))</f>
        <v/>
      </c>
      <c r="AS25" s="23">
        <f>IF(OR(5&gt;MAX(3,MIN(15,N($D$18))),IFERROR(LARGE('Calc (scoring engine)'!$K$5:$K$523,5),-999999)&lt;=-900000),"",IFERROR(IF(INDEX(Database!$AV$5:$AV$523,MATCH(LARGE('Calc (scoring engine)'!$K$5:$K$523,5),'Calc (scoring engine)'!$K$5:$K$523,0))="","—",INDEX(Database!$AV$5:$AV$523,MATCH(LARGE('Calc (scoring engine)'!$K$5:$K$523,5),'Calc (scoring engine)'!$K$5:$K$523,0))),""))</f>
        <v/>
      </c>
      <c r="AT25" s="23">
        <f>IF(OR(5&gt;MAX(3,MIN(15,N($D$18))),IFERROR(LARGE('Calc (scoring engine)'!$K$5:$K$523,5),-999999)&lt;=-900000),"",IFERROR(IF(INDEX(Database!$AW$5:$AW$523,MATCH(LARGE('Calc (scoring engine)'!$K$5:$K$523,5),'Calc (scoring engine)'!$K$5:$K$523,0))="","—",INDEX(Database!$AW$5:$AW$523,MATCH(LARGE('Calc (scoring engine)'!$K$5:$K$523,5),'Calc (scoring engine)'!$K$5:$K$523,0))),""))</f>
        <v/>
      </c>
      <c r="AU25" s="23">
        <f>IF(OR(5&gt;MAX(3,MIN(15,N($D$18))),IFERROR(LARGE('Calc (scoring engine)'!$K$5:$K$523,5),-999999)&lt;=-900000),"",IFERROR(IF(INDEX(Database!$AX$5:$AX$523,MATCH(LARGE('Calc (scoring engine)'!$K$5:$K$523,5),'Calc (scoring engine)'!$K$5:$K$523,0))="","—",INDEX(Database!$AX$5:$AX$523,MATCH(LARGE('Calc (scoring engine)'!$K$5:$K$523,5),'Calc (scoring engine)'!$K$5:$K$523,0))),""))</f>
        <v/>
      </c>
      <c r="AV25" s="23">
        <f>IF(OR(5&gt;MAX(3,MIN(15,N($D$18))),IFERROR(LARGE('Calc (scoring engine)'!$K$5:$K$523,5),-999999)&lt;=-900000),"",IFERROR(IF(INDEX(Database!$AY$5:$AY$523,MATCH(LARGE('Calc (scoring engine)'!$K$5:$K$523,5),'Calc (scoring engine)'!$K$5:$K$523,0))="","—",INDEX(Database!$AY$5:$AY$523,MATCH(LARGE('Calc (scoring engine)'!$K$5:$K$523,5),'Calc (scoring engine)'!$K$5:$K$523,0))),""))</f>
        <v/>
      </c>
      <c r="AW25" s="23">
        <f>IF(OR(5&gt;MAX(3,MIN(15,N($D$18))),IFERROR(LARGE('Calc (scoring engine)'!$K$5:$K$523,5),-999999)&lt;=-900000),"",IFERROR(IF(INDEX(Database!$AZ$5:$AZ$523,MATCH(LARGE('Calc (scoring engine)'!$K$5:$K$523,5),'Calc (scoring engine)'!$K$5:$K$523,0))="","—",INDEX(Database!$AZ$5:$AZ$523,MATCH(LARGE('Calc (scoring engine)'!$K$5:$K$523,5),'Calc (scoring engine)'!$K$5:$K$523,0))),""))</f>
        <v/>
      </c>
      <c r="AX25" s="23">
        <f>IF(OR(5&gt;MAX(3,MIN(15,N($D$18))),IFERROR(LARGE('Calc (scoring engine)'!$K$5:$K$523,5),-999999)&lt;=-900000),"",IFERROR(IF(INDEX(Database!$BB$5:$BB$523,MATCH(LARGE('Calc (scoring engine)'!$K$5:$K$523,5),'Calc (scoring engine)'!$K$5:$K$523,0))="","—",INDEX(Database!$BB$5:$BB$523,MATCH(LARGE('Calc (scoring engine)'!$K$5:$K$523,5),'Calc (scoring engine)'!$K$5:$K$523,0))),""))</f>
        <v/>
      </c>
      <c r="AY25" s="19">
        <f>IF(OR(5&gt;MAX(3,MIN(15,N($D$18))),IFERROR(LARGE('Calc (scoring engine)'!$K$5:$K$523,5),-999999)&lt;=-900000),"",IFERROR(IF(INDEX(Database!$BD$5:$BD$523,MATCH(LARGE('Calc (scoring engine)'!$K$5:$K$523,5),'Calc (scoring engine)'!$K$5:$K$523,0))="","—",INDEX(Database!$BD$5:$BD$523,MATCH(LARGE('Calc (scoring engine)'!$K$5:$K$523,5),'Calc (scoring engine)'!$K$5:$K$523,0))),""))</f>
        <v/>
      </c>
      <c r="AZ25" s="19">
        <f>IF(OR(5&gt;MAX(3,MIN(15,N($D$18))),IFERROR(LARGE('Calc (scoring engine)'!$K$5:$K$523,5),-999999)&lt;=-900000),"",IFERROR(IF(INDEX(Database!$BE$5:$BE$523,MATCH(LARGE('Calc (scoring engine)'!$K$5:$K$523,5),'Calc (scoring engine)'!$K$5:$K$523,0))="","—",INDEX(Database!$BE$5:$BE$523,MATCH(LARGE('Calc (scoring engine)'!$K$5:$K$523,5),'Calc (scoring engine)'!$K$5:$K$523,0))),""))</f>
        <v/>
      </c>
      <c r="BA25" s="10">
        <f>IF(OR(5&gt;MAX(3,MIN(15,N($D$18))),IFERROR(LARGE('Calc (scoring engine)'!$K$5:$K$523,5),-999999)&lt;=-900000),"",IFERROR(IF(INDEX(Database!$BF$5:$BF$523,MATCH(LARGE('Calc (scoring engine)'!$K$5:$K$523,5),'Calc (scoring engine)'!$K$5:$K$523,0))="","—",INDEX(Database!$BF$5:$BF$523,MATCH(LARGE('Calc (scoring engine)'!$K$5:$K$523,5),'Calc (scoring engine)'!$K$5:$K$523,0))),""))</f>
        <v/>
      </c>
      <c r="BB25" s="24">
        <f>IF(OR(5&gt;MAX(3,MIN(15,N($D$18))),IFERROR(LARGE('Calc (scoring engine)'!$K$5:$K$523,5),-999999)&lt;=-900000),"",IFERROR(IF(N(INDEX(Database!$BG$5:$BG$523,MATCH(LARGE('Calc (scoring engine)'!$K$5:$K$523,5),'Calc (scoring engine)'!$K$5:$K$523,0)))&lt;=0,IF(INDEX(Database!$BF$5:$BF$523,MATCH(LARGE('Calc (scoring engine)'!$K$5:$K$523,5),'Calc (scoring engine)'!$K$5:$K$523,0))="N","n/m","—"),INDEX(Database!$BG$5:$BG$523,MATCH(LARGE('Calc (scoring engine)'!$K$5:$K$523,5),'Calc (scoring engine)'!$K$5:$K$523,0))),""))</f>
        <v/>
      </c>
      <c r="BC25" s="24">
        <f>IF(OR(5&gt;MAX(3,MIN(15,N($D$18))),IFERROR(LARGE('Calc (scoring engine)'!$K$5:$K$523,5),-999999)&lt;=-900000),"",IFERROR(IF(INDEX(Database!$BH$5:$BH$523,MATCH(LARGE('Calc (scoring engine)'!$K$5:$K$523,5),'Calc (scoring engine)'!$K$5:$K$523,0))="","—",INDEX(Database!$BH$5:$BH$523,MATCH(LARGE('Calc (scoring engine)'!$K$5:$K$523,5),'Calc (scoring engine)'!$K$5:$K$523,0))),""))</f>
        <v/>
      </c>
      <c r="BD25" s="24">
        <f>IF(OR(5&gt;MAX(3,MIN(15,N($D$18))),IFERROR(LARGE('Calc (scoring engine)'!$K$5:$K$523,5),-999999)&lt;=-900000),"",IFERROR(IF(INDEX(Database!$BI$5:$BI$523,MATCH(LARGE('Calc (scoring engine)'!$K$5:$K$523,5),'Calc (scoring engine)'!$K$5:$K$523,0))="","—",INDEX(Database!$BI$5:$BI$523,MATCH(LARGE('Calc (scoring engine)'!$K$5:$K$523,5),'Calc (scoring engine)'!$K$5:$K$523,0))),""))</f>
        <v/>
      </c>
      <c r="BE25" s="24">
        <f>IF(OR(5&gt;MAX(3,MIN(15,N($D$18))),IFERROR(LARGE('Calc (scoring engine)'!$K$5:$K$523,5),-999999)&lt;=-900000),"",IFERROR(IF(INDEX(Database!$BJ$5:$BJ$523,MATCH(LARGE('Calc (scoring engine)'!$K$5:$K$523,5),'Calc (scoring engine)'!$K$5:$K$523,0))="","—",INDEX(Database!$BJ$5:$BJ$523,MATCH(LARGE('Calc (scoring engine)'!$K$5:$K$523,5),'Calc (scoring engine)'!$K$5:$K$523,0))),""))</f>
        <v/>
      </c>
      <c r="BF25" s="24">
        <f>IF(OR(5&gt;MAX(3,MIN(15,N($D$18))),IFERROR(LARGE('Calc (scoring engine)'!$K$5:$K$523,5),-999999)&lt;=-900000),"",IFERROR(IF(INDEX(Database!$BK$5:$BK$523,MATCH(LARGE('Calc (scoring engine)'!$K$5:$K$523,5),'Calc (scoring engine)'!$K$5:$K$523,0))="","—",INDEX(Database!$BK$5:$BK$523,MATCH(LARGE('Calc (scoring engine)'!$K$5:$K$523,5),'Calc (scoring engine)'!$K$5:$K$523,0))),""))</f>
        <v/>
      </c>
      <c r="BG25" s="24">
        <f>IF(OR(5&gt;MAX(3,MIN(15,N($D$18))),IFERROR(LARGE('Calc (scoring engine)'!$K$5:$K$523,5),-999999)&lt;=-900000),"",IFERROR(IFERROR(BDP(TEXT(INDEX(Database!$A$5:$A$523,MATCH(LARGE('Calc (scoring engine)'!$K$5:$K$523,5),'Calc (scoring engine)'!$K$5:$K$523,0)),"0")&amp;" HK Equity","PE_RATIO"),IF(INDEX(Database!$BI$5:$BI$523,MATCH(LARGE('Calc (scoring engine)'!$K$5:$K$523,5),'Calc (scoring engine)'!$K$5:$K$523,0))="","—",INDEX(Database!$BI$5:$BI$523,MATCH(LARGE('Calc (scoring engine)'!$K$5:$K$523,5),'Calc (scoring engine)'!$K$5:$K$523,0)))),""))</f>
        <v/>
      </c>
      <c r="BH25" s="24">
        <f>IF(OR(5&gt;MAX(3,MIN(15,N($D$18))),IFERROR(LARGE('Calc (scoring engine)'!$K$5:$K$523,5),-999999)&lt;=-900000),"",IFERROR(IFERROR(BDP(TEXT(INDEX(Database!$A$5:$A$523,MATCH(LARGE('Calc (scoring engine)'!$K$5:$K$523,5),'Calc (scoring engine)'!$K$5:$K$523,0)),"0")&amp;" HK Equity","PX_TO_SALES_RATIO"),IF(INDEX(Database!$BJ$5:$BJ$523,MATCH(LARGE('Calc (scoring engine)'!$K$5:$K$523,5),'Calc (scoring engine)'!$K$5:$K$523,0))="","—",INDEX(Database!$BJ$5:$BJ$523,MATCH(LARGE('Calc (scoring engine)'!$K$5:$K$523,5),'Calc (scoring engine)'!$K$5:$K$523,0)))),""))</f>
        <v/>
      </c>
      <c r="BI25" s="10">
        <f>IF(OR(5&gt;MAX(3,MIN(15,N($D$18))),IFERROR(LARGE('Calc (scoring engine)'!$K$5:$K$523,5),-999999)&lt;=-900000),"",IFERROR(IF(INDEX(Database!$BL$5:$BL$523,MATCH(LARGE('Calc (scoring engine)'!$K$5:$K$523,5),'Calc (scoring engine)'!$K$5:$K$523,0))="","—",INDEX(Database!$BL$5:$BL$523,MATCH(LARGE('Calc (scoring engine)'!$K$5:$K$523,5),'Calc (scoring engine)'!$K$5:$K$523,0))),""))</f>
        <v/>
      </c>
      <c r="BJ25" s="10">
        <f>IF(OR(5&gt;MAX(3,MIN(15,N($D$18))),IFERROR(LARGE('Calc (scoring engine)'!$K$5:$K$523,5),-999999)&lt;=-900000),"",IFERROR(IF(INDEX(Database!$BM$5:$BM$523,MATCH(LARGE('Calc (scoring engine)'!$K$5:$K$523,5),'Calc (scoring engine)'!$K$5:$K$523,0))="","—",INDEX(Database!$BM$5:$BM$523,MATCH(LARGE('Calc (scoring engine)'!$K$5:$K$523,5),'Calc (scoring engine)'!$K$5:$K$523,0))),""))</f>
        <v/>
      </c>
      <c r="BK25" s="23">
        <f>IF(OR(5&gt;MAX(3,MIN(15,N($D$18))),IFERROR(LARGE('Calc (scoring engine)'!$K$5:$K$523,5),-999999)&lt;=-900000),"",IFERROR(IF(INDEX(Database!$BN$5:$BN$523,MATCH(LARGE('Calc (scoring engine)'!$K$5:$K$523,5),'Calc (scoring engine)'!$K$5:$K$523,0))="","—",INDEX(Database!$BN$5:$BN$523,MATCH(LARGE('Calc (scoring engine)'!$K$5:$K$523,5),'Calc (scoring engine)'!$K$5:$K$523,0))),""))</f>
        <v/>
      </c>
      <c r="BL25" s="50">
        <f>IF(OR(5&gt;MAX(3,MIN(15,N($D$18))),IFERROR(LARGE('Calc (scoring engine)'!$K$5:$K$523,5),-999999)&lt;=-900000),"",IFERROR(IF(INDEX(Database!$BO$5:$BO$523,MATCH(LARGE('Calc (scoring engine)'!$K$5:$K$523,5),'Calc (scoring engine)'!$K$5:$K$523,0))="","—",INDEX(Database!$BO$5:$BO$523,MATCH(LARGE('Calc (scoring engine)'!$K$5:$K$523,5),'Calc (scoring engine)'!$K$5:$K$523,0))),""))</f>
        <v/>
      </c>
      <c r="BM25" s="54">
        <f>IF(OR(5&gt;MAX(3,MIN(15,N($D$18))),IFERROR(LARGE('Calc (scoring engine)'!$K$5:$K$523,5),-999999)&lt;=-900000),"",IFERROR(IF(INDEX(Database!$BP$5:$BP$523,MATCH(LARGE('Calc (scoring engine)'!$K$5:$K$523,5),'Calc (scoring engine)'!$K$5:$K$523,0))="","—",INDEX(Database!$BP$5:$BP$523,MATCH(LARGE('Calc (scoring engine)'!$K$5:$K$523,5),'Calc (scoring engine)'!$K$5:$K$523,0))),""))</f>
        <v/>
      </c>
      <c r="BN25" s="19">
        <f>IF(OR(5&gt;MAX(3,MIN(15,N($D$18))),IFERROR(LARGE('Calc (scoring engine)'!$K$5:$K$523,5),-999999)&lt;=-900000),"",IFERROR(IF(INDEX(Database!$BQ$5:$BQ$523,MATCH(LARGE('Calc (scoring engine)'!$K$5:$K$523,5),'Calc (scoring engine)'!$K$5:$K$523,0))="","—",INDEX(Database!$BQ$5:$BQ$523,MATCH(LARGE('Calc (scoring engine)'!$K$5:$K$523,5),'Calc (scoring engine)'!$K$5:$K$523,0))),""))</f>
        <v/>
      </c>
      <c r="BO25" s="24">
        <f>IF(OR(5&gt;MAX(3,MIN(15,N($D$18))),IFERROR(LARGE('Calc (scoring engine)'!$K$5:$K$523,5),-999999)&lt;=-900000),"",IFERROR(IF(INDEX(Database!$BR$5:$BR$523,MATCH(LARGE('Calc (scoring engine)'!$K$5:$K$523,5),'Calc (scoring engine)'!$K$5:$K$523,0))="","—",INDEX(Database!$BR$5:$BR$523,MATCH(LARGE('Calc (scoring engine)'!$K$5:$K$523,5),'Calc (scoring engine)'!$K$5:$K$523,0))),""))</f>
        <v/>
      </c>
      <c r="BP25" s="24">
        <f>IF(OR(5&gt;MAX(3,MIN(15,N($D$18))),IFERROR(LARGE('Calc (scoring engine)'!$K$5:$K$523,5),-999999)&lt;=-900000),"",IFERROR(IF(INDEX(Database!$BS$5:$BS$523,MATCH(LARGE('Calc (scoring engine)'!$K$5:$K$523,5),'Calc (scoring engine)'!$K$5:$K$523,0))="","—",INDEX(Database!$BS$5:$BS$523,MATCH(LARGE('Calc (scoring engine)'!$K$5:$K$523,5),'Calc (scoring engine)'!$K$5:$K$523,0))),""))</f>
        <v/>
      </c>
      <c r="BQ25" s="10">
        <f>IF(OR(5&gt;MAX(3,MIN(15,N($D$18))),IFERROR(LARGE('Calc (scoring engine)'!$K$5:$K$523,5),-999999)&lt;=-900000),"",IFERROR(IF(INDEX(Database!$BT$5:$BT$523,MATCH(LARGE('Calc (scoring engine)'!$K$5:$K$523,5),'Calc (scoring engine)'!$K$5:$K$523,0))="","—",INDEX(Database!$BT$5:$BT$523,MATCH(LARGE('Calc (scoring engine)'!$K$5:$K$523,5),'Calc (scoring engine)'!$K$5:$K$523,0))),""))</f>
        <v/>
      </c>
      <c r="BR25" s="10">
        <f>IF(OR(5&gt;MAX(3,MIN(15,N($D$18))),IFERROR(LARGE('Calc (scoring engine)'!$K$5:$K$523,5),-999999)&lt;=-900000),"",IFERROR(IF(INDEX(Database!$BV$5:$BV$523,MATCH(LARGE('Calc (scoring engine)'!$K$5:$K$523,5),'Calc (scoring engine)'!$K$5:$K$523,0))="","—",INDEX(Database!$BV$5:$BV$523,MATCH(LARGE('Calc (scoring engine)'!$K$5:$K$523,5),'Calc (scoring engine)'!$K$5:$K$523,0))),""))</f>
        <v/>
      </c>
      <c r="BS25" s="53">
        <f>IF(OR(5&gt;MAX(3,MIN(15,N($D$18))),IFERROR(LARGE('Calc (scoring engine)'!$K$5:$K$523,5),-999999)&lt;=-900000),"",IFERROR(IF(INDEX('Calc (scoring engine)'!$H$5:$H$523,MATCH(LARGE('Calc (scoring engine)'!$K$5:$K$523,5),'Calc (scoring engine)'!$K$5:$K$523,0))&gt;0,INDEX('Calc (scoring engine)'!$H$5:$H$523,MATCH(LARGE('Calc (scoring engine)'!$K$5:$K$523,5),'Calc (scoring engine)'!$K$5:$K$523,0)),""),""))</f>
        <v/>
      </c>
      <c r="BT25" s="10">
        <f>IF(OR(5&gt;MAX(3,MIN(15,N($D$18))),IFERROR(LARGE('Calc (scoring engine)'!$K$5:$K$523,5),-999999)&lt;=-900000),"",IF(IFERROR(INDEX('Calc (scoring engine)'!$B$5:$B$523,MATCH(LARGE('Calc (scoring engine)'!$K$5:$K$523,5),'Calc (scoring engine)'!$K$5:$K$523,0)),0)=1,"same subsector","sector only"))</f>
        <v/>
      </c>
      <c r="BU25" s="53">
        <f>IF(OR(5&gt;MAX(3,MIN(15,N($D$18))),IFERROR(LARGE('Calc (scoring engine)'!$K$5:$K$523,5),-999999)&lt;=-900000),"",ROUND(IFERROR(LARGE('Calc (scoring engine)'!$K$5:$K$523,5),0),0))</f>
        <v/>
      </c>
      <c r="BV25" s="10">
        <f>IF(OR(5&gt;MAX(3,MIN(15,N($D$18))),IFERROR(LARGE('Calc (scoring engine)'!$K$5:$K$523,5),-999999)&lt;=-900000),"",IFERROR("sub "&amp;INDEX('Calc (scoring engine)'!$B$5:$B$523,MATCH(LARGE('Calc (scoring engine)'!$K$5:$K$523,5),'Calc (scoring engine)'!$K$5:$K$523,0))*W_SUB&amp;" + size "&amp;ROUND(INDEX('Calc (scoring engine)'!$D$5:$D$523,MATCH(LARGE('Calc (scoring engine)'!$K$5:$K$523,5),'Calc (scoring engine)'!$K$5:$K$523,0))*W_SIZE,0)&amp;" + prof "&amp;INDEX('Calc (scoring engine)'!$E$5:$E$523,MATCH(LARGE('Calc (scoring engine)'!$K$5:$K$523,5),'Calc (scoring engine)'!$K$5:$K$523,0))*W_PROF&amp;" + recency "&amp;ROUND(INDEX('Calc (scoring engine)'!$G$5:$G$523,MATCH(LARGE('Calc (scoring engine)'!$K$5:$K$523,5),'Calc (scoring engine)'!$K$5:$K$523,0))*W_REC,0)&amp;IF(INDEX('Calc (scoring engine)'!$H$5:$H$523,MATCH(LARGE('Calc (scoring engine)'!$K$5:$K$523,5),'Calc (scoring engine)'!$K$5:$K$523,0))&gt;0," + shared CS x"&amp;INDEX('Calc (scoring engine)'!$H$5:$H$523,MATCH(LARGE('Calc (scoring engine)'!$K$5:$K$523,5),'Calc (scoring engine)'!$K$5:$K$523,0)),""),""))</f>
        <v/>
      </c>
    </row>
    <row r="26">
      <c r="A26" s="48">
        <f>IF(OR(6&gt;MAX(3,MIN(15,N($D$18))),IFERROR(LARGE('Calc (scoring engine)'!$K$5:$K$523,6),-999999)&lt;=-900000),"",6)</f>
        <v/>
      </c>
      <c r="B26" s="10">
        <f>IF(OR(6&gt;MAX(3,MIN(15,N($D$18))),IFERROR(LARGE('Calc (scoring engine)'!$K$5:$K$523,6),-999999)&lt;=-900000),"",IFERROR(IF(INDEX(Database!$B$5:$B$523,MATCH(LARGE('Calc (scoring engine)'!$K$5:$K$523,6),'Calc (scoring engine)'!$K$5:$K$523,0))="","—",INDEX(Database!$B$5:$B$523,MATCH(LARGE('Calc (scoring engine)'!$K$5:$K$523,6),'Calc (scoring engine)'!$K$5:$K$523,0))),""))</f>
        <v/>
      </c>
      <c r="C26" s="49">
        <f>IF(OR(6&gt;MAX(3,MIN(15,N($D$18))),IFERROR(LARGE('Calc (scoring engine)'!$K$5:$K$523,6),-999999)&lt;=-900000),"",IFERROR(IF(INDEX(Database!$A$5:$A$523,MATCH(LARGE('Calc (scoring engine)'!$K$5:$K$523,6),'Calc (scoring engine)'!$K$5:$K$523,0))="","—",INDEX(Database!$A$5:$A$523,MATCH(LARGE('Calc (scoring engine)'!$K$5:$K$523,6),'Calc (scoring engine)'!$K$5:$K$523,0))),""))</f>
        <v/>
      </c>
      <c r="D26" s="10">
        <f>IF(OR(6&gt;MAX(3,MIN(15,N($D$18))),IFERROR(LARGE('Calc (scoring engine)'!$K$5:$K$523,6),-999999)&lt;=-900000),"",IFERROR(IF(INDEX(Database!$D$5:$D$523,MATCH(LARGE('Calc (scoring engine)'!$K$5:$K$523,6),'Calc (scoring engine)'!$K$5:$K$523,0))="","—",INDEX(Database!$D$5:$D$523,MATCH(LARGE('Calc (scoring engine)'!$K$5:$K$523,6),'Calc (scoring engine)'!$K$5:$K$523,0))),""))</f>
        <v/>
      </c>
      <c r="E26" s="10">
        <f>IF(OR(6&gt;MAX(3,MIN(15,N($D$18))),IFERROR(LARGE('Calc (scoring engine)'!$K$5:$K$523,6),-999999)&lt;=-900000),"",IFERROR(IF(INDEX(Database!$E$5:$E$523,MATCH(LARGE('Calc (scoring engine)'!$K$5:$K$523,6),'Calc (scoring engine)'!$K$5:$K$523,0))="","—",INDEX(Database!$E$5:$E$523,MATCH(LARGE('Calc (scoring engine)'!$K$5:$K$523,6),'Calc (scoring engine)'!$K$5:$K$523,0))),""))</f>
        <v/>
      </c>
      <c r="F26" s="10">
        <f>IF(OR(6&gt;MAX(3,MIN(15,N($D$18))),IFERROR(LARGE('Calc (scoring engine)'!$K$5:$K$523,6),-999999)&lt;=-900000),"",IFERROR(IF(INDEX(Database!$F$5:$F$523,MATCH(LARGE('Calc (scoring engine)'!$K$5:$K$523,6),'Calc (scoring engine)'!$K$5:$K$523,0))="","—",INDEX(Database!$F$5:$F$523,MATCH(LARGE('Calc (scoring engine)'!$K$5:$K$523,6),'Calc (scoring engine)'!$K$5:$K$523,0))),""))</f>
        <v/>
      </c>
      <c r="G26" s="10">
        <f>IF(OR(6&gt;MAX(3,MIN(15,N($D$18))),IFERROR(LARGE('Calc (scoring engine)'!$K$5:$K$523,6),-999999)&lt;=-900000),"",IFERROR(IF(INDEX(Database!$G$5:$G$523,MATCH(LARGE('Calc (scoring engine)'!$K$5:$K$523,6),'Calc (scoring engine)'!$K$5:$K$523,0))="","—",INDEX(Database!$G$5:$G$523,MATCH(LARGE('Calc (scoring engine)'!$K$5:$K$523,6),'Calc (scoring engine)'!$K$5:$K$523,0))),""))</f>
        <v/>
      </c>
      <c r="H26" s="21">
        <f>IF(OR(6&gt;MAX(3,MIN(15,N($D$18))),IFERROR(LARGE('Calc (scoring engine)'!$K$5:$K$523,6),-999999)&lt;=-900000),"",IFERROR(IF(INDEX(Database!$H$5:$H$523,MATCH(LARGE('Calc (scoring engine)'!$K$5:$K$523,6),'Calc (scoring engine)'!$K$5:$K$523,0))="","—",INDEX(Database!$H$5:$H$523,MATCH(LARGE('Calc (scoring engine)'!$K$5:$K$523,6),'Calc (scoring engine)'!$K$5:$K$523,0))),""))</f>
        <v/>
      </c>
      <c r="I26" s="19">
        <f>IF(OR(6&gt;MAX(3,MIN(15,N($D$18))),IFERROR(LARGE('Calc (scoring engine)'!$K$5:$K$523,6),-999999)&lt;=-900000),"",IFERROR(IF(INDEX(Database!$I$5:$I$523,MATCH(LARGE('Calc (scoring engine)'!$K$5:$K$523,6),'Calc (scoring engine)'!$K$5:$K$523,0))="","—",INDEX(Database!$I$5:$I$523,MATCH(LARGE('Calc (scoring engine)'!$K$5:$K$523,6),'Calc (scoring engine)'!$K$5:$K$523,0))),""))</f>
        <v/>
      </c>
      <c r="J26" s="50">
        <f>IF(OR(6&gt;MAX(3,MIN(15,N($D$18))),IFERROR(LARGE('Calc (scoring engine)'!$K$5:$K$523,6),-999999)&lt;=-900000),"",IFERROR(IF(INDEX(Database!$K$5:$K$523,MATCH(LARGE('Calc (scoring engine)'!$K$5:$K$523,6),'Calc (scoring engine)'!$K$5:$K$523,0))="","—",INDEX(Database!$K$5:$K$523,MATCH(LARGE('Calc (scoring engine)'!$K$5:$K$523,6),'Calc (scoring engine)'!$K$5:$K$523,0))),""))</f>
        <v/>
      </c>
      <c r="K26" s="50">
        <f>IF(OR(6&gt;MAX(3,MIN(15,N($D$18))),IFERROR(LARGE('Calc (scoring engine)'!$K$5:$K$523,6),-999999)&lt;=-900000),"",IFERROR(IF(INDEX(Database!$L$5:$L$523,MATCH(LARGE('Calc (scoring engine)'!$K$5:$K$523,6),'Calc (scoring engine)'!$K$5:$K$523,0))="","—",INDEX(Database!$L$5:$L$523,MATCH(LARGE('Calc (scoring engine)'!$K$5:$K$523,6),'Calc (scoring engine)'!$K$5:$K$523,0))),""))</f>
        <v/>
      </c>
      <c r="L26" s="50">
        <f>IF(OR(6&gt;MAX(3,MIN(15,N($D$18))),IFERROR(LARGE('Calc (scoring engine)'!$K$5:$K$523,6),-999999)&lt;=-900000),"",IFERROR(IF(INDEX(Database!$M$5:$M$523,MATCH(LARGE('Calc (scoring engine)'!$K$5:$K$523,6),'Calc (scoring engine)'!$K$5:$K$523,0))="","—",INDEX(Database!$M$5:$M$523,MATCH(LARGE('Calc (scoring engine)'!$K$5:$K$523,6),'Calc (scoring engine)'!$K$5:$K$523,0))),""))</f>
        <v/>
      </c>
      <c r="M26" s="10">
        <f>IF(OR(6&gt;MAX(3,MIN(15,N($D$18))),IFERROR(LARGE('Calc (scoring engine)'!$K$5:$K$523,6),-999999)&lt;=-900000),"",IFERROR(IF(INDEX(Database!$N$5:$N$523,MATCH(LARGE('Calc (scoring engine)'!$K$5:$K$523,6),'Calc (scoring engine)'!$K$5:$K$523,0))="","—",INDEX(Database!$N$5:$N$523,MATCH(LARGE('Calc (scoring engine)'!$K$5:$K$523,6),'Calc (scoring engine)'!$K$5:$K$523,0))),""))</f>
        <v/>
      </c>
      <c r="N26" s="31">
        <f>IF(OR(6&gt;MAX(3,MIN(15,N($D$18))),IFERROR(LARGE('Calc (scoring engine)'!$K$5:$K$523,6),-999999)&lt;=-900000),"",IFERROR(IF(INDEX(Database!$O$5:$O$523,MATCH(LARGE('Calc (scoring engine)'!$K$5:$K$523,6),'Calc (scoring engine)'!$K$5:$K$523,0))="","—",INDEX(Database!$O$5:$O$523,MATCH(LARGE('Calc (scoring engine)'!$K$5:$K$523,6),'Calc (scoring engine)'!$K$5:$K$523,0))),""))</f>
        <v/>
      </c>
      <c r="O26" s="31">
        <f>IF(OR(6&gt;MAX(3,MIN(15,N($D$18))),IFERROR(LARGE('Calc (scoring engine)'!$K$5:$K$523,6),-999999)&lt;=-900000),"",IFERROR(IF(INDEX(Database!$P$5:$P$523,MATCH(LARGE('Calc (scoring engine)'!$K$5:$K$523,6),'Calc (scoring engine)'!$K$5:$K$523,0))="","—",INDEX(Database!$P$5:$P$523,MATCH(LARGE('Calc (scoring engine)'!$K$5:$K$523,6),'Calc (scoring engine)'!$K$5:$K$523,0))),""))</f>
        <v/>
      </c>
      <c r="P26" s="19">
        <f>IF(OR(6&gt;MAX(3,MIN(15,N($D$18))),IFERROR(LARGE('Calc (scoring engine)'!$K$5:$K$523,6),-999999)&lt;=-900000),"",IFERROR(IF(INDEX(Database!$Q$5:$Q$523,MATCH(LARGE('Calc (scoring engine)'!$K$5:$K$523,6),'Calc (scoring engine)'!$K$5:$K$523,0))="","—",INDEX(Database!$Q$5:$Q$523,MATCH(LARGE('Calc (scoring engine)'!$K$5:$K$523,6),'Calc (scoring engine)'!$K$5:$K$523,0))),""))</f>
        <v/>
      </c>
      <c r="Q26" s="26">
        <f>IF(OR(6&gt;MAX(3,MIN(15,N($D$18))),IFERROR(LARGE('Calc (scoring engine)'!$K$5:$K$523,6),-999999)&lt;=-900000),"",IFERROR(IF(INDEX(Database!$S$5:$S$523,MATCH(LARGE('Calc (scoring engine)'!$K$5:$K$523,6),'Calc (scoring engine)'!$K$5:$K$523,0))="","—",INDEX(Database!$S$5:$S$523,MATCH(LARGE('Calc (scoring engine)'!$K$5:$K$523,6),'Calc (scoring engine)'!$K$5:$K$523,0))),""))</f>
        <v/>
      </c>
      <c r="R26" s="51">
        <f>IF(OR(6&gt;MAX(3,MIN(15,N($D$18))),IFERROR(LARGE('Calc (scoring engine)'!$K$5:$K$523,6),-999999)&lt;=-900000),"",IFERROR(IF(INDEX(Database!$T$5:$T$523,MATCH(LARGE('Calc (scoring engine)'!$K$5:$K$523,6),'Calc (scoring engine)'!$K$5:$K$523,0))="","—",INDEX(Database!$T$5:$T$523,MATCH(LARGE('Calc (scoring engine)'!$K$5:$K$523,6),'Calc (scoring engine)'!$K$5:$K$523,0))),""))</f>
        <v/>
      </c>
      <c r="S26" s="52">
        <f>IF(OR(6&gt;MAX(3,MIN(15,N($D$18))),IFERROR(LARGE('Calc (scoring engine)'!$K$5:$K$523,6),-999999)&lt;=-900000),"",IFERROR(IF(INDEX(Database!$U$5:$U$523,MATCH(LARGE('Calc (scoring engine)'!$K$5:$K$523,6),'Calc (scoring engine)'!$K$5:$K$523,0))="","—",INDEX(Database!$U$5:$U$523,MATCH(LARGE('Calc (scoring engine)'!$K$5:$K$523,6),'Calc (scoring engine)'!$K$5:$K$523,0))),""))</f>
        <v/>
      </c>
      <c r="T26" s="53">
        <f>IF(OR(6&gt;MAX(3,MIN(15,N($D$18))),IFERROR(LARGE('Calc (scoring engine)'!$K$5:$K$523,6),-999999)&lt;=-900000),"",IFERROR(IF(INDEX(Database!$V$5:$V$523,MATCH(LARGE('Calc (scoring engine)'!$K$5:$K$523,6),'Calc (scoring engine)'!$K$5:$K$523,0))="","—",INDEX(Database!$V$5:$V$523,MATCH(LARGE('Calc (scoring engine)'!$K$5:$K$523,6),'Calc (scoring engine)'!$K$5:$K$523,0))),""))</f>
        <v/>
      </c>
      <c r="U26" s="31">
        <f>IF(OR(6&gt;MAX(3,MIN(15,N($D$18))),IFERROR(LARGE('Calc (scoring engine)'!$K$5:$K$523,6),-999999)&lt;=-900000),"",IFERROR(IF(INDEX(Database!$W$5:$W$523,MATCH(LARGE('Calc (scoring engine)'!$K$5:$K$523,6),'Calc (scoring engine)'!$K$5:$K$523,0))="","—",INDEX(Database!$W$5:$W$523,MATCH(LARGE('Calc (scoring engine)'!$K$5:$K$523,6),'Calc (scoring engine)'!$K$5:$K$523,0))),""))</f>
        <v/>
      </c>
      <c r="V26" s="10">
        <f>IF(OR(6&gt;MAX(3,MIN(15,N($D$18))),IFERROR(LARGE('Calc (scoring engine)'!$K$5:$K$523,6),-999999)&lt;=-900000),"",IFERROR(IF(INDEX(Database!$X$5:$X$523,MATCH(LARGE('Calc (scoring engine)'!$K$5:$K$523,6),'Calc (scoring engine)'!$K$5:$K$523,0))="","—",INDEX(Database!$X$5:$X$523,MATCH(LARGE('Calc (scoring engine)'!$K$5:$K$523,6),'Calc (scoring engine)'!$K$5:$K$523,0))),""))</f>
        <v/>
      </c>
      <c r="W26" s="19">
        <f>IF(OR(6&gt;MAX(3,MIN(15,N($D$18))),IFERROR(LARGE('Calc (scoring engine)'!$K$5:$K$523,6),-999999)&lt;=-900000),"",IFERROR(IF(INDEX(Database!$Y$5:$Y$523,MATCH(LARGE('Calc (scoring engine)'!$K$5:$K$523,6),'Calc (scoring engine)'!$K$5:$K$523,0))="","—",INDEX(Database!$Y$5:$Y$523,MATCH(LARGE('Calc (scoring engine)'!$K$5:$K$523,6),'Calc (scoring engine)'!$K$5:$K$523,0))),""))</f>
        <v/>
      </c>
      <c r="X26" s="19">
        <f>IF(OR(6&gt;MAX(3,MIN(15,N($D$18))),IFERROR(LARGE('Calc (scoring engine)'!$K$5:$K$523,6),-999999)&lt;=-900000),"",IFERROR(IF(INDEX(Database!$Z$5:$Z$523,MATCH(LARGE('Calc (scoring engine)'!$K$5:$K$523,6),'Calc (scoring engine)'!$K$5:$K$523,0))="","—",INDEX(Database!$Z$5:$Z$523,MATCH(LARGE('Calc (scoring engine)'!$K$5:$K$523,6),'Calc (scoring engine)'!$K$5:$K$523,0))),""))</f>
        <v/>
      </c>
      <c r="Y26" s="31">
        <f>IF(OR(6&gt;MAX(3,MIN(15,N($D$18))),IFERROR(LARGE('Calc (scoring engine)'!$K$5:$K$523,6),-999999)&lt;=-900000),"",IFERROR(IF(INDEX(Database!$AA$5:$AA$523,MATCH(LARGE('Calc (scoring engine)'!$K$5:$K$523,6),'Calc (scoring engine)'!$K$5:$K$523,0))="","—",INDEX(Database!$AA$5:$AA$523,MATCH(LARGE('Calc (scoring engine)'!$K$5:$K$523,6),'Calc (scoring engine)'!$K$5:$K$523,0))),""))</f>
        <v/>
      </c>
      <c r="Z26" s="10">
        <f>IF(OR(6&gt;MAX(3,MIN(15,N($D$18))),IFERROR(LARGE('Calc (scoring engine)'!$K$5:$K$523,6),-999999)&lt;=-900000),"",IFERROR(IF(INDEX(Database!$AB$5:$AB$523,MATCH(LARGE('Calc (scoring engine)'!$K$5:$K$523,6),'Calc (scoring engine)'!$K$5:$K$523,0))="","—",INDEX(Database!$AB$5:$AB$523,MATCH(LARGE('Calc (scoring engine)'!$K$5:$K$523,6),'Calc (scoring engine)'!$K$5:$K$523,0))),""))</f>
        <v/>
      </c>
      <c r="AA26" s="31">
        <f>IF(OR(6&gt;MAX(3,MIN(15,N($D$18))),IFERROR(LARGE('Calc (scoring engine)'!$K$5:$K$523,6),-999999)&lt;=-900000),"",IFERROR(IF(INDEX(Database!$AD$5:$AD$523,MATCH(LARGE('Calc (scoring engine)'!$K$5:$K$523,6),'Calc (scoring engine)'!$K$5:$K$523,0))="","—",INDEX(Database!$AD$5:$AD$523,MATCH(LARGE('Calc (scoring engine)'!$K$5:$K$523,6),'Calc (scoring engine)'!$K$5:$K$523,0))),""))</f>
        <v/>
      </c>
      <c r="AB26" s="10">
        <f>IF(OR(6&gt;MAX(3,MIN(15,N($D$18))),IFERROR(LARGE('Calc (scoring engine)'!$K$5:$K$523,6),-999999)&lt;=-900000),"",IFERROR(IF(INDEX(Database!$AE$5:$AE$523,MATCH(LARGE('Calc (scoring engine)'!$K$5:$K$523,6),'Calc (scoring engine)'!$K$5:$K$523,0))="","—",INDEX(Database!$AE$5:$AE$523,MATCH(LARGE('Calc (scoring engine)'!$K$5:$K$523,6),'Calc (scoring engine)'!$K$5:$K$523,0))),""))</f>
        <v/>
      </c>
      <c r="AC26" s="10">
        <f>IF(OR(6&gt;MAX(3,MIN(15,N($D$18))),IFERROR(LARGE('Calc (scoring engine)'!$K$5:$K$523,6),-999999)&lt;=-900000),"",IFERROR(IF(INDEX(Database!$AF$5:$AF$523,MATCH(LARGE('Calc (scoring engine)'!$K$5:$K$523,6),'Calc (scoring engine)'!$K$5:$K$523,0))="","—",INDEX(Database!$AF$5:$AF$523,MATCH(LARGE('Calc (scoring engine)'!$K$5:$K$523,6),'Calc (scoring engine)'!$K$5:$K$523,0))),""))</f>
        <v/>
      </c>
      <c r="AD26" s="10">
        <f>IF(OR(6&gt;MAX(3,MIN(15,N($D$18))),IFERROR(LARGE('Calc (scoring engine)'!$K$5:$K$523,6),-999999)&lt;=-900000),"",IFERROR(IF(INDEX(Database!$AG$5:$AG$523,MATCH(LARGE('Calc (scoring engine)'!$K$5:$K$523,6),'Calc (scoring engine)'!$K$5:$K$523,0))="","—",INDEX(Database!$AG$5:$AG$523,MATCH(LARGE('Calc (scoring engine)'!$K$5:$K$523,6),'Calc (scoring engine)'!$K$5:$K$523,0))),""))</f>
        <v/>
      </c>
      <c r="AE26" s="10">
        <f>IF(OR(6&gt;MAX(3,MIN(15,N($D$18))),IFERROR(LARGE('Calc (scoring engine)'!$K$5:$K$523,6),-999999)&lt;=-900000),"",IFERROR(IF(INDEX(Database!$AH$5:$AH$523,MATCH(LARGE('Calc (scoring engine)'!$K$5:$K$523,6),'Calc (scoring engine)'!$K$5:$K$523,0))="","—",INDEX(Database!$AH$5:$AH$523,MATCH(LARGE('Calc (scoring engine)'!$K$5:$K$523,6),'Calc (scoring engine)'!$K$5:$K$523,0))),""))</f>
        <v/>
      </c>
      <c r="AF26" s="23">
        <f>IF(OR(6&gt;MAX(3,MIN(15,N($D$18))),IFERROR(LARGE('Calc (scoring engine)'!$K$5:$K$523,6),-999999)&lt;=-900000),"",IFERROR(IF(INDEX(Database!$AI$5:$AI$523,MATCH(LARGE('Calc (scoring engine)'!$K$5:$K$523,6),'Calc (scoring engine)'!$K$5:$K$523,0))="","—",INDEX(Database!$AI$5:$AI$523,MATCH(LARGE('Calc (scoring engine)'!$K$5:$K$523,6),'Calc (scoring engine)'!$K$5:$K$523,0))),""))</f>
        <v/>
      </c>
      <c r="AG26" s="23">
        <f>IF(OR(6&gt;MAX(3,MIN(15,N($D$18))),IFERROR(LARGE('Calc (scoring engine)'!$K$5:$K$523,6),-999999)&lt;=-900000),"",IFERROR(IF(INDEX(Database!$AJ$5:$AJ$523,MATCH(LARGE('Calc (scoring engine)'!$K$5:$K$523,6),'Calc (scoring engine)'!$K$5:$K$523,0))="","—",INDEX(Database!$AJ$5:$AJ$523,MATCH(LARGE('Calc (scoring engine)'!$K$5:$K$523,6),'Calc (scoring engine)'!$K$5:$K$523,0))),""))</f>
        <v/>
      </c>
      <c r="AH26" s="23">
        <f>IF(OR(6&gt;MAX(3,MIN(15,N($D$18))),IFERROR(LARGE('Calc (scoring engine)'!$K$5:$K$523,6),-999999)&lt;=-900000),"",IFERROR(IF(INDEX(Database!$AK$5:$AK$523,MATCH(LARGE('Calc (scoring engine)'!$K$5:$K$523,6),'Calc (scoring engine)'!$K$5:$K$523,0))="","—",INDEX(Database!$AK$5:$AK$523,MATCH(LARGE('Calc (scoring engine)'!$K$5:$K$523,6),'Calc (scoring engine)'!$K$5:$K$523,0))),""))</f>
        <v/>
      </c>
      <c r="AI26" s="23">
        <f>IF(OR(6&gt;MAX(3,MIN(15,N($D$18))),IFERROR(LARGE('Calc (scoring engine)'!$K$5:$K$523,6),-999999)&lt;=-900000),"",IFERROR(IF(INDEX(Database!$AL$5:$AL$523,MATCH(LARGE('Calc (scoring engine)'!$K$5:$K$523,6),'Calc (scoring engine)'!$K$5:$K$523,0))="","—",INDEX(Database!$AL$5:$AL$523,MATCH(LARGE('Calc (scoring engine)'!$K$5:$K$523,6),'Calc (scoring engine)'!$K$5:$K$523,0))),""))</f>
        <v/>
      </c>
      <c r="AJ26" s="24">
        <f>IF(OR(6&gt;MAX(3,MIN(15,N($D$18))),IFERROR(LARGE('Calc (scoring engine)'!$K$5:$K$523,6),-999999)&lt;=-900000),"",IFERROR(IF(INDEX(Database!$AM$5:$AM$523,MATCH(LARGE('Calc (scoring engine)'!$K$5:$K$523,6),'Calc (scoring engine)'!$K$5:$K$523,0))="","—",INDEX(Database!$AM$5:$AM$523,MATCH(LARGE('Calc (scoring engine)'!$K$5:$K$523,6),'Calc (scoring engine)'!$K$5:$K$523,0))),""))</f>
        <v/>
      </c>
      <c r="AK26" s="31">
        <f>IF(OR(6&gt;MAX(3,MIN(15,N($D$18))),IFERROR(LARGE('Calc (scoring engine)'!$K$5:$K$523,6),-999999)&lt;=-900000),"",IFERROR(IF(INDEX(Database!$AN$5:$AN$523,MATCH(LARGE('Calc (scoring engine)'!$K$5:$K$523,6),'Calc (scoring engine)'!$K$5:$K$523,0))="","—",INDEX(Database!$AN$5:$AN$523,MATCH(LARGE('Calc (scoring engine)'!$K$5:$K$523,6),'Calc (scoring engine)'!$K$5:$K$523,0))),""))</f>
        <v/>
      </c>
      <c r="AL26" s="23">
        <f>IF(OR(6&gt;MAX(3,MIN(15,N($D$18))),IFERROR(LARGE('Calc (scoring engine)'!$K$5:$K$523,6),-999999)&lt;=-900000),"",IFERROR(IF(INDEX(Database!$AO$5:$AO$523,MATCH(LARGE('Calc (scoring engine)'!$K$5:$K$523,6),'Calc (scoring engine)'!$K$5:$K$523,0))="","—",INDEX(Database!$AO$5:$AO$523,MATCH(LARGE('Calc (scoring engine)'!$K$5:$K$523,6),'Calc (scoring engine)'!$K$5:$K$523,0))),""))</f>
        <v/>
      </c>
      <c r="AM26" s="23">
        <f>IF(OR(6&gt;MAX(3,MIN(15,N($D$18))),IFERROR(LARGE('Calc (scoring engine)'!$K$5:$K$523,6),-999999)&lt;=-900000),"",IFERROR(IF(INDEX(Database!$AP$5:$AP$523,MATCH(LARGE('Calc (scoring engine)'!$K$5:$K$523,6),'Calc (scoring engine)'!$K$5:$K$523,0))="","—",INDEX(Database!$AP$5:$AP$523,MATCH(LARGE('Calc (scoring engine)'!$K$5:$K$523,6),'Calc (scoring engine)'!$K$5:$K$523,0))),""))</f>
        <v/>
      </c>
      <c r="AN26" s="23">
        <f>IF(OR(6&gt;MAX(3,MIN(15,N($D$18))),IFERROR(LARGE('Calc (scoring engine)'!$K$5:$K$523,6),-999999)&lt;=-900000),"",IFERROR(IF(INDEX(Database!$AQ$5:$AQ$523,MATCH(LARGE('Calc (scoring engine)'!$K$5:$K$523,6),'Calc (scoring engine)'!$K$5:$K$523,0))="","—",INDEX(Database!$AQ$5:$AQ$523,MATCH(LARGE('Calc (scoring engine)'!$K$5:$K$523,6),'Calc (scoring engine)'!$K$5:$K$523,0))),""))</f>
        <v/>
      </c>
      <c r="AO26" s="23">
        <f>IF(OR(6&gt;MAX(3,MIN(15,N($D$18))),IFERROR(LARGE('Calc (scoring engine)'!$K$5:$K$523,6),-999999)&lt;=-900000),"",IFERROR(IF(INDEX(Database!$AR$5:$AR$523,MATCH(LARGE('Calc (scoring engine)'!$K$5:$K$523,6),'Calc (scoring engine)'!$K$5:$K$523,0))="","—",INDEX(Database!$AR$5:$AR$523,MATCH(LARGE('Calc (scoring engine)'!$K$5:$K$523,6),'Calc (scoring engine)'!$K$5:$K$523,0))),""))</f>
        <v/>
      </c>
      <c r="AP26" s="23">
        <f>IF(OR(6&gt;MAX(3,MIN(15,N($D$18))),IFERROR(LARGE('Calc (scoring engine)'!$K$5:$K$523,6),-999999)&lt;=-900000),"",IFERROR(IF(INDEX(Database!$AS$5:$AS$523,MATCH(LARGE('Calc (scoring engine)'!$K$5:$K$523,6),'Calc (scoring engine)'!$K$5:$K$523,0))="","—",INDEX(Database!$AS$5:$AS$523,MATCH(LARGE('Calc (scoring engine)'!$K$5:$K$523,6),'Calc (scoring engine)'!$K$5:$K$523,0))),""))</f>
        <v/>
      </c>
      <c r="AQ26" s="23">
        <f>IF(OR(6&gt;MAX(3,MIN(15,N($D$18))),IFERROR(LARGE('Calc (scoring engine)'!$K$5:$K$523,6),-999999)&lt;=-900000),"",IFERROR(IF(INDEX(Database!$AT$5:$AT$523,MATCH(LARGE('Calc (scoring engine)'!$K$5:$K$523,6),'Calc (scoring engine)'!$K$5:$K$523,0))="","—",INDEX(Database!$AT$5:$AT$523,MATCH(LARGE('Calc (scoring engine)'!$K$5:$K$523,6),'Calc (scoring engine)'!$K$5:$K$523,0))),""))</f>
        <v/>
      </c>
      <c r="AR26" s="23">
        <f>IF(OR(6&gt;MAX(3,MIN(15,N($D$18))),IFERROR(LARGE('Calc (scoring engine)'!$K$5:$K$523,6),-999999)&lt;=-900000),"",IFERROR(IF(INDEX(Database!$AU$5:$AU$523,MATCH(LARGE('Calc (scoring engine)'!$K$5:$K$523,6),'Calc (scoring engine)'!$K$5:$K$523,0))="","—",INDEX(Database!$AU$5:$AU$523,MATCH(LARGE('Calc (scoring engine)'!$K$5:$K$523,6),'Calc (scoring engine)'!$K$5:$K$523,0))),""))</f>
        <v/>
      </c>
      <c r="AS26" s="23">
        <f>IF(OR(6&gt;MAX(3,MIN(15,N($D$18))),IFERROR(LARGE('Calc (scoring engine)'!$K$5:$K$523,6),-999999)&lt;=-900000),"",IFERROR(IF(INDEX(Database!$AV$5:$AV$523,MATCH(LARGE('Calc (scoring engine)'!$K$5:$K$523,6),'Calc (scoring engine)'!$K$5:$K$523,0))="","—",INDEX(Database!$AV$5:$AV$523,MATCH(LARGE('Calc (scoring engine)'!$K$5:$K$523,6),'Calc (scoring engine)'!$K$5:$K$523,0))),""))</f>
        <v/>
      </c>
      <c r="AT26" s="23">
        <f>IF(OR(6&gt;MAX(3,MIN(15,N($D$18))),IFERROR(LARGE('Calc (scoring engine)'!$K$5:$K$523,6),-999999)&lt;=-900000),"",IFERROR(IF(INDEX(Database!$AW$5:$AW$523,MATCH(LARGE('Calc (scoring engine)'!$K$5:$K$523,6),'Calc (scoring engine)'!$K$5:$K$523,0))="","—",INDEX(Database!$AW$5:$AW$523,MATCH(LARGE('Calc (scoring engine)'!$K$5:$K$523,6),'Calc (scoring engine)'!$K$5:$K$523,0))),""))</f>
        <v/>
      </c>
      <c r="AU26" s="23">
        <f>IF(OR(6&gt;MAX(3,MIN(15,N($D$18))),IFERROR(LARGE('Calc (scoring engine)'!$K$5:$K$523,6),-999999)&lt;=-900000),"",IFERROR(IF(INDEX(Database!$AX$5:$AX$523,MATCH(LARGE('Calc (scoring engine)'!$K$5:$K$523,6),'Calc (scoring engine)'!$K$5:$K$523,0))="","—",INDEX(Database!$AX$5:$AX$523,MATCH(LARGE('Calc (scoring engine)'!$K$5:$K$523,6),'Calc (scoring engine)'!$K$5:$K$523,0))),""))</f>
        <v/>
      </c>
      <c r="AV26" s="23">
        <f>IF(OR(6&gt;MAX(3,MIN(15,N($D$18))),IFERROR(LARGE('Calc (scoring engine)'!$K$5:$K$523,6),-999999)&lt;=-900000),"",IFERROR(IF(INDEX(Database!$AY$5:$AY$523,MATCH(LARGE('Calc (scoring engine)'!$K$5:$K$523,6),'Calc (scoring engine)'!$K$5:$K$523,0))="","—",INDEX(Database!$AY$5:$AY$523,MATCH(LARGE('Calc (scoring engine)'!$K$5:$K$523,6),'Calc (scoring engine)'!$K$5:$K$523,0))),""))</f>
        <v/>
      </c>
      <c r="AW26" s="23">
        <f>IF(OR(6&gt;MAX(3,MIN(15,N($D$18))),IFERROR(LARGE('Calc (scoring engine)'!$K$5:$K$523,6),-999999)&lt;=-900000),"",IFERROR(IF(INDEX(Database!$AZ$5:$AZ$523,MATCH(LARGE('Calc (scoring engine)'!$K$5:$K$523,6),'Calc (scoring engine)'!$K$5:$K$523,0))="","—",INDEX(Database!$AZ$5:$AZ$523,MATCH(LARGE('Calc (scoring engine)'!$K$5:$K$523,6),'Calc (scoring engine)'!$K$5:$K$523,0))),""))</f>
        <v/>
      </c>
      <c r="AX26" s="23">
        <f>IF(OR(6&gt;MAX(3,MIN(15,N($D$18))),IFERROR(LARGE('Calc (scoring engine)'!$K$5:$K$523,6),-999999)&lt;=-900000),"",IFERROR(IF(INDEX(Database!$BB$5:$BB$523,MATCH(LARGE('Calc (scoring engine)'!$K$5:$K$523,6),'Calc (scoring engine)'!$K$5:$K$523,0))="","—",INDEX(Database!$BB$5:$BB$523,MATCH(LARGE('Calc (scoring engine)'!$K$5:$K$523,6),'Calc (scoring engine)'!$K$5:$K$523,0))),""))</f>
        <v/>
      </c>
      <c r="AY26" s="19">
        <f>IF(OR(6&gt;MAX(3,MIN(15,N($D$18))),IFERROR(LARGE('Calc (scoring engine)'!$K$5:$K$523,6),-999999)&lt;=-900000),"",IFERROR(IF(INDEX(Database!$BD$5:$BD$523,MATCH(LARGE('Calc (scoring engine)'!$K$5:$K$523,6),'Calc (scoring engine)'!$K$5:$K$523,0))="","—",INDEX(Database!$BD$5:$BD$523,MATCH(LARGE('Calc (scoring engine)'!$K$5:$K$523,6),'Calc (scoring engine)'!$K$5:$K$523,0))),""))</f>
        <v/>
      </c>
      <c r="AZ26" s="19">
        <f>IF(OR(6&gt;MAX(3,MIN(15,N($D$18))),IFERROR(LARGE('Calc (scoring engine)'!$K$5:$K$523,6),-999999)&lt;=-900000),"",IFERROR(IF(INDEX(Database!$BE$5:$BE$523,MATCH(LARGE('Calc (scoring engine)'!$K$5:$K$523,6),'Calc (scoring engine)'!$K$5:$K$523,0))="","—",INDEX(Database!$BE$5:$BE$523,MATCH(LARGE('Calc (scoring engine)'!$K$5:$K$523,6),'Calc (scoring engine)'!$K$5:$K$523,0))),""))</f>
        <v/>
      </c>
      <c r="BA26" s="10">
        <f>IF(OR(6&gt;MAX(3,MIN(15,N($D$18))),IFERROR(LARGE('Calc (scoring engine)'!$K$5:$K$523,6),-999999)&lt;=-900000),"",IFERROR(IF(INDEX(Database!$BF$5:$BF$523,MATCH(LARGE('Calc (scoring engine)'!$K$5:$K$523,6),'Calc (scoring engine)'!$K$5:$K$523,0))="","—",INDEX(Database!$BF$5:$BF$523,MATCH(LARGE('Calc (scoring engine)'!$K$5:$K$523,6),'Calc (scoring engine)'!$K$5:$K$523,0))),""))</f>
        <v/>
      </c>
      <c r="BB26" s="24">
        <f>IF(OR(6&gt;MAX(3,MIN(15,N($D$18))),IFERROR(LARGE('Calc (scoring engine)'!$K$5:$K$523,6),-999999)&lt;=-900000),"",IFERROR(IF(N(INDEX(Database!$BG$5:$BG$523,MATCH(LARGE('Calc (scoring engine)'!$K$5:$K$523,6),'Calc (scoring engine)'!$K$5:$K$523,0)))&lt;=0,IF(INDEX(Database!$BF$5:$BF$523,MATCH(LARGE('Calc (scoring engine)'!$K$5:$K$523,6),'Calc (scoring engine)'!$K$5:$K$523,0))="N","n/m","—"),INDEX(Database!$BG$5:$BG$523,MATCH(LARGE('Calc (scoring engine)'!$K$5:$K$523,6),'Calc (scoring engine)'!$K$5:$K$523,0))),""))</f>
        <v/>
      </c>
      <c r="BC26" s="24">
        <f>IF(OR(6&gt;MAX(3,MIN(15,N($D$18))),IFERROR(LARGE('Calc (scoring engine)'!$K$5:$K$523,6),-999999)&lt;=-900000),"",IFERROR(IF(INDEX(Database!$BH$5:$BH$523,MATCH(LARGE('Calc (scoring engine)'!$K$5:$K$523,6),'Calc (scoring engine)'!$K$5:$K$523,0))="","—",INDEX(Database!$BH$5:$BH$523,MATCH(LARGE('Calc (scoring engine)'!$K$5:$K$523,6),'Calc (scoring engine)'!$K$5:$K$523,0))),""))</f>
        <v/>
      </c>
      <c r="BD26" s="24">
        <f>IF(OR(6&gt;MAX(3,MIN(15,N($D$18))),IFERROR(LARGE('Calc (scoring engine)'!$K$5:$K$523,6),-999999)&lt;=-900000),"",IFERROR(IF(INDEX(Database!$BI$5:$BI$523,MATCH(LARGE('Calc (scoring engine)'!$K$5:$K$523,6),'Calc (scoring engine)'!$K$5:$K$523,0))="","—",INDEX(Database!$BI$5:$BI$523,MATCH(LARGE('Calc (scoring engine)'!$K$5:$K$523,6),'Calc (scoring engine)'!$K$5:$K$523,0))),""))</f>
        <v/>
      </c>
      <c r="BE26" s="24">
        <f>IF(OR(6&gt;MAX(3,MIN(15,N($D$18))),IFERROR(LARGE('Calc (scoring engine)'!$K$5:$K$523,6),-999999)&lt;=-900000),"",IFERROR(IF(INDEX(Database!$BJ$5:$BJ$523,MATCH(LARGE('Calc (scoring engine)'!$K$5:$K$523,6),'Calc (scoring engine)'!$K$5:$K$523,0))="","—",INDEX(Database!$BJ$5:$BJ$523,MATCH(LARGE('Calc (scoring engine)'!$K$5:$K$523,6),'Calc (scoring engine)'!$K$5:$K$523,0))),""))</f>
        <v/>
      </c>
      <c r="BF26" s="24">
        <f>IF(OR(6&gt;MAX(3,MIN(15,N($D$18))),IFERROR(LARGE('Calc (scoring engine)'!$K$5:$K$523,6),-999999)&lt;=-900000),"",IFERROR(IF(INDEX(Database!$BK$5:$BK$523,MATCH(LARGE('Calc (scoring engine)'!$K$5:$K$523,6),'Calc (scoring engine)'!$K$5:$K$523,0))="","—",INDEX(Database!$BK$5:$BK$523,MATCH(LARGE('Calc (scoring engine)'!$K$5:$K$523,6),'Calc (scoring engine)'!$K$5:$K$523,0))),""))</f>
        <v/>
      </c>
      <c r="BG26" s="24">
        <f>IF(OR(6&gt;MAX(3,MIN(15,N($D$18))),IFERROR(LARGE('Calc (scoring engine)'!$K$5:$K$523,6),-999999)&lt;=-900000),"",IFERROR(IFERROR(BDP(TEXT(INDEX(Database!$A$5:$A$523,MATCH(LARGE('Calc (scoring engine)'!$K$5:$K$523,6),'Calc (scoring engine)'!$K$5:$K$523,0)),"0")&amp;" HK Equity","PE_RATIO"),IF(INDEX(Database!$BI$5:$BI$523,MATCH(LARGE('Calc (scoring engine)'!$K$5:$K$523,6),'Calc (scoring engine)'!$K$5:$K$523,0))="","—",INDEX(Database!$BI$5:$BI$523,MATCH(LARGE('Calc (scoring engine)'!$K$5:$K$523,6),'Calc (scoring engine)'!$K$5:$K$523,0)))),""))</f>
        <v/>
      </c>
      <c r="BH26" s="24">
        <f>IF(OR(6&gt;MAX(3,MIN(15,N($D$18))),IFERROR(LARGE('Calc (scoring engine)'!$K$5:$K$523,6),-999999)&lt;=-900000),"",IFERROR(IFERROR(BDP(TEXT(INDEX(Database!$A$5:$A$523,MATCH(LARGE('Calc (scoring engine)'!$K$5:$K$523,6),'Calc (scoring engine)'!$K$5:$K$523,0)),"0")&amp;" HK Equity","PX_TO_SALES_RATIO"),IF(INDEX(Database!$BJ$5:$BJ$523,MATCH(LARGE('Calc (scoring engine)'!$K$5:$K$523,6),'Calc (scoring engine)'!$K$5:$K$523,0))="","—",INDEX(Database!$BJ$5:$BJ$523,MATCH(LARGE('Calc (scoring engine)'!$K$5:$K$523,6),'Calc (scoring engine)'!$K$5:$K$523,0)))),""))</f>
        <v/>
      </c>
      <c r="BI26" s="10">
        <f>IF(OR(6&gt;MAX(3,MIN(15,N($D$18))),IFERROR(LARGE('Calc (scoring engine)'!$K$5:$K$523,6),-999999)&lt;=-900000),"",IFERROR(IF(INDEX(Database!$BL$5:$BL$523,MATCH(LARGE('Calc (scoring engine)'!$K$5:$K$523,6),'Calc (scoring engine)'!$K$5:$K$523,0))="","—",INDEX(Database!$BL$5:$BL$523,MATCH(LARGE('Calc (scoring engine)'!$K$5:$K$523,6),'Calc (scoring engine)'!$K$5:$K$523,0))),""))</f>
        <v/>
      </c>
      <c r="BJ26" s="10">
        <f>IF(OR(6&gt;MAX(3,MIN(15,N($D$18))),IFERROR(LARGE('Calc (scoring engine)'!$K$5:$K$523,6),-999999)&lt;=-900000),"",IFERROR(IF(INDEX(Database!$BM$5:$BM$523,MATCH(LARGE('Calc (scoring engine)'!$K$5:$K$523,6),'Calc (scoring engine)'!$K$5:$K$523,0))="","—",INDEX(Database!$BM$5:$BM$523,MATCH(LARGE('Calc (scoring engine)'!$K$5:$K$523,6),'Calc (scoring engine)'!$K$5:$K$523,0))),""))</f>
        <v/>
      </c>
      <c r="BK26" s="23">
        <f>IF(OR(6&gt;MAX(3,MIN(15,N($D$18))),IFERROR(LARGE('Calc (scoring engine)'!$K$5:$K$523,6),-999999)&lt;=-900000),"",IFERROR(IF(INDEX(Database!$BN$5:$BN$523,MATCH(LARGE('Calc (scoring engine)'!$K$5:$K$523,6),'Calc (scoring engine)'!$K$5:$K$523,0))="","—",INDEX(Database!$BN$5:$BN$523,MATCH(LARGE('Calc (scoring engine)'!$K$5:$K$523,6),'Calc (scoring engine)'!$K$5:$K$523,0))),""))</f>
        <v/>
      </c>
      <c r="BL26" s="50">
        <f>IF(OR(6&gt;MAX(3,MIN(15,N($D$18))),IFERROR(LARGE('Calc (scoring engine)'!$K$5:$K$523,6),-999999)&lt;=-900000),"",IFERROR(IF(INDEX(Database!$BO$5:$BO$523,MATCH(LARGE('Calc (scoring engine)'!$K$5:$K$523,6),'Calc (scoring engine)'!$K$5:$K$523,0))="","—",INDEX(Database!$BO$5:$BO$523,MATCH(LARGE('Calc (scoring engine)'!$K$5:$K$523,6),'Calc (scoring engine)'!$K$5:$K$523,0))),""))</f>
        <v/>
      </c>
      <c r="BM26" s="54">
        <f>IF(OR(6&gt;MAX(3,MIN(15,N($D$18))),IFERROR(LARGE('Calc (scoring engine)'!$K$5:$K$523,6),-999999)&lt;=-900000),"",IFERROR(IF(INDEX(Database!$BP$5:$BP$523,MATCH(LARGE('Calc (scoring engine)'!$K$5:$K$523,6),'Calc (scoring engine)'!$K$5:$K$523,0))="","—",INDEX(Database!$BP$5:$BP$523,MATCH(LARGE('Calc (scoring engine)'!$K$5:$K$523,6),'Calc (scoring engine)'!$K$5:$K$523,0))),""))</f>
        <v/>
      </c>
      <c r="BN26" s="19">
        <f>IF(OR(6&gt;MAX(3,MIN(15,N($D$18))),IFERROR(LARGE('Calc (scoring engine)'!$K$5:$K$523,6),-999999)&lt;=-900000),"",IFERROR(IF(INDEX(Database!$BQ$5:$BQ$523,MATCH(LARGE('Calc (scoring engine)'!$K$5:$K$523,6),'Calc (scoring engine)'!$K$5:$K$523,0))="","—",INDEX(Database!$BQ$5:$BQ$523,MATCH(LARGE('Calc (scoring engine)'!$K$5:$K$523,6),'Calc (scoring engine)'!$K$5:$K$523,0))),""))</f>
        <v/>
      </c>
      <c r="BO26" s="24">
        <f>IF(OR(6&gt;MAX(3,MIN(15,N($D$18))),IFERROR(LARGE('Calc (scoring engine)'!$K$5:$K$523,6),-999999)&lt;=-900000),"",IFERROR(IF(INDEX(Database!$BR$5:$BR$523,MATCH(LARGE('Calc (scoring engine)'!$K$5:$K$523,6),'Calc (scoring engine)'!$K$5:$K$523,0))="","—",INDEX(Database!$BR$5:$BR$523,MATCH(LARGE('Calc (scoring engine)'!$K$5:$K$523,6),'Calc (scoring engine)'!$K$5:$K$523,0))),""))</f>
        <v/>
      </c>
      <c r="BP26" s="24">
        <f>IF(OR(6&gt;MAX(3,MIN(15,N($D$18))),IFERROR(LARGE('Calc (scoring engine)'!$K$5:$K$523,6),-999999)&lt;=-900000),"",IFERROR(IF(INDEX(Database!$BS$5:$BS$523,MATCH(LARGE('Calc (scoring engine)'!$K$5:$K$523,6),'Calc (scoring engine)'!$K$5:$K$523,0))="","—",INDEX(Database!$BS$5:$BS$523,MATCH(LARGE('Calc (scoring engine)'!$K$5:$K$523,6),'Calc (scoring engine)'!$K$5:$K$523,0))),""))</f>
        <v/>
      </c>
      <c r="BQ26" s="10">
        <f>IF(OR(6&gt;MAX(3,MIN(15,N($D$18))),IFERROR(LARGE('Calc (scoring engine)'!$K$5:$K$523,6),-999999)&lt;=-900000),"",IFERROR(IF(INDEX(Database!$BT$5:$BT$523,MATCH(LARGE('Calc (scoring engine)'!$K$5:$K$523,6),'Calc (scoring engine)'!$K$5:$K$523,0))="","—",INDEX(Database!$BT$5:$BT$523,MATCH(LARGE('Calc (scoring engine)'!$K$5:$K$523,6),'Calc (scoring engine)'!$K$5:$K$523,0))),""))</f>
        <v/>
      </c>
      <c r="BR26" s="10">
        <f>IF(OR(6&gt;MAX(3,MIN(15,N($D$18))),IFERROR(LARGE('Calc (scoring engine)'!$K$5:$K$523,6),-999999)&lt;=-900000),"",IFERROR(IF(INDEX(Database!$BV$5:$BV$523,MATCH(LARGE('Calc (scoring engine)'!$K$5:$K$523,6),'Calc (scoring engine)'!$K$5:$K$523,0))="","—",INDEX(Database!$BV$5:$BV$523,MATCH(LARGE('Calc (scoring engine)'!$K$5:$K$523,6),'Calc (scoring engine)'!$K$5:$K$523,0))),""))</f>
        <v/>
      </c>
      <c r="BS26" s="53">
        <f>IF(OR(6&gt;MAX(3,MIN(15,N($D$18))),IFERROR(LARGE('Calc (scoring engine)'!$K$5:$K$523,6),-999999)&lt;=-900000),"",IFERROR(IF(INDEX('Calc (scoring engine)'!$H$5:$H$523,MATCH(LARGE('Calc (scoring engine)'!$K$5:$K$523,6),'Calc (scoring engine)'!$K$5:$K$523,0))&gt;0,INDEX('Calc (scoring engine)'!$H$5:$H$523,MATCH(LARGE('Calc (scoring engine)'!$K$5:$K$523,6),'Calc (scoring engine)'!$K$5:$K$523,0)),""),""))</f>
        <v/>
      </c>
      <c r="BT26" s="10">
        <f>IF(OR(6&gt;MAX(3,MIN(15,N($D$18))),IFERROR(LARGE('Calc (scoring engine)'!$K$5:$K$523,6),-999999)&lt;=-900000),"",IF(IFERROR(INDEX('Calc (scoring engine)'!$B$5:$B$523,MATCH(LARGE('Calc (scoring engine)'!$K$5:$K$523,6),'Calc (scoring engine)'!$K$5:$K$523,0)),0)=1,"same subsector","sector only"))</f>
        <v/>
      </c>
      <c r="BU26" s="53">
        <f>IF(OR(6&gt;MAX(3,MIN(15,N($D$18))),IFERROR(LARGE('Calc (scoring engine)'!$K$5:$K$523,6),-999999)&lt;=-900000),"",ROUND(IFERROR(LARGE('Calc (scoring engine)'!$K$5:$K$523,6),0),0))</f>
        <v/>
      </c>
      <c r="BV26" s="10">
        <f>IF(OR(6&gt;MAX(3,MIN(15,N($D$18))),IFERROR(LARGE('Calc (scoring engine)'!$K$5:$K$523,6),-999999)&lt;=-900000),"",IFERROR("sub "&amp;INDEX('Calc (scoring engine)'!$B$5:$B$523,MATCH(LARGE('Calc (scoring engine)'!$K$5:$K$523,6),'Calc (scoring engine)'!$K$5:$K$523,0))*W_SUB&amp;" + size "&amp;ROUND(INDEX('Calc (scoring engine)'!$D$5:$D$523,MATCH(LARGE('Calc (scoring engine)'!$K$5:$K$523,6),'Calc (scoring engine)'!$K$5:$K$523,0))*W_SIZE,0)&amp;" + prof "&amp;INDEX('Calc (scoring engine)'!$E$5:$E$523,MATCH(LARGE('Calc (scoring engine)'!$K$5:$K$523,6),'Calc (scoring engine)'!$K$5:$K$523,0))*W_PROF&amp;" + recency "&amp;ROUND(INDEX('Calc (scoring engine)'!$G$5:$G$523,MATCH(LARGE('Calc (scoring engine)'!$K$5:$K$523,6),'Calc (scoring engine)'!$K$5:$K$523,0))*W_REC,0)&amp;IF(INDEX('Calc (scoring engine)'!$H$5:$H$523,MATCH(LARGE('Calc (scoring engine)'!$K$5:$K$523,6),'Calc (scoring engine)'!$K$5:$K$523,0))&gt;0," + shared CS x"&amp;INDEX('Calc (scoring engine)'!$H$5:$H$523,MATCH(LARGE('Calc (scoring engine)'!$K$5:$K$523,6),'Calc (scoring engine)'!$K$5:$K$523,0)),""),""))</f>
        <v/>
      </c>
    </row>
    <row r="27">
      <c r="A27" s="48">
        <f>IF(OR(7&gt;MAX(3,MIN(15,N($D$18))),IFERROR(LARGE('Calc (scoring engine)'!$K$5:$K$523,7),-999999)&lt;=-900000),"",7)</f>
        <v/>
      </c>
      <c r="B27" s="10">
        <f>IF(OR(7&gt;MAX(3,MIN(15,N($D$18))),IFERROR(LARGE('Calc (scoring engine)'!$K$5:$K$523,7),-999999)&lt;=-900000),"",IFERROR(IF(INDEX(Database!$B$5:$B$523,MATCH(LARGE('Calc (scoring engine)'!$K$5:$K$523,7),'Calc (scoring engine)'!$K$5:$K$523,0))="","—",INDEX(Database!$B$5:$B$523,MATCH(LARGE('Calc (scoring engine)'!$K$5:$K$523,7),'Calc (scoring engine)'!$K$5:$K$523,0))),""))</f>
        <v/>
      </c>
      <c r="C27" s="49">
        <f>IF(OR(7&gt;MAX(3,MIN(15,N($D$18))),IFERROR(LARGE('Calc (scoring engine)'!$K$5:$K$523,7),-999999)&lt;=-900000),"",IFERROR(IF(INDEX(Database!$A$5:$A$523,MATCH(LARGE('Calc (scoring engine)'!$K$5:$K$523,7),'Calc (scoring engine)'!$K$5:$K$523,0))="","—",INDEX(Database!$A$5:$A$523,MATCH(LARGE('Calc (scoring engine)'!$K$5:$K$523,7),'Calc (scoring engine)'!$K$5:$K$523,0))),""))</f>
        <v/>
      </c>
      <c r="D27" s="10">
        <f>IF(OR(7&gt;MAX(3,MIN(15,N($D$18))),IFERROR(LARGE('Calc (scoring engine)'!$K$5:$K$523,7),-999999)&lt;=-900000),"",IFERROR(IF(INDEX(Database!$D$5:$D$523,MATCH(LARGE('Calc (scoring engine)'!$K$5:$K$523,7),'Calc (scoring engine)'!$K$5:$K$523,0))="","—",INDEX(Database!$D$5:$D$523,MATCH(LARGE('Calc (scoring engine)'!$K$5:$K$523,7),'Calc (scoring engine)'!$K$5:$K$523,0))),""))</f>
        <v/>
      </c>
      <c r="E27" s="10">
        <f>IF(OR(7&gt;MAX(3,MIN(15,N($D$18))),IFERROR(LARGE('Calc (scoring engine)'!$K$5:$K$523,7),-999999)&lt;=-900000),"",IFERROR(IF(INDEX(Database!$E$5:$E$523,MATCH(LARGE('Calc (scoring engine)'!$K$5:$K$523,7),'Calc (scoring engine)'!$K$5:$K$523,0))="","—",INDEX(Database!$E$5:$E$523,MATCH(LARGE('Calc (scoring engine)'!$K$5:$K$523,7),'Calc (scoring engine)'!$K$5:$K$523,0))),""))</f>
        <v/>
      </c>
      <c r="F27" s="10">
        <f>IF(OR(7&gt;MAX(3,MIN(15,N($D$18))),IFERROR(LARGE('Calc (scoring engine)'!$K$5:$K$523,7),-999999)&lt;=-900000),"",IFERROR(IF(INDEX(Database!$F$5:$F$523,MATCH(LARGE('Calc (scoring engine)'!$K$5:$K$523,7),'Calc (scoring engine)'!$K$5:$K$523,0))="","—",INDEX(Database!$F$5:$F$523,MATCH(LARGE('Calc (scoring engine)'!$K$5:$K$523,7),'Calc (scoring engine)'!$K$5:$K$523,0))),""))</f>
        <v/>
      </c>
      <c r="G27" s="10">
        <f>IF(OR(7&gt;MAX(3,MIN(15,N($D$18))),IFERROR(LARGE('Calc (scoring engine)'!$K$5:$K$523,7),-999999)&lt;=-900000),"",IFERROR(IF(INDEX(Database!$G$5:$G$523,MATCH(LARGE('Calc (scoring engine)'!$K$5:$K$523,7),'Calc (scoring engine)'!$K$5:$K$523,0))="","—",INDEX(Database!$G$5:$G$523,MATCH(LARGE('Calc (scoring engine)'!$K$5:$K$523,7),'Calc (scoring engine)'!$K$5:$K$523,0))),""))</f>
        <v/>
      </c>
      <c r="H27" s="21">
        <f>IF(OR(7&gt;MAX(3,MIN(15,N($D$18))),IFERROR(LARGE('Calc (scoring engine)'!$K$5:$K$523,7),-999999)&lt;=-900000),"",IFERROR(IF(INDEX(Database!$H$5:$H$523,MATCH(LARGE('Calc (scoring engine)'!$K$5:$K$523,7),'Calc (scoring engine)'!$K$5:$K$523,0))="","—",INDEX(Database!$H$5:$H$523,MATCH(LARGE('Calc (scoring engine)'!$K$5:$K$523,7),'Calc (scoring engine)'!$K$5:$K$523,0))),""))</f>
        <v/>
      </c>
      <c r="I27" s="19">
        <f>IF(OR(7&gt;MAX(3,MIN(15,N($D$18))),IFERROR(LARGE('Calc (scoring engine)'!$K$5:$K$523,7),-999999)&lt;=-900000),"",IFERROR(IF(INDEX(Database!$I$5:$I$523,MATCH(LARGE('Calc (scoring engine)'!$K$5:$K$523,7),'Calc (scoring engine)'!$K$5:$K$523,0))="","—",INDEX(Database!$I$5:$I$523,MATCH(LARGE('Calc (scoring engine)'!$K$5:$K$523,7),'Calc (scoring engine)'!$K$5:$K$523,0))),""))</f>
        <v/>
      </c>
      <c r="J27" s="50">
        <f>IF(OR(7&gt;MAX(3,MIN(15,N($D$18))),IFERROR(LARGE('Calc (scoring engine)'!$K$5:$K$523,7),-999999)&lt;=-900000),"",IFERROR(IF(INDEX(Database!$K$5:$K$523,MATCH(LARGE('Calc (scoring engine)'!$K$5:$K$523,7),'Calc (scoring engine)'!$K$5:$K$523,0))="","—",INDEX(Database!$K$5:$K$523,MATCH(LARGE('Calc (scoring engine)'!$K$5:$K$523,7),'Calc (scoring engine)'!$K$5:$K$523,0))),""))</f>
        <v/>
      </c>
      <c r="K27" s="50">
        <f>IF(OR(7&gt;MAX(3,MIN(15,N($D$18))),IFERROR(LARGE('Calc (scoring engine)'!$K$5:$K$523,7),-999999)&lt;=-900000),"",IFERROR(IF(INDEX(Database!$L$5:$L$523,MATCH(LARGE('Calc (scoring engine)'!$K$5:$K$523,7),'Calc (scoring engine)'!$K$5:$K$523,0))="","—",INDEX(Database!$L$5:$L$523,MATCH(LARGE('Calc (scoring engine)'!$K$5:$K$523,7),'Calc (scoring engine)'!$K$5:$K$523,0))),""))</f>
        <v/>
      </c>
      <c r="L27" s="50">
        <f>IF(OR(7&gt;MAX(3,MIN(15,N($D$18))),IFERROR(LARGE('Calc (scoring engine)'!$K$5:$K$523,7),-999999)&lt;=-900000),"",IFERROR(IF(INDEX(Database!$M$5:$M$523,MATCH(LARGE('Calc (scoring engine)'!$K$5:$K$523,7),'Calc (scoring engine)'!$K$5:$K$523,0))="","—",INDEX(Database!$M$5:$M$523,MATCH(LARGE('Calc (scoring engine)'!$K$5:$K$523,7),'Calc (scoring engine)'!$K$5:$K$523,0))),""))</f>
        <v/>
      </c>
      <c r="M27" s="10">
        <f>IF(OR(7&gt;MAX(3,MIN(15,N($D$18))),IFERROR(LARGE('Calc (scoring engine)'!$K$5:$K$523,7),-999999)&lt;=-900000),"",IFERROR(IF(INDEX(Database!$N$5:$N$523,MATCH(LARGE('Calc (scoring engine)'!$K$5:$K$523,7),'Calc (scoring engine)'!$K$5:$K$523,0))="","—",INDEX(Database!$N$5:$N$523,MATCH(LARGE('Calc (scoring engine)'!$K$5:$K$523,7),'Calc (scoring engine)'!$K$5:$K$523,0))),""))</f>
        <v/>
      </c>
      <c r="N27" s="31">
        <f>IF(OR(7&gt;MAX(3,MIN(15,N($D$18))),IFERROR(LARGE('Calc (scoring engine)'!$K$5:$K$523,7),-999999)&lt;=-900000),"",IFERROR(IF(INDEX(Database!$O$5:$O$523,MATCH(LARGE('Calc (scoring engine)'!$K$5:$K$523,7),'Calc (scoring engine)'!$K$5:$K$523,0))="","—",INDEX(Database!$O$5:$O$523,MATCH(LARGE('Calc (scoring engine)'!$K$5:$K$523,7),'Calc (scoring engine)'!$K$5:$K$523,0))),""))</f>
        <v/>
      </c>
      <c r="O27" s="31">
        <f>IF(OR(7&gt;MAX(3,MIN(15,N($D$18))),IFERROR(LARGE('Calc (scoring engine)'!$K$5:$K$523,7),-999999)&lt;=-900000),"",IFERROR(IF(INDEX(Database!$P$5:$P$523,MATCH(LARGE('Calc (scoring engine)'!$K$5:$K$523,7),'Calc (scoring engine)'!$K$5:$K$523,0))="","—",INDEX(Database!$P$5:$P$523,MATCH(LARGE('Calc (scoring engine)'!$K$5:$K$523,7),'Calc (scoring engine)'!$K$5:$K$523,0))),""))</f>
        <v/>
      </c>
      <c r="P27" s="19">
        <f>IF(OR(7&gt;MAX(3,MIN(15,N($D$18))),IFERROR(LARGE('Calc (scoring engine)'!$K$5:$K$523,7),-999999)&lt;=-900000),"",IFERROR(IF(INDEX(Database!$Q$5:$Q$523,MATCH(LARGE('Calc (scoring engine)'!$K$5:$K$523,7),'Calc (scoring engine)'!$K$5:$K$523,0))="","—",INDEX(Database!$Q$5:$Q$523,MATCH(LARGE('Calc (scoring engine)'!$K$5:$K$523,7),'Calc (scoring engine)'!$K$5:$K$523,0))),""))</f>
        <v/>
      </c>
      <c r="Q27" s="26">
        <f>IF(OR(7&gt;MAX(3,MIN(15,N($D$18))),IFERROR(LARGE('Calc (scoring engine)'!$K$5:$K$523,7),-999999)&lt;=-900000),"",IFERROR(IF(INDEX(Database!$S$5:$S$523,MATCH(LARGE('Calc (scoring engine)'!$K$5:$K$523,7),'Calc (scoring engine)'!$K$5:$K$523,0))="","—",INDEX(Database!$S$5:$S$523,MATCH(LARGE('Calc (scoring engine)'!$K$5:$K$523,7),'Calc (scoring engine)'!$K$5:$K$523,0))),""))</f>
        <v/>
      </c>
      <c r="R27" s="51">
        <f>IF(OR(7&gt;MAX(3,MIN(15,N($D$18))),IFERROR(LARGE('Calc (scoring engine)'!$K$5:$K$523,7),-999999)&lt;=-900000),"",IFERROR(IF(INDEX(Database!$T$5:$T$523,MATCH(LARGE('Calc (scoring engine)'!$K$5:$K$523,7),'Calc (scoring engine)'!$K$5:$K$523,0))="","—",INDEX(Database!$T$5:$T$523,MATCH(LARGE('Calc (scoring engine)'!$K$5:$K$523,7),'Calc (scoring engine)'!$K$5:$K$523,0))),""))</f>
        <v/>
      </c>
      <c r="S27" s="52">
        <f>IF(OR(7&gt;MAX(3,MIN(15,N($D$18))),IFERROR(LARGE('Calc (scoring engine)'!$K$5:$K$523,7),-999999)&lt;=-900000),"",IFERROR(IF(INDEX(Database!$U$5:$U$523,MATCH(LARGE('Calc (scoring engine)'!$K$5:$K$523,7),'Calc (scoring engine)'!$K$5:$K$523,0))="","—",INDEX(Database!$U$5:$U$523,MATCH(LARGE('Calc (scoring engine)'!$K$5:$K$523,7),'Calc (scoring engine)'!$K$5:$K$523,0))),""))</f>
        <v/>
      </c>
      <c r="T27" s="53">
        <f>IF(OR(7&gt;MAX(3,MIN(15,N($D$18))),IFERROR(LARGE('Calc (scoring engine)'!$K$5:$K$523,7),-999999)&lt;=-900000),"",IFERROR(IF(INDEX(Database!$V$5:$V$523,MATCH(LARGE('Calc (scoring engine)'!$K$5:$K$523,7),'Calc (scoring engine)'!$K$5:$K$523,0))="","—",INDEX(Database!$V$5:$V$523,MATCH(LARGE('Calc (scoring engine)'!$K$5:$K$523,7),'Calc (scoring engine)'!$K$5:$K$523,0))),""))</f>
        <v/>
      </c>
      <c r="U27" s="31">
        <f>IF(OR(7&gt;MAX(3,MIN(15,N($D$18))),IFERROR(LARGE('Calc (scoring engine)'!$K$5:$K$523,7),-999999)&lt;=-900000),"",IFERROR(IF(INDEX(Database!$W$5:$W$523,MATCH(LARGE('Calc (scoring engine)'!$K$5:$K$523,7),'Calc (scoring engine)'!$K$5:$K$523,0))="","—",INDEX(Database!$W$5:$W$523,MATCH(LARGE('Calc (scoring engine)'!$K$5:$K$523,7),'Calc (scoring engine)'!$K$5:$K$523,0))),""))</f>
        <v/>
      </c>
      <c r="V27" s="10">
        <f>IF(OR(7&gt;MAX(3,MIN(15,N($D$18))),IFERROR(LARGE('Calc (scoring engine)'!$K$5:$K$523,7),-999999)&lt;=-900000),"",IFERROR(IF(INDEX(Database!$X$5:$X$523,MATCH(LARGE('Calc (scoring engine)'!$K$5:$K$523,7),'Calc (scoring engine)'!$K$5:$K$523,0))="","—",INDEX(Database!$X$5:$X$523,MATCH(LARGE('Calc (scoring engine)'!$K$5:$K$523,7),'Calc (scoring engine)'!$K$5:$K$523,0))),""))</f>
        <v/>
      </c>
      <c r="W27" s="19">
        <f>IF(OR(7&gt;MAX(3,MIN(15,N($D$18))),IFERROR(LARGE('Calc (scoring engine)'!$K$5:$K$523,7),-999999)&lt;=-900000),"",IFERROR(IF(INDEX(Database!$Y$5:$Y$523,MATCH(LARGE('Calc (scoring engine)'!$K$5:$K$523,7),'Calc (scoring engine)'!$K$5:$K$523,0))="","—",INDEX(Database!$Y$5:$Y$523,MATCH(LARGE('Calc (scoring engine)'!$K$5:$K$523,7),'Calc (scoring engine)'!$K$5:$K$523,0))),""))</f>
        <v/>
      </c>
      <c r="X27" s="19">
        <f>IF(OR(7&gt;MAX(3,MIN(15,N($D$18))),IFERROR(LARGE('Calc (scoring engine)'!$K$5:$K$523,7),-999999)&lt;=-900000),"",IFERROR(IF(INDEX(Database!$Z$5:$Z$523,MATCH(LARGE('Calc (scoring engine)'!$K$5:$K$523,7),'Calc (scoring engine)'!$K$5:$K$523,0))="","—",INDEX(Database!$Z$5:$Z$523,MATCH(LARGE('Calc (scoring engine)'!$K$5:$K$523,7),'Calc (scoring engine)'!$K$5:$K$523,0))),""))</f>
        <v/>
      </c>
      <c r="Y27" s="31">
        <f>IF(OR(7&gt;MAX(3,MIN(15,N($D$18))),IFERROR(LARGE('Calc (scoring engine)'!$K$5:$K$523,7),-999999)&lt;=-900000),"",IFERROR(IF(INDEX(Database!$AA$5:$AA$523,MATCH(LARGE('Calc (scoring engine)'!$K$5:$K$523,7),'Calc (scoring engine)'!$K$5:$K$523,0))="","—",INDEX(Database!$AA$5:$AA$523,MATCH(LARGE('Calc (scoring engine)'!$K$5:$K$523,7),'Calc (scoring engine)'!$K$5:$K$523,0))),""))</f>
        <v/>
      </c>
      <c r="Z27" s="10">
        <f>IF(OR(7&gt;MAX(3,MIN(15,N($D$18))),IFERROR(LARGE('Calc (scoring engine)'!$K$5:$K$523,7),-999999)&lt;=-900000),"",IFERROR(IF(INDEX(Database!$AB$5:$AB$523,MATCH(LARGE('Calc (scoring engine)'!$K$5:$K$523,7),'Calc (scoring engine)'!$K$5:$K$523,0))="","—",INDEX(Database!$AB$5:$AB$523,MATCH(LARGE('Calc (scoring engine)'!$K$5:$K$523,7),'Calc (scoring engine)'!$K$5:$K$523,0))),""))</f>
        <v/>
      </c>
      <c r="AA27" s="31">
        <f>IF(OR(7&gt;MAX(3,MIN(15,N($D$18))),IFERROR(LARGE('Calc (scoring engine)'!$K$5:$K$523,7),-999999)&lt;=-900000),"",IFERROR(IF(INDEX(Database!$AD$5:$AD$523,MATCH(LARGE('Calc (scoring engine)'!$K$5:$K$523,7),'Calc (scoring engine)'!$K$5:$K$523,0))="","—",INDEX(Database!$AD$5:$AD$523,MATCH(LARGE('Calc (scoring engine)'!$K$5:$K$523,7),'Calc (scoring engine)'!$K$5:$K$523,0))),""))</f>
        <v/>
      </c>
      <c r="AB27" s="10">
        <f>IF(OR(7&gt;MAX(3,MIN(15,N($D$18))),IFERROR(LARGE('Calc (scoring engine)'!$K$5:$K$523,7),-999999)&lt;=-900000),"",IFERROR(IF(INDEX(Database!$AE$5:$AE$523,MATCH(LARGE('Calc (scoring engine)'!$K$5:$K$523,7),'Calc (scoring engine)'!$K$5:$K$523,0))="","—",INDEX(Database!$AE$5:$AE$523,MATCH(LARGE('Calc (scoring engine)'!$K$5:$K$523,7),'Calc (scoring engine)'!$K$5:$K$523,0))),""))</f>
        <v/>
      </c>
      <c r="AC27" s="10">
        <f>IF(OR(7&gt;MAX(3,MIN(15,N($D$18))),IFERROR(LARGE('Calc (scoring engine)'!$K$5:$K$523,7),-999999)&lt;=-900000),"",IFERROR(IF(INDEX(Database!$AF$5:$AF$523,MATCH(LARGE('Calc (scoring engine)'!$K$5:$K$523,7),'Calc (scoring engine)'!$K$5:$K$523,0))="","—",INDEX(Database!$AF$5:$AF$523,MATCH(LARGE('Calc (scoring engine)'!$K$5:$K$523,7),'Calc (scoring engine)'!$K$5:$K$523,0))),""))</f>
        <v/>
      </c>
      <c r="AD27" s="10">
        <f>IF(OR(7&gt;MAX(3,MIN(15,N($D$18))),IFERROR(LARGE('Calc (scoring engine)'!$K$5:$K$523,7),-999999)&lt;=-900000),"",IFERROR(IF(INDEX(Database!$AG$5:$AG$523,MATCH(LARGE('Calc (scoring engine)'!$K$5:$K$523,7),'Calc (scoring engine)'!$K$5:$K$523,0))="","—",INDEX(Database!$AG$5:$AG$523,MATCH(LARGE('Calc (scoring engine)'!$K$5:$K$523,7),'Calc (scoring engine)'!$K$5:$K$523,0))),""))</f>
        <v/>
      </c>
      <c r="AE27" s="10">
        <f>IF(OR(7&gt;MAX(3,MIN(15,N($D$18))),IFERROR(LARGE('Calc (scoring engine)'!$K$5:$K$523,7),-999999)&lt;=-900000),"",IFERROR(IF(INDEX(Database!$AH$5:$AH$523,MATCH(LARGE('Calc (scoring engine)'!$K$5:$K$523,7),'Calc (scoring engine)'!$K$5:$K$523,0))="","—",INDEX(Database!$AH$5:$AH$523,MATCH(LARGE('Calc (scoring engine)'!$K$5:$K$523,7),'Calc (scoring engine)'!$K$5:$K$523,0))),""))</f>
        <v/>
      </c>
      <c r="AF27" s="23">
        <f>IF(OR(7&gt;MAX(3,MIN(15,N($D$18))),IFERROR(LARGE('Calc (scoring engine)'!$K$5:$K$523,7),-999999)&lt;=-900000),"",IFERROR(IF(INDEX(Database!$AI$5:$AI$523,MATCH(LARGE('Calc (scoring engine)'!$K$5:$K$523,7),'Calc (scoring engine)'!$K$5:$K$523,0))="","—",INDEX(Database!$AI$5:$AI$523,MATCH(LARGE('Calc (scoring engine)'!$K$5:$K$523,7),'Calc (scoring engine)'!$K$5:$K$523,0))),""))</f>
        <v/>
      </c>
      <c r="AG27" s="23">
        <f>IF(OR(7&gt;MAX(3,MIN(15,N($D$18))),IFERROR(LARGE('Calc (scoring engine)'!$K$5:$K$523,7),-999999)&lt;=-900000),"",IFERROR(IF(INDEX(Database!$AJ$5:$AJ$523,MATCH(LARGE('Calc (scoring engine)'!$K$5:$K$523,7),'Calc (scoring engine)'!$K$5:$K$523,0))="","—",INDEX(Database!$AJ$5:$AJ$523,MATCH(LARGE('Calc (scoring engine)'!$K$5:$K$523,7),'Calc (scoring engine)'!$K$5:$K$523,0))),""))</f>
        <v/>
      </c>
      <c r="AH27" s="23">
        <f>IF(OR(7&gt;MAX(3,MIN(15,N($D$18))),IFERROR(LARGE('Calc (scoring engine)'!$K$5:$K$523,7),-999999)&lt;=-900000),"",IFERROR(IF(INDEX(Database!$AK$5:$AK$523,MATCH(LARGE('Calc (scoring engine)'!$K$5:$K$523,7),'Calc (scoring engine)'!$K$5:$K$523,0))="","—",INDEX(Database!$AK$5:$AK$523,MATCH(LARGE('Calc (scoring engine)'!$K$5:$K$523,7),'Calc (scoring engine)'!$K$5:$K$523,0))),""))</f>
        <v/>
      </c>
      <c r="AI27" s="23">
        <f>IF(OR(7&gt;MAX(3,MIN(15,N($D$18))),IFERROR(LARGE('Calc (scoring engine)'!$K$5:$K$523,7),-999999)&lt;=-900000),"",IFERROR(IF(INDEX(Database!$AL$5:$AL$523,MATCH(LARGE('Calc (scoring engine)'!$K$5:$K$523,7),'Calc (scoring engine)'!$K$5:$K$523,0))="","—",INDEX(Database!$AL$5:$AL$523,MATCH(LARGE('Calc (scoring engine)'!$K$5:$K$523,7),'Calc (scoring engine)'!$K$5:$K$523,0))),""))</f>
        <v/>
      </c>
      <c r="AJ27" s="24">
        <f>IF(OR(7&gt;MAX(3,MIN(15,N($D$18))),IFERROR(LARGE('Calc (scoring engine)'!$K$5:$K$523,7),-999999)&lt;=-900000),"",IFERROR(IF(INDEX(Database!$AM$5:$AM$523,MATCH(LARGE('Calc (scoring engine)'!$K$5:$K$523,7),'Calc (scoring engine)'!$K$5:$K$523,0))="","—",INDEX(Database!$AM$5:$AM$523,MATCH(LARGE('Calc (scoring engine)'!$K$5:$K$523,7),'Calc (scoring engine)'!$K$5:$K$523,0))),""))</f>
        <v/>
      </c>
      <c r="AK27" s="31">
        <f>IF(OR(7&gt;MAX(3,MIN(15,N($D$18))),IFERROR(LARGE('Calc (scoring engine)'!$K$5:$K$523,7),-999999)&lt;=-900000),"",IFERROR(IF(INDEX(Database!$AN$5:$AN$523,MATCH(LARGE('Calc (scoring engine)'!$K$5:$K$523,7),'Calc (scoring engine)'!$K$5:$K$523,0))="","—",INDEX(Database!$AN$5:$AN$523,MATCH(LARGE('Calc (scoring engine)'!$K$5:$K$523,7),'Calc (scoring engine)'!$K$5:$K$523,0))),""))</f>
        <v/>
      </c>
      <c r="AL27" s="23">
        <f>IF(OR(7&gt;MAX(3,MIN(15,N($D$18))),IFERROR(LARGE('Calc (scoring engine)'!$K$5:$K$523,7),-999999)&lt;=-900000),"",IFERROR(IF(INDEX(Database!$AO$5:$AO$523,MATCH(LARGE('Calc (scoring engine)'!$K$5:$K$523,7),'Calc (scoring engine)'!$K$5:$K$523,0))="","—",INDEX(Database!$AO$5:$AO$523,MATCH(LARGE('Calc (scoring engine)'!$K$5:$K$523,7),'Calc (scoring engine)'!$K$5:$K$523,0))),""))</f>
        <v/>
      </c>
      <c r="AM27" s="23">
        <f>IF(OR(7&gt;MAX(3,MIN(15,N($D$18))),IFERROR(LARGE('Calc (scoring engine)'!$K$5:$K$523,7),-999999)&lt;=-900000),"",IFERROR(IF(INDEX(Database!$AP$5:$AP$523,MATCH(LARGE('Calc (scoring engine)'!$K$5:$K$523,7),'Calc (scoring engine)'!$K$5:$K$523,0))="","—",INDEX(Database!$AP$5:$AP$523,MATCH(LARGE('Calc (scoring engine)'!$K$5:$K$523,7),'Calc (scoring engine)'!$K$5:$K$523,0))),""))</f>
        <v/>
      </c>
      <c r="AN27" s="23">
        <f>IF(OR(7&gt;MAX(3,MIN(15,N($D$18))),IFERROR(LARGE('Calc (scoring engine)'!$K$5:$K$523,7),-999999)&lt;=-900000),"",IFERROR(IF(INDEX(Database!$AQ$5:$AQ$523,MATCH(LARGE('Calc (scoring engine)'!$K$5:$K$523,7),'Calc (scoring engine)'!$K$5:$K$523,0))="","—",INDEX(Database!$AQ$5:$AQ$523,MATCH(LARGE('Calc (scoring engine)'!$K$5:$K$523,7),'Calc (scoring engine)'!$K$5:$K$523,0))),""))</f>
        <v/>
      </c>
      <c r="AO27" s="23">
        <f>IF(OR(7&gt;MAX(3,MIN(15,N($D$18))),IFERROR(LARGE('Calc (scoring engine)'!$K$5:$K$523,7),-999999)&lt;=-900000),"",IFERROR(IF(INDEX(Database!$AR$5:$AR$523,MATCH(LARGE('Calc (scoring engine)'!$K$5:$K$523,7),'Calc (scoring engine)'!$K$5:$K$523,0))="","—",INDEX(Database!$AR$5:$AR$523,MATCH(LARGE('Calc (scoring engine)'!$K$5:$K$523,7),'Calc (scoring engine)'!$K$5:$K$523,0))),""))</f>
        <v/>
      </c>
      <c r="AP27" s="23">
        <f>IF(OR(7&gt;MAX(3,MIN(15,N($D$18))),IFERROR(LARGE('Calc (scoring engine)'!$K$5:$K$523,7),-999999)&lt;=-900000),"",IFERROR(IF(INDEX(Database!$AS$5:$AS$523,MATCH(LARGE('Calc (scoring engine)'!$K$5:$K$523,7),'Calc (scoring engine)'!$K$5:$K$523,0))="","—",INDEX(Database!$AS$5:$AS$523,MATCH(LARGE('Calc (scoring engine)'!$K$5:$K$523,7),'Calc (scoring engine)'!$K$5:$K$523,0))),""))</f>
        <v/>
      </c>
      <c r="AQ27" s="23">
        <f>IF(OR(7&gt;MAX(3,MIN(15,N($D$18))),IFERROR(LARGE('Calc (scoring engine)'!$K$5:$K$523,7),-999999)&lt;=-900000),"",IFERROR(IF(INDEX(Database!$AT$5:$AT$523,MATCH(LARGE('Calc (scoring engine)'!$K$5:$K$523,7),'Calc (scoring engine)'!$K$5:$K$523,0))="","—",INDEX(Database!$AT$5:$AT$523,MATCH(LARGE('Calc (scoring engine)'!$K$5:$K$523,7),'Calc (scoring engine)'!$K$5:$K$523,0))),""))</f>
        <v/>
      </c>
      <c r="AR27" s="23">
        <f>IF(OR(7&gt;MAX(3,MIN(15,N($D$18))),IFERROR(LARGE('Calc (scoring engine)'!$K$5:$K$523,7),-999999)&lt;=-900000),"",IFERROR(IF(INDEX(Database!$AU$5:$AU$523,MATCH(LARGE('Calc (scoring engine)'!$K$5:$K$523,7),'Calc (scoring engine)'!$K$5:$K$523,0))="","—",INDEX(Database!$AU$5:$AU$523,MATCH(LARGE('Calc (scoring engine)'!$K$5:$K$523,7),'Calc (scoring engine)'!$K$5:$K$523,0))),""))</f>
        <v/>
      </c>
      <c r="AS27" s="23">
        <f>IF(OR(7&gt;MAX(3,MIN(15,N($D$18))),IFERROR(LARGE('Calc (scoring engine)'!$K$5:$K$523,7),-999999)&lt;=-900000),"",IFERROR(IF(INDEX(Database!$AV$5:$AV$523,MATCH(LARGE('Calc (scoring engine)'!$K$5:$K$523,7),'Calc (scoring engine)'!$K$5:$K$523,0))="","—",INDEX(Database!$AV$5:$AV$523,MATCH(LARGE('Calc (scoring engine)'!$K$5:$K$523,7),'Calc (scoring engine)'!$K$5:$K$523,0))),""))</f>
        <v/>
      </c>
      <c r="AT27" s="23">
        <f>IF(OR(7&gt;MAX(3,MIN(15,N($D$18))),IFERROR(LARGE('Calc (scoring engine)'!$K$5:$K$523,7),-999999)&lt;=-900000),"",IFERROR(IF(INDEX(Database!$AW$5:$AW$523,MATCH(LARGE('Calc (scoring engine)'!$K$5:$K$523,7),'Calc (scoring engine)'!$K$5:$K$523,0))="","—",INDEX(Database!$AW$5:$AW$523,MATCH(LARGE('Calc (scoring engine)'!$K$5:$K$523,7),'Calc (scoring engine)'!$K$5:$K$523,0))),""))</f>
        <v/>
      </c>
      <c r="AU27" s="23">
        <f>IF(OR(7&gt;MAX(3,MIN(15,N($D$18))),IFERROR(LARGE('Calc (scoring engine)'!$K$5:$K$523,7),-999999)&lt;=-900000),"",IFERROR(IF(INDEX(Database!$AX$5:$AX$523,MATCH(LARGE('Calc (scoring engine)'!$K$5:$K$523,7),'Calc (scoring engine)'!$K$5:$K$523,0))="","—",INDEX(Database!$AX$5:$AX$523,MATCH(LARGE('Calc (scoring engine)'!$K$5:$K$523,7),'Calc (scoring engine)'!$K$5:$K$523,0))),""))</f>
        <v/>
      </c>
      <c r="AV27" s="23">
        <f>IF(OR(7&gt;MAX(3,MIN(15,N($D$18))),IFERROR(LARGE('Calc (scoring engine)'!$K$5:$K$523,7),-999999)&lt;=-900000),"",IFERROR(IF(INDEX(Database!$AY$5:$AY$523,MATCH(LARGE('Calc (scoring engine)'!$K$5:$K$523,7),'Calc (scoring engine)'!$K$5:$K$523,0))="","—",INDEX(Database!$AY$5:$AY$523,MATCH(LARGE('Calc (scoring engine)'!$K$5:$K$523,7),'Calc (scoring engine)'!$K$5:$K$523,0))),""))</f>
        <v/>
      </c>
      <c r="AW27" s="23">
        <f>IF(OR(7&gt;MAX(3,MIN(15,N($D$18))),IFERROR(LARGE('Calc (scoring engine)'!$K$5:$K$523,7),-999999)&lt;=-900000),"",IFERROR(IF(INDEX(Database!$AZ$5:$AZ$523,MATCH(LARGE('Calc (scoring engine)'!$K$5:$K$523,7),'Calc (scoring engine)'!$K$5:$K$523,0))="","—",INDEX(Database!$AZ$5:$AZ$523,MATCH(LARGE('Calc (scoring engine)'!$K$5:$K$523,7),'Calc (scoring engine)'!$K$5:$K$523,0))),""))</f>
        <v/>
      </c>
      <c r="AX27" s="23">
        <f>IF(OR(7&gt;MAX(3,MIN(15,N($D$18))),IFERROR(LARGE('Calc (scoring engine)'!$K$5:$K$523,7),-999999)&lt;=-900000),"",IFERROR(IF(INDEX(Database!$BB$5:$BB$523,MATCH(LARGE('Calc (scoring engine)'!$K$5:$K$523,7),'Calc (scoring engine)'!$K$5:$K$523,0))="","—",INDEX(Database!$BB$5:$BB$523,MATCH(LARGE('Calc (scoring engine)'!$K$5:$K$523,7),'Calc (scoring engine)'!$K$5:$K$523,0))),""))</f>
        <v/>
      </c>
      <c r="AY27" s="19">
        <f>IF(OR(7&gt;MAX(3,MIN(15,N($D$18))),IFERROR(LARGE('Calc (scoring engine)'!$K$5:$K$523,7),-999999)&lt;=-900000),"",IFERROR(IF(INDEX(Database!$BD$5:$BD$523,MATCH(LARGE('Calc (scoring engine)'!$K$5:$K$523,7),'Calc (scoring engine)'!$K$5:$K$523,0))="","—",INDEX(Database!$BD$5:$BD$523,MATCH(LARGE('Calc (scoring engine)'!$K$5:$K$523,7),'Calc (scoring engine)'!$K$5:$K$523,0))),""))</f>
        <v/>
      </c>
      <c r="AZ27" s="19">
        <f>IF(OR(7&gt;MAX(3,MIN(15,N($D$18))),IFERROR(LARGE('Calc (scoring engine)'!$K$5:$K$523,7),-999999)&lt;=-900000),"",IFERROR(IF(INDEX(Database!$BE$5:$BE$523,MATCH(LARGE('Calc (scoring engine)'!$K$5:$K$523,7),'Calc (scoring engine)'!$K$5:$K$523,0))="","—",INDEX(Database!$BE$5:$BE$523,MATCH(LARGE('Calc (scoring engine)'!$K$5:$K$523,7),'Calc (scoring engine)'!$K$5:$K$523,0))),""))</f>
        <v/>
      </c>
      <c r="BA27" s="10">
        <f>IF(OR(7&gt;MAX(3,MIN(15,N($D$18))),IFERROR(LARGE('Calc (scoring engine)'!$K$5:$K$523,7),-999999)&lt;=-900000),"",IFERROR(IF(INDEX(Database!$BF$5:$BF$523,MATCH(LARGE('Calc (scoring engine)'!$K$5:$K$523,7),'Calc (scoring engine)'!$K$5:$K$523,0))="","—",INDEX(Database!$BF$5:$BF$523,MATCH(LARGE('Calc (scoring engine)'!$K$5:$K$523,7),'Calc (scoring engine)'!$K$5:$K$523,0))),""))</f>
        <v/>
      </c>
      <c r="BB27" s="24">
        <f>IF(OR(7&gt;MAX(3,MIN(15,N($D$18))),IFERROR(LARGE('Calc (scoring engine)'!$K$5:$K$523,7),-999999)&lt;=-900000),"",IFERROR(IF(N(INDEX(Database!$BG$5:$BG$523,MATCH(LARGE('Calc (scoring engine)'!$K$5:$K$523,7),'Calc (scoring engine)'!$K$5:$K$523,0)))&lt;=0,IF(INDEX(Database!$BF$5:$BF$523,MATCH(LARGE('Calc (scoring engine)'!$K$5:$K$523,7),'Calc (scoring engine)'!$K$5:$K$523,0))="N","n/m","—"),INDEX(Database!$BG$5:$BG$523,MATCH(LARGE('Calc (scoring engine)'!$K$5:$K$523,7),'Calc (scoring engine)'!$K$5:$K$523,0))),""))</f>
        <v/>
      </c>
      <c r="BC27" s="24">
        <f>IF(OR(7&gt;MAX(3,MIN(15,N($D$18))),IFERROR(LARGE('Calc (scoring engine)'!$K$5:$K$523,7),-999999)&lt;=-900000),"",IFERROR(IF(INDEX(Database!$BH$5:$BH$523,MATCH(LARGE('Calc (scoring engine)'!$K$5:$K$523,7),'Calc (scoring engine)'!$K$5:$K$523,0))="","—",INDEX(Database!$BH$5:$BH$523,MATCH(LARGE('Calc (scoring engine)'!$K$5:$K$523,7),'Calc (scoring engine)'!$K$5:$K$523,0))),""))</f>
        <v/>
      </c>
      <c r="BD27" s="24">
        <f>IF(OR(7&gt;MAX(3,MIN(15,N($D$18))),IFERROR(LARGE('Calc (scoring engine)'!$K$5:$K$523,7),-999999)&lt;=-900000),"",IFERROR(IF(INDEX(Database!$BI$5:$BI$523,MATCH(LARGE('Calc (scoring engine)'!$K$5:$K$523,7),'Calc (scoring engine)'!$K$5:$K$523,0))="","—",INDEX(Database!$BI$5:$BI$523,MATCH(LARGE('Calc (scoring engine)'!$K$5:$K$523,7),'Calc (scoring engine)'!$K$5:$K$523,0))),""))</f>
        <v/>
      </c>
      <c r="BE27" s="24">
        <f>IF(OR(7&gt;MAX(3,MIN(15,N($D$18))),IFERROR(LARGE('Calc (scoring engine)'!$K$5:$K$523,7),-999999)&lt;=-900000),"",IFERROR(IF(INDEX(Database!$BJ$5:$BJ$523,MATCH(LARGE('Calc (scoring engine)'!$K$5:$K$523,7),'Calc (scoring engine)'!$K$5:$K$523,0))="","—",INDEX(Database!$BJ$5:$BJ$523,MATCH(LARGE('Calc (scoring engine)'!$K$5:$K$523,7),'Calc (scoring engine)'!$K$5:$K$523,0))),""))</f>
        <v/>
      </c>
      <c r="BF27" s="24">
        <f>IF(OR(7&gt;MAX(3,MIN(15,N($D$18))),IFERROR(LARGE('Calc (scoring engine)'!$K$5:$K$523,7),-999999)&lt;=-900000),"",IFERROR(IF(INDEX(Database!$BK$5:$BK$523,MATCH(LARGE('Calc (scoring engine)'!$K$5:$K$523,7),'Calc (scoring engine)'!$K$5:$K$523,0))="","—",INDEX(Database!$BK$5:$BK$523,MATCH(LARGE('Calc (scoring engine)'!$K$5:$K$523,7),'Calc (scoring engine)'!$K$5:$K$523,0))),""))</f>
        <v/>
      </c>
      <c r="BG27" s="24">
        <f>IF(OR(7&gt;MAX(3,MIN(15,N($D$18))),IFERROR(LARGE('Calc (scoring engine)'!$K$5:$K$523,7),-999999)&lt;=-900000),"",IFERROR(IFERROR(BDP(TEXT(INDEX(Database!$A$5:$A$523,MATCH(LARGE('Calc (scoring engine)'!$K$5:$K$523,7),'Calc (scoring engine)'!$K$5:$K$523,0)),"0")&amp;" HK Equity","PE_RATIO"),IF(INDEX(Database!$BI$5:$BI$523,MATCH(LARGE('Calc (scoring engine)'!$K$5:$K$523,7),'Calc (scoring engine)'!$K$5:$K$523,0))="","—",INDEX(Database!$BI$5:$BI$523,MATCH(LARGE('Calc (scoring engine)'!$K$5:$K$523,7),'Calc (scoring engine)'!$K$5:$K$523,0)))),""))</f>
        <v/>
      </c>
      <c r="BH27" s="24">
        <f>IF(OR(7&gt;MAX(3,MIN(15,N($D$18))),IFERROR(LARGE('Calc (scoring engine)'!$K$5:$K$523,7),-999999)&lt;=-900000),"",IFERROR(IFERROR(BDP(TEXT(INDEX(Database!$A$5:$A$523,MATCH(LARGE('Calc (scoring engine)'!$K$5:$K$523,7),'Calc (scoring engine)'!$K$5:$K$523,0)),"0")&amp;" HK Equity","PX_TO_SALES_RATIO"),IF(INDEX(Database!$BJ$5:$BJ$523,MATCH(LARGE('Calc (scoring engine)'!$K$5:$K$523,7),'Calc (scoring engine)'!$K$5:$K$523,0))="","—",INDEX(Database!$BJ$5:$BJ$523,MATCH(LARGE('Calc (scoring engine)'!$K$5:$K$523,7),'Calc (scoring engine)'!$K$5:$K$523,0)))),""))</f>
        <v/>
      </c>
      <c r="BI27" s="10">
        <f>IF(OR(7&gt;MAX(3,MIN(15,N($D$18))),IFERROR(LARGE('Calc (scoring engine)'!$K$5:$K$523,7),-999999)&lt;=-900000),"",IFERROR(IF(INDEX(Database!$BL$5:$BL$523,MATCH(LARGE('Calc (scoring engine)'!$K$5:$K$523,7),'Calc (scoring engine)'!$K$5:$K$523,0))="","—",INDEX(Database!$BL$5:$BL$523,MATCH(LARGE('Calc (scoring engine)'!$K$5:$K$523,7),'Calc (scoring engine)'!$K$5:$K$523,0))),""))</f>
        <v/>
      </c>
      <c r="BJ27" s="10">
        <f>IF(OR(7&gt;MAX(3,MIN(15,N($D$18))),IFERROR(LARGE('Calc (scoring engine)'!$K$5:$K$523,7),-999999)&lt;=-900000),"",IFERROR(IF(INDEX(Database!$BM$5:$BM$523,MATCH(LARGE('Calc (scoring engine)'!$K$5:$K$523,7),'Calc (scoring engine)'!$K$5:$K$523,0))="","—",INDEX(Database!$BM$5:$BM$523,MATCH(LARGE('Calc (scoring engine)'!$K$5:$K$523,7),'Calc (scoring engine)'!$K$5:$K$523,0))),""))</f>
        <v/>
      </c>
      <c r="BK27" s="23">
        <f>IF(OR(7&gt;MAX(3,MIN(15,N($D$18))),IFERROR(LARGE('Calc (scoring engine)'!$K$5:$K$523,7),-999999)&lt;=-900000),"",IFERROR(IF(INDEX(Database!$BN$5:$BN$523,MATCH(LARGE('Calc (scoring engine)'!$K$5:$K$523,7),'Calc (scoring engine)'!$K$5:$K$523,0))="","—",INDEX(Database!$BN$5:$BN$523,MATCH(LARGE('Calc (scoring engine)'!$K$5:$K$523,7),'Calc (scoring engine)'!$K$5:$K$523,0))),""))</f>
        <v/>
      </c>
      <c r="BL27" s="50">
        <f>IF(OR(7&gt;MAX(3,MIN(15,N($D$18))),IFERROR(LARGE('Calc (scoring engine)'!$K$5:$K$523,7),-999999)&lt;=-900000),"",IFERROR(IF(INDEX(Database!$BO$5:$BO$523,MATCH(LARGE('Calc (scoring engine)'!$K$5:$K$523,7),'Calc (scoring engine)'!$K$5:$K$523,0))="","—",INDEX(Database!$BO$5:$BO$523,MATCH(LARGE('Calc (scoring engine)'!$K$5:$K$523,7),'Calc (scoring engine)'!$K$5:$K$523,0))),""))</f>
        <v/>
      </c>
      <c r="BM27" s="54">
        <f>IF(OR(7&gt;MAX(3,MIN(15,N($D$18))),IFERROR(LARGE('Calc (scoring engine)'!$K$5:$K$523,7),-999999)&lt;=-900000),"",IFERROR(IF(INDEX(Database!$BP$5:$BP$523,MATCH(LARGE('Calc (scoring engine)'!$K$5:$K$523,7),'Calc (scoring engine)'!$K$5:$K$523,0))="","—",INDEX(Database!$BP$5:$BP$523,MATCH(LARGE('Calc (scoring engine)'!$K$5:$K$523,7),'Calc (scoring engine)'!$K$5:$K$523,0))),""))</f>
        <v/>
      </c>
      <c r="BN27" s="19">
        <f>IF(OR(7&gt;MAX(3,MIN(15,N($D$18))),IFERROR(LARGE('Calc (scoring engine)'!$K$5:$K$523,7),-999999)&lt;=-900000),"",IFERROR(IF(INDEX(Database!$BQ$5:$BQ$523,MATCH(LARGE('Calc (scoring engine)'!$K$5:$K$523,7),'Calc (scoring engine)'!$K$5:$K$523,0))="","—",INDEX(Database!$BQ$5:$BQ$523,MATCH(LARGE('Calc (scoring engine)'!$K$5:$K$523,7),'Calc (scoring engine)'!$K$5:$K$523,0))),""))</f>
        <v/>
      </c>
      <c r="BO27" s="24">
        <f>IF(OR(7&gt;MAX(3,MIN(15,N($D$18))),IFERROR(LARGE('Calc (scoring engine)'!$K$5:$K$523,7),-999999)&lt;=-900000),"",IFERROR(IF(INDEX(Database!$BR$5:$BR$523,MATCH(LARGE('Calc (scoring engine)'!$K$5:$K$523,7),'Calc (scoring engine)'!$K$5:$K$523,0))="","—",INDEX(Database!$BR$5:$BR$523,MATCH(LARGE('Calc (scoring engine)'!$K$5:$K$523,7),'Calc (scoring engine)'!$K$5:$K$523,0))),""))</f>
        <v/>
      </c>
      <c r="BP27" s="24">
        <f>IF(OR(7&gt;MAX(3,MIN(15,N($D$18))),IFERROR(LARGE('Calc (scoring engine)'!$K$5:$K$523,7),-999999)&lt;=-900000),"",IFERROR(IF(INDEX(Database!$BS$5:$BS$523,MATCH(LARGE('Calc (scoring engine)'!$K$5:$K$523,7),'Calc (scoring engine)'!$K$5:$K$523,0))="","—",INDEX(Database!$BS$5:$BS$523,MATCH(LARGE('Calc (scoring engine)'!$K$5:$K$523,7),'Calc (scoring engine)'!$K$5:$K$523,0))),""))</f>
        <v/>
      </c>
      <c r="BQ27" s="10">
        <f>IF(OR(7&gt;MAX(3,MIN(15,N($D$18))),IFERROR(LARGE('Calc (scoring engine)'!$K$5:$K$523,7),-999999)&lt;=-900000),"",IFERROR(IF(INDEX(Database!$BT$5:$BT$523,MATCH(LARGE('Calc (scoring engine)'!$K$5:$K$523,7),'Calc (scoring engine)'!$K$5:$K$523,0))="","—",INDEX(Database!$BT$5:$BT$523,MATCH(LARGE('Calc (scoring engine)'!$K$5:$K$523,7),'Calc (scoring engine)'!$K$5:$K$523,0))),""))</f>
        <v/>
      </c>
      <c r="BR27" s="10">
        <f>IF(OR(7&gt;MAX(3,MIN(15,N($D$18))),IFERROR(LARGE('Calc (scoring engine)'!$K$5:$K$523,7),-999999)&lt;=-900000),"",IFERROR(IF(INDEX(Database!$BV$5:$BV$523,MATCH(LARGE('Calc (scoring engine)'!$K$5:$K$523,7),'Calc (scoring engine)'!$K$5:$K$523,0))="","—",INDEX(Database!$BV$5:$BV$523,MATCH(LARGE('Calc (scoring engine)'!$K$5:$K$523,7),'Calc (scoring engine)'!$K$5:$K$523,0))),""))</f>
        <v/>
      </c>
      <c r="BS27" s="53">
        <f>IF(OR(7&gt;MAX(3,MIN(15,N($D$18))),IFERROR(LARGE('Calc (scoring engine)'!$K$5:$K$523,7),-999999)&lt;=-900000),"",IFERROR(IF(INDEX('Calc (scoring engine)'!$H$5:$H$523,MATCH(LARGE('Calc (scoring engine)'!$K$5:$K$523,7),'Calc (scoring engine)'!$K$5:$K$523,0))&gt;0,INDEX('Calc (scoring engine)'!$H$5:$H$523,MATCH(LARGE('Calc (scoring engine)'!$K$5:$K$523,7),'Calc (scoring engine)'!$K$5:$K$523,0)),""),""))</f>
        <v/>
      </c>
      <c r="BT27" s="10">
        <f>IF(OR(7&gt;MAX(3,MIN(15,N($D$18))),IFERROR(LARGE('Calc (scoring engine)'!$K$5:$K$523,7),-999999)&lt;=-900000),"",IF(IFERROR(INDEX('Calc (scoring engine)'!$B$5:$B$523,MATCH(LARGE('Calc (scoring engine)'!$K$5:$K$523,7),'Calc (scoring engine)'!$K$5:$K$523,0)),0)=1,"same subsector","sector only"))</f>
        <v/>
      </c>
      <c r="BU27" s="53">
        <f>IF(OR(7&gt;MAX(3,MIN(15,N($D$18))),IFERROR(LARGE('Calc (scoring engine)'!$K$5:$K$523,7),-999999)&lt;=-900000),"",ROUND(IFERROR(LARGE('Calc (scoring engine)'!$K$5:$K$523,7),0),0))</f>
        <v/>
      </c>
      <c r="BV27" s="10">
        <f>IF(OR(7&gt;MAX(3,MIN(15,N($D$18))),IFERROR(LARGE('Calc (scoring engine)'!$K$5:$K$523,7),-999999)&lt;=-900000),"",IFERROR("sub "&amp;INDEX('Calc (scoring engine)'!$B$5:$B$523,MATCH(LARGE('Calc (scoring engine)'!$K$5:$K$523,7),'Calc (scoring engine)'!$K$5:$K$523,0))*W_SUB&amp;" + size "&amp;ROUND(INDEX('Calc (scoring engine)'!$D$5:$D$523,MATCH(LARGE('Calc (scoring engine)'!$K$5:$K$523,7),'Calc (scoring engine)'!$K$5:$K$523,0))*W_SIZE,0)&amp;" + prof "&amp;INDEX('Calc (scoring engine)'!$E$5:$E$523,MATCH(LARGE('Calc (scoring engine)'!$K$5:$K$523,7),'Calc (scoring engine)'!$K$5:$K$523,0))*W_PROF&amp;" + recency "&amp;ROUND(INDEX('Calc (scoring engine)'!$G$5:$G$523,MATCH(LARGE('Calc (scoring engine)'!$K$5:$K$523,7),'Calc (scoring engine)'!$K$5:$K$523,0))*W_REC,0)&amp;IF(INDEX('Calc (scoring engine)'!$H$5:$H$523,MATCH(LARGE('Calc (scoring engine)'!$K$5:$K$523,7),'Calc (scoring engine)'!$K$5:$K$523,0))&gt;0," + shared CS x"&amp;INDEX('Calc (scoring engine)'!$H$5:$H$523,MATCH(LARGE('Calc (scoring engine)'!$K$5:$K$523,7),'Calc (scoring engine)'!$K$5:$K$523,0)),""),""))</f>
        <v/>
      </c>
    </row>
    <row r="28">
      <c r="A28" s="48">
        <f>IF(OR(8&gt;MAX(3,MIN(15,N($D$18))),IFERROR(LARGE('Calc (scoring engine)'!$K$5:$K$523,8),-999999)&lt;=-900000),"",8)</f>
        <v/>
      </c>
      <c r="B28" s="10">
        <f>IF(OR(8&gt;MAX(3,MIN(15,N($D$18))),IFERROR(LARGE('Calc (scoring engine)'!$K$5:$K$523,8),-999999)&lt;=-900000),"",IFERROR(IF(INDEX(Database!$B$5:$B$523,MATCH(LARGE('Calc (scoring engine)'!$K$5:$K$523,8),'Calc (scoring engine)'!$K$5:$K$523,0))="","—",INDEX(Database!$B$5:$B$523,MATCH(LARGE('Calc (scoring engine)'!$K$5:$K$523,8),'Calc (scoring engine)'!$K$5:$K$523,0))),""))</f>
        <v/>
      </c>
      <c r="C28" s="49">
        <f>IF(OR(8&gt;MAX(3,MIN(15,N($D$18))),IFERROR(LARGE('Calc (scoring engine)'!$K$5:$K$523,8),-999999)&lt;=-900000),"",IFERROR(IF(INDEX(Database!$A$5:$A$523,MATCH(LARGE('Calc (scoring engine)'!$K$5:$K$523,8),'Calc (scoring engine)'!$K$5:$K$523,0))="","—",INDEX(Database!$A$5:$A$523,MATCH(LARGE('Calc (scoring engine)'!$K$5:$K$523,8),'Calc (scoring engine)'!$K$5:$K$523,0))),""))</f>
        <v/>
      </c>
      <c r="D28" s="10">
        <f>IF(OR(8&gt;MAX(3,MIN(15,N($D$18))),IFERROR(LARGE('Calc (scoring engine)'!$K$5:$K$523,8),-999999)&lt;=-900000),"",IFERROR(IF(INDEX(Database!$D$5:$D$523,MATCH(LARGE('Calc (scoring engine)'!$K$5:$K$523,8),'Calc (scoring engine)'!$K$5:$K$523,0))="","—",INDEX(Database!$D$5:$D$523,MATCH(LARGE('Calc (scoring engine)'!$K$5:$K$523,8),'Calc (scoring engine)'!$K$5:$K$523,0))),""))</f>
        <v/>
      </c>
      <c r="E28" s="10">
        <f>IF(OR(8&gt;MAX(3,MIN(15,N($D$18))),IFERROR(LARGE('Calc (scoring engine)'!$K$5:$K$523,8),-999999)&lt;=-900000),"",IFERROR(IF(INDEX(Database!$E$5:$E$523,MATCH(LARGE('Calc (scoring engine)'!$K$5:$K$523,8),'Calc (scoring engine)'!$K$5:$K$523,0))="","—",INDEX(Database!$E$5:$E$523,MATCH(LARGE('Calc (scoring engine)'!$K$5:$K$523,8),'Calc (scoring engine)'!$K$5:$K$523,0))),""))</f>
        <v/>
      </c>
      <c r="F28" s="10">
        <f>IF(OR(8&gt;MAX(3,MIN(15,N($D$18))),IFERROR(LARGE('Calc (scoring engine)'!$K$5:$K$523,8),-999999)&lt;=-900000),"",IFERROR(IF(INDEX(Database!$F$5:$F$523,MATCH(LARGE('Calc (scoring engine)'!$K$5:$K$523,8),'Calc (scoring engine)'!$K$5:$K$523,0))="","—",INDEX(Database!$F$5:$F$523,MATCH(LARGE('Calc (scoring engine)'!$K$5:$K$523,8),'Calc (scoring engine)'!$K$5:$K$523,0))),""))</f>
        <v/>
      </c>
      <c r="G28" s="10">
        <f>IF(OR(8&gt;MAX(3,MIN(15,N($D$18))),IFERROR(LARGE('Calc (scoring engine)'!$K$5:$K$523,8),-999999)&lt;=-900000),"",IFERROR(IF(INDEX(Database!$G$5:$G$523,MATCH(LARGE('Calc (scoring engine)'!$K$5:$K$523,8),'Calc (scoring engine)'!$K$5:$K$523,0))="","—",INDEX(Database!$G$5:$G$523,MATCH(LARGE('Calc (scoring engine)'!$K$5:$K$523,8),'Calc (scoring engine)'!$K$5:$K$523,0))),""))</f>
        <v/>
      </c>
      <c r="H28" s="21">
        <f>IF(OR(8&gt;MAX(3,MIN(15,N($D$18))),IFERROR(LARGE('Calc (scoring engine)'!$K$5:$K$523,8),-999999)&lt;=-900000),"",IFERROR(IF(INDEX(Database!$H$5:$H$523,MATCH(LARGE('Calc (scoring engine)'!$K$5:$K$523,8),'Calc (scoring engine)'!$K$5:$K$523,0))="","—",INDEX(Database!$H$5:$H$523,MATCH(LARGE('Calc (scoring engine)'!$K$5:$K$523,8),'Calc (scoring engine)'!$K$5:$K$523,0))),""))</f>
        <v/>
      </c>
      <c r="I28" s="19">
        <f>IF(OR(8&gt;MAX(3,MIN(15,N($D$18))),IFERROR(LARGE('Calc (scoring engine)'!$K$5:$K$523,8),-999999)&lt;=-900000),"",IFERROR(IF(INDEX(Database!$I$5:$I$523,MATCH(LARGE('Calc (scoring engine)'!$K$5:$K$523,8),'Calc (scoring engine)'!$K$5:$K$523,0))="","—",INDEX(Database!$I$5:$I$523,MATCH(LARGE('Calc (scoring engine)'!$K$5:$K$523,8),'Calc (scoring engine)'!$K$5:$K$523,0))),""))</f>
        <v/>
      </c>
      <c r="J28" s="50">
        <f>IF(OR(8&gt;MAX(3,MIN(15,N($D$18))),IFERROR(LARGE('Calc (scoring engine)'!$K$5:$K$523,8),-999999)&lt;=-900000),"",IFERROR(IF(INDEX(Database!$K$5:$K$523,MATCH(LARGE('Calc (scoring engine)'!$K$5:$K$523,8),'Calc (scoring engine)'!$K$5:$K$523,0))="","—",INDEX(Database!$K$5:$K$523,MATCH(LARGE('Calc (scoring engine)'!$K$5:$K$523,8),'Calc (scoring engine)'!$K$5:$K$523,0))),""))</f>
        <v/>
      </c>
      <c r="K28" s="50">
        <f>IF(OR(8&gt;MAX(3,MIN(15,N($D$18))),IFERROR(LARGE('Calc (scoring engine)'!$K$5:$K$523,8),-999999)&lt;=-900000),"",IFERROR(IF(INDEX(Database!$L$5:$L$523,MATCH(LARGE('Calc (scoring engine)'!$K$5:$K$523,8),'Calc (scoring engine)'!$K$5:$K$523,0))="","—",INDEX(Database!$L$5:$L$523,MATCH(LARGE('Calc (scoring engine)'!$K$5:$K$523,8),'Calc (scoring engine)'!$K$5:$K$523,0))),""))</f>
        <v/>
      </c>
      <c r="L28" s="50">
        <f>IF(OR(8&gt;MAX(3,MIN(15,N($D$18))),IFERROR(LARGE('Calc (scoring engine)'!$K$5:$K$523,8),-999999)&lt;=-900000),"",IFERROR(IF(INDEX(Database!$M$5:$M$523,MATCH(LARGE('Calc (scoring engine)'!$K$5:$K$523,8),'Calc (scoring engine)'!$K$5:$K$523,0))="","—",INDEX(Database!$M$5:$M$523,MATCH(LARGE('Calc (scoring engine)'!$K$5:$K$523,8),'Calc (scoring engine)'!$K$5:$K$523,0))),""))</f>
        <v/>
      </c>
      <c r="M28" s="10">
        <f>IF(OR(8&gt;MAX(3,MIN(15,N($D$18))),IFERROR(LARGE('Calc (scoring engine)'!$K$5:$K$523,8),-999999)&lt;=-900000),"",IFERROR(IF(INDEX(Database!$N$5:$N$523,MATCH(LARGE('Calc (scoring engine)'!$K$5:$K$523,8),'Calc (scoring engine)'!$K$5:$K$523,0))="","—",INDEX(Database!$N$5:$N$523,MATCH(LARGE('Calc (scoring engine)'!$K$5:$K$523,8),'Calc (scoring engine)'!$K$5:$K$523,0))),""))</f>
        <v/>
      </c>
      <c r="N28" s="31">
        <f>IF(OR(8&gt;MAX(3,MIN(15,N($D$18))),IFERROR(LARGE('Calc (scoring engine)'!$K$5:$K$523,8),-999999)&lt;=-900000),"",IFERROR(IF(INDEX(Database!$O$5:$O$523,MATCH(LARGE('Calc (scoring engine)'!$K$5:$K$523,8),'Calc (scoring engine)'!$K$5:$K$523,0))="","—",INDEX(Database!$O$5:$O$523,MATCH(LARGE('Calc (scoring engine)'!$K$5:$K$523,8),'Calc (scoring engine)'!$K$5:$K$523,0))),""))</f>
        <v/>
      </c>
      <c r="O28" s="31">
        <f>IF(OR(8&gt;MAX(3,MIN(15,N($D$18))),IFERROR(LARGE('Calc (scoring engine)'!$K$5:$K$523,8),-999999)&lt;=-900000),"",IFERROR(IF(INDEX(Database!$P$5:$P$523,MATCH(LARGE('Calc (scoring engine)'!$K$5:$K$523,8),'Calc (scoring engine)'!$K$5:$K$523,0))="","—",INDEX(Database!$P$5:$P$523,MATCH(LARGE('Calc (scoring engine)'!$K$5:$K$523,8),'Calc (scoring engine)'!$K$5:$K$523,0))),""))</f>
        <v/>
      </c>
      <c r="P28" s="19">
        <f>IF(OR(8&gt;MAX(3,MIN(15,N($D$18))),IFERROR(LARGE('Calc (scoring engine)'!$K$5:$K$523,8),-999999)&lt;=-900000),"",IFERROR(IF(INDEX(Database!$Q$5:$Q$523,MATCH(LARGE('Calc (scoring engine)'!$K$5:$K$523,8),'Calc (scoring engine)'!$K$5:$K$523,0))="","—",INDEX(Database!$Q$5:$Q$523,MATCH(LARGE('Calc (scoring engine)'!$K$5:$K$523,8),'Calc (scoring engine)'!$K$5:$K$523,0))),""))</f>
        <v/>
      </c>
      <c r="Q28" s="26">
        <f>IF(OR(8&gt;MAX(3,MIN(15,N($D$18))),IFERROR(LARGE('Calc (scoring engine)'!$K$5:$K$523,8),-999999)&lt;=-900000),"",IFERROR(IF(INDEX(Database!$S$5:$S$523,MATCH(LARGE('Calc (scoring engine)'!$K$5:$K$523,8),'Calc (scoring engine)'!$K$5:$K$523,0))="","—",INDEX(Database!$S$5:$S$523,MATCH(LARGE('Calc (scoring engine)'!$K$5:$K$523,8),'Calc (scoring engine)'!$K$5:$K$523,0))),""))</f>
        <v/>
      </c>
      <c r="R28" s="51">
        <f>IF(OR(8&gt;MAX(3,MIN(15,N($D$18))),IFERROR(LARGE('Calc (scoring engine)'!$K$5:$K$523,8),-999999)&lt;=-900000),"",IFERROR(IF(INDEX(Database!$T$5:$T$523,MATCH(LARGE('Calc (scoring engine)'!$K$5:$K$523,8),'Calc (scoring engine)'!$K$5:$K$523,0))="","—",INDEX(Database!$T$5:$T$523,MATCH(LARGE('Calc (scoring engine)'!$K$5:$K$523,8),'Calc (scoring engine)'!$K$5:$K$523,0))),""))</f>
        <v/>
      </c>
      <c r="S28" s="52">
        <f>IF(OR(8&gt;MAX(3,MIN(15,N($D$18))),IFERROR(LARGE('Calc (scoring engine)'!$K$5:$K$523,8),-999999)&lt;=-900000),"",IFERROR(IF(INDEX(Database!$U$5:$U$523,MATCH(LARGE('Calc (scoring engine)'!$K$5:$K$523,8),'Calc (scoring engine)'!$K$5:$K$523,0))="","—",INDEX(Database!$U$5:$U$523,MATCH(LARGE('Calc (scoring engine)'!$K$5:$K$523,8),'Calc (scoring engine)'!$K$5:$K$523,0))),""))</f>
        <v/>
      </c>
      <c r="T28" s="53">
        <f>IF(OR(8&gt;MAX(3,MIN(15,N($D$18))),IFERROR(LARGE('Calc (scoring engine)'!$K$5:$K$523,8),-999999)&lt;=-900000),"",IFERROR(IF(INDEX(Database!$V$5:$V$523,MATCH(LARGE('Calc (scoring engine)'!$K$5:$K$523,8),'Calc (scoring engine)'!$K$5:$K$523,0))="","—",INDEX(Database!$V$5:$V$523,MATCH(LARGE('Calc (scoring engine)'!$K$5:$K$523,8),'Calc (scoring engine)'!$K$5:$K$523,0))),""))</f>
        <v/>
      </c>
      <c r="U28" s="31">
        <f>IF(OR(8&gt;MAX(3,MIN(15,N($D$18))),IFERROR(LARGE('Calc (scoring engine)'!$K$5:$K$523,8),-999999)&lt;=-900000),"",IFERROR(IF(INDEX(Database!$W$5:$W$523,MATCH(LARGE('Calc (scoring engine)'!$K$5:$K$523,8),'Calc (scoring engine)'!$K$5:$K$523,0))="","—",INDEX(Database!$W$5:$W$523,MATCH(LARGE('Calc (scoring engine)'!$K$5:$K$523,8),'Calc (scoring engine)'!$K$5:$K$523,0))),""))</f>
        <v/>
      </c>
      <c r="V28" s="10">
        <f>IF(OR(8&gt;MAX(3,MIN(15,N($D$18))),IFERROR(LARGE('Calc (scoring engine)'!$K$5:$K$523,8),-999999)&lt;=-900000),"",IFERROR(IF(INDEX(Database!$X$5:$X$523,MATCH(LARGE('Calc (scoring engine)'!$K$5:$K$523,8),'Calc (scoring engine)'!$K$5:$K$523,0))="","—",INDEX(Database!$X$5:$X$523,MATCH(LARGE('Calc (scoring engine)'!$K$5:$K$523,8),'Calc (scoring engine)'!$K$5:$K$523,0))),""))</f>
        <v/>
      </c>
      <c r="W28" s="19">
        <f>IF(OR(8&gt;MAX(3,MIN(15,N($D$18))),IFERROR(LARGE('Calc (scoring engine)'!$K$5:$K$523,8),-999999)&lt;=-900000),"",IFERROR(IF(INDEX(Database!$Y$5:$Y$523,MATCH(LARGE('Calc (scoring engine)'!$K$5:$K$523,8),'Calc (scoring engine)'!$K$5:$K$523,0))="","—",INDEX(Database!$Y$5:$Y$523,MATCH(LARGE('Calc (scoring engine)'!$K$5:$K$523,8),'Calc (scoring engine)'!$K$5:$K$523,0))),""))</f>
        <v/>
      </c>
      <c r="X28" s="19">
        <f>IF(OR(8&gt;MAX(3,MIN(15,N($D$18))),IFERROR(LARGE('Calc (scoring engine)'!$K$5:$K$523,8),-999999)&lt;=-900000),"",IFERROR(IF(INDEX(Database!$Z$5:$Z$523,MATCH(LARGE('Calc (scoring engine)'!$K$5:$K$523,8),'Calc (scoring engine)'!$K$5:$K$523,0))="","—",INDEX(Database!$Z$5:$Z$523,MATCH(LARGE('Calc (scoring engine)'!$K$5:$K$523,8),'Calc (scoring engine)'!$K$5:$K$523,0))),""))</f>
        <v/>
      </c>
      <c r="Y28" s="31">
        <f>IF(OR(8&gt;MAX(3,MIN(15,N($D$18))),IFERROR(LARGE('Calc (scoring engine)'!$K$5:$K$523,8),-999999)&lt;=-900000),"",IFERROR(IF(INDEX(Database!$AA$5:$AA$523,MATCH(LARGE('Calc (scoring engine)'!$K$5:$K$523,8),'Calc (scoring engine)'!$K$5:$K$523,0))="","—",INDEX(Database!$AA$5:$AA$523,MATCH(LARGE('Calc (scoring engine)'!$K$5:$K$523,8),'Calc (scoring engine)'!$K$5:$K$523,0))),""))</f>
        <v/>
      </c>
      <c r="Z28" s="10">
        <f>IF(OR(8&gt;MAX(3,MIN(15,N($D$18))),IFERROR(LARGE('Calc (scoring engine)'!$K$5:$K$523,8),-999999)&lt;=-900000),"",IFERROR(IF(INDEX(Database!$AB$5:$AB$523,MATCH(LARGE('Calc (scoring engine)'!$K$5:$K$523,8),'Calc (scoring engine)'!$K$5:$K$523,0))="","—",INDEX(Database!$AB$5:$AB$523,MATCH(LARGE('Calc (scoring engine)'!$K$5:$K$523,8),'Calc (scoring engine)'!$K$5:$K$523,0))),""))</f>
        <v/>
      </c>
      <c r="AA28" s="31">
        <f>IF(OR(8&gt;MAX(3,MIN(15,N($D$18))),IFERROR(LARGE('Calc (scoring engine)'!$K$5:$K$523,8),-999999)&lt;=-900000),"",IFERROR(IF(INDEX(Database!$AD$5:$AD$523,MATCH(LARGE('Calc (scoring engine)'!$K$5:$K$523,8),'Calc (scoring engine)'!$K$5:$K$523,0))="","—",INDEX(Database!$AD$5:$AD$523,MATCH(LARGE('Calc (scoring engine)'!$K$5:$K$523,8),'Calc (scoring engine)'!$K$5:$K$523,0))),""))</f>
        <v/>
      </c>
      <c r="AB28" s="10">
        <f>IF(OR(8&gt;MAX(3,MIN(15,N($D$18))),IFERROR(LARGE('Calc (scoring engine)'!$K$5:$K$523,8),-999999)&lt;=-900000),"",IFERROR(IF(INDEX(Database!$AE$5:$AE$523,MATCH(LARGE('Calc (scoring engine)'!$K$5:$K$523,8),'Calc (scoring engine)'!$K$5:$K$523,0))="","—",INDEX(Database!$AE$5:$AE$523,MATCH(LARGE('Calc (scoring engine)'!$K$5:$K$523,8),'Calc (scoring engine)'!$K$5:$K$523,0))),""))</f>
        <v/>
      </c>
      <c r="AC28" s="10">
        <f>IF(OR(8&gt;MAX(3,MIN(15,N($D$18))),IFERROR(LARGE('Calc (scoring engine)'!$K$5:$K$523,8),-999999)&lt;=-900000),"",IFERROR(IF(INDEX(Database!$AF$5:$AF$523,MATCH(LARGE('Calc (scoring engine)'!$K$5:$K$523,8),'Calc (scoring engine)'!$K$5:$K$523,0))="","—",INDEX(Database!$AF$5:$AF$523,MATCH(LARGE('Calc (scoring engine)'!$K$5:$K$523,8),'Calc (scoring engine)'!$K$5:$K$523,0))),""))</f>
        <v/>
      </c>
      <c r="AD28" s="10">
        <f>IF(OR(8&gt;MAX(3,MIN(15,N($D$18))),IFERROR(LARGE('Calc (scoring engine)'!$K$5:$K$523,8),-999999)&lt;=-900000),"",IFERROR(IF(INDEX(Database!$AG$5:$AG$523,MATCH(LARGE('Calc (scoring engine)'!$K$5:$K$523,8),'Calc (scoring engine)'!$K$5:$K$523,0))="","—",INDEX(Database!$AG$5:$AG$523,MATCH(LARGE('Calc (scoring engine)'!$K$5:$K$523,8),'Calc (scoring engine)'!$K$5:$K$523,0))),""))</f>
        <v/>
      </c>
      <c r="AE28" s="10">
        <f>IF(OR(8&gt;MAX(3,MIN(15,N($D$18))),IFERROR(LARGE('Calc (scoring engine)'!$K$5:$K$523,8),-999999)&lt;=-900000),"",IFERROR(IF(INDEX(Database!$AH$5:$AH$523,MATCH(LARGE('Calc (scoring engine)'!$K$5:$K$523,8),'Calc (scoring engine)'!$K$5:$K$523,0))="","—",INDEX(Database!$AH$5:$AH$523,MATCH(LARGE('Calc (scoring engine)'!$K$5:$K$523,8),'Calc (scoring engine)'!$K$5:$K$523,0))),""))</f>
        <v/>
      </c>
      <c r="AF28" s="23">
        <f>IF(OR(8&gt;MAX(3,MIN(15,N($D$18))),IFERROR(LARGE('Calc (scoring engine)'!$K$5:$K$523,8),-999999)&lt;=-900000),"",IFERROR(IF(INDEX(Database!$AI$5:$AI$523,MATCH(LARGE('Calc (scoring engine)'!$K$5:$K$523,8),'Calc (scoring engine)'!$K$5:$K$523,0))="","—",INDEX(Database!$AI$5:$AI$523,MATCH(LARGE('Calc (scoring engine)'!$K$5:$K$523,8),'Calc (scoring engine)'!$K$5:$K$523,0))),""))</f>
        <v/>
      </c>
      <c r="AG28" s="23">
        <f>IF(OR(8&gt;MAX(3,MIN(15,N($D$18))),IFERROR(LARGE('Calc (scoring engine)'!$K$5:$K$523,8),-999999)&lt;=-900000),"",IFERROR(IF(INDEX(Database!$AJ$5:$AJ$523,MATCH(LARGE('Calc (scoring engine)'!$K$5:$K$523,8),'Calc (scoring engine)'!$K$5:$K$523,0))="","—",INDEX(Database!$AJ$5:$AJ$523,MATCH(LARGE('Calc (scoring engine)'!$K$5:$K$523,8),'Calc (scoring engine)'!$K$5:$K$523,0))),""))</f>
        <v/>
      </c>
      <c r="AH28" s="23">
        <f>IF(OR(8&gt;MAX(3,MIN(15,N($D$18))),IFERROR(LARGE('Calc (scoring engine)'!$K$5:$K$523,8),-999999)&lt;=-900000),"",IFERROR(IF(INDEX(Database!$AK$5:$AK$523,MATCH(LARGE('Calc (scoring engine)'!$K$5:$K$523,8),'Calc (scoring engine)'!$K$5:$K$523,0))="","—",INDEX(Database!$AK$5:$AK$523,MATCH(LARGE('Calc (scoring engine)'!$K$5:$K$523,8),'Calc (scoring engine)'!$K$5:$K$523,0))),""))</f>
        <v/>
      </c>
      <c r="AI28" s="23">
        <f>IF(OR(8&gt;MAX(3,MIN(15,N($D$18))),IFERROR(LARGE('Calc (scoring engine)'!$K$5:$K$523,8),-999999)&lt;=-900000),"",IFERROR(IF(INDEX(Database!$AL$5:$AL$523,MATCH(LARGE('Calc (scoring engine)'!$K$5:$K$523,8),'Calc (scoring engine)'!$K$5:$K$523,0))="","—",INDEX(Database!$AL$5:$AL$523,MATCH(LARGE('Calc (scoring engine)'!$K$5:$K$523,8),'Calc (scoring engine)'!$K$5:$K$523,0))),""))</f>
        <v/>
      </c>
      <c r="AJ28" s="24">
        <f>IF(OR(8&gt;MAX(3,MIN(15,N($D$18))),IFERROR(LARGE('Calc (scoring engine)'!$K$5:$K$523,8),-999999)&lt;=-900000),"",IFERROR(IF(INDEX(Database!$AM$5:$AM$523,MATCH(LARGE('Calc (scoring engine)'!$K$5:$K$523,8),'Calc (scoring engine)'!$K$5:$K$523,0))="","—",INDEX(Database!$AM$5:$AM$523,MATCH(LARGE('Calc (scoring engine)'!$K$5:$K$523,8),'Calc (scoring engine)'!$K$5:$K$523,0))),""))</f>
        <v/>
      </c>
      <c r="AK28" s="31">
        <f>IF(OR(8&gt;MAX(3,MIN(15,N($D$18))),IFERROR(LARGE('Calc (scoring engine)'!$K$5:$K$523,8),-999999)&lt;=-900000),"",IFERROR(IF(INDEX(Database!$AN$5:$AN$523,MATCH(LARGE('Calc (scoring engine)'!$K$5:$K$523,8),'Calc (scoring engine)'!$K$5:$K$523,0))="","—",INDEX(Database!$AN$5:$AN$523,MATCH(LARGE('Calc (scoring engine)'!$K$5:$K$523,8),'Calc (scoring engine)'!$K$5:$K$523,0))),""))</f>
        <v/>
      </c>
      <c r="AL28" s="23">
        <f>IF(OR(8&gt;MAX(3,MIN(15,N($D$18))),IFERROR(LARGE('Calc (scoring engine)'!$K$5:$K$523,8),-999999)&lt;=-900000),"",IFERROR(IF(INDEX(Database!$AO$5:$AO$523,MATCH(LARGE('Calc (scoring engine)'!$K$5:$K$523,8),'Calc (scoring engine)'!$K$5:$K$523,0))="","—",INDEX(Database!$AO$5:$AO$523,MATCH(LARGE('Calc (scoring engine)'!$K$5:$K$523,8),'Calc (scoring engine)'!$K$5:$K$523,0))),""))</f>
        <v/>
      </c>
      <c r="AM28" s="23">
        <f>IF(OR(8&gt;MAX(3,MIN(15,N($D$18))),IFERROR(LARGE('Calc (scoring engine)'!$K$5:$K$523,8),-999999)&lt;=-900000),"",IFERROR(IF(INDEX(Database!$AP$5:$AP$523,MATCH(LARGE('Calc (scoring engine)'!$K$5:$K$523,8),'Calc (scoring engine)'!$K$5:$K$523,0))="","—",INDEX(Database!$AP$5:$AP$523,MATCH(LARGE('Calc (scoring engine)'!$K$5:$K$523,8),'Calc (scoring engine)'!$K$5:$K$523,0))),""))</f>
        <v/>
      </c>
      <c r="AN28" s="23">
        <f>IF(OR(8&gt;MAX(3,MIN(15,N($D$18))),IFERROR(LARGE('Calc (scoring engine)'!$K$5:$K$523,8),-999999)&lt;=-900000),"",IFERROR(IF(INDEX(Database!$AQ$5:$AQ$523,MATCH(LARGE('Calc (scoring engine)'!$K$5:$K$523,8),'Calc (scoring engine)'!$K$5:$K$523,0))="","—",INDEX(Database!$AQ$5:$AQ$523,MATCH(LARGE('Calc (scoring engine)'!$K$5:$K$523,8),'Calc (scoring engine)'!$K$5:$K$523,0))),""))</f>
        <v/>
      </c>
      <c r="AO28" s="23">
        <f>IF(OR(8&gt;MAX(3,MIN(15,N($D$18))),IFERROR(LARGE('Calc (scoring engine)'!$K$5:$K$523,8),-999999)&lt;=-900000),"",IFERROR(IF(INDEX(Database!$AR$5:$AR$523,MATCH(LARGE('Calc (scoring engine)'!$K$5:$K$523,8),'Calc (scoring engine)'!$K$5:$K$523,0))="","—",INDEX(Database!$AR$5:$AR$523,MATCH(LARGE('Calc (scoring engine)'!$K$5:$K$523,8),'Calc (scoring engine)'!$K$5:$K$523,0))),""))</f>
        <v/>
      </c>
      <c r="AP28" s="23">
        <f>IF(OR(8&gt;MAX(3,MIN(15,N($D$18))),IFERROR(LARGE('Calc (scoring engine)'!$K$5:$K$523,8),-999999)&lt;=-900000),"",IFERROR(IF(INDEX(Database!$AS$5:$AS$523,MATCH(LARGE('Calc (scoring engine)'!$K$5:$K$523,8),'Calc (scoring engine)'!$K$5:$K$523,0))="","—",INDEX(Database!$AS$5:$AS$523,MATCH(LARGE('Calc (scoring engine)'!$K$5:$K$523,8),'Calc (scoring engine)'!$K$5:$K$523,0))),""))</f>
        <v/>
      </c>
      <c r="AQ28" s="23">
        <f>IF(OR(8&gt;MAX(3,MIN(15,N($D$18))),IFERROR(LARGE('Calc (scoring engine)'!$K$5:$K$523,8),-999999)&lt;=-900000),"",IFERROR(IF(INDEX(Database!$AT$5:$AT$523,MATCH(LARGE('Calc (scoring engine)'!$K$5:$K$523,8),'Calc (scoring engine)'!$K$5:$K$523,0))="","—",INDEX(Database!$AT$5:$AT$523,MATCH(LARGE('Calc (scoring engine)'!$K$5:$K$523,8),'Calc (scoring engine)'!$K$5:$K$523,0))),""))</f>
        <v/>
      </c>
      <c r="AR28" s="23">
        <f>IF(OR(8&gt;MAX(3,MIN(15,N($D$18))),IFERROR(LARGE('Calc (scoring engine)'!$K$5:$K$523,8),-999999)&lt;=-900000),"",IFERROR(IF(INDEX(Database!$AU$5:$AU$523,MATCH(LARGE('Calc (scoring engine)'!$K$5:$K$523,8),'Calc (scoring engine)'!$K$5:$K$523,0))="","—",INDEX(Database!$AU$5:$AU$523,MATCH(LARGE('Calc (scoring engine)'!$K$5:$K$523,8),'Calc (scoring engine)'!$K$5:$K$523,0))),""))</f>
        <v/>
      </c>
      <c r="AS28" s="23">
        <f>IF(OR(8&gt;MAX(3,MIN(15,N($D$18))),IFERROR(LARGE('Calc (scoring engine)'!$K$5:$K$523,8),-999999)&lt;=-900000),"",IFERROR(IF(INDEX(Database!$AV$5:$AV$523,MATCH(LARGE('Calc (scoring engine)'!$K$5:$K$523,8),'Calc (scoring engine)'!$K$5:$K$523,0))="","—",INDEX(Database!$AV$5:$AV$523,MATCH(LARGE('Calc (scoring engine)'!$K$5:$K$523,8),'Calc (scoring engine)'!$K$5:$K$523,0))),""))</f>
        <v/>
      </c>
      <c r="AT28" s="23">
        <f>IF(OR(8&gt;MAX(3,MIN(15,N($D$18))),IFERROR(LARGE('Calc (scoring engine)'!$K$5:$K$523,8),-999999)&lt;=-900000),"",IFERROR(IF(INDEX(Database!$AW$5:$AW$523,MATCH(LARGE('Calc (scoring engine)'!$K$5:$K$523,8),'Calc (scoring engine)'!$K$5:$K$523,0))="","—",INDEX(Database!$AW$5:$AW$523,MATCH(LARGE('Calc (scoring engine)'!$K$5:$K$523,8),'Calc (scoring engine)'!$K$5:$K$523,0))),""))</f>
        <v/>
      </c>
      <c r="AU28" s="23">
        <f>IF(OR(8&gt;MAX(3,MIN(15,N($D$18))),IFERROR(LARGE('Calc (scoring engine)'!$K$5:$K$523,8),-999999)&lt;=-900000),"",IFERROR(IF(INDEX(Database!$AX$5:$AX$523,MATCH(LARGE('Calc (scoring engine)'!$K$5:$K$523,8),'Calc (scoring engine)'!$K$5:$K$523,0))="","—",INDEX(Database!$AX$5:$AX$523,MATCH(LARGE('Calc (scoring engine)'!$K$5:$K$523,8),'Calc (scoring engine)'!$K$5:$K$523,0))),""))</f>
        <v/>
      </c>
      <c r="AV28" s="23">
        <f>IF(OR(8&gt;MAX(3,MIN(15,N($D$18))),IFERROR(LARGE('Calc (scoring engine)'!$K$5:$K$523,8),-999999)&lt;=-900000),"",IFERROR(IF(INDEX(Database!$AY$5:$AY$523,MATCH(LARGE('Calc (scoring engine)'!$K$5:$K$523,8),'Calc (scoring engine)'!$K$5:$K$523,0))="","—",INDEX(Database!$AY$5:$AY$523,MATCH(LARGE('Calc (scoring engine)'!$K$5:$K$523,8),'Calc (scoring engine)'!$K$5:$K$523,0))),""))</f>
        <v/>
      </c>
      <c r="AW28" s="23">
        <f>IF(OR(8&gt;MAX(3,MIN(15,N($D$18))),IFERROR(LARGE('Calc (scoring engine)'!$K$5:$K$523,8),-999999)&lt;=-900000),"",IFERROR(IF(INDEX(Database!$AZ$5:$AZ$523,MATCH(LARGE('Calc (scoring engine)'!$K$5:$K$523,8),'Calc (scoring engine)'!$K$5:$K$523,0))="","—",INDEX(Database!$AZ$5:$AZ$523,MATCH(LARGE('Calc (scoring engine)'!$K$5:$K$523,8),'Calc (scoring engine)'!$K$5:$K$523,0))),""))</f>
        <v/>
      </c>
      <c r="AX28" s="23">
        <f>IF(OR(8&gt;MAX(3,MIN(15,N($D$18))),IFERROR(LARGE('Calc (scoring engine)'!$K$5:$K$523,8),-999999)&lt;=-900000),"",IFERROR(IF(INDEX(Database!$BB$5:$BB$523,MATCH(LARGE('Calc (scoring engine)'!$K$5:$K$523,8),'Calc (scoring engine)'!$K$5:$K$523,0))="","—",INDEX(Database!$BB$5:$BB$523,MATCH(LARGE('Calc (scoring engine)'!$K$5:$K$523,8),'Calc (scoring engine)'!$K$5:$K$523,0))),""))</f>
        <v/>
      </c>
      <c r="AY28" s="19">
        <f>IF(OR(8&gt;MAX(3,MIN(15,N($D$18))),IFERROR(LARGE('Calc (scoring engine)'!$K$5:$K$523,8),-999999)&lt;=-900000),"",IFERROR(IF(INDEX(Database!$BD$5:$BD$523,MATCH(LARGE('Calc (scoring engine)'!$K$5:$K$523,8),'Calc (scoring engine)'!$K$5:$K$523,0))="","—",INDEX(Database!$BD$5:$BD$523,MATCH(LARGE('Calc (scoring engine)'!$K$5:$K$523,8),'Calc (scoring engine)'!$K$5:$K$523,0))),""))</f>
        <v/>
      </c>
      <c r="AZ28" s="19">
        <f>IF(OR(8&gt;MAX(3,MIN(15,N($D$18))),IFERROR(LARGE('Calc (scoring engine)'!$K$5:$K$523,8),-999999)&lt;=-900000),"",IFERROR(IF(INDEX(Database!$BE$5:$BE$523,MATCH(LARGE('Calc (scoring engine)'!$K$5:$K$523,8),'Calc (scoring engine)'!$K$5:$K$523,0))="","—",INDEX(Database!$BE$5:$BE$523,MATCH(LARGE('Calc (scoring engine)'!$K$5:$K$523,8),'Calc (scoring engine)'!$K$5:$K$523,0))),""))</f>
        <v/>
      </c>
      <c r="BA28" s="10">
        <f>IF(OR(8&gt;MAX(3,MIN(15,N($D$18))),IFERROR(LARGE('Calc (scoring engine)'!$K$5:$K$523,8),-999999)&lt;=-900000),"",IFERROR(IF(INDEX(Database!$BF$5:$BF$523,MATCH(LARGE('Calc (scoring engine)'!$K$5:$K$523,8),'Calc (scoring engine)'!$K$5:$K$523,0))="","—",INDEX(Database!$BF$5:$BF$523,MATCH(LARGE('Calc (scoring engine)'!$K$5:$K$523,8),'Calc (scoring engine)'!$K$5:$K$523,0))),""))</f>
        <v/>
      </c>
      <c r="BB28" s="24">
        <f>IF(OR(8&gt;MAX(3,MIN(15,N($D$18))),IFERROR(LARGE('Calc (scoring engine)'!$K$5:$K$523,8),-999999)&lt;=-900000),"",IFERROR(IF(N(INDEX(Database!$BG$5:$BG$523,MATCH(LARGE('Calc (scoring engine)'!$K$5:$K$523,8),'Calc (scoring engine)'!$K$5:$K$523,0)))&lt;=0,IF(INDEX(Database!$BF$5:$BF$523,MATCH(LARGE('Calc (scoring engine)'!$K$5:$K$523,8),'Calc (scoring engine)'!$K$5:$K$523,0))="N","n/m","—"),INDEX(Database!$BG$5:$BG$523,MATCH(LARGE('Calc (scoring engine)'!$K$5:$K$523,8),'Calc (scoring engine)'!$K$5:$K$523,0))),""))</f>
        <v/>
      </c>
      <c r="BC28" s="24">
        <f>IF(OR(8&gt;MAX(3,MIN(15,N($D$18))),IFERROR(LARGE('Calc (scoring engine)'!$K$5:$K$523,8),-999999)&lt;=-900000),"",IFERROR(IF(INDEX(Database!$BH$5:$BH$523,MATCH(LARGE('Calc (scoring engine)'!$K$5:$K$523,8),'Calc (scoring engine)'!$K$5:$K$523,0))="","—",INDEX(Database!$BH$5:$BH$523,MATCH(LARGE('Calc (scoring engine)'!$K$5:$K$523,8),'Calc (scoring engine)'!$K$5:$K$523,0))),""))</f>
        <v/>
      </c>
      <c r="BD28" s="24">
        <f>IF(OR(8&gt;MAX(3,MIN(15,N($D$18))),IFERROR(LARGE('Calc (scoring engine)'!$K$5:$K$523,8),-999999)&lt;=-900000),"",IFERROR(IF(INDEX(Database!$BI$5:$BI$523,MATCH(LARGE('Calc (scoring engine)'!$K$5:$K$523,8),'Calc (scoring engine)'!$K$5:$K$523,0))="","—",INDEX(Database!$BI$5:$BI$523,MATCH(LARGE('Calc (scoring engine)'!$K$5:$K$523,8),'Calc (scoring engine)'!$K$5:$K$523,0))),""))</f>
        <v/>
      </c>
      <c r="BE28" s="24">
        <f>IF(OR(8&gt;MAX(3,MIN(15,N($D$18))),IFERROR(LARGE('Calc (scoring engine)'!$K$5:$K$523,8),-999999)&lt;=-900000),"",IFERROR(IF(INDEX(Database!$BJ$5:$BJ$523,MATCH(LARGE('Calc (scoring engine)'!$K$5:$K$523,8),'Calc (scoring engine)'!$K$5:$K$523,0))="","—",INDEX(Database!$BJ$5:$BJ$523,MATCH(LARGE('Calc (scoring engine)'!$K$5:$K$523,8),'Calc (scoring engine)'!$K$5:$K$523,0))),""))</f>
        <v/>
      </c>
      <c r="BF28" s="24">
        <f>IF(OR(8&gt;MAX(3,MIN(15,N($D$18))),IFERROR(LARGE('Calc (scoring engine)'!$K$5:$K$523,8),-999999)&lt;=-900000),"",IFERROR(IF(INDEX(Database!$BK$5:$BK$523,MATCH(LARGE('Calc (scoring engine)'!$K$5:$K$523,8),'Calc (scoring engine)'!$K$5:$K$523,0))="","—",INDEX(Database!$BK$5:$BK$523,MATCH(LARGE('Calc (scoring engine)'!$K$5:$K$523,8),'Calc (scoring engine)'!$K$5:$K$523,0))),""))</f>
        <v/>
      </c>
      <c r="BG28" s="24">
        <f>IF(OR(8&gt;MAX(3,MIN(15,N($D$18))),IFERROR(LARGE('Calc (scoring engine)'!$K$5:$K$523,8),-999999)&lt;=-900000),"",IFERROR(IFERROR(BDP(TEXT(INDEX(Database!$A$5:$A$523,MATCH(LARGE('Calc (scoring engine)'!$K$5:$K$523,8),'Calc (scoring engine)'!$K$5:$K$523,0)),"0")&amp;" HK Equity","PE_RATIO"),IF(INDEX(Database!$BI$5:$BI$523,MATCH(LARGE('Calc (scoring engine)'!$K$5:$K$523,8),'Calc (scoring engine)'!$K$5:$K$523,0))="","—",INDEX(Database!$BI$5:$BI$523,MATCH(LARGE('Calc (scoring engine)'!$K$5:$K$523,8),'Calc (scoring engine)'!$K$5:$K$523,0)))),""))</f>
        <v/>
      </c>
      <c r="BH28" s="24">
        <f>IF(OR(8&gt;MAX(3,MIN(15,N($D$18))),IFERROR(LARGE('Calc (scoring engine)'!$K$5:$K$523,8),-999999)&lt;=-900000),"",IFERROR(IFERROR(BDP(TEXT(INDEX(Database!$A$5:$A$523,MATCH(LARGE('Calc (scoring engine)'!$K$5:$K$523,8),'Calc (scoring engine)'!$K$5:$K$523,0)),"0")&amp;" HK Equity","PX_TO_SALES_RATIO"),IF(INDEX(Database!$BJ$5:$BJ$523,MATCH(LARGE('Calc (scoring engine)'!$K$5:$K$523,8),'Calc (scoring engine)'!$K$5:$K$523,0))="","—",INDEX(Database!$BJ$5:$BJ$523,MATCH(LARGE('Calc (scoring engine)'!$K$5:$K$523,8),'Calc (scoring engine)'!$K$5:$K$523,0)))),""))</f>
        <v/>
      </c>
      <c r="BI28" s="10">
        <f>IF(OR(8&gt;MAX(3,MIN(15,N($D$18))),IFERROR(LARGE('Calc (scoring engine)'!$K$5:$K$523,8),-999999)&lt;=-900000),"",IFERROR(IF(INDEX(Database!$BL$5:$BL$523,MATCH(LARGE('Calc (scoring engine)'!$K$5:$K$523,8),'Calc (scoring engine)'!$K$5:$K$523,0))="","—",INDEX(Database!$BL$5:$BL$523,MATCH(LARGE('Calc (scoring engine)'!$K$5:$K$523,8),'Calc (scoring engine)'!$K$5:$K$523,0))),""))</f>
        <v/>
      </c>
      <c r="BJ28" s="10">
        <f>IF(OR(8&gt;MAX(3,MIN(15,N($D$18))),IFERROR(LARGE('Calc (scoring engine)'!$K$5:$K$523,8),-999999)&lt;=-900000),"",IFERROR(IF(INDEX(Database!$BM$5:$BM$523,MATCH(LARGE('Calc (scoring engine)'!$K$5:$K$523,8),'Calc (scoring engine)'!$K$5:$K$523,0))="","—",INDEX(Database!$BM$5:$BM$523,MATCH(LARGE('Calc (scoring engine)'!$K$5:$K$523,8),'Calc (scoring engine)'!$K$5:$K$523,0))),""))</f>
        <v/>
      </c>
      <c r="BK28" s="23">
        <f>IF(OR(8&gt;MAX(3,MIN(15,N($D$18))),IFERROR(LARGE('Calc (scoring engine)'!$K$5:$K$523,8),-999999)&lt;=-900000),"",IFERROR(IF(INDEX(Database!$BN$5:$BN$523,MATCH(LARGE('Calc (scoring engine)'!$K$5:$K$523,8),'Calc (scoring engine)'!$K$5:$K$523,0))="","—",INDEX(Database!$BN$5:$BN$523,MATCH(LARGE('Calc (scoring engine)'!$K$5:$K$523,8),'Calc (scoring engine)'!$K$5:$K$523,0))),""))</f>
        <v/>
      </c>
      <c r="BL28" s="50">
        <f>IF(OR(8&gt;MAX(3,MIN(15,N($D$18))),IFERROR(LARGE('Calc (scoring engine)'!$K$5:$K$523,8),-999999)&lt;=-900000),"",IFERROR(IF(INDEX(Database!$BO$5:$BO$523,MATCH(LARGE('Calc (scoring engine)'!$K$5:$K$523,8),'Calc (scoring engine)'!$K$5:$K$523,0))="","—",INDEX(Database!$BO$5:$BO$523,MATCH(LARGE('Calc (scoring engine)'!$K$5:$K$523,8),'Calc (scoring engine)'!$K$5:$K$523,0))),""))</f>
        <v/>
      </c>
      <c r="BM28" s="54">
        <f>IF(OR(8&gt;MAX(3,MIN(15,N($D$18))),IFERROR(LARGE('Calc (scoring engine)'!$K$5:$K$523,8),-999999)&lt;=-900000),"",IFERROR(IF(INDEX(Database!$BP$5:$BP$523,MATCH(LARGE('Calc (scoring engine)'!$K$5:$K$523,8),'Calc (scoring engine)'!$K$5:$K$523,0))="","—",INDEX(Database!$BP$5:$BP$523,MATCH(LARGE('Calc (scoring engine)'!$K$5:$K$523,8),'Calc (scoring engine)'!$K$5:$K$523,0))),""))</f>
        <v/>
      </c>
      <c r="BN28" s="19">
        <f>IF(OR(8&gt;MAX(3,MIN(15,N($D$18))),IFERROR(LARGE('Calc (scoring engine)'!$K$5:$K$523,8),-999999)&lt;=-900000),"",IFERROR(IF(INDEX(Database!$BQ$5:$BQ$523,MATCH(LARGE('Calc (scoring engine)'!$K$5:$K$523,8),'Calc (scoring engine)'!$K$5:$K$523,0))="","—",INDEX(Database!$BQ$5:$BQ$523,MATCH(LARGE('Calc (scoring engine)'!$K$5:$K$523,8),'Calc (scoring engine)'!$K$5:$K$523,0))),""))</f>
        <v/>
      </c>
      <c r="BO28" s="24">
        <f>IF(OR(8&gt;MAX(3,MIN(15,N($D$18))),IFERROR(LARGE('Calc (scoring engine)'!$K$5:$K$523,8),-999999)&lt;=-900000),"",IFERROR(IF(INDEX(Database!$BR$5:$BR$523,MATCH(LARGE('Calc (scoring engine)'!$K$5:$K$523,8),'Calc (scoring engine)'!$K$5:$K$523,0))="","—",INDEX(Database!$BR$5:$BR$523,MATCH(LARGE('Calc (scoring engine)'!$K$5:$K$523,8),'Calc (scoring engine)'!$K$5:$K$523,0))),""))</f>
        <v/>
      </c>
      <c r="BP28" s="24">
        <f>IF(OR(8&gt;MAX(3,MIN(15,N($D$18))),IFERROR(LARGE('Calc (scoring engine)'!$K$5:$K$523,8),-999999)&lt;=-900000),"",IFERROR(IF(INDEX(Database!$BS$5:$BS$523,MATCH(LARGE('Calc (scoring engine)'!$K$5:$K$523,8),'Calc (scoring engine)'!$K$5:$K$523,0))="","—",INDEX(Database!$BS$5:$BS$523,MATCH(LARGE('Calc (scoring engine)'!$K$5:$K$523,8),'Calc (scoring engine)'!$K$5:$K$523,0))),""))</f>
        <v/>
      </c>
      <c r="BQ28" s="10">
        <f>IF(OR(8&gt;MAX(3,MIN(15,N($D$18))),IFERROR(LARGE('Calc (scoring engine)'!$K$5:$K$523,8),-999999)&lt;=-900000),"",IFERROR(IF(INDEX(Database!$BT$5:$BT$523,MATCH(LARGE('Calc (scoring engine)'!$K$5:$K$523,8),'Calc (scoring engine)'!$K$5:$K$523,0))="","—",INDEX(Database!$BT$5:$BT$523,MATCH(LARGE('Calc (scoring engine)'!$K$5:$K$523,8),'Calc (scoring engine)'!$K$5:$K$523,0))),""))</f>
        <v/>
      </c>
      <c r="BR28" s="10">
        <f>IF(OR(8&gt;MAX(3,MIN(15,N($D$18))),IFERROR(LARGE('Calc (scoring engine)'!$K$5:$K$523,8),-999999)&lt;=-900000),"",IFERROR(IF(INDEX(Database!$BV$5:$BV$523,MATCH(LARGE('Calc (scoring engine)'!$K$5:$K$523,8),'Calc (scoring engine)'!$K$5:$K$523,0))="","—",INDEX(Database!$BV$5:$BV$523,MATCH(LARGE('Calc (scoring engine)'!$K$5:$K$523,8),'Calc (scoring engine)'!$K$5:$K$523,0))),""))</f>
        <v/>
      </c>
      <c r="BS28" s="53">
        <f>IF(OR(8&gt;MAX(3,MIN(15,N($D$18))),IFERROR(LARGE('Calc (scoring engine)'!$K$5:$K$523,8),-999999)&lt;=-900000),"",IFERROR(IF(INDEX('Calc (scoring engine)'!$H$5:$H$523,MATCH(LARGE('Calc (scoring engine)'!$K$5:$K$523,8),'Calc (scoring engine)'!$K$5:$K$523,0))&gt;0,INDEX('Calc (scoring engine)'!$H$5:$H$523,MATCH(LARGE('Calc (scoring engine)'!$K$5:$K$523,8),'Calc (scoring engine)'!$K$5:$K$523,0)),""),""))</f>
        <v/>
      </c>
      <c r="BT28" s="10">
        <f>IF(OR(8&gt;MAX(3,MIN(15,N($D$18))),IFERROR(LARGE('Calc (scoring engine)'!$K$5:$K$523,8),-999999)&lt;=-900000),"",IF(IFERROR(INDEX('Calc (scoring engine)'!$B$5:$B$523,MATCH(LARGE('Calc (scoring engine)'!$K$5:$K$523,8),'Calc (scoring engine)'!$K$5:$K$523,0)),0)=1,"same subsector","sector only"))</f>
        <v/>
      </c>
      <c r="BU28" s="53">
        <f>IF(OR(8&gt;MAX(3,MIN(15,N($D$18))),IFERROR(LARGE('Calc (scoring engine)'!$K$5:$K$523,8),-999999)&lt;=-900000),"",ROUND(IFERROR(LARGE('Calc (scoring engine)'!$K$5:$K$523,8),0),0))</f>
        <v/>
      </c>
      <c r="BV28" s="10">
        <f>IF(OR(8&gt;MAX(3,MIN(15,N($D$18))),IFERROR(LARGE('Calc (scoring engine)'!$K$5:$K$523,8),-999999)&lt;=-900000),"",IFERROR("sub "&amp;INDEX('Calc (scoring engine)'!$B$5:$B$523,MATCH(LARGE('Calc (scoring engine)'!$K$5:$K$523,8),'Calc (scoring engine)'!$K$5:$K$523,0))*W_SUB&amp;" + size "&amp;ROUND(INDEX('Calc (scoring engine)'!$D$5:$D$523,MATCH(LARGE('Calc (scoring engine)'!$K$5:$K$523,8),'Calc (scoring engine)'!$K$5:$K$523,0))*W_SIZE,0)&amp;" + prof "&amp;INDEX('Calc (scoring engine)'!$E$5:$E$523,MATCH(LARGE('Calc (scoring engine)'!$K$5:$K$523,8),'Calc (scoring engine)'!$K$5:$K$523,0))*W_PROF&amp;" + recency "&amp;ROUND(INDEX('Calc (scoring engine)'!$G$5:$G$523,MATCH(LARGE('Calc (scoring engine)'!$K$5:$K$523,8),'Calc (scoring engine)'!$K$5:$K$523,0))*W_REC,0)&amp;IF(INDEX('Calc (scoring engine)'!$H$5:$H$523,MATCH(LARGE('Calc (scoring engine)'!$K$5:$K$523,8),'Calc (scoring engine)'!$K$5:$K$523,0))&gt;0," + shared CS x"&amp;INDEX('Calc (scoring engine)'!$H$5:$H$523,MATCH(LARGE('Calc (scoring engine)'!$K$5:$K$523,8),'Calc (scoring engine)'!$K$5:$K$523,0)),""),""))</f>
        <v/>
      </c>
    </row>
    <row r="29">
      <c r="A29" s="48">
        <f>IF(OR(9&gt;MAX(3,MIN(15,N($D$18))),IFERROR(LARGE('Calc (scoring engine)'!$K$5:$K$523,9),-999999)&lt;=-900000),"",9)</f>
        <v/>
      </c>
      <c r="B29" s="10">
        <f>IF(OR(9&gt;MAX(3,MIN(15,N($D$18))),IFERROR(LARGE('Calc (scoring engine)'!$K$5:$K$523,9),-999999)&lt;=-900000),"",IFERROR(IF(INDEX(Database!$B$5:$B$523,MATCH(LARGE('Calc (scoring engine)'!$K$5:$K$523,9),'Calc (scoring engine)'!$K$5:$K$523,0))="","—",INDEX(Database!$B$5:$B$523,MATCH(LARGE('Calc (scoring engine)'!$K$5:$K$523,9),'Calc (scoring engine)'!$K$5:$K$523,0))),""))</f>
        <v/>
      </c>
      <c r="C29" s="49">
        <f>IF(OR(9&gt;MAX(3,MIN(15,N($D$18))),IFERROR(LARGE('Calc (scoring engine)'!$K$5:$K$523,9),-999999)&lt;=-900000),"",IFERROR(IF(INDEX(Database!$A$5:$A$523,MATCH(LARGE('Calc (scoring engine)'!$K$5:$K$523,9),'Calc (scoring engine)'!$K$5:$K$523,0))="","—",INDEX(Database!$A$5:$A$523,MATCH(LARGE('Calc (scoring engine)'!$K$5:$K$523,9),'Calc (scoring engine)'!$K$5:$K$523,0))),""))</f>
        <v/>
      </c>
      <c r="D29" s="10">
        <f>IF(OR(9&gt;MAX(3,MIN(15,N($D$18))),IFERROR(LARGE('Calc (scoring engine)'!$K$5:$K$523,9),-999999)&lt;=-900000),"",IFERROR(IF(INDEX(Database!$D$5:$D$523,MATCH(LARGE('Calc (scoring engine)'!$K$5:$K$523,9),'Calc (scoring engine)'!$K$5:$K$523,0))="","—",INDEX(Database!$D$5:$D$523,MATCH(LARGE('Calc (scoring engine)'!$K$5:$K$523,9),'Calc (scoring engine)'!$K$5:$K$523,0))),""))</f>
        <v/>
      </c>
      <c r="E29" s="10">
        <f>IF(OR(9&gt;MAX(3,MIN(15,N($D$18))),IFERROR(LARGE('Calc (scoring engine)'!$K$5:$K$523,9),-999999)&lt;=-900000),"",IFERROR(IF(INDEX(Database!$E$5:$E$523,MATCH(LARGE('Calc (scoring engine)'!$K$5:$K$523,9),'Calc (scoring engine)'!$K$5:$K$523,0))="","—",INDEX(Database!$E$5:$E$523,MATCH(LARGE('Calc (scoring engine)'!$K$5:$K$523,9),'Calc (scoring engine)'!$K$5:$K$523,0))),""))</f>
        <v/>
      </c>
      <c r="F29" s="10">
        <f>IF(OR(9&gt;MAX(3,MIN(15,N($D$18))),IFERROR(LARGE('Calc (scoring engine)'!$K$5:$K$523,9),-999999)&lt;=-900000),"",IFERROR(IF(INDEX(Database!$F$5:$F$523,MATCH(LARGE('Calc (scoring engine)'!$K$5:$K$523,9),'Calc (scoring engine)'!$K$5:$K$523,0))="","—",INDEX(Database!$F$5:$F$523,MATCH(LARGE('Calc (scoring engine)'!$K$5:$K$523,9),'Calc (scoring engine)'!$K$5:$K$523,0))),""))</f>
        <v/>
      </c>
      <c r="G29" s="10">
        <f>IF(OR(9&gt;MAX(3,MIN(15,N($D$18))),IFERROR(LARGE('Calc (scoring engine)'!$K$5:$K$523,9),-999999)&lt;=-900000),"",IFERROR(IF(INDEX(Database!$G$5:$G$523,MATCH(LARGE('Calc (scoring engine)'!$K$5:$K$523,9),'Calc (scoring engine)'!$K$5:$K$523,0))="","—",INDEX(Database!$G$5:$G$523,MATCH(LARGE('Calc (scoring engine)'!$K$5:$K$523,9),'Calc (scoring engine)'!$K$5:$K$523,0))),""))</f>
        <v/>
      </c>
      <c r="H29" s="21">
        <f>IF(OR(9&gt;MAX(3,MIN(15,N($D$18))),IFERROR(LARGE('Calc (scoring engine)'!$K$5:$K$523,9),-999999)&lt;=-900000),"",IFERROR(IF(INDEX(Database!$H$5:$H$523,MATCH(LARGE('Calc (scoring engine)'!$K$5:$K$523,9),'Calc (scoring engine)'!$K$5:$K$523,0))="","—",INDEX(Database!$H$5:$H$523,MATCH(LARGE('Calc (scoring engine)'!$K$5:$K$523,9),'Calc (scoring engine)'!$K$5:$K$523,0))),""))</f>
        <v/>
      </c>
      <c r="I29" s="19">
        <f>IF(OR(9&gt;MAX(3,MIN(15,N($D$18))),IFERROR(LARGE('Calc (scoring engine)'!$K$5:$K$523,9),-999999)&lt;=-900000),"",IFERROR(IF(INDEX(Database!$I$5:$I$523,MATCH(LARGE('Calc (scoring engine)'!$K$5:$K$523,9),'Calc (scoring engine)'!$K$5:$K$523,0))="","—",INDEX(Database!$I$5:$I$523,MATCH(LARGE('Calc (scoring engine)'!$K$5:$K$523,9),'Calc (scoring engine)'!$K$5:$K$523,0))),""))</f>
        <v/>
      </c>
      <c r="J29" s="50">
        <f>IF(OR(9&gt;MAX(3,MIN(15,N($D$18))),IFERROR(LARGE('Calc (scoring engine)'!$K$5:$K$523,9),-999999)&lt;=-900000),"",IFERROR(IF(INDEX(Database!$K$5:$K$523,MATCH(LARGE('Calc (scoring engine)'!$K$5:$K$523,9),'Calc (scoring engine)'!$K$5:$K$523,0))="","—",INDEX(Database!$K$5:$K$523,MATCH(LARGE('Calc (scoring engine)'!$K$5:$K$523,9),'Calc (scoring engine)'!$K$5:$K$523,0))),""))</f>
        <v/>
      </c>
      <c r="K29" s="50">
        <f>IF(OR(9&gt;MAX(3,MIN(15,N($D$18))),IFERROR(LARGE('Calc (scoring engine)'!$K$5:$K$523,9),-999999)&lt;=-900000),"",IFERROR(IF(INDEX(Database!$L$5:$L$523,MATCH(LARGE('Calc (scoring engine)'!$K$5:$K$523,9),'Calc (scoring engine)'!$K$5:$K$523,0))="","—",INDEX(Database!$L$5:$L$523,MATCH(LARGE('Calc (scoring engine)'!$K$5:$K$523,9),'Calc (scoring engine)'!$K$5:$K$523,0))),""))</f>
        <v/>
      </c>
      <c r="L29" s="50">
        <f>IF(OR(9&gt;MAX(3,MIN(15,N($D$18))),IFERROR(LARGE('Calc (scoring engine)'!$K$5:$K$523,9),-999999)&lt;=-900000),"",IFERROR(IF(INDEX(Database!$M$5:$M$523,MATCH(LARGE('Calc (scoring engine)'!$K$5:$K$523,9),'Calc (scoring engine)'!$K$5:$K$523,0))="","—",INDEX(Database!$M$5:$M$523,MATCH(LARGE('Calc (scoring engine)'!$K$5:$K$523,9),'Calc (scoring engine)'!$K$5:$K$523,0))),""))</f>
        <v/>
      </c>
      <c r="M29" s="10">
        <f>IF(OR(9&gt;MAX(3,MIN(15,N($D$18))),IFERROR(LARGE('Calc (scoring engine)'!$K$5:$K$523,9),-999999)&lt;=-900000),"",IFERROR(IF(INDEX(Database!$N$5:$N$523,MATCH(LARGE('Calc (scoring engine)'!$K$5:$K$523,9),'Calc (scoring engine)'!$K$5:$K$523,0))="","—",INDEX(Database!$N$5:$N$523,MATCH(LARGE('Calc (scoring engine)'!$K$5:$K$523,9),'Calc (scoring engine)'!$K$5:$K$523,0))),""))</f>
        <v/>
      </c>
      <c r="N29" s="31">
        <f>IF(OR(9&gt;MAX(3,MIN(15,N($D$18))),IFERROR(LARGE('Calc (scoring engine)'!$K$5:$K$523,9),-999999)&lt;=-900000),"",IFERROR(IF(INDEX(Database!$O$5:$O$523,MATCH(LARGE('Calc (scoring engine)'!$K$5:$K$523,9),'Calc (scoring engine)'!$K$5:$K$523,0))="","—",INDEX(Database!$O$5:$O$523,MATCH(LARGE('Calc (scoring engine)'!$K$5:$K$523,9),'Calc (scoring engine)'!$K$5:$K$523,0))),""))</f>
        <v/>
      </c>
      <c r="O29" s="31">
        <f>IF(OR(9&gt;MAX(3,MIN(15,N($D$18))),IFERROR(LARGE('Calc (scoring engine)'!$K$5:$K$523,9),-999999)&lt;=-900000),"",IFERROR(IF(INDEX(Database!$P$5:$P$523,MATCH(LARGE('Calc (scoring engine)'!$K$5:$K$523,9),'Calc (scoring engine)'!$K$5:$K$523,0))="","—",INDEX(Database!$P$5:$P$523,MATCH(LARGE('Calc (scoring engine)'!$K$5:$K$523,9),'Calc (scoring engine)'!$K$5:$K$523,0))),""))</f>
        <v/>
      </c>
      <c r="P29" s="19">
        <f>IF(OR(9&gt;MAX(3,MIN(15,N($D$18))),IFERROR(LARGE('Calc (scoring engine)'!$K$5:$K$523,9),-999999)&lt;=-900000),"",IFERROR(IF(INDEX(Database!$Q$5:$Q$523,MATCH(LARGE('Calc (scoring engine)'!$K$5:$K$523,9),'Calc (scoring engine)'!$K$5:$K$523,0))="","—",INDEX(Database!$Q$5:$Q$523,MATCH(LARGE('Calc (scoring engine)'!$K$5:$K$523,9),'Calc (scoring engine)'!$K$5:$K$523,0))),""))</f>
        <v/>
      </c>
      <c r="Q29" s="26">
        <f>IF(OR(9&gt;MAX(3,MIN(15,N($D$18))),IFERROR(LARGE('Calc (scoring engine)'!$K$5:$K$523,9),-999999)&lt;=-900000),"",IFERROR(IF(INDEX(Database!$S$5:$S$523,MATCH(LARGE('Calc (scoring engine)'!$K$5:$K$523,9),'Calc (scoring engine)'!$K$5:$K$523,0))="","—",INDEX(Database!$S$5:$S$523,MATCH(LARGE('Calc (scoring engine)'!$K$5:$K$523,9),'Calc (scoring engine)'!$K$5:$K$523,0))),""))</f>
        <v/>
      </c>
      <c r="R29" s="51">
        <f>IF(OR(9&gt;MAX(3,MIN(15,N($D$18))),IFERROR(LARGE('Calc (scoring engine)'!$K$5:$K$523,9),-999999)&lt;=-900000),"",IFERROR(IF(INDEX(Database!$T$5:$T$523,MATCH(LARGE('Calc (scoring engine)'!$K$5:$K$523,9),'Calc (scoring engine)'!$K$5:$K$523,0))="","—",INDEX(Database!$T$5:$T$523,MATCH(LARGE('Calc (scoring engine)'!$K$5:$K$523,9),'Calc (scoring engine)'!$K$5:$K$523,0))),""))</f>
        <v/>
      </c>
      <c r="S29" s="52">
        <f>IF(OR(9&gt;MAX(3,MIN(15,N($D$18))),IFERROR(LARGE('Calc (scoring engine)'!$K$5:$K$523,9),-999999)&lt;=-900000),"",IFERROR(IF(INDEX(Database!$U$5:$U$523,MATCH(LARGE('Calc (scoring engine)'!$K$5:$K$523,9),'Calc (scoring engine)'!$K$5:$K$523,0))="","—",INDEX(Database!$U$5:$U$523,MATCH(LARGE('Calc (scoring engine)'!$K$5:$K$523,9),'Calc (scoring engine)'!$K$5:$K$523,0))),""))</f>
        <v/>
      </c>
      <c r="T29" s="53">
        <f>IF(OR(9&gt;MAX(3,MIN(15,N($D$18))),IFERROR(LARGE('Calc (scoring engine)'!$K$5:$K$523,9),-999999)&lt;=-900000),"",IFERROR(IF(INDEX(Database!$V$5:$V$523,MATCH(LARGE('Calc (scoring engine)'!$K$5:$K$523,9),'Calc (scoring engine)'!$K$5:$K$523,0))="","—",INDEX(Database!$V$5:$V$523,MATCH(LARGE('Calc (scoring engine)'!$K$5:$K$523,9),'Calc (scoring engine)'!$K$5:$K$523,0))),""))</f>
        <v/>
      </c>
      <c r="U29" s="31">
        <f>IF(OR(9&gt;MAX(3,MIN(15,N($D$18))),IFERROR(LARGE('Calc (scoring engine)'!$K$5:$K$523,9),-999999)&lt;=-900000),"",IFERROR(IF(INDEX(Database!$W$5:$W$523,MATCH(LARGE('Calc (scoring engine)'!$K$5:$K$523,9),'Calc (scoring engine)'!$K$5:$K$523,0))="","—",INDEX(Database!$W$5:$W$523,MATCH(LARGE('Calc (scoring engine)'!$K$5:$K$523,9),'Calc (scoring engine)'!$K$5:$K$523,0))),""))</f>
        <v/>
      </c>
      <c r="V29" s="10">
        <f>IF(OR(9&gt;MAX(3,MIN(15,N($D$18))),IFERROR(LARGE('Calc (scoring engine)'!$K$5:$K$523,9),-999999)&lt;=-900000),"",IFERROR(IF(INDEX(Database!$X$5:$X$523,MATCH(LARGE('Calc (scoring engine)'!$K$5:$K$523,9),'Calc (scoring engine)'!$K$5:$K$523,0))="","—",INDEX(Database!$X$5:$X$523,MATCH(LARGE('Calc (scoring engine)'!$K$5:$K$523,9),'Calc (scoring engine)'!$K$5:$K$523,0))),""))</f>
        <v/>
      </c>
      <c r="W29" s="19">
        <f>IF(OR(9&gt;MAX(3,MIN(15,N($D$18))),IFERROR(LARGE('Calc (scoring engine)'!$K$5:$K$523,9),-999999)&lt;=-900000),"",IFERROR(IF(INDEX(Database!$Y$5:$Y$523,MATCH(LARGE('Calc (scoring engine)'!$K$5:$K$523,9),'Calc (scoring engine)'!$K$5:$K$523,0))="","—",INDEX(Database!$Y$5:$Y$523,MATCH(LARGE('Calc (scoring engine)'!$K$5:$K$523,9),'Calc (scoring engine)'!$K$5:$K$523,0))),""))</f>
        <v/>
      </c>
      <c r="X29" s="19">
        <f>IF(OR(9&gt;MAX(3,MIN(15,N($D$18))),IFERROR(LARGE('Calc (scoring engine)'!$K$5:$K$523,9),-999999)&lt;=-900000),"",IFERROR(IF(INDEX(Database!$Z$5:$Z$523,MATCH(LARGE('Calc (scoring engine)'!$K$5:$K$523,9),'Calc (scoring engine)'!$K$5:$K$523,0))="","—",INDEX(Database!$Z$5:$Z$523,MATCH(LARGE('Calc (scoring engine)'!$K$5:$K$523,9),'Calc (scoring engine)'!$K$5:$K$523,0))),""))</f>
        <v/>
      </c>
      <c r="Y29" s="31">
        <f>IF(OR(9&gt;MAX(3,MIN(15,N($D$18))),IFERROR(LARGE('Calc (scoring engine)'!$K$5:$K$523,9),-999999)&lt;=-900000),"",IFERROR(IF(INDEX(Database!$AA$5:$AA$523,MATCH(LARGE('Calc (scoring engine)'!$K$5:$K$523,9),'Calc (scoring engine)'!$K$5:$K$523,0))="","—",INDEX(Database!$AA$5:$AA$523,MATCH(LARGE('Calc (scoring engine)'!$K$5:$K$523,9),'Calc (scoring engine)'!$K$5:$K$523,0))),""))</f>
        <v/>
      </c>
      <c r="Z29" s="10">
        <f>IF(OR(9&gt;MAX(3,MIN(15,N($D$18))),IFERROR(LARGE('Calc (scoring engine)'!$K$5:$K$523,9),-999999)&lt;=-900000),"",IFERROR(IF(INDEX(Database!$AB$5:$AB$523,MATCH(LARGE('Calc (scoring engine)'!$K$5:$K$523,9),'Calc (scoring engine)'!$K$5:$K$523,0))="","—",INDEX(Database!$AB$5:$AB$523,MATCH(LARGE('Calc (scoring engine)'!$K$5:$K$523,9),'Calc (scoring engine)'!$K$5:$K$523,0))),""))</f>
        <v/>
      </c>
      <c r="AA29" s="31">
        <f>IF(OR(9&gt;MAX(3,MIN(15,N($D$18))),IFERROR(LARGE('Calc (scoring engine)'!$K$5:$K$523,9),-999999)&lt;=-900000),"",IFERROR(IF(INDEX(Database!$AD$5:$AD$523,MATCH(LARGE('Calc (scoring engine)'!$K$5:$K$523,9),'Calc (scoring engine)'!$K$5:$K$523,0))="","—",INDEX(Database!$AD$5:$AD$523,MATCH(LARGE('Calc (scoring engine)'!$K$5:$K$523,9),'Calc (scoring engine)'!$K$5:$K$523,0))),""))</f>
        <v/>
      </c>
      <c r="AB29" s="10">
        <f>IF(OR(9&gt;MAX(3,MIN(15,N($D$18))),IFERROR(LARGE('Calc (scoring engine)'!$K$5:$K$523,9),-999999)&lt;=-900000),"",IFERROR(IF(INDEX(Database!$AE$5:$AE$523,MATCH(LARGE('Calc (scoring engine)'!$K$5:$K$523,9),'Calc (scoring engine)'!$K$5:$K$523,0))="","—",INDEX(Database!$AE$5:$AE$523,MATCH(LARGE('Calc (scoring engine)'!$K$5:$K$523,9),'Calc (scoring engine)'!$K$5:$K$523,0))),""))</f>
        <v/>
      </c>
      <c r="AC29" s="10">
        <f>IF(OR(9&gt;MAX(3,MIN(15,N($D$18))),IFERROR(LARGE('Calc (scoring engine)'!$K$5:$K$523,9),-999999)&lt;=-900000),"",IFERROR(IF(INDEX(Database!$AF$5:$AF$523,MATCH(LARGE('Calc (scoring engine)'!$K$5:$K$523,9),'Calc (scoring engine)'!$K$5:$K$523,0))="","—",INDEX(Database!$AF$5:$AF$523,MATCH(LARGE('Calc (scoring engine)'!$K$5:$K$523,9),'Calc (scoring engine)'!$K$5:$K$523,0))),""))</f>
        <v/>
      </c>
      <c r="AD29" s="10">
        <f>IF(OR(9&gt;MAX(3,MIN(15,N($D$18))),IFERROR(LARGE('Calc (scoring engine)'!$K$5:$K$523,9),-999999)&lt;=-900000),"",IFERROR(IF(INDEX(Database!$AG$5:$AG$523,MATCH(LARGE('Calc (scoring engine)'!$K$5:$K$523,9),'Calc (scoring engine)'!$K$5:$K$523,0))="","—",INDEX(Database!$AG$5:$AG$523,MATCH(LARGE('Calc (scoring engine)'!$K$5:$K$523,9),'Calc (scoring engine)'!$K$5:$K$523,0))),""))</f>
        <v/>
      </c>
      <c r="AE29" s="10">
        <f>IF(OR(9&gt;MAX(3,MIN(15,N($D$18))),IFERROR(LARGE('Calc (scoring engine)'!$K$5:$K$523,9),-999999)&lt;=-900000),"",IFERROR(IF(INDEX(Database!$AH$5:$AH$523,MATCH(LARGE('Calc (scoring engine)'!$K$5:$K$523,9),'Calc (scoring engine)'!$K$5:$K$523,0))="","—",INDEX(Database!$AH$5:$AH$523,MATCH(LARGE('Calc (scoring engine)'!$K$5:$K$523,9),'Calc (scoring engine)'!$K$5:$K$523,0))),""))</f>
        <v/>
      </c>
      <c r="AF29" s="23">
        <f>IF(OR(9&gt;MAX(3,MIN(15,N($D$18))),IFERROR(LARGE('Calc (scoring engine)'!$K$5:$K$523,9),-999999)&lt;=-900000),"",IFERROR(IF(INDEX(Database!$AI$5:$AI$523,MATCH(LARGE('Calc (scoring engine)'!$K$5:$K$523,9),'Calc (scoring engine)'!$K$5:$K$523,0))="","—",INDEX(Database!$AI$5:$AI$523,MATCH(LARGE('Calc (scoring engine)'!$K$5:$K$523,9),'Calc (scoring engine)'!$K$5:$K$523,0))),""))</f>
        <v/>
      </c>
      <c r="AG29" s="23">
        <f>IF(OR(9&gt;MAX(3,MIN(15,N($D$18))),IFERROR(LARGE('Calc (scoring engine)'!$K$5:$K$523,9),-999999)&lt;=-900000),"",IFERROR(IF(INDEX(Database!$AJ$5:$AJ$523,MATCH(LARGE('Calc (scoring engine)'!$K$5:$K$523,9),'Calc (scoring engine)'!$K$5:$K$523,0))="","—",INDEX(Database!$AJ$5:$AJ$523,MATCH(LARGE('Calc (scoring engine)'!$K$5:$K$523,9),'Calc (scoring engine)'!$K$5:$K$523,0))),""))</f>
        <v/>
      </c>
      <c r="AH29" s="23">
        <f>IF(OR(9&gt;MAX(3,MIN(15,N($D$18))),IFERROR(LARGE('Calc (scoring engine)'!$K$5:$K$523,9),-999999)&lt;=-900000),"",IFERROR(IF(INDEX(Database!$AK$5:$AK$523,MATCH(LARGE('Calc (scoring engine)'!$K$5:$K$523,9),'Calc (scoring engine)'!$K$5:$K$523,0))="","—",INDEX(Database!$AK$5:$AK$523,MATCH(LARGE('Calc (scoring engine)'!$K$5:$K$523,9),'Calc (scoring engine)'!$K$5:$K$523,0))),""))</f>
        <v/>
      </c>
      <c r="AI29" s="23">
        <f>IF(OR(9&gt;MAX(3,MIN(15,N($D$18))),IFERROR(LARGE('Calc (scoring engine)'!$K$5:$K$523,9),-999999)&lt;=-900000),"",IFERROR(IF(INDEX(Database!$AL$5:$AL$523,MATCH(LARGE('Calc (scoring engine)'!$K$5:$K$523,9),'Calc (scoring engine)'!$K$5:$K$523,0))="","—",INDEX(Database!$AL$5:$AL$523,MATCH(LARGE('Calc (scoring engine)'!$K$5:$K$523,9),'Calc (scoring engine)'!$K$5:$K$523,0))),""))</f>
        <v/>
      </c>
      <c r="AJ29" s="24">
        <f>IF(OR(9&gt;MAX(3,MIN(15,N($D$18))),IFERROR(LARGE('Calc (scoring engine)'!$K$5:$K$523,9),-999999)&lt;=-900000),"",IFERROR(IF(INDEX(Database!$AM$5:$AM$523,MATCH(LARGE('Calc (scoring engine)'!$K$5:$K$523,9),'Calc (scoring engine)'!$K$5:$K$523,0))="","—",INDEX(Database!$AM$5:$AM$523,MATCH(LARGE('Calc (scoring engine)'!$K$5:$K$523,9),'Calc (scoring engine)'!$K$5:$K$523,0))),""))</f>
        <v/>
      </c>
      <c r="AK29" s="31">
        <f>IF(OR(9&gt;MAX(3,MIN(15,N($D$18))),IFERROR(LARGE('Calc (scoring engine)'!$K$5:$K$523,9),-999999)&lt;=-900000),"",IFERROR(IF(INDEX(Database!$AN$5:$AN$523,MATCH(LARGE('Calc (scoring engine)'!$K$5:$K$523,9),'Calc (scoring engine)'!$K$5:$K$523,0))="","—",INDEX(Database!$AN$5:$AN$523,MATCH(LARGE('Calc (scoring engine)'!$K$5:$K$523,9),'Calc (scoring engine)'!$K$5:$K$523,0))),""))</f>
        <v/>
      </c>
      <c r="AL29" s="23">
        <f>IF(OR(9&gt;MAX(3,MIN(15,N($D$18))),IFERROR(LARGE('Calc (scoring engine)'!$K$5:$K$523,9),-999999)&lt;=-900000),"",IFERROR(IF(INDEX(Database!$AO$5:$AO$523,MATCH(LARGE('Calc (scoring engine)'!$K$5:$K$523,9),'Calc (scoring engine)'!$K$5:$K$523,0))="","—",INDEX(Database!$AO$5:$AO$523,MATCH(LARGE('Calc (scoring engine)'!$K$5:$K$523,9),'Calc (scoring engine)'!$K$5:$K$523,0))),""))</f>
        <v/>
      </c>
      <c r="AM29" s="23">
        <f>IF(OR(9&gt;MAX(3,MIN(15,N($D$18))),IFERROR(LARGE('Calc (scoring engine)'!$K$5:$K$523,9),-999999)&lt;=-900000),"",IFERROR(IF(INDEX(Database!$AP$5:$AP$523,MATCH(LARGE('Calc (scoring engine)'!$K$5:$K$523,9),'Calc (scoring engine)'!$K$5:$K$523,0))="","—",INDEX(Database!$AP$5:$AP$523,MATCH(LARGE('Calc (scoring engine)'!$K$5:$K$523,9),'Calc (scoring engine)'!$K$5:$K$523,0))),""))</f>
        <v/>
      </c>
      <c r="AN29" s="23">
        <f>IF(OR(9&gt;MAX(3,MIN(15,N($D$18))),IFERROR(LARGE('Calc (scoring engine)'!$K$5:$K$523,9),-999999)&lt;=-900000),"",IFERROR(IF(INDEX(Database!$AQ$5:$AQ$523,MATCH(LARGE('Calc (scoring engine)'!$K$5:$K$523,9),'Calc (scoring engine)'!$K$5:$K$523,0))="","—",INDEX(Database!$AQ$5:$AQ$523,MATCH(LARGE('Calc (scoring engine)'!$K$5:$K$523,9),'Calc (scoring engine)'!$K$5:$K$523,0))),""))</f>
        <v/>
      </c>
      <c r="AO29" s="23">
        <f>IF(OR(9&gt;MAX(3,MIN(15,N($D$18))),IFERROR(LARGE('Calc (scoring engine)'!$K$5:$K$523,9),-999999)&lt;=-900000),"",IFERROR(IF(INDEX(Database!$AR$5:$AR$523,MATCH(LARGE('Calc (scoring engine)'!$K$5:$K$523,9),'Calc (scoring engine)'!$K$5:$K$523,0))="","—",INDEX(Database!$AR$5:$AR$523,MATCH(LARGE('Calc (scoring engine)'!$K$5:$K$523,9),'Calc (scoring engine)'!$K$5:$K$523,0))),""))</f>
        <v/>
      </c>
      <c r="AP29" s="23">
        <f>IF(OR(9&gt;MAX(3,MIN(15,N($D$18))),IFERROR(LARGE('Calc (scoring engine)'!$K$5:$K$523,9),-999999)&lt;=-900000),"",IFERROR(IF(INDEX(Database!$AS$5:$AS$523,MATCH(LARGE('Calc (scoring engine)'!$K$5:$K$523,9),'Calc (scoring engine)'!$K$5:$K$523,0))="","—",INDEX(Database!$AS$5:$AS$523,MATCH(LARGE('Calc (scoring engine)'!$K$5:$K$523,9),'Calc (scoring engine)'!$K$5:$K$523,0))),""))</f>
        <v/>
      </c>
      <c r="AQ29" s="23">
        <f>IF(OR(9&gt;MAX(3,MIN(15,N($D$18))),IFERROR(LARGE('Calc (scoring engine)'!$K$5:$K$523,9),-999999)&lt;=-900000),"",IFERROR(IF(INDEX(Database!$AT$5:$AT$523,MATCH(LARGE('Calc (scoring engine)'!$K$5:$K$523,9),'Calc (scoring engine)'!$K$5:$K$523,0))="","—",INDEX(Database!$AT$5:$AT$523,MATCH(LARGE('Calc (scoring engine)'!$K$5:$K$523,9),'Calc (scoring engine)'!$K$5:$K$523,0))),""))</f>
        <v/>
      </c>
      <c r="AR29" s="23">
        <f>IF(OR(9&gt;MAX(3,MIN(15,N($D$18))),IFERROR(LARGE('Calc (scoring engine)'!$K$5:$K$523,9),-999999)&lt;=-900000),"",IFERROR(IF(INDEX(Database!$AU$5:$AU$523,MATCH(LARGE('Calc (scoring engine)'!$K$5:$K$523,9),'Calc (scoring engine)'!$K$5:$K$523,0))="","—",INDEX(Database!$AU$5:$AU$523,MATCH(LARGE('Calc (scoring engine)'!$K$5:$K$523,9),'Calc (scoring engine)'!$K$5:$K$523,0))),""))</f>
        <v/>
      </c>
      <c r="AS29" s="23">
        <f>IF(OR(9&gt;MAX(3,MIN(15,N($D$18))),IFERROR(LARGE('Calc (scoring engine)'!$K$5:$K$523,9),-999999)&lt;=-900000),"",IFERROR(IF(INDEX(Database!$AV$5:$AV$523,MATCH(LARGE('Calc (scoring engine)'!$K$5:$K$523,9),'Calc (scoring engine)'!$K$5:$K$523,0))="","—",INDEX(Database!$AV$5:$AV$523,MATCH(LARGE('Calc (scoring engine)'!$K$5:$K$523,9),'Calc (scoring engine)'!$K$5:$K$523,0))),""))</f>
        <v/>
      </c>
      <c r="AT29" s="23">
        <f>IF(OR(9&gt;MAX(3,MIN(15,N($D$18))),IFERROR(LARGE('Calc (scoring engine)'!$K$5:$K$523,9),-999999)&lt;=-900000),"",IFERROR(IF(INDEX(Database!$AW$5:$AW$523,MATCH(LARGE('Calc (scoring engine)'!$K$5:$K$523,9),'Calc (scoring engine)'!$K$5:$K$523,0))="","—",INDEX(Database!$AW$5:$AW$523,MATCH(LARGE('Calc (scoring engine)'!$K$5:$K$523,9),'Calc (scoring engine)'!$K$5:$K$523,0))),""))</f>
        <v/>
      </c>
      <c r="AU29" s="23">
        <f>IF(OR(9&gt;MAX(3,MIN(15,N($D$18))),IFERROR(LARGE('Calc (scoring engine)'!$K$5:$K$523,9),-999999)&lt;=-900000),"",IFERROR(IF(INDEX(Database!$AX$5:$AX$523,MATCH(LARGE('Calc (scoring engine)'!$K$5:$K$523,9),'Calc (scoring engine)'!$K$5:$K$523,0))="","—",INDEX(Database!$AX$5:$AX$523,MATCH(LARGE('Calc (scoring engine)'!$K$5:$K$523,9),'Calc (scoring engine)'!$K$5:$K$523,0))),""))</f>
        <v/>
      </c>
      <c r="AV29" s="23">
        <f>IF(OR(9&gt;MAX(3,MIN(15,N($D$18))),IFERROR(LARGE('Calc (scoring engine)'!$K$5:$K$523,9),-999999)&lt;=-900000),"",IFERROR(IF(INDEX(Database!$AY$5:$AY$523,MATCH(LARGE('Calc (scoring engine)'!$K$5:$K$523,9),'Calc (scoring engine)'!$K$5:$K$523,0))="","—",INDEX(Database!$AY$5:$AY$523,MATCH(LARGE('Calc (scoring engine)'!$K$5:$K$523,9),'Calc (scoring engine)'!$K$5:$K$523,0))),""))</f>
        <v/>
      </c>
      <c r="AW29" s="23">
        <f>IF(OR(9&gt;MAX(3,MIN(15,N($D$18))),IFERROR(LARGE('Calc (scoring engine)'!$K$5:$K$523,9),-999999)&lt;=-900000),"",IFERROR(IF(INDEX(Database!$AZ$5:$AZ$523,MATCH(LARGE('Calc (scoring engine)'!$K$5:$K$523,9),'Calc (scoring engine)'!$K$5:$K$523,0))="","—",INDEX(Database!$AZ$5:$AZ$523,MATCH(LARGE('Calc (scoring engine)'!$K$5:$K$523,9),'Calc (scoring engine)'!$K$5:$K$523,0))),""))</f>
        <v/>
      </c>
      <c r="AX29" s="23">
        <f>IF(OR(9&gt;MAX(3,MIN(15,N($D$18))),IFERROR(LARGE('Calc (scoring engine)'!$K$5:$K$523,9),-999999)&lt;=-900000),"",IFERROR(IF(INDEX(Database!$BB$5:$BB$523,MATCH(LARGE('Calc (scoring engine)'!$K$5:$K$523,9),'Calc (scoring engine)'!$K$5:$K$523,0))="","—",INDEX(Database!$BB$5:$BB$523,MATCH(LARGE('Calc (scoring engine)'!$K$5:$K$523,9),'Calc (scoring engine)'!$K$5:$K$523,0))),""))</f>
        <v/>
      </c>
      <c r="AY29" s="19">
        <f>IF(OR(9&gt;MAX(3,MIN(15,N($D$18))),IFERROR(LARGE('Calc (scoring engine)'!$K$5:$K$523,9),-999999)&lt;=-900000),"",IFERROR(IF(INDEX(Database!$BD$5:$BD$523,MATCH(LARGE('Calc (scoring engine)'!$K$5:$K$523,9),'Calc (scoring engine)'!$K$5:$K$523,0))="","—",INDEX(Database!$BD$5:$BD$523,MATCH(LARGE('Calc (scoring engine)'!$K$5:$K$523,9),'Calc (scoring engine)'!$K$5:$K$523,0))),""))</f>
        <v/>
      </c>
      <c r="AZ29" s="19">
        <f>IF(OR(9&gt;MAX(3,MIN(15,N($D$18))),IFERROR(LARGE('Calc (scoring engine)'!$K$5:$K$523,9),-999999)&lt;=-900000),"",IFERROR(IF(INDEX(Database!$BE$5:$BE$523,MATCH(LARGE('Calc (scoring engine)'!$K$5:$K$523,9),'Calc (scoring engine)'!$K$5:$K$523,0))="","—",INDEX(Database!$BE$5:$BE$523,MATCH(LARGE('Calc (scoring engine)'!$K$5:$K$523,9),'Calc (scoring engine)'!$K$5:$K$523,0))),""))</f>
        <v/>
      </c>
      <c r="BA29" s="10">
        <f>IF(OR(9&gt;MAX(3,MIN(15,N($D$18))),IFERROR(LARGE('Calc (scoring engine)'!$K$5:$K$523,9),-999999)&lt;=-900000),"",IFERROR(IF(INDEX(Database!$BF$5:$BF$523,MATCH(LARGE('Calc (scoring engine)'!$K$5:$K$523,9),'Calc (scoring engine)'!$K$5:$K$523,0))="","—",INDEX(Database!$BF$5:$BF$523,MATCH(LARGE('Calc (scoring engine)'!$K$5:$K$523,9),'Calc (scoring engine)'!$K$5:$K$523,0))),""))</f>
        <v/>
      </c>
      <c r="BB29" s="24">
        <f>IF(OR(9&gt;MAX(3,MIN(15,N($D$18))),IFERROR(LARGE('Calc (scoring engine)'!$K$5:$K$523,9),-999999)&lt;=-900000),"",IFERROR(IF(N(INDEX(Database!$BG$5:$BG$523,MATCH(LARGE('Calc (scoring engine)'!$K$5:$K$523,9),'Calc (scoring engine)'!$K$5:$K$523,0)))&lt;=0,IF(INDEX(Database!$BF$5:$BF$523,MATCH(LARGE('Calc (scoring engine)'!$K$5:$K$523,9),'Calc (scoring engine)'!$K$5:$K$523,0))="N","n/m","—"),INDEX(Database!$BG$5:$BG$523,MATCH(LARGE('Calc (scoring engine)'!$K$5:$K$523,9),'Calc (scoring engine)'!$K$5:$K$523,0))),""))</f>
        <v/>
      </c>
      <c r="BC29" s="24">
        <f>IF(OR(9&gt;MAX(3,MIN(15,N($D$18))),IFERROR(LARGE('Calc (scoring engine)'!$K$5:$K$523,9),-999999)&lt;=-900000),"",IFERROR(IF(INDEX(Database!$BH$5:$BH$523,MATCH(LARGE('Calc (scoring engine)'!$K$5:$K$523,9),'Calc (scoring engine)'!$K$5:$K$523,0))="","—",INDEX(Database!$BH$5:$BH$523,MATCH(LARGE('Calc (scoring engine)'!$K$5:$K$523,9),'Calc (scoring engine)'!$K$5:$K$523,0))),""))</f>
        <v/>
      </c>
      <c r="BD29" s="24">
        <f>IF(OR(9&gt;MAX(3,MIN(15,N($D$18))),IFERROR(LARGE('Calc (scoring engine)'!$K$5:$K$523,9),-999999)&lt;=-900000),"",IFERROR(IF(INDEX(Database!$BI$5:$BI$523,MATCH(LARGE('Calc (scoring engine)'!$K$5:$K$523,9),'Calc (scoring engine)'!$K$5:$K$523,0))="","—",INDEX(Database!$BI$5:$BI$523,MATCH(LARGE('Calc (scoring engine)'!$K$5:$K$523,9),'Calc (scoring engine)'!$K$5:$K$523,0))),""))</f>
        <v/>
      </c>
      <c r="BE29" s="24">
        <f>IF(OR(9&gt;MAX(3,MIN(15,N($D$18))),IFERROR(LARGE('Calc (scoring engine)'!$K$5:$K$523,9),-999999)&lt;=-900000),"",IFERROR(IF(INDEX(Database!$BJ$5:$BJ$523,MATCH(LARGE('Calc (scoring engine)'!$K$5:$K$523,9),'Calc (scoring engine)'!$K$5:$K$523,0))="","—",INDEX(Database!$BJ$5:$BJ$523,MATCH(LARGE('Calc (scoring engine)'!$K$5:$K$523,9),'Calc (scoring engine)'!$K$5:$K$523,0))),""))</f>
        <v/>
      </c>
      <c r="BF29" s="24">
        <f>IF(OR(9&gt;MAX(3,MIN(15,N($D$18))),IFERROR(LARGE('Calc (scoring engine)'!$K$5:$K$523,9),-999999)&lt;=-900000),"",IFERROR(IF(INDEX(Database!$BK$5:$BK$523,MATCH(LARGE('Calc (scoring engine)'!$K$5:$K$523,9),'Calc (scoring engine)'!$K$5:$K$523,0))="","—",INDEX(Database!$BK$5:$BK$523,MATCH(LARGE('Calc (scoring engine)'!$K$5:$K$523,9),'Calc (scoring engine)'!$K$5:$K$523,0))),""))</f>
        <v/>
      </c>
      <c r="BG29" s="24">
        <f>IF(OR(9&gt;MAX(3,MIN(15,N($D$18))),IFERROR(LARGE('Calc (scoring engine)'!$K$5:$K$523,9),-999999)&lt;=-900000),"",IFERROR(IFERROR(BDP(TEXT(INDEX(Database!$A$5:$A$523,MATCH(LARGE('Calc (scoring engine)'!$K$5:$K$523,9),'Calc (scoring engine)'!$K$5:$K$523,0)),"0")&amp;" HK Equity","PE_RATIO"),IF(INDEX(Database!$BI$5:$BI$523,MATCH(LARGE('Calc (scoring engine)'!$K$5:$K$523,9),'Calc (scoring engine)'!$K$5:$K$523,0))="","—",INDEX(Database!$BI$5:$BI$523,MATCH(LARGE('Calc (scoring engine)'!$K$5:$K$523,9),'Calc (scoring engine)'!$K$5:$K$523,0)))),""))</f>
        <v/>
      </c>
      <c r="BH29" s="24">
        <f>IF(OR(9&gt;MAX(3,MIN(15,N($D$18))),IFERROR(LARGE('Calc (scoring engine)'!$K$5:$K$523,9),-999999)&lt;=-900000),"",IFERROR(IFERROR(BDP(TEXT(INDEX(Database!$A$5:$A$523,MATCH(LARGE('Calc (scoring engine)'!$K$5:$K$523,9),'Calc (scoring engine)'!$K$5:$K$523,0)),"0")&amp;" HK Equity","PX_TO_SALES_RATIO"),IF(INDEX(Database!$BJ$5:$BJ$523,MATCH(LARGE('Calc (scoring engine)'!$K$5:$K$523,9),'Calc (scoring engine)'!$K$5:$K$523,0))="","—",INDEX(Database!$BJ$5:$BJ$523,MATCH(LARGE('Calc (scoring engine)'!$K$5:$K$523,9),'Calc (scoring engine)'!$K$5:$K$523,0)))),""))</f>
        <v/>
      </c>
      <c r="BI29" s="10">
        <f>IF(OR(9&gt;MAX(3,MIN(15,N($D$18))),IFERROR(LARGE('Calc (scoring engine)'!$K$5:$K$523,9),-999999)&lt;=-900000),"",IFERROR(IF(INDEX(Database!$BL$5:$BL$523,MATCH(LARGE('Calc (scoring engine)'!$K$5:$K$523,9),'Calc (scoring engine)'!$K$5:$K$523,0))="","—",INDEX(Database!$BL$5:$BL$523,MATCH(LARGE('Calc (scoring engine)'!$K$5:$K$523,9),'Calc (scoring engine)'!$K$5:$K$523,0))),""))</f>
        <v/>
      </c>
      <c r="BJ29" s="10">
        <f>IF(OR(9&gt;MAX(3,MIN(15,N($D$18))),IFERROR(LARGE('Calc (scoring engine)'!$K$5:$K$523,9),-999999)&lt;=-900000),"",IFERROR(IF(INDEX(Database!$BM$5:$BM$523,MATCH(LARGE('Calc (scoring engine)'!$K$5:$K$523,9),'Calc (scoring engine)'!$K$5:$K$523,0))="","—",INDEX(Database!$BM$5:$BM$523,MATCH(LARGE('Calc (scoring engine)'!$K$5:$K$523,9),'Calc (scoring engine)'!$K$5:$K$523,0))),""))</f>
        <v/>
      </c>
      <c r="BK29" s="23">
        <f>IF(OR(9&gt;MAX(3,MIN(15,N($D$18))),IFERROR(LARGE('Calc (scoring engine)'!$K$5:$K$523,9),-999999)&lt;=-900000),"",IFERROR(IF(INDEX(Database!$BN$5:$BN$523,MATCH(LARGE('Calc (scoring engine)'!$K$5:$K$523,9),'Calc (scoring engine)'!$K$5:$K$523,0))="","—",INDEX(Database!$BN$5:$BN$523,MATCH(LARGE('Calc (scoring engine)'!$K$5:$K$523,9),'Calc (scoring engine)'!$K$5:$K$523,0))),""))</f>
        <v/>
      </c>
      <c r="BL29" s="50">
        <f>IF(OR(9&gt;MAX(3,MIN(15,N($D$18))),IFERROR(LARGE('Calc (scoring engine)'!$K$5:$K$523,9),-999999)&lt;=-900000),"",IFERROR(IF(INDEX(Database!$BO$5:$BO$523,MATCH(LARGE('Calc (scoring engine)'!$K$5:$K$523,9),'Calc (scoring engine)'!$K$5:$K$523,0))="","—",INDEX(Database!$BO$5:$BO$523,MATCH(LARGE('Calc (scoring engine)'!$K$5:$K$523,9),'Calc (scoring engine)'!$K$5:$K$523,0))),""))</f>
        <v/>
      </c>
      <c r="BM29" s="54">
        <f>IF(OR(9&gt;MAX(3,MIN(15,N($D$18))),IFERROR(LARGE('Calc (scoring engine)'!$K$5:$K$523,9),-999999)&lt;=-900000),"",IFERROR(IF(INDEX(Database!$BP$5:$BP$523,MATCH(LARGE('Calc (scoring engine)'!$K$5:$K$523,9),'Calc (scoring engine)'!$K$5:$K$523,0))="","—",INDEX(Database!$BP$5:$BP$523,MATCH(LARGE('Calc (scoring engine)'!$K$5:$K$523,9),'Calc (scoring engine)'!$K$5:$K$523,0))),""))</f>
        <v/>
      </c>
      <c r="BN29" s="19">
        <f>IF(OR(9&gt;MAX(3,MIN(15,N($D$18))),IFERROR(LARGE('Calc (scoring engine)'!$K$5:$K$523,9),-999999)&lt;=-900000),"",IFERROR(IF(INDEX(Database!$BQ$5:$BQ$523,MATCH(LARGE('Calc (scoring engine)'!$K$5:$K$523,9),'Calc (scoring engine)'!$K$5:$K$523,0))="","—",INDEX(Database!$BQ$5:$BQ$523,MATCH(LARGE('Calc (scoring engine)'!$K$5:$K$523,9),'Calc (scoring engine)'!$K$5:$K$523,0))),""))</f>
        <v/>
      </c>
      <c r="BO29" s="24">
        <f>IF(OR(9&gt;MAX(3,MIN(15,N($D$18))),IFERROR(LARGE('Calc (scoring engine)'!$K$5:$K$523,9),-999999)&lt;=-900000),"",IFERROR(IF(INDEX(Database!$BR$5:$BR$523,MATCH(LARGE('Calc (scoring engine)'!$K$5:$K$523,9),'Calc (scoring engine)'!$K$5:$K$523,0))="","—",INDEX(Database!$BR$5:$BR$523,MATCH(LARGE('Calc (scoring engine)'!$K$5:$K$523,9),'Calc (scoring engine)'!$K$5:$K$523,0))),""))</f>
        <v/>
      </c>
      <c r="BP29" s="24">
        <f>IF(OR(9&gt;MAX(3,MIN(15,N($D$18))),IFERROR(LARGE('Calc (scoring engine)'!$K$5:$K$523,9),-999999)&lt;=-900000),"",IFERROR(IF(INDEX(Database!$BS$5:$BS$523,MATCH(LARGE('Calc (scoring engine)'!$K$5:$K$523,9),'Calc (scoring engine)'!$K$5:$K$523,0))="","—",INDEX(Database!$BS$5:$BS$523,MATCH(LARGE('Calc (scoring engine)'!$K$5:$K$523,9),'Calc (scoring engine)'!$K$5:$K$523,0))),""))</f>
        <v/>
      </c>
      <c r="BQ29" s="10">
        <f>IF(OR(9&gt;MAX(3,MIN(15,N($D$18))),IFERROR(LARGE('Calc (scoring engine)'!$K$5:$K$523,9),-999999)&lt;=-900000),"",IFERROR(IF(INDEX(Database!$BT$5:$BT$523,MATCH(LARGE('Calc (scoring engine)'!$K$5:$K$523,9),'Calc (scoring engine)'!$K$5:$K$523,0))="","—",INDEX(Database!$BT$5:$BT$523,MATCH(LARGE('Calc (scoring engine)'!$K$5:$K$523,9),'Calc (scoring engine)'!$K$5:$K$523,0))),""))</f>
        <v/>
      </c>
      <c r="BR29" s="10">
        <f>IF(OR(9&gt;MAX(3,MIN(15,N($D$18))),IFERROR(LARGE('Calc (scoring engine)'!$K$5:$K$523,9),-999999)&lt;=-900000),"",IFERROR(IF(INDEX(Database!$BV$5:$BV$523,MATCH(LARGE('Calc (scoring engine)'!$K$5:$K$523,9),'Calc (scoring engine)'!$K$5:$K$523,0))="","—",INDEX(Database!$BV$5:$BV$523,MATCH(LARGE('Calc (scoring engine)'!$K$5:$K$523,9),'Calc (scoring engine)'!$K$5:$K$523,0))),""))</f>
        <v/>
      </c>
      <c r="BS29" s="53">
        <f>IF(OR(9&gt;MAX(3,MIN(15,N($D$18))),IFERROR(LARGE('Calc (scoring engine)'!$K$5:$K$523,9),-999999)&lt;=-900000),"",IFERROR(IF(INDEX('Calc (scoring engine)'!$H$5:$H$523,MATCH(LARGE('Calc (scoring engine)'!$K$5:$K$523,9),'Calc (scoring engine)'!$K$5:$K$523,0))&gt;0,INDEX('Calc (scoring engine)'!$H$5:$H$523,MATCH(LARGE('Calc (scoring engine)'!$K$5:$K$523,9),'Calc (scoring engine)'!$K$5:$K$523,0)),""),""))</f>
        <v/>
      </c>
      <c r="BT29" s="10">
        <f>IF(OR(9&gt;MAX(3,MIN(15,N($D$18))),IFERROR(LARGE('Calc (scoring engine)'!$K$5:$K$523,9),-999999)&lt;=-900000),"",IF(IFERROR(INDEX('Calc (scoring engine)'!$B$5:$B$523,MATCH(LARGE('Calc (scoring engine)'!$K$5:$K$523,9),'Calc (scoring engine)'!$K$5:$K$523,0)),0)=1,"same subsector","sector only"))</f>
        <v/>
      </c>
      <c r="BU29" s="53">
        <f>IF(OR(9&gt;MAX(3,MIN(15,N($D$18))),IFERROR(LARGE('Calc (scoring engine)'!$K$5:$K$523,9),-999999)&lt;=-900000),"",ROUND(IFERROR(LARGE('Calc (scoring engine)'!$K$5:$K$523,9),0),0))</f>
        <v/>
      </c>
      <c r="BV29" s="10">
        <f>IF(OR(9&gt;MAX(3,MIN(15,N($D$18))),IFERROR(LARGE('Calc (scoring engine)'!$K$5:$K$523,9),-999999)&lt;=-900000),"",IFERROR("sub "&amp;INDEX('Calc (scoring engine)'!$B$5:$B$523,MATCH(LARGE('Calc (scoring engine)'!$K$5:$K$523,9),'Calc (scoring engine)'!$K$5:$K$523,0))*W_SUB&amp;" + size "&amp;ROUND(INDEX('Calc (scoring engine)'!$D$5:$D$523,MATCH(LARGE('Calc (scoring engine)'!$K$5:$K$523,9),'Calc (scoring engine)'!$K$5:$K$523,0))*W_SIZE,0)&amp;" + prof "&amp;INDEX('Calc (scoring engine)'!$E$5:$E$523,MATCH(LARGE('Calc (scoring engine)'!$K$5:$K$523,9),'Calc (scoring engine)'!$K$5:$K$523,0))*W_PROF&amp;" + recency "&amp;ROUND(INDEX('Calc (scoring engine)'!$G$5:$G$523,MATCH(LARGE('Calc (scoring engine)'!$K$5:$K$523,9),'Calc (scoring engine)'!$K$5:$K$523,0))*W_REC,0)&amp;IF(INDEX('Calc (scoring engine)'!$H$5:$H$523,MATCH(LARGE('Calc (scoring engine)'!$K$5:$K$523,9),'Calc (scoring engine)'!$K$5:$K$523,0))&gt;0," + shared CS x"&amp;INDEX('Calc (scoring engine)'!$H$5:$H$523,MATCH(LARGE('Calc (scoring engine)'!$K$5:$K$523,9),'Calc (scoring engine)'!$K$5:$K$523,0)),""),""))</f>
        <v/>
      </c>
    </row>
    <row r="30">
      <c r="A30" s="48">
        <f>IF(OR(10&gt;MAX(3,MIN(15,N($D$18))),IFERROR(LARGE('Calc (scoring engine)'!$K$5:$K$523,10),-999999)&lt;=-900000),"",10)</f>
        <v/>
      </c>
      <c r="B30" s="10">
        <f>IF(OR(10&gt;MAX(3,MIN(15,N($D$18))),IFERROR(LARGE('Calc (scoring engine)'!$K$5:$K$523,10),-999999)&lt;=-900000),"",IFERROR(IF(INDEX(Database!$B$5:$B$523,MATCH(LARGE('Calc (scoring engine)'!$K$5:$K$523,10),'Calc (scoring engine)'!$K$5:$K$523,0))="","—",INDEX(Database!$B$5:$B$523,MATCH(LARGE('Calc (scoring engine)'!$K$5:$K$523,10),'Calc (scoring engine)'!$K$5:$K$523,0))),""))</f>
        <v/>
      </c>
      <c r="C30" s="49">
        <f>IF(OR(10&gt;MAX(3,MIN(15,N($D$18))),IFERROR(LARGE('Calc (scoring engine)'!$K$5:$K$523,10),-999999)&lt;=-900000),"",IFERROR(IF(INDEX(Database!$A$5:$A$523,MATCH(LARGE('Calc (scoring engine)'!$K$5:$K$523,10),'Calc (scoring engine)'!$K$5:$K$523,0))="","—",INDEX(Database!$A$5:$A$523,MATCH(LARGE('Calc (scoring engine)'!$K$5:$K$523,10),'Calc (scoring engine)'!$K$5:$K$523,0))),""))</f>
        <v/>
      </c>
      <c r="D30" s="10">
        <f>IF(OR(10&gt;MAX(3,MIN(15,N($D$18))),IFERROR(LARGE('Calc (scoring engine)'!$K$5:$K$523,10),-999999)&lt;=-900000),"",IFERROR(IF(INDEX(Database!$D$5:$D$523,MATCH(LARGE('Calc (scoring engine)'!$K$5:$K$523,10),'Calc (scoring engine)'!$K$5:$K$523,0))="","—",INDEX(Database!$D$5:$D$523,MATCH(LARGE('Calc (scoring engine)'!$K$5:$K$523,10),'Calc (scoring engine)'!$K$5:$K$523,0))),""))</f>
        <v/>
      </c>
      <c r="E30" s="10">
        <f>IF(OR(10&gt;MAX(3,MIN(15,N($D$18))),IFERROR(LARGE('Calc (scoring engine)'!$K$5:$K$523,10),-999999)&lt;=-900000),"",IFERROR(IF(INDEX(Database!$E$5:$E$523,MATCH(LARGE('Calc (scoring engine)'!$K$5:$K$523,10),'Calc (scoring engine)'!$K$5:$K$523,0))="","—",INDEX(Database!$E$5:$E$523,MATCH(LARGE('Calc (scoring engine)'!$K$5:$K$523,10),'Calc (scoring engine)'!$K$5:$K$523,0))),""))</f>
        <v/>
      </c>
      <c r="F30" s="10">
        <f>IF(OR(10&gt;MAX(3,MIN(15,N($D$18))),IFERROR(LARGE('Calc (scoring engine)'!$K$5:$K$523,10),-999999)&lt;=-900000),"",IFERROR(IF(INDEX(Database!$F$5:$F$523,MATCH(LARGE('Calc (scoring engine)'!$K$5:$K$523,10),'Calc (scoring engine)'!$K$5:$K$523,0))="","—",INDEX(Database!$F$5:$F$523,MATCH(LARGE('Calc (scoring engine)'!$K$5:$K$523,10),'Calc (scoring engine)'!$K$5:$K$523,0))),""))</f>
        <v/>
      </c>
      <c r="G30" s="10">
        <f>IF(OR(10&gt;MAX(3,MIN(15,N($D$18))),IFERROR(LARGE('Calc (scoring engine)'!$K$5:$K$523,10),-999999)&lt;=-900000),"",IFERROR(IF(INDEX(Database!$G$5:$G$523,MATCH(LARGE('Calc (scoring engine)'!$K$5:$K$523,10),'Calc (scoring engine)'!$K$5:$K$523,0))="","—",INDEX(Database!$G$5:$G$523,MATCH(LARGE('Calc (scoring engine)'!$K$5:$K$523,10),'Calc (scoring engine)'!$K$5:$K$523,0))),""))</f>
        <v/>
      </c>
      <c r="H30" s="21">
        <f>IF(OR(10&gt;MAX(3,MIN(15,N($D$18))),IFERROR(LARGE('Calc (scoring engine)'!$K$5:$K$523,10),-999999)&lt;=-900000),"",IFERROR(IF(INDEX(Database!$H$5:$H$523,MATCH(LARGE('Calc (scoring engine)'!$K$5:$K$523,10),'Calc (scoring engine)'!$K$5:$K$523,0))="","—",INDEX(Database!$H$5:$H$523,MATCH(LARGE('Calc (scoring engine)'!$K$5:$K$523,10),'Calc (scoring engine)'!$K$5:$K$523,0))),""))</f>
        <v/>
      </c>
      <c r="I30" s="19">
        <f>IF(OR(10&gt;MAX(3,MIN(15,N($D$18))),IFERROR(LARGE('Calc (scoring engine)'!$K$5:$K$523,10),-999999)&lt;=-900000),"",IFERROR(IF(INDEX(Database!$I$5:$I$523,MATCH(LARGE('Calc (scoring engine)'!$K$5:$K$523,10),'Calc (scoring engine)'!$K$5:$K$523,0))="","—",INDEX(Database!$I$5:$I$523,MATCH(LARGE('Calc (scoring engine)'!$K$5:$K$523,10),'Calc (scoring engine)'!$K$5:$K$523,0))),""))</f>
        <v/>
      </c>
      <c r="J30" s="50">
        <f>IF(OR(10&gt;MAX(3,MIN(15,N($D$18))),IFERROR(LARGE('Calc (scoring engine)'!$K$5:$K$523,10),-999999)&lt;=-900000),"",IFERROR(IF(INDEX(Database!$K$5:$K$523,MATCH(LARGE('Calc (scoring engine)'!$K$5:$K$523,10),'Calc (scoring engine)'!$K$5:$K$523,0))="","—",INDEX(Database!$K$5:$K$523,MATCH(LARGE('Calc (scoring engine)'!$K$5:$K$523,10),'Calc (scoring engine)'!$K$5:$K$523,0))),""))</f>
        <v/>
      </c>
      <c r="K30" s="50">
        <f>IF(OR(10&gt;MAX(3,MIN(15,N($D$18))),IFERROR(LARGE('Calc (scoring engine)'!$K$5:$K$523,10),-999999)&lt;=-900000),"",IFERROR(IF(INDEX(Database!$L$5:$L$523,MATCH(LARGE('Calc (scoring engine)'!$K$5:$K$523,10),'Calc (scoring engine)'!$K$5:$K$523,0))="","—",INDEX(Database!$L$5:$L$523,MATCH(LARGE('Calc (scoring engine)'!$K$5:$K$523,10),'Calc (scoring engine)'!$K$5:$K$523,0))),""))</f>
        <v/>
      </c>
      <c r="L30" s="50">
        <f>IF(OR(10&gt;MAX(3,MIN(15,N($D$18))),IFERROR(LARGE('Calc (scoring engine)'!$K$5:$K$523,10),-999999)&lt;=-900000),"",IFERROR(IF(INDEX(Database!$M$5:$M$523,MATCH(LARGE('Calc (scoring engine)'!$K$5:$K$523,10),'Calc (scoring engine)'!$K$5:$K$523,0))="","—",INDEX(Database!$M$5:$M$523,MATCH(LARGE('Calc (scoring engine)'!$K$5:$K$523,10),'Calc (scoring engine)'!$K$5:$K$523,0))),""))</f>
        <v/>
      </c>
      <c r="M30" s="10">
        <f>IF(OR(10&gt;MAX(3,MIN(15,N($D$18))),IFERROR(LARGE('Calc (scoring engine)'!$K$5:$K$523,10),-999999)&lt;=-900000),"",IFERROR(IF(INDEX(Database!$N$5:$N$523,MATCH(LARGE('Calc (scoring engine)'!$K$5:$K$523,10),'Calc (scoring engine)'!$K$5:$K$523,0))="","—",INDEX(Database!$N$5:$N$523,MATCH(LARGE('Calc (scoring engine)'!$K$5:$K$523,10),'Calc (scoring engine)'!$K$5:$K$523,0))),""))</f>
        <v/>
      </c>
      <c r="N30" s="31">
        <f>IF(OR(10&gt;MAX(3,MIN(15,N($D$18))),IFERROR(LARGE('Calc (scoring engine)'!$K$5:$K$523,10),-999999)&lt;=-900000),"",IFERROR(IF(INDEX(Database!$O$5:$O$523,MATCH(LARGE('Calc (scoring engine)'!$K$5:$K$523,10),'Calc (scoring engine)'!$K$5:$K$523,0))="","—",INDEX(Database!$O$5:$O$523,MATCH(LARGE('Calc (scoring engine)'!$K$5:$K$523,10),'Calc (scoring engine)'!$K$5:$K$523,0))),""))</f>
        <v/>
      </c>
      <c r="O30" s="31">
        <f>IF(OR(10&gt;MAX(3,MIN(15,N($D$18))),IFERROR(LARGE('Calc (scoring engine)'!$K$5:$K$523,10),-999999)&lt;=-900000),"",IFERROR(IF(INDEX(Database!$P$5:$P$523,MATCH(LARGE('Calc (scoring engine)'!$K$5:$K$523,10),'Calc (scoring engine)'!$K$5:$K$523,0))="","—",INDEX(Database!$P$5:$P$523,MATCH(LARGE('Calc (scoring engine)'!$K$5:$K$523,10),'Calc (scoring engine)'!$K$5:$K$523,0))),""))</f>
        <v/>
      </c>
      <c r="P30" s="19">
        <f>IF(OR(10&gt;MAX(3,MIN(15,N($D$18))),IFERROR(LARGE('Calc (scoring engine)'!$K$5:$K$523,10),-999999)&lt;=-900000),"",IFERROR(IF(INDEX(Database!$Q$5:$Q$523,MATCH(LARGE('Calc (scoring engine)'!$K$5:$K$523,10),'Calc (scoring engine)'!$K$5:$K$523,0))="","—",INDEX(Database!$Q$5:$Q$523,MATCH(LARGE('Calc (scoring engine)'!$K$5:$K$523,10),'Calc (scoring engine)'!$K$5:$K$523,0))),""))</f>
        <v/>
      </c>
      <c r="Q30" s="26">
        <f>IF(OR(10&gt;MAX(3,MIN(15,N($D$18))),IFERROR(LARGE('Calc (scoring engine)'!$K$5:$K$523,10),-999999)&lt;=-900000),"",IFERROR(IF(INDEX(Database!$S$5:$S$523,MATCH(LARGE('Calc (scoring engine)'!$K$5:$K$523,10),'Calc (scoring engine)'!$K$5:$K$523,0))="","—",INDEX(Database!$S$5:$S$523,MATCH(LARGE('Calc (scoring engine)'!$K$5:$K$523,10),'Calc (scoring engine)'!$K$5:$K$523,0))),""))</f>
        <v/>
      </c>
      <c r="R30" s="51">
        <f>IF(OR(10&gt;MAX(3,MIN(15,N($D$18))),IFERROR(LARGE('Calc (scoring engine)'!$K$5:$K$523,10),-999999)&lt;=-900000),"",IFERROR(IF(INDEX(Database!$T$5:$T$523,MATCH(LARGE('Calc (scoring engine)'!$K$5:$K$523,10),'Calc (scoring engine)'!$K$5:$K$523,0))="","—",INDEX(Database!$T$5:$T$523,MATCH(LARGE('Calc (scoring engine)'!$K$5:$K$523,10),'Calc (scoring engine)'!$K$5:$K$523,0))),""))</f>
        <v/>
      </c>
      <c r="S30" s="52">
        <f>IF(OR(10&gt;MAX(3,MIN(15,N($D$18))),IFERROR(LARGE('Calc (scoring engine)'!$K$5:$K$523,10),-999999)&lt;=-900000),"",IFERROR(IF(INDEX(Database!$U$5:$U$523,MATCH(LARGE('Calc (scoring engine)'!$K$5:$K$523,10),'Calc (scoring engine)'!$K$5:$K$523,0))="","—",INDEX(Database!$U$5:$U$523,MATCH(LARGE('Calc (scoring engine)'!$K$5:$K$523,10),'Calc (scoring engine)'!$K$5:$K$523,0))),""))</f>
        <v/>
      </c>
      <c r="T30" s="53">
        <f>IF(OR(10&gt;MAX(3,MIN(15,N($D$18))),IFERROR(LARGE('Calc (scoring engine)'!$K$5:$K$523,10),-999999)&lt;=-900000),"",IFERROR(IF(INDEX(Database!$V$5:$V$523,MATCH(LARGE('Calc (scoring engine)'!$K$5:$K$523,10),'Calc (scoring engine)'!$K$5:$K$523,0))="","—",INDEX(Database!$V$5:$V$523,MATCH(LARGE('Calc (scoring engine)'!$K$5:$K$523,10),'Calc (scoring engine)'!$K$5:$K$523,0))),""))</f>
        <v/>
      </c>
      <c r="U30" s="31">
        <f>IF(OR(10&gt;MAX(3,MIN(15,N($D$18))),IFERROR(LARGE('Calc (scoring engine)'!$K$5:$K$523,10),-999999)&lt;=-900000),"",IFERROR(IF(INDEX(Database!$W$5:$W$523,MATCH(LARGE('Calc (scoring engine)'!$K$5:$K$523,10),'Calc (scoring engine)'!$K$5:$K$523,0))="","—",INDEX(Database!$W$5:$W$523,MATCH(LARGE('Calc (scoring engine)'!$K$5:$K$523,10),'Calc (scoring engine)'!$K$5:$K$523,0))),""))</f>
        <v/>
      </c>
      <c r="V30" s="10">
        <f>IF(OR(10&gt;MAX(3,MIN(15,N($D$18))),IFERROR(LARGE('Calc (scoring engine)'!$K$5:$K$523,10),-999999)&lt;=-900000),"",IFERROR(IF(INDEX(Database!$X$5:$X$523,MATCH(LARGE('Calc (scoring engine)'!$K$5:$K$523,10),'Calc (scoring engine)'!$K$5:$K$523,0))="","—",INDEX(Database!$X$5:$X$523,MATCH(LARGE('Calc (scoring engine)'!$K$5:$K$523,10),'Calc (scoring engine)'!$K$5:$K$523,0))),""))</f>
        <v/>
      </c>
      <c r="W30" s="19">
        <f>IF(OR(10&gt;MAX(3,MIN(15,N($D$18))),IFERROR(LARGE('Calc (scoring engine)'!$K$5:$K$523,10),-999999)&lt;=-900000),"",IFERROR(IF(INDEX(Database!$Y$5:$Y$523,MATCH(LARGE('Calc (scoring engine)'!$K$5:$K$523,10),'Calc (scoring engine)'!$K$5:$K$523,0))="","—",INDEX(Database!$Y$5:$Y$523,MATCH(LARGE('Calc (scoring engine)'!$K$5:$K$523,10),'Calc (scoring engine)'!$K$5:$K$523,0))),""))</f>
        <v/>
      </c>
      <c r="X30" s="19">
        <f>IF(OR(10&gt;MAX(3,MIN(15,N($D$18))),IFERROR(LARGE('Calc (scoring engine)'!$K$5:$K$523,10),-999999)&lt;=-900000),"",IFERROR(IF(INDEX(Database!$Z$5:$Z$523,MATCH(LARGE('Calc (scoring engine)'!$K$5:$K$523,10),'Calc (scoring engine)'!$K$5:$K$523,0))="","—",INDEX(Database!$Z$5:$Z$523,MATCH(LARGE('Calc (scoring engine)'!$K$5:$K$523,10),'Calc (scoring engine)'!$K$5:$K$523,0))),""))</f>
        <v/>
      </c>
      <c r="Y30" s="31">
        <f>IF(OR(10&gt;MAX(3,MIN(15,N($D$18))),IFERROR(LARGE('Calc (scoring engine)'!$K$5:$K$523,10),-999999)&lt;=-900000),"",IFERROR(IF(INDEX(Database!$AA$5:$AA$523,MATCH(LARGE('Calc (scoring engine)'!$K$5:$K$523,10),'Calc (scoring engine)'!$K$5:$K$523,0))="","—",INDEX(Database!$AA$5:$AA$523,MATCH(LARGE('Calc (scoring engine)'!$K$5:$K$523,10),'Calc (scoring engine)'!$K$5:$K$523,0))),""))</f>
        <v/>
      </c>
      <c r="Z30" s="10">
        <f>IF(OR(10&gt;MAX(3,MIN(15,N($D$18))),IFERROR(LARGE('Calc (scoring engine)'!$K$5:$K$523,10),-999999)&lt;=-900000),"",IFERROR(IF(INDEX(Database!$AB$5:$AB$523,MATCH(LARGE('Calc (scoring engine)'!$K$5:$K$523,10),'Calc (scoring engine)'!$K$5:$K$523,0))="","—",INDEX(Database!$AB$5:$AB$523,MATCH(LARGE('Calc (scoring engine)'!$K$5:$K$523,10),'Calc (scoring engine)'!$K$5:$K$523,0))),""))</f>
        <v/>
      </c>
      <c r="AA30" s="31">
        <f>IF(OR(10&gt;MAX(3,MIN(15,N($D$18))),IFERROR(LARGE('Calc (scoring engine)'!$K$5:$K$523,10),-999999)&lt;=-900000),"",IFERROR(IF(INDEX(Database!$AD$5:$AD$523,MATCH(LARGE('Calc (scoring engine)'!$K$5:$K$523,10),'Calc (scoring engine)'!$K$5:$K$523,0))="","—",INDEX(Database!$AD$5:$AD$523,MATCH(LARGE('Calc (scoring engine)'!$K$5:$K$523,10),'Calc (scoring engine)'!$K$5:$K$523,0))),""))</f>
        <v/>
      </c>
      <c r="AB30" s="10">
        <f>IF(OR(10&gt;MAX(3,MIN(15,N($D$18))),IFERROR(LARGE('Calc (scoring engine)'!$K$5:$K$523,10),-999999)&lt;=-900000),"",IFERROR(IF(INDEX(Database!$AE$5:$AE$523,MATCH(LARGE('Calc (scoring engine)'!$K$5:$K$523,10),'Calc (scoring engine)'!$K$5:$K$523,0))="","—",INDEX(Database!$AE$5:$AE$523,MATCH(LARGE('Calc (scoring engine)'!$K$5:$K$523,10),'Calc (scoring engine)'!$K$5:$K$523,0))),""))</f>
        <v/>
      </c>
      <c r="AC30" s="10">
        <f>IF(OR(10&gt;MAX(3,MIN(15,N($D$18))),IFERROR(LARGE('Calc (scoring engine)'!$K$5:$K$523,10),-999999)&lt;=-900000),"",IFERROR(IF(INDEX(Database!$AF$5:$AF$523,MATCH(LARGE('Calc (scoring engine)'!$K$5:$K$523,10),'Calc (scoring engine)'!$K$5:$K$523,0))="","—",INDEX(Database!$AF$5:$AF$523,MATCH(LARGE('Calc (scoring engine)'!$K$5:$K$523,10),'Calc (scoring engine)'!$K$5:$K$523,0))),""))</f>
        <v/>
      </c>
      <c r="AD30" s="10">
        <f>IF(OR(10&gt;MAX(3,MIN(15,N($D$18))),IFERROR(LARGE('Calc (scoring engine)'!$K$5:$K$523,10),-999999)&lt;=-900000),"",IFERROR(IF(INDEX(Database!$AG$5:$AG$523,MATCH(LARGE('Calc (scoring engine)'!$K$5:$K$523,10),'Calc (scoring engine)'!$K$5:$K$523,0))="","—",INDEX(Database!$AG$5:$AG$523,MATCH(LARGE('Calc (scoring engine)'!$K$5:$K$523,10),'Calc (scoring engine)'!$K$5:$K$523,0))),""))</f>
        <v/>
      </c>
      <c r="AE30" s="10">
        <f>IF(OR(10&gt;MAX(3,MIN(15,N($D$18))),IFERROR(LARGE('Calc (scoring engine)'!$K$5:$K$523,10),-999999)&lt;=-900000),"",IFERROR(IF(INDEX(Database!$AH$5:$AH$523,MATCH(LARGE('Calc (scoring engine)'!$K$5:$K$523,10),'Calc (scoring engine)'!$K$5:$K$523,0))="","—",INDEX(Database!$AH$5:$AH$523,MATCH(LARGE('Calc (scoring engine)'!$K$5:$K$523,10),'Calc (scoring engine)'!$K$5:$K$523,0))),""))</f>
        <v/>
      </c>
      <c r="AF30" s="23">
        <f>IF(OR(10&gt;MAX(3,MIN(15,N($D$18))),IFERROR(LARGE('Calc (scoring engine)'!$K$5:$K$523,10),-999999)&lt;=-900000),"",IFERROR(IF(INDEX(Database!$AI$5:$AI$523,MATCH(LARGE('Calc (scoring engine)'!$K$5:$K$523,10),'Calc (scoring engine)'!$K$5:$K$523,0))="","—",INDEX(Database!$AI$5:$AI$523,MATCH(LARGE('Calc (scoring engine)'!$K$5:$K$523,10),'Calc (scoring engine)'!$K$5:$K$523,0))),""))</f>
        <v/>
      </c>
      <c r="AG30" s="23">
        <f>IF(OR(10&gt;MAX(3,MIN(15,N($D$18))),IFERROR(LARGE('Calc (scoring engine)'!$K$5:$K$523,10),-999999)&lt;=-900000),"",IFERROR(IF(INDEX(Database!$AJ$5:$AJ$523,MATCH(LARGE('Calc (scoring engine)'!$K$5:$K$523,10),'Calc (scoring engine)'!$K$5:$K$523,0))="","—",INDEX(Database!$AJ$5:$AJ$523,MATCH(LARGE('Calc (scoring engine)'!$K$5:$K$523,10),'Calc (scoring engine)'!$K$5:$K$523,0))),""))</f>
        <v/>
      </c>
      <c r="AH30" s="23">
        <f>IF(OR(10&gt;MAX(3,MIN(15,N($D$18))),IFERROR(LARGE('Calc (scoring engine)'!$K$5:$K$523,10),-999999)&lt;=-900000),"",IFERROR(IF(INDEX(Database!$AK$5:$AK$523,MATCH(LARGE('Calc (scoring engine)'!$K$5:$K$523,10),'Calc (scoring engine)'!$K$5:$K$523,0))="","—",INDEX(Database!$AK$5:$AK$523,MATCH(LARGE('Calc (scoring engine)'!$K$5:$K$523,10),'Calc (scoring engine)'!$K$5:$K$523,0))),""))</f>
        <v/>
      </c>
      <c r="AI30" s="23">
        <f>IF(OR(10&gt;MAX(3,MIN(15,N($D$18))),IFERROR(LARGE('Calc (scoring engine)'!$K$5:$K$523,10),-999999)&lt;=-900000),"",IFERROR(IF(INDEX(Database!$AL$5:$AL$523,MATCH(LARGE('Calc (scoring engine)'!$K$5:$K$523,10),'Calc (scoring engine)'!$K$5:$K$523,0))="","—",INDEX(Database!$AL$5:$AL$523,MATCH(LARGE('Calc (scoring engine)'!$K$5:$K$523,10),'Calc (scoring engine)'!$K$5:$K$523,0))),""))</f>
        <v/>
      </c>
      <c r="AJ30" s="24">
        <f>IF(OR(10&gt;MAX(3,MIN(15,N($D$18))),IFERROR(LARGE('Calc (scoring engine)'!$K$5:$K$523,10),-999999)&lt;=-900000),"",IFERROR(IF(INDEX(Database!$AM$5:$AM$523,MATCH(LARGE('Calc (scoring engine)'!$K$5:$K$523,10),'Calc (scoring engine)'!$K$5:$K$523,0))="","—",INDEX(Database!$AM$5:$AM$523,MATCH(LARGE('Calc (scoring engine)'!$K$5:$K$523,10),'Calc (scoring engine)'!$K$5:$K$523,0))),""))</f>
        <v/>
      </c>
      <c r="AK30" s="31">
        <f>IF(OR(10&gt;MAX(3,MIN(15,N($D$18))),IFERROR(LARGE('Calc (scoring engine)'!$K$5:$K$523,10),-999999)&lt;=-900000),"",IFERROR(IF(INDEX(Database!$AN$5:$AN$523,MATCH(LARGE('Calc (scoring engine)'!$K$5:$K$523,10),'Calc (scoring engine)'!$K$5:$K$523,0))="","—",INDEX(Database!$AN$5:$AN$523,MATCH(LARGE('Calc (scoring engine)'!$K$5:$K$523,10),'Calc (scoring engine)'!$K$5:$K$523,0))),""))</f>
        <v/>
      </c>
      <c r="AL30" s="23">
        <f>IF(OR(10&gt;MAX(3,MIN(15,N($D$18))),IFERROR(LARGE('Calc (scoring engine)'!$K$5:$K$523,10),-999999)&lt;=-900000),"",IFERROR(IF(INDEX(Database!$AO$5:$AO$523,MATCH(LARGE('Calc (scoring engine)'!$K$5:$K$523,10),'Calc (scoring engine)'!$K$5:$K$523,0))="","—",INDEX(Database!$AO$5:$AO$523,MATCH(LARGE('Calc (scoring engine)'!$K$5:$K$523,10),'Calc (scoring engine)'!$K$5:$K$523,0))),""))</f>
        <v/>
      </c>
      <c r="AM30" s="23">
        <f>IF(OR(10&gt;MAX(3,MIN(15,N($D$18))),IFERROR(LARGE('Calc (scoring engine)'!$K$5:$K$523,10),-999999)&lt;=-900000),"",IFERROR(IF(INDEX(Database!$AP$5:$AP$523,MATCH(LARGE('Calc (scoring engine)'!$K$5:$K$523,10),'Calc (scoring engine)'!$K$5:$K$523,0))="","—",INDEX(Database!$AP$5:$AP$523,MATCH(LARGE('Calc (scoring engine)'!$K$5:$K$523,10),'Calc (scoring engine)'!$K$5:$K$523,0))),""))</f>
        <v/>
      </c>
      <c r="AN30" s="23">
        <f>IF(OR(10&gt;MAX(3,MIN(15,N($D$18))),IFERROR(LARGE('Calc (scoring engine)'!$K$5:$K$523,10),-999999)&lt;=-900000),"",IFERROR(IF(INDEX(Database!$AQ$5:$AQ$523,MATCH(LARGE('Calc (scoring engine)'!$K$5:$K$523,10),'Calc (scoring engine)'!$K$5:$K$523,0))="","—",INDEX(Database!$AQ$5:$AQ$523,MATCH(LARGE('Calc (scoring engine)'!$K$5:$K$523,10),'Calc (scoring engine)'!$K$5:$K$523,0))),""))</f>
        <v/>
      </c>
      <c r="AO30" s="23">
        <f>IF(OR(10&gt;MAX(3,MIN(15,N($D$18))),IFERROR(LARGE('Calc (scoring engine)'!$K$5:$K$523,10),-999999)&lt;=-900000),"",IFERROR(IF(INDEX(Database!$AR$5:$AR$523,MATCH(LARGE('Calc (scoring engine)'!$K$5:$K$523,10),'Calc (scoring engine)'!$K$5:$K$523,0))="","—",INDEX(Database!$AR$5:$AR$523,MATCH(LARGE('Calc (scoring engine)'!$K$5:$K$523,10),'Calc (scoring engine)'!$K$5:$K$523,0))),""))</f>
        <v/>
      </c>
      <c r="AP30" s="23">
        <f>IF(OR(10&gt;MAX(3,MIN(15,N($D$18))),IFERROR(LARGE('Calc (scoring engine)'!$K$5:$K$523,10),-999999)&lt;=-900000),"",IFERROR(IF(INDEX(Database!$AS$5:$AS$523,MATCH(LARGE('Calc (scoring engine)'!$K$5:$K$523,10),'Calc (scoring engine)'!$K$5:$K$523,0))="","—",INDEX(Database!$AS$5:$AS$523,MATCH(LARGE('Calc (scoring engine)'!$K$5:$K$523,10),'Calc (scoring engine)'!$K$5:$K$523,0))),""))</f>
        <v/>
      </c>
      <c r="AQ30" s="23">
        <f>IF(OR(10&gt;MAX(3,MIN(15,N($D$18))),IFERROR(LARGE('Calc (scoring engine)'!$K$5:$K$523,10),-999999)&lt;=-900000),"",IFERROR(IF(INDEX(Database!$AT$5:$AT$523,MATCH(LARGE('Calc (scoring engine)'!$K$5:$K$523,10),'Calc (scoring engine)'!$K$5:$K$523,0))="","—",INDEX(Database!$AT$5:$AT$523,MATCH(LARGE('Calc (scoring engine)'!$K$5:$K$523,10),'Calc (scoring engine)'!$K$5:$K$523,0))),""))</f>
        <v/>
      </c>
      <c r="AR30" s="23">
        <f>IF(OR(10&gt;MAX(3,MIN(15,N($D$18))),IFERROR(LARGE('Calc (scoring engine)'!$K$5:$K$523,10),-999999)&lt;=-900000),"",IFERROR(IF(INDEX(Database!$AU$5:$AU$523,MATCH(LARGE('Calc (scoring engine)'!$K$5:$K$523,10),'Calc (scoring engine)'!$K$5:$K$523,0))="","—",INDEX(Database!$AU$5:$AU$523,MATCH(LARGE('Calc (scoring engine)'!$K$5:$K$523,10),'Calc (scoring engine)'!$K$5:$K$523,0))),""))</f>
        <v/>
      </c>
      <c r="AS30" s="23">
        <f>IF(OR(10&gt;MAX(3,MIN(15,N($D$18))),IFERROR(LARGE('Calc (scoring engine)'!$K$5:$K$523,10),-999999)&lt;=-900000),"",IFERROR(IF(INDEX(Database!$AV$5:$AV$523,MATCH(LARGE('Calc (scoring engine)'!$K$5:$K$523,10),'Calc (scoring engine)'!$K$5:$K$523,0))="","—",INDEX(Database!$AV$5:$AV$523,MATCH(LARGE('Calc (scoring engine)'!$K$5:$K$523,10),'Calc (scoring engine)'!$K$5:$K$523,0))),""))</f>
        <v/>
      </c>
      <c r="AT30" s="23">
        <f>IF(OR(10&gt;MAX(3,MIN(15,N($D$18))),IFERROR(LARGE('Calc (scoring engine)'!$K$5:$K$523,10),-999999)&lt;=-900000),"",IFERROR(IF(INDEX(Database!$AW$5:$AW$523,MATCH(LARGE('Calc (scoring engine)'!$K$5:$K$523,10),'Calc (scoring engine)'!$K$5:$K$523,0))="","—",INDEX(Database!$AW$5:$AW$523,MATCH(LARGE('Calc (scoring engine)'!$K$5:$K$523,10),'Calc (scoring engine)'!$K$5:$K$523,0))),""))</f>
        <v/>
      </c>
      <c r="AU30" s="23">
        <f>IF(OR(10&gt;MAX(3,MIN(15,N($D$18))),IFERROR(LARGE('Calc (scoring engine)'!$K$5:$K$523,10),-999999)&lt;=-900000),"",IFERROR(IF(INDEX(Database!$AX$5:$AX$523,MATCH(LARGE('Calc (scoring engine)'!$K$5:$K$523,10),'Calc (scoring engine)'!$K$5:$K$523,0))="","—",INDEX(Database!$AX$5:$AX$523,MATCH(LARGE('Calc (scoring engine)'!$K$5:$K$523,10),'Calc (scoring engine)'!$K$5:$K$523,0))),""))</f>
        <v/>
      </c>
      <c r="AV30" s="23">
        <f>IF(OR(10&gt;MAX(3,MIN(15,N($D$18))),IFERROR(LARGE('Calc (scoring engine)'!$K$5:$K$523,10),-999999)&lt;=-900000),"",IFERROR(IF(INDEX(Database!$AY$5:$AY$523,MATCH(LARGE('Calc (scoring engine)'!$K$5:$K$523,10),'Calc (scoring engine)'!$K$5:$K$523,0))="","—",INDEX(Database!$AY$5:$AY$523,MATCH(LARGE('Calc (scoring engine)'!$K$5:$K$523,10),'Calc (scoring engine)'!$K$5:$K$523,0))),""))</f>
        <v/>
      </c>
      <c r="AW30" s="23">
        <f>IF(OR(10&gt;MAX(3,MIN(15,N($D$18))),IFERROR(LARGE('Calc (scoring engine)'!$K$5:$K$523,10),-999999)&lt;=-900000),"",IFERROR(IF(INDEX(Database!$AZ$5:$AZ$523,MATCH(LARGE('Calc (scoring engine)'!$K$5:$K$523,10),'Calc (scoring engine)'!$K$5:$K$523,0))="","—",INDEX(Database!$AZ$5:$AZ$523,MATCH(LARGE('Calc (scoring engine)'!$K$5:$K$523,10),'Calc (scoring engine)'!$K$5:$K$523,0))),""))</f>
        <v/>
      </c>
      <c r="AX30" s="23">
        <f>IF(OR(10&gt;MAX(3,MIN(15,N($D$18))),IFERROR(LARGE('Calc (scoring engine)'!$K$5:$K$523,10),-999999)&lt;=-900000),"",IFERROR(IF(INDEX(Database!$BB$5:$BB$523,MATCH(LARGE('Calc (scoring engine)'!$K$5:$K$523,10),'Calc (scoring engine)'!$K$5:$K$523,0))="","—",INDEX(Database!$BB$5:$BB$523,MATCH(LARGE('Calc (scoring engine)'!$K$5:$K$523,10),'Calc (scoring engine)'!$K$5:$K$523,0))),""))</f>
        <v/>
      </c>
      <c r="AY30" s="19">
        <f>IF(OR(10&gt;MAX(3,MIN(15,N($D$18))),IFERROR(LARGE('Calc (scoring engine)'!$K$5:$K$523,10),-999999)&lt;=-900000),"",IFERROR(IF(INDEX(Database!$BD$5:$BD$523,MATCH(LARGE('Calc (scoring engine)'!$K$5:$K$523,10),'Calc (scoring engine)'!$K$5:$K$523,0))="","—",INDEX(Database!$BD$5:$BD$523,MATCH(LARGE('Calc (scoring engine)'!$K$5:$K$523,10),'Calc (scoring engine)'!$K$5:$K$523,0))),""))</f>
        <v/>
      </c>
      <c r="AZ30" s="19">
        <f>IF(OR(10&gt;MAX(3,MIN(15,N($D$18))),IFERROR(LARGE('Calc (scoring engine)'!$K$5:$K$523,10),-999999)&lt;=-900000),"",IFERROR(IF(INDEX(Database!$BE$5:$BE$523,MATCH(LARGE('Calc (scoring engine)'!$K$5:$K$523,10),'Calc (scoring engine)'!$K$5:$K$523,0))="","—",INDEX(Database!$BE$5:$BE$523,MATCH(LARGE('Calc (scoring engine)'!$K$5:$K$523,10),'Calc (scoring engine)'!$K$5:$K$523,0))),""))</f>
        <v/>
      </c>
      <c r="BA30" s="10">
        <f>IF(OR(10&gt;MAX(3,MIN(15,N($D$18))),IFERROR(LARGE('Calc (scoring engine)'!$K$5:$K$523,10),-999999)&lt;=-900000),"",IFERROR(IF(INDEX(Database!$BF$5:$BF$523,MATCH(LARGE('Calc (scoring engine)'!$K$5:$K$523,10),'Calc (scoring engine)'!$K$5:$K$523,0))="","—",INDEX(Database!$BF$5:$BF$523,MATCH(LARGE('Calc (scoring engine)'!$K$5:$K$523,10),'Calc (scoring engine)'!$K$5:$K$523,0))),""))</f>
        <v/>
      </c>
      <c r="BB30" s="24">
        <f>IF(OR(10&gt;MAX(3,MIN(15,N($D$18))),IFERROR(LARGE('Calc (scoring engine)'!$K$5:$K$523,10),-999999)&lt;=-900000),"",IFERROR(IF(N(INDEX(Database!$BG$5:$BG$523,MATCH(LARGE('Calc (scoring engine)'!$K$5:$K$523,10),'Calc (scoring engine)'!$K$5:$K$523,0)))&lt;=0,IF(INDEX(Database!$BF$5:$BF$523,MATCH(LARGE('Calc (scoring engine)'!$K$5:$K$523,10),'Calc (scoring engine)'!$K$5:$K$523,0))="N","n/m","—"),INDEX(Database!$BG$5:$BG$523,MATCH(LARGE('Calc (scoring engine)'!$K$5:$K$523,10),'Calc (scoring engine)'!$K$5:$K$523,0))),""))</f>
        <v/>
      </c>
      <c r="BC30" s="24">
        <f>IF(OR(10&gt;MAX(3,MIN(15,N($D$18))),IFERROR(LARGE('Calc (scoring engine)'!$K$5:$K$523,10),-999999)&lt;=-900000),"",IFERROR(IF(INDEX(Database!$BH$5:$BH$523,MATCH(LARGE('Calc (scoring engine)'!$K$5:$K$523,10),'Calc (scoring engine)'!$K$5:$K$523,0))="","—",INDEX(Database!$BH$5:$BH$523,MATCH(LARGE('Calc (scoring engine)'!$K$5:$K$523,10),'Calc (scoring engine)'!$K$5:$K$523,0))),""))</f>
        <v/>
      </c>
      <c r="BD30" s="24">
        <f>IF(OR(10&gt;MAX(3,MIN(15,N($D$18))),IFERROR(LARGE('Calc (scoring engine)'!$K$5:$K$523,10),-999999)&lt;=-900000),"",IFERROR(IF(INDEX(Database!$BI$5:$BI$523,MATCH(LARGE('Calc (scoring engine)'!$K$5:$K$523,10),'Calc (scoring engine)'!$K$5:$K$523,0))="","—",INDEX(Database!$BI$5:$BI$523,MATCH(LARGE('Calc (scoring engine)'!$K$5:$K$523,10),'Calc (scoring engine)'!$K$5:$K$523,0))),""))</f>
        <v/>
      </c>
      <c r="BE30" s="24">
        <f>IF(OR(10&gt;MAX(3,MIN(15,N($D$18))),IFERROR(LARGE('Calc (scoring engine)'!$K$5:$K$523,10),-999999)&lt;=-900000),"",IFERROR(IF(INDEX(Database!$BJ$5:$BJ$523,MATCH(LARGE('Calc (scoring engine)'!$K$5:$K$523,10),'Calc (scoring engine)'!$K$5:$K$523,0))="","—",INDEX(Database!$BJ$5:$BJ$523,MATCH(LARGE('Calc (scoring engine)'!$K$5:$K$523,10),'Calc (scoring engine)'!$K$5:$K$523,0))),""))</f>
        <v/>
      </c>
      <c r="BF30" s="24">
        <f>IF(OR(10&gt;MAX(3,MIN(15,N($D$18))),IFERROR(LARGE('Calc (scoring engine)'!$K$5:$K$523,10),-999999)&lt;=-900000),"",IFERROR(IF(INDEX(Database!$BK$5:$BK$523,MATCH(LARGE('Calc (scoring engine)'!$K$5:$K$523,10),'Calc (scoring engine)'!$K$5:$K$523,0))="","—",INDEX(Database!$BK$5:$BK$523,MATCH(LARGE('Calc (scoring engine)'!$K$5:$K$523,10),'Calc (scoring engine)'!$K$5:$K$523,0))),""))</f>
        <v/>
      </c>
      <c r="BG30" s="24">
        <f>IF(OR(10&gt;MAX(3,MIN(15,N($D$18))),IFERROR(LARGE('Calc (scoring engine)'!$K$5:$K$523,10),-999999)&lt;=-900000),"",IFERROR(IFERROR(BDP(TEXT(INDEX(Database!$A$5:$A$523,MATCH(LARGE('Calc (scoring engine)'!$K$5:$K$523,10),'Calc (scoring engine)'!$K$5:$K$523,0)),"0")&amp;" HK Equity","PE_RATIO"),IF(INDEX(Database!$BI$5:$BI$523,MATCH(LARGE('Calc (scoring engine)'!$K$5:$K$523,10),'Calc (scoring engine)'!$K$5:$K$523,0))="","—",INDEX(Database!$BI$5:$BI$523,MATCH(LARGE('Calc (scoring engine)'!$K$5:$K$523,10),'Calc (scoring engine)'!$K$5:$K$523,0)))),""))</f>
        <v/>
      </c>
      <c r="BH30" s="24">
        <f>IF(OR(10&gt;MAX(3,MIN(15,N($D$18))),IFERROR(LARGE('Calc (scoring engine)'!$K$5:$K$523,10),-999999)&lt;=-900000),"",IFERROR(IFERROR(BDP(TEXT(INDEX(Database!$A$5:$A$523,MATCH(LARGE('Calc (scoring engine)'!$K$5:$K$523,10),'Calc (scoring engine)'!$K$5:$K$523,0)),"0")&amp;" HK Equity","PX_TO_SALES_RATIO"),IF(INDEX(Database!$BJ$5:$BJ$523,MATCH(LARGE('Calc (scoring engine)'!$K$5:$K$523,10),'Calc (scoring engine)'!$K$5:$K$523,0))="","—",INDEX(Database!$BJ$5:$BJ$523,MATCH(LARGE('Calc (scoring engine)'!$K$5:$K$523,10),'Calc (scoring engine)'!$K$5:$K$523,0)))),""))</f>
        <v/>
      </c>
      <c r="BI30" s="10">
        <f>IF(OR(10&gt;MAX(3,MIN(15,N($D$18))),IFERROR(LARGE('Calc (scoring engine)'!$K$5:$K$523,10),-999999)&lt;=-900000),"",IFERROR(IF(INDEX(Database!$BL$5:$BL$523,MATCH(LARGE('Calc (scoring engine)'!$K$5:$K$523,10),'Calc (scoring engine)'!$K$5:$K$523,0))="","—",INDEX(Database!$BL$5:$BL$523,MATCH(LARGE('Calc (scoring engine)'!$K$5:$K$523,10),'Calc (scoring engine)'!$K$5:$K$523,0))),""))</f>
        <v/>
      </c>
      <c r="BJ30" s="10">
        <f>IF(OR(10&gt;MAX(3,MIN(15,N($D$18))),IFERROR(LARGE('Calc (scoring engine)'!$K$5:$K$523,10),-999999)&lt;=-900000),"",IFERROR(IF(INDEX(Database!$BM$5:$BM$523,MATCH(LARGE('Calc (scoring engine)'!$K$5:$K$523,10),'Calc (scoring engine)'!$K$5:$K$523,0))="","—",INDEX(Database!$BM$5:$BM$523,MATCH(LARGE('Calc (scoring engine)'!$K$5:$K$523,10),'Calc (scoring engine)'!$K$5:$K$523,0))),""))</f>
        <v/>
      </c>
      <c r="BK30" s="23">
        <f>IF(OR(10&gt;MAX(3,MIN(15,N($D$18))),IFERROR(LARGE('Calc (scoring engine)'!$K$5:$K$523,10),-999999)&lt;=-900000),"",IFERROR(IF(INDEX(Database!$BN$5:$BN$523,MATCH(LARGE('Calc (scoring engine)'!$K$5:$K$523,10),'Calc (scoring engine)'!$K$5:$K$523,0))="","—",INDEX(Database!$BN$5:$BN$523,MATCH(LARGE('Calc (scoring engine)'!$K$5:$K$523,10),'Calc (scoring engine)'!$K$5:$K$523,0))),""))</f>
        <v/>
      </c>
      <c r="BL30" s="50">
        <f>IF(OR(10&gt;MAX(3,MIN(15,N($D$18))),IFERROR(LARGE('Calc (scoring engine)'!$K$5:$K$523,10),-999999)&lt;=-900000),"",IFERROR(IF(INDEX(Database!$BO$5:$BO$523,MATCH(LARGE('Calc (scoring engine)'!$K$5:$K$523,10),'Calc (scoring engine)'!$K$5:$K$523,0))="","—",INDEX(Database!$BO$5:$BO$523,MATCH(LARGE('Calc (scoring engine)'!$K$5:$K$523,10),'Calc (scoring engine)'!$K$5:$K$523,0))),""))</f>
        <v/>
      </c>
      <c r="BM30" s="54">
        <f>IF(OR(10&gt;MAX(3,MIN(15,N($D$18))),IFERROR(LARGE('Calc (scoring engine)'!$K$5:$K$523,10),-999999)&lt;=-900000),"",IFERROR(IF(INDEX(Database!$BP$5:$BP$523,MATCH(LARGE('Calc (scoring engine)'!$K$5:$K$523,10),'Calc (scoring engine)'!$K$5:$K$523,0))="","—",INDEX(Database!$BP$5:$BP$523,MATCH(LARGE('Calc (scoring engine)'!$K$5:$K$523,10),'Calc (scoring engine)'!$K$5:$K$523,0))),""))</f>
        <v/>
      </c>
      <c r="BN30" s="19">
        <f>IF(OR(10&gt;MAX(3,MIN(15,N($D$18))),IFERROR(LARGE('Calc (scoring engine)'!$K$5:$K$523,10),-999999)&lt;=-900000),"",IFERROR(IF(INDEX(Database!$BQ$5:$BQ$523,MATCH(LARGE('Calc (scoring engine)'!$K$5:$K$523,10),'Calc (scoring engine)'!$K$5:$K$523,0))="","—",INDEX(Database!$BQ$5:$BQ$523,MATCH(LARGE('Calc (scoring engine)'!$K$5:$K$523,10),'Calc (scoring engine)'!$K$5:$K$523,0))),""))</f>
        <v/>
      </c>
      <c r="BO30" s="24">
        <f>IF(OR(10&gt;MAX(3,MIN(15,N($D$18))),IFERROR(LARGE('Calc (scoring engine)'!$K$5:$K$523,10),-999999)&lt;=-900000),"",IFERROR(IF(INDEX(Database!$BR$5:$BR$523,MATCH(LARGE('Calc (scoring engine)'!$K$5:$K$523,10),'Calc (scoring engine)'!$K$5:$K$523,0))="","—",INDEX(Database!$BR$5:$BR$523,MATCH(LARGE('Calc (scoring engine)'!$K$5:$K$523,10),'Calc (scoring engine)'!$K$5:$K$523,0))),""))</f>
        <v/>
      </c>
      <c r="BP30" s="24">
        <f>IF(OR(10&gt;MAX(3,MIN(15,N($D$18))),IFERROR(LARGE('Calc (scoring engine)'!$K$5:$K$523,10),-999999)&lt;=-900000),"",IFERROR(IF(INDEX(Database!$BS$5:$BS$523,MATCH(LARGE('Calc (scoring engine)'!$K$5:$K$523,10),'Calc (scoring engine)'!$K$5:$K$523,0))="","—",INDEX(Database!$BS$5:$BS$523,MATCH(LARGE('Calc (scoring engine)'!$K$5:$K$523,10),'Calc (scoring engine)'!$K$5:$K$523,0))),""))</f>
        <v/>
      </c>
      <c r="BQ30" s="10">
        <f>IF(OR(10&gt;MAX(3,MIN(15,N($D$18))),IFERROR(LARGE('Calc (scoring engine)'!$K$5:$K$523,10),-999999)&lt;=-900000),"",IFERROR(IF(INDEX(Database!$BT$5:$BT$523,MATCH(LARGE('Calc (scoring engine)'!$K$5:$K$523,10),'Calc (scoring engine)'!$K$5:$K$523,0))="","—",INDEX(Database!$BT$5:$BT$523,MATCH(LARGE('Calc (scoring engine)'!$K$5:$K$523,10),'Calc (scoring engine)'!$K$5:$K$523,0))),""))</f>
        <v/>
      </c>
      <c r="BR30" s="10">
        <f>IF(OR(10&gt;MAX(3,MIN(15,N($D$18))),IFERROR(LARGE('Calc (scoring engine)'!$K$5:$K$523,10),-999999)&lt;=-900000),"",IFERROR(IF(INDEX(Database!$BV$5:$BV$523,MATCH(LARGE('Calc (scoring engine)'!$K$5:$K$523,10),'Calc (scoring engine)'!$K$5:$K$523,0))="","—",INDEX(Database!$BV$5:$BV$523,MATCH(LARGE('Calc (scoring engine)'!$K$5:$K$523,10),'Calc (scoring engine)'!$K$5:$K$523,0))),""))</f>
        <v/>
      </c>
      <c r="BS30" s="53">
        <f>IF(OR(10&gt;MAX(3,MIN(15,N($D$18))),IFERROR(LARGE('Calc (scoring engine)'!$K$5:$K$523,10),-999999)&lt;=-900000),"",IFERROR(IF(INDEX('Calc (scoring engine)'!$H$5:$H$523,MATCH(LARGE('Calc (scoring engine)'!$K$5:$K$523,10),'Calc (scoring engine)'!$K$5:$K$523,0))&gt;0,INDEX('Calc (scoring engine)'!$H$5:$H$523,MATCH(LARGE('Calc (scoring engine)'!$K$5:$K$523,10),'Calc (scoring engine)'!$K$5:$K$523,0)),""),""))</f>
        <v/>
      </c>
      <c r="BT30" s="10">
        <f>IF(OR(10&gt;MAX(3,MIN(15,N($D$18))),IFERROR(LARGE('Calc (scoring engine)'!$K$5:$K$523,10),-999999)&lt;=-900000),"",IF(IFERROR(INDEX('Calc (scoring engine)'!$B$5:$B$523,MATCH(LARGE('Calc (scoring engine)'!$K$5:$K$523,10),'Calc (scoring engine)'!$K$5:$K$523,0)),0)=1,"same subsector","sector only"))</f>
        <v/>
      </c>
      <c r="BU30" s="53">
        <f>IF(OR(10&gt;MAX(3,MIN(15,N($D$18))),IFERROR(LARGE('Calc (scoring engine)'!$K$5:$K$523,10),-999999)&lt;=-900000),"",ROUND(IFERROR(LARGE('Calc (scoring engine)'!$K$5:$K$523,10),0),0))</f>
        <v/>
      </c>
      <c r="BV30" s="10">
        <f>IF(OR(10&gt;MAX(3,MIN(15,N($D$18))),IFERROR(LARGE('Calc (scoring engine)'!$K$5:$K$523,10),-999999)&lt;=-900000),"",IFERROR("sub "&amp;INDEX('Calc (scoring engine)'!$B$5:$B$523,MATCH(LARGE('Calc (scoring engine)'!$K$5:$K$523,10),'Calc (scoring engine)'!$K$5:$K$523,0))*W_SUB&amp;" + size "&amp;ROUND(INDEX('Calc (scoring engine)'!$D$5:$D$523,MATCH(LARGE('Calc (scoring engine)'!$K$5:$K$523,10),'Calc (scoring engine)'!$K$5:$K$523,0))*W_SIZE,0)&amp;" + prof "&amp;INDEX('Calc (scoring engine)'!$E$5:$E$523,MATCH(LARGE('Calc (scoring engine)'!$K$5:$K$523,10),'Calc (scoring engine)'!$K$5:$K$523,0))*W_PROF&amp;" + recency "&amp;ROUND(INDEX('Calc (scoring engine)'!$G$5:$G$523,MATCH(LARGE('Calc (scoring engine)'!$K$5:$K$523,10),'Calc (scoring engine)'!$K$5:$K$523,0))*W_REC,0)&amp;IF(INDEX('Calc (scoring engine)'!$H$5:$H$523,MATCH(LARGE('Calc (scoring engine)'!$K$5:$K$523,10),'Calc (scoring engine)'!$K$5:$K$523,0))&gt;0," + shared CS x"&amp;INDEX('Calc (scoring engine)'!$H$5:$H$523,MATCH(LARGE('Calc (scoring engine)'!$K$5:$K$523,10),'Calc (scoring engine)'!$K$5:$K$523,0)),""),""))</f>
        <v/>
      </c>
    </row>
    <row r="31">
      <c r="A31" s="48">
        <f>IF(OR(11&gt;MAX(3,MIN(15,N($D$18))),IFERROR(LARGE('Calc (scoring engine)'!$K$5:$K$523,11),-999999)&lt;=-900000),"",11)</f>
        <v/>
      </c>
      <c r="B31" s="10">
        <f>IF(OR(11&gt;MAX(3,MIN(15,N($D$18))),IFERROR(LARGE('Calc (scoring engine)'!$K$5:$K$523,11),-999999)&lt;=-900000),"",IFERROR(IF(INDEX(Database!$B$5:$B$523,MATCH(LARGE('Calc (scoring engine)'!$K$5:$K$523,11),'Calc (scoring engine)'!$K$5:$K$523,0))="","—",INDEX(Database!$B$5:$B$523,MATCH(LARGE('Calc (scoring engine)'!$K$5:$K$523,11),'Calc (scoring engine)'!$K$5:$K$523,0))),""))</f>
        <v/>
      </c>
      <c r="C31" s="49">
        <f>IF(OR(11&gt;MAX(3,MIN(15,N($D$18))),IFERROR(LARGE('Calc (scoring engine)'!$K$5:$K$523,11),-999999)&lt;=-900000),"",IFERROR(IF(INDEX(Database!$A$5:$A$523,MATCH(LARGE('Calc (scoring engine)'!$K$5:$K$523,11),'Calc (scoring engine)'!$K$5:$K$523,0))="","—",INDEX(Database!$A$5:$A$523,MATCH(LARGE('Calc (scoring engine)'!$K$5:$K$523,11),'Calc (scoring engine)'!$K$5:$K$523,0))),""))</f>
        <v/>
      </c>
      <c r="D31" s="10">
        <f>IF(OR(11&gt;MAX(3,MIN(15,N($D$18))),IFERROR(LARGE('Calc (scoring engine)'!$K$5:$K$523,11),-999999)&lt;=-900000),"",IFERROR(IF(INDEX(Database!$D$5:$D$523,MATCH(LARGE('Calc (scoring engine)'!$K$5:$K$523,11),'Calc (scoring engine)'!$K$5:$K$523,0))="","—",INDEX(Database!$D$5:$D$523,MATCH(LARGE('Calc (scoring engine)'!$K$5:$K$523,11),'Calc (scoring engine)'!$K$5:$K$523,0))),""))</f>
        <v/>
      </c>
      <c r="E31" s="10">
        <f>IF(OR(11&gt;MAX(3,MIN(15,N($D$18))),IFERROR(LARGE('Calc (scoring engine)'!$K$5:$K$523,11),-999999)&lt;=-900000),"",IFERROR(IF(INDEX(Database!$E$5:$E$523,MATCH(LARGE('Calc (scoring engine)'!$K$5:$K$523,11),'Calc (scoring engine)'!$K$5:$K$523,0))="","—",INDEX(Database!$E$5:$E$523,MATCH(LARGE('Calc (scoring engine)'!$K$5:$K$523,11),'Calc (scoring engine)'!$K$5:$K$523,0))),""))</f>
        <v/>
      </c>
      <c r="F31" s="10">
        <f>IF(OR(11&gt;MAX(3,MIN(15,N($D$18))),IFERROR(LARGE('Calc (scoring engine)'!$K$5:$K$523,11),-999999)&lt;=-900000),"",IFERROR(IF(INDEX(Database!$F$5:$F$523,MATCH(LARGE('Calc (scoring engine)'!$K$5:$K$523,11),'Calc (scoring engine)'!$K$5:$K$523,0))="","—",INDEX(Database!$F$5:$F$523,MATCH(LARGE('Calc (scoring engine)'!$K$5:$K$523,11),'Calc (scoring engine)'!$K$5:$K$523,0))),""))</f>
        <v/>
      </c>
      <c r="G31" s="10">
        <f>IF(OR(11&gt;MAX(3,MIN(15,N($D$18))),IFERROR(LARGE('Calc (scoring engine)'!$K$5:$K$523,11),-999999)&lt;=-900000),"",IFERROR(IF(INDEX(Database!$G$5:$G$523,MATCH(LARGE('Calc (scoring engine)'!$K$5:$K$523,11),'Calc (scoring engine)'!$K$5:$K$523,0))="","—",INDEX(Database!$G$5:$G$523,MATCH(LARGE('Calc (scoring engine)'!$K$5:$K$523,11),'Calc (scoring engine)'!$K$5:$K$523,0))),""))</f>
        <v/>
      </c>
      <c r="H31" s="21">
        <f>IF(OR(11&gt;MAX(3,MIN(15,N($D$18))),IFERROR(LARGE('Calc (scoring engine)'!$K$5:$K$523,11),-999999)&lt;=-900000),"",IFERROR(IF(INDEX(Database!$H$5:$H$523,MATCH(LARGE('Calc (scoring engine)'!$K$5:$K$523,11),'Calc (scoring engine)'!$K$5:$K$523,0))="","—",INDEX(Database!$H$5:$H$523,MATCH(LARGE('Calc (scoring engine)'!$K$5:$K$523,11),'Calc (scoring engine)'!$K$5:$K$523,0))),""))</f>
        <v/>
      </c>
      <c r="I31" s="19">
        <f>IF(OR(11&gt;MAX(3,MIN(15,N($D$18))),IFERROR(LARGE('Calc (scoring engine)'!$K$5:$K$523,11),-999999)&lt;=-900000),"",IFERROR(IF(INDEX(Database!$I$5:$I$523,MATCH(LARGE('Calc (scoring engine)'!$K$5:$K$523,11),'Calc (scoring engine)'!$K$5:$K$523,0))="","—",INDEX(Database!$I$5:$I$523,MATCH(LARGE('Calc (scoring engine)'!$K$5:$K$523,11),'Calc (scoring engine)'!$K$5:$K$523,0))),""))</f>
        <v/>
      </c>
      <c r="J31" s="50">
        <f>IF(OR(11&gt;MAX(3,MIN(15,N($D$18))),IFERROR(LARGE('Calc (scoring engine)'!$K$5:$K$523,11),-999999)&lt;=-900000),"",IFERROR(IF(INDEX(Database!$K$5:$K$523,MATCH(LARGE('Calc (scoring engine)'!$K$5:$K$523,11),'Calc (scoring engine)'!$K$5:$K$523,0))="","—",INDEX(Database!$K$5:$K$523,MATCH(LARGE('Calc (scoring engine)'!$K$5:$K$523,11),'Calc (scoring engine)'!$K$5:$K$523,0))),""))</f>
        <v/>
      </c>
      <c r="K31" s="50">
        <f>IF(OR(11&gt;MAX(3,MIN(15,N($D$18))),IFERROR(LARGE('Calc (scoring engine)'!$K$5:$K$523,11),-999999)&lt;=-900000),"",IFERROR(IF(INDEX(Database!$L$5:$L$523,MATCH(LARGE('Calc (scoring engine)'!$K$5:$K$523,11),'Calc (scoring engine)'!$K$5:$K$523,0))="","—",INDEX(Database!$L$5:$L$523,MATCH(LARGE('Calc (scoring engine)'!$K$5:$K$523,11),'Calc (scoring engine)'!$K$5:$K$523,0))),""))</f>
        <v/>
      </c>
      <c r="L31" s="50">
        <f>IF(OR(11&gt;MAX(3,MIN(15,N($D$18))),IFERROR(LARGE('Calc (scoring engine)'!$K$5:$K$523,11),-999999)&lt;=-900000),"",IFERROR(IF(INDEX(Database!$M$5:$M$523,MATCH(LARGE('Calc (scoring engine)'!$K$5:$K$523,11),'Calc (scoring engine)'!$K$5:$K$523,0))="","—",INDEX(Database!$M$5:$M$523,MATCH(LARGE('Calc (scoring engine)'!$K$5:$K$523,11),'Calc (scoring engine)'!$K$5:$K$523,0))),""))</f>
        <v/>
      </c>
      <c r="M31" s="10">
        <f>IF(OR(11&gt;MAX(3,MIN(15,N($D$18))),IFERROR(LARGE('Calc (scoring engine)'!$K$5:$K$523,11),-999999)&lt;=-900000),"",IFERROR(IF(INDEX(Database!$N$5:$N$523,MATCH(LARGE('Calc (scoring engine)'!$K$5:$K$523,11),'Calc (scoring engine)'!$K$5:$K$523,0))="","—",INDEX(Database!$N$5:$N$523,MATCH(LARGE('Calc (scoring engine)'!$K$5:$K$523,11),'Calc (scoring engine)'!$K$5:$K$523,0))),""))</f>
        <v/>
      </c>
      <c r="N31" s="31">
        <f>IF(OR(11&gt;MAX(3,MIN(15,N($D$18))),IFERROR(LARGE('Calc (scoring engine)'!$K$5:$K$523,11),-999999)&lt;=-900000),"",IFERROR(IF(INDEX(Database!$O$5:$O$523,MATCH(LARGE('Calc (scoring engine)'!$K$5:$K$523,11),'Calc (scoring engine)'!$K$5:$K$523,0))="","—",INDEX(Database!$O$5:$O$523,MATCH(LARGE('Calc (scoring engine)'!$K$5:$K$523,11),'Calc (scoring engine)'!$K$5:$K$523,0))),""))</f>
        <v/>
      </c>
      <c r="O31" s="31">
        <f>IF(OR(11&gt;MAX(3,MIN(15,N($D$18))),IFERROR(LARGE('Calc (scoring engine)'!$K$5:$K$523,11),-999999)&lt;=-900000),"",IFERROR(IF(INDEX(Database!$P$5:$P$523,MATCH(LARGE('Calc (scoring engine)'!$K$5:$K$523,11),'Calc (scoring engine)'!$K$5:$K$523,0))="","—",INDEX(Database!$P$5:$P$523,MATCH(LARGE('Calc (scoring engine)'!$K$5:$K$523,11),'Calc (scoring engine)'!$K$5:$K$523,0))),""))</f>
        <v/>
      </c>
      <c r="P31" s="19">
        <f>IF(OR(11&gt;MAX(3,MIN(15,N($D$18))),IFERROR(LARGE('Calc (scoring engine)'!$K$5:$K$523,11),-999999)&lt;=-900000),"",IFERROR(IF(INDEX(Database!$Q$5:$Q$523,MATCH(LARGE('Calc (scoring engine)'!$K$5:$K$523,11),'Calc (scoring engine)'!$K$5:$K$523,0))="","—",INDEX(Database!$Q$5:$Q$523,MATCH(LARGE('Calc (scoring engine)'!$K$5:$K$523,11),'Calc (scoring engine)'!$K$5:$K$523,0))),""))</f>
        <v/>
      </c>
      <c r="Q31" s="26">
        <f>IF(OR(11&gt;MAX(3,MIN(15,N($D$18))),IFERROR(LARGE('Calc (scoring engine)'!$K$5:$K$523,11),-999999)&lt;=-900000),"",IFERROR(IF(INDEX(Database!$S$5:$S$523,MATCH(LARGE('Calc (scoring engine)'!$K$5:$K$523,11),'Calc (scoring engine)'!$K$5:$K$523,0))="","—",INDEX(Database!$S$5:$S$523,MATCH(LARGE('Calc (scoring engine)'!$K$5:$K$523,11),'Calc (scoring engine)'!$K$5:$K$523,0))),""))</f>
        <v/>
      </c>
      <c r="R31" s="51">
        <f>IF(OR(11&gt;MAX(3,MIN(15,N($D$18))),IFERROR(LARGE('Calc (scoring engine)'!$K$5:$K$523,11),-999999)&lt;=-900000),"",IFERROR(IF(INDEX(Database!$T$5:$T$523,MATCH(LARGE('Calc (scoring engine)'!$K$5:$K$523,11),'Calc (scoring engine)'!$K$5:$K$523,0))="","—",INDEX(Database!$T$5:$T$523,MATCH(LARGE('Calc (scoring engine)'!$K$5:$K$523,11),'Calc (scoring engine)'!$K$5:$K$523,0))),""))</f>
        <v/>
      </c>
      <c r="S31" s="52">
        <f>IF(OR(11&gt;MAX(3,MIN(15,N($D$18))),IFERROR(LARGE('Calc (scoring engine)'!$K$5:$K$523,11),-999999)&lt;=-900000),"",IFERROR(IF(INDEX(Database!$U$5:$U$523,MATCH(LARGE('Calc (scoring engine)'!$K$5:$K$523,11),'Calc (scoring engine)'!$K$5:$K$523,0))="","—",INDEX(Database!$U$5:$U$523,MATCH(LARGE('Calc (scoring engine)'!$K$5:$K$523,11),'Calc (scoring engine)'!$K$5:$K$523,0))),""))</f>
        <v/>
      </c>
      <c r="T31" s="53">
        <f>IF(OR(11&gt;MAX(3,MIN(15,N($D$18))),IFERROR(LARGE('Calc (scoring engine)'!$K$5:$K$523,11),-999999)&lt;=-900000),"",IFERROR(IF(INDEX(Database!$V$5:$V$523,MATCH(LARGE('Calc (scoring engine)'!$K$5:$K$523,11),'Calc (scoring engine)'!$K$5:$K$523,0))="","—",INDEX(Database!$V$5:$V$523,MATCH(LARGE('Calc (scoring engine)'!$K$5:$K$523,11),'Calc (scoring engine)'!$K$5:$K$523,0))),""))</f>
        <v/>
      </c>
      <c r="U31" s="31">
        <f>IF(OR(11&gt;MAX(3,MIN(15,N($D$18))),IFERROR(LARGE('Calc (scoring engine)'!$K$5:$K$523,11),-999999)&lt;=-900000),"",IFERROR(IF(INDEX(Database!$W$5:$W$523,MATCH(LARGE('Calc (scoring engine)'!$K$5:$K$523,11),'Calc (scoring engine)'!$K$5:$K$523,0))="","—",INDEX(Database!$W$5:$W$523,MATCH(LARGE('Calc (scoring engine)'!$K$5:$K$523,11),'Calc (scoring engine)'!$K$5:$K$523,0))),""))</f>
        <v/>
      </c>
      <c r="V31" s="10">
        <f>IF(OR(11&gt;MAX(3,MIN(15,N($D$18))),IFERROR(LARGE('Calc (scoring engine)'!$K$5:$K$523,11),-999999)&lt;=-900000),"",IFERROR(IF(INDEX(Database!$X$5:$X$523,MATCH(LARGE('Calc (scoring engine)'!$K$5:$K$523,11),'Calc (scoring engine)'!$K$5:$K$523,0))="","—",INDEX(Database!$X$5:$X$523,MATCH(LARGE('Calc (scoring engine)'!$K$5:$K$523,11),'Calc (scoring engine)'!$K$5:$K$523,0))),""))</f>
        <v/>
      </c>
      <c r="W31" s="19">
        <f>IF(OR(11&gt;MAX(3,MIN(15,N($D$18))),IFERROR(LARGE('Calc (scoring engine)'!$K$5:$K$523,11),-999999)&lt;=-900000),"",IFERROR(IF(INDEX(Database!$Y$5:$Y$523,MATCH(LARGE('Calc (scoring engine)'!$K$5:$K$523,11),'Calc (scoring engine)'!$K$5:$K$523,0))="","—",INDEX(Database!$Y$5:$Y$523,MATCH(LARGE('Calc (scoring engine)'!$K$5:$K$523,11),'Calc (scoring engine)'!$K$5:$K$523,0))),""))</f>
        <v/>
      </c>
      <c r="X31" s="19">
        <f>IF(OR(11&gt;MAX(3,MIN(15,N($D$18))),IFERROR(LARGE('Calc (scoring engine)'!$K$5:$K$523,11),-999999)&lt;=-900000),"",IFERROR(IF(INDEX(Database!$Z$5:$Z$523,MATCH(LARGE('Calc (scoring engine)'!$K$5:$K$523,11),'Calc (scoring engine)'!$K$5:$K$523,0))="","—",INDEX(Database!$Z$5:$Z$523,MATCH(LARGE('Calc (scoring engine)'!$K$5:$K$523,11),'Calc (scoring engine)'!$K$5:$K$523,0))),""))</f>
        <v/>
      </c>
      <c r="Y31" s="31">
        <f>IF(OR(11&gt;MAX(3,MIN(15,N($D$18))),IFERROR(LARGE('Calc (scoring engine)'!$K$5:$K$523,11),-999999)&lt;=-900000),"",IFERROR(IF(INDEX(Database!$AA$5:$AA$523,MATCH(LARGE('Calc (scoring engine)'!$K$5:$K$523,11),'Calc (scoring engine)'!$K$5:$K$523,0))="","—",INDEX(Database!$AA$5:$AA$523,MATCH(LARGE('Calc (scoring engine)'!$K$5:$K$523,11),'Calc (scoring engine)'!$K$5:$K$523,0))),""))</f>
        <v/>
      </c>
      <c r="Z31" s="10">
        <f>IF(OR(11&gt;MAX(3,MIN(15,N($D$18))),IFERROR(LARGE('Calc (scoring engine)'!$K$5:$K$523,11),-999999)&lt;=-900000),"",IFERROR(IF(INDEX(Database!$AB$5:$AB$523,MATCH(LARGE('Calc (scoring engine)'!$K$5:$K$523,11),'Calc (scoring engine)'!$K$5:$K$523,0))="","—",INDEX(Database!$AB$5:$AB$523,MATCH(LARGE('Calc (scoring engine)'!$K$5:$K$523,11),'Calc (scoring engine)'!$K$5:$K$523,0))),""))</f>
        <v/>
      </c>
      <c r="AA31" s="31">
        <f>IF(OR(11&gt;MAX(3,MIN(15,N($D$18))),IFERROR(LARGE('Calc (scoring engine)'!$K$5:$K$523,11),-999999)&lt;=-900000),"",IFERROR(IF(INDEX(Database!$AD$5:$AD$523,MATCH(LARGE('Calc (scoring engine)'!$K$5:$K$523,11),'Calc (scoring engine)'!$K$5:$K$523,0))="","—",INDEX(Database!$AD$5:$AD$523,MATCH(LARGE('Calc (scoring engine)'!$K$5:$K$523,11),'Calc (scoring engine)'!$K$5:$K$523,0))),""))</f>
        <v/>
      </c>
      <c r="AB31" s="10">
        <f>IF(OR(11&gt;MAX(3,MIN(15,N($D$18))),IFERROR(LARGE('Calc (scoring engine)'!$K$5:$K$523,11),-999999)&lt;=-900000),"",IFERROR(IF(INDEX(Database!$AE$5:$AE$523,MATCH(LARGE('Calc (scoring engine)'!$K$5:$K$523,11),'Calc (scoring engine)'!$K$5:$K$523,0))="","—",INDEX(Database!$AE$5:$AE$523,MATCH(LARGE('Calc (scoring engine)'!$K$5:$K$523,11),'Calc (scoring engine)'!$K$5:$K$523,0))),""))</f>
        <v/>
      </c>
      <c r="AC31" s="10">
        <f>IF(OR(11&gt;MAX(3,MIN(15,N($D$18))),IFERROR(LARGE('Calc (scoring engine)'!$K$5:$K$523,11),-999999)&lt;=-900000),"",IFERROR(IF(INDEX(Database!$AF$5:$AF$523,MATCH(LARGE('Calc (scoring engine)'!$K$5:$K$523,11),'Calc (scoring engine)'!$K$5:$K$523,0))="","—",INDEX(Database!$AF$5:$AF$523,MATCH(LARGE('Calc (scoring engine)'!$K$5:$K$523,11),'Calc (scoring engine)'!$K$5:$K$523,0))),""))</f>
        <v/>
      </c>
      <c r="AD31" s="10">
        <f>IF(OR(11&gt;MAX(3,MIN(15,N($D$18))),IFERROR(LARGE('Calc (scoring engine)'!$K$5:$K$523,11),-999999)&lt;=-900000),"",IFERROR(IF(INDEX(Database!$AG$5:$AG$523,MATCH(LARGE('Calc (scoring engine)'!$K$5:$K$523,11),'Calc (scoring engine)'!$K$5:$K$523,0))="","—",INDEX(Database!$AG$5:$AG$523,MATCH(LARGE('Calc (scoring engine)'!$K$5:$K$523,11),'Calc (scoring engine)'!$K$5:$K$523,0))),""))</f>
        <v/>
      </c>
      <c r="AE31" s="10">
        <f>IF(OR(11&gt;MAX(3,MIN(15,N($D$18))),IFERROR(LARGE('Calc (scoring engine)'!$K$5:$K$523,11),-999999)&lt;=-900000),"",IFERROR(IF(INDEX(Database!$AH$5:$AH$523,MATCH(LARGE('Calc (scoring engine)'!$K$5:$K$523,11),'Calc (scoring engine)'!$K$5:$K$523,0))="","—",INDEX(Database!$AH$5:$AH$523,MATCH(LARGE('Calc (scoring engine)'!$K$5:$K$523,11),'Calc (scoring engine)'!$K$5:$K$523,0))),""))</f>
        <v/>
      </c>
      <c r="AF31" s="23">
        <f>IF(OR(11&gt;MAX(3,MIN(15,N($D$18))),IFERROR(LARGE('Calc (scoring engine)'!$K$5:$K$523,11),-999999)&lt;=-900000),"",IFERROR(IF(INDEX(Database!$AI$5:$AI$523,MATCH(LARGE('Calc (scoring engine)'!$K$5:$K$523,11),'Calc (scoring engine)'!$K$5:$K$523,0))="","—",INDEX(Database!$AI$5:$AI$523,MATCH(LARGE('Calc (scoring engine)'!$K$5:$K$523,11),'Calc (scoring engine)'!$K$5:$K$523,0))),""))</f>
        <v/>
      </c>
      <c r="AG31" s="23">
        <f>IF(OR(11&gt;MAX(3,MIN(15,N($D$18))),IFERROR(LARGE('Calc (scoring engine)'!$K$5:$K$523,11),-999999)&lt;=-900000),"",IFERROR(IF(INDEX(Database!$AJ$5:$AJ$523,MATCH(LARGE('Calc (scoring engine)'!$K$5:$K$523,11),'Calc (scoring engine)'!$K$5:$K$523,0))="","—",INDEX(Database!$AJ$5:$AJ$523,MATCH(LARGE('Calc (scoring engine)'!$K$5:$K$523,11),'Calc (scoring engine)'!$K$5:$K$523,0))),""))</f>
        <v/>
      </c>
      <c r="AH31" s="23">
        <f>IF(OR(11&gt;MAX(3,MIN(15,N($D$18))),IFERROR(LARGE('Calc (scoring engine)'!$K$5:$K$523,11),-999999)&lt;=-900000),"",IFERROR(IF(INDEX(Database!$AK$5:$AK$523,MATCH(LARGE('Calc (scoring engine)'!$K$5:$K$523,11),'Calc (scoring engine)'!$K$5:$K$523,0))="","—",INDEX(Database!$AK$5:$AK$523,MATCH(LARGE('Calc (scoring engine)'!$K$5:$K$523,11),'Calc (scoring engine)'!$K$5:$K$523,0))),""))</f>
        <v/>
      </c>
      <c r="AI31" s="23">
        <f>IF(OR(11&gt;MAX(3,MIN(15,N($D$18))),IFERROR(LARGE('Calc (scoring engine)'!$K$5:$K$523,11),-999999)&lt;=-900000),"",IFERROR(IF(INDEX(Database!$AL$5:$AL$523,MATCH(LARGE('Calc (scoring engine)'!$K$5:$K$523,11),'Calc (scoring engine)'!$K$5:$K$523,0))="","—",INDEX(Database!$AL$5:$AL$523,MATCH(LARGE('Calc (scoring engine)'!$K$5:$K$523,11),'Calc (scoring engine)'!$K$5:$K$523,0))),""))</f>
        <v/>
      </c>
      <c r="AJ31" s="24">
        <f>IF(OR(11&gt;MAX(3,MIN(15,N($D$18))),IFERROR(LARGE('Calc (scoring engine)'!$K$5:$K$523,11),-999999)&lt;=-900000),"",IFERROR(IF(INDEX(Database!$AM$5:$AM$523,MATCH(LARGE('Calc (scoring engine)'!$K$5:$K$523,11),'Calc (scoring engine)'!$K$5:$K$523,0))="","—",INDEX(Database!$AM$5:$AM$523,MATCH(LARGE('Calc (scoring engine)'!$K$5:$K$523,11),'Calc (scoring engine)'!$K$5:$K$523,0))),""))</f>
        <v/>
      </c>
      <c r="AK31" s="31">
        <f>IF(OR(11&gt;MAX(3,MIN(15,N($D$18))),IFERROR(LARGE('Calc (scoring engine)'!$K$5:$K$523,11),-999999)&lt;=-900000),"",IFERROR(IF(INDEX(Database!$AN$5:$AN$523,MATCH(LARGE('Calc (scoring engine)'!$K$5:$K$523,11),'Calc (scoring engine)'!$K$5:$K$523,0))="","—",INDEX(Database!$AN$5:$AN$523,MATCH(LARGE('Calc (scoring engine)'!$K$5:$K$523,11),'Calc (scoring engine)'!$K$5:$K$523,0))),""))</f>
        <v/>
      </c>
      <c r="AL31" s="23">
        <f>IF(OR(11&gt;MAX(3,MIN(15,N($D$18))),IFERROR(LARGE('Calc (scoring engine)'!$K$5:$K$523,11),-999999)&lt;=-900000),"",IFERROR(IF(INDEX(Database!$AO$5:$AO$523,MATCH(LARGE('Calc (scoring engine)'!$K$5:$K$523,11),'Calc (scoring engine)'!$K$5:$K$523,0))="","—",INDEX(Database!$AO$5:$AO$523,MATCH(LARGE('Calc (scoring engine)'!$K$5:$K$523,11),'Calc (scoring engine)'!$K$5:$K$523,0))),""))</f>
        <v/>
      </c>
      <c r="AM31" s="23">
        <f>IF(OR(11&gt;MAX(3,MIN(15,N($D$18))),IFERROR(LARGE('Calc (scoring engine)'!$K$5:$K$523,11),-999999)&lt;=-900000),"",IFERROR(IF(INDEX(Database!$AP$5:$AP$523,MATCH(LARGE('Calc (scoring engine)'!$K$5:$K$523,11),'Calc (scoring engine)'!$K$5:$K$523,0))="","—",INDEX(Database!$AP$5:$AP$523,MATCH(LARGE('Calc (scoring engine)'!$K$5:$K$523,11),'Calc (scoring engine)'!$K$5:$K$523,0))),""))</f>
        <v/>
      </c>
      <c r="AN31" s="23">
        <f>IF(OR(11&gt;MAX(3,MIN(15,N($D$18))),IFERROR(LARGE('Calc (scoring engine)'!$K$5:$K$523,11),-999999)&lt;=-900000),"",IFERROR(IF(INDEX(Database!$AQ$5:$AQ$523,MATCH(LARGE('Calc (scoring engine)'!$K$5:$K$523,11),'Calc (scoring engine)'!$K$5:$K$523,0))="","—",INDEX(Database!$AQ$5:$AQ$523,MATCH(LARGE('Calc (scoring engine)'!$K$5:$K$523,11),'Calc (scoring engine)'!$K$5:$K$523,0))),""))</f>
        <v/>
      </c>
      <c r="AO31" s="23">
        <f>IF(OR(11&gt;MAX(3,MIN(15,N($D$18))),IFERROR(LARGE('Calc (scoring engine)'!$K$5:$K$523,11),-999999)&lt;=-900000),"",IFERROR(IF(INDEX(Database!$AR$5:$AR$523,MATCH(LARGE('Calc (scoring engine)'!$K$5:$K$523,11),'Calc (scoring engine)'!$K$5:$K$523,0))="","—",INDEX(Database!$AR$5:$AR$523,MATCH(LARGE('Calc (scoring engine)'!$K$5:$K$523,11),'Calc (scoring engine)'!$K$5:$K$523,0))),""))</f>
        <v/>
      </c>
      <c r="AP31" s="23">
        <f>IF(OR(11&gt;MAX(3,MIN(15,N($D$18))),IFERROR(LARGE('Calc (scoring engine)'!$K$5:$K$523,11),-999999)&lt;=-900000),"",IFERROR(IF(INDEX(Database!$AS$5:$AS$523,MATCH(LARGE('Calc (scoring engine)'!$K$5:$K$523,11),'Calc (scoring engine)'!$K$5:$K$523,0))="","—",INDEX(Database!$AS$5:$AS$523,MATCH(LARGE('Calc (scoring engine)'!$K$5:$K$523,11),'Calc (scoring engine)'!$K$5:$K$523,0))),""))</f>
        <v/>
      </c>
      <c r="AQ31" s="23">
        <f>IF(OR(11&gt;MAX(3,MIN(15,N($D$18))),IFERROR(LARGE('Calc (scoring engine)'!$K$5:$K$523,11),-999999)&lt;=-900000),"",IFERROR(IF(INDEX(Database!$AT$5:$AT$523,MATCH(LARGE('Calc (scoring engine)'!$K$5:$K$523,11),'Calc (scoring engine)'!$K$5:$K$523,0))="","—",INDEX(Database!$AT$5:$AT$523,MATCH(LARGE('Calc (scoring engine)'!$K$5:$K$523,11),'Calc (scoring engine)'!$K$5:$K$523,0))),""))</f>
        <v/>
      </c>
      <c r="AR31" s="23">
        <f>IF(OR(11&gt;MAX(3,MIN(15,N($D$18))),IFERROR(LARGE('Calc (scoring engine)'!$K$5:$K$523,11),-999999)&lt;=-900000),"",IFERROR(IF(INDEX(Database!$AU$5:$AU$523,MATCH(LARGE('Calc (scoring engine)'!$K$5:$K$523,11),'Calc (scoring engine)'!$K$5:$K$523,0))="","—",INDEX(Database!$AU$5:$AU$523,MATCH(LARGE('Calc (scoring engine)'!$K$5:$K$523,11),'Calc (scoring engine)'!$K$5:$K$523,0))),""))</f>
        <v/>
      </c>
      <c r="AS31" s="23">
        <f>IF(OR(11&gt;MAX(3,MIN(15,N($D$18))),IFERROR(LARGE('Calc (scoring engine)'!$K$5:$K$523,11),-999999)&lt;=-900000),"",IFERROR(IF(INDEX(Database!$AV$5:$AV$523,MATCH(LARGE('Calc (scoring engine)'!$K$5:$K$523,11),'Calc (scoring engine)'!$K$5:$K$523,0))="","—",INDEX(Database!$AV$5:$AV$523,MATCH(LARGE('Calc (scoring engine)'!$K$5:$K$523,11),'Calc (scoring engine)'!$K$5:$K$523,0))),""))</f>
        <v/>
      </c>
      <c r="AT31" s="23">
        <f>IF(OR(11&gt;MAX(3,MIN(15,N($D$18))),IFERROR(LARGE('Calc (scoring engine)'!$K$5:$K$523,11),-999999)&lt;=-900000),"",IFERROR(IF(INDEX(Database!$AW$5:$AW$523,MATCH(LARGE('Calc (scoring engine)'!$K$5:$K$523,11),'Calc (scoring engine)'!$K$5:$K$523,0))="","—",INDEX(Database!$AW$5:$AW$523,MATCH(LARGE('Calc (scoring engine)'!$K$5:$K$523,11),'Calc (scoring engine)'!$K$5:$K$523,0))),""))</f>
        <v/>
      </c>
      <c r="AU31" s="23">
        <f>IF(OR(11&gt;MAX(3,MIN(15,N($D$18))),IFERROR(LARGE('Calc (scoring engine)'!$K$5:$K$523,11),-999999)&lt;=-900000),"",IFERROR(IF(INDEX(Database!$AX$5:$AX$523,MATCH(LARGE('Calc (scoring engine)'!$K$5:$K$523,11),'Calc (scoring engine)'!$K$5:$K$523,0))="","—",INDEX(Database!$AX$5:$AX$523,MATCH(LARGE('Calc (scoring engine)'!$K$5:$K$523,11),'Calc (scoring engine)'!$K$5:$K$523,0))),""))</f>
        <v/>
      </c>
      <c r="AV31" s="23">
        <f>IF(OR(11&gt;MAX(3,MIN(15,N($D$18))),IFERROR(LARGE('Calc (scoring engine)'!$K$5:$K$523,11),-999999)&lt;=-900000),"",IFERROR(IF(INDEX(Database!$AY$5:$AY$523,MATCH(LARGE('Calc (scoring engine)'!$K$5:$K$523,11),'Calc (scoring engine)'!$K$5:$K$523,0))="","—",INDEX(Database!$AY$5:$AY$523,MATCH(LARGE('Calc (scoring engine)'!$K$5:$K$523,11),'Calc (scoring engine)'!$K$5:$K$523,0))),""))</f>
        <v/>
      </c>
      <c r="AW31" s="23">
        <f>IF(OR(11&gt;MAX(3,MIN(15,N($D$18))),IFERROR(LARGE('Calc (scoring engine)'!$K$5:$K$523,11),-999999)&lt;=-900000),"",IFERROR(IF(INDEX(Database!$AZ$5:$AZ$523,MATCH(LARGE('Calc (scoring engine)'!$K$5:$K$523,11),'Calc (scoring engine)'!$K$5:$K$523,0))="","—",INDEX(Database!$AZ$5:$AZ$523,MATCH(LARGE('Calc (scoring engine)'!$K$5:$K$523,11),'Calc (scoring engine)'!$K$5:$K$523,0))),""))</f>
        <v/>
      </c>
      <c r="AX31" s="23">
        <f>IF(OR(11&gt;MAX(3,MIN(15,N($D$18))),IFERROR(LARGE('Calc (scoring engine)'!$K$5:$K$523,11),-999999)&lt;=-900000),"",IFERROR(IF(INDEX(Database!$BB$5:$BB$523,MATCH(LARGE('Calc (scoring engine)'!$K$5:$K$523,11),'Calc (scoring engine)'!$K$5:$K$523,0))="","—",INDEX(Database!$BB$5:$BB$523,MATCH(LARGE('Calc (scoring engine)'!$K$5:$K$523,11),'Calc (scoring engine)'!$K$5:$K$523,0))),""))</f>
        <v/>
      </c>
      <c r="AY31" s="19">
        <f>IF(OR(11&gt;MAX(3,MIN(15,N($D$18))),IFERROR(LARGE('Calc (scoring engine)'!$K$5:$K$523,11),-999999)&lt;=-900000),"",IFERROR(IF(INDEX(Database!$BD$5:$BD$523,MATCH(LARGE('Calc (scoring engine)'!$K$5:$K$523,11),'Calc (scoring engine)'!$K$5:$K$523,0))="","—",INDEX(Database!$BD$5:$BD$523,MATCH(LARGE('Calc (scoring engine)'!$K$5:$K$523,11),'Calc (scoring engine)'!$K$5:$K$523,0))),""))</f>
        <v/>
      </c>
      <c r="AZ31" s="19">
        <f>IF(OR(11&gt;MAX(3,MIN(15,N($D$18))),IFERROR(LARGE('Calc (scoring engine)'!$K$5:$K$523,11),-999999)&lt;=-900000),"",IFERROR(IF(INDEX(Database!$BE$5:$BE$523,MATCH(LARGE('Calc (scoring engine)'!$K$5:$K$523,11),'Calc (scoring engine)'!$K$5:$K$523,0))="","—",INDEX(Database!$BE$5:$BE$523,MATCH(LARGE('Calc (scoring engine)'!$K$5:$K$523,11),'Calc (scoring engine)'!$K$5:$K$523,0))),""))</f>
        <v/>
      </c>
      <c r="BA31" s="10">
        <f>IF(OR(11&gt;MAX(3,MIN(15,N($D$18))),IFERROR(LARGE('Calc (scoring engine)'!$K$5:$K$523,11),-999999)&lt;=-900000),"",IFERROR(IF(INDEX(Database!$BF$5:$BF$523,MATCH(LARGE('Calc (scoring engine)'!$K$5:$K$523,11),'Calc (scoring engine)'!$K$5:$K$523,0))="","—",INDEX(Database!$BF$5:$BF$523,MATCH(LARGE('Calc (scoring engine)'!$K$5:$K$523,11),'Calc (scoring engine)'!$K$5:$K$523,0))),""))</f>
        <v/>
      </c>
      <c r="BB31" s="24">
        <f>IF(OR(11&gt;MAX(3,MIN(15,N($D$18))),IFERROR(LARGE('Calc (scoring engine)'!$K$5:$K$523,11),-999999)&lt;=-900000),"",IFERROR(IF(N(INDEX(Database!$BG$5:$BG$523,MATCH(LARGE('Calc (scoring engine)'!$K$5:$K$523,11),'Calc (scoring engine)'!$K$5:$K$523,0)))&lt;=0,IF(INDEX(Database!$BF$5:$BF$523,MATCH(LARGE('Calc (scoring engine)'!$K$5:$K$523,11),'Calc (scoring engine)'!$K$5:$K$523,0))="N","n/m","—"),INDEX(Database!$BG$5:$BG$523,MATCH(LARGE('Calc (scoring engine)'!$K$5:$K$523,11),'Calc (scoring engine)'!$K$5:$K$523,0))),""))</f>
        <v/>
      </c>
      <c r="BC31" s="24">
        <f>IF(OR(11&gt;MAX(3,MIN(15,N($D$18))),IFERROR(LARGE('Calc (scoring engine)'!$K$5:$K$523,11),-999999)&lt;=-900000),"",IFERROR(IF(INDEX(Database!$BH$5:$BH$523,MATCH(LARGE('Calc (scoring engine)'!$K$5:$K$523,11),'Calc (scoring engine)'!$K$5:$K$523,0))="","—",INDEX(Database!$BH$5:$BH$523,MATCH(LARGE('Calc (scoring engine)'!$K$5:$K$523,11),'Calc (scoring engine)'!$K$5:$K$523,0))),""))</f>
        <v/>
      </c>
      <c r="BD31" s="24">
        <f>IF(OR(11&gt;MAX(3,MIN(15,N($D$18))),IFERROR(LARGE('Calc (scoring engine)'!$K$5:$K$523,11),-999999)&lt;=-900000),"",IFERROR(IF(INDEX(Database!$BI$5:$BI$523,MATCH(LARGE('Calc (scoring engine)'!$K$5:$K$523,11),'Calc (scoring engine)'!$K$5:$K$523,0))="","—",INDEX(Database!$BI$5:$BI$523,MATCH(LARGE('Calc (scoring engine)'!$K$5:$K$523,11),'Calc (scoring engine)'!$K$5:$K$523,0))),""))</f>
        <v/>
      </c>
      <c r="BE31" s="24">
        <f>IF(OR(11&gt;MAX(3,MIN(15,N($D$18))),IFERROR(LARGE('Calc (scoring engine)'!$K$5:$K$523,11),-999999)&lt;=-900000),"",IFERROR(IF(INDEX(Database!$BJ$5:$BJ$523,MATCH(LARGE('Calc (scoring engine)'!$K$5:$K$523,11),'Calc (scoring engine)'!$K$5:$K$523,0))="","—",INDEX(Database!$BJ$5:$BJ$523,MATCH(LARGE('Calc (scoring engine)'!$K$5:$K$523,11),'Calc (scoring engine)'!$K$5:$K$523,0))),""))</f>
        <v/>
      </c>
      <c r="BF31" s="24">
        <f>IF(OR(11&gt;MAX(3,MIN(15,N($D$18))),IFERROR(LARGE('Calc (scoring engine)'!$K$5:$K$523,11),-999999)&lt;=-900000),"",IFERROR(IF(INDEX(Database!$BK$5:$BK$523,MATCH(LARGE('Calc (scoring engine)'!$K$5:$K$523,11),'Calc (scoring engine)'!$K$5:$K$523,0))="","—",INDEX(Database!$BK$5:$BK$523,MATCH(LARGE('Calc (scoring engine)'!$K$5:$K$523,11),'Calc (scoring engine)'!$K$5:$K$523,0))),""))</f>
        <v/>
      </c>
      <c r="BG31" s="24">
        <f>IF(OR(11&gt;MAX(3,MIN(15,N($D$18))),IFERROR(LARGE('Calc (scoring engine)'!$K$5:$K$523,11),-999999)&lt;=-900000),"",IFERROR(IFERROR(BDP(TEXT(INDEX(Database!$A$5:$A$523,MATCH(LARGE('Calc (scoring engine)'!$K$5:$K$523,11),'Calc (scoring engine)'!$K$5:$K$523,0)),"0")&amp;" HK Equity","PE_RATIO"),IF(INDEX(Database!$BI$5:$BI$523,MATCH(LARGE('Calc (scoring engine)'!$K$5:$K$523,11),'Calc (scoring engine)'!$K$5:$K$523,0))="","—",INDEX(Database!$BI$5:$BI$523,MATCH(LARGE('Calc (scoring engine)'!$K$5:$K$523,11),'Calc (scoring engine)'!$K$5:$K$523,0)))),""))</f>
        <v/>
      </c>
      <c r="BH31" s="24">
        <f>IF(OR(11&gt;MAX(3,MIN(15,N($D$18))),IFERROR(LARGE('Calc (scoring engine)'!$K$5:$K$523,11),-999999)&lt;=-900000),"",IFERROR(IFERROR(BDP(TEXT(INDEX(Database!$A$5:$A$523,MATCH(LARGE('Calc (scoring engine)'!$K$5:$K$523,11),'Calc (scoring engine)'!$K$5:$K$523,0)),"0")&amp;" HK Equity","PX_TO_SALES_RATIO"),IF(INDEX(Database!$BJ$5:$BJ$523,MATCH(LARGE('Calc (scoring engine)'!$K$5:$K$523,11),'Calc (scoring engine)'!$K$5:$K$523,0))="","—",INDEX(Database!$BJ$5:$BJ$523,MATCH(LARGE('Calc (scoring engine)'!$K$5:$K$523,11),'Calc (scoring engine)'!$K$5:$K$523,0)))),""))</f>
        <v/>
      </c>
      <c r="BI31" s="10">
        <f>IF(OR(11&gt;MAX(3,MIN(15,N($D$18))),IFERROR(LARGE('Calc (scoring engine)'!$K$5:$K$523,11),-999999)&lt;=-900000),"",IFERROR(IF(INDEX(Database!$BL$5:$BL$523,MATCH(LARGE('Calc (scoring engine)'!$K$5:$K$523,11),'Calc (scoring engine)'!$K$5:$K$523,0))="","—",INDEX(Database!$BL$5:$BL$523,MATCH(LARGE('Calc (scoring engine)'!$K$5:$K$523,11),'Calc (scoring engine)'!$K$5:$K$523,0))),""))</f>
        <v/>
      </c>
      <c r="BJ31" s="10">
        <f>IF(OR(11&gt;MAX(3,MIN(15,N($D$18))),IFERROR(LARGE('Calc (scoring engine)'!$K$5:$K$523,11),-999999)&lt;=-900000),"",IFERROR(IF(INDEX(Database!$BM$5:$BM$523,MATCH(LARGE('Calc (scoring engine)'!$K$5:$K$523,11),'Calc (scoring engine)'!$K$5:$K$523,0))="","—",INDEX(Database!$BM$5:$BM$523,MATCH(LARGE('Calc (scoring engine)'!$K$5:$K$523,11),'Calc (scoring engine)'!$K$5:$K$523,0))),""))</f>
        <v/>
      </c>
      <c r="BK31" s="23">
        <f>IF(OR(11&gt;MAX(3,MIN(15,N($D$18))),IFERROR(LARGE('Calc (scoring engine)'!$K$5:$K$523,11),-999999)&lt;=-900000),"",IFERROR(IF(INDEX(Database!$BN$5:$BN$523,MATCH(LARGE('Calc (scoring engine)'!$K$5:$K$523,11),'Calc (scoring engine)'!$K$5:$K$523,0))="","—",INDEX(Database!$BN$5:$BN$523,MATCH(LARGE('Calc (scoring engine)'!$K$5:$K$523,11),'Calc (scoring engine)'!$K$5:$K$523,0))),""))</f>
        <v/>
      </c>
      <c r="BL31" s="50">
        <f>IF(OR(11&gt;MAX(3,MIN(15,N($D$18))),IFERROR(LARGE('Calc (scoring engine)'!$K$5:$K$523,11),-999999)&lt;=-900000),"",IFERROR(IF(INDEX(Database!$BO$5:$BO$523,MATCH(LARGE('Calc (scoring engine)'!$K$5:$K$523,11),'Calc (scoring engine)'!$K$5:$K$523,0))="","—",INDEX(Database!$BO$5:$BO$523,MATCH(LARGE('Calc (scoring engine)'!$K$5:$K$523,11),'Calc (scoring engine)'!$K$5:$K$523,0))),""))</f>
        <v/>
      </c>
      <c r="BM31" s="54">
        <f>IF(OR(11&gt;MAX(3,MIN(15,N($D$18))),IFERROR(LARGE('Calc (scoring engine)'!$K$5:$K$523,11),-999999)&lt;=-900000),"",IFERROR(IF(INDEX(Database!$BP$5:$BP$523,MATCH(LARGE('Calc (scoring engine)'!$K$5:$K$523,11),'Calc (scoring engine)'!$K$5:$K$523,0))="","—",INDEX(Database!$BP$5:$BP$523,MATCH(LARGE('Calc (scoring engine)'!$K$5:$K$523,11),'Calc (scoring engine)'!$K$5:$K$523,0))),""))</f>
        <v/>
      </c>
      <c r="BN31" s="19">
        <f>IF(OR(11&gt;MAX(3,MIN(15,N($D$18))),IFERROR(LARGE('Calc (scoring engine)'!$K$5:$K$523,11),-999999)&lt;=-900000),"",IFERROR(IF(INDEX(Database!$BQ$5:$BQ$523,MATCH(LARGE('Calc (scoring engine)'!$K$5:$K$523,11),'Calc (scoring engine)'!$K$5:$K$523,0))="","—",INDEX(Database!$BQ$5:$BQ$523,MATCH(LARGE('Calc (scoring engine)'!$K$5:$K$523,11),'Calc (scoring engine)'!$K$5:$K$523,0))),""))</f>
        <v/>
      </c>
      <c r="BO31" s="24">
        <f>IF(OR(11&gt;MAX(3,MIN(15,N($D$18))),IFERROR(LARGE('Calc (scoring engine)'!$K$5:$K$523,11),-999999)&lt;=-900000),"",IFERROR(IF(INDEX(Database!$BR$5:$BR$523,MATCH(LARGE('Calc (scoring engine)'!$K$5:$K$523,11),'Calc (scoring engine)'!$K$5:$K$523,0))="","—",INDEX(Database!$BR$5:$BR$523,MATCH(LARGE('Calc (scoring engine)'!$K$5:$K$523,11),'Calc (scoring engine)'!$K$5:$K$523,0))),""))</f>
        <v/>
      </c>
      <c r="BP31" s="24">
        <f>IF(OR(11&gt;MAX(3,MIN(15,N($D$18))),IFERROR(LARGE('Calc (scoring engine)'!$K$5:$K$523,11),-999999)&lt;=-900000),"",IFERROR(IF(INDEX(Database!$BS$5:$BS$523,MATCH(LARGE('Calc (scoring engine)'!$K$5:$K$523,11),'Calc (scoring engine)'!$K$5:$K$523,0))="","—",INDEX(Database!$BS$5:$BS$523,MATCH(LARGE('Calc (scoring engine)'!$K$5:$K$523,11),'Calc (scoring engine)'!$K$5:$K$523,0))),""))</f>
        <v/>
      </c>
      <c r="BQ31" s="10">
        <f>IF(OR(11&gt;MAX(3,MIN(15,N($D$18))),IFERROR(LARGE('Calc (scoring engine)'!$K$5:$K$523,11),-999999)&lt;=-900000),"",IFERROR(IF(INDEX(Database!$BT$5:$BT$523,MATCH(LARGE('Calc (scoring engine)'!$K$5:$K$523,11),'Calc (scoring engine)'!$K$5:$K$523,0))="","—",INDEX(Database!$BT$5:$BT$523,MATCH(LARGE('Calc (scoring engine)'!$K$5:$K$523,11),'Calc (scoring engine)'!$K$5:$K$523,0))),""))</f>
        <v/>
      </c>
      <c r="BR31" s="10">
        <f>IF(OR(11&gt;MAX(3,MIN(15,N($D$18))),IFERROR(LARGE('Calc (scoring engine)'!$K$5:$K$523,11),-999999)&lt;=-900000),"",IFERROR(IF(INDEX(Database!$BV$5:$BV$523,MATCH(LARGE('Calc (scoring engine)'!$K$5:$K$523,11),'Calc (scoring engine)'!$K$5:$K$523,0))="","—",INDEX(Database!$BV$5:$BV$523,MATCH(LARGE('Calc (scoring engine)'!$K$5:$K$523,11),'Calc (scoring engine)'!$K$5:$K$523,0))),""))</f>
        <v/>
      </c>
      <c r="BS31" s="53">
        <f>IF(OR(11&gt;MAX(3,MIN(15,N($D$18))),IFERROR(LARGE('Calc (scoring engine)'!$K$5:$K$523,11),-999999)&lt;=-900000),"",IFERROR(IF(INDEX('Calc (scoring engine)'!$H$5:$H$523,MATCH(LARGE('Calc (scoring engine)'!$K$5:$K$523,11),'Calc (scoring engine)'!$K$5:$K$523,0))&gt;0,INDEX('Calc (scoring engine)'!$H$5:$H$523,MATCH(LARGE('Calc (scoring engine)'!$K$5:$K$523,11),'Calc (scoring engine)'!$K$5:$K$523,0)),""),""))</f>
        <v/>
      </c>
      <c r="BT31" s="10">
        <f>IF(OR(11&gt;MAX(3,MIN(15,N($D$18))),IFERROR(LARGE('Calc (scoring engine)'!$K$5:$K$523,11),-999999)&lt;=-900000),"",IF(IFERROR(INDEX('Calc (scoring engine)'!$B$5:$B$523,MATCH(LARGE('Calc (scoring engine)'!$K$5:$K$523,11),'Calc (scoring engine)'!$K$5:$K$523,0)),0)=1,"same subsector","sector only"))</f>
        <v/>
      </c>
      <c r="BU31" s="53">
        <f>IF(OR(11&gt;MAX(3,MIN(15,N($D$18))),IFERROR(LARGE('Calc (scoring engine)'!$K$5:$K$523,11),-999999)&lt;=-900000),"",ROUND(IFERROR(LARGE('Calc (scoring engine)'!$K$5:$K$523,11),0),0))</f>
        <v/>
      </c>
      <c r="BV31" s="10">
        <f>IF(OR(11&gt;MAX(3,MIN(15,N($D$18))),IFERROR(LARGE('Calc (scoring engine)'!$K$5:$K$523,11),-999999)&lt;=-900000),"",IFERROR("sub "&amp;INDEX('Calc (scoring engine)'!$B$5:$B$523,MATCH(LARGE('Calc (scoring engine)'!$K$5:$K$523,11),'Calc (scoring engine)'!$K$5:$K$523,0))*W_SUB&amp;" + size "&amp;ROUND(INDEX('Calc (scoring engine)'!$D$5:$D$523,MATCH(LARGE('Calc (scoring engine)'!$K$5:$K$523,11),'Calc (scoring engine)'!$K$5:$K$523,0))*W_SIZE,0)&amp;" + prof "&amp;INDEX('Calc (scoring engine)'!$E$5:$E$523,MATCH(LARGE('Calc (scoring engine)'!$K$5:$K$523,11),'Calc (scoring engine)'!$K$5:$K$523,0))*W_PROF&amp;" + recency "&amp;ROUND(INDEX('Calc (scoring engine)'!$G$5:$G$523,MATCH(LARGE('Calc (scoring engine)'!$K$5:$K$523,11),'Calc (scoring engine)'!$K$5:$K$523,0))*W_REC,0)&amp;IF(INDEX('Calc (scoring engine)'!$H$5:$H$523,MATCH(LARGE('Calc (scoring engine)'!$K$5:$K$523,11),'Calc (scoring engine)'!$K$5:$K$523,0))&gt;0," + shared CS x"&amp;INDEX('Calc (scoring engine)'!$H$5:$H$523,MATCH(LARGE('Calc (scoring engine)'!$K$5:$K$523,11),'Calc (scoring engine)'!$K$5:$K$523,0)),""),""))</f>
        <v/>
      </c>
    </row>
    <row r="32">
      <c r="A32" s="48">
        <f>IF(OR(12&gt;MAX(3,MIN(15,N($D$18))),IFERROR(LARGE('Calc (scoring engine)'!$K$5:$K$523,12),-999999)&lt;=-900000),"",12)</f>
        <v/>
      </c>
      <c r="B32" s="10">
        <f>IF(OR(12&gt;MAX(3,MIN(15,N($D$18))),IFERROR(LARGE('Calc (scoring engine)'!$K$5:$K$523,12),-999999)&lt;=-900000),"",IFERROR(IF(INDEX(Database!$B$5:$B$523,MATCH(LARGE('Calc (scoring engine)'!$K$5:$K$523,12),'Calc (scoring engine)'!$K$5:$K$523,0))="","—",INDEX(Database!$B$5:$B$523,MATCH(LARGE('Calc (scoring engine)'!$K$5:$K$523,12),'Calc (scoring engine)'!$K$5:$K$523,0))),""))</f>
        <v/>
      </c>
      <c r="C32" s="49">
        <f>IF(OR(12&gt;MAX(3,MIN(15,N($D$18))),IFERROR(LARGE('Calc (scoring engine)'!$K$5:$K$523,12),-999999)&lt;=-900000),"",IFERROR(IF(INDEX(Database!$A$5:$A$523,MATCH(LARGE('Calc (scoring engine)'!$K$5:$K$523,12),'Calc (scoring engine)'!$K$5:$K$523,0))="","—",INDEX(Database!$A$5:$A$523,MATCH(LARGE('Calc (scoring engine)'!$K$5:$K$523,12),'Calc (scoring engine)'!$K$5:$K$523,0))),""))</f>
        <v/>
      </c>
      <c r="D32" s="10">
        <f>IF(OR(12&gt;MAX(3,MIN(15,N($D$18))),IFERROR(LARGE('Calc (scoring engine)'!$K$5:$K$523,12),-999999)&lt;=-900000),"",IFERROR(IF(INDEX(Database!$D$5:$D$523,MATCH(LARGE('Calc (scoring engine)'!$K$5:$K$523,12),'Calc (scoring engine)'!$K$5:$K$523,0))="","—",INDEX(Database!$D$5:$D$523,MATCH(LARGE('Calc (scoring engine)'!$K$5:$K$523,12),'Calc (scoring engine)'!$K$5:$K$523,0))),""))</f>
        <v/>
      </c>
      <c r="E32" s="10">
        <f>IF(OR(12&gt;MAX(3,MIN(15,N($D$18))),IFERROR(LARGE('Calc (scoring engine)'!$K$5:$K$523,12),-999999)&lt;=-900000),"",IFERROR(IF(INDEX(Database!$E$5:$E$523,MATCH(LARGE('Calc (scoring engine)'!$K$5:$K$523,12),'Calc (scoring engine)'!$K$5:$K$523,0))="","—",INDEX(Database!$E$5:$E$523,MATCH(LARGE('Calc (scoring engine)'!$K$5:$K$523,12),'Calc (scoring engine)'!$K$5:$K$523,0))),""))</f>
        <v/>
      </c>
      <c r="F32" s="10">
        <f>IF(OR(12&gt;MAX(3,MIN(15,N($D$18))),IFERROR(LARGE('Calc (scoring engine)'!$K$5:$K$523,12),-999999)&lt;=-900000),"",IFERROR(IF(INDEX(Database!$F$5:$F$523,MATCH(LARGE('Calc (scoring engine)'!$K$5:$K$523,12),'Calc (scoring engine)'!$K$5:$K$523,0))="","—",INDEX(Database!$F$5:$F$523,MATCH(LARGE('Calc (scoring engine)'!$K$5:$K$523,12),'Calc (scoring engine)'!$K$5:$K$523,0))),""))</f>
        <v/>
      </c>
      <c r="G32" s="10">
        <f>IF(OR(12&gt;MAX(3,MIN(15,N($D$18))),IFERROR(LARGE('Calc (scoring engine)'!$K$5:$K$523,12),-999999)&lt;=-900000),"",IFERROR(IF(INDEX(Database!$G$5:$G$523,MATCH(LARGE('Calc (scoring engine)'!$K$5:$K$523,12),'Calc (scoring engine)'!$K$5:$K$523,0))="","—",INDEX(Database!$G$5:$G$523,MATCH(LARGE('Calc (scoring engine)'!$K$5:$K$523,12),'Calc (scoring engine)'!$K$5:$K$523,0))),""))</f>
        <v/>
      </c>
      <c r="H32" s="21">
        <f>IF(OR(12&gt;MAX(3,MIN(15,N($D$18))),IFERROR(LARGE('Calc (scoring engine)'!$K$5:$K$523,12),-999999)&lt;=-900000),"",IFERROR(IF(INDEX(Database!$H$5:$H$523,MATCH(LARGE('Calc (scoring engine)'!$K$5:$K$523,12),'Calc (scoring engine)'!$K$5:$K$523,0))="","—",INDEX(Database!$H$5:$H$523,MATCH(LARGE('Calc (scoring engine)'!$K$5:$K$523,12),'Calc (scoring engine)'!$K$5:$K$523,0))),""))</f>
        <v/>
      </c>
      <c r="I32" s="19">
        <f>IF(OR(12&gt;MAX(3,MIN(15,N($D$18))),IFERROR(LARGE('Calc (scoring engine)'!$K$5:$K$523,12),-999999)&lt;=-900000),"",IFERROR(IF(INDEX(Database!$I$5:$I$523,MATCH(LARGE('Calc (scoring engine)'!$K$5:$K$523,12),'Calc (scoring engine)'!$K$5:$K$523,0))="","—",INDEX(Database!$I$5:$I$523,MATCH(LARGE('Calc (scoring engine)'!$K$5:$K$523,12),'Calc (scoring engine)'!$K$5:$K$523,0))),""))</f>
        <v/>
      </c>
      <c r="J32" s="50">
        <f>IF(OR(12&gt;MAX(3,MIN(15,N($D$18))),IFERROR(LARGE('Calc (scoring engine)'!$K$5:$K$523,12),-999999)&lt;=-900000),"",IFERROR(IF(INDEX(Database!$K$5:$K$523,MATCH(LARGE('Calc (scoring engine)'!$K$5:$K$523,12),'Calc (scoring engine)'!$K$5:$K$523,0))="","—",INDEX(Database!$K$5:$K$523,MATCH(LARGE('Calc (scoring engine)'!$K$5:$K$523,12),'Calc (scoring engine)'!$K$5:$K$523,0))),""))</f>
        <v/>
      </c>
      <c r="K32" s="50">
        <f>IF(OR(12&gt;MAX(3,MIN(15,N($D$18))),IFERROR(LARGE('Calc (scoring engine)'!$K$5:$K$523,12),-999999)&lt;=-900000),"",IFERROR(IF(INDEX(Database!$L$5:$L$523,MATCH(LARGE('Calc (scoring engine)'!$K$5:$K$523,12),'Calc (scoring engine)'!$K$5:$K$523,0))="","—",INDEX(Database!$L$5:$L$523,MATCH(LARGE('Calc (scoring engine)'!$K$5:$K$523,12),'Calc (scoring engine)'!$K$5:$K$523,0))),""))</f>
        <v/>
      </c>
      <c r="L32" s="50">
        <f>IF(OR(12&gt;MAX(3,MIN(15,N($D$18))),IFERROR(LARGE('Calc (scoring engine)'!$K$5:$K$523,12),-999999)&lt;=-900000),"",IFERROR(IF(INDEX(Database!$M$5:$M$523,MATCH(LARGE('Calc (scoring engine)'!$K$5:$K$523,12),'Calc (scoring engine)'!$K$5:$K$523,0))="","—",INDEX(Database!$M$5:$M$523,MATCH(LARGE('Calc (scoring engine)'!$K$5:$K$523,12),'Calc (scoring engine)'!$K$5:$K$523,0))),""))</f>
        <v/>
      </c>
      <c r="M32" s="10">
        <f>IF(OR(12&gt;MAX(3,MIN(15,N($D$18))),IFERROR(LARGE('Calc (scoring engine)'!$K$5:$K$523,12),-999999)&lt;=-900000),"",IFERROR(IF(INDEX(Database!$N$5:$N$523,MATCH(LARGE('Calc (scoring engine)'!$K$5:$K$523,12),'Calc (scoring engine)'!$K$5:$K$523,0))="","—",INDEX(Database!$N$5:$N$523,MATCH(LARGE('Calc (scoring engine)'!$K$5:$K$523,12),'Calc (scoring engine)'!$K$5:$K$523,0))),""))</f>
        <v/>
      </c>
      <c r="N32" s="31">
        <f>IF(OR(12&gt;MAX(3,MIN(15,N($D$18))),IFERROR(LARGE('Calc (scoring engine)'!$K$5:$K$523,12),-999999)&lt;=-900000),"",IFERROR(IF(INDEX(Database!$O$5:$O$523,MATCH(LARGE('Calc (scoring engine)'!$K$5:$K$523,12),'Calc (scoring engine)'!$K$5:$K$523,0))="","—",INDEX(Database!$O$5:$O$523,MATCH(LARGE('Calc (scoring engine)'!$K$5:$K$523,12),'Calc (scoring engine)'!$K$5:$K$523,0))),""))</f>
        <v/>
      </c>
      <c r="O32" s="31">
        <f>IF(OR(12&gt;MAX(3,MIN(15,N($D$18))),IFERROR(LARGE('Calc (scoring engine)'!$K$5:$K$523,12),-999999)&lt;=-900000),"",IFERROR(IF(INDEX(Database!$P$5:$P$523,MATCH(LARGE('Calc (scoring engine)'!$K$5:$K$523,12),'Calc (scoring engine)'!$K$5:$K$523,0))="","—",INDEX(Database!$P$5:$P$523,MATCH(LARGE('Calc (scoring engine)'!$K$5:$K$523,12),'Calc (scoring engine)'!$K$5:$K$523,0))),""))</f>
        <v/>
      </c>
      <c r="P32" s="19">
        <f>IF(OR(12&gt;MAX(3,MIN(15,N($D$18))),IFERROR(LARGE('Calc (scoring engine)'!$K$5:$K$523,12),-999999)&lt;=-900000),"",IFERROR(IF(INDEX(Database!$Q$5:$Q$523,MATCH(LARGE('Calc (scoring engine)'!$K$5:$K$523,12),'Calc (scoring engine)'!$K$5:$K$523,0))="","—",INDEX(Database!$Q$5:$Q$523,MATCH(LARGE('Calc (scoring engine)'!$K$5:$K$523,12),'Calc (scoring engine)'!$K$5:$K$523,0))),""))</f>
        <v/>
      </c>
      <c r="Q32" s="26">
        <f>IF(OR(12&gt;MAX(3,MIN(15,N($D$18))),IFERROR(LARGE('Calc (scoring engine)'!$K$5:$K$523,12),-999999)&lt;=-900000),"",IFERROR(IF(INDEX(Database!$S$5:$S$523,MATCH(LARGE('Calc (scoring engine)'!$K$5:$K$523,12),'Calc (scoring engine)'!$K$5:$K$523,0))="","—",INDEX(Database!$S$5:$S$523,MATCH(LARGE('Calc (scoring engine)'!$K$5:$K$523,12),'Calc (scoring engine)'!$K$5:$K$523,0))),""))</f>
        <v/>
      </c>
      <c r="R32" s="51">
        <f>IF(OR(12&gt;MAX(3,MIN(15,N($D$18))),IFERROR(LARGE('Calc (scoring engine)'!$K$5:$K$523,12),-999999)&lt;=-900000),"",IFERROR(IF(INDEX(Database!$T$5:$T$523,MATCH(LARGE('Calc (scoring engine)'!$K$5:$K$523,12),'Calc (scoring engine)'!$K$5:$K$523,0))="","—",INDEX(Database!$T$5:$T$523,MATCH(LARGE('Calc (scoring engine)'!$K$5:$K$523,12),'Calc (scoring engine)'!$K$5:$K$523,0))),""))</f>
        <v/>
      </c>
      <c r="S32" s="52">
        <f>IF(OR(12&gt;MAX(3,MIN(15,N($D$18))),IFERROR(LARGE('Calc (scoring engine)'!$K$5:$K$523,12),-999999)&lt;=-900000),"",IFERROR(IF(INDEX(Database!$U$5:$U$523,MATCH(LARGE('Calc (scoring engine)'!$K$5:$K$523,12),'Calc (scoring engine)'!$K$5:$K$523,0))="","—",INDEX(Database!$U$5:$U$523,MATCH(LARGE('Calc (scoring engine)'!$K$5:$K$523,12),'Calc (scoring engine)'!$K$5:$K$523,0))),""))</f>
        <v/>
      </c>
      <c r="T32" s="53">
        <f>IF(OR(12&gt;MAX(3,MIN(15,N($D$18))),IFERROR(LARGE('Calc (scoring engine)'!$K$5:$K$523,12),-999999)&lt;=-900000),"",IFERROR(IF(INDEX(Database!$V$5:$V$523,MATCH(LARGE('Calc (scoring engine)'!$K$5:$K$523,12),'Calc (scoring engine)'!$K$5:$K$523,0))="","—",INDEX(Database!$V$5:$V$523,MATCH(LARGE('Calc (scoring engine)'!$K$5:$K$523,12),'Calc (scoring engine)'!$K$5:$K$523,0))),""))</f>
        <v/>
      </c>
      <c r="U32" s="31">
        <f>IF(OR(12&gt;MAX(3,MIN(15,N($D$18))),IFERROR(LARGE('Calc (scoring engine)'!$K$5:$K$523,12),-999999)&lt;=-900000),"",IFERROR(IF(INDEX(Database!$W$5:$W$523,MATCH(LARGE('Calc (scoring engine)'!$K$5:$K$523,12),'Calc (scoring engine)'!$K$5:$K$523,0))="","—",INDEX(Database!$W$5:$W$523,MATCH(LARGE('Calc (scoring engine)'!$K$5:$K$523,12),'Calc (scoring engine)'!$K$5:$K$523,0))),""))</f>
        <v/>
      </c>
      <c r="V32" s="10">
        <f>IF(OR(12&gt;MAX(3,MIN(15,N($D$18))),IFERROR(LARGE('Calc (scoring engine)'!$K$5:$K$523,12),-999999)&lt;=-900000),"",IFERROR(IF(INDEX(Database!$X$5:$X$523,MATCH(LARGE('Calc (scoring engine)'!$K$5:$K$523,12),'Calc (scoring engine)'!$K$5:$K$523,0))="","—",INDEX(Database!$X$5:$X$523,MATCH(LARGE('Calc (scoring engine)'!$K$5:$K$523,12),'Calc (scoring engine)'!$K$5:$K$523,0))),""))</f>
        <v/>
      </c>
      <c r="W32" s="19">
        <f>IF(OR(12&gt;MAX(3,MIN(15,N($D$18))),IFERROR(LARGE('Calc (scoring engine)'!$K$5:$K$523,12),-999999)&lt;=-900000),"",IFERROR(IF(INDEX(Database!$Y$5:$Y$523,MATCH(LARGE('Calc (scoring engine)'!$K$5:$K$523,12),'Calc (scoring engine)'!$K$5:$K$523,0))="","—",INDEX(Database!$Y$5:$Y$523,MATCH(LARGE('Calc (scoring engine)'!$K$5:$K$523,12),'Calc (scoring engine)'!$K$5:$K$523,0))),""))</f>
        <v/>
      </c>
      <c r="X32" s="19">
        <f>IF(OR(12&gt;MAX(3,MIN(15,N($D$18))),IFERROR(LARGE('Calc (scoring engine)'!$K$5:$K$523,12),-999999)&lt;=-900000),"",IFERROR(IF(INDEX(Database!$Z$5:$Z$523,MATCH(LARGE('Calc (scoring engine)'!$K$5:$K$523,12),'Calc (scoring engine)'!$K$5:$K$523,0))="","—",INDEX(Database!$Z$5:$Z$523,MATCH(LARGE('Calc (scoring engine)'!$K$5:$K$523,12),'Calc (scoring engine)'!$K$5:$K$523,0))),""))</f>
        <v/>
      </c>
      <c r="Y32" s="31">
        <f>IF(OR(12&gt;MAX(3,MIN(15,N($D$18))),IFERROR(LARGE('Calc (scoring engine)'!$K$5:$K$523,12),-999999)&lt;=-900000),"",IFERROR(IF(INDEX(Database!$AA$5:$AA$523,MATCH(LARGE('Calc (scoring engine)'!$K$5:$K$523,12),'Calc (scoring engine)'!$K$5:$K$523,0))="","—",INDEX(Database!$AA$5:$AA$523,MATCH(LARGE('Calc (scoring engine)'!$K$5:$K$523,12),'Calc (scoring engine)'!$K$5:$K$523,0))),""))</f>
        <v/>
      </c>
      <c r="Z32" s="10">
        <f>IF(OR(12&gt;MAX(3,MIN(15,N($D$18))),IFERROR(LARGE('Calc (scoring engine)'!$K$5:$K$523,12),-999999)&lt;=-900000),"",IFERROR(IF(INDEX(Database!$AB$5:$AB$523,MATCH(LARGE('Calc (scoring engine)'!$K$5:$K$523,12),'Calc (scoring engine)'!$K$5:$K$523,0))="","—",INDEX(Database!$AB$5:$AB$523,MATCH(LARGE('Calc (scoring engine)'!$K$5:$K$523,12),'Calc (scoring engine)'!$K$5:$K$523,0))),""))</f>
        <v/>
      </c>
      <c r="AA32" s="31">
        <f>IF(OR(12&gt;MAX(3,MIN(15,N($D$18))),IFERROR(LARGE('Calc (scoring engine)'!$K$5:$K$523,12),-999999)&lt;=-900000),"",IFERROR(IF(INDEX(Database!$AD$5:$AD$523,MATCH(LARGE('Calc (scoring engine)'!$K$5:$K$523,12),'Calc (scoring engine)'!$K$5:$K$523,0))="","—",INDEX(Database!$AD$5:$AD$523,MATCH(LARGE('Calc (scoring engine)'!$K$5:$K$523,12),'Calc (scoring engine)'!$K$5:$K$523,0))),""))</f>
        <v/>
      </c>
      <c r="AB32" s="10">
        <f>IF(OR(12&gt;MAX(3,MIN(15,N($D$18))),IFERROR(LARGE('Calc (scoring engine)'!$K$5:$K$523,12),-999999)&lt;=-900000),"",IFERROR(IF(INDEX(Database!$AE$5:$AE$523,MATCH(LARGE('Calc (scoring engine)'!$K$5:$K$523,12),'Calc (scoring engine)'!$K$5:$K$523,0))="","—",INDEX(Database!$AE$5:$AE$523,MATCH(LARGE('Calc (scoring engine)'!$K$5:$K$523,12),'Calc (scoring engine)'!$K$5:$K$523,0))),""))</f>
        <v/>
      </c>
      <c r="AC32" s="10">
        <f>IF(OR(12&gt;MAX(3,MIN(15,N($D$18))),IFERROR(LARGE('Calc (scoring engine)'!$K$5:$K$523,12),-999999)&lt;=-900000),"",IFERROR(IF(INDEX(Database!$AF$5:$AF$523,MATCH(LARGE('Calc (scoring engine)'!$K$5:$K$523,12),'Calc (scoring engine)'!$K$5:$K$523,0))="","—",INDEX(Database!$AF$5:$AF$523,MATCH(LARGE('Calc (scoring engine)'!$K$5:$K$523,12),'Calc (scoring engine)'!$K$5:$K$523,0))),""))</f>
        <v/>
      </c>
      <c r="AD32" s="10">
        <f>IF(OR(12&gt;MAX(3,MIN(15,N($D$18))),IFERROR(LARGE('Calc (scoring engine)'!$K$5:$K$523,12),-999999)&lt;=-900000),"",IFERROR(IF(INDEX(Database!$AG$5:$AG$523,MATCH(LARGE('Calc (scoring engine)'!$K$5:$K$523,12),'Calc (scoring engine)'!$K$5:$K$523,0))="","—",INDEX(Database!$AG$5:$AG$523,MATCH(LARGE('Calc (scoring engine)'!$K$5:$K$523,12),'Calc (scoring engine)'!$K$5:$K$523,0))),""))</f>
        <v/>
      </c>
      <c r="AE32" s="10">
        <f>IF(OR(12&gt;MAX(3,MIN(15,N($D$18))),IFERROR(LARGE('Calc (scoring engine)'!$K$5:$K$523,12),-999999)&lt;=-900000),"",IFERROR(IF(INDEX(Database!$AH$5:$AH$523,MATCH(LARGE('Calc (scoring engine)'!$K$5:$K$523,12),'Calc (scoring engine)'!$K$5:$K$523,0))="","—",INDEX(Database!$AH$5:$AH$523,MATCH(LARGE('Calc (scoring engine)'!$K$5:$K$523,12),'Calc (scoring engine)'!$K$5:$K$523,0))),""))</f>
        <v/>
      </c>
      <c r="AF32" s="23">
        <f>IF(OR(12&gt;MAX(3,MIN(15,N($D$18))),IFERROR(LARGE('Calc (scoring engine)'!$K$5:$K$523,12),-999999)&lt;=-900000),"",IFERROR(IF(INDEX(Database!$AI$5:$AI$523,MATCH(LARGE('Calc (scoring engine)'!$K$5:$K$523,12),'Calc (scoring engine)'!$K$5:$K$523,0))="","—",INDEX(Database!$AI$5:$AI$523,MATCH(LARGE('Calc (scoring engine)'!$K$5:$K$523,12),'Calc (scoring engine)'!$K$5:$K$523,0))),""))</f>
        <v/>
      </c>
      <c r="AG32" s="23">
        <f>IF(OR(12&gt;MAX(3,MIN(15,N($D$18))),IFERROR(LARGE('Calc (scoring engine)'!$K$5:$K$523,12),-999999)&lt;=-900000),"",IFERROR(IF(INDEX(Database!$AJ$5:$AJ$523,MATCH(LARGE('Calc (scoring engine)'!$K$5:$K$523,12),'Calc (scoring engine)'!$K$5:$K$523,0))="","—",INDEX(Database!$AJ$5:$AJ$523,MATCH(LARGE('Calc (scoring engine)'!$K$5:$K$523,12),'Calc (scoring engine)'!$K$5:$K$523,0))),""))</f>
        <v/>
      </c>
      <c r="AH32" s="23">
        <f>IF(OR(12&gt;MAX(3,MIN(15,N($D$18))),IFERROR(LARGE('Calc (scoring engine)'!$K$5:$K$523,12),-999999)&lt;=-900000),"",IFERROR(IF(INDEX(Database!$AK$5:$AK$523,MATCH(LARGE('Calc (scoring engine)'!$K$5:$K$523,12),'Calc (scoring engine)'!$K$5:$K$523,0))="","—",INDEX(Database!$AK$5:$AK$523,MATCH(LARGE('Calc (scoring engine)'!$K$5:$K$523,12),'Calc (scoring engine)'!$K$5:$K$523,0))),""))</f>
        <v/>
      </c>
      <c r="AI32" s="23">
        <f>IF(OR(12&gt;MAX(3,MIN(15,N($D$18))),IFERROR(LARGE('Calc (scoring engine)'!$K$5:$K$523,12),-999999)&lt;=-900000),"",IFERROR(IF(INDEX(Database!$AL$5:$AL$523,MATCH(LARGE('Calc (scoring engine)'!$K$5:$K$523,12),'Calc (scoring engine)'!$K$5:$K$523,0))="","—",INDEX(Database!$AL$5:$AL$523,MATCH(LARGE('Calc (scoring engine)'!$K$5:$K$523,12),'Calc (scoring engine)'!$K$5:$K$523,0))),""))</f>
        <v/>
      </c>
      <c r="AJ32" s="24">
        <f>IF(OR(12&gt;MAX(3,MIN(15,N($D$18))),IFERROR(LARGE('Calc (scoring engine)'!$K$5:$K$523,12),-999999)&lt;=-900000),"",IFERROR(IF(INDEX(Database!$AM$5:$AM$523,MATCH(LARGE('Calc (scoring engine)'!$K$5:$K$523,12),'Calc (scoring engine)'!$K$5:$K$523,0))="","—",INDEX(Database!$AM$5:$AM$523,MATCH(LARGE('Calc (scoring engine)'!$K$5:$K$523,12),'Calc (scoring engine)'!$K$5:$K$523,0))),""))</f>
        <v/>
      </c>
      <c r="AK32" s="31">
        <f>IF(OR(12&gt;MAX(3,MIN(15,N($D$18))),IFERROR(LARGE('Calc (scoring engine)'!$K$5:$K$523,12),-999999)&lt;=-900000),"",IFERROR(IF(INDEX(Database!$AN$5:$AN$523,MATCH(LARGE('Calc (scoring engine)'!$K$5:$K$523,12),'Calc (scoring engine)'!$K$5:$K$523,0))="","—",INDEX(Database!$AN$5:$AN$523,MATCH(LARGE('Calc (scoring engine)'!$K$5:$K$523,12),'Calc (scoring engine)'!$K$5:$K$523,0))),""))</f>
        <v/>
      </c>
      <c r="AL32" s="23">
        <f>IF(OR(12&gt;MAX(3,MIN(15,N($D$18))),IFERROR(LARGE('Calc (scoring engine)'!$K$5:$K$523,12),-999999)&lt;=-900000),"",IFERROR(IF(INDEX(Database!$AO$5:$AO$523,MATCH(LARGE('Calc (scoring engine)'!$K$5:$K$523,12),'Calc (scoring engine)'!$K$5:$K$523,0))="","—",INDEX(Database!$AO$5:$AO$523,MATCH(LARGE('Calc (scoring engine)'!$K$5:$K$523,12),'Calc (scoring engine)'!$K$5:$K$523,0))),""))</f>
        <v/>
      </c>
      <c r="AM32" s="23">
        <f>IF(OR(12&gt;MAX(3,MIN(15,N($D$18))),IFERROR(LARGE('Calc (scoring engine)'!$K$5:$K$523,12),-999999)&lt;=-900000),"",IFERROR(IF(INDEX(Database!$AP$5:$AP$523,MATCH(LARGE('Calc (scoring engine)'!$K$5:$K$523,12),'Calc (scoring engine)'!$K$5:$K$523,0))="","—",INDEX(Database!$AP$5:$AP$523,MATCH(LARGE('Calc (scoring engine)'!$K$5:$K$523,12),'Calc (scoring engine)'!$K$5:$K$523,0))),""))</f>
        <v/>
      </c>
      <c r="AN32" s="23">
        <f>IF(OR(12&gt;MAX(3,MIN(15,N($D$18))),IFERROR(LARGE('Calc (scoring engine)'!$K$5:$K$523,12),-999999)&lt;=-900000),"",IFERROR(IF(INDEX(Database!$AQ$5:$AQ$523,MATCH(LARGE('Calc (scoring engine)'!$K$5:$K$523,12),'Calc (scoring engine)'!$K$5:$K$523,0))="","—",INDEX(Database!$AQ$5:$AQ$523,MATCH(LARGE('Calc (scoring engine)'!$K$5:$K$523,12),'Calc (scoring engine)'!$K$5:$K$523,0))),""))</f>
        <v/>
      </c>
      <c r="AO32" s="23">
        <f>IF(OR(12&gt;MAX(3,MIN(15,N($D$18))),IFERROR(LARGE('Calc (scoring engine)'!$K$5:$K$523,12),-999999)&lt;=-900000),"",IFERROR(IF(INDEX(Database!$AR$5:$AR$523,MATCH(LARGE('Calc (scoring engine)'!$K$5:$K$523,12),'Calc (scoring engine)'!$K$5:$K$523,0))="","—",INDEX(Database!$AR$5:$AR$523,MATCH(LARGE('Calc (scoring engine)'!$K$5:$K$523,12),'Calc (scoring engine)'!$K$5:$K$523,0))),""))</f>
        <v/>
      </c>
      <c r="AP32" s="23">
        <f>IF(OR(12&gt;MAX(3,MIN(15,N($D$18))),IFERROR(LARGE('Calc (scoring engine)'!$K$5:$K$523,12),-999999)&lt;=-900000),"",IFERROR(IF(INDEX(Database!$AS$5:$AS$523,MATCH(LARGE('Calc (scoring engine)'!$K$5:$K$523,12),'Calc (scoring engine)'!$K$5:$K$523,0))="","—",INDEX(Database!$AS$5:$AS$523,MATCH(LARGE('Calc (scoring engine)'!$K$5:$K$523,12),'Calc (scoring engine)'!$K$5:$K$523,0))),""))</f>
        <v/>
      </c>
      <c r="AQ32" s="23">
        <f>IF(OR(12&gt;MAX(3,MIN(15,N($D$18))),IFERROR(LARGE('Calc (scoring engine)'!$K$5:$K$523,12),-999999)&lt;=-900000),"",IFERROR(IF(INDEX(Database!$AT$5:$AT$523,MATCH(LARGE('Calc (scoring engine)'!$K$5:$K$523,12),'Calc (scoring engine)'!$K$5:$K$523,0))="","—",INDEX(Database!$AT$5:$AT$523,MATCH(LARGE('Calc (scoring engine)'!$K$5:$K$523,12),'Calc (scoring engine)'!$K$5:$K$523,0))),""))</f>
        <v/>
      </c>
      <c r="AR32" s="23">
        <f>IF(OR(12&gt;MAX(3,MIN(15,N($D$18))),IFERROR(LARGE('Calc (scoring engine)'!$K$5:$K$523,12),-999999)&lt;=-900000),"",IFERROR(IF(INDEX(Database!$AU$5:$AU$523,MATCH(LARGE('Calc (scoring engine)'!$K$5:$K$523,12),'Calc (scoring engine)'!$K$5:$K$523,0))="","—",INDEX(Database!$AU$5:$AU$523,MATCH(LARGE('Calc (scoring engine)'!$K$5:$K$523,12),'Calc (scoring engine)'!$K$5:$K$523,0))),""))</f>
        <v/>
      </c>
      <c r="AS32" s="23">
        <f>IF(OR(12&gt;MAX(3,MIN(15,N($D$18))),IFERROR(LARGE('Calc (scoring engine)'!$K$5:$K$523,12),-999999)&lt;=-900000),"",IFERROR(IF(INDEX(Database!$AV$5:$AV$523,MATCH(LARGE('Calc (scoring engine)'!$K$5:$K$523,12),'Calc (scoring engine)'!$K$5:$K$523,0))="","—",INDEX(Database!$AV$5:$AV$523,MATCH(LARGE('Calc (scoring engine)'!$K$5:$K$523,12),'Calc (scoring engine)'!$K$5:$K$523,0))),""))</f>
        <v/>
      </c>
      <c r="AT32" s="23">
        <f>IF(OR(12&gt;MAX(3,MIN(15,N($D$18))),IFERROR(LARGE('Calc (scoring engine)'!$K$5:$K$523,12),-999999)&lt;=-900000),"",IFERROR(IF(INDEX(Database!$AW$5:$AW$523,MATCH(LARGE('Calc (scoring engine)'!$K$5:$K$523,12),'Calc (scoring engine)'!$K$5:$K$523,0))="","—",INDEX(Database!$AW$5:$AW$523,MATCH(LARGE('Calc (scoring engine)'!$K$5:$K$523,12),'Calc (scoring engine)'!$K$5:$K$523,0))),""))</f>
        <v/>
      </c>
      <c r="AU32" s="23">
        <f>IF(OR(12&gt;MAX(3,MIN(15,N($D$18))),IFERROR(LARGE('Calc (scoring engine)'!$K$5:$K$523,12),-999999)&lt;=-900000),"",IFERROR(IF(INDEX(Database!$AX$5:$AX$523,MATCH(LARGE('Calc (scoring engine)'!$K$5:$K$523,12),'Calc (scoring engine)'!$K$5:$K$523,0))="","—",INDEX(Database!$AX$5:$AX$523,MATCH(LARGE('Calc (scoring engine)'!$K$5:$K$523,12),'Calc (scoring engine)'!$K$5:$K$523,0))),""))</f>
        <v/>
      </c>
      <c r="AV32" s="23">
        <f>IF(OR(12&gt;MAX(3,MIN(15,N($D$18))),IFERROR(LARGE('Calc (scoring engine)'!$K$5:$K$523,12),-999999)&lt;=-900000),"",IFERROR(IF(INDEX(Database!$AY$5:$AY$523,MATCH(LARGE('Calc (scoring engine)'!$K$5:$K$523,12),'Calc (scoring engine)'!$K$5:$K$523,0))="","—",INDEX(Database!$AY$5:$AY$523,MATCH(LARGE('Calc (scoring engine)'!$K$5:$K$523,12),'Calc (scoring engine)'!$K$5:$K$523,0))),""))</f>
        <v/>
      </c>
      <c r="AW32" s="23">
        <f>IF(OR(12&gt;MAX(3,MIN(15,N($D$18))),IFERROR(LARGE('Calc (scoring engine)'!$K$5:$K$523,12),-999999)&lt;=-900000),"",IFERROR(IF(INDEX(Database!$AZ$5:$AZ$523,MATCH(LARGE('Calc (scoring engine)'!$K$5:$K$523,12),'Calc (scoring engine)'!$K$5:$K$523,0))="","—",INDEX(Database!$AZ$5:$AZ$523,MATCH(LARGE('Calc (scoring engine)'!$K$5:$K$523,12),'Calc (scoring engine)'!$K$5:$K$523,0))),""))</f>
        <v/>
      </c>
      <c r="AX32" s="23">
        <f>IF(OR(12&gt;MAX(3,MIN(15,N($D$18))),IFERROR(LARGE('Calc (scoring engine)'!$K$5:$K$523,12),-999999)&lt;=-900000),"",IFERROR(IF(INDEX(Database!$BB$5:$BB$523,MATCH(LARGE('Calc (scoring engine)'!$K$5:$K$523,12),'Calc (scoring engine)'!$K$5:$K$523,0))="","—",INDEX(Database!$BB$5:$BB$523,MATCH(LARGE('Calc (scoring engine)'!$K$5:$K$523,12),'Calc (scoring engine)'!$K$5:$K$523,0))),""))</f>
        <v/>
      </c>
      <c r="AY32" s="19">
        <f>IF(OR(12&gt;MAX(3,MIN(15,N($D$18))),IFERROR(LARGE('Calc (scoring engine)'!$K$5:$K$523,12),-999999)&lt;=-900000),"",IFERROR(IF(INDEX(Database!$BD$5:$BD$523,MATCH(LARGE('Calc (scoring engine)'!$K$5:$K$523,12),'Calc (scoring engine)'!$K$5:$K$523,0))="","—",INDEX(Database!$BD$5:$BD$523,MATCH(LARGE('Calc (scoring engine)'!$K$5:$K$523,12),'Calc (scoring engine)'!$K$5:$K$523,0))),""))</f>
        <v/>
      </c>
      <c r="AZ32" s="19">
        <f>IF(OR(12&gt;MAX(3,MIN(15,N($D$18))),IFERROR(LARGE('Calc (scoring engine)'!$K$5:$K$523,12),-999999)&lt;=-900000),"",IFERROR(IF(INDEX(Database!$BE$5:$BE$523,MATCH(LARGE('Calc (scoring engine)'!$K$5:$K$523,12),'Calc (scoring engine)'!$K$5:$K$523,0))="","—",INDEX(Database!$BE$5:$BE$523,MATCH(LARGE('Calc (scoring engine)'!$K$5:$K$523,12),'Calc (scoring engine)'!$K$5:$K$523,0))),""))</f>
        <v/>
      </c>
      <c r="BA32" s="10">
        <f>IF(OR(12&gt;MAX(3,MIN(15,N($D$18))),IFERROR(LARGE('Calc (scoring engine)'!$K$5:$K$523,12),-999999)&lt;=-900000),"",IFERROR(IF(INDEX(Database!$BF$5:$BF$523,MATCH(LARGE('Calc (scoring engine)'!$K$5:$K$523,12),'Calc (scoring engine)'!$K$5:$K$523,0))="","—",INDEX(Database!$BF$5:$BF$523,MATCH(LARGE('Calc (scoring engine)'!$K$5:$K$523,12),'Calc (scoring engine)'!$K$5:$K$523,0))),""))</f>
        <v/>
      </c>
      <c r="BB32" s="24">
        <f>IF(OR(12&gt;MAX(3,MIN(15,N($D$18))),IFERROR(LARGE('Calc (scoring engine)'!$K$5:$K$523,12),-999999)&lt;=-900000),"",IFERROR(IF(N(INDEX(Database!$BG$5:$BG$523,MATCH(LARGE('Calc (scoring engine)'!$K$5:$K$523,12),'Calc (scoring engine)'!$K$5:$K$523,0)))&lt;=0,IF(INDEX(Database!$BF$5:$BF$523,MATCH(LARGE('Calc (scoring engine)'!$K$5:$K$523,12),'Calc (scoring engine)'!$K$5:$K$523,0))="N","n/m","—"),INDEX(Database!$BG$5:$BG$523,MATCH(LARGE('Calc (scoring engine)'!$K$5:$K$523,12),'Calc (scoring engine)'!$K$5:$K$523,0))),""))</f>
        <v/>
      </c>
      <c r="BC32" s="24">
        <f>IF(OR(12&gt;MAX(3,MIN(15,N($D$18))),IFERROR(LARGE('Calc (scoring engine)'!$K$5:$K$523,12),-999999)&lt;=-900000),"",IFERROR(IF(INDEX(Database!$BH$5:$BH$523,MATCH(LARGE('Calc (scoring engine)'!$K$5:$K$523,12),'Calc (scoring engine)'!$K$5:$K$523,0))="","—",INDEX(Database!$BH$5:$BH$523,MATCH(LARGE('Calc (scoring engine)'!$K$5:$K$523,12),'Calc (scoring engine)'!$K$5:$K$523,0))),""))</f>
        <v/>
      </c>
      <c r="BD32" s="24">
        <f>IF(OR(12&gt;MAX(3,MIN(15,N($D$18))),IFERROR(LARGE('Calc (scoring engine)'!$K$5:$K$523,12),-999999)&lt;=-900000),"",IFERROR(IF(INDEX(Database!$BI$5:$BI$523,MATCH(LARGE('Calc (scoring engine)'!$K$5:$K$523,12),'Calc (scoring engine)'!$K$5:$K$523,0))="","—",INDEX(Database!$BI$5:$BI$523,MATCH(LARGE('Calc (scoring engine)'!$K$5:$K$523,12),'Calc (scoring engine)'!$K$5:$K$523,0))),""))</f>
        <v/>
      </c>
      <c r="BE32" s="24">
        <f>IF(OR(12&gt;MAX(3,MIN(15,N($D$18))),IFERROR(LARGE('Calc (scoring engine)'!$K$5:$K$523,12),-999999)&lt;=-900000),"",IFERROR(IF(INDEX(Database!$BJ$5:$BJ$523,MATCH(LARGE('Calc (scoring engine)'!$K$5:$K$523,12),'Calc (scoring engine)'!$K$5:$K$523,0))="","—",INDEX(Database!$BJ$5:$BJ$523,MATCH(LARGE('Calc (scoring engine)'!$K$5:$K$523,12),'Calc (scoring engine)'!$K$5:$K$523,0))),""))</f>
        <v/>
      </c>
      <c r="BF32" s="24">
        <f>IF(OR(12&gt;MAX(3,MIN(15,N($D$18))),IFERROR(LARGE('Calc (scoring engine)'!$K$5:$K$523,12),-999999)&lt;=-900000),"",IFERROR(IF(INDEX(Database!$BK$5:$BK$523,MATCH(LARGE('Calc (scoring engine)'!$K$5:$K$523,12),'Calc (scoring engine)'!$K$5:$K$523,0))="","—",INDEX(Database!$BK$5:$BK$523,MATCH(LARGE('Calc (scoring engine)'!$K$5:$K$523,12),'Calc (scoring engine)'!$K$5:$K$523,0))),""))</f>
        <v/>
      </c>
      <c r="BG32" s="24">
        <f>IF(OR(12&gt;MAX(3,MIN(15,N($D$18))),IFERROR(LARGE('Calc (scoring engine)'!$K$5:$K$523,12),-999999)&lt;=-900000),"",IFERROR(IFERROR(BDP(TEXT(INDEX(Database!$A$5:$A$523,MATCH(LARGE('Calc (scoring engine)'!$K$5:$K$523,12),'Calc (scoring engine)'!$K$5:$K$523,0)),"0")&amp;" HK Equity","PE_RATIO"),IF(INDEX(Database!$BI$5:$BI$523,MATCH(LARGE('Calc (scoring engine)'!$K$5:$K$523,12),'Calc (scoring engine)'!$K$5:$K$523,0))="","—",INDEX(Database!$BI$5:$BI$523,MATCH(LARGE('Calc (scoring engine)'!$K$5:$K$523,12),'Calc (scoring engine)'!$K$5:$K$523,0)))),""))</f>
        <v/>
      </c>
      <c r="BH32" s="24">
        <f>IF(OR(12&gt;MAX(3,MIN(15,N($D$18))),IFERROR(LARGE('Calc (scoring engine)'!$K$5:$K$523,12),-999999)&lt;=-900000),"",IFERROR(IFERROR(BDP(TEXT(INDEX(Database!$A$5:$A$523,MATCH(LARGE('Calc (scoring engine)'!$K$5:$K$523,12),'Calc (scoring engine)'!$K$5:$K$523,0)),"0")&amp;" HK Equity","PX_TO_SALES_RATIO"),IF(INDEX(Database!$BJ$5:$BJ$523,MATCH(LARGE('Calc (scoring engine)'!$K$5:$K$523,12),'Calc (scoring engine)'!$K$5:$K$523,0))="","—",INDEX(Database!$BJ$5:$BJ$523,MATCH(LARGE('Calc (scoring engine)'!$K$5:$K$523,12),'Calc (scoring engine)'!$K$5:$K$523,0)))),""))</f>
        <v/>
      </c>
      <c r="BI32" s="10">
        <f>IF(OR(12&gt;MAX(3,MIN(15,N($D$18))),IFERROR(LARGE('Calc (scoring engine)'!$K$5:$K$523,12),-999999)&lt;=-900000),"",IFERROR(IF(INDEX(Database!$BL$5:$BL$523,MATCH(LARGE('Calc (scoring engine)'!$K$5:$K$523,12),'Calc (scoring engine)'!$K$5:$K$523,0))="","—",INDEX(Database!$BL$5:$BL$523,MATCH(LARGE('Calc (scoring engine)'!$K$5:$K$523,12),'Calc (scoring engine)'!$K$5:$K$523,0))),""))</f>
        <v/>
      </c>
      <c r="BJ32" s="10">
        <f>IF(OR(12&gt;MAX(3,MIN(15,N($D$18))),IFERROR(LARGE('Calc (scoring engine)'!$K$5:$K$523,12),-999999)&lt;=-900000),"",IFERROR(IF(INDEX(Database!$BM$5:$BM$523,MATCH(LARGE('Calc (scoring engine)'!$K$5:$K$523,12),'Calc (scoring engine)'!$K$5:$K$523,0))="","—",INDEX(Database!$BM$5:$BM$523,MATCH(LARGE('Calc (scoring engine)'!$K$5:$K$523,12),'Calc (scoring engine)'!$K$5:$K$523,0))),""))</f>
        <v/>
      </c>
      <c r="BK32" s="23">
        <f>IF(OR(12&gt;MAX(3,MIN(15,N($D$18))),IFERROR(LARGE('Calc (scoring engine)'!$K$5:$K$523,12),-999999)&lt;=-900000),"",IFERROR(IF(INDEX(Database!$BN$5:$BN$523,MATCH(LARGE('Calc (scoring engine)'!$K$5:$K$523,12),'Calc (scoring engine)'!$K$5:$K$523,0))="","—",INDEX(Database!$BN$5:$BN$523,MATCH(LARGE('Calc (scoring engine)'!$K$5:$K$523,12),'Calc (scoring engine)'!$K$5:$K$523,0))),""))</f>
        <v/>
      </c>
      <c r="BL32" s="50">
        <f>IF(OR(12&gt;MAX(3,MIN(15,N($D$18))),IFERROR(LARGE('Calc (scoring engine)'!$K$5:$K$523,12),-999999)&lt;=-900000),"",IFERROR(IF(INDEX(Database!$BO$5:$BO$523,MATCH(LARGE('Calc (scoring engine)'!$K$5:$K$523,12),'Calc (scoring engine)'!$K$5:$K$523,0))="","—",INDEX(Database!$BO$5:$BO$523,MATCH(LARGE('Calc (scoring engine)'!$K$5:$K$523,12),'Calc (scoring engine)'!$K$5:$K$523,0))),""))</f>
        <v/>
      </c>
      <c r="BM32" s="54">
        <f>IF(OR(12&gt;MAX(3,MIN(15,N($D$18))),IFERROR(LARGE('Calc (scoring engine)'!$K$5:$K$523,12),-999999)&lt;=-900000),"",IFERROR(IF(INDEX(Database!$BP$5:$BP$523,MATCH(LARGE('Calc (scoring engine)'!$K$5:$K$523,12),'Calc (scoring engine)'!$K$5:$K$523,0))="","—",INDEX(Database!$BP$5:$BP$523,MATCH(LARGE('Calc (scoring engine)'!$K$5:$K$523,12),'Calc (scoring engine)'!$K$5:$K$523,0))),""))</f>
        <v/>
      </c>
      <c r="BN32" s="19">
        <f>IF(OR(12&gt;MAX(3,MIN(15,N($D$18))),IFERROR(LARGE('Calc (scoring engine)'!$K$5:$K$523,12),-999999)&lt;=-900000),"",IFERROR(IF(INDEX(Database!$BQ$5:$BQ$523,MATCH(LARGE('Calc (scoring engine)'!$K$5:$K$523,12),'Calc (scoring engine)'!$K$5:$K$523,0))="","—",INDEX(Database!$BQ$5:$BQ$523,MATCH(LARGE('Calc (scoring engine)'!$K$5:$K$523,12),'Calc (scoring engine)'!$K$5:$K$523,0))),""))</f>
        <v/>
      </c>
      <c r="BO32" s="24">
        <f>IF(OR(12&gt;MAX(3,MIN(15,N($D$18))),IFERROR(LARGE('Calc (scoring engine)'!$K$5:$K$523,12),-999999)&lt;=-900000),"",IFERROR(IF(INDEX(Database!$BR$5:$BR$523,MATCH(LARGE('Calc (scoring engine)'!$K$5:$K$523,12),'Calc (scoring engine)'!$K$5:$K$523,0))="","—",INDEX(Database!$BR$5:$BR$523,MATCH(LARGE('Calc (scoring engine)'!$K$5:$K$523,12),'Calc (scoring engine)'!$K$5:$K$523,0))),""))</f>
        <v/>
      </c>
      <c r="BP32" s="24">
        <f>IF(OR(12&gt;MAX(3,MIN(15,N($D$18))),IFERROR(LARGE('Calc (scoring engine)'!$K$5:$K$523,12),-999999)&lt;=-900000),"",IFERROR(IF(INDEX(Database!$BS$5:$BS$523,MATCH(LARGE('Calc (scoring engine)'!$K$5:$K$523,12),'Calc (scoring engine)'!$K$5:$K$523,0))="","—",INDEX(Database!$BS$5:$BS$523,MATCH(LARGE('Calc (scoring engine)'!$K$5:$K$523,12),'Calc (scoring engine)'!$K$5:$K$523,0))),""))</f>
        <v/>
      </c>
      <c r="BQ32" s="10">
        <f>IF(OR(12&gt;MAX(3,MIN(15,N($D$18))),IFERROR(LARGE('Calc (scoring engine)'!$K$5:$K$523,12),-999999)&lt;=-900000),"",IFERROR(IF(INDEX(Database!$BT$5:$BT$523,MATCH(LARGE('Calc (scoring engine)'!$K$5:$K$523,12),'Calc (scoring engine)'!$K$5:$K$523,0))="","—",INDEX(Database!$BT$5:$BT$523,MATCH(LARGE('Calc (scoring engine)'!$K$5:$K$523,12),'Calc (scoring engine)'!$K$5:$K$523,0))),""))</f>
        <v/>
      </c>
      <c r="BR32" s="10">
        <f>IF(OR(12&gt;MAX(3,MIN(15,N($D$18))),IFERROR(LARGE('Calc (scoring engine)'!$K$5:$K$523,12),-999999)&lt;=-900000),"",IFERROR(IF(INDEX(Database!$BV$5:$BV$523,MATCH(LARGE('Calc (scoring engine)'!$K$5:$K$523,12),'Calc (scoring engine)'!$K$5:$K$523,0))="","—",INDEX(Database!$BV$5:$BV$523,MATCH(LARGE('Calc (scoring engine)'!$K$5:$K$523,12),'Calc (scoring engine)'!$K$5:$K$523,0))),""))</f>
        <v/>
      </c>
      <c r="BS32" s="53">
        <f>IF(OR(12&gt;MAX(3,MIN(15,N($D$18))),IFERROR(LARGE('Calc (scoring engine)'!$K$5:$K$523,12),-999999)&lt;=-900000),"",IFERROR(IF(INDEX('Calc (scoring engine)'!$H$5:$H$523,MATCH(LARGE('Calc (scoring engine)'!$K$5:$K$523,12),'Calc (scoring engine)'!$K$5:$K$523,0))&gt;0,INDEX('Calc (scoring engine)'!$H$5:$H$523,MATCH(LARGE('Calc (scoring engine)'!$K$5:$K$523,12),'Calc (scoring engine)'!$K$5:$K$523,0)),""),""))</f>
        <v/>
      </c>
      <c r="BT32" s="10">
        <f>IF(OR(12&gt;MAX(3,MIN(15,N($D$18))),IFERROR(LARGE('Calc (scoring engine)'!$K$5:$K$523,12),-999999)&lt;=-900000),"",IF(IFERROR(INDEX('Calc (scoring engine)'!$B$5:$B$523,MATCH(LARGE('Calc (scoring engine)'!$K$5:$K$523,12),'Calc (scoring engine)'!$K$5:$K$523,0)),0)=1,"same subsector","sector only"))</f>
        <v/>
      </c>
      <c r="BU32" s="53">
        <f>IF(OR(12&gt;MAX(3,MIN(15,N($D$18))),IFERROR(LARGE('Calc (scoring engine)'!$K$5:$K$523,12),-999999)&lt;=-900000),"",ROUND(IFERROR(LARGE('Calc (scoring engine)'!$K$5:$K$523,12),0),0))</f>
        <v/>
      </c>
      <c r="BV32" s="10">
        <f>IF(OR(12&gt;MAX(3,MIN(15,N($D$18))),IFERROR(LARGE('Calc (scoring engine)'!$K$5:$K$523,12),-999999)&lt;=-900000),"",IFERROR("sub "&amp;INDEX('Calc (scoring engine)'!$B$5:$B$523,MATCH(LARGE('Calc (scoring engine)'!$K$5:$K$523,12),'Calc (scoring engine)'!$K$5:$K$523,0))*W_SUB&amp;" + size "&amp;ROUND(INDEX('Calc (scoring engine)'!$D$5:$D$523,MATCH(LARGE('Calc (scoring engine)'!$K$5:$K$523,12),'Calc (scoring engine)'!$K$5:$K$523,0))*W_SIZE,0)&amp;" + prof "&amp;INDEX('Calc (scoring engine)'!$E$5:$E$523,MATCH(LARGE('Calc (scoring engine)'!$K$5:$K$523,12),'Calc (scoring engine)'!$K$5:$K$523,0))*W_PROF&amp;" + recency "&amp;ROUND(INDEX('Calc (scoring engine)'!$G$5:$G$523,MATCH(LARGE('Calc (scoring engine)'!$K$5:$K$523,12),'Calc (scoring engine)'!$K$5:$K$523,0))*W_REC,0)&amp;IF(INDEX('Calc (scoring engine)'!$H$5:$H$523,MATCH(LARGE('Calc (scoring engine)'!$K$5:$K$523,12),'Calc (scoring engine)'!$K$5:$K$523,0))&gt;0," + shared CS x"&amp;INDEX('Calc (scoring engine)'!$H$5:$H$523,MATCH(LARGE('Calc (scoring engine)'!$K$5:$K$523,12),'Calc (scoring engine)'!$K$5:$K$523,0)),""),""))</f>
        <v/>
      </c>
    </row>
    <row r="33">
      <c r="A33" s="48">
        <f>IF(OR(13&gt;MAX(3,MIN(15,N($D$18))),IFERROR(LARGE('Calc (scoring engine)'!$K$5:$K$523,13),-999999)&lt;=-900000),"",13)</f>
        <v/>
      </c>
      <c r="B33" s="10">
        <f>IF(OR(13&gt;MAX(3,MIN(15,N($D$18))),IFERROR(LARGE('Calc (scoring engine)'!$K$5:$K$523,13),-999999)&lt;=-900000),"",IFERROR(IF(INDEX(Database!$B$5:$B$523,MATCH(LARGE('Calc (scoring engine)'!$K$5:$K$523,13),'Calc (scoring engine)'!$K$5:$K$523,0))="","—",INDEX(Database!$B$5:$B$523,MATCH(LARGE('Calc (scoring engine)'!$K$5:$K$523,13),'Calc (scoring engine)'!$K$5:$K$523,0))),""))</f>
        <v/>
      </c>
      <c r="C33" s="49">
        <f>IF(OR(13&gt;MAX(3,MIN(15,N($D$18))),IFERROR(LARGE('Calc (scoring engine)'!$K$5:$K$523,13),-999999)&lt;=-900000),"",IFERROR(IF(INDEX(Database!$A$5:$A$523,MATCH(LARGE('Calc (scoring engine)'!$K$5:$K$523,13),'Calc (scoring engine)'!$K$5:$K$523,0))="","—",INDEX(Database!$A$5:$A$523,MATCH(LARGE('Calc (scoring engine)'!$K$5:$K$523,13),'Calc (scoring engine)'!$K$5:$K$523,0))),""))</f>
        <v/>
      </c>
      <c r="D33" s="10">
        <f>IF(OR(13&gt;MAX(3,MIN(15,N($D$18))),IFERROR(LARGE('Calc (scoring engine)'!$K$5:$K$523,13),-999999)&lt;=-900000),"",IFERROR(IF(INDEX(Database!$D$5:$D$523,MATCH(LARGE('Calc (scoring engine)'!$K$5:$K$523,13),'Calc (scoring engine)'!$K$5:$K$523,0))="","—",INDEX(Database!$D$5:$D$523,MATCH(LARGE('Calc (scoring engine)'!$K$5:$K$523,13),'Calc (scoring engine)'!$K$5:$K$523,0))),""))</f>
        <v/>
      </c>
      <c r="E33" s="10">
        <f>IF(OR(13&gt;MAX(3,MIN(15,N($D$18))),IFERROR(LARGE('Calc (scoring engine)'!$K$5:$K$523,13),-999999)&lt;=-900000),"",IFERROR(IF(INDEX(Database!$E$5:$E$523,MATCH(LARGE('Calc (scoring engine)'!$K$5:$K$523,13),'Calc (scoring engine)'!$K$5:$K$523,0))="","—",INDEX(Database!$E$5:$E$523,MATCH(LARGE('Calc (scoring engine)'!$K$5:$K$523,13),'Calc (scoring engine)'!$K$5:$K$523,0))),""))</f>
        <v/>
      </c>
      <c r="F33" s="10">
        <f>IF(OR(13&gt;MAX(3,MIN(15,N($D$18))),IFERROR(LARGE('Calc (scoring engine)'!$K$5:$K$523,13),-999999)&lt;=-900000),"",IFERROR(IF(INDEX(Database!$F$5:$F$523,MATCH(LARGE('Calc (scoring engine)'!$K$5:$K$523,13),'Calc (scoring engine)'!$K$5:$K$523,0))="","—",INDEX(Database!$F$5:$F$523,MATCH(LARGE('Calc (scoring engine)'!$K$5:$K$523,13),'Calc (scoring engine)'!$K$5:$K$523,0))),""))</f>
        <v/>
      </c>
      <c r="G33" s="10">
        <f>IF(OR(13&gt;MAX(3,MIN(15,N($D$18))),IFERROR(LARGE('Calc (scoring engine)'!$K$5:$K$523,13),-999999)&lt;=-900000),"",IFERROR(IF(INDEX(Database!$G$5:$G$523,MATCH(LARGE('Calc (scoring engine)'!$K$5:$K$523,13),'Calc (scoring engine)'!$K$5:$K$523,0))="","—",INDEX(Database!$G$5:$G$523,MATCH(LARGE('Calc (scoring engine)'!$K$5:$K$523,13),'Calc (scoring engine)'!$K$5:$K$523,0))),""))</f>
        <v/>
      </c>
      <c r="H33" s="21">
        <f>IF(OR(13&gt;MAX(3,MIN(15,N($D$18))),IFERROR(LARGE('Calc (scoring engine)'!$K$5:$K$523,13),-999999)&lt;=-900000),"",IFERROR(IF(INDEX(Database!$H$5:$H$523,MATCH(LARGE('Calc (scoring engine)'!$K$5:$K$523,13),'Calc (scoring engine)'!$K$5:$K$523,0))="","—",INDEX(Database!$H$5:$H$523,MATCH(LARGE('Calc (scoring engine)'!$K$5:$K$523,13),'Calc (scoring engine)'!$K$5:$K$523,0))),""))</f>
        <v/>
      </c>
      <c r="I33" s="19">
        <f>IF(OR(13&gt;MAX(3,MIN(15,N($D$18))),IFERROR(LARGE('Calc (scoring engine)'!$K$5:$K$523,13),-999999)&lt;=-900000),"",IFERROR(IF(INDEX(Database!$I$5:$I$523,MATCH(LARGE('Calc (scoring engine)'!$K$5:$K$523,13),'Calc (scoring engine)'!$K$5:$K$523,0))="","—",INDEX(Database!$I$5:$I$523,MATCH(LARGE('Calc (scoring engine)'!$K$5:$K$523,13),'Calc (scoring engine)'!$K$5:$K$523,0))),""))</f>
        <v/>
      </c>
      <c r="J33" s="50">
        <f>IF(OR(13&gt;MAX(3,MIN(15,N($D$18))),IFERROR(LARGE('Calc (scoring engine)'!$K$5:$K$523,13),-999999)&lt;=-900000),"",IFERROR(IF(INDEX(Database!$K$5:$K$523,MATCH(LARGE('Calc (scoring engine)'!$K$5:$K$523,13),'Calc (scoring engine)'!$K$5:$K$523,0))="","—",INDEX(Database!$K$5:$K$523,MATCH(LARGE('Calc (scoring engine)'!$K$5:$K$523,13),'Calc (scoring engine)'!$K$5:$K$523,0))),""))</f>
        <v/>
      </c>
      <c r="K33" s="50">
        <f>IF(OR(13&gt;MAX(3,MIN(15,N($D$18))),IFERROR(LARGE('Calc (scoring engine)'!$K$5:$K$523,13),-999999)&lt;=-900000),"",IFERROR(IF(INDEX(Database!$L$5:$L$523,MATCH(LARGE('Calc (scoring engine)'!$K$5:$K$523,13),'Calc (scoring engine)'!$K$5:$K$523,0))="","—",INDEX(Database!$L$5:$L$523,MATCH(LARGE('Calc (scoring engine)'!$K$5:$K$523,13),'Calc (scoring engine)'!$K$5:$K$523,0))),""))</f>
        <v/>
      </c>
      <c r="L33" s="50">
        <f>IF(OR(13&gt;MAX(3,MIN(15,N($D$18))),IFERROR(LARGE('Calc (scoring engine)'!$K$5:$K$523,13),-999999)&lt;=-900000),"",IFERROR(IF(INDEX(Database!$M$5:$M$523,MATCH(LARGE('Calc (scoring engine)'!$K$5:$K$523,13),'Calc (scoring engine)'!$K$5:$K$523,0))="","—",INDEX(Database!$M$5:$M$523,MATCH(LARGE('Calc (scoring engine)'!$K$5:$K$523,13),'Calc (scoring engine)'!$K$5:$K$523,0))),""))</f>
        <v/>
      </c>
      <c r="M33" s="10">
        <f>IF(OR(13&gt;MAX(3,MIN(15,N($D$18))),IFERROR(LARGE('Calc (scoring engine)'!$K$5:$K$523,13),-999999)&lt;=-900000),"",IFERROR(IF(INDEX(Database!$N$5:$N$523,MATCH(LARGE('Calc (scoring engine)'!$K$5:$K$523,13),'Calc (scoring engine)'!$K$5:$K$523,0))="","—",INDEX(Database!$N$5:$N$523,MATCH(LARGE('Calc (scoring engine)'!$K$5:$K$523,13),'Calc (scoring engine)'!$K$5:$K$523,0))),""))</f>
        <v/>
      </c>
      <c r="N33" s="31">
        <f>IF(OR(13&gt;MAX(3,MIN(15,N($D$18))),IFERROR(LARGE('Calc (scoring engine)'!$K$5:$K$523,13),-999999)&lt;=-900000),"",IFERROR(IF(INDEX(Database!$O$5:$O$523,MATCH(LARGE('Calc (scoring engine)'!$K$5:$K$523,13),'Calc (scoring engine)'!$K$5:$K$523,0))="","—",INDEX(Database!$O$5:$O$523,MATCH(LARGE('Calc (scoring engine)'!$K$5:$K$523,13),'Calc (scoring engine)'!$K$5:$K$523,0))),""))</f>
        <v/>
      </c>
      <c r="O33" s="31">
        <f>IF(OR(13&gt;MAX(3,MIN(15,N($D$18))),IFERROR(LARGE('Calc (scoring engine)'!$K$5:$K$523,13),-999999)&lt;=-900000),"",IFERROR(IF(INDEX(Database!$P$5:$P$523,MATCH(LARGE('Calc (scoring engine)'!$K$5:$K$523,13),'Calc (scoring engine)'!$K$5:$K$523,0))="","—",INDEX(Database!$P$5:$P$523,MATCH(LARGE('Calc (scoring engine)'!$K$5:$K$523,13),'Calc (scoring engine)'!$K$5:$K$523,0))),""))</f>
        <v/>
      </c>
      <c r="P33" s="19">
        <f>IF(OR(13&gt;MAX(3,MIN(15,N($D$18))),IFERROR(LARGE('Calc (scoring engine)'!$K$5:$K$523,13),-999999)&lt;=-900000),"",IFERROR(IF(INDEX(Database!$Q$5:$Q$523,MATCH(LARGE('Calc (scoring engine)'!$K$5:$K$523,13),'Calc (scoring engine)'!$K$5:$K$523,0))="","—",INDEX(Database!$Q$5:$Q$523,MATCH(LARGE('Calc (scoring engine)'!$K$5:$K$523,13),'Calc (scoring engine)'!$K$5:$K$523,0))),""))</f>
        <v/>
      </c>
      <c r="Q33" s="26">
        <f>IF(OR(13&gt;MAX(3,MIN(15,N($D$18))),IFERROR(LARGE('Calc (scoring engine)'!$K$5:$K$523,13),-999999)&lt;=-900000),"",IFERROR(IF(INDEX(Database!$S$5:$S$523,MATCH(LARGE('Calc (scoring engine)'!$K$5:$K$523,13),'Calc (scoring engine)'!$K$5:$K$523,0))="","—",INDEX(Database!$S$5:$S$523,MATCH(LARGE('Calc (scoring engine)'!$K$5:$K$523,13),'Calc (scoring engine)'!$K$5:$K$523,0))),""))</f>
        <v/>
      </c>
      <c r="R33" s="51">
        <f>IF(OR(13&gt;MAX(3,MIN(15,N($D$18))),IFERROR(LARGE('Calc (scoring engine)'!$K$5:$K$523,13),-999999)&lt;=-900000),"",IFERROR(IF(INDEX(Database!$T$5:$T$523,MATCH(LARGE('Calc (scoring engine)'!$K$5:$K$523,13),'Calc (scoring engine)'!$K$5:$K$523,0))="","—",INDEX(Database!$T$5:$T$523,MATCH(LARGE('Calc (scoring engine)'!$K$5:$K$523,13),'Calc (scoring engine)'!$K$5:$K$523,0))),""))</f>
        <v/>
      </c>
      <c r="S33" s="52">
        <f>IF(OR(13&gt;MAX(3,MIN(15,N($D$18))),IFERROR(LARGE('Calc (scoring engine)'!$K$5:$K$523,13),-999999)&lt;=-900000),"",IFERROR(IF(INDEX(Database!$U$5:$U$523,MATCH(LARGE('Calc (scoring engine)'!$K$5:$K$523,13),'Calc (scoring engine)'!$K$5:$K$523,0))="","—",INDEX(Database!$U$5:$U$523,MATCH(LARGE('Calc (scoring engine)'!$K$5:$K$523,13),'Calc (scoring engine)'!$K$5:$K$523,0))),""))</f>
        <v/>
      </c>
      <c r="T33" s="53">
        <f>IF(OR(13&gt;MAX(3,MIN(15,N($D$18))),IFERROR(LARGE('Calc (scoring engine)'!$K$5:$K$523,13),-999999)&lt;=-900000),"",IFERROR(IF(INDEX(Database!$V$5:$V$523,MATCH(LARGE('Calc (scoring engine)'!$K$5:$K$523,13),'Calc (scoring engine)'!$K$5:$K$523,0))="","—",INDEX(Database!$V$5:$V$523,MATCH(LARGE('Calc (scoring engine)'!$K$5:$K$523,13),'Calc (scoring engine)'!$K$5:$K$523,0))),""))</f>
        <v/>
      </c>
      <c r="U33" s="31">
        <f>IF(OR(13&gt;MAX(3,MIN(15,N($D$18))),IFERROR(LARGE('Calc (scoring engine)'!$K$5:$K$523,13),-999999)&lt;=-900000),"",IFERROR(IF(INDEX(Database!$W$5:$W$523,MATCH(LARGE('Calc (scoring engine)'!$K$5:$K$523,13),'Calc (scoring engine)'!$K$5:$K$523,0))="","—",INDEX(Database!$W$5:$W$523,MATCH(LARGE('Calc (scoring engine)'!$K$5:$K$523,13),'Calc (scoring engine)'!$K$5:$K$523,0))),""))</f>
        <v/>
      </c>
      <c r="V33" s="10">
        <f>IF(OR(13&gt;MAX(3,MIN(15,N($D$18))),IFERROR(LARGE('Calc (scoring engine)'!$K$5:$K$523,13),-999999)&lt;=-900000),"",IFERROR(IF(INDEX(Database!$X$5:$X$523,MATCH(LARGE('Calc (scoring engine)'!$K$5:$K$523,13),'Calc (scoring engine)'!$K$5:$K$523,0))="","—",INDEX(Database!$X$5:$X$523,MATCH(LARGE('Calc (scoring engine)'!$K$5:$K$523,13),'Calc (scoring engine)'!$K$5:$K$523,0))),""))</f>
        <v/>
      </c>
      <c r="W33" s="19">
        <f>IF(OR(13&gt;MAX(3,MIN(15,N($D$18))),IFERROR(LARGE('Calc (scoring engine)'!$K$5:$K$523,13),-999999)&lt;=-900000),"",IFERROR(IF(INDEX(Database!$Y$5:$Y$523,MATCH(LARGE('Calc (scoring engine)'!$K$5:$K$523,13),'Calc (scoring engine)'!$K$5:$K$523,0))="","—",INDEX(Database!$Y$5:$Y$523,MATCH(LARGE('Calc (scoring engine)'!$K$5:$K$523,13),'Calc (scoring engine)'!$K$5:$K$523,0))),""))</f>
        <v/>
      </c>
      <c r="X33" s="19">
        <f>IF(OR(13&gt;MAX(3,MIN(15,N($D$18))),IFERROR(LARGE('Calc (scoring engine)'!$K$5:$K$523,13),-999999)&lt;=-900000),"",IFERROR(IF(INDEX(Database!$Z$5:$Z$523,MATCH(LARGE('Calc (scoring engine)'!$K$5:$K$523,13),'Calc (scoring engine)'!$K$5:$K$523,0))="","—",INDEX(Database!$Z$5:$Z$523,MATCH(LARGE('Calc (scoring engine)'!$K$5:$K$523,13),'Calc (scoring engine)'!$K$5:$K$523,0))),""))</f>
        <v/>
      </c>
      <c r="Y33" s="31">
        <f>IF(OR(13&gt;MAX(3,MIN(15,N($D$18))),IFERROR(LARGE('Calc (scoring engine)'!$K$5:$K$523,13),-999999)&lt;=-900000),"",IFERROR(IF(INDEX(Database!$AA$5:$AA$523,MATCH(LARGE('Calc (scoring engine)'!$K$5:$K$523,13),'Calc (scoring engine)'!$K$5:$K$523,0))="","—",INDEX(Database!$AA$5:$AA$523,MATCH(LARGE('Calc (scoring engine)'!$K$5:$K$523,13),'Calc (scoring engine)'!$K$5:$K$523,0))),""))</f>
        <v/>
      </c>
      <c r="Z33" s="10">
        <f>IF(OR(13&gt;MAX(3,MIN(15,N($D$18))),IFERROR(LARGE('Calc (scoring engine)'!$K$5:$K$523,13),-999999)&lt;=-900000),"",IFERROR(IF(INDEX(Database!$AB$5:$AB$523,MATCH(LARGE('Calc (scoring engine)'!$K$5:$K$523,13),'Calc (scoring engine)'!$K$5:$K$523,0))="","—",INDEX(Database!$AB$5:$AB$523,MATCH(LARGE('Calc (scoring engine)'!$K$5:$K$523,13),'Calc (scoring engine)'!$K$5:$K$523,0))),""))</f>
        <v/>
      </c>
      <c r="AA33" s="31">
        <f>IF(OR(13&gt;MAX(3,MIN(15,N($D$18))),IFERROR(LARGE('Calc (scoring engine)'!$K$5:$K$523,13),-999999)&lt;=-900000),"",IFERROR(IF(INDEX(Database!$AD$5:$AD$523,MATCH(LARGE('Calc (scoring engine)'!$K$5:$K$523,13),'Calc (scoring engine)'!$K$5:$K$523,0))="","—",INDEX(Database!$AD$5:$AD$523,MATCH(LARGE('Calc (scoring engine)'!$K$5:$K$523,13),'Calc (scoring engine)'!$K$5:$K$523,0))),""))</f>
        <v/>
      </c>
      <c r="AB33" s="10">
        <f>IF(OR(13&gt;MAX(3,MIN(15,N($D$18))),IFERROR(LARGE('Calc (scoring engine)'!$K$5:$K$523,13),-999999)&lt;=-900000),"",IFERROR(IF(INDEX(Database!$AE$5:$AE$523,MATCH(LARGE('Calc (scoring engine)'!$K$5:$K$523,13),'Calc (scoring engine)'!$K$5:$K$523,0))="","—",INDEX(Database!$AE$5:$AE$523,MATCH(LARGE('Calc (scoring engine)'!$K$5:$K$523,13),'Calc (scoring engine)'!$K$5:$K$523,0))),""))</f>
        <v/>
      </c>
      <c r="AC33" s="10">
        <f>IF(OR(13&gt;MAX(3,MIN(15,N($D$18))),IFERROR(LARGE('Calc (scoring engine)'!$K$5:$K$523,13),-999999)&lt;=-900000),"",IFERROR(IF(INDEX(Database!$AF$5:$AF$523,MATCH(LARGE('Calc (scoring engine)'!$K$5:$K$523,13),'Calc (scoring engine)'!$K$5:$K$523,0))="","—",INDEX(Database!$AF$5:$AF$523,MATCH(LARGE('Calc (scoring engine)'!$K$5:$K$523,13),'Calc (scoring engine)'!$K$5:$K$523,0))),""))</f>
        <v/>
      </c>
      <c r="AD33" s="10">
        <f>IF(OR(13&gt;MAX(3,MIN(15,N($D$18))),IFERROR(LARGE('Calc (scoring engine)'!$K$5:$K$523,13),-999999)&lt;=-900000),"",IFERROR(IF(INDEX(Database!$AG$5:$AG$523,MATCH(LARGE('Calc (scoring engine)'!$K$5:$K$523,13),'Calc (scoring engine)'!$K$5:$K$523,0))="","—",INDEX(Database!$AG$5:$AG$523,MATCH(LARGE('Calc (scoring engine)'!$K$5:$K$523,13),'Calc (scoring engine)'!$K$5:$K$523,0))),""))</f>
        <v/>
      </c>
      <c r="AE33" s="10">
        <f>IF(OR(13&gt;MAX(3,MIN(15,N($D$18))),IFERROR(LARGE('Calc (scoring engine)'!$K$5:$K$523,13),-999999)&lt;=-900000),"",IFERROR(IF(INDEX(Database!$AH$5:$AH$523,MATCH(LARGE('Calc (scoring engine)'!$K$5:$K$523,13),'Calc (scoring engine)'!$K$5:$K$523,0))="","—",INDEX(Database!$AH$5:$AH$523,MATCH(LARGE('Calc (scoring engine)'!$K$5:$K$523,13),'Calc (scoring engine)'!$K$5:$K$523,0))),""))</f>
        <v/>
      </c>
      <c r="AF33" s="23">
        <f>IF(OR(13&gt;MAX(3,MIN(15,N($D$18))),IFERROR(LARGE('Calc (scoring engine)'!$K$5:$K$523,13),-999999)&lt;=-900000),"",IFERROR(IF(INDEX(Database!$AI$5:$AI$523,MATCH(LARGE('Calc (scoring engine)'!$K$5:$K$523,13),'Calc (scoring engine)'!$K$5:$K$523,0))="","—",INDEX(Database!$AI$5:$AI$523,MATCH(LARGE('Calc (scoring engine)'!$K$5:$K$523,13),'Calc (scoring engine)'!$K$5:$K$523,0))),""))</f>
        <v/>
      </c>
      <c r="AG33" s="23">
        <f>IF(OR(13&gt;MAX(3,MIN(15,N($D$18))),IFERROR(LARGE('Calc (scoring engine)'!$K$5:$K$523,13),-999999)&lt;=-900000),"",IFERROR(IF(INDEX(Database!$AJ$5:$AJ$523,MATCH(LARGE('Calc (scoring engine)'!$K$5:$K$523,13),'Calc (scoring engine)'!$K$5:$K$523,0))="","—",INDEX(Database!$AJ$5:$AJ$523,MATCH(LARGE('Calc (scoring engine)'!$K$5:$K$523,13),'Calc (scoring engine)'!$K$5:$K$523,0))),""))</f>
        <v/>
      </c>
      <c r="AH33" s="23">
        <f>IF(OR(13&gt;MAX(3,MIN(15,N($D$18))),IFERROR(LARGE('Calc (scoring engine)'!$K$5:$K$523,13),-999999)&lt;=-900000),"",IFERROR(IF(INDEX(Database!$AK$5:$AK$523,MATCH(LARGE('Calc (scoring engine)'!$K$5:$K$523,13),'Calc (scoring engine)'!$K$5:$K$523,0))="","—",INDEX(Database!$AK$5:$AK$523,MATCH(LARGE('Calc (scoring engine)'!$K$5:$K$523,13),'Calc (scoring engine)'!$K$5:$K$523,0))),""))</f>
        <v/>
      </c>
      <c r="AI33" s="23">
        <f>IF(OR(13&gt;MAX(3,MIN(15,N($D$18))),IFERROR(LARGE('Calc (scoring engine)'!$K$5:$K$523,13),-999999)&lt;=-900000),"",IFERROR(IF(INDEX(Database!$AL$5:$AL$523,MATCH(LARGE('Calc (scoring engine)'!$K$5:$K$523,13),'Calc (scoring engine)'!$K$5:$K$523,0))="","—",INDEX(Database!$AL$5:$AL$523,MATCH(LARGE('Calc (scoring engine)'!$K$5:$K$523,13),'Calc (scoring engine)'!$K$5:$K$523,0))),""))</f>
        <v/>
      </c>
      <c r="AJ33" s="24">
        <f>IF(OR(13&gt;MAX(3,MIN(15,N($D$18))),IFERROR(LARGE('Calc (scoring engine)'!$K$5:$K$523,13),-999999)&lt;=-900000),"",IFERROR(IF(INDEX(Database!$AM$5:$AM$523,MATCH(LARGE('Calc (scoring engine)'!$K$5:$K$523,13),'Calc (scoring engine)'!$K$5:$K$523,0))="","—",INDEX(Database!$AM$5:$AM$523,MATCH(LARGE('Calc (scoring engine)'!$K$5:$K$523,13),'Calc (scoring engine)'!$K$5:$K$523,0))),""))</f>
        <v/>
      </c>
      <c r="AK33" s="31">
        <f>IF(OR(13&gt;MAX(3,MIN(15,N($D$18))),IFERROR(LARGE('Calc (scoring engine)'!$K$5:$K$523,13),-999999)&lt;=-900000),"",IFERROR(IF(INDEX(Database!$AN$5:$AN$523,MATCH(LARGE('Calc (scoring engine)'!$K$5:$K$523,13),'Calc (scoring engine)'!$K$5:$K$523,0))="","—",INDEX(Database!$AN$5:$AN$523,MATCH(LARGE('Calc (scoring engine)'!$K$5:$K$523,13),'Calc (scoring engine)'!$K$5:$K$523,0))),""))</f>
        <v/>
      </c>
      <c r="AL33" s="23">
        <f>IF(OR(13&gt;MAX(3,MIN(15,N($D$18))),IFERROR(LARGE('Calc (scoring engine)'!$K$5:$K$523,13),-999999)&lt;=-900000),"",IFERROR(IF(INDEX(Database!$AO$5:$AO$523,MATCH(LARGE('Calc (scoring engine)'!$K$5:$K$523,13),'Calc (scoring engine)'!$K$5:$K$523,0))="","—",INDEX(Database!$AO$5:$AO$523,MATCH(LARGE('Calc (scoring engine)'!$K$5:$K$523,13),'Calc (scoring engine)'!$K$5:$K$523,0))),""))</f>
        <v/>
      </c>
      <c r="AM33" s="23">
        <f>IF(OR(13&gt;MAX(3,MIN(15,N($D$18))),IFERROR(LARGE('Calc (scoring engine)'!$K$5:$K$523,13),-999999)&lt;=-900000),"",IFERROR(IF(INDEX(Database!$AP$5:$AP$523,MATCH(LARGE('Calc (scoring engine)'!$K$5:$K$523,13),'Calc (scoring engine)'!$K$5:$K$523,0))="","—",INDEX(Database!$AP$5:$AP$523,MATCH(LARGE('Calc (scoring engine)'!$K$5:$K$523,13),'Calc (scoring engine)'!$K$5:$K$523,0))),""))</f>
        <v/>
      </c>
      <c r="AN33" s="23">
        <f>IF(OR(13&gt;MAX(3,MIN(15,N($D$18))),IFERROR(LARGE('Calc (scoring engine)'!$K$5:$K$523,13),-999999)&lt;=-900000),"",IFERROR(IF(INDEX(Database!$AQ$5:$AQ$523,MATCH(LARGE('Calc (scoring engine)'!$K$5:$K$523,13),'Calc (scoring engine)'!$K$5:$K$523,0))="","—",INDEX(Database!$AQ$5:$AQ$523,MATCH(LARGE('Calc (scoring engine)'!$K$5:$K$523,13),'Calc (scoring engine)'!$K$5:$K$523,0))),""))</f>
        <v/>
      </c>
      <c r="AO33" s="23">
        <f>IF(OR(13&gt;MAX(3,MIN(15,N($D$18))),IFERROR(LARGE('Calc (scoring engine)'!$K$5:$K$523,13),-999999)&lt;=-900000),"",IFERROR(IF(INDEX(Database!$AR$5:$AR$523,MATCH(LARGE('Calc (scoring engine)'!$K$5:$K$523,13),'Calc (scoring engine)'!$K$5:$K$523,0))="","—",INDEX(Database!$AR$5:$AR$523,MATCH(LARGE('Calc (scoring engine)'!$K$5:$K$523,13),'Calc (scoring engine)'!$K$5:$K$523,0))),""))</f>
        <v/>
      </c>
      <c r="AP33" s="23">
        <f>IF(OR(13&gt;MAX(3,MIN(15,N($D$18))),IFERROR(LARGE('Calc (scoring engine)'!$K$5:$K$523,13),-999999)&lt;=-900000),"",IFERROR(IF(INDEX(Database!$AS$5:$AS$523,MATCH(LARGE('Calc (scoring engine)'!$K$5:$K$523,13),'Calc (scoring engine)'!$K$5:$K$523,0))="","—",INDEX(Database!$AS$5:$AS$523,MATCH(LARGE('Calc (scoring engine)'!$K$5:$K$523,13),'Calc (scoring engine)'!$K$5:$K$523,0))),""))</f>
        <v/>
      </c>
      <c r="AQ33" s="23">
        <f>IF(OR(13&gt;MAX(3,MIN(15,N($D$18))),IFERROR(LARGE('Calc (scoring engine)'!$K$5:$K$523,13),-999999)&lt;=-900000),"",IFERROR(IF(INDEX(Database!$AT$5:$AT$523,MATCH(LARGE('Calc (scoring engine)'!$K$5:$K$523,13),'Calc (scoring engine)'!$K$5:$K$523,0))="","—",INDEX(Database!$AT$5:$AT$523,MATCH(LARGE('Calc (scoring engine)'!$K$5:$K$523,13),'Calc (scoring engine)'!$K$5:$K$523,0))),""))</f>
        <v/>
      </c>
      <c r="AR33" s="23">
        <f>IF(OR(13&gt;MAX(3,MIN(15,N($D$18))),IFERROR(LARGE('Calc (scoring engine)'!$K$5:$K$523,13),-999999)&lt;=-900000),"",IFERROR(IF(INDEX(Database!$AU$5:$AU$523,MATCH(LARGE('Calc (scoring engine)'!$K$5:$K$523,13),'Calc (scoring engine)'!$K$5:$K$523,0))="","—",INDEX(Database!$AU$5:$AU$523,MATCH(LARGE('Calc (scoring engine)'!$K$5:$K$523,13),'Calc (scoring engine)'!$K$5:$K$523,0))),""))</f>
        <v/>
      </c>
      <c r="AS33" s="23">
        <f>IF(OR(13&gt;MAX(3,MIN(15,N($D$18))),IFERROR(LARGE('Calc (scoring engine)'!$K$5:$K$523,13),-999999)&lt;=-900000),"",IFERROR(IF(INDEX(Database!$AV$5:$AV$523,MATCH(LARGE('Calc (scoring engine)'!$K$5:$K$523,13),'Calc (scoring engine)'!$K$5:$K$523,0))="","—",INDEX(Database!$AV$5:$AV$523,MATCH(LARGE('Calc (scoring engine)'!$K$5:$K$523,13),'Calc (scoring engine)'!$K$5:$K$523,0))),""))</f>
        <v/>
      </c>
      <c r="AT33" s="23">
        <f>IF(OR(13&gt;MAX(3,MIN(15,N($D$18))),IFERROR(LARGE('Calc (scoring engine)'!$K$5:$K$523,13),-999999)&lt;=-900000),"",IFERROR(IF(INDEX(Database!$AW$5:$AW$523,MATCH(LARGE('Calc (scoring engine)'!$K$5:$K$523,13),'Calc (scoring engine)'!$K$5:$K$523,0))="","—",INDEX(Database!$AW$5:$AW$523,MATCH(LARGE('Calc (scoring engine)'!$K$5:$K$523,13),'Calc (scoring engine)'!$K$5:$K$523,0))),""))</f>
        <v/>
      </c>
      <c r="AU33" s="23">
        <f>IF(OR(13&gt;MAX(3,MIN(15,N($D$18))),IFERROR(LARGE('Calc (scoring engine)'!$K$5:$K$523,13),-999999)&lt;=-900000),"",IFERROR(IF(INDEX(Database!$AX$5:$AX$523,MATCH(LARGE('Calc (scoring engine)'!$K$5:$K$523,13),'Calc (scoring engine)'!$K$5:$K$523,0))="","—",INDEX(Database!$AX$5:$AX$523,MATCH(LARGE('Calc (scoring engine)'!$K$5:$K$523,13),'Calc (scoring engine)'!$K$5:$K$523,0))),""))</f>
        <v/>
      </c>
      <c r="AV33" s="23">
        <f>IF(OR(13&gt;MAX(3,MIN(15,N($D$18))),IFERROR(LARGE('Calc (scoring engine)'!$K$5:$K$523,13),-999999)&lt;=-900000),"",IFERROR(IF(INDEX(Database!$AY$5:$AY$523,MATCH(LARGE('Calc (scoring engine)'!$K$5:$K$523,13),'Calc (scoring engine)'!$K$5:$K$523,0))="","—",INDEX(Database!$AY$5:$AY$523,MATCH(LARGE('Calc (scoring engine)'!$K$5:$K$523,13),'Calc (scoring engine)'!$K$5:$K$523,0))),""))</f>
        <v/>
      </c>
      <c r="AW33" s="23">
        <f>IF(OR(13&gt;MAX(3,MIN(15,N($D$18))),IFERROR(LARGE('Calc (scoring engine)'!$K$5:$K$523,13),-999999)&lt;=-900000),"",IFERROR(IF(INDEX(Database!$AZ$5:$AZ$523,MATCH(LARGE('Calc (scoring engine)'!$K$5:$K$523,13),'Calc (scoring engine)'!$K$5:$K$523,0))="","—",INDEX(Database!$AZ$5:$AZ$523,MATCH(LARGE('Calc (scoring engine)'!$K$5:$K$523,13),'Calc (scoring engine)'!$K$5:$K$523,0))),""))</f>
        <v/>
      </c>
      <c r="AX33" s="23">
        <f>IF(OR(13&gt;MAX(3,MIN(15,N($D$18))),IFERROR(LARGE('Calc (scoring engine)'!$K$5:$K$523,13),-999999)&lt;=-900000),"",IFERROR(IF(INDEX(Database!$BB$5:$BB$523,MATCH(LARGE('Calc (scoring engine)'!$K$5:$K$523,13),'Calc (scoring engine)'!$K$5:$K$523,0))="","—",INDEX(Database!$BB$5:$BB$523,MATCH(LARGE('Calc (scoring engine)'!$K$5:$K$523,13),'Calc (scoring engine)'!$K$5:$K$523,0))),""))</f>
        <v/>
      </c>
      <c r="AY33" s="19">
        <f>IF(OR(13&gt;MAX(3,MIN(15,N($D$18))),IFERROR(LARGE('Calc (scoring engine)'!$K$5:$K$523,13),-999999)&lt;=-900000),"",IFERROR(IF(INDEX(Database!$BD$5:$BD$523,MATCH(LARGE('Calc (scoring engine)'!$K$5:$K$523,13),'Calc (scoring engine)'!$K$5:$K$523,0))="","—",INDEX(Database!$BD$5:$BD$523,MATCH(LARGE('Calc (scoring engine)'!$K$5:$K$523,13),'Calc (scoring engine)'!$K$5:$K$523,0))),""))</f>
        <v/>
      </c>
      <c r="AZ33" s="19">
        <f>IF(OR(13&gt;MAX(3,MIN(15,N($D$18))),IFERROR(LARGE('Calc (scoring engine)'!$K$5:$K$523,13),-999999)&lt;=-900000),"",IFERROR(IF(INDEX(Database!$BE$5:$BE$523,MATCH(LARGE('Calc (scoring engine)'!$K$5:$K$523,13),'Calc (scoring engine)'!$K$5:$K$523,0))="","—",INDEX(Database!$BE$5:$BE$523,MATCH(LARGE('Calc (scoring engine)'!$K$5:$K$523,13),'Calc (scoring engine)'!$K$5:$K$523,0))),""))</f>
        <v/>
      </c>
      <c r="BA33" s="10">
        <f>IF(OR(13&gt;MAX(3,MIN(15,N($D$18))),IFERROR(LARGE('Calc (scoring engine)'!$K$5:$K$523,13),-999999)&lt;=-900000),"",IFERROR(IF(INDEX(Database!$BF$5:$BF$523,MATCH(LARGE('Calc (scoring engine)'!$K$5:$K$523,13),'Calc (scoring engine)'!$K$5:$K$523,0))="","—",INDEX(Database!$BF$5:$BF$523,MATCH(LARGE('Calc (scoring engine)'!$K$5:$K$523,13),'Calc (scoring engine)'!$K$5:$K$523,0))),""))</f>
        <v/>
      </c>
      <c r="BB33" s="24">
        <f>IF(OR(13&gt;MAX(3,MIN(15,N($D$18))),IFERROR(LARGE('Calc (scoring engine)'!$K$5:$K$523,13),-999999)&lt;=-900000),"",IFERROR(IF(N(INDEX(Database!$BG$5:$BG$523,MATCH(LARGE('Calc (scoring engine)'!$K$5:$K$523,13),'Calc (scoring engine)'!$K$5:$K$523,0)))&lt;=0,IF(INDEX(Database!$BF$5:$BF$523,MATCH(LARGE('Calc (scoring engine)'!$K$5:$K$523,13),'Calc (scoring engine)'!$K$5:$K$523,0))="N","n/m","—"),INDEX(Database!$BG$5:$BG$523,MATCH(LARGE('Calc (scoring engine)'!$K$5:$K$523,13),'Calc (scoring engine)'!$K$5:$K$523,0))),""))</f>
        <v/>
      </c>
      <c r="BC33" s="24">
        <f>IF(OR(13&gt;MAX(3,MIN(15,N($D$18))),IFERROR(LARGE('Calc (scoring engine)'!$K$5:$K$523,13),-999999)&lt;=-900000),"",IFERROR(IF(INDEX(Database!$BH$5:$BH$523,MATCH(LARGE('Calc (scoring engine)'!$K$5:$K$523,13),'Calc (scoring engine)'!$K$5:$K$523,0))="","—",INDEX(Database!$BH$5:$BH$523,MATCH(LARGE('Calc (scoring engine)'!$K$5:$K$523,13),'Calc (scoring engine)'!$K$5:$K$523,0))),""))</f>
        <v/>
      </c>
      <c r="BD33" s="24">
        <f>IF(OR(13&gt;MAX(3,MIN(15,N($D$18))),IFERROR(LARGE('Calc (scoring engine)'!$K$5:$K$523,13),-999999)&lt;=-900000),"",IFERROR(IF(INDEX(Database!$BI$5:$BI$523,MATCH(LARGE('Calc (scoring engine)'!$K$5:$K$523,13),'Calc (scoring engine)'!$K$5:$K$523,0))="","—",INDEX(Database!$BI$5:$BI$523,MATCH(LARGE('Calc (scoring engine)'!$K$5:$K$523,13),'Calc (scoring engine)'!$K$5:$K$523,0))),""))</f>
        <v/>
      </c>
      <c r="BE33" s="24">
        <f>IF(OR(13&gt;MAX(3,MIN(15,N($D$18))),IFERROR(LARGE('Calc (scoring engine)'!$K$5:$K$523,13),-999999)&lt;=-900000),"",IFERROR(IF(INDEX(Database!$BJ$5:$BJ$523,MATCH(LARGE('Calc (scoring engine)'!$K$5:$K$523,13),'Calc (scoring engine)'!$K$5:$K$523,0))="","—",INDEX(Database!$BJ$5:$BJ$523,MATCH(LARGE('Calc (scoring engine)'!$K$5:$K$523,13),'Calc (scoring engine)'!$K$5:$K$523,0))),""))</f>
        <v/>
      </c>
      <c r="BF33" s="24">
        <f>IF(OR(13&gt;MAX(3,MIN(15,N($D$18))),IFERROR(LARGE('Calc (scoring engine)'!$K$5:$K$523,13),-999999)&lt;=-900000),"",IFERROR(IF(INDEX(Database!$BK$5:$BK$523,MATCH(LARGE('Calc (scoring engine)'!$K$5:$K$523,13),'Calc (scoring engine)'!$K$5:$K$523,0))="","—",INDEX(Database!$BK$5:$BK$523,MATCH(LARGE('Calc (scoring engine)'!$K$5:$K$523,13),'Calc (scoring engine)'!$K$5:$K$523,0))),""))</f>
        <v/>
      </c>
      <c r="BG33" s="24">
        <f>IF(OR(13&gt;MAX(3,MIN(15,N($D$18))),IFERROR(LARGE('Calc (scoring engine)'!$K$5:$K$523,13),-999999)&lt;=-900000),"",IFERROR(IFERROR(BDP(TEXT(INDEX(Database!$A$5:$A$523,MATCH(LARGE('Calc (scoring engine)'!$K$5:$K$523,13),'Calc (scoring engine)'!$K$5:$K$523,0)),"0")&amp;" HK Equity","PE_RATIO"),IF(INDEX(Database!$BI$5:$BI$523,MATCH(LARGE('Calc (scoring engine)'!$K$5:$K$523,13),'Calc (scoring engine)'!$K$5:$K$523,0))="","—",INDEX(Database!$BI$5:$BI$523,MATCH(LARGE('Calc (scoring engine)'!$K$5:$K$523,13),'Calc (scoring engine)'!$K$5:$K$523,0)))),""))</f>
        <v/>
      </c>
      <c r="BH33" s="24">
        <f>IF(OR(13&gt;MAX(3,MIN(15,N($D$18))),IFERROR(LARGE('Calc (scoring engine)'!$K$5:$K$523,13),-999999)&lt;=-900000),"",IFERROR(IFERROR(BDP(TEXT(INDEX(Database!$A$5:$A$523,MATCH(LARGE('Calc (scoring engine)'!$K$5:$K$523,13),'Calc (scoring engine)'!$K$5:$K$523,0)),"0")&amp;" HK Equity","PX_TO_SALES_RATIO"),IF(INDEX(Database!$BJ$5:$BJ$523,MATCH(LARGE('Calc (scoring engine)'!$K$5:$K$523,13),'Calc (scoring engine)'!$K$5:$K$523,0))="","—",INDEX(Database!$BJ$5:$BJ$523,MATCH(LARGE('Calc (scoring engine)'!$K$5:$K$523,13),'Calc (scoring engine)'!$K$5:$K$523,0)))),""))</f>
        <v/>
      </c>
      <c r="BI33" s="10">
        <f>IF(OR(13&gt;MAX(3,MIN(15,N($D$18))),IFERROR(LARGE('Calc (scoring engine)'!$K$5:$K$523,13),-999999)&lt;=-900000),"",IFERROR(IF(INDEX(Database!$BL$5:$BL$523,MATCH(LARGE('Calc (scoring engine)'!$K$5:$K$523,13),'Calc (scoring engine)'!$K$5:$K$523,0))="","—",INDEX(Database!$BL$5:$BL$523,MATCH(LARGE('Calc (scoring engine)'!$K$5:$K$523,13),'Calc (scoring engine)'!$K$5:$K$523,0))),""))</f>
        <v/>
      </c>
      <c r="BJ33" s="10">
        <f>IF(OR(13&gt;MAX(3,MIN(15,N($D$18))),IFERROR(LARGE('Calc (scoring engine)'!$K$5:$K$523,13),-999999)&lt;=-900000),"",IFERROR(IF(INDEX(Database!$BM$5:$BM$523,MATCH(LARGE('Calc (scoring engine)'!$K$5:$K$523,13),'Calc (scoring engine)'!$K$5:$K$523,0))="","—",INDEX(Database!$BM$5:$BM$523,MATCH(LARGE('Calc (scoring engine)'!$K$5:$K$523,13),'Calc (scoring engine)'!$K$5:$K$523,0))),""))</f>
        <v/>
      </c>
      <c r="BK33" s="23">
        <f>IF(OR(13&gt;MAX(3,MIN(15,N($D$18))),IFERROR(LARGE('Calc (scoring engine)'!$K$5:$K$523,13),-999999)&lt;=-900000),"",IFERROR(IF(INDEX(Database!$BN$5:$BN$523,MATCH(LARGE('Calc (scoring engine)'!$K$5:$K$523,13),'Calc (scoring engine)'!$K$5:$K$523,0))="","—",INDEX(Database!$BN$5:$BN$523,MATCH(LARGE('Calc (scoring engine)'!$K$5:$K$523,13),'Calc (scoring engine)'!$K$5:$K$523,0))),""))</f>
        <v/>
      </c>
      <c r="BL33" s="50">
        <f>IF(OR(13&gt;MAX(3,MIN(15,N($D$18))),IFERROR(LARGE('Calc (scoring engine)'!$K$5:$K$523,13),-999999)&lt;=-900000),"",IFERROR(IF(INDEX(Database!$BO$5:$BO$523,MATCH(LARGE('Calc (scoring engine)'!$K$5:$K$523,13),'Calc (scoring engine)'!$K$5:$K$523,0))="","—",INDEX(Database!$BO$5:$BO$523,MATCH(LARGE('Calc (scoring engine)'!$K$5:$K$523,13),'Calc (scoring engine)'!$K$5:$K$523,0))),""))</f>
        <v/>
      </c>
      <c r="BM33" s="54">
        <f>IF(OR(13&gt;MAX(3,MIN(15,N($D$18))),IFERROR(LARGE('Calc (scoring engine)'!$K$5:$K$523,13),-999999)&lt;=-900000),"",IFERROR(IF(INDEX(Database!$BP$5:$BP$523,MATCH(LARGE('Calc (scoring engine)'!$K$5:$K$523,13),'Calc (scoring engine)'!$K$5:$K$523,0))="","—",INDEX(Database!$BP$5:$BP$523,MATCH(LARGE('Calc (scoring engine)'!$K$5:$K$523,13),'Calc (scoring engine)'!$K$5:$K$523,0))),""))</f>
        <v/>
      </c>
      <c r="BN33" s="19">
        <f>IF(OR(13&gt;MAX(3,MIN(15,N($D$18))),IFERROR(LARGE('Calc (scoring engine)'!$K$5:$K$523,13),-999999)&lt;=-900000),"",IFERROR(IF(INDEX(Database!$BQ$5:$BQ$523,MATCH(LARGE('Calc (scoring engine)'!$K$5:$K$523,13),'Calc (scoring engine)'!$K$5:$K$523,0))="","—",INDEX(Database!$BQ$5:$BQ$523,MATCH(LARGE('Calc (scoring engine)'!$K$5:$K$523,13),'Calc (scoring engine)'!$K$5:$K$523,0))),""))</f>
        <v/>
      </c>
      <c r="BO33" s="24">
        <f>IF(OR(13&gt;MAX(3,MIN(15,N($D$18))),IFERROR(LARGE('Calc (scoring engine)'!$K$5:$K$523,13),-999999)&lt;=-900000),"",IFERROR(IF(INDEX(Database!$BR$5:$BR$523,MATCH(LARGE('Calc (scoring engine)'!$K$5:$K$523,13),'Calc (scoring engine)'!$K$5:$K$523,0))="","—",INDEX(Database!$BR$5:$BR$523,MATCH(LARGE('Calc (scoring engine)'!$K$5:$K$523,13),'Calc (scoring engine)'!$K$5:$K$523,0))),""))</f>
        <v/>
      </c>
      <c r="BP33" s="24">
        <f>IF(OR(13&gt;MAX(3,MIN(15,N($D$18))),IFERROR(LARGE('Calc (scoring engine)'!$K$5:$K$523,13),-999999)&lt;=-900000),"",IFERROR(IF(INDEX(Database!$BS$5:$BS$523,MATCH(LARGE('Calc (scoring engine)'!$K$5:$K$523,13),'Calc (scoring engine)'!$K$5:$K$523,0))="","—",INDEX(Database!$BS$5:$BS$523,MATCH(LARGE('Calc (scoring engine)'!$K$5:$K$523,13),'Calc (scoring engine)'!$K$5:$K$523,0))),""))</f>
        <v/>
      </c>
      <c r="BQ33" s="10">
        <f>IF(OR(13&gt;MAX(3,MIN(15,N($D$18))),IFERROR(LARGE('Calc (scoring engine)'!$K$5:$K$523,13),-999999)&lt;=-900000),"",IFERROR(IF(INDEX(Database!$BT$5:$BT$523,MATCH(LARGE('Calc (scoring engine)'!$K$5:$K$523,13),'Calc (scoring engine)'!$K$5:$K$523,0))="","—",INDEX(Database!$BT$5:$BT$523,MATCH(LARGE('Calc (scoring engine)'!$K$5:$K$523,13),'Calc (scoring engine)'!$K$5:$K$523,0))),""))</f>
        <v/>
      </c>
      <c r="BR33" s="10">
        <f>IF(OR(13&gt;MAX(3,MIN(15,N($D$18))),IFERROR(LARGE('Calc (scoring engine)'!$K$5:$K$523,13),-999999)&lt;=-900000),"",IFERROR(IF(INDEX(Database!$BV$5:$BV$523,MATCH(LARGE('Calc (scoring engine)'!$K$5:$K$523,13),'Calc (scoring engine)'!$K$5:$K$523,0))="","—",INDEX(Database!$BV$5:$BV$523,MATCH(LARGE('Calc (scoring engine)'!$K$5:$K$523,13),'Calc (scoring engine)'!$K$5:$K$523,0))),""))</f>
        <v/>
      </c>
      <c r="BS33" s="53">
        <f>IF(OR(13&gt;MAX(3,MIN(15,N($D$18))),IFERROR(LARGE('Calc (scoring engine)'!$K$5:$K$523,13),-999999)&lt;=-900000),"",IFERROR(IF(INDEX('Calc (scoring engine)'!$H$5:$H$523,MATCH(LARGE('Calc (scoring engine)'!$K$5:$K$523,13),'Calc (scoring engine)'!$K$5:$K$523,0))&gt;0,INDEX('Calc (scoring engine)'!$H$5:$H$523,MATCH(LARGE('Calc (scoring engine)'!$K$5:$K$523,13),'Calc (scoring engine)'!$K$5:$K$523,0)),""),""))</f>
        <v/>
      </c>
      <c r="BT33" s="10">
        <f>IF(OR(13&gt;MAX(3,MIN(15,N($D$18))),IFERROR(LARGE('Calc (scoring engine)'!$K$5:$K$523,13),-999999)&lt;=-900000),"",IF(IFERROR(INDEX('Calc (scoring engine)'!$B$5:$B$523,MATCH(LARGE('Calc (scoring engine)'!$K$5:$K$523,13),'Calc (scoring engine)'!$K$5:$K$523,0)),0)=1,"same subsector","sector only"))</f>
        <v/>
      </c>
      <c r="BU33" s="53">
        <f>IF(OR(13&gt;MAX(3,MIN(15,N($D$18))),IFERROR(LARGE('Calc (scoring engine)'!$K$5:$K$523,13),-999999)&lt;=-900000),"",ROUND(IFERROR(LARGE('Calc (scoring engine)'!$K$5:$K$523,13),0),0))</f>
        <v/>
      </c>
      <c r="BV33" s="10">
        <f>IF(OR(13&gt;MAX(3,MIN(15,N($D$18))),IFERROR(LARGE('Calc (scoring engine)'!$K$5:$K$523,13),-999999)&lt;=-900000),"",IFERROR("sub "&amp;INDEX('Calc (scoring engine)'!$B$5:$B$523,MATCH(LARGE('Calc (scoring engine)'!$K$5:$K$523,13),'Calc (scoring engine)'!$K$5:$K$523,0))*W_SUB&amp;" + size "&amp;ROUND(INDEX('Calc (scoring engine)'!$D$5:$D$523,MATCH(LARGE('Calc (scoring engine)'!$K$5:$K$523,13),'Calc (scoring engine)'!$K$5:$K$523,0))*W_SIZE,0)&amp;" + prof "&amp;INDEX('Calc (scoring engine)'!$E$5:$E$523,MATCH(LARGE('Calc (scoring engine)'!$K$5:$K$523,13),'Calc (scoring engine)'!$K$5:$K$523,0))*W_PROF&amp;" + recency "&amp;ROUND(INDEX('Calc (scoring engine)'!$G$5:$G$523,MATCH(LARGE('Calc (scoring engine)'!$K$5:$K$523,13),'Calc (scoring engine)'!$K$5:$K$523,0))*W_REC,0)&amp;IF(INDEX('Calc (scoring engine)'!$H$5:$H$523,MATCH(LARGE('Calc (scoring engine)'!$K$5:$K$523,13),'Calc (scoring engine)'!$K$5:$K$523,0))&gt;0," + shared CS x"&amp;INDEX('Calc (scoring engine)'!$H$5:$H$523,MATCH(LARGE('Calc (scoring engine)'!$K$5:$K$523,13),'Calc (scoring engine)'!$K$5:$K$523,0)),""),""))</f>
        <v/>
      </c>
    </row>
    <row r="34">
      <c r="A34" s="48">
        <f>IF(OR(14&gt;MAX(3,MIN(15,N($D$18))),IFERROR(LARGE('Calc (scoring engine)'!$K$5:$K$523,14),-999999)&lt;=-900000),"",14)</f>
        <v/>
      </c>
      <c r="B34" s="10">
        <f>IF(OR(14&gt;MAX(3,MIN(15,N($D$18))),IFERROR(LARGE('Calc (scoring engine)'!$K$5:$K$523,14),-999999)&lt;=-900000),"",IFERROR(IF(INDEX(Database!$B$5:$B$523,MATCH(LARGE('Calc (scoring engine)'!$K$5:$K$523,14),'Calc (scoring engine)'!$K$5:$K$523,0))="","—",INDEX(Database!$B$5:$B$523,MATCH(LARGE('Calc (scoring engine)'!$K$5:$K$523,14),'Calc (scoring engine)'!$K$5:$K$523,0))),""))</f>
        <v/>
      </c>
      <c r="C34" s="49">
        <f>IF(OR(14&gt;MAX(3,MIN(15,N($D$18))),IFERROR(LARGE('Calc (scoring engine)'!$K$5:$K$523,14),-999999)&lt;=-900000),"",IFERROR(IF(INDEX(Database!$A$5:$A$523,MATCH(LARGE('Calc (scoring engine)'!$K$5:$K$523,14),'Calc (scoring engine)'!$K$5:$K$523,0))="","—",INDEX(Database!$A$5:$A$523,MATCH(LARGE('Calc (scoring engine)'!$K$5:$K$523,14),'Calc (scoring engine)'!$K$5:$K$523,0))),""))</f>
        <v/>
      </c>
      <c r="D34" s="10">
        <f>IF(OR(14&gt;MAX(3,MIN(15,N($D$18))),IFERROR(LARGE('Calc (scoring engine)'!$K$5:$K$523,14),-999999)&lt;=-900000),"",IFERROR(IF(INDEX(Database!$D$5:$D$523,MATCH(LARGE('Calc (scoring engine)'!$K$5:$K$523,14),'Calc (scoring engine)'!$K$5:$K$523,0))="","—",INDEX(Database!$D$5:$D$523,MATCH(LARGE('Calc (scoring engine)'!$K$5:$K$523,14),'Calc (scoring engine)'!$K$5:$K$523,0))),""))</f>
        <v/>
      </c>
      <c r="E34" s="10">
        <f>IF(OR(14&gt;MAX(3,MIN(15,N($D$18))),IFERROR(LARGE('Calc (scoring engine)'!$K$5:$K$523,14),-999999)&lt;=-900000),"",IFERROR(IF(INDEX(Database!$E$5:$E$523,MATCH(LARGE('Calc (scoring engine)'!$K$5:$K$523,14),'Calc (scoring engine)'!$K$5:$K$523,0))="","—",INDEX(Database!$E$5:$E$523,MATCH(LARGE('Calc (scoring engine)'!$K$5:$K$523,14),'Calc (scoring engine)'!$K$5:$K$523,0))),""))</f>
        <v/>
      </c>
      <c r="F34" s="10">
        <f>IF(OR(14&gt;MAX(3,MIN(15,N($D$18))),IFERROR(LARGE('Calc (scoring engine)'!$K$5:$K$523,14),-999999)&lt;=-900000),"",IFERROR(IF(INDEX(Database!$F$5:$F$523,MATCH(LARGE('Calc (scoring engine)'!$K$5:$K$523,14),'Calc (scoring engine)'!$K$5:$K$523,0))="","—",INDEX(Database!$F$5:$F$523,MATCH(LARGE('Calc (scoring engine)'!$K$5:$K$523,14),'Calc (scoring engine)'!$K$5:$K$523,0))),""))</f>
        <v/>
      </c>
      <c r="G34" s="10">
        <f>IF(OR(14&gt;MAX(3,MIN(15,N($D$18))),IFERROR(LARGE('Calc (scoring engine)'!$K$5:$K$523,14),-999999)&lt;=-900000),"",IFERROR(IF(INDEX(Database!$G$5:$G$523,MATCH(LARGE('Calc (scoring engine)'!$K$5:$K$523,14),'Calc (scoring engine)'!$K$5:$K$523,0))="","—",INDEX(Database!$G$5:$G$523,MATCH(LARGE('Calc (scoring engine)'!$K$5:$K$523,14),'Calc (scoring engine)'!$K$5:$K$523,0))),""))</f>
        <v/>
      </c>
      <c r="H34" s="21">
        <f>IF(OR(14&gt;MAX(3,MIN(15,N($D$18))),IFERROR(LARGE('Calc (scoring engine)'!$K$5:$K$523,14),-999999)&lt;=-900000),"",IFERROR(IF(INDEX(Database!$H$5:$H$523,MATCH(LARGE('Calc (scoring engine)'!$K$5:$K$523,14),'Calc (scoring engine)'!$K$5:$K$523,0))="","—",INDEX(Database!$H$5:$H$523,MATCH(LARGE('Calc (scoring engine)'!$K$5:$K$523,14),'Calc (scoring engine)'!$K$5:$K$523,0))),""))</f>
        <v/>
      </c>
      <c r="I34" s="19">
        <f>IF(OR(14&gt;MAX(3,MIN(15,N($D$18))),IFERROR(LARGE('Calc (scoring engine)'!$K$5:$K$523,14),-999999)&lt;=-900000),"",IFERROR(IF(INDEX(Database!$I$5:$I$523,MATCH(LARGE('Calc (scoring engine)'!$K$5:$K$523,14),'Calc (scoring engine)'!$K$5:$K$523,0))="","—",INDEX(Database!$I$5:$I$523,MATCH(LARGE('Calc (scoring engine)'!$K$5:$K$523,14),'Calc (scoring engine)'!$K$5:$K$523,0))),""))</f>
        <v/>
      </c>
      <c r="J34" s="50">
        <f>IF(OR(14&gt;MAX(3,MIN(15,N($D$18))),IFERROR(LARGE('Calc (scoring engine)'!$K$5:$K$523,14),-999999)&lt;=-900000),"",IFERROR(IF(INDEX(Database!$K$5:$K$523,MATCH(LARGE('Calc (scoring engine)'!$K$5:$K$523,14),'Calc (scoring engine)'!$K$5:$K$523,0))="","—",INDEX(Database!$K$5:$K$523,MATCH(LARGE('Calc (scoring engine)'!$K$5:$K$523,14),'Calc (scoring engine)'!$K$5:$K$523,0))),""))</f>
        <v/>
      </c>
      <c r="K34" s="50">
        <f>IF(OR(14&gt;MAX(3,MIN(15,N($D$18))),IFERROR(LARGE('Calc (scoring engine)'!$K$5:$K$523,14),-999999)&lt;=-900000),"",IFERROR(IF(INDEX(Database!$L$5:$L$523,MATCH(LARGE('Calc (scoring engine)'!$K$5:$K$523,14),'Calc (scoring engine)'!$K$5:$K$523,0))="","—",INDEX(Database!$L$5:$L$523,MATCH(LARGE('Calc (scoring engine)'!$K$5:$K$523,14),'Calc (scoring engine)'!$K$5:$K$523,0))),""))</f>
        <v/>
      </c>
      <c r="L34" s="50">
        <f>IF(OR(14&gt;MAX(3,MIN(15,N($D$18))),IFERROR(LARGE('Calc (scoring engine)'!$K$5:$K$523,14),-999999)&lt;=-900000),"",IFERROR(IF(INDEX(Database!$M$5:$M$523,MATCH(LARGE('Calc (scoring engine)'!$K$5:$K$523,14),'Calc (scoring engine)'!$K$5:$K$523,0))="","—",INDEX(Database!$M$5:$M$523,MATCH(LARGE('Calc (scoring engine)'!$K$5:$K$523,14),'Calc (scoring engine)'!$K$5:$K$523,0))),""))</f>
        <v/>
      </c>
      <c r="M34" s="10">
        <f>IF(OR(14&gt;MAX(3,MIN(15,N($D$18))),IFERROR(LARGE('Calc (scoring engine)'!$K$5:$K$523,14),-999999)&lt;=-900000),"",IFERROR(IF(INDEX(Database!$N$5:$N$523,MATCH(LARGE('Calc (scoring engine)'!$K$5:$K$523,14),'Calc (scoring engine)'!$K$5:$K$523,0))="","—",INDEX(Database!$N$5:$N$523,MATCH(LARGE('Calc (scoring engine)'!$K$5:$K$523,14),'Calc (scoring engine)'!$K$5:$K$523,0))),""))</f>
        <v/>
      </c>
      <c r="N34" s="31">
        <f>IF(OR(14&gt;MAX(3,MIN(15,N($D$18))),IFERROR(LARGE('Calc (scoring engine)'!$K$5:$K$523,14),-999999)&lt;=-900000),"",IFERROR(IF(INDEX(Database!$O$5:$O$523,MATCH(LARGE('Calc (scoring engine)'!$K$5:$K$523,14),'Calc (scoring engine)'!$K$5:$K$523,0))="","—",INDEX(Database!$O$5:$O$523,MATCH(LARGE('Calc (scoring engine)'!$K$5:$K$523,14),'Calc (scoring engine)'!$K$5:$K$523,0))),""))</f>
        <v/>
      </c>
      <c r="O34" s="31">
        <f>IF(OR(14&gt;MAX(3,MIN(15,N($D$18))),IFERROR(LARGE('Calc (scoring engine)'!$K$5:$K$523,14),-999999)&lt;=-900000),"",IFERROR(IF(INDEX(Database!$P$5:$P$523,MATCH(LARGE('Calc (scoring engine)'!$K$5:$K$523,14),'Calc (scoring engine)'!$K$5:$K$523,0))="","—",INDEX(Database!$P$5:$P$523,MATCH(LARGE('Calc (scoring engine)'!$K$5:$K$523,14),'Calc (scoring engine)'!$K$5:$K$523,0))),""))</f>
        <v/>
      </c>
      <c r="P34" s="19">
        <f>IF(OR(14&gt;MAX(3,MIN(15,N($D$18))),IFERROR(LARGE('Calc (scoring engine)'!$K$5:$K$523,14),-999999)&lt;=-900000),"",IFERROR(IF(INDEX(Database!$Q$5:$Q$523,MATCH(LARGE('Calc (scoring engine)'!$K$5:$K$523,14),'Calc (scoring engine)'!$K$5:$K$523,0))="","—",INDEX(Database!$Q$5:$Q$523,MATCH(LARGE('Calc (scoring engine)'!$K$5:$K$523,14),'Calc (scoring engine)'!$K$5:$K$523,0))),""))</f>
        <v/>
      </c>
      <c r="Q34" s="26">
        <f>IF(OR(14&gt;MAX(3,MIN(15,N($D$18))),IFERROR(LARGE('Calc (scoring engine)'!$K$5:$K$523,14),-999999)&lt;=-900000),"",IFERROR(IF(INDEX(Database!$S$5:$S$523,MATCH(LARGE('Calc (scoring engine)'!$K$5:$K$523,14),'Calc (scoring engine)'!$K$5:$K$523,0))="","—",INDEX(Database!$S$5:$S$523,MATCH(LARGE('Calc (scoring engine)'!$K$5:$K$523,14),'Calc (scoring engine)'!$K$5:$K$523,0))),""))</f>
        <v/>
      </c>
      <c r="R34" s="51">
        <f>IF(OR(14&gt;MAX(3,MIN(15,N($D$18))),IFERROR(LARGE('Calc (scoring engine)'!$K$5:$K$523,14),-999999)&lt;=-900000),"",IFERROR(IF(INDEX(Database!$T$5:$T$523,MATCH(LARGE('Calc (scoring engine)'!$K$5:$K$523,14),'Calc (scoring engine)'!$K$5:$K$523,0))="","—",INDEX(Database!$T$5:$T$523,MATCH(LARGE('Calc (scoring engine)'!$K$5:$K$523,14),'Calc (scoring engine)'!$K$5:$K$523,0))),""))</f>
        <v/>
      </c>
      <c r="S34" s="52">
        <f>IF(OR(14&gt;MAX(3,MIN(15,N($D$18))),IFERROR(LARGE('Calc (scoring engine)'!$K$5:$K$523,14),-999999)&lt;=-900000),"",IFERROR(IF(INDEX(Database!$U$5:$U$523,MATCH(LARGE('Calc (scoring engine)'!$K$5:$K$523,14),'Calc (scoring engine)'!$K$5:$K$523,0))="","—",INDEX(Database!$U$5:$U$523,MATCH(LARGE('Calc (scoring engine)'!$K$5:$K$523,14),'Calc (scoring engine)'!$K$5:$K$523,0))),""))</f>
        <v/>
      </c>
      <c r="T34" s="53">
        <f>IF(OR(14&gt;MAX(3,MIN(15,N($D$18))),IFERROR(LARGE('Calc (scoring engine)'!$K$5:$K$523,14),-999999)&lt;=-900000),"",IFERROR(IF(INDEX(Database!$V$5:$V$523,MATCH(LARGE('Calc (scoring engine)'!$K$5:$K$523,14),'Calc (scoring engine)'!$K$5:$K$523,0))="","—",INDEX(Database!$V$5:$V$523,MATCH(LARGE('Calc (scoring engine)'!$K$5:$K$523,14),'Calc (scoring engine)'!$K$5:$K$523,0))),""))</f>
        <v/>
      </c>
      <c r="U34" s="31">
        <f>IF(OR(14&gt;MAX(3,MIN(15,N($D$18))),IFERROR(LARGE('Calc (scoring engine)'!$K$5:$K$523,14),-999999)&lt;=-900000),"",IFERROR(IF(INDEX(Database!$W$5:$W$523,MATCH(LARGE('Calc (scoring engine)'!$K$5:$K$523,14),'Calc (scoring engine)'!$K$5:$K$523,0))="","—",INDEX(Database!$W$5:$W$523,MATCH(LARGE('Calc (scoring engine)'!$K$5:$K$523,14),'Calc (scoring engine)'!$K$5:$K$523,0))),""))</f>
        <v/>
      </c>
      <c r="V34" s="10">
        <f>IF(OR(14&gt;MAX(3,MIN(15,N($D$18))),IFERROR(LARGE('Calc (scoring engine)'!$K$5:$K$523,14),-999999)&lt;=-900000),"",IFERROR(IF(INDEX(Database!$X$5:$X$523,MATCH(LARGE('Calc (scoring engine)'!$K$5:$K$523,14),'Calc (scoring engine)'!$K$5:$K$523,0))="","—",INDEX(Database!$X$5:$X$523,MATCH(LARGE('Calc (scoring engine)'!$K$5:$K$523,14),'Calc (scoring engine)'!$K$5:$K$523,0))),""))</f>
        <v/>
      </c>
      <c r="W34" s="19">
        <f>IF(OR(14&gt;MAX(3,MIN(15,N($D$18))),IFERROR(LARGE('Calc (scoring engine)'!$K$5:$K$523,14),-999999)&lt;=-900000),"",IFERROR(IF(INDEX(Database!$Y$5:$Y$523,MATCH(LARGE('Calc (scoring engine)'!$K$5:$K$523,14),'Calc (scoring engine)'!$K$5:$K$523,0))="","—",INDEX(Database!$Y$5:$Y$523,MATCH(LARGE('Calc (scoring engine)'!$K$5:$K$523,14),'Calc (scoring engine)'!$K$5:$K$523,0))),""))</f>
        <v/>
      </c>
      <c r="X34" s="19">
        <f>IF(OR(14&gt;MAX(3,MIN(15,N($D$18))),IFERROR(LARGE('Calc (scoring engine)'!$K$5:$K$523,14),-999999)&lt;=-900000),"",IFERROR(IF(INDEX(Database!$Z$5:$Z$523,MATCH(LARGE('Calc (scoring engine)'!$K$5:$K$523,14),'Calc (scoring engine)'!$K$5:$K$523,0))="","—",INDEX(Database!$Z$5:$Z$523,MATCH(LARGE('Calc (scoring engine)'!$K$5:$K$523,14),'Calc (scoring engine)'!$K$5:$K$523,0))),""))</f>
        <v/>
      </c>
      <c r="Y34" s="31">
        <f>IF(OR(14&gt;MAX(3,MIN(15,N($D$18))),IFERROR(LARGE('Calc (scoring engine)'!$K$5:$K$523,14),-999999)&lt;=-900000),"",IFERROR(IF(INDEX(Database!$AA$5:$AA$523,MATCH(LARGE('Calc (scoring engine)'!$K$5:$K$523,14),'Calc (scoring engine)'!$K$5:$K$523,0))="","—",INDEX(Database!$AA$5:$AA$523,MATCH(LARGE('Calc (scoring engine)'!$K$5:$K$523,14),'Calc (scoring engine)'!$K$5:$K$523,0))),""))</f>
        <v/>
      </c>
      <c r="Z34" s="10">
        <f>IF(OR(14&gt;MAX(3,MIN(15,N($D$18))),IFERROR(LARGE('Calc (scoring engine)'!$K$5:$K$523,14),-999999)&lt;=-900000),"",IFERROR(IF(INDEX(Database!$AB$5:$AB$523,MATCH(LARGE('Calc (scoring engine)'!$K$5:$K$523,14),'Calc (scoring engine)'!$K$5:$K$523,0))="","—",INDEX(Database!$AB$5:$AB$523,MATCH(LARGE('Calc (scoring engine)'!$K$5:$K$523,14),'Calc (scoring engine)'!$K$5:$K$523,0))),""))</f>
        <v/>
      </c>
      <c r="AA34" s="31">
        <f>IF(OR(14&gt;MAX(3,MIN(15,N($D$18))),IFERROR(LARGE('Calc (scoring engine)'!$K$5:$K$523,14),-999999)&lt;=-900000),"",IFERROR(IF(INDEX(Database!$AD$5:$AD$523,MATCH(LARGE('Calc (scoring engine)'!$K$5:$K$523,14),'Calc (scoring engine)'!$K$5:$K$523,0))="","—",INDEX(Database!$AD$5:$AD$523,MATCH(LARGE('Calc (scoring engine)'!$K$5:$K$523,14),'Calc (scoring engine)'!$K$5:$K$523,0))),""))</f>
        <v/>
      </c>
      <c r="AB34" s="10">
        <f>IF(OR(14&gt;MAX(3,MIN(15,N($D$18))),IFERROR(LARGE('Calc (scoring engine)'!$K$5:$K$523,14),-999999)&lt;=-900000),"",IFERROR(IF(INDEX(Database!$AE$5:$AE$523,MATCH(LARGE('Calc (scoring engine)'!$K$5:$K$523,14),'Calc (scoring engine)'!$K$5:$K$523,0))="","—",INDEX(Database!$AE$5:$AE$523,MATCH(LARGE('Calc (scoring engine)'!$K$5:$K$523,14),'Calc (scoring engine)'!$K$5:$K$523,0))),""))</f>
        <v/>
      </c>
      <c r="AC34" s="10">
        <f>IF(OR(14&gt;MAX(3,MIN(15,N($D$18))),IFERROR(LARGE('Calc (scoring engine)'!$K$5:$K$523,14),-999999)&lt;=-900000),"",IFERROR(IF(INDEX(Database!$AF$5:$AF$523,MATCH(LARGE('Calc (scoring engine)'!$K$5:$K$523,14),'Calc (scoring engine)'!$K$5:$K$523,0))="","—",INDEX(Database!$AF$5:$AF$523,MATCH(LARGE('Calc (scoring engine)'!$K$5:$K$523,14),'Calc (scoring engine)'!$K$5:$K$523,0))),""))</f>
        <v/>
      </c>
      <c r="AD34" s="10">
        <f>IF(OR(14&gt;MAX(3,MIN(15,N($D$18))),IFERROR(LARGE('Calc (scoring engine)'!$K$5:$K$523,14),-999999)&lt;=-900000),"",IFERROR(IF(INDEX(Database!$AG$5:$AG$523,MATCH(LARGE('Calc (scoring engine)'!$K$5:$K$523,14),'Calc (scoring engine)'!$K$5:$K$523,0))="","—",INDEX(Database!$AG$5:$AG$523,MATCH(LARGE('Calc (scoring engine)'!$K$5:$K$523,14),'Calc (scoring engine)'!$K$5:$K$523,0))),""))</f>
        <v/>
      </c>
      <c r="AE34" s="10">
        <f>IF(OR(14&gt;MAX(3,MIN(15,N($D$18))),IFERROR(LARGE('Calc (scoring engine)'!$K$5:$K$523,14),-999999)&lt;=-900000),"",IFERROR(IF(INDEX(Database!$AH$5:$AH$523,MATCH(LARGE('Calc (scoring engine)'!$K$5:$K$523,14),'Calc (scoring engine)'!$K$5:$K$523,0))="","—",INDEX(Database!$AH$5:$AH$523,MATCH(LARGE('Calc (scoring engine)'!$K$5:$K$523,14),'Calc (scoring engine)'!$K$5:$K$523,0))),""))</f>
        <v/>
      </c>
      <c r="AF34" s="23">
        <f>IF(OR(14&gt;MAX(3,MIN(15,N($D$18))),IFERROR(LARGE('Calc (scoring engine)'!$K$5:$K$523,14),-999999)&lt;=-900000),"",IFERROR(IF(INDEX(Database!$AI$5:$AI$523,MATCH(LARGE('Calc (scoring engine)'!$K$5:$K$523,14),'Calc (scoring engine)'!$K$5:$K$523,0))="","—",INDEX(Database!$AI$5:$AI$523,MATCH(LARGE('Calc (scoring engine)'!$K$5:$K$523,14),'Calc (scoring engine)'!$K$5:$K$523,0))),""))</f>
        <v/>
      </c>
      <c r="AG34" s="23">
        <f>IF(OR(14&gt;MAX(3,MIN(15,N($D$18))),IFERROR(LARGE('Calc (scoring engine)'!$K$5:$K$523,14),-999999)&lt;=-900000),"",IFERROR(IF(INDEX(Database!$AJ$5:$AJ$523,MATCH(LARGE('Calc (scoring engine)'!$K$5:$K$523,14),'Calc (scoring engine)'!$K$5:$K$523,0))="","—",INDEX(Database!$AJ$5:$AJ$523,MATCH(LARGE('Calc (scoring engine)'!$K$5:$K$523,14),'Calc (scoring engine)'!$K$5:$K$523,0))),""))</f>
        <v/>
      </c>
      <c r="AH34" s="23">
        <f>IF(OR(14&gt;MAX(3,MIN(15,N($D$18))),IFERROR(LARGE('Calc (scoring engine)'!$K$5:$K$523,14),-999999)&lt;=-900000),"",IFERROR(IF(INDEX(Database!$AK$5:$AK$523,MATCH(LARGE('Calc (scoring engine)'!$K$5:$K$523,14),'Calc (scoring engine)'!$K$5:$K$523,0))="","—",INDEX(Database!$AK$5:$AK$523,MATCH(LARGE('Calc (scoring engine)'!$K$5:$K$523,14),'Calc (scoring engine)'!$K$5:$K$523,0))),""))</f>
        <v/>
      </c>
      <c r="AI34" s="23">
        <f>IF(OR(14&gt;MAX(3,MIN(15,N($D$18))),IFERROR(LARGE('Calc (scoring engine)'!$K$5:$K$523,14),-999999)&lt;=-900000),"",IFERROR(IF(INDEX(Database!$AL$5:$AL$523,MATCH(LARGE('Calc (scoring engine)'!$K$5:$K$523,14),'Calc (scoring engine)'!$K$5:$K$523,0))="","—",INDEX(Database!$AL$5:$AL$523,MATCH(LARGE('Calc (scoring engine)'!$K$5:$K$523,14),'Calc (scoring engine)'!$K$5:$K$523,0))),""))</f>
        <v/>
      </c>
      <c r="AJ34" s="24">
        <f>IF(OR(14&gt;MAX(3,MIN(15,N($D$18))),IFERROR(LARGE('Calc (scoring engine)'!$K$5:$K$523,14),-999999)&lt;=-900000),"",IFERROR(IF(INDEX(Database!$AM$5:$AM$523,MATCH(LARGE('Calc (scoring engine)'!$K$5:$K$523,14),'Calc (scoring engine)'!$K$5:$K$523,0))="","—",INDEX(Database!$AM$5:$AM$523,MATCH(LARGE('Calc (scoring engine)'!$K$5:$K$523,14),'Calc (scoring engine)'!$K$5:$K$523,0))),""))</f>
        <v/>
      </c>
      <c r="AK34" s="31">
        <f>IF(OR(14&gt;MAX(3,MIN(15,N($D$18))),IFERROR(LARGE('Calc (scoring engine)'!$K$5:$K$523,14),-999999)&lt;=-900000),"",IFERROR(IF(INDEX(Database!$AN$5:$AN$523,MATCH(LARGE('Calc (scoring engine)'!$K$5:$K$523,14),'Calc (scoring engine)'!$K$5:$K$523,0))="","—",INDEX(Database!$AN$5:$AN$523,MATCH(LARGE('Calc (scoring engine)'!$K$5:$K$523,14),'Calc (scoring engine)'!$K$5:$K$523,0))),""))</f>
        <v/>
      </c>
      <c r="AL34" s="23">
        <f>IF(OR(14&gt;MAX(3,MIN(15,N($D$18))),IFERROR(LARGE('Calc (scoring engine)'!$K$5:$K$523,14),-999999)&lt;=-900000),"",IFERROR(IF(INDEX(Database!$AO$5:$AO$523,MATCH(LARGE('Calc (scoring engine)'!$K$5:$K$523,14),'Calc (scoring engine)'!$K$5:$K$523,0))="","—",INDEX(Database!$AO$5:$AO$523,MATCH(LARGE('Calc (scoring engine)'!$K$5:$K$523,14),'Calc (scoring engine)'!$K$5:$K$523,0))),""))</f>
        <v/>
      </c>
      <c r="AM34" s="23">
        <f>IF(OR(14&gt;MAX(3,MIN(15,N($D$18))),IFERROR(LARGE('Calc (scoring engine)'!$K$5:$K$523,14),-999999)&lt;=-900000),"",IFERROR(IF(INDEX(Database!$AP$5:$AP$523,MATCH(LARGE('Calc (scoring engine)'!$K$5:$K$523,14),'Calc (scoring engine)'!$K$5:$K$523,0))="","—",INDEX(Database!$AP$5:$AP$523,MATCH(LARGE('Calc (scoring engine)'!$K$5:$K$523,14),'Calc (scoring engine)'!$K$5:$K$523,0))),""))</f>
        <v/>
      </c>
      <c r="AN34" s="23">
        <f>IF(OR(14&gt;MAX(3,MIN(15,N($D$18))),IFERROR(LARGE('Calc (scoring engine)'!$K$5:$K$523,14),-999999)&lt;=-900000),"",IFERROR(IF(INDEX(Database!$AQ$5:$AQ$523,MATCH(LARGE('Calc (scoring engine)'!$K$5:$K$523,14),'Calc (scoring engine)'!$K$5:$K$523,0))="","—",INDEX(Database!$AQ$5:$AQ$523,MATCH(LARGE('Calc (scoring engine)'!$K$5:$K$523,14),'Calc (scoring engine)'!$K$5:$K$523,0))),""))</f>
        <v/>
      </c>
      <c r="AO34" s="23">
        <f>IF(OR(14&gt;MAX(3,MIN(15,N($D$18))),IFERROR(LARGE('Calc (scoring engine)'!$K$5:$K$523,14),-999999)&lt;=-900000),"",IFERROR(IF(INDEX(Database!$AR$5:$AR$523,MATCH(LARGE('Calc (scoring engine)'!$K$5:$K$523,14),'Calc (scoring engine)'!$K$5:$K$523,0))="","—",INDEX(Database!$AR$5:$AR$523,MATCH(LARGE('Calc (scoring engine)'!$K$5:$K$523,14),'Calc (scoring engine)'!$K$5:$K$523,0))),""))</f>
        <v/>
      </c>
      <c r="AP34" s="23">
        <f>IF(OR(14&gt;MAX(3,MIN(15,N($D$18))),IFERROR(LARGE('Calc (scoring engine)'!$K$5:$K$523,14),-999999)&lt;=-900000),"",IFERROR(IF(INDEX(Database!$AS$5:$AS$523,MATCH(LARGE('Calc (scoring engine)'!$K$5:$K$523,14),'Calc (scoring engine)'!$K$5:$K$523,0))="","—",INDEX(Database!$AS$5:$AS$523,MATCH(LARGE('Calc (scoring engine)'!$K$5:$K$523,14),'Calc (scoring engine)'!$K$5:$K$523,0))),""))</f>
        <v/>
      </c>
      <c r="AQ34" s="23">
        <f>IF(OR(14&gt;MAX(3,MIN(15,N($D$18))),IFERROR(LARGE('Calc (scoring engine)'!$K$5:$K$523,14),-999999)&lt;=-900000),"",IFERROR(IF(INDEX(Database!$AT$5:$AT$523,MATCH(LARGE('Calc (scoring engine)'!$K$5:$K$523,14),'Calc (scoring engine)'!$K$5:$K$523,0))="","—",INDEX(Database!$AT$5:$AT$523,MATCH(LARGE('Calc (scoring engine)'!$K$5:$K$523,14),'Calc (scoring engine)'!$K$5:$K$523,0))),""))</f>
        <v/>
      </c>
      <c r="AR34" s="23">
        <f>IF(OR(14&gt;MAX(3,MIN(15,N($D$18))),IFERROR(LARGE('Calc (scoring engine)'!$K$5:$K$523,14),-999999)&lt;=-900000),"",IFERROR(IF(INDEX(Database!$AU$5:$AU$523,MATCH(LARGE('Calc (scoring engine)'!$K$5:$K$523,14),'Calc (scoring engine)'!$K$5:$K$523,0))="","—",INDEX(Database!$AU$5:$AU$523,MATCH(LARGE('Calc (scoring engine)'!$K$5:$K$523,14),'Calc (scoring engine)'!$K$5:$K$523,0))),""))</f>
        <v/>
      </c>
      <c r="AS34" s="23">
        <f>IF(OR(14&gt;MAX(3,MIN(15,N($D$18))),IFERROR(LARGE('Calc (scoring engine)'!$K$5:$K$523,14),-999999)&lt;=-900000),"",IFERROR(IF(INDEX(Database!$AV$5:$AV$523,MATCH(LARGE('Calc (scoring engine)'!$K$5:$K$523,14),'Calc (scoring engine)'!$K$5:$K$523,0))="","—",INDEX(Database!$AV$5:$AV$523,MATCH(LARGE('Calc (scoring engine)'!$K$5:$K$523,14),'Calc (scoring engine)'!$K$5:$K$523,0))),""))</f>
        <v/>
      </c>
      <c r="AT34" s="23">
        <f>IF(OR(14&gt;MAX(3,MIN(15,N($D$18))),IFERROR(LARGE('Calc (scoring engine)'!$K$5:$K$523,14),-999999)&lt;=-900000),"",IFERROR(IF(INDEX(Database!$AW$5:$AW$523,MATCH(LARGE('Calc (scoring engine)'!$K$5:$K$523,14),'Calc (scoring engine)'!$K$5:$K$523,0))="","—",INDEX(Database!$AW$5:$AW$523,MATCH(LARGE('Calc (scoring engine)'!$K$5:$K$523,14),'Calc (scoring engine)'!$K$5:$K$523,0))),""))</f>
        <v/>
      </c>
      <c r="AU34" s="23">
        <f>IF(OR(14&gt;MAX(3,MIN(15,N($D$18))),IFERROR(LARGE('Calc (scoring engine)'!$K$5:$K$523,14),-999999)&lt;=-900000),"",IFERROR(IF(INDEX(Database!$AX$5:$AX$523,MATCH(LARGE('Calc (scoring engine)'!$K$5:$K$523,14),'Calc (scoring engine)'!$K$5:$K$523,0))="","—",INDEX(Database!$AX$5:$AX$523,MATCH(LARGE('Calc (scoring engine)'!$K$5:$K$523,14),'Calc (scoring engine)'!$K$5:$K$523,0))),""))</f>
        <v/>
      </c>
      <c r="AV34" s="23">
        <f>IF(OR(14&gt;MAX(3,MIN(15,N($D$18))),IFERROR(LARGE('Calc (scoring engine)'!$K$5:$K$523,14),-999999)&lt;=-900000),"",IFERROR(IF(INDEX(Database!$AY$5:$AY$523,MATCH(LARGE('Calc (scoring engine)'!$K$5:$K$523,14),'Calc (scoring engine)'!$K$5:$K$523,0))="","—",INDEX(Database!$AY$5:$AY$523,MATCH(LARGE('Calc (scoring engine)'!$K$5:$K$523,14),'Calc (scoring engine)'!$K$5:$K$523,0))),""))</f>
        <v/>
      </c>
      <c r="AW34" s="23">
        <f>IF(OR(14&gt;MAX(3,MIN(15,N($D$18))),IFERROR(LARGE('Calc (scoring engine)'!$K$5:$K$523,14),-999999)&lt;=-900000),"",IFERROR(IF(INDEX(Database!$AZ$5:$AZ$523,MATCH(LARGE('Calc (scoring engine)'!$K$5:$K$523,14),'Calc (scoring engine)'!$K$5:$K$523,0))="","—",INDEX(Database!$AZ$5:$AZ$523,MATCH(LARGE('Calc (scoring engine)'!$K$5:$K$523,14),'Calc (scoring engine)'!$K$5:$K$523,0))),""))</f>
        <v/>
      </c>
      <c r="AX34" s="23">
        <f>IF(OR(14&gt;MAX(3,MIN(15,N($D$18))),IFERROR(LARGE('Calc (scoring engine)'!$K$5:$K$523,14),-999999)&lt;=-900000),"",IFERROR(IF(INDEX(Database!$BB$5:$BB$523,MATCH(LARGE('Calc (scoring engine)'!$K$5:$K$523,14),'Calc (scoring engine)'!$K$5:$K$523,0))="","—",INDEX(Database!$BB$5:$BB$523,MATCH(LARGE('Calc (scoring engine)'!$K$5:$K$523,14),'Calc (scoring engine)'!$K$5:$K$523,0))),""))</f>
        <v/>
      </c>
      <c r="AY34" s="19">
        <f>IF(OR(14&gt;MAX(3,MIN(15,N($D$18))),IFERROR(LARGE('Calc (scoring engine)'!$K$5:$K$523,14),-999999)&lt;=-900000),"",IFERROR(IF(INDEX(Database!$BD$5:$BD$523,MATCH(LARGE('Calc (scoring engine)'!$K$5:$K$523,14),'Calc (scoring engine)'!$K$5:$K$523,0))="","—",INDEX(Database!$BD$5:$BD$523,MATCH(LARGE('Calc (scoring engine)'!$K$5:$K$523,14),'Calc (scoring engine)'!$K$5:$K$523,0))),""))</f>
        <v/>
      </c>
      <c r="AZ34" s="19">
        <f>IF(OR(14&gt;MAX(3,MIN(15,N($D$18))),IFERROR(LARGE('Calc (scoring engine)'!$K$5:$K$523,14),-999999)&lt;=-900000),"",IFERROR(IF(INDEX(Database!$BE$5:$BE$523,MATCH(LARGE('Calc (scoring engine)'!$K$5:$K$523,14),'Calc (scoring engine)'!$K$5:$K$523,0))="","—",INDEX(Database!$BE$5:$BE$523,MATCH(LARGE('Calc (scoring engine)'!$K$5:$K$523,14),'Calc (scoring engine)'!$K$5:$K$523,0))),""))</f>
        <v/>
      </c>
      <c r="BA34" s="10">
        <f>IF(OR(14&gt;MAX(3,MIN(15,N($D$18))),IFERROR(LARGE('Calc (scoring engine)'!$K$5:$K$523,14),-999999)&lt;=-900000),"",IFERROR(IF(INDEX(Database!$BF$5:$BF$523,MATCH(LARGE('Calc (scoring engine)'!$K$5:$K$523,14),'Calc (scoring engine)'!$K$5:$K$523,0))="","—",INDEX(Database!$BF$5:$BF$523,MATCH(LARGE('Calc (scoring engine)'!$K$5:$K$523,14),'Calc (scoring engine)'!$K$5:$K$523,0))),""))</f>
        <v/>
      </c>
      <c r="BB34" s="24">
        <f>IF(OR(14&gt;MAX(3,MIN(15,N($D$18))),IFERROR(LARGE('Calc (scoring engine)'!$K$5:$K$523,14),-999999)&lt;=-900000),"",IFERROR(IF(N(INDEX(Database!$BG$5:$BG$523,MATCH(LARGE('Calc (scoring engine)'!$K$5:$K$523,14),'Calc (scoring engine)'!$K$5:$K$523,0)))&lt;=0,IF(INDEX(Database!$BF$5:$BF$523,MATCH(LARGE('Calc (scoring engine)'!$K$5:$K$523,14),'Calc (scoring engine)'!$K$5:$K$523,0))="N","n/m","—"),INDEX(Database!$BG$5:$BG$523,MATCH(LARGE('Calc (scoring engine)'!$K$5:$K$523,14),'Calc (scoring engine)'!$K$5:$K$523,0))),""))</f>
        <v/>
      </c>
      <c r="BC34" s="24">
        <f>IF(OR(14&gt;MAX(3,MIN(15,N($D$18))),IFERROR(LARGE('Calc (scoring engine)'!$K$5:$K$523,14),-999999)&lt;=-900000),"",IFERROR(IF(INDEX(Database!$BH$5:$BH$523,MATCH(LARGE('Calc (scoring engine)'!$K$5:$K$523,14),'Calc (scoring engine)'!$K$5:$K$523,0))="","—",INDEX(Database!$BH$5:$BH$523,MATCH(LARGE('Calc (scoring engine)'!$K$5:$K$523,14),'Calc (scoring engine)'!$K$5:$K$523,0))),""))</f>
        <v/>
      </c>
      <c r="BD34" s="24">
        <f>IF(OR(14&gt;MAX(3,MIN(15,N($D$18))),IFERROR(LARGE('Calc (scoring engine)'!$K$5:$K$523,14),-999999)&lt;=-900000),"",IFERROR(IF(INDEX(Database!$BI$5:$BI$523,MATCH(LARGE('Calc (scoring engine)'!$K$5:$K$523,14),'Calc (scoring engine)'!$K$5:$K$523,0))="","—",INDEX(Database!$BI$5:$BI$523,MATCH(LARGE('Calc (scoring engine)'!$K$5:$K$523,14),'Calc (scoring engine)'!$K$5:$K$523,0))),""))</f>
        <v/>
      </c>
      <c r="BE34" s="24">
        <f>IF(OR(14&gt;MAX(3,MIN(15,N($D$18))),IFERROR(LARGE('Calc (scoring engine)'!$K$5:$K$523,14),-999999)&lt;=-900000),"",IFERROR(IF(INDEX(Database!$BJ$5:$BJ$523,MATCH(LARGE('Calc (scoring engine)'!$K$5:$K$523,14),'Calc (scoring engine)'!$K$5:$K$523,0))="","—",INDEX(Database!$BJ$5:$BJ$523,MATCH(LARGE('Calc (scoring engine)'!$K$5:$K$523,14),'Calc (scoring engine)'!$K$5:$K$523,0))),""))</f>
        <v/>
      </c>
      <c r="BF34" s="24">
        <f>IF(OR(14&gt;MAX(3,MIN(15,N($D$18))),IFERROR(LARGE('Calc (scoring engine)'!$K$5:$K$523,14),-999999)&lt;=-900000),"",IFERROR(IF(INDEX(Database!$BK$5:$BK$523,MATCH(LARGE('Calc (scoring engine)'!$K$5:$K$523,14),'Calc (scoring engine)'!$K$5:$K$523,0))="","—",INDEX(Database!$BK$5:$BK$523,MATCH(LARGE('Calc (scoring engine)'!$K$5:$K$523,14),'Calc (scoring engine)'!$K$5:$K$523,0))),""))</f>
        <v/>
      </c>
      <c r="BG34" s="24">
        <f>IF(OR(14&gt;MAX(3,MIN(15,N($D$18))),IFERROR(LARGE('Calc (scoring engine)'!$K$5:$K$523,14),-999999)&lt;=-900000),"",IFERROR(IFERROR(BDP(TEXT(INDEX(Database!$A$5:$A$523,MATCH(LARGE('Calc (scoring engine)'!$K$5:$K$523,14),'Calc (scoring engine)'!$K$5:$K$523,0)),"0")&amp;" HK Equity","PE_RATIO"),IF(INDEX(Database!$BI$5:$BI$523,MATCH(LARGE('Calc (scoring engine)'!$K$5:$K$523,14),'Calc (scoring engine)'!$K$5:$K$523,0))="","—",INDEX(Database!$BI$5:$BI$523,MATCH(LARGE('Calc (scoring engine)'!$K$5:$K$523,14),'Calc (scoring engine)'!$K$5:$K$523,0)))),""))</f>
        <v/>
      </c>
      <c r="BH34" s="24">
        <f>IF(OR(14&gt;MAX(3,MIN(15,N($D$18))),IFERROR(LARGE('Calc (scoring engine)'!$K$5:$K$523,14),-999999)&lt;=-900000),"",IFERROR(IFERROR(BDP(TEXT(INDEX(Database!$A$5:$A$523,MATCH(LARGE('Calc (scoring engine)'!$K$5:$K$523,14),'Calc (scoring engine)'!$K$5:$K$523,0)),"0")&amp;" HK Equity","PX_TO_SALES_RATIO"),IF(INDEX(Database!$BJ$5:$BJ$523,MATCH(LARGE('Calc (scoring engine)'!$K$5:$K$523,14),'Calc (scoring engine)'!$K$5:$K$523,0))="","—",INDEX(Database!$BJ$5:$BJ$523,MATCH(LARGE('Calc (scoring engine)'!$K$5:$K$523,14),'Calc (scoring engine)'!$K$5:$K$523,0)))),""))</f>
        <v/>
      </c>
      <c r="BI34" s="10">
        <f>IF(OR(14&gt;MAX(3,MIN(15,N($D$18))),IFERROR(LARGE('Calc (scoring engine)'!$K$5:$K$523,14),-999999)&lt;=-900000),"",IFERROR(IF(INDEX(Database!$BL$5:$BL$523,MATCH(LARGE('Calc (scoring engine)'!$K$5:$K$523,14),'Calc (scoring engine)'!$K$5:$K$523,0))="","—",INDEX(Database!$BL$5:$BL$523,MATCH(LARGE('Calc (scoring engine)'!$K$5:$K$523,14),'Calc (scoring engine)'!$K$5:$K$523,0))),""))</f>
        <v/>
      </c>
      <c r="BJ34" s="10">
        <f>IF(OR(14&gt;MAX(3,MIN(15,N($D$18))),IFERROR(LARGE('Calc (scoring engine)'!$K$5:$K$523,14),-999999)&lt;=-900000),"",IFERROR(IF(INDEX(Database!$BM$5:$BM$523,MATCH(LARGE('Calc (scoring engine)'!$K$5:$K$523,14),'Calc (scoring engine)'!$K$5:$K$523,0))="","—",INDEX(Database!$BM$5:$BM$523,MATCH(LARGE('Calc (scoring engine)'!$K$5:$K$523,14),'Calc (scoring engine)'!$K$5:$K$523,0))),""))</f>
        <v/>
      </c>
      <c r="BK34" s="23">
        <f>IF(OR(14&gt;MAX(3,MIN(15,N($D$18))),IFERROR(LARGE('Calc (scoring engine)'!$K$5:$K$523,14),-999999)&lt;=-900000),"",IFERROR(IF(INDEX(Database!$BN$5:$BN$523,MATCH(LARGE('Calc (scoring engine)'!$K$5:$K$523,14),'Calc (scoring engine)'!$K$5:$K$523,0))="","—",INDEX(Database!$BN$5:$BN$523,MATCH(LARGE('Calc (scoring engine)'!$K$5:$K$523,14),'Calc (scoring engine)'!$K$5:$K$523,0))),""))</f>
        <v/>
      </c>
      <c r="BL34" s="50">
        <f>IF(OR(14&gt;MAX(3,MIN(15,N($D$18))),IFERROR(LARGE('Calc (scoring engine)'!$K$5:$K$523,14),-999999)&lt;=-900000),"",IFERROR(IF(INDEX(Database!$BO$5:$BO$523,MATCH(LARGE('Calc (scoring engine)'!$K$5:$K$523,14),'Calc (scoring engine)'!$K$5:$K$523,0))="","—",INDEX(Database!$BO$5:$BO$523,MATCH(LARGE('Calc (scoring engine)'!$K$5:$K$523,14),'Calc (scoring engine)'!$K$5:$K$523,0))),""))</f>
        <v/>
      </c>
      <c r="BM34" s="54">
        <f>IF(OR(14&gt;MAX(3,MIN(15,N($D$18))),IFERROR(LARGE('Calc (scoring engine)'!$K$5:$K$523,14),-999999)&lt;=-900000),"",IFERROR(IF(INDEX(Database!$BP$5:$BP$523,MATCH(LARGE('Calc (scoring engine)'!$K$5:$K$523,14),'Calc (scoring engine)'!$K$5:$K$523,0))="","—",INDEX(Database!$BP$5:$BP$523,MATCH(LARGE('Calc (scoring engine)'!$K$5:$K$523,14),'Calc (scoring engine)'!$K$5:$K$523,0))),""))</f>
        <v/>
      </c>
      <c r="BN34" s="19">
        <f>IF(OR(14&gt;MAX(3,MIN(15,N($D$18))),IFERROR(LARGE('Calc (scoring engine)'!$K$5:$K$523,14),-999999)&lt;=-900000),"",IFERROR(IF(INDEX(Database!$BQ$5:$BQ$523,MATCH(LARGE('Calc (scoring engine)'!$K$5:$K$523,14),'Calc (scoring engine)'!$K$5:$K$523,0))="","—",INDEX(Database!$BQ$5:$BQ$523,MATCH(LARGE('Calc (scoring engine)'!$K$5:$K$523,14),'Calc (scoring engine)'!$K$5:$K$523,0))),""))</f>
        <v/>
      </c>
      <c r="BO34" s="24">
        <f>IF(OR(14&gt;MAX(3,MIN(15,N($D$18))),IFERROR(LARGE('Calc (scoring engine)'!$K$5:$K$523,14),-999999)&lt;=-900000),"",IFERROR(IF(INDEX(Database!$BR$5:$BR$523,MATCH(LARGE('Calc (scoring engine)'!$K$5:$K$523,14),'Calc (scoring engine)'!$K$5:$K$523,0))="","—",INDEX(Database!$BR$5:$BR$523,MATCH(LARGE('Calc (scoring engine)'!$K$5:$K$523,14),'Calc (scoring engine)'!$K$5:$K$523,0))),""))</f>
        <v/>
      </c>
      <c r="BP34" s="24">
        <f>IF(OR(14&gt;MAX(3,MIN(15,N($D$18))),IFERROR(LARGE('Calc (scoring engine)'!$K$5:$K$523,14),-999999)&lt;=-900000),"",IFERROR(IF(INDEX(Database!$BS$5:$BS$523,MATCH(LARGE('Calc (scoring engine)'!$K$5:$K$523,14),'Calc (scoring engine)'!$K$5:$K$523,0))="","—",INDEX(Database!$BS$5:$BS$523,MATCH(LARGE('Calc (scoring engine)'!$K$5:$K$523,14),'Calc (scoring engine)'!$K$5:$K$523,0))),""))</f>
        <v/>
      </c>
      <c r="BQ34" s="10">
        <f>IF(OR(14&gt;MAX(3,MIN(15,N($D$18))),IFERROR(LARGE('Calc (scoring engine)'!$K$5:$K$523,14),-999999)&lt;=-900000),"",IFERROR(IF(INDEX(Database!$BT$5:$BT$523,MATCH(LARGE('Calc (scoring engine)'!$K$5:$K$523,14),'Calc (scoring engine)'!$K$5:$K$523,0))="","—",INDEX(Database!$BT$5:$BT$523,MATCH(LARGE('Calc (scoring engine)'!$K$5:$K$523,14),'Calc (scoring engine)'!$K$5:$K$523,0))),""))</f>
        <v/>
      </c>
      <c r="BR34" s="10">
        <f>IF(OR(14&gt;MAX(3,MIN(15,N($D$18))),IFERROR(LARGE('Calc (scoring engine)'!$K$5:$K$523,14),-999999)&lt;=-900000),"",IFERROR(IF(INDEX(Database!$BV$5:$BV$523,MATCH(LARGE('Calc (scoring engine)'!$K$5:$K$523,14),'Calc (scoring engine)'!$K$5:$K$523,0))="","—",INDEX(Database!$BV$5:$BV$523,MATCH(LARGE('Calc (scoring engine)'!$K$5:$K$523,14),'Calc (scoring engine)'!$K$5:$K$523,0))),""))</f>
        <v/>
      </c>
      <c r="BS34" s="53">
        <f>IF(OR(14&gt;MAX(3,MIN(15,N($D$18))),IFERROR(LARGE('Calc (scoring engine)'!$K$5:$K$523,14),-999999)&lt;=-900000),"",IFERROR(IF(INDEX('Calc (scoring engine)'!$H$5:$H$523,MATCH(LARGE('Calc (scoring engine)'!$K$5:$K$523,14),'Calc (scoring engine)'!$K$5:$K$523,0))&gt;0,INDEX('Calc (scoring engine)'!$H$5:$H$523,MATCH(LARGE('Calc (scoring engine)'!$K$5:$K$523,14),'Calc (scoring engine)'!$K$5:$K$523,0)),""),""))</f>
        <v/>
      </c>
      <c r="BT34" s="10">
        <f>IF(OR(14&gt;MAX(3,MIN(15,N($D$18))),IFERROR(LARGE('Calc (scoring engine)'!$K$5:$K$523,14),-999999)&lt;=-900000),"",IF(IFERROR(INDEX('Calc (scoring engine)'!$B$5:$B$523,MATCH(LARGE('Calc (scoring engine)'!$K$5:$K$523,14),'Calc (scoring engine)'!$K$5:$K$523,0)),0)=1,"same subsector","sector only"))</f>
        <v/>
      </c>
      <c r="BU34" s="53">
        <f>IF(OR(14&gt;MAX(3,MIN(15,N($D$18))),IFERROR(LARGE('Calc (scoring engine)'!$K$5:$K$523,14),-999999)&lt;=-900000),"",ROUND(IFERROR(LARGE('Calc (scoring engine)'!$K$5:$K$523,14),0),0))</f>
        <v/>
      </c>
      <c r="BV34" s="10">
        <f>IF(OR(14&gt;MAX(3,MIN(15,N($D$18))),IFERROR(LARGE('Calc (scoring engine)'!$K$5:$K$523,14),-999999)&lt;=-900000),"",IFERROR("sub "&amp;INDEX('Calc (scoring engine)'!$B$5:$B$523,MATCH(LARGE('Calc (scoring engine)'!$K$5:$K$523,14),'Calc (scoring engine)'!$K$5:$K$523,0))*W_SUB&amp;" + size "&amp;ROUND(INDEX('Calc (scoring engine)'!$D$5:$D$523,MATCH(LARGE('Calc (scoring engine)'!$K$5:$K$523,14),'Calc (scoring engine)'!$K$5:$K$523,0))*W_SIZE,0)&amp;" + prof "&amp;INDEX('Calc (scoring engine)'!$E$5:$E$523,MATCH(LARGE('Calc (scoring engine)'!$K$5:$K$523,14),'Calc (scoring engine)'!$K$5:$K$523,0))*W_PROF&amp;" + recency "&amp;ROUND(INDEX('Calc (scoring engine)'!$G$5:$G$523,MATCH(LARGE('Calc (scoring engine)'!$K$5:$K$523,14),'Calc (scoring engine)'!$K$5:$K$523,0))*W_REC,0)&amp;IF(INDEX('Calc (scoring engine)'!$H$5:$H$523,MATCH(LARGE('Calc (scoring engine)'!$K$5:$K$523,14),'Calc (scoring engine)'!$K$5:$K$523,0))&gt;0," + shared CS x"&amp;INDEX('Calc (scoring engine)'!$H$5:$H$523,MATCH(LARGE('Calc (scoring engine)'!$K$5:$K$523,14),'Calc (scoring engine)'!$K$5:$K$523,0)),""),""))</f>
        <v/>
      </c>
    </row>
    <row r="35">
      <c r="A35" s="48">
        <f>IF(OR(15&gt;MAX(3,MIN(15,N($D$18))),IFERROR(LARGE('Calc (scoring engine)'!$K$5:$K$523,15),-999999)&lt;=-900000),"",15)</f>
        <v/>
      </c>
      <c r="B35" s="10">
        <f>IF(OR(15&gt;MAX(3,MIN(15,N($D$18))),IFERROR(LARGE('Calc (scoring engine)'!$K$5:$K$523,15),-999999)&lt;=-900000),"",IFERROR(IF(INDEX(Database!$B$5:$B$523,MATCH(LARGE('Calc (scoring engine)'!$K$5:$K$523,15),'Calc (scoring engine)'!$K$5:$K$523,0))="","—",INDEX(Database!$B$5:$B$523,MATCH(LARGE('Calc (scoring engine)'!$K$5:$K$523,15),'Calc (scoring engine)'!$K$5:$K$523,0))),""))</f>
        <v/>
      </c>
      <c r="C35" s="49">
        <f>IF(OR(15&gt;MAX(3,MIN(15,N($D$18))),IFERROR(LARGE('Calc (scoring engine)'!$K$5:$K$523,15),-999999)&lt;=-900000),"",IFERROR(IF(INDEX(Database!$A$5:$A$523,MATCH(LARGE('Calc (scoring engine)'!$K$5:$K$523,15),'Calc (scoring engine)'!$K$5:$K$523,0))="","—",INDEX(Database!$A$5:$A$523,MATCH(LARGE('Calc (scoring engine)'!$K$5:$K$523,15),'Calc (scoring engine)'!$K$5:$K$523,0))),""))</f>
        <v/>
      </c>
      <c r="D35" s="10">
        <f>IF(OR(15&gt;MAX(3,MIN(15,N($D$18))),IFERROR(LARGE('Calc (scoring engine)'!$K$5:$K$523,15),-999999)&lt;=-900000),"",IFERROR(IF(INDEX(Database!$D$5:$D$523,MATCH(LARGE('Calc (scoring engine)'!$K$5:$K$523,15),'Calc (scoring engine)'!$K$5:$K$523,0))="","—",INDEX(Database!$D$5:$D$523,MATCH(LARGE('Calc (scoring engine)'!$K$5:$K$523,15),'Calc (scoring engine)'!$K$5:$K$523,0))),""))</f>
        <v/>
      </c>
      <c r="E35" s="10">
        <f>IF(OR(15&gt;MAX(3,MIN(15,N($D$18))),IFERROR(LARGE('Calc (scoring engine)'!$K$5:$K$523,15),-999999)&lt;=-900000),"",IFERROR(IF(INDEX(Database!$E$5:$E$523,MATCH(LARGE('Calc (scoring engine)'!$K$5:$K$523,15),'Calc (scoring engine)'!$K$5:$K$523,0))="","—",INDEX(Database!$E$5:$E$523,MATCH(LARGE('Calc (scoring engine)'!$K$5:$K$523,15),'Calc (scoring engine)'!$K$5:$K$523,0))),""))</f>
        <v/>
      </c>
      <c r="F35" s="10">
        <f>IF(OR(15&gt;MAX(3,MIN(15,N($D$18))),IFERROR(LARGE('Calc (scoring engine)'!$K$5:$K$523,15),-999999)&lt;=-900000),"",IFERROR(IF(INDEX(Database!$F$5:$F$523,MATCH(LARGE('Calc (scoring engine)'!$K$5:$K$523,15),'Calc (scoring engine)'!$K$5:$K$523,0))="","—",INDEX(Database!$F$5:$F$523,MATCH(LARGE('Calc (scoring engine)'!$K$5:$K$523,15),'Calc (scoring engine)'!$K$5:$K$523,0))),""))</f>
        <v/>
      </c>
      <c r="G35" s="10">
        <f>IF(OR(15&gt;MAX(3,MIN(15,N($D$18))),IFERROR(LARGE('Calc (scoring engine)'!$K$5:$K$523,15),-999999)&lt;=-900000),"",IFERROR(IF(INDEX(Database!$G$5:$G$523,MATCH(LARGE('Calc (scoring engine)'!$K$5:$K$523,15),'Calc (scoring engine)'!$K$5:$K$523,0))="","—",INDEX(Database!$G$5:$G$523,MATCH(LARGE('Calc (scoring engine)'!$K$5:$K$523,15),'Calc (scoring engine)'!$K$5:$K$523,0))),""))</f>
        <v/>
      </c>
      <c r="H35" s="21">
        <f>IF(OR(15&gt;MAX(3,MIN(15,N($D$18))),IFERROR(LARGE('Calc (scoring engine)'!$K$5:$K$523,15),-999999)&lt;=-900000),"",IFERROR(IF(INDEX(Database!$H$5:$H$523,MATCH(LARGE('Calc (scoring engine)'!$K$5:$K$523,15),'Calc (scoring engine)'!$K$5:$K$523,0))="","—",INDEX(Database!$H$5:$H$523,MATCH(LARGE('Calc (scoring engine)'!$K$5:$K$523,15),'Calc (scoring engine)'!$K$5:$K$523,0))),""))</f>
        <v/>
      </c>
      <c r="I35" s="19">
        <f>IF(OR(15&gt;MAX(3,MIN(15,N($D$18))),IFERROR(LARGE('Calc (scoring engine)'!$K$5:$K$523,15),-999999)&lt;=-900000),"",IFERROR(IF(INDEX(Database!$I$5:$I$523,MATCH(LARGE('Calc (scoring engine)'!$K$5:$K$523,15),'Calc (scoring engine)'!$K$5:$K$523,0))="","—",INDEX(Database!$I$5:$I$523,MATCH(LARGE('Calc (scoring engine)'!$K$5:$K$523,15),'Calc (scoring engine)'!$K$5:$K$523,0))),""))</f>
        <v/>
      </c>
      <c r="J35" s="50">
        <f>IF(OR(15&gt;MAX(3,MIN(15,N($D$18))),IFERROR(LARGE('Calc (scoring engine)'!$K$5:$K$523,15),-999999)&lt;=-900000),"",IFERROR(IF(INDEX(Database!$K$5:$K$523,MATCH(LARGE('Calc (scoring engine)'!$K$5:$K$523,15),'Calc (scoring engine)'!$K$5:$K$523,0))="","—",INDEX(Database!$K$5:$K$523,MATCH(LARGE('Calc (scoring engine)'!$K$5:$K$523,15),'Calc (scoring engine)'!$K$5:$K$523,0))),""))</f>
        <v/>
      </c>
      <c r="K35" s="50">
        <f>IF(OR(15&gt;MAX(3,MIN(15,N($D$18))),IFERROR(LARGE('Calc (scoring engine)'!$K$5:$K$523,15),-999999)&lt;=-900000),"",IFERROR(IF(INDEX(Database!$L$5:$L$523,MATCH(LARGE('Calc (scoring engine)'!$K$5:$K$523,15),'Calc (scoring engine)'!$K$5:$K$523,0))="","—",INDEX(Database!$L$5:$L$523,MATCH(LARGE('Calc (scoring engine)'!$K$5:$K$523,15),'Calc (scoring engine)'!$K$5:$K$523,0))),""))</f>
        <v/>
      </c>
      <c r="L35" s="50">
        <f>IF(OR(15&gt;MAX(3,MIN(15,N($D$18))),IFERROR(LARGE('Calc (scoring engine)'!$K$5:$K$523,15),-999999)&lt;=-900000),"",IFERROR(IF(INDEX(Database!$M$5:$M$523,MATCH(LARGE('Calc (scoring engine)'!$K$5:$K$523,15),'Calc (scoring engine)'!$K$5:$K$523,0))="","—",INDEX(Database!$M$5:$M$523,MATCH(LARGE('Calc (scoring engine)'!$K$5:$K$523,15),'Calc (scoring engine)'!$K$5:$K$523,0))),""))</f>
        <v/>
      </c>
      <c r="M35" s="10">
        <f>IF(OR(15&gt;MAX(3,MIN(15,N($D$18))),IFERROR(LARGE('Calc (scoring engine)'!$K$5:$K$523,15),-999999)&lt;=-900000),"",IFERROR(IF(INDEX(Database!$N$5:$N$523,MATCH(LARGE('Calc (scoring engine)'!$K$5:$K$523,15),'Calc (scoring engine)'!$K$5:$K$523,0))="","—",INDEX(Database!$N$5:$N$523,MATCH(LARGE('Calc (scoring engine)'!$K$5:$K$523,15),'Calc (scoring engine)'!$K$5:$K$523,0))),""))</f>
        <v/>
      </c>
      <c r="N35" s="31">
        <f>IF(OR(15&gt;MAX(3,MIN(15,N($D$18))),IFERROR(LARGE('Calc (scoring engine)'!$K$5:$K$523,15),-999999)&lt;=-900000),"",IFERROR(IF(INDEX(Database!$O$5:$O$523,MATCH(LARGE('Calc (scoring engine)'!$K$5:$K$523,15),'Calc (scoring engine)'!$K$5:$K$523,0))="","—",INDEX(Database!$O$5:$O$523,MATCH(LARGE('Calc (scoring engine)'!$K$5:$K$523,15),'Calc (scoring engine)'!$K$5:$K$523,0))),""))</f>
        <v/>
      </c>
      <c r="O35" s="31">
        <f>IF(OR(15&gt;MAX(3,MIN(15,N($D$18))),IFERROR(LARGE('Calc (scoring engine)'!$K$5:$K$523,15),-999999)&lt;=-900000),"",IFERROR(IF(INDEX(Database!$P$5:$P$523,MATCH(LARGE('Calc (scoring engine)'!$K$5:$K$523,15),'Calc (scoring engine)'!$K$5:$K$523,0))="","—",INDEX(Database!$P$5:$P$523,MATCH(LARGE('Calc (scoring engine)'!$K$5:$K$523,15),'Calc (scoring engine)'!$K$5:$K$523,0))),""))</f>
        <v/>
      </c>
      <c r="P35" s="19">
        <f>IF(OR(15&gt;MAX(3,MIN(15,N($D$18))),IFERROR(LARGE('Calc (scoring engine)'!$K$5:$K$523,15),-999999)&lt;=-900000),"",IFERROR(IF(INDEX(Database!$Q$5:$Q$523,MATCH(LARGE('Calc (scoring engine)'!$K$5:$K$523,15),'Calc (scoring engine)'!$K$5:$K$523,0))="","—",INDEX(Database!$Q$5:$Q$523,MATCH(LARGE('Calc (scoring engine)'!$K$5:$K$523,15),'Calc (scoring engine)'!$K$5:$K$523,0))),""))</f>
        <v/>
      </c>
      <c r="Q35" s="26">
        <f>IF(OR(15&gt;MAX(3,MIN(15,N($D$18))),IFERROR(LARGE('Calc (scoring engine)'!$K$5:$K$523,15),-999999)&lt;=-900000),"",IFERROR(IF(INDEX(Database!$S$5:$S$523,MATCH(LARGE('Calc (scoring engine)'!$K$5:$K$523,15),'Calc (scoring engine)'!$K$5:$K$523,0))="","—",INDEX(Database!$S$5:$S$523,MATCH(LARGE('Calc (scoring engine)'!$K$5:$K$523,15),'Calc (scoring engine)'!$K$5:$K$523,0))),""))</f>
        <v/>
      </c>
      <c r="R35" s="51">
        <f>IF(OR(15&gt;MAX(3,MIN(15,N($D$18))),IFERROR(LARGE('Calc (scoring engine)'!$K$5:$K$523,15),-999999)&lt;=-900000),"",IFERROR(IF(INDEX(Database!$T$5:$T$523,MATCH(LARGE('Calc (scoring engine)'!$K$5:$K$523,15),'Calc (scoring engine)'!$K$5:$K$523,0))="","—",INDEX(Database!$T$5:$T$523,MATCH(LARGE('Calc (scoring engine)'!$K$5:$K$523,15),'Calc (scoring engine)'!$K$5:$K$523,0))),""))</f>
        <v/>
      </c>
      <c r="S35" s="52">
        <f>IF(OR(15&gt;MAX(3,MIN(15,N($D$18))),IFERROR(LARGE('Calc (scoring engine)'!$K$5:$K$523,15),-999999)&lt;=-900000),"",IFERROR(IF(INDEX(Database!$U$5:$U$523,MATCH(LARGE('Calc (scoring engine)'!$K$5:$K$523,15),'Calc (scoring engine)'!$K$5:$K$523,0))="","—",INDEX(Database!$U$5:$U$523,MATCH(LARGE('Calc (scoring engine)'!$K$5:$K$523,15),'Calc (scoring engine)'!$K$5:$K$523,0))),""))</f>
        <v/>
      </c>
      <c r="T35" s="53">
        <f>IF(OR(15&gt;MAX(3,MIN(15,N($D$18))),IFERROR(LARGE('Calc (scoring engine)'!$K$5:$K$523,15),-999999)&lt;=-900000),"",IFERROR(IF(INDEX(Database!$V$5:$V$523,MATCH(LARGE('Calc (scoring engine)'!$K$5:$K$523,15),'Calc (scoring engine)'!$K$5:$K$523,0))="","—",INDEX(Database!$V$5:$V$523,MATCH(LARGE('Calc (scoring engine)'!$K$5:$K$523,15),'Calc (scoring engine)'!$K$5:$K$523,0))),""))</f>
        <v/>
      </c>
      <c r="U35" s="31">
        <f>IF(OR(15&gt;MAX(3,MIN(15,N($D$18))),IFERROR(LARGE('Calc (scoring engine)'!$K$5:$K$523,15),-999999)&lt;=-900000),"",IFERROR(IF(INDEX(Database!$W$5:$W$523,MATCH(LARGE('Calc (scoring engine)'!$K$5:$K$523,15),'Calc (scoring engine)'!$K$5:$K$523,0))="","—",INDEX(Database!$W$5:$W$523,MATCH(LARGE('Calc (scoring engine)'!$K$5:$K$523,15),'Calc (scoring engine)'!$K$5:$K$523,0))),""))</f>
        <v/>
      </c>
      <c r="V35" s="10">
        <f>IF(OR(15&gt;MAX(3,MIN(15,N($D$18))),IFERROR(LARGE('Calc (scoring engine)'!$K$5:$K$523,15),-999999)&lt;=-900000),"",IFERROR(IF(INDEX(Database!$X$5:$X$523,MATCH(LARGE('Calc (scoring engine)'!$K$5:$K$523,15),'Calc (scoring engine)'!$K$5:$K$523,0))="","—",INDEX(Database!$X$5:$X$523,MATCH(LARGE('Calc (scoring engine)'!$K$5:$K$523,15),'Calc (scoring engine)'!$K$5:$K$523,0))),""))</f>
        <v/>
      </c>
      <c r="W35" s="19">
        <f>IF(OR(15&gt;MAX(3,MIN(15,N($D$18))),IFERROR(LARGE('Calc (scoring engine)'!$K$5:$K$523,15),-999999)&lt;=-900000),"",IFERROR(IF(INDEX(Database!$Y$5:$Y$523,MATCH(LARGE('Calc (scoring engine)'!$K$5:$K$523,15),'Calc (scoring engine)'!$K$5:$K$523,0))="","—",INDEX(Database!$Y$5:$Y$523,MATCH(LARGE('Calc (scoring engine)'!$K$5:$K$523,15),'Calc (scoring engine)'!$K$5:$K$523,0))),""))</f>
        <v/>
      </c>
      <c r="X35" s="19">
        <f>IF(OR(15&gt;MAX(3,MIN(15,N($D$18))),IFERROR(LARGE('Calc (scoring engine)'!$K$5:$K$523,15),-999999)&lt;=-900000),"",IFERROR(IF(INDEX(Database!$Z$5:$Z$523,MATCH(LARGE('Calc (scoring engine)'!$K$5:$K$523,15),'Calc (scoring engine)'!$K$5:$K$523,0))="","—",INDEX(Database!$Z$5:$Z$523,MATCH(LARGE('Calc (scoring engine)'!$K$5:$K$523,15),'Calc (scoring engine)'!$K$5:$K$523,0))),""))</f>
        <v/>
      </c>
      <c r="Y35" s="31">
        <f>IF(OR(15&gt;MAX(3,MIN(15,N($D$18))),IFERROR(LARGE('Calc (scoring engine)'!$K$5:$K$523,15),-999999)&lt;=-900000),"",IFERROR(IF(INDEX(Database!$AA$5:$AA$523,MATCH(LARGE('Calc (scoring engine)'!$K$5:$K$523,15),'Calc (scoring engine)'!$K$5:$K$523,0))="","—",INDEX(Database!$AA$5:$AA$523,MATCH(LARGE('Calc (scoring engine)'!$K$5:$K$523,15),'Calc (scoring engine)'!$K$5:$K$523,0))),""))</f>
        <v/>
      </c>
      <c r="Z35" s="10">
        <f>IF(OR(15&gt;MAX(3,MIN(15,N($D$18))),IFERROR(LARGE('Calc (scoring engine)'!$K$5:$K$523,15),-999999)&lt;=-900000),"",IFERROR(IF(INDEX(Database!$AB$5:$AB$523,MATCH(LARGE('Calc (scoring engine)'!$K$5:$K$523,15),'Calc (scoring engine)'!$K$5:$K$523,0))="","—",INDEX(Database!$AB$5:$AB$523,MATCH(LARGE('Calc (scoring engine)'!$K$5:$K$523,15),'Calc (scoring engine)'!$K$5:$K$523,0))),""))</f>
        <v/>
      </c>
      <c r="AA35" s="31">
        <f>IF(OR(15&gt;MAX(3,MIN(15,N($D$18))),IFERROR(LARGE('Calc (scoring engine)'!$K$5:$K$523,15),-999999)&lt;=-900000),"",IFERROR(IF(INDEX(Database!$AD$5:$AD$523,MATCH(LARGE('Calc (scoring engine)'!$K$5:$K$523,15),'Calc (scoring engine)'!$K$5:$K$523,0))="","—",INDEX(Database!$AD$5:$AD$523,MATCH(LARGE('Calc (scoring engine)'!$K$5:$K$523,15),'Calc (scoring engine)'!$K$5:$K$523,0))),""))</f>
        <v/>
      </c>
      <c r="AB35" s="10">
        <f>IF(OR(15&gt;MAX(3,MIN(15,N($D$18))),IFERROR(LARGE('Calc (scoring engine)'!$K$5:$K$523,15),-999999)&lt;=-900000),"",IFERROR(IF(INDEX(Database!$AE$5:$AE$523,MATCH(LARGE('Calc (scoring engine)'!$K$5:$K$523,15),'Calc (scoring engine)'!$K$5:$K$523,0))="","—",INDEX(Database!$AE$5:$AE$523,MATCH(LARGE('Calc (scoring engine)'!$K$5:$K$523,15),'Calc (scoring engine)'!$K$5:$K$523,0))),""))</f>
        <v/>
      </c>
      <c r="AC35" s="10">
        <f>IF(OR(15&gt;MAX(3,MIN(15,N($D$18))),IFERROR(LARGE('Calc (scoring engine)'!$K$5:$K$523,15),-999999)&lt;=-900000),"",IFERROR(IF(INDEX(Database!$AF$5:$AF$523,MATCH(LARGE('Calc (scoring engine)'!$K$5:$K$523,15),'Calc (scoring engine)'!$K$5:$K$523,0))="","—",INDEX(Database!$AF$5:$AF$523,MATCH(LARGE('Calc (scoring engine)'!$K$5:$K$523,15),'Calc (scoring engine)'!$K$5:$K$523,0))),""))</f>
        <v/>
      </c>
      <c r="AD35" s="10">
        <f>IF(OR(15&gt;MAX(3,MIN(15,N($D$18))),IFERROR(LARGE('Calc (scoring engine)'!$K$5:$K$523,15),-999999)&lt;=-900000),"",IFERROR(IF(INDEX(Database!$AG$5:$AG$523,MATCH(LARGE('Calc (scoring engine)'!$K$5:$K$523,15),'Calc (scoring engine)'!$K$5:$K$523,0))="","—",INDEX(Database!$AG$5:$AG$523,MATCH(LARGE('Calc (scoring engine)'!$K$5:$K$523,15),'Calc (scoring engine)'!$K$5:$K$523,0))),""))</f>
        <v/>
      </c>
      <c r="AE35" s="10">
        <f>IF(OR(15&gt;MAX(3,MIN(15,N($D$18))),IFERROR(LARGE('Calc (scoring engine)'!$K$5:$K$523,15),-999999)&lt;=-900000),"",IFERROR(IF(INDEX(Database!$AH$5:$AH$523,MATCH(LARGE('Calc (scoring engine)'!$K$5:$K$523,15),'Calc (scoring engine)'!$K$5:$K$523,0))="","—",INDEX(Database!$AH$5:$AH$523,MATCH(LARGE('Calc (scoring engine)'!$K$5:$K$523,15),'Calc (scoring engine)'!$K$5:$K$523,0))),""))</f>
        <v/>
      </c>
      <c r="AF35" s="23">
        <f>IF(OR(15&gt;MAX(3,MIN(15,N($D$18))),IFERROR(LARGE('Calc (scoring engine)'!$K$5:$K$523,15),-999999)&lt;=-900000),"",IFERROR(IF(INDEX(Database!$AI$5:$AI$523,MATCH(LARGE('Calc (scoring engine)'!$K$5:$K$523,15),'Calc (scoring engine)'!$K$5:$K$523,0))="","—",INDEX(Database!$AI$5:$AI$523,MATCH(LARGE('Calc (scoring engine)'!$K$5:$K$523,15),'Calc (scoring engine)'!$K$5:$K$523,0))),""))</f>
        <v/>
      </c>
      <c r="AG35" s="23">
        <f>IF(OR(15&gt;MAX(3,MIN(15,N($D$18))),IFERROR(LARGE('Calc (scoring engine)'!$K$5:$K$523,15),-999999)&lt;=-900000),"",IFERROR(IF(INDEX(Database!$AJ$5:$AJ$523,MATCH(LARGE('Calc (scoring engine)'!$K$5:$K$523,15),'Calc (scoring engine)'!$K$5:$K$523,0))="","—",INDEX(Database!$AJ$5:$AJ$523,MATCH(LARGE('Calc (scoring engine)'!$K$5:$K$523,15),'Calc (scoring engine)'!$K$5:$K$523,0))),""))</f>
        <v/>
      </c>
      <c r="AH35" s="23">
        <f>IF(OR(15&gt;MAX(3,MIN(15,N($D$18))),IFERROR(LARGE('Calc (scoring engine)'!$K$5:$K$523,15),-999999)&lt;=-900000),"",IFERROR(IF(INDEX(Database!$AK$5:$AK$523,MATCH(LARGE('Calc (scoring engine)'!$K$5:$K$523,15),'Calc (scoring engine)'!$K$5:$K$523,0))="","—",INDEX(Database!$AK$5:$AK$523,MATCH(LARGE('Calc (scoring engine)'!$K$5:$K$523,15),'Calc (scoring engine)'!$K$5:$K$523,0))),""))</f>
        <v/>
      </c>
      <c r="AI35" s="23">
        <f>IF(OR(15&gt;MAX(3,MIN(15,N($D$18))),IFERROR(LARGE('Calc (scoring engine)'!$K$5:$K$523,15),-999999)&lt;=-900000),"",IFERROR(IF(INDEX(Database!$AL$5:$AL$523,MATCH(LARGE('Calc (scoring engine)'!$K$5:$K$523,15),'Calc (scoring engine)'!$K$5:$K$523,0))="","—",INDEX(Database!$AL$5:$AL$523,MATCH(LARGE('Calc (scoring engine)'!$K$5:$K$523,15),'Calc (scoring engine)'!$K$5:$K$523,0))),""))</f>
        <v/>
      </c>
      <c r="AJ35" s="24">
        <f>IF(OR(15&gt;MAX(3,MIN(15,N($D$18))),IFERROR(LARGE('Calc (scoring engine)'!$K$5:$K$523,15),-999999)&lt;=-900000),"",IFERROR(IF(INDEX(Database!$AM$5:$AM$523,MATCH(LARGE('Calc (scoring engine)'!$K$5:$K$523,15),'Calc (scoring engine)'!$K$5:$K$523,0))="","—",INDEX(Database!$AM$5:$AM$523,MATCH(LARGE('Calc (scoring engine)'!$K$5:$K$523,15),'Calc (scoring engine)'!$K$5:$K$523,0))),""))</f>
        <v/>
      </c>
      <c r="AK35" s="31">
        <f>IF(OR(15&gt;MAX(3,MIN(15,N($D$18))),IFERROR(LARGE('Calc (scoring engine)'!$K$5:$K$523,15),-999999)&lt;=-900000),"",IFERROR(IF(INDEX(Database!$AN$5:$AN$523,MATCH(LARGE('Calc (scoring engine)'!$K$5:$K$523,15),'Calc (scoring engine)'!$K$5:$K$523,0))="","—",INDEX(Database!$AN$5:$AN$523,MATCH(LARGE('Calc (scoring engine)'!$K$5:$K$523,15),'Calc (scoring engine)'!$K$5:$K$523,0))),""))</f>
        <v/>
      </c>
      <c r="AL35" s="23">
        <f>IF(OR(15&gt;MAX(3,MIN(15,N($D$18))),IFERROR(LARGE('Calc (scoring engine)'!$K$5:$K$523,15),-999999)&lt;=-900000),"",IFERROR(IF(INDEX(Database!$AO$5:$AO$523,MATCH(LARGE('Calc (scoring engine)'!$K$5:$K$523,15),'Calc (scoring engine)'!$K$5:$K$523,0))="","—",INDEX(Database!$AO$5:$AO$523,MATCH(LARGE('Calc (scoring engine)'!$K$5:$K$523,15),'Calc (scoring engine)'!$K$5:$K$523,0))),""))</f>
        <v/>
      </c>
      <c r="AM35" s="23">
        <f>IF(OR(15&gt;MAX(3,MIN(15,N($D$18))),IFERROR(LARGE('Calc (scoring engine)'!$K$5:$K$523,15),-999999)&lt;=-900000),"",IFERROR(IF(INDEX(Database!$AP$5:$AP$523,MATCH(LARGE('Calc (scoring engine)'!$K$5:$K$523,15),'Calc (scoring engine)'!$K$5:$K$523,0))="","—",INDEX(Database!$AP$5:$AP$523,MATCH(LARGE('Calc (scoring engine)'!$K$5:$K$523,15),'Calc (scoring engine)'!$K$5:$K$523,0))),""))</f>
        <v/>
      </c>
      <c r="AN35" s="23">
        <f>IF(OR(15&gt;MAX(3,MIN(15,N($D$18))),IFERROR(LARGE('Calc (scoring engine)'!$K$5:$K$523,15),-999999)&lt;=-900000),"",IFERROR(IF(INDEX(Database!$AQ$5:$AQ$523,MATCH(LARGE('Calc (scoring engine)'!$K$5:$K$523,15),'Calc (scoring engine)'!$K$5:$K$523,0))="","—",INDEX(Database!$AQ$5:$AQ$523,MATCH(LARGE('Calc (scoring engine)'!$K$5:$K$523,15),'Calc (scoring engine)'!$K$5:$K$523,0))),""))</f>
        <v/>
      </c>
      <c r="AO35" s="23">
        <f>IF(OR(15&gt;MAX(3,MIN(15,N($D$18))),IFERROR(LARGE('Calc (scoring engine)'!$K$5:$K$523,15),-999999)&lt;=-900000),"",IFERROR(IF(INDEX(Database!$AR$5:$AR$523,MATCH(LARGE('Calc (scoring engine)'!$K$5:$K$523,15),'Calc (scoring engine)'!$K$5:$K$523,0))="","—",INDEX(Database!$AR$5:$AR$523,MATCH(LARGE('Calc (scoring engine)'!$K$5:$K$523,15),'Calc (scoring engine)'!$K$5:$K$523,0))),""))</f>
        <v/>
      </c>
      <c r="AP35" s="23">
        <f>IF(OR(15&gt;MAX(3,MIN(15,N($D$18))),IFERROR(LARGE('Calc (scoring engine)'!$K$5:$K$523,15),-999999)&lt;=-900000),"",IFERROR(IF(INDEX(Database!$AS$5:$AS$523,MATCH(LARGE('Calc (scoring engine)'!$K$5:$K$523,15),'Calc (scoring engine)'!$K$5:$K$523,0))="","—",INDEX(Database!$AS$5:$AS$523,MATCH(LARGE('Calc (scoring engine)'!$K$5:$K$523,15),'Calc (scoring engine)'!$K$5:$K$523,0))),""))</f>
        <v/>
      </c>
      <c r="AQ35" s="23">
        <f>IF(OR(15&gt;MAX(3,MIN(15,N($D$18))),IFERROR(LARGE('Calc (scoring engine)'!$K$5:$K$523,15),-999999)&lt;=-900000),"",IFERROR(IF(INDEX(Database!$AT$5:$AT$523,MATCH(LARGE('Calc (scoring engine)'!$K$5:$K$523,15),'Calc (scoring engine)'!$K$5:$K$523,0))="","—",INDEX(Database!$AT$5:$AT$523,MATCH(LARGE('Calc (scoring engine)'!$K$5:$K$523,15),'Calc (scoring engine)'!$K$5:$K$523,0))),""))</f>
        <v/>
      </c>
      <c r="AR35" s="23">
        <f>IF(OR(15&gt;MAX(3,MIN(15,N($D$18))),IFERROR(LARGE('Calc (scoring engine)'!$K$5:$K$523,15),-999999)&lt;=-900000),"",IFERROR(IF(INDEX(Database!$AU$5:$AU$523,MATCH(LARGE('Calc (scoring engine)'!$K$5:$K$523,15),'Calc (scoring engine)'!$K$5:$K$523,0))="","—",INDEX(Database!$AU$5:$AU$523,MATCH(LARGE('Calc (scoring engine)'!$K$5:$K$523,15),'Calc (scoring engine)'!$K$5:$K$523,0))),""))</f>
        <v/>
      </c>
      <c r="AS35" s="23">
        <f>IF(OR(15&gt;MAX(3,MIN(15,N($D$18))),IFERROR(LARGE('Calc (scoring engine)'!$K$5:$K$523,15),-999999)&lt;=-900000),"",IFERROR(IF(INDEX(Database!$AV$5:$AV$523,MATCH(LARGE('Calc (scoring engine)'!$K$5:$K$523,15),'Calc (scoring engine)'!$K$5:$K$523,0))="","—",INDEX(Database!$AV$5:$AV$523,MATCH(LARGE('Calc (scoring engine)'!$K$5:$K$523,15),'Calc (scoring engine)'!$K$5:$K$523,0))),""))</f>
        <v/>
      </c>
      <c r="AT35" s="23">
        <f>IF(OR(15&gt;MAX(3,MIN(15,N($D$18))),IFERROR(LARGE('Calc (scoring engine)'!$K$5:$K$523,15),-999999)&lt;=-900000),"",IFERROR(IF(INDEX(Database!$AW$5:$AW$523,MATCH(LARGE('Calc (scoring engine)'!$K$5:$K$523,15),'Calc (scoring engine)'!$K$5:$K$523,0))="","—",INDEX(Database!$AW$5:$AW$523,MATCH(LARGE('Calc (scoring engine)'!$K$5:$K$523,15),'Calc (scoring engine)'!$K$5:$K$523,0))),""))</f>
        <v/>
      </c>
      <c r="AU35" s="23">
        <f>IF(OR(15&gt;MAX(3,MIN(15,N($D$18))),IFERROR(LARGE('Calc (scoring engine)'!$K$5:$K$523,15),-999999)&lt;=-900000),"",IFERROR(IF(INDEX(Database!$AX$5:$AX$523,MATCH(LARGE('Calc (scoring engine)'!$K$5:$K$523,15),'Calc (scoring engine)'!$K$5:$K$523,0))="","—",INDEX(Database!$AX$5:$AX$523,MATCH(LARGE('Calc (scoring engine)'!$K$5:$K$523,15),'Calc (scoring engine)'!$K$5:$K$523,0))),""))</f>
        <v/>
      </c>
      <c r="AV35" s="23">
        <f>IF(OR(15&gt;MAX(3,MIN(15,N($D$18))),IFERROR(LARGE('Calc (scoring engine)'!$K$5:$K$523,15),-999999)&lt;=-900000),"",IFERROR(IF(INDEX(Database!$AY$5:$AY$523,MATCH(LARGE('Calc (scoring engine)'!$K$5:$K$523,15),'Calc (scoring engine)'!$K$5:$K$523,0))="","—",INDEX(Database!$AY$5:$AY$523,MATCH(LARGE('Calc (scoring engine)'!$K$5:$K$523,15),'Calc (scoring engine)'!$K$5:$K$523,0))),""))</f>
        <v/>
      </c>
      <c r="AW35" s="23">
        <f>IF(OR(15&gt;MAX(3,MIN(15,N($D$18))),IFERROR(LARGE('Calc (scoring engine)'!$K$5:$K$523,15),-999999)&lt;=-900000),"",IFERROR(IF(INDEX(Database!$AZ$5:$AZ$523,MATCH(LARGE('Calc (scoring engine)'!$K$5:$K$523,15),'Calc (scoring engine)'!$K$5:$K$523,0))="","—",INDEX(Database!$AZ$5:$AZ$523,MATCH(LARGE('Calc (scoring engine)'!$K$5:$K$523,15),'Calc (scoring engine)'!$K$5:$K$523,0))),""))</f>
        <v/>
      </c>
      <c r="AX35" s="23">
        <f>IF(OR(15&gt;MAX(3,MIN(15,N($D$18))),IFERROR(LARGE('Calc (scoring engine)'!$K$5:$K$523,15),-999999)&lt;=-900000),"",IFERROR(IF(INDEX(Database!$BB$5:$BB$523,MATCH(LARGE('Calc (scoring engine)'!$K$5:$K$523,15),'Calc (scoring engine)'!$K$5:$K$523,0))="","—",INDEX(Database!$BB$5:$BB$523,MATCH(LARGE('Calc (scoring engine)'!$K$5:$K$523,15),'Calc (scoring engine)'!$K$5:$K$523,0))),""))</f>
        <v/>
      </c>
      <c r="AY35" s="19">
        <f>IF(OR(15&gt;MAX(3,MIN(15,N($D$18))),IFERROR(LARGE('Calc (scoring engine)'!$K$5:$K$523,15),-999999)&lt;=-900000),"",IFERROR(IF(INDEX(Database!$BD$5:$BD$523,MATCH(LARGE('Calc (scoring engine)'!$K$5:$K$523,15),'Calc (scoring engine)'!$K$5:$K$523,0))="","—",INDEX(Database!$BD$5:$BD$523,MATCH(LARGE('Calc (scoring engine)'!$K$5:$K$523,15),'Calc (scoring engine)'!$K$5:$K$523,0))),""))</f>
        <v/>
      </c>
      <c r="AZ35" s="19">
        <f>IF(OR(15&gt;MAX(3,MIN(15,N($D$18))),IFERROR(LARGE('Calc (scoring engine)'!$K$5:$K$523,15),-999999)&lt;=-900000),"",IFERROR(IF(INDEX(Database!$BE$5:$BE$523,MATCH(LARGE('Calc (scoring engine)'!$K$5:$K$523,15),'Calc (scoring engine)'!$K$5:$K$523,0))="","—",INDEX(Database!$BE$5:$BE$523,MATCH(LARGE('Calc (scoring engine)'!$K$5:$K$523,15),'Calc (scoring engine)'!$K$5:$K$523,0))),""))</f>
        <v/>
      </c>
      <c r="BA35" s="10">
        <f>IF(OR(15&gt;MAX(3,MIN(15,N($D$18))),IFERROR(LARGE('Calc (scoring engine)'!$K$5:$K$523,15),-999999)&lt;=-900000),"",IFERROR(IF(INDEX(Database!$BF$5:$BF$523,MATCH(LARGE('Calc (scoring engine)'!$K$5:$K$523,15),'Calc (scoring engine)'!$K$5:$K$523,0))="","—",INDEX(Database!$BF$5:$BF$523,MATCH(LARGE('Calc (scoring engine)'!$K$5:$K$523,15),'Calc (scoring engine)'!$K$5:$K$523,0))),""))</f>
        <v/>
      </c>
      <c r="BB35" s="24">
        <f>IF(OR(15&gt;MAX(3,MIN(15,N($D$18))),IFERROR(LARGE('Calc (scoring engine)'!$K$5:$K$523,15),-999999)&lt;=-900000),"",IFERROR(IF(N(INDEX(Database!$BG$5:$BG$523,MATCH(LARGE('Calc (scoring engine)'!$K$5:$K$523,15),'Calc (scoring engine)'!$K$5:$K$523,0)))&lt;=0,IF(INDEX(Database!$BF$5:$BF$523,MATCH(LARGE('Calc (scoring engine)'!$K$5:$K$523,15),'Calc (scoring engine)'!$K$5:$K$523,0))="N","n/m","—"),INDEX(Database!$BG$5:$BG$523,MATCH(LARGE('Calc (scoring engine)'!$K$5:$K$523,15),'Calc (scoring engine)'!$K$5:$K$523,0))),""))</f>
        <v/>
      </c>
      <c r="BC35" s="24">
        <f>IF(OR(15&gt;MAX(3,MIN(15,N($D$18))),IFERROR(LARGE('Calc (scoring engine)'!$K$5:$K$523,15),-999999)&lt;=-900000),"",IFERROR(IF(INDEX(Database!$BH$5:$BH$523,MATCH(LARGE('Calc (scoring engine)'!$K$5:$K$523,15),'Calc (scoring engine)'!$K$5:$K$523,0))="","—",INDEX(Database!$BH$5:$BH$523,MATCH(LARGE('Calc (scoring engine)'!$K$5:$K$523,15),'Calc (scoring engine)'!$K$5:$K$523,0))),""))</f>
        <v/>
      </c>
      <c r="BD35" s="24">
        <f>IF(OR(15&gt;MAX(3,MIN(15,N($D$18))),IFERROR(LARGE('Calc (scoring engine)'!$K$5:$K$523,15),-999999)&lt;=-900000),"",IFERROR(IF(INDEX(Database!$BI$5:$BI$523,MATCH(LARGE('Calc (scoring engine)'!$K$5:$K$523,15),'Calc (scoring engine)'!$K$5:$K$523,0))="","—",INDEX(Database!$BI$5:$BI$523,MATCH(LARGE('Calc (scoring engine)'!$K$5:$K$523,15),'Calc (scoring engine)'!$K$5:$K$523,0))),""))</f>
        <v/>
      </c>
      <c r="BE35" s="24">
        <f>IF(OR(15&gt;MAX(3,MIN(15,N($D$18))),IFERROR(LARGE('Calc (scoring engine)'!$K$5:$K$523,15),-999999)&lt;=-900000),"",IFERROR(IF(INDEX(Database!$BJ$5:$BJ$523,MATCH(LARGE('Calc (scoring engine)'!$K$5:$K$523,15),'Calc (scoring engine)'!$K$5:$K$523,0))="","—",INDEX(Database!$BJ$5:$BJ$523,MATCH(LARGE('Calc (scoring engine)'!$K$5:$K$523,15),'Calc (scoring engine)'!$K$5:$K$523,0))),""))</f>
        <v/>
      </c>
      <c r="BF35" s="24">
        <f>IF(OR(15&gt;MAX(3,MIN(15,N($D$18))),IFERROR(LARGE('Calc (scoring engine)'!$K$5:$K$523,15),-999999)&lt;=-900000),"",IFERROR(IF(INDEX(Database!$BK$5:$BK$523,MATCH(LARGE('Calc (scoring engine)'!$K$5:$K$523,15),'Calc (scoring engine)'!$K$5:$K$523,0))="","—",INDEX(Database!$BK$5:$BK$523,MATCH(LARGE('Calc (scoring engine)'!$K$5:$K$523,15),'Calc (scoring engine)'!$K$5:$K$523,0))),""))</f>
        <v/>
      </c>
      <c r="BG35" s="24">
        <f>IF(OR(15&gt;MAX(3,MIN(15,N($D$18))),IFERROR(LARGE('Calc (scoring engine)'!$K$5:$K$523,15),-999999)&lt;=-900000),"",IFERROR(IFERROR(BDP(TEXT(INDEX(Database!$A$5:$A$523,MATCH(LARGE('Calc (scoring engine)'!$K$5:$K$523,15),'Calc (scoring engine)'!$K$5:$K$523,0)),"0")&amp;" HK Equity","PE_RATIO"),IF(INDEX(Database!$BI$5:$BI$523,MATCH(LARGE('Calc (scoring engine)'!$K$5:$K$523,15),'Calc (scoring engine)'!$K$5:$K$523,0))="","—",INDEX(Database!$BI$5:$BI$523,MATCH(LARGE('Calc (scoring engine)'!$K$5:$K$523,15),'Calc (scoring engine)'!$K$5:$K$523,0)))),""))</f>
        <v/>
      </c>
      <c r="BH35" s="24">
        <f>IF(OR(15&gt;MAX(3,MIN(15,N($D$18))),IFERROR(LARGE('Calc (scoring engine)'!$K$5:$K$523,15),-999999)&lt;=-900000),"",IFERROR(IFERROR(BDP(TEXT(INDEX(Database!$A$5:$A$523,MATCH(LARGE('Calc (scoring engine)'!$K$5:$K$523,15),'Calc (scoring engine)'!$K$5:$K$523,0)),"0")&amp;" HK Equity","PX_TO_SALES_RATIO"),IF(INDEX(Database!$BJ$5:$BJ$523,MATCH(LARGE('Calc (scoring engine)'!$K$5:$K$523,15),'Calc (scoring engine)'!$K$5:$K$523,0))="","—",INDEX(Database!$BJ$5:$BJ$523,MATCH(LARGE('Calc (scoring engine)'!$K$5:$K$523,15),'Calc (scoring engine)'!$K$5:$K$523,0)))),""))</f>
        <v/>
      </c>
      <c r="BI35" s="10">
        <f>IF(OR(15&gt;MAX(3,MIN(15,N($D$18))),IFERROR(LARGE('Calc (scoring engine)'!$K$5:$K$523,15),-999999)&lt;=-900000),"",IFERROR(IF(INDEX(Database!$BL$5:$BL$523,MATCH(LARGE('Calc (scoring engine)'!$K$5:$K$523,15),'Calc (scoring engine)'!$K$5:$K$523,0))="","—",INDEX(Database!$BL$5:$BL$523,MATCH(LARGE('Calc (scoring engine)'!$K$5:$K$523,15),'Calc (scoring engine)'!$K$5:$K$523,0))),""))</f>
        <v/>
      </c>
      <c r="BJ35" s="10">
        <f>IF(OR(15&gt;MAX(3,MIN(15,N($D$18))),IFERROR(LARGE('Calc (scoring engine)'!$K$5:$K$523,15),-999999)&lt;=-900000),"",IFERROR(IF(INDEX(Database!$BM$5:$BM$523,MATCH(LARGE('Calc (scoring engine)'!$K$5:$K$523,15),'Calc (scoring engine)'!$K$5:$K$523,0))="","—",INDEX(Database!$BM$5:$BM$523,MATCH(LARGE('Calc (scoring engine)'!$K$5:$K$523,15),'Calc (scoring engine)'!$K$5:$K$523,0))),""))</f>
        <v/>
      </c>
      <c r="BK35" s="23">
        <f>IF(OR(15&gt;MAX(3,MIN(15,N($D$18))),IFERROR(LARGE('Calc (scoring engine)'!$K$5:$K$523,15),-999999)&lt;=-900000),"",IFERROR(IF(INDEX(Database!$BN$5:$BN$523,MATCH(LARGE('Calc (scoring engine)'!$K$5:$K$523,15),'Calc (scoring engine)'!$K$5:$K$523,0))="","—",INDEX(Database!$BN$5:$BN$523,MATCH(LARGE('Calc (scoring engine)'!$K$5:$K$523,15),'Calc (scoring engine)'!$K$5:$K$523,0))),""))</f>
        <v/>
      </c>
      <c r="BL35" s="50">
        <f>IF(OR(15&gt;MAX(3,MIN(15,N($D$18))),IFERROR(LARGE('Calc (scoring engine)'!$K$5:$K$523,15),-999999)&lt;=-900000),"",IFERROR(IF(INDEX(Database!$BO$5:$BO$523,MATCH(LARGE('Calc (scoring engine)'!$K$5:$K$523,15),'Calc (scoring engine)'!$K$5:$K$523,0))="","—",INDEX(Database!$BO$5:$BO$523,MATCH(LARGE('Calc (scoring engine)'!$K$5:$K$523,15),'Calc (scoring engine)'!$K$5:$K$523,0))),""))</f>
        <v/>
      </c>
      <c r="BM35" s="54">
        <f>IF(OR(15&gt;MAX(3,MIN(15,N($D$18))),IFERROR(LARGE('Calc (scoring engine)'!$K$5:$K$523,15),-999999)&lt;=-900000),"",IFERROR(IF(INDEX(Database!$BP$5:$BP$523,MATCH(LARGE('Calc (scoring engine)'!$K$5:$K$523,15),'Calc (scoring engine)'!$K$5:$K$523,0))="","—",INDEX(Database!$BP$5:$BP$523,MATCH(LARGE('Calc (scoring engine)'!$K$5:$K$523,15),'Calc (scoring engine)'!$K$5:$K$523,0))),""))</f>
        <v/>
      </c>
      <c r="BN35" s="19">
        <f>IF(OR(15&gt;MAX(3,MIN(15,N($D$18))),IFERROR(LARGE('Calc (scoring engine)'!$K$5:$K$523,15),-999999)&lt;=-900000),"",IFERROR(IF(INDEX(Database!$BQ$5:$BQ$523,MATCH(LARGE('Calc (scoring engine)'!$K$5:$K$523,15),'Calc (scoring engine)'!$K$5:$K$523,0))="","—",INDEX(Database!$BQ$5:$BQ$523,MATCH(LARGE('Calc (scoring engine)'!$K$5:$K$523,15),'Calc (scoring engine)'!$K$5:$K$523,0))),""))</f>
        <v/>
      </c>
      <c r="BO35" s="24">
        <f>IF(OR(15&gt;MAX(3,MIN(15,N($D$18))),IFERROR(LARGE('Calc (scoring engine)'!$K$5:$K$523,15),-999999)&lt;=-900000),"",IFERROR(IF(INDEX(Database!$BR$5:$BR$523,MATCH(LARGE('Calc (scoring engine)'!$K$5:$K$523,15),'Calc (scoring engine)'!$K$5:$K$523,0))="","—",INDEX(Database!$BR$5:$BR$523,MATCH(LARGE('Calc (scoring engine)'!$K$5:$K$523,15),'Calc (scoring engine)'!$K$5:$K$523,0))),""))</f>
        <v/>
      </c>
      <c r="BP35" s="24">
        <f>IF(OR(15&gt;MAX(3,MIN(15,N($D$18))),IFERROR(LARGE('Calc (scoring engine)'!$K$5:$K$523,15),-999999)&lt;=-900000),"",IFERROR(IF(INDEX(Database!$BS$5:$BS$523,MATCH(LARGE('Calc (scoring engine)'!$K$5:$K$523,15),'Calc (scoring engine)'!$K$5:$K$523,0))="","—",INDEX(Database!$BS$5:$BS$523,MATCH(LARGE('Calc (scoring engine)'!$K$5:$K$523,15),'Calc (scoring engine)'!$K$5:$K$523,0))),""))</f>
        <v/>
      </c>
      <c r="BQ35" s="10">
        <f>IF(OR(15&gt;MAX(3,MIN(15,N($D$18))),IFERROR(LARGE('Calc (scoring engine)'!$K$5:$K$523,15),-999999)&lt;=-900000),"",IFERROR(IF(INDEX(Database!$BT$5:$BT$523,MATCH(LARGE('Calc (scoring engine)'!$K$5:$K$523,15),'Calc (scoring engine)'!$K$5:$K$523,0))="","—",INDEX(Database!$BT$5:$BT$523,MATCH(LARGE('Calc (scoring engine)'!$K$5:$K$523,15),'Calc (scoring engine)'!$K$5:$K$523,0))),""))</f>
        <v/>
      </c>
      <c r="BR35" s="10">
        <f>IF(OR(15&gt;MAX(3,MIN(15,N($D$18))),IFERROR(LARGE('Calc (scoring engine)'!$K$5:$K$523,15),-999999)&lt;=-900000),"",IFERROR(IF(INDEX(Database!$BV$5:$BV$523,MATCH(LARGE('Calc (scoring engine)'!$K$5:$K$523,15),'Calc (scoring engine)'!$K$5:$K$523,0))="","—",INDEX(Database!$BV$5:$BV$523,MATCH(LARGE('Calc (scoring engine)'!$K$5:$K$523,15),'Calc (scoring engine)'!$K$5:$K$523,0))),""))</f>
        <v/>
      </c>
      <c r="BS35" s="53">
        <f>IF(OR(15&gt;MAX(3,MIN(15,N($D$18))),IFERROR(LARGE('Calc (scoring engine)'!$K$5:$K$523,15),-999999)&lt;=-900000),"",IFERROR(IF(INDEX('Calc (scoring engine)'!$H$5:$H$523,MATCH(LARGE('Calc (scoring engine)'!$K$5:$K$523,15),'Calc (scoring engine)'!$K$5:$K$523,0))&gt;0,INDEX('Calc (scoring engine)'!$H$5:$H$523,MATCH(LARGE('Calc (scoring engine)'!$K$5:$K$523,15),'Calc (scoring engine)'!$K$5:$K$523,0)),""),""))</f>
        <v/>
      </c>
      <c r="BT35" s="10">
        <f>IF(OR(15&gt;MAX(3,MIN(15,N($D$18))),IFERROR(LARGE('Calc (scoring engine)'!$K$5:$K$523,15),-999999)&lt;=-900000),"",IF(IFERROR(INDEX('Calc (scoring engine)'!$B$5:$B$523,MATCH(LARGE('Calc (scoring engine)'!$K$5:$K$523,15),'Calc (scoring engine)'!$K$5:$K$523,0)),0)=1,"same subsector","sector only"))</f>
        <v/>
      </c>
      <c r="BU35" s="53">
        <f>IF(OR(15&gt;MAX(3,MIN(15,N($D$18))),IFERROR(LARGE('Calc (scoring engine)'!$K$5:$K$523,15),-999999)&lt;=-900000),"",ROUND(IFERROR(LARGE('Calc (scoring engine)'!$K$5:$K$523,15),0),0))</f>
        <v/>
      </c>
      <c r="BV35" s="10">
        <f>IF(OR(15&gt;MAX(3,MIN(15,N($D$18))),IFERROR(LARGE('Calc (scoring engine)'!$K$5:$K$523,15),-999999)&lt;=-900000),"",IFERROR("sub "&amp;INDEX('Calc (scoring engine)'!$B$5:$B$523,MATCH(LARGE('Calc (scoring engine)'!$K$5:$K$523,15),'Calc (scoring engine)'!$K$5:$K$523,0))*W_SUB&amp;" + size "&amp;ROUND(INDEX('Calc (scoring engine)'!$D$5:$D$523,MATCH(LARGE('Calc (scoring engine)'!$K$5:$K$523,15),'Calc (scoring engine)'!$K$5:$K$523,0))*W_SIZE,0)&amp;" + prof "&amp;INDEX('Calc (scoring engine)'!$E$5:$E$523,MATCH(LARGE('Calc (scoring engine)'!$K$5:$K$523,15),'Calc (scoring engine)'!$K$5:$K$523,0))*W_PROF&amp;" + recency "&amp;ROUND(INDEX('Calc (scoring engine)'!$G$5:$G$523,MATCH(LARGE('Calc (scoring engine)'!$K$5:$K$523,15),'Calc (scoring engine)'!$K$5:$K$523,0))*W_REC,0)&amp;IF(INDEX('Calc (scoring engine)'!$H$5:$H$523,MATCH(LARGE('Calc (scoring engine)'!$K$5:$K$523,15),'Calc (scoring engine)'!$K$5:$K$523,0))&gt;0," + shared CS x"&amp;INDEX('Calc (scoring engine)'!$H$5:$H$523,MATCH(LARGE('Calc (scoring engine)'!$K$5:$K$523,15),'Calc (scoring engine)'!$K$5:$K$523,0)),""),""))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62">
        <f>IFERROR(MEDIAN(T21:T35),"")</f>
        <v/>
      </c>
      <c r="U37" s="58">
        <f>IFERROR(MEDIAN(U21:U35),"")</f>
        <v/>
      </c>
      <c r="V37" s="55" t="n"/>
      <c r="W37" s="56">
        <f>IFERROR(MEDIAN(W21:W35),"")</f>
        <v/>
      </c>
      <c r="X37" s="56">
        <f>IFERROR(MEDIAN(X21:X35),"")</f>
        <v/>
      </c>
      <c r="Y37" s="58">
        <f>IFERROR(MEDIAN(Y21:Y35),"")</f>
        <v/>
      </c>
      <c r="Z37" s="55" t="n"/>
      <c r="AA37" s="58">
        <f>IFERROR(MEDIAN(AA21:AA35),"")</f>
        <v/>
      </c>
      <c r="AB37" s="55" t="n"/>
      <c r="AC37" s="55" t="n"/>
      <c r="AD37" s="55" t="n"/>
      <c r="AE37" s="55" t="n"/>
      <c r="AF37" s="63">
        <f>IFERROR(MEDIAN(AF21:AF35),"")</f>
        <v/>
      </c>
      <c r="AG37" s="63">
        <f>IFERROR(MEDIAN(AG21:AG35),"")</f>
        <v/>
      </c>
      <c r="AH37" s="63">
        <f>IFERROR(MEDIAN(AH21:AH35),"")</f>
        <v/>
      </c>
      <c r="AI37" s="63">
        <f>IFERROR(MEDIAN(AI21:AI35),"")</f>
        <v/>
      </c>
      <c r="AJ37" s="64">
        <f>IFERROR(MEDIAN(AJ21:AJ35),"")</f>
        <v/>
      </c>
      <c r="AK37" s="58">
        <f>IFERROR(MEDIAN(AK21:AK35),"")</f>
        <v/>
      </c>
      <c r="AL37" s="63">
        <f>IFERROR(MEDIAN(AL21:AL35),"")</f>
        <v/>
      </c>
      <c r="AM37" s="63">
        <f>IFERROR(MEDIAN(AM21:AM35),"")</f>
        <v/>
      </c>
      <c r="AN37" s="63">
        <f>IFERROR(MEDIAN(AN21:AN35),"")</f>
        <v/>
      </c>
      <c r="AO37" s="63">
        <f>IFERROR(MEDIAN(AO21:AO35),"")</f>
        <v/>
      </c>
      <c r="AP37" s="63">
        <f>IFERROR(MEDIAN(AP21:AP35),"")</f>
        <v/>
      </c>
      <c r="AQ37" s="63">
        <f>IFERROR(MEDIAN(AQ21:AQ35),"")</f>
        <v/>
      </c>
      <c r="AR37" s="63">
        <f>IFERROR(MEDIAN(AR21:AR35),"")</f>
        <v/>
      </c>
      <c r="AS37" s="63">
        <f>IFERROR(MEDIAN(AS21:AS35),"")</f>
        <v/>
      </c>
      <c r="AT37" s="63">
        <f>IFERROR(MEDIAN(AT21:AT35),"")</f>
        <v/>
      </c>
      <c r="AU37" s="63">
        <f>IFERROR(MEDIAN(AU21:AU35),"")</f>
        <v/>
      </c>
      <c r="AV37" s="63">
        <f>IFERROR(MEDIAN(AV21:AV35),"")</f>
        <v/>
      </c>
      <c r="AW37" s="63">
        <f>IFERROR(MEDIAN(AW21:AW35),"")</f>
        <v/>
      </c>
      <c r="AX37" s="63">
        <f>IFERROR(MEDIAN(AX21:AX35),"")</f>
        <v/>
      </c>
      <c r="AY37" s="56">
        <f>IFERROR(MEDIAN(AY21:AY35),"")</f>
        <v/>
      </c>
      <c r="AZ37" s="56">
        <f>IFERROR(MEDIAN(AZ21:AZ35),"")</f>
        <v/>
      </c>
      <c r="BA37" s="55" t="n"/>
      <c r="BB37" s="64">
        <f>IFERROR(MEDIAN(BB21:BB35),"")</f>
        <v/>
      </c>
      <c r="BC37" s="64">
        <f>IFERROR(MEDIAN(BC21:BC35),"")</f>
        <v/>
      </c>
      <c r="BD37" s="64">
        <f>IFERROR(MEDIAN(BD21:BD35),"")</f>
        <v/>
      </c>
      <c r="BE37" s="64">
        <f>IFERROR(MEDIAN(BE21:BE35),"")</f>
        <v/>
      </c>
      <c r="BF37" s="64">
        <f>IFERROR(MEDIAN(BF21:BF35),"")</f>
        <v/>
      </c>
      <c r="BG37" s="64">
        <f>IFERROR(MEDIAN(BG21:BG35),"")</f>
        <v/>
      </c>
      <c r="BH37" s="64">
        <f>IFERROR(MEDIAN(BH21:BH35),"")</f>
        <v/>
      </c>
      <c r="BI37" s="55" t="n"/>
      <c r="BJ37" s="55" t="n"/>
      <c r="BK37" s="63">
        <f>IFERROR(MEDIAN(BK21:BK35),"")</f>
        <v/>
      </c>
      <c r="BL37" s="57">
        <f>IFERROR(MEDIAN(BL21:BL35),"")</f>
        <v/>
      </c>
      <c r="BM37" s="65">
        <f>IFERROR(MEDIAN(BM21:BM35),"")</f>
        <v/>
      </c>
      <c r="BN37" s="56">
        <f>IFERROR(MEDIAN(BN21:BN35),"")</f>
        <v/>
      </c>
      <c r="BO37" s="64">
        <f>IFERROR(MEDIAN(BO21:BO35),"")</f>
        <v/>
      </c>
      <c r="BP37" s="64">
        <f>IFERROR(MEDIAN(BP21:BP35),"")</f>
        <v/>
      </c>
      <c r="BQ37" s="55" t="n"/>
      <c r="BR37" s="55" t="n"/>
      <c r="BS37" s="55" t="n"/>
      <c r="BT37" s="55" t="n"/>
      <c r="BU37" s="55" t="n"/>
      <c r="BV37" s="55" t="n"/>
    </row>
    <row r="38"/>
    <row r="39"/>
    <row r="40" ht="18" customHeight="1">
      <c r="A40" s="66" t="inlineStr">
        <is>
          <t>TARGET VS CLOSEST COMP</t>
        </is>
      </c>
      <c r="B40" s="38" t="n"/>
      <c r="C40" s="38" t="n"/>
      <c r="D40" s="15" t="n"/>
    </row>
    <row r="41">
      <c r="A41" s="67" t="inlineStr"/>
      <c r="B41" s="67" t="inlineStr">
        <is>
          <t>Target</t>
        </is>
      </c>
      <c r="C41" s="67" t="inlineStr">
        <is>
          <t>Comp #1</t>
        </is>
      </c>
      <c r="D41" s="67"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IFERROR($BB$21,"")</f>
        <v/>
      </c>
      <c r="D45" s="10">
        <f>IFERROR($BB$37,"")</f>
        <v/>
      </c>
    </row>
    <row r="46">
      <c r="A46" s="17" t="inlineStr">
        <is>
          <t>Public sub (x)</t>
        </is>
      </c>
      <c r="B46" s="10">
        <f>"—"</f>
        <v/>
      </c>
      <c r="C46" s="10">
        <f>IFERROR($Q$21,"")</f>
        <v/>
      </c>
      <c r="D46" s="10">
        <f>IFERROR($Q$37,"")</f>
        <v/>
      </c>
    </row>
    <row r="47">
      <c r="A47" s="17" t="inlineStr">
        <is>
          <t>Day-1</t>
        </is>
      </c>
      <c r="B47" s="10">
        <f>"—"</f>
        <v/>
      </c>
      <c r="C47" s="10">
        <f>IFERROR($AG$21,"")</f>
        <v/>
      </c>
      <c r="D47" s="10">
        <f>IFERROR($AG$37,"")</f>
        <v/>
      </c>
    </row>
    <row r="48">
      <c r="A48" s="17" t="inlineStr">
        <is>
          <t>1-month</t>
        </is>
      </c>
      <c r="B48" s="10">
        <f>"—"</f>
        <v/>
      </c>
      <c r="C48" s="10">
        <f>IFERROR($AM$21,"")</f>
        <v/>
      </c>
      <c r="D48" s="10">
        <f>IFERROR($AM$37,"")</f>
        <v/>
      </c>
    </row>
    <row r="49">
      <c r="A49" s="17" t="inlineStr">
        <is>
          <t>3-month</t>
        </is>
      </c>
      <c r="B49" s="10">
        <f>"—"</f>
        <v/>
      </c>
      <c r="C49" s="10">
        <f>IFERROR($AN$21,"")</f>
        <v/>
      </c>
      <c r="D49" s="10">
        <f>IFERROR($AN$37,"")</f>
        <v/>
      </c>
    </row>
    <row r="50"/>
    <row r="51"/>
    <row r="52" ht="18" customHeight="1">
      <c r="A52" s="68" t="inlineStr">
        <is>
          <t>A-SHARE PANEL (live on the terminal; scraped quote off it)</t>
        </is>
      </c>
      <c r="B52" s="38" t="n"/>
      <c r="C52" s="38" t="n"/>
      <c r="D52" s="15" t="n"/>
      <c r="F52" s="68" t="inlineStr">
        <is>
          <t>A-SHARE CLOSE, LAST MONTH (fills on the terminal)</t>
        </is>
      </c>
      <c r="G52" s="15" t="n"/>
    </row>
    <row r="53">
      <c r="A53" s="17" t="inlineStr">
        <is>
          <t>A price now (CNY)</t>
        </is>
      </c>
      <c r="B53" s="51">
        <f>IF($F$54="","no A line",IFERROR(BDP($F$54,"PX_LAST"),IFERROR(INDEX(Pipeline!$S$6:$S$19,MATCH($B$5,Pipeline!$B$6:$B$19,0)),"run on terminal")))</f>
        <v/>
      </c>
      <c r="F53" s="10">
        <f>IFERROR(INDEX(Database!$BM$5:$BM$523,MATCH($B$5,Database!$B$5:$B$523,0)),IFERROR(INDEX(Pipeline!$R$6:$R$19,MATCH($B$5,Pipeline!$B$6:$B$19,0)),""))</f>
        <v/>
      </c>
      <c r="G53" s="2" t="inlineStr">
        <is>
          <t>A-share code of the pick</t>
        </is>
      </c>
    </row>
    <row r="54">
      <c r="A54" s="17" t="inlineStr">
        <is>
          <t>CNY to HKD</t>
        </is>
      </c>
      <c r="B54" s="69">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IF($F$54="","n/a",IFERROR(BDP($F$54,"PE_RATIO"),IFERROR(INDEX(Pipeline!$T$6:$T$19,MATCH($B$5,Pipeline!$B$6:$B$19,0)),"run on terminal")))</f>
        <v/>
      </c>
      <c r="F56" s="10">
        <f>IF($F$54="","no A-share for this pick",BDH($F$54,"PX_LAST",TEXT(TODAY()-31,"yyyymmdd"),TEXT(TODAY(),"yyyymmdd")))</f>
        <v/>
      </c>
    </row>
    <row r="57">
      <c r="A57" s="17" t="inlineStr">
        <is>
          <t>H offer / cap (HK$)</t>
        </is>
      </c>
      <c r="B57" s="51">
        <f>IFERROR(INDEX(Database!$M$5:$M$523,MATCH($B$5,Database!$B$5:$B$523,0)),IFERROR(INDEX(Pipeline!$L$6:$L$19,MATCH($B$5,Pipeline!$B$6:$B$19,0)),""))</f>
        <v/>
      </c>
    </row>
    <row r="58">
      <c r="A58" s="17" t="inlineStr">
        <is>
          <t>A premium vs H (+ = A above)</t>
        </is>
      </c>
      <c r="B58" s="54">
        <f>IFERROR(IF(OR(N(A_HKD)&lt;=0,N(H_TRM)&lt;=0),"n/a",A_HKD/H_TRM-1),"n/a")</f>
        <v/>
      </c>
    </row>
    <row r="59">
      <c r="A59" s="17" t="inlineStr">
        <is>
          <t>H P/E now (TTM)</t>
        </is>
      </c>
      <c r="B59" s="24">
        <f>IF(IFERROR(TEXT(N(IFERROR(INDEX(Database!$A$5:$A$523,MATCH($B$5,Database!$B$5:$B$523,0)),IFERROR(INDEX(Pipeline!$A$6:$A$19,MATCH($B$5,Pipeline!$B$6:$B$19,0)),""))),"0")&amp;" HK Equity","")="","n/a",IFERROR(BDP(IFERROR(TEXT(N(IFERROR(INDEX(Database!$A$5:$A$523,MATCH($B$5,Database!$B$5:$B$523,0)),IFERROR(INDEX(Pipeline!$A$6:$A$19,MATCH($B$5,Pipeline!$B$6:$B$19,0)),""))),"0")&amp;" HK Equity",""),"PE_RATIO"),IFERROR(INDEX(Database!$BI$5:$BI$523,MATCH($B$5,Database!$B$5:$B$523,0)),"run on terminal")))</f>
        <v/>
      </c>
    </row>
    <row r="60">
      <c r="A60" s="17" t="inlineStr">
        <is>
          <t>H P/S now</t>
        </is>
      </c>
      <c r="B60" s="24">
        <f>IF(IFERROR(TEXT(N(IFERROR(INDEX(Database!$A$5:$A$523,MATCH($B$5,Database!$B$5:$B$523,0)),IFERROR(INDEX(Pipeline!$A$6:$A$19,MATCH($B$5,Pipeline!$B$6:$B$19,0)),""))),"0")&amp;" HK Equity","")="","n/a",IFERROR(BDP(IFERROR(TEXT(N(IFERROR(INDEX(Database!$A$5:$A$523,MATCH($B$5,Database!$B$5:$B$523,0)),IFERROR(INDEX(Pipeline!$A$6:$A$19,MATCH($B$5,Pipeline!$B$6:$B$19,0)),""))),"0")&amp;" HK Equity",""),"PX_TO_SALES_RATIO"),IFERROR(INDEX(Database!$BJ$5:$BJ$523,MATCH($B$5,Database!$B$5:$B$523,0)),"run on terminal")))</f>
        <v/>
      </c>
    </row>
    <row r="61">
      <c r="A61" s="17" t="inlineStr">
        <is>
          <t>A-line company mkt cap (HK$m)</t>
        </is>
      </c>
      <c r="B61" s="19">
        <f>IF($F$54="","no A line",IFERROR(BDP($F$54,"CUR_MKT_CAP")*IF(N(A_FX)&gt;0,A_FX,1.10)/1000000,IFERROR(INDEX(Database!$BQ$5:$BQ$523,MATCH($B$5,Database!$B$5:$B$523,0)),"run on terminal")))</f>
        <v/>
      </c>
    </row>
  </sheetData>
  <mergeCells count="14">
    <mergeCell ref="F52:G52"/>
    <mergeCell ref="A40:D40"/>
    <mergeCell ref="A4:E4"/>
    <mergeCell ref="BS19:BV19"/>
    <mergeCell ref="G7:H7"/>
    <mergeCell ref="G11:H11"/>
    <mergeCell ref="AY19:BH19"/>
    <mergeCell ref="AF19:AX19"/>
    <mergeCell ref="I19:P19"/>
    <mergeCell ref="Q19:AE19"/>
    <mergeCell ref="A52:D52"/>
    <mergeCell ref="A19:H19"/>
    <mergeCell ref="BQ19:BR19"/>
    <mergeCell ref="BI19:BP19"/>
  </mergeCells>
  <conditionalFormatting sqref="A21:BV21">
    <cfRule type="expression" priority="23" dxfId="0">
      <formula>$BT21="same subsector"</formula>
    </cfRule>
    <cfRule type="expression" priority="24" dxfId="1">
      <formula>$BT21="sector only"</formula>
    </cfRule>
  </conditionalFormatting>
  <conditionalFormatting sqref="A22:BV22">
    <cfRule type="expression" priority="25" dxfId="0">
      <formula>$BT22="same subsector"</formula>
    </cfRule>
    <cfRule type="expression" priority="26" dxfId="1">
      <formula>$BT22="sector only"</formula>
    </cfRule>
  </conditionalFormatting>
  <conditionalFormatting sqref="A23:BV23">
    <cfRule type="expression" priority="27" dxfId="0">
      <formula>$BT23="same subsector"</formula>
    </cfRule>
    <cfRule type="expression" priority="28" dxfId="1">
      <formula>$BT23="sector only"</formula>
    </cfRule>
  </conditionalFormatting>
  <conditionalFormatting sqref="A24:BV24">
    <cfRule type="expression" priority="29" dxfId="0">
      <formula>$BT24="same subsector"</formula>
    </cfRule>
    <cfRule type="expression" priority="30" dxfId="1">
      <formula>$BT24="sector only"</formula>
    </cfRule>
  </conditionalFormatting>
  <conditionalFormatting sqref="A25:BV25">
    <cfRule type="expression" priority="31" dxfId="0">
      <formula>$BT25="same subsector"</formula>
    </cfRule>
    <cfRule type="expression" priority="32" dxfId="1">
      <formula>$BT25="sector only"</formula>
    </cfRule>
  </conditionalFormatting>
  <conditionalFormatting sqref="A26:BV26">
    <cfRule type="expression" priority="33" dxfId="0">
      <formula>$BT26="same subsector"</formula>
    </cfRule>
    <cfRule type="expression" priority="34" dxfId="1">
      <formula>$BT26="sector only"</formula>
    </cfRule>
  </conditionalFormatting>
  <conditionalFormatting sqref="A27:BV27">
    <cfRule type="expression" priority="35" dxfId="0">
      <formula>$BT27="same subsector"</formula>
    </cfRule>
    <cfRule type="expression" priority="36" dxfId="1">
      <formula>$BT27="sector only"</formula>
    </cfRule>
  </conditionalFormatting>
  <conditionalFormatting sqref="A28:BV28">
    <cfRule type="expression" priority="37" dxfId="0">
      <formula>$BT28="same subsector"</formula>
    </cfRule>
    <cfRule type="expression" priority="38" dxfId="1">
      <formula>$BT28="sector only"</formula>
    </cfRule>
  </conditionalFormatting>
  <conditionalFormatting sqref="A29:BV29">
    <cfRule type="expression" priority="39" dxfId="0">
      <formula>$BT29="same subsector"</formula>
    </cfRule>
    <cfRule type="expression" priority="40" dxfId="1">
      <formula>$BT29="sector only"</formula>
    </cfRule>
  </conditionalFormatting>
  <conditionalFormatting sqref="A30:BV30">
    <cfRule type="expression" priority="41" dxfId="0">
      <formula>$BT30="same subsector"</formula>
    </cfRule>
    <cfRule type="expression" priority="42" dxfId="1">
      <formula>$BT30="sector only"</formula>
    </cfRule>
  </conditionalFormatting>
  <conditionalFormatting sqref="A31:BV31">
    <cfRule type="expression" priority="43" dxfId="0">
      <formula>$BT31="same subsector"</formula>
    </cfRule>
    <cfRule type="expression" priority="44" dxfId="1">
      <formula>$BT31="sector only"</formula>
    </cfRule>
  </conditionalFormatting>
  <conditionalFormatting sqref="A32:BV32">
    <cfRule type="expression" priority="45" dxfId="0">
      <formula>$BT32="same subsector"</formula>
    </cfRule>
    <cfRule type="expression" priority="46" dxfId="1">
      <formula>$BT32="sector only"</formula>
    </cfRule>
  </conditionalFormatting>
  <conditionalFormatting sqref="A33:BV33">
    <cfRule type="expression" priority="47" dxfId="0">
      <formula>$BT33="same subsector"</formula>
    </cfRule>
    <cfRule type="expression" priority="48" dxfId="1">
      <formula>$BT33="sector only"</formula>
    </cfRule>
  </conditionalFormatting>
  <conditionalFormatting sqref="A34:BV34">
    <cfRule type="expression" priority="49" dxfId="0">
      <formula>$BT34="same subsector"</formula>
    </cfRule>
    <cfRule type="expression" priority="50" dxfId="1">
      <formula>$BT34="sector only"</formula>
    </cfRule>
  </conditionalFormatting>
  <conditionalFormatting sqref="A35:BV35">
    <cfRule type="expression" priority="51" dxfId="0">
      <formula>$BT35="same subsector"</formula>
    </cfRule>
    <cfRule type="expression" priority="52" dxfId="1">
      <formula>$BT35="sector only"</formula>
    </cfRule>
  </conditionalFormatting>
  <conditionalFormatting sqref="AP21:AP35">
    <cfRule type="colorScale" priority="1">
      <colorScale>
        <cfvo type="num" val="-60"/>
        <cfvo type="num" val="0"/>
        <cfvo type="num" val="60"/>
        <color rgb="00F8696B"/>
        <color rgb="00FFFFFF"/>
        <color rgb="0063BE7B"/>
      </colorScale>
    </cfRule>
  </conditionalFormatting>
  <conditionalFormatting sqref="AU21:AU35">
    <cfRule type="colorScale" priority="2">
      <colorScale>
        <cfvo type="num" val="-60"/>
        <cfvo type="num" val="0"/>
        <cfvo type="num" val="60"/>
        <color rgb="00F8696B"/>
        <color rgb="00FFFFFF"/>
        <color rgb="0063BE7B"/>
      </colorScale>
    </cfRule>
  </conditionalFormatting>
  <conditionalFormatting sqref="AW21:AW35">
    <cfRule type="colorScale" priority="3">
      <colorScale>
        <cfvo type="num" val="-60"/>
        <cfvo type="num" val="0"/>
        <cfvo type="num" val="60"/>
        <color rgb="00F8696B"/>
        <color rgb="00FFFFFF"/>
        <color rgb="0063BE7B"/>
      </colorScale>
    </cfRule>
  </conditionalFormatting>
  <conditionalFormatting sqref="AR21:AR35">
    <cfRule type="colorScale" priority="4">
      <colorScale>
        <cfvo type="num" val="-60"/>
        <cfvo type="num" val="0"/>
        <cfvo type="num" val="60"/>
        <color rgb="00F8696B"/>
        <color rgb="00FFFFFF"/>
        <color rgb="0063BE7B"/>
      </colorScale>
    </cfRule>
  </conditionalFormatting>
  <conditionalFormatting sqref="AT21:AT35">
    <cfRule type="colorScale" priority="5">
      <colorScale>
        <cfvo type="num" val="-60"/>
        <cfvo type="num" val="0"/>
        <cfvo type="num" val="60"/>
        <color rgb="00F8696B"/>
        <color rgb="00FFFFFF"/>
        <color rgb="0063BE7B"/>
      </colorScale>
    </cfRule>
  </conditionalFormatting>
  <conditionalFormatting sqref="AO21:AO35">
    <cfRule type="colorScale" priority="6">
      <colorScale>
        <cfvo type="num" val="-60"/>
        <cfvo type="num" val="0"/>
        <cfvo type="num" val="60"/>
        <color rgb="00F8696B"/>
        <color rgb="00FFFFFF"/>
        <color rgb="0063BE7B"/>
      </colorScale>
    </cfRule>
  </conditionalFormatting>
  <conditionalFormatting sqref="AV21:AV35">
    <cfRule type="colorScale" priority="7">
      <colorScale>
        <cfvo type="num" val="-60"/>
        <cfvo type="num" val="0"/>
        <cfvo type="num" val="60"/>
        <color rgb="00F8696B"/>
        <color rgb="00FFFFFF"/>
        <color rgb="0063BE7B"/>
      </colorScale>
    </cfRule>
  </conditionalFormatting>
  <conditionalFormatting sqref="AX21:AX35">
    <cfRule type="colorScale" priority="8">
      <colorScale>
        <cfvo type="num" val="-60"/>
        <cfvo type="num" val="0"/>
        <cfvo type="num" val="60"/>
        <color rgb="00F8696B"/>
        <color rgb="00FFFFFF"/>
        <color rgb="0063BE7B"/>
      </colorScale>
    </cfRule>
  </conditionalFormatting>
  <conditionalFormatting sqref="AG21:AG35">
    <cfRule type="colorScale" priority="9">
      <colorScale>
        <cfvo type="num" val="-60"/>
        <cfvo type="num" val="0"/>
        <cfvo type="num" val="60"/>
        <color rgb="00F8696B"/>
        <color rgb="00FFFFFF"/>
        <color rgb="0063BE7B"/>
      </colorScale>
    </cfRule>
  </conditionalFormatting>
  <conditionalFormatting sqref="AS21:AS35">
    <cfRule type="colorScale" priority="10">
      <colorScale>
        <cfvo type="num" val="-60"/>
        <cfvo type="num" val="0"/>
        <cfvo type="num" val="60"/>
        <color rgb="00F8696B"/>
        <color rgb="00FFFFFF"/>
        <color rgb="0063BE7B"/>
      </colorScale>
    </cfRule>
  </conditionalFormatting>
  <conditionalFormatting sqref="AL21:AL35">
    <cfRule type="colorScale" priority="11">
      <colorScale>
        <cfvo type="num" val="-60"/>
        <cfvo type="num" val="0"/>
        <cfvo type="num" val="60"/>
        <color rgb="00F8696B"/>
        <color rgb="00FFFFFF"/>
        <color rgb="0063BE7B"/>
      </colorScale>
    </cfRule>
  </conditionalFormatting>
  <conditionalFormatting sqref="BM21:BM35">
    <cfRule type="colorScale" priority="12">
      <colorScale>
        <cfvo type="num" val="-60"/>
        <cfvo type="num" val="0"/>
        <cfvo type="num" val="60"/>
        <color rgb="00F8696B"/>
        <color rgb="00FFFFFF"/>
        <color rgb="0063BE7B"/>
      </colorScale>
    </cfRule>
  </conditionalFormatting>
  <conditionalFormatting sqref="AN21:AN35">
    <cfRule type="colorScale" priority="13">
      <colorScale>
        <cfvo type="num" val="-60"/>
        <cfvo type="num" val="0"/>
        <cfvo type="num" val="60"/>
        <color rgb="00F8696B"/>
        <color rgb="00FFFFFF"/>
        <color rgb="0063BE7B"/>
      </colorScale>
    </cfRule>
  </conditionalFormatting>
  <conditionalFormatting sqref="AH21:AH35">
    <cfRule type="colorScale" priority="14">
      <colorScale>
        <cfvo type="num" val="-60"/>
        <cfvo type="num" val="0"/>
        <cfvo type="num" val="60"/>
        <color rgb="00F8696B"/>
        <color rgb="00FFFFFF"/>
        <color rgb="0063BE7B"/>
      </colorScale>
    </cfRule>
  </conditionalFormatting>
  <conditionalFormatting sqref="AM21:AM35">
    <cfRule type="colorScale" priority="15">
      <colorScale>
        <cfvo type="num" val="-60"/>
        <cfvo type="num" val="0"/>
        <cfvo type="num" val="60"/>
        <color rgb="00F8696B"/>
        <color rgb="00FFFFFF"/>
        <color rgb="0063BE7B"/>
      </colorScale>
    </cfRule>
  </conditionalFormatting>
  <conditionalFormatting sqref="AI21:AI35">
    <cfRule type="colorScale" priority="16">
      <colorScale>
        <cfvo type="num" val="-60"/>
        <cfvo type="num" val="0"/>
        <cfvo type="num" val="60"/>
        <color rgb="00F8696B"/>
        <color rgb="00FFFFFF"/>
        <color rgb="0063BE7B"/>
      </colorScale>
    </cfRule>
  </conditionalFormatting>
  <conditionalFormatting sqref="AF21:AF35">
    <cfRule type="colorScale" priority="17">
      <colorScale>
        <cfvo type="num" val="-60"/>
        <cfvo type="num" val="0"/>
        <cfvo type="num" val="60"/>
        <color rgb="00F8696B"/>
        <color rgb="00FFFFFF"/>
        <color rgb="0063BE7B"/>
      </colorScale>
    </cfRule>
  </conditionalFormatting>
  <conditionalFormatting sqref="AQ21:AQ35">
    <cfRule type="colorScale" priority="18">
      <colorScale>
        <cfvo type="num" val="-60"/>
        <cfvo type="num" val="0"/>
        <cfvo type="num" val="60"/>
        <color rgb="00F8696B"/>
        <color rgb="00FFFFFF"/>
        <color rgb="0063BE7B"/>
      </colorScale>
    </cfRule>
  </conditionalFormatting>
  <conditionalFormatting sqref="BK21:BK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V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B5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8" customWidth="1" min="22" max="22"/>
    <col width="10" customWidth="1" min="23" max="23"/>
    <col width="8" customWidth="1" min="24" max="24"/>
    <col width="13" customWidth="1" min="25" max="25"/>
    <col width="15" customWidth="1" min="26" max="26"/>
    <col width="11" customWidth="1" min="27" max="27"/>
    <col width="46" customWidth="1" min="28" max="28"/>
    <col width="16" customWidth="1" min="29" max="29"/>
    <col width="9" customWidth="1" min="30" max="30"/>
    <col width="17" customWidth="1" min="31" max="31"/>
    <col width="13" customWidth="1" min="32" max="32"/>
    <col width="34" customWidth="1" min="33" max="33"/>
    <col width="14" customWidth="1" min="34" max="34"/>
    <col width="14" customWidth="1" min="35" max="35"/>
    <col width="9" customWidth="1" min="36" max="36"/>
    <col width="10" customWidth="1" min="37" max="37"/>
    <col width="11" customWidth="1" min="38" max="38"/>
    <col width="10"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10" customWidth="1" min="47" max="47"/>
    <col width="10" customWidth="1" min="48" max="48"/>
    <col width="10" customWidth="1" min="49" max="49"/>
    <col width="10" customWidth="1" min="50" max="50"/>
    <col width="11" customWidth="1" min="51" max="51"/>
    <col width="11" customWidth="1" min="52" max="52"/>
    <col width="22" customWidth="1" min="53" max="53"/>
    <col width="10" customWidth="1" min="54" max="54"/>
    <col width="11" customWidth="1" min="55" max="55"/>
    <col width="11" customWidth="1" min="56" max="56"/>
    <col width="11" customWidth="1" min="57" max="57"/>
    <col width="8" customWidth="1" min="58" max="58"/>
    <col width="8" customWidth="1" min="59" max="59"/>
    <col width="10" customWidth="1" min="60" max="60"/>
    <col width="10" customWidth="1" min="61" max="61"/>
    <col width="8" customWidth="1" min="62" max="62"/>
    <col width="11" customWidth="1" min="63" max="63"/>
    <col width="8" customWidth="1" min="64" max="64"/>
    <col width="11" customWidth="1" min="65" max="65"/>
    <col width="11" customWidth="1" min="66" max="66"/>
    <col width="10" customWidth="1" min="67" max="67"/>
    <col width="11" customWidth="1" min="68" max="68"/>
    <col width="14" customWidth="1" min="69" max="69"/>
    <col width="11" customWidth="1" min="70" max="70"/>
    <col width="11" customWidth="1" min="71" max="71"/>
    <col width="30" customWidth="1" min="72" max="72"/>
    <col width="30" customWidth="1" min="73" max="73"/>
    <col width="34" customWidth="1" min="74" max="74"/>
    <col width="34" customWidth="1" min="75" max="75"/>
    <col width="11" customWidth="1" min="76" max="76"/>
    <col width="13" customWidth="1" min="77" max="77"/>
    <col width="15" customWidth="1" min="78" max="78"/>
    <col width="40" customWidth="1" min="79" max="79"/>
    <col width="64" customWidth="1" min="80" max="80"/>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38" t="n"/>
      <c r="AF3" s="38" t="n"/>
      <c r="AG3" s="38" t="n"/>
      <c r="AH3" s="15" t="n"/>
      <c r="AI3" s="41" t="inlineStr">
        <is>
          <t>PERFORMANCE</t>
        </is>
      </c>
      <c r="AJ3" s="38" t="n"/>
      <c r="AK3" s="38" t="n"/>
      <c r="AL3" s="38" t="n"/>
      <c r="AM3" s="38" t="n"/>
      <c r="AN3" s="38" t="n"/>
      <c r="AO3" s="38" t="n"/>
      <c r="AP3" s="38" t="n"/>
      <c r="AQ3" s="38" t="n"/>
      <c r="AR3" s="38" t="n"/>
      <c r="AS3" s="38" t="n"/>
      <c r="AT3" s="38" t="n"/>
      <c r="AU3" s="38" t="n"/>
      <c r="AV3" s="38" t="n"/>
      <c r="AW3" s="38" t="n"/>
      <c r="AX3" s="38" t="n"/>
      <c r="AY3" s="38" t="n"/>
      <c r="AZ3" s="38" t="n"/>
      <c r="BA3" s="38" t="n"/>
      <c r="BB3" s="38" t="n"/>
      <c r="BC3" s="15" t="n"/>
      <c r="BD3" s="42" t="inlineStr">
        <is>
          <t>FUNDAMENTALS</t>
        </is>
      </c>
      <c r="BE3" s="38" t="n"/>
      <c r="BF3" s="38" t="n"/>
      <c r="BG3" s="38" t="n"/>
      <c r="BH3" s="38" t="n"/>
      <c r="BI3" s="38" t="n"/>
      <c r="BJ3" s="38" t="n"/>
      <c r="BK3" s="15" t="n"/>
      <c r="BL3" s="43" t="inlineStr">
        <is>
          <t>A / H</t>
        </is>
      </c>
      <c r="BM3" s="38" t="n"/>
      <c r="BN3" s="38" t="n"/>
      <c r="BO3" s="38" t="n"/>
      <c r="BP3" s="38" t="n"/>
      <c r="BQ3" s="38" t="n"/>
      <c r="BR3" s="38" t="n"/>
      <c r="BS3" s="15" t="n"/>
      <c r="BT3" s="44" t="inlineStr">
        <is>
          <t>BANKS &amp; DOCS</t>
        </is>
      </c>
      <c r="BU3" s="38" t="n"/>
      <c r="BV3" s="38" t="n"/>
      <c r="BW3" s="38" t="n"/>
      <c r="BX3" s="38" t="n"/>
      <c r="BY3" s="38" t="n"/>
      <c r="BZ3" s="15" t="n"/>
      <c r="CA3" s="42" t="inlineStr">
        <is>
          <t>NOTES</t>
        </is>
      </c>
      <c r="CB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Intl placees</t>
        </is>
      </c>
      <c r="W4" s="46" t="inlineStr">
        <is>
          <t>Public alloc % (final)</t>
        </is>
      </c>
      <c r="X4" s="46" t="inlineStr">
        <is>
          <t>Clawback</t>
        </is>
      </c>
      <c r="Y4" s="46" t="inlineStr">
        <is>
          <t>Eff. free float (HK$m)</t>
        </is>
      </c>
      <c r="Z4" s="46" t="inlineStr">
        <is>
          <t>Eff. free float (shares)</t>
        </is>
      </c>
      <c r="AA4" s="46" t="inlineStr">
        <is>
          <t>Eff. free float (% of cap)</t>
        </is>
      </c>
      <c r="AB4" s="46" t="inlineStr">
        <is>
          <t>Cornerstone investors</t>
        </is>
      </c>
      <c r="AC4" s="46" t="inlineStr">
        <is>
          <t>CS keys</t>
        </is>
      </c>
      <c r="AD4" s="46" t="inlineStr">
        <is>
          <t>Greenshoe size (%)</t>
        </is>
      </c>
      <c r="AE4" s="46" t="inlineStr">
        <is>
          <t>Shoe outcome (final)</t>
        </is>
      </c>
      <c r="AF4" s="46" t="inlineStr">
        <is>
          <t>Shoe ends (filed)</t>
        </is>
      </c>
      <c r="AG4" s="46" t="inlineStr">
        <is>
          <t>Stabilising manager</t>
        </is>
      </c>
      <c r="AH4" s="46" t="inlineStr">
        <is>
          <t>SM key</t>
        </is>
      </c>
      <c r="AI4" s="46" t="inlineStr">
        <is>
          <t>Grey mkt % vs offer</t>
        </is>
      </c>
      <c r="AJ4" s="46" t="inlineStr">
        <is>
          <t>Day-1</t>
        </is>
      </c>
      <c r="AK4" s="46" t="inlineStr">
        <is>
          <t>Day-1 open pop</t>
        </is>
      </c>
      <c r="AL4" s="47" t="inlineStr">
        <is>
          <t>Day-1 open to close</t>
        </is>
      </c>
      <c r="AM4" s="46" t="inlineStr">
        <is>
          <t>Day-1 vol / retail float (x)</t>
        </is>
      </c>
      <c r="AN4" s="46" t="inlineStr">
        <is>
          <t>Day-1 range %</t>
        </is>
      </c>
      <c r="AO4" s="46" t="inlineStr">
        <is>
          <t>1-week</t>
        </is>
      </c>
      <c r="AP4" s="46" t="inlineStr">
        <is>
          <t>1-month</t>
        </is>
      </c>
      <c r="AQ4" s="46" t="inlineStr">
        <is>
          <t>3-month</t>
        </is>
      </c>
      <c r="AR4" s="47" t="inlineStr">
        <is>
          <t>1w ex-pop</t>
        </is>
      </c>
      <c r="AS4" s="47" t="inlineStr">
        <is>
          <t>1m ex-pop</t>
        </is>
      </c>
      <c r="AT4" s="47" t="inlineStr">
        <is>
          <t>3m ex-pop</t>
        </is>
      </c>
      <c r="AU4" s="46" t="inlineStr">
        <is>
          <t>Alpha 1w vs index</t>
        </is>
      </c>
      <c r="AV4" s="46" t="inlineStr">
        <is>
          <t>Alpha 1m vs index</t>
        </is>
      </c>
      <c r="AW4" s="46" t="inlineStr">
        <is>
          <t>Alpha 3m vs index</t>
        </is>
      </c>
      <c r="AX4" s="47" t="inlineStr">
        <is>
          <t>Alpha 1m ex-pop</t>
        </is>
      </c>
      <c r="AY4" s="46" t="inlineStr">
        <is>
          <t>Index, IPO to 1m</t>
        </is>
      </c>
      <c r="AZ4" s="46" t="inlineStr">
        <is>
          <t>Index, day-1 to 1m</t>
        </is>
      </c>
      <c r="BA4" s="46" t="inlineStr">
        <is>
          <t>Benchmark</t>
        </is>
      </c>
      <c r="BB4" s="46" t="inlineStr">
        <is>
          <t>Since IPO</t>
        </is>
      </c>
      <c r="BC4" s="46" t="inlineStr">
        <is>
          <t>Prices as of</t>
        </is>
      </c>
      <c r="BD4" s="46" t="inlineStr">
        <is>
          <t>Latest FY rev (HK$m)</t>
        </is>
      </c>
      <c r="BE4" s="46" t="inlineStr">
        <is>
          <t>Latest FY NI (HK$m)</t>
        </is>
      </c>
      <c r="BF4" s="46" t="inlineStr">
        <is>
          <t>Profitable</t>
        </is>
      </c>
      <c r="BG4" s="46" t="inlineStr">
        <is>
          <t>P/E at IPO</t>
        </is>
      </c>
      <c r="BH4" s="46" t="inlineStr">
        <is>
          <t>P/E at IPO (BBG)</t>
        </is>
      </c>
      <c r="BI4" s="46" t="inlineStr">
        <is>
          <t>P/E today (BBG)</t>
        </is>
      </c>
      <c r="BJ4" s="46" t="inlineStr">
        <is>
          <t>P/S at IPO</t>
        </is>
      </c>
      <c r="BK4" s="46" t="inlineStr">
        <is>
          <t>P/S today (BBG)</t>
        </is>
      </c>
      <c r="BL4" s="46" t="inlineStr">
        <is>
          <t>A/H pair</t>
        </is>
      </c>
      <c r="BM4" s="46" t="inlineStr">
        <is>
          <t>A-share code</t>
        </is>
      </c>
      <c r="BN4" s="46" t="inlineStr">
        <is>
          <t>A prem vs H at IPO</t>
        </is>
      </c>
      <c r="BO4" s="46" t="inlineStr">
        <is>
          <t>A close used (HK$)</t>
        </is>
      </c>
      <c r="BP4" s="46" t="inlineStr">
        <is>
          <t>A premium (today)</t>
        </is>
      </c>
      <c r="BQ4" s="46" t="inlineStr">
        <is>
          <t>A-line mkt cap now (HK$m)</t>
        </is>
      </c>
      <c r="BR4" s="46" t="inlineStr">
        <is>
          <t>A P/E @H-IPO (BBG)</t>
        </is>
      </c>
      <c r="BS4" s="46" t="inlineStr">
        <is>
          <t>HSAHP @IPO (BBG)</t>
        </is>
      </c>
      <c r="BT4" s="46" t="inlineStr">
        <is>
          <t>Sponsors</t>
        </is>
      </c>
      <c r="BU4" s="46" t="inlineStr">
        <is>
          <t>Sponsors (AAStocks)</t>
        </is>
      </c>
      <c r="BV4" s="46" t="inlineStr">
        <is>
          <t>Bookrunners</t>
        </is>
      </c>
      <c r="BW4" s="46" t="inlineStr">
        <is>
          <t>Underwriters (AAStocks)</t>
        </is>
      </c>
      <c r="BX4" s="46" t="inlineStr">
        <is>
          <t>Prospectus</t>
        </is>
      </c>
      <c r="BY4" s="46" t="inlineStr">
        <is>
          <t>Allotment result</t>
        </is>
      </c>
      <c r="BZ4" s="46" t="inlineStr">
        <is>
          <t>Stabilisation notice</t>
        </is>
      </c>
      <c r="CA4" s="46" t="inlineStr">
        <is>
          <t>Valuation notes</t>
        </is>
      </c>
      <c r="CB4" s="46" t="inlineStr">
        <is>
          <t>Notes on blanks</t>
        </is>
      </c>
    </row>
    <row r="5" ht="15" customHeight="1">
      <c r="A5" s="70" t="inlineStr">
        <is>
          <t>9600</t>
        </is>
      </c>
      <c r="B5" s="71" t="inlineStr">
        <is>
          <t>NEWLINK TECH</t>
        </is>
      </c>
      <c r="C5" s="71" t="inlineStr">
        <is>
          <t>新紐科技</t>
        </is>
      </c>
      <c r="D5" s="71" t="inlineStr">
        <is>
          <t>Healthcare</t>
        </is>
      </c>
      <c r="E5" s="71" t="inlineStr">
        <is>
          <t>Digital health</t>
        </is>
      </c>
      <c r="F5" s="71" t="inlineStr">
        <is>
          <t>IT Consulting &amp; Other Services</t>
        </is>
      </c>
      <c r="G5" s="71" t="inlineStr">
        <is>
          <t>Standard</t>
        </is>
      </c>
      <c r="H5" s="72" t="n">
        <v>44202</v>
      </c>
      <c r="I5" s="73" t="n">
        <v>872</v>
      </c>
      <c r="J5" s="71" t="inlineStr">
        <is>
          <t>gross (price x shares)</t>
        </is>
      </c>
      <c r="K5" s="74" t="n">
        <v>3.06</v>
      </c>
      <c r="L5" s="74" t="n">
        <v>4.36</v>
      </c>
      <c r="M5" s="74" t="n">
        <v>4.36</v>
      </c>
      <c r="N5" s="71" t="inlineStr">
        <is>
          <t>Y</t>
        </is>
      </c>
      <c r="O5" s="75" t="n">
        <v>100</v>
      </c>
      <c r="P5" s="75" t="n">
        <v>100</v>
      </c>
      <c r="Q5" s="76" t="n">
        <v>3488</v>
      </c>
      <c r="R5" s="71" t="inlineStr">
        <is>
          <t>aastocks:上市市值 at the struck price</t>
        </is>
      </c>
      <c r="S5" s="77" t="n">
        <v>446.57</v>
      </c>
      <c r="T5" s="78" t="n">
        <v>2.4</v>
      </c>
      <c r="U5" s="79" t="n">
        <v>25.8</v>
      </c>
      <c r="V5" s="80" t="n">
        <v>302</v>
      </c>
      <c r="W5" s="75" t="n"/>
      <c r="X5" s="71" t="n"/>
      <c r="Y5" s="76" t="n">
        <v>647.02</v>
      </c>
      <c r="Z5" s="76" t="n">
        <v>148400000</v>
      </c>
      <c r="AA5" s="75" t="n">
        <v>18.55</v>
      </c>
      <c r="AB5" s="71" t="inlineStr">
        <is>
          <t>Caitong Fund Management Co., Ltd; Hony Goldstream Special Opportunity Fund I</t>
        </is>
      </c>
      <c r="AC5" s="71" t="inlineStr">
        <is>
          <t>caitong;hony</t>
        </is>
      </c>
      <c r="AD5" s="75" t="n">
        <v>10</v>
      </c>
      <c r="AE5" s="71" t="inlineStr">
        <is>
          <t>lapsed</t>
        </is>
      </c>
      <c r="AF5" s="71" t="n"/>
      <c r="AG5" s="71" t="inlineStr">
        <is>
          <t>Mont Avenir Capital Limited</t>
        </is>
      </c>
      <c r="AH5" s="71" t="inlineStr">
        <is>
          <t>Mont Avenir</t>
        </is>
      </c>
      <c r="AI5" s="81" t="n"/>
      <c r="AJ5" s="82" t="n">
        <v>-5.96</v>
      </c>
      <c r="AK5" s="82" t="n">
        <v>-5.5</v>
      </c>
      <c r="AL5" s="82" t="n">
        <v>-0.49</v>
      </c>
      <c r="AM5" s="83" t="n"/>
      <c r="AN5" s="75" t="n">
        <v>10.19</v>
      </c>
      <c r="AO5" s="82" t="n">
        <v>-11.24</v>
      </c>
      <c r="AP5" s="82" t="n">
        <v>-27.98</v>
      </c>
      <c r="AQ5" s="82" t="n">
        <v>-50.23</v>
      </c>
      <c r="AR5" s="82" t="n">
        <v>-5.61</v>
      </c>
      <c r="AS5" s="82" t="n">
        <v>-23.42</v>
      </c>
      <c r="AT5" s="82" t="n">
        <v>-47.08</v>
      </c>
      <c r="AU5" s="82" t="n">
        <v>-14.15</v>
      </c>
      <c r="AV5" s="82" t="n">
        <v>-41.54</v>
      </c>
      <c r="AW5" s="82" t="n">
        <v>-46.95</v>
      </c>
      <c r="AX5" s="82" t="n">
        <v>-37.11</v>
      </c>
      <c r="AY5" s="82" t="n">
        <v>13.56</v>
      </c>
      <c r="AZ5" s="82" t="n">
        <v>13.69</v>
      </c>
      <c r="BA5" s="71" t="inlineStr">
        <is>
          <t>China Biotech ETF (HS biotech proxy)</t>
        </is>
      </c>
      <c r="BB5" s="82" t="n">
        <v>-96.33</v>
      </c>
      <c r="BC5" s="72" t="inlineStr">
        <is>
          <t>2026-09-23</t>
        </is>
      </c>
      <c r="BD5" s="73" t="n">
        <v>163.9</v>
      </c>
      <c r="BE5" s="76" t="n">
        <v>36.4</v>
      </c>
      <c r="BF5" s="71" t="inlineStr">
        <is>
          <t>Y</t>
        </is>
      </c>
      <c r="BG5" s="83" t="n">
        <v>95.8</v>
      </c>
      <c r="BH5" s="83" t="n"/>
      <c r="BI5" s="83" t="n"/>
      <c r="BJ5" s="83" t="n">
        <v>21.3</v>
      </c>
      <c r="BK5" s="84">
        <f>IF('BBG Verify'!S5="","not filed; run on terminal",'BBG Verify'!S5)</f>
        <v/>
      </c>
      <c r="BL5" s="85" t="inlineStr">
        <is>
          <t>N</t>
        </is>
      </c>
      <c r="BM5" s="86">
        <f>IF('BBG Verify'!K5="","not filed; run on terminal",'BBG Verify'!K5)</f>
        <v/>
      </c>
      <c r="BN5" s="71" t="inlineStr">
        <is>
          <t>N/A</t>
        </is>
      </c>
      <c r="BO5" s="71" t="inlineStr">
        <is>
          <t>N/A</t>
        </is>
      </c>
      <c r="BP5" s="71" t="inlineStr">
        <is>
          <t>N/A</t>
        </is>
      </c>
      <c r="BQ5" s="71" t="inlineStr">
        <is>
          <t>N/A</t>
        </is>
      </c>
      <c r="BR5" s="71" t="inlineStr">
        <is>
          <t>N/A</t>
        </is>
      </c>
      <c r="BS5" s="71" t="inlineStr">
        <is>
          <t>N/A</t>
        </is>
      </c>
      <c r="BT5" s="85" t="inlineStr">
        <is>
          <t>Mont Avenir Capital Limited</t>
        </is>
      </c>
      <c r="BU5" s="71" t="inlineStr">
        <is>
          <t>Mont Avenir Capital Limited</t>
        </is>
      </c>
      <c r="BV5" s="71" t="inlineStr">
        <is>
          <t>Mont Avenir Capital Limited; SPDB International Capital Limited; Futu Securities International (Hong Kong) Limited; AMTD Global Markets Limited; China Merchants Securities (HK) Co., Limited</t>
        </is>
      </c>
      <c r="BW5" s="71" t="inlineStr">
        <is>
          <t>AMTD Global Markets Limited; China Merchants Securities (HK) Company Limited; Futu Securities International (Hong Kong) Limited; Mont Avenir Capital Limited; SPDB International Capital Limited</t>
        </is>
      </c>
      <c r="BX5" s="87">
        <f>HYPERLINK("https://www1.hkexnews.hk/listedco/listconews/sehk/2020/1221/2020122100005.pdf","prospectus")</f>
        <v/>
      </c>
      <c r="BY5" s="87">
        <f>HYPERLINK("https://www1.hkexnews.hk/listedco/listconews/sehk/2021/0105/2021010500020.htm","allotment")</f>
        <v/>
      </c>
      <c r="BZ5" s="87">
        <f>HYPERLINK("https://www1.hkexnews.hk/listedco/listconews/sehk/2021/0124/2021012400011.pdf","stabilisation")</f>
        <v/>
      </c>
      <c r="CA5" s="85" t="n"/>
      <c r="CB5" s="71" t="inlineStr">
        <is>
          <t>greenshoe: outcome published; expiry date not in the notice; market cap: published listing cap used; the estimate from deal size / offer % of enlarged capital disagreed; grey market: etnet's story of the session gave only the Phillip open (4.9, +12.4% vs offer) on 2021-01-05; no close was published; allocation: allocation table not in this notice's format (older prose announcement); day-1 tape: volume on file; the retail multiple needs the final public split, which this notice does not state</t>
        </is>
      </c>
    </row>
    <row r="6" ht="15" customHeight="1">
      <c r="A6" s="70" t="inlineStr">
        <is>
          <t>1855</t>
        </is>
      </c>
      <c r="B6" s="71" t="inlineStr">
        <is>
          <t>ZONBONG ENVIRO</t>
        </is>
      </c>
      <c r="C6" s="71" t="inlineStr">
        <is>
          <t>中慶股份</t>
        </is>
      </c>
      <c r="D6" s="71" t="inlineStr">
        <is>
          <t>Industrials</t>
        </is>
      </c>
      <c r="E6" s="71" t="inlineStr">
        <is>
          <t>Construction / engineering</t>
        </is>
      </c>
      <c r="F6" s="71" t="inlineStr">
        <is>
          <t>Building Construction</t>
        </is>
      </c>
      <c r="G6" s="71" t="inlineStr">
        <is>
          <t>Standard</t>
        </is>
      </c>
      <c r="H6" s="72" t="n">
        <v>44202</v>
      </c>
      <c r="I6" s="73" t="n">
        <v>137.5</v>
      </c>
      <c r="J6" s="71" t="inlineStr">
        <is>
          <t>gross (price x shares)</t>
        </is>
      </c>
      <c r="K6" s="74" t="n"/>
      <c r="L6" s="74" t="n">
        <v>2</v>
      </c>
      <c r="M6" s="74" t="n">
        <v>2</v>
      </c>
      <c r="N6" s="71" t="inlineStr">
        <is>
          <t>Y</t>
        </is>
      </c>
      <c r="O6" s="75" t="n">
        <v>100</v>
      </c>
      <c r="P6" s="75" t="n"/>
      <c r="Q6" s="76" t="n">
        <v>594</v>
      </c>
      <c r="R6" s="71" t="inlineStr">
        <is>
          <t>aastocks:上市市值 at the struck price</t>
        </is>
      </c>
      <c r="S6" s="77" t="n">
        <v>36.25</v>
      </c>
      <c r="T6" s="78" t="n">
        <v>1.01</v>
      </c>
      <c r="U6" s="79" t="n"/>
      <c r="V6" s="80" t="n">
        <v>60</v>
      </c>
      <c r="W6" s="75" t="n"/>
      <c r="X6" s="71" t="n"/>
      <c r="Y6" s="76" t="n">
        <v>137.5</v>
      </c>
      <c r="Z6" s="76" t="n">
        <v>68750000</v>
      </c>
      <c r="AA6" s="75" t="n">
        <v>23.15</v>
      </c>
      <c r="AB6" s="71" t="n"/>
      <c r="AC6" s="71" t="n"/>
      <c r="AD6" s="75" t="n"/>
      <c r="AE6" s="71" t="inlineStr">
        <is>
          <t>lapsed</t>
        </is>
      </c>
      <c r="AF6" s="71" t="n"/>
      <c r="AG6" s="71" t="inlineStr">
        <is>
          <t>China Tonghai Securities Limited</t>
        </is>
      </c>
      <c r="AH6" s="71" t="inlineStr">
        <is>
          <t>China Tonghai</t>
        </is>
      </c>
      <c r="AI6" s="81" t="n"/>
      <c r="AJ6" s="82" t="n">
        <v>2.5</v>
      </c>
      <c r="AK6" s="82" t="n">
        <v>-0.5</v>
      </c>
      <c r="AL6" s="82" t="n">
        <v>3.02</v>
      </c>
      <c r="AM6" s="83" t="n"/>
      <c r="AN6" s="75" t="n">
        <v>17.59</v>
      </c>
      <c r="AO6" s="82" t="n">
        <v>-5</v>
      </c>
      <c r="AP6" s="82" t="n">
        <v>-5</v>
      </c>
      <c r="AQ6" s="82" t="n">
        <v>3.5</v>
      </c>
      <c r="AR6" s="82" t="n">
        <v>-7.32</v>
      </c>
      <c r="AS6" s="82" t="n">
        <v>-7.32</v>
      </c>
      <c r="AT6" s="82" t="n">
        <v>0.98</v>
      </c>
      <c r="AU6" s="82" t="n">
        <v>-5.71</v>
      </c>
      <c r="AV6" s="82" t="n">
        <v>-15.56</v>
      </c>
      <c r="AW6" s="82" t="n">
        <v>3.47</v>
      </c>
      <c r="AX6" s="82" t="n">
        <v>-16.88</v>
      </c>
      <c r="AY6" s="82" t="n">
        <v>10.56</v>
      </c>
      <c r="AZ6" s="82" t="n">
        <v>9.56</v>
      </c>
      <c r="BA6" s="71" t="inlineStr">
        <is>
          <t>Hang Seng Commerce &amp; Industry sub-index</t>
        </is>
      </c>
      <c r="BB6" s="82" t="n">
        <v>-77.34999999999999</v>
      </c>
      <c r="BC6" s="72" t="inlineStr">
        <is>
          <t>2026-09-23</t>
        </is>
      </c>
      <c r="BD6" s="73" t="n">
        <v>987.2</v>
      </c>
      <c r="BE6" s="76" t="n">
        <v>54.4</v>
      </c>
      <c r="BF6" s="71" t="inlineStr">
        <is>
          <t>Y</t>
        </is>
      </c>
      <c r="BG6" s="83" t="n">
        <v>10.9</v>
      </c>
      <c r="BH6" s="83" t="n"/>
      <c r="BI6" s="83" t="n">
        <v>5.7</v>
      </c>
      <c r="BJ6" s="83" t="n">
        <v>0.6</v>
      </c>
      <c r="BK6" s="84">
        <f>IF('BBG Verify'!S6="","not filed; run on terminal",'BBG Verify'!S6)</f>
        <v/>
      </c>
      <c r="BL6" s="85" t="inlineStr">
        <is>
          <t>N</t>
        </is>
      </c>
      <c r="BM6" s="86">
        <f>IF('BBG Verify'!K6="","not filed; run on terminal",'BBG Verify'!K6)</f>
        <v/>
      </c>
      <c r="BN6" s="71" t="inlineStr">
        <is>
          <t>N/A</t>
        </is>
      </c>
      <c r="BO6" s="71" t="inlineStr">
        <is>
          <t>N/A</t>
        </is>
      </c>
      <c r="BP6" s="71" t="inlineStr">
        <is>
          <t>N/A</t>
        </is>
      </c>
      <c r="BQ6" s="71" t="inlineStr">
        <is>
          <t>N/A</t>
        </is>
      </c>
      <c r="BR6" s="71" t="inlineStr">
        <is>
          <t>N/A</t>
        </is>
      </c>
      <c r="BS6" s="71" t="inlineStr">
        <is>
          <t>N/A</t>
        </is>
      </c>
      <c r="BT6" s="85" t="n"/>
      <c r="BU6" s="71" t="inlineStr">
        <is>
          <t>China Tonghai Capital Limited</t>
        </is>
      </c>
      <c r="BV6" s="71" t="inlineStr">
        <is>
          <t>Central China International Capital Limited; China Tonghai Securities Limited; CMBC Securities Company Limited; Elstone Securities Limited; Eddid Securities and Futures Limited; Realord Asia Pacific Securities Limited</t>
        </is>
      </c>
      <c r="BW6" s="71"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X6" s="87">
        <f>HYPERLINK("https://www1.hkexnews.hk/listedco/listconews/sehk/2020/1222/2020122200050.htm","prospectus")</f>
        <v/>
      </c>
      <c r="BY6" s="87">
        <f>HYPERLINK("https://www1.hkexnews.hk/listedco/listconews/sehk/2021/0105/2021010500038.htm","allotment")</f>
        <v/>
      </c>
      <c r="BZ6" s="87">
        <f>HYPERLINK("https://www1.hkexnews.hk/listedco/listconews/sehk/2021/0203/2021020300669.pdf","stabilisation")</f>
        <v/>
      </c>
      <c r="CA6" s="85" t="n"/>
      <c r="CB6"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etnet's story of the session gave only the Phillip open (2.06, +3.0% vs offer) on 2021-01-05; no close was published; allocation: allocation table not in this notice's format (older prose announcement); day-1 tape: volume on file; the retail multiple needs the final public split, which this notice does not state</t>
        </is>
      </c>
    </row>
    <row r="7" ht="15" customHeight="1">
      <c r="A7" s="70" t="inlineStr">
        <is>
          <t>1440</t>
        </is>
      </c>
      <c r="B7" s="71" t="inlineStr">
        <is>
          <t>DEYUN HOLDING</t>
        </is>
      </c>
      <c r="C7" s="71" t="inlineStr">
        <is>
          <t>應星控股</t>
        </is>
      </c>
      <c r="D7" s="71" t="inlineStr">
        <is>
          <t>Industrials</t>
        </is>
      </c>
      <c r="E7" s="71" t="inlineStr">
        <is>
          <t>Construction / engineering</t>
        </is>
      </c>
      <c r="F7" s="71" t="inlineStr">
        <is>
          <t>Textiles</t>
        </is>
      </c>
      <c r="G7" s="71" t="inlineStr">
        <is>
          <t>Standard</t>
        </is>
      </c>
      <c r="H7" s="72" t="n">
        <v>44209</v>
      </c>
      <c r="I7" s="73" t="n">
        <v>126</v>
      </c>
      <c r="J7" s="71" t="inlineStr">
        <is>
          <t>gross (price x shares)</t>
        </is>
      </c>
      <c r="K7" s="74" t="n">
        <v>0.4</v>
      </c>
      <c r="L7" s="74" t="n">
        <v>0.5</v>
      </c>
      <c r="M7" s="74" t="n">
        <v>0.4</v>
      </c>
      <c r="N7" s="71" t="inlineStr">
        <is>
          <t>N</t>
        </is>
      </c>
      <c r="O7" s="75" t="n">
        <v>80</v>
      </c>
      <c r="P7" s="75" t="n">
        <v>0</v>
      </c>
      <c r="Q7" s="76" t="n">
        <v>560</v>
      </c>
      <c r="R7" s="71" t="inlineStr">
        <is>
          <t>derived:deal size / offer % of enlarged capital</t>
        </is>
      </c>
      <c r="S7" s="77" t="n">
        <v>33.62</v>
      </c>
      <c r="T7" s="78" t="n">
        <v>0.96</v>
      </c>
      <c r="U7" s="79" t="n">
        <v>45.1</v>
      </c>
      <c r="V7" s="80" t="n">
        <v>218</v>
      </c>
      <c r="W7" s="75" t="n">
        <v>20</v>
      </c>
      <c r="X7" s="71" t="n"/>
      <c r="Y7" s="76" t="n">
        <v>69.17</v>
      </c>
      <c r="Z7" s="76" t="n">
        <v>172935000</v>
      </c>
      <c r="AA7" s="75" t="n">
        <v>12.35</v>
      </c>
      <c r="AB7" s="71" t="inlineStr">
        <is>
          <t>Cheng Hung Ping; Tam Yuk Ching Jenny; Tsai Chuen Sui Robert</t>
        </is>
      </c>
      <c r="AC7" s="71" t="inlineStr">
        <is>
          <t>cheng-hung;tam;tsai</t>
        </is>
      </c>
      <c r="AD7" s="75" t="n">
        <v>7.5</v>
      </c>
      <c r="AE7" s="71" t="n"/>
      <c r="AF7" s="71" t="inlineStr">
        <is>
          <t>2021-01-30</t>
        </is>
      </c>
      <c r="AG7" s="71" t="inlineStr">
        <is>
          <t>Dakin Securities Limited</t>
        </is>
      </c>
      <c r="AH7" s="71" t="inlineStr">
        <is>
          <t>Dakin</t>
        </is>
      </c>
      <c r="AI7" s="81" t="n"/>
      <c r="AJ7" s="82" t="n">
        <v>3.75</v>
      </c>
      <c r="AK7" s="82" t="n">
        <v>5</v>
      </c>
      <c r="AL7" s="82" t="n">
        <v>-1.19</v>
      </c>
      <c r="AM7" s="83" t="n">
        <v>1.52</v>
      </c>
      <c r="AN7" s="75" t="n">
        <v>27.38</v>
      </c>
      <c r="AO7" s="82" t="n">
        <v>25</v>
      </c>
      <c r="AP7" s="82" t="n">
        <v>60</v>
      </c>
      <c r="AQ7" s="82" t="n">
        <v>22.5</v>
      </c>
      <c r="AR7" s="82" t="n">
        <v>20.48</v>
      </c>
      <c r="AS7" s="82" t="n">
        <v>54.22</v>
      </c>
      <c r="AT7" s="82" t="n">
        <v>18.07</v>
      </c>
      <c r="AU7" s="82" t="n">
        <v>15.11</v>
      </c>
      <c r="AV7" s="82" t="n">
        <v>45.86</v>
      </c>
      <c r="AW7" s="82" t="n">
        <v>20.13</v>
      </c>
      <c r="AX7" s="82" t="n">
        <v>40.18</v>
      </c>
      <c r="AY7" s="82" t="n">
        <v>14.14</v>
      </c>
      <c r="AZ7" s="82" t="n">
        <v>14.04</v>
      </c>
      <c r="BA7" s="71" t="inlineStr">
        <is>
          <t>Hang Seng Commerce &amp; Industry sub-index</t>
        </is>
      </c>
      <c r="BB7" s="82" t="n">
        <v>5145</v>
      </c>
      <c r="BC7" s="72" t="inlineStr">
        <is>
          <t>2026-09-23</t>
        </is>
      </c>
      <c r="BD7" s="73" t="n">
        <v>223.8</v>
      </c>
      <c r="BE7" s="76" t="n">
        <v>46</v>
      </c>
      <c r="BF7" s="71" t="inlineStr">
        <is>
          <t>Y</t>
        </is>
      </c>
      <c r="BG7" s="83" t="n">
        <v>12.2</v>
      </c>
      <c r="BH7" s="83" t="n"/>
      <c r="BI7" s="83" t="n"/>
      <c r="BJ7" s="83" t="n">
        <v>2.5</v>
      </c>
      <c r="BK7" s="84">
        <f>IF('BBG Verify'!S7="","not filed; run on terminal",'BBG Verify'!S7)</f>
        <v/>
      </c>
      <c r="BL7" s="85" t="inlineStr">
        <is>
          <t>N</t>
        </is>
      </c>
      <c r="BM7" s="86">
        <f>IF('BBG Verify'!K7="","not filed; run on terminal",'BBG Verify'!K7)</f>
        <v/>
      </c>
      <c r="BN7" s="71" t="inlineStr">
        <is>
          <t>N/A</t>
        </is>
      </c>
      <c r="BO7" s="71" t="inlineStr">
        <is>
          <t>N/A</t>
        </is>
      </c>
      <c r="BP7" s="71" t="inlineStr">
        <is>
          <t>N/A</t>
        </is>
      </c>
      <c r="BQ7" s="71" t="inlineStr">
        <is>
          <t>N/A</t>
        </is>
      </c>
      <c r="BR7" s="71" t="inlineStr">
        <is>
          <t>N/A</t>
        </is>
      </c>
      <c r="BS7" s="71" t="inlineStr">
        <is>
          <t>N/A</t>
        </is>
      </c>
      <c r="BT7" s="85" t="inlineStr">
        <is>
          <t>Dakin Capital Limited</t>
        </is>
      </c>
      <c r="BU7" s="71" t="inlineStr">
        <is>
          <t>Dakin Capital Limited</t>
        </is>
      </c>
      <c r="BV7" s="71" t="inlineStr">
        <is>
          <t>Dakin Securities Limited; BOCOM International Securities Limited</t>
        </is>
      </c>
      <c r="BW7" s="71" t="inlineStr">
        <is>
          <t>Beta International Securities Limited; CCB International Capital Limited; Dakin Securities Limited; I Win Securities Limited; Red Eagle Securities Limited; Yuzhou Financial Holdings Limited</t>
        </is>
      </c>
      <c r="BX7" s="87">
        <f>HYPERLINK("https://www1.hkexnews.hk/listedco/listconews/sehk/2020/1228/2020122800063.pdf","prospectus")</f>
        <v/>
      </c>
      <c r="BY7" s="87">
        <f>HYPERLINK("https://www1.hkexnews.hk/listedco/listconews/sehk/2021/0112/2021011200008.htm","allotment")</f>
        <v/>
      </c>
      <c r="BZ7" s="71" t="n"/>
      <c r="CA7" s="85" t="n"/>
      <c r="CB7" s="71" t="inlineStr">
        <is>
          <t>greenshoe: end-of-stabilisation notice not found; grey market: etnet's story of the session gave only the Phillip open (0.52, +30.0% vs offer) on 2021-01-12; no close was published; allocation: clawback line not in this notice; a 12-28% split is consistent with either a tier-1 clawback or a placing shortfall</t>
        </is>
      </c>
    </row>
    <row r="8" ht="15" customHeight="1">
      <c r="A8" s="70" t="inlineStr">
        <is>
          <t>2129</t>
        </is>
      </c>
      <c r="B8" s="71" t="inlineStr">
        <is>
          <t>LEGION CONSO</t>
        </is>
      </c>
      <c r="C8" s="71" t="inlineStr">
        <is>
          <t>LEGION CONSO</t>
        </is>
      </c>
      <c r="D8" s="71" t="inlineStr">
        <is>
          <t>Industrials</t>
        </is>
      </c>
      <c r="E8" s="71" t="inlineStr">
        <is>
          <t>Logistics</t>
        </is>
      </c>
      <c r="F8" s="71" t="inlineStr">
        <is>
          <t>Air Freight &amp; Logistics</t>
        </is>
      </c>
      <c r="G8" s="71" t="inlineStr">
        <is>
          <t>Standard</t>
        </is>
      </c>
      <c r="H8" s="72" t="n">
        <v>44209</v>
      </c>
      <c r="I8" s="73" t="n">
        <v>125</v>
      </c>
      <c r="J8" s="71" t="inlineStr">
        <is>
          <t>gross (price x shares)</t>
        </is>
      </c>
      <c r="K8" s="74" t="n">
        <v>0.4</v>
      </c>
      <c r="L8" s="74" t="n">
        <v>0.52</v>
      </c>
      <c r="M8" s="74" t="n">
        <v>0.4</v>
      </c>
      <c r="N8" s="71" t="inlineStr">
        <is>
          <t>N</t>
        </is>
      </c>
      <c r="O8" s="75" t="n">
        <v>76.90000000000001</v>
      </c>
      <c r="P8" s="75" t="n">
        <v>0</v>
      </c>
      <c r="Q8" s="76" t="n">
        <v>615.4</v>
      </c>
      <c r="R8" s="71" t="inlineStr">
        <is>
          <t>aastocks:上市市值 at the struck price</t>
        </is>
      </c>
      <c r="S8" s="77" t="n">
        <v>443.37</v>
      </c>
      <c r="T8" s="78" t="n">
        <v>1.5</v>
      </c>
      <c r="U8" s="79" t="n">
        <v>0</v>
      </c>
      <c r="V8" s="80" t="n">
        <v>90</v>
      </c>
      <c r="W8" s="75" t="n"/>
      <c r="X8" s="71" t="n"/>
      <c r="Y8" s="76" t="n">
        <v>125</v>
      </c>
      <c r="Z8" s="76" t="n">
        <v>312500000</v>
      </c>
      <c r="AA8" s="75" t="n">
        <v>20.31</v>
      </c>
      <c r="AB8" s="71" t="n"/>
      <c r="AC8" s="71" t="n"/>
      <c r="AD8" s="75" t="n"/>
      <c r="AE8" s="71" t="n"/>
      <c r="AF8" s="71" t="n"/>
      <c r="AG8" s="71" t="inlineStr">
        <is>
          <t>Alpha Financial Group Limited</t>
        </is>
      </c>
      <c r="AH8" s="71" t="inlineStr">
        <is>
          <t>Alpha</t>
        </is>
      </c>
      <c r="AI8" s="81" t="n"/>
      <c r="AJ8" s="82" t="n">
        <v>-12.5</v>
      </c>
      <c r="AK8" s="82" t="n">
        <v>15</v>
      </c>
      <c r="AL8" s="82" t="n">
        <v>-23.91</v>
      </c>
      <c r="AM8" s="83" t="n"/>
      <c r="AN8" s="75" t="n">
        <v>32.61</v>
      </c>
      <c r="AO8" s="82" t="n">
        <v>-31.25</v>
      </c>
      <c r="AP8" s="82" t="n">
        <v>-42</v>
      </c>
      <c r="AQ8" s="82" t="n">
        <v>-55</v>
      </c>
      <c r="AR8" s="82" t="n">
        <v>-21.43</v>
      </c>
      <c r="AS8" s="82" t="n">
        <v>-33.71</v>
      </c>
      <c r="AT8" s="82" t="n">
        <v>-48.57</v>
      </c>
      <c r="AU8" s="82" t="n">
        <v>-41.14</v>
      </c>
      <c r="AV8" s="82" t="n">
        <v>-56.14</v>
      </c>
      <c r="AW8" s="82" t="n">
        <v>-57.37</v>
      </c>
      <c r="AX8" s="82" t="n">
        <v>-47.75</v>
      </c>
      <c r="AY8" s="82" t="n">
        <v>14.14</v>
      </c>
      <c r="AZ8" s="82" t="n">
        <v>14.04</v>
      </c>
      <c r="BA8" s="71" t="inlineStr">
        <is>
          <t>Hang Seng Commerce &amp; Industry sub-index</t>
        </is>
      </c>
      <c r="BB8" s="82" t="n">
        <v>-27.5</v>
      </c>
      <c r="BC8" s="72" t="inlineStr">
        <is>
          <t>2026-09-23</t>
        </is>
      </c>
      <c r="BD8" s="73" t="n">
        <v>248.9</v>
      </c>
      <c r="BE8" s="76" t="n">
        <v>34.5</v>
      </c>
      <c r="BF8" s="71" t="inlineStr">
        <is>
          <t>Y</t>
        </is>
      </c>
      <c r="BG8" s="83" t="n">
        <v>17.8</v>
      </c>
      <c r="BH8" s="83" t="n"/>
      <c r="BI8" s="83" t="n"/>
      <c r="BJ8" s="83" t="n">
        <v>2.5</v>
      </c>
      <c r="BK8" s="84">
        <f>IF('BBG Verify'!S8="","not filed; run on terminal",'BBG Verify'!S8)</f>
        <v/>
      </c>
      <c r="BL8" s="85" t="inlineStr">
        <is>
          <t>N</t>
        </is>
      </c>
      <c r="BM8" s="86">
        <f>IF('BBG Verify'!K8="","not filed; run on terminal",'BBG Verify'!K8)</f>
        <v/>
      </c>
      <c r="BN8" s="71" t="inlineStr">
        <is>
          <t>N/A</t>
        </is>
      </c>
      <c r="BO8" s="71" t="inlineStr">
        <is>
          <t>N/A</t>
        </is>
      </c>
      <c r="BP8" s="71" t="inlineStr">
        <is>
          <t>N/A</t>
        </is>
      </c>
      <c r="BQ8" s="71" t="inlineStr">
        <is>
          <t>N/A</t>
        </is>
      </c>
      <c r="BR8" s="71" t="inlineStr">
        <is>
          <t>N/A</t>
        </is>
      </c>
      <c r="BS8" s="71" t="inlineStr">
        <is>
          <t>N/A</t>
        </is>
      </c>
      <c r="BT8" s="85" t="n"/>
      <c r="BU8" s="71" t="inlineStr">
        <is>
          <t>Ample Capital Limited</t>
        </is>
      </c>
      <c r="BV8" s="71"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W8" s="71"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X8" s="87">
        <f>HYPERLINK("https://www1.hkexnews.hk/listedco/listconews/sehk/2020/1230/2020123000007.pdf","prospectus")</f>
        <v/>
      </c>
      <c r="BY8" s="87">
        <f>HYPERLINK("https://www1.hkexnews.hk/listedco/listconews/sehk/2021/0112/2021011200024.htm","allotment")</f>
        <v/>
      </c>
      <c r="BZ8" s="71" t="n"/>
      <c r="CA8" s="85" t="n"/>
      <c r="CB8" s="71" t="inlineStr">
        <is>
          <t>greenshoe: no over-allotment option; sponsor: English name not in the filing; AAStocks 保薦人 shown; cornerstone list: no cornerstone tranche; greenshoe size: no over-allotment option; grey market: etnet's story of the session gave only the Phillip open (0.6, +50.0% vs offer) on 2021-01-12; no close was published; allocation: allocation table not in this notice's format (older prose announcement); day-1 tape: volume on file; the retail multiple needs the final public split, which this notice does not state</t>
        </is>
      </c>
    </row>
    <row r="9" ht="15" customHeight="1">
      <c r="A9" s="70" t="inlineStr">
        <is>
          <t>2153</t>
        </is>
      </c>
      <c r="B9" s="71" t="inlineStr">
        <is>
          <t>TAT HONG EQUIP</t>
        </is>
      </c>
      <c r="C9" s="71" t="inlineStr">
        <is>
          <t>達豐設備</t>
        </is>
      </c>
      <c r="D9" s="71" t="inlineStr">
        <is>
          <t>Industrials</t>
        </is>
      </c>
      <c r="E9" s="71" t="inlineStr">
        <is>
          <t>Capital goods / machinery</t>
        </is>
      </c>
      <c r="F9" s="71" t="inlineStr">
        <is>
          <t>Construction &amp; Engineering</t>
        </is>
      </c>
      <c r="G9" s="71" t="inlineStr">
        <is>
          <t>Standard</t>
        </is>
      </c>
      <c r="H9" s="72" t="n">
        <v>44209</v>
      </c>
      <c r="I9" s="73" t="n">
        <v>644.8</v>
      </c>
      <c r="J9" s="71" t="inlineStr">
        <is>
          <t>gross (price x shares)</t>
        </is>
      </c>
      <c r="K9" s="74" t="n">
        <v>1.5</v>
      </c>
      <c r="L9" s="74" t="n">
        <v>1.96</v>
      </c>
      <c r="M9" s="74" t="n">
        <v>1.73</v>
      </c>
      <c r="N9" s="71" t="inlineStr">
        <is>
          <t>N</t>
        </is>
      </c>
      <c r="O9" s="75" t="n">
        <v>88.3</v>
      </c>
      <c r="P9" s="75" t="n">
        <v>50</v>
      </c>
      <c r="Q9" s="76" t="n">
        <v>2018.7</v>
      </c>
      <c r="R9" s="71" t="inlineStr">
        <is>
          <t>prospectus:stated market capitalisation</t>
        </is>
      </c>
      <c r="S9" s="77" t="n">
        <v>10.3</v>
      </c>
      <c r="T9" s="78" t="n">
        <v>1.02</v>
      </c>
      <c r="U9" s="79" t="n">
        <v>37.5</v>
      </c>
      <c r="V9" s="80" t="n">
        <v>135</v>
      </c>
      <c r="W9" s="75" t="n"/>
      <c r="X9" s="71" t="n"/>
      <c r="Y9" s="76" t="n">
        <v>403</v>
      </c>
      <c r="Z9" s="76" t="n">
        <v>232950000</v>
      </c>
      <c r="AA9" s="75" t="n">
        <v>19.96</v>
      </c>
      <c r="AB9" s="71" t="inlineStr">
        <is>
          <t>Yanlord Investment Limited; Zoomlion International Trading (H.K.) Co., Limited</t>
        </is>
      </c>
      <c r="AC9" s="71" t="inlineStr">
        <is>
          <t>yanlord;zoomlion</t>
        </is>
      </c>
      <c r="AD9" s="75" t="n">
        <v>11.9</v>
      </c>
      <c r="AE9" s="71" t="inlineStr">
        <is>
          <t>lapsed</t>
        </is>
      </c>
      <c r="AF9" s="71" t="n"/>
      <c r="AG9" s="71" t="inlineStr">
        <is>
          <t>Fortune</t>
        </is>
      </c>
      <c r="AH9" s="71" t="inlineStr">
        <is>
          <t>Fortune</t>
        </is>
      </c>
      <c r="AI9" s="81" t="n"/>
      <c r="AJ9" s="82" t="n">
        <v>-8.67</v>
      </c>
      <c r="AK9" s="82" t="n">
        <v>-19.08</v>
      </c>
      <c r="AL9" s="82" t="n">
        <v>12.86</v>
      </c>
      <c r="AM9" s="83" t="n"/>
      <c r="AN9" s="75" t="n">
        <v>20</v>
      </c>
      <c r="AO9" s="82" t="n">
        <v>5.78</v>
      </c>
      <c r="AP9" s="82" t="n">
        <v>-13.87</v>
      </c>
      <c r="AQ9" s="82" t="n">
        <v>-13.29</v>
      </c>
      <c r="AR9" s="82" t="n">
        <v>15.82</v>
      </c>
      <c r="AS9" s="82" t="n">
        <v>-5.69</v>
      </c>
      <c r="AT9" s="82" t="n">
        <v>-5.06</v>
      </c>
      <c r="AU9" s="82" t="n">
        <v>-4.11</v>
      </c>
      <c r="AV9" s="82" t="n">
        <v>-28.01</v>
      </c>
      <c r="AW9" s="82" t="n">
        <v>-15.66</v>
      </c>
      <c r="AX9" s="82" t="n">
        <v>-19.73</v>
      </c>
      <c r="AY9" s="82" t="n">
        <v>14.14</v>
      </c>
      <c r="AZ9" s="82" t="n">
        <v>14.04</v>
      </c>
      <c r="BA9" s="71" t="inlineStr">
        <is>
          <t>Hang Seng Commerce &amp; Industry sub-index</t>
        </is>
      </c>
      <c r="BB9" s="82" t="n">
        <v>-45.38</v>
      </c>
      <c r="BC9" s="72" t="inlineStr">
        <is>
          <t>2026-09-23</t>
        </is>
      </c>
      <c r="BD9" s="73" t="n">
        <v>819.4</v>
      </c>
      <c r="BE9" s="76" t="n">
        <v>84.09999999999999</v>
      </c>
      <c r="BF9" s="71" t="inlineStr">
        <is>
          <t>Y</t>
        </is>
      </c>
      <c r="BG9" s="83" t="n">
        <v>24</v>
      </c>
      <c r="BH9" s="83" t="n"/>
      <c r="BI9" s="83" t="n"/>
      <c r="BJ9" s="83" t="n">
        <v>2.5</v>
      </c>
      <c r="BK9" s="84">
        <f>IF('BBG Verify'!S9="","not filed; run on terminal",'BBG Verify'!S9)</f>
        <v/>
      </c>
      <c r="BL9" s="85" t="inlineStr">
        <is>
          <t>N</t>
        </is>
      </c>
      <c r="BM9" s="86">
        <f>IF('BBG Verify'!K9="","not filed; run on terminal",'BBG Verify'!K9)</f>
        <v/>
      </c>
      <c r="BN9" s="71" t="inlineStr">
        <is>
          <t>N/A</t>
        </is>
      </c>
      <c r="BO9" s="71" t="inlineStr">
        <is>
          <t>N/A</t>
        </is>
      </c>
      <c r="BP9" s="71" t="inlineStr">
        <is>
          <t>N/A</t>
        </is>
      </c>
      <c r="BQ9" s="71" t="inlineStr">
        <is>
          <t>N/A</t>
        </is>
      </c>
      <c r="BR9" s="71" t="inlineStr">
        <is>
          <t>N/A</t>
        </is>
      </c>
      <c r="BS9" s="71" t="inlineStr">
        <is>
          <t>N/A</t>
        </is>
      </c>
      <c r="BT9" s="85" t="inlineStr">
        <is>
          <t>Fortune Financial Capital Limited</t>
        </is>
      </c>
      <c r="BU9" s="71" t="inlineStr">
        <is>
          <t>Fortune Financial Capital Limited</t>
        </is>
      </c>
      <c r="BV9" s="71"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W9" s="71"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X9" s="87">
        <f>HYPERLINK("https://www1.hkexnews.hk/listedco/listconews/sehk/2020/1230/2020123000017.pdf","prospectus")</f>
        <v/>
      </c>
      <c r="BY9" s="87">
        <f>HYPERLINK("https://www1.hkexnews.hk/listedco/listconews/sehk/2021/0112/2021011200086.htm","allotment")</f>
        <v/>
      </c>
      <c r="BZ9" s="87">
        <f>HYPERLINK("https://www1.hkexnews.hk/listedco/listconews/sehk/2021/0204/2021020400633.pdf","stabilisation")</f>
        <v/>
      </c>
      <c r="CA9" s="85" t="n"/>
      <c r="CB9" s="71" t="inlineStr">
        <is>
          <t>greenshoe: outcome published; expiry date not in the notice; grey market: etnet's story of the session gave only the Phillip open (2.0, +15.6% vs offer) on 2021-01-12; no close was published; allocation: allocation table not in this notice's format (older prose announcement); day-1 tape: volume on file; the retail multiple needs the final public split, which this notice does not state</t>
        </is>
      </c>
    </row>
    <row r="10" ht="15" customHeight="1">
      <c r="A10" s="70" t="inlineStr">
        <is>
          <t>1643</t>
        </is>
      </c>
      <c r="B10" s="71" t="inlineStr">
        <is>
          <t>MODERN CHI MED</t>
        </is>
      </c>
      <c r="C10" s="71" t="inlineStr">
        <is>
          <t>現代中藥集團</t>
        </is>
      </c>
      <c r="D10" s="71" t="inlineStr">
        <is>
          <t>Healthcare</t>
        </is>
      </c>
      <c r="E10" s="71" t="inlineStr">
        <is>
          <t>TCM</t>
        </is>
      </c>
      <c r="F10" s="71" t="inlineStr">
        <is>
          <t>Pharmaceuticals</t>
        </is>
      </c>
      <c r="G10" s="71" t="inlineStr">
        <is>
          <t>Standard</t>
        </is>
      </c>
      <c r="H10" s="72" t="n">
        <v>44211</v>
      </c>
      <c r="I10" s="73" t="n">
        <v>177</v>
      </c>
      <c r="J10" s="71" t="inlineStr">
        <is>
          <t>gross (price x shares)</t>
        </is>
      </c>
      <c r="K10" s="74" t="n">
        <v>0.92</v>
      </c>
      <c r="L10" s="74" t="n">
        <v>1.47</v>
      </c>
      <c r="M10" s="74" t="n">
        <v>1.18</v>
      </c>
      <c r="N10" s="71" t="inlineStr">
        <is>
          <t>N</t>
        </is>
      </c>
      <c r="O10" s="75" t="n">
        <v>80.3</v>
      </c>
      <c r="P10" s="75" t="n">
        <v>47.3</v>
      </c>
      <c r="Q10" s="76" t="n">
        <v>816.9</v>
      </c>
      <c r="R10" s="71" t="inlineStr">
        <is>
          <t>aastocks:上市市值 at the struck price</t>
        </is>
      </c>
      <c r="S10" s="77" t="n">
        <v>30.66</v>
      </c>
      <c r="T10" s="78" t="n">
        <v>1.004</v>
      </c>
      <c r="U10" s="79" t="n">
        <v>0</v>
      </c>
      <c r="V10" s="80" t="n">
        <v>124</v>
      </c>
      <c r="W10" s="75" t="n"/>
      <c r="X10" s="71" t="n"/>
      <c r="Y10" s="76" t="n">
        <v>177</v>
      </c>
      <c r="Z10" s="76" t="n">
        <v>150000000</v>
      </c>
      <c r="AA10" s="75" t="n">
        <v>21.67</v>
      </c>
      <c r="AB10" s="71" t="n"/>
      <c r="AC10" s="71" t="n"/>
      <c r="AD10" s="75" t="n">
        <v>7</v>
      </c>
      <c r="AE10" s="71" t="n"/>
      <c r="AF10" s="71" t="inlineStr">
        <is>
          <t>2021-02-06</t>
        </is>
      </c>
      <c r="AG10" s="71" t="inlineStr">
        <is>
          <t>Wealth Link Securities Limited</t>
        </is>
      </c>
      <c r="AH10" s="71" t="inlineStr">
        <is>
          <t>Wealth Link</t>
        </is>
      </c>
      <c r="AI10" s="81" t="n"/>
      <c r="AJ10" s="82" t="n">
        <v>6.78</v>
      </c>
      <c r="AK10" s="82" t="n">
        <v>-0.85</v>
      </c>
      <c r="AL10" s="82" t="n">
        <v>7.7</v>
      </c>
      <c r="AM10" s="83" t="n"/>
      <c r="AN10" s="75" t="n">
        <v>23.08</v>
      </c>
      <c r="AO10" s="82" t="n">
        <v>-11.86</v>
      </c>
      <c r="AP10" s="82" t="n">
        <v>-21.19</v>
      </c>
      <c r="AQ10" s="82" t="n">
        <v>-28.81</v>
      </c>
      <c r="AR10" s="82" t="n">
        <v>-17.46</v>
      </c>
      <c r="AS10" s="82" t="n">
        <v>-26.19</v>
      </c>
      <c r="AT10" s="82" t="n">
        <v>-33.33</v>
      </c>
      <c r="AU10" s="82" t="n">
        <v>-22.93</v>
      </c>
      <c r="AV10" s="82" t="n">
        <v>-36.53</v>
      </c>
      <c r="AW10" s="82" t="n">
        <v>-26.19</v>
      </c>
      <c r="AX10" s="82" t="n">
        <v>-41.99</v>
      </c>
      <c r="AY10" s="82" t="n">
        <v>15.34</v>
      </c>
      <c r="AZ10" s="82" t="n">
        <v>15.8</v>
      </c>
      <c r="BA10" s="71" t="inlineStr">
        <is>
          <t>China Biotech ETF (HS biotech proxy)</t>
        </is>
      </c>
      <c r="BB10" s="82" t="n">
        <v>-36.44</v>
      </c>
      <c r="BC10" s="72" t="inlineStr">
        <is>
          <t>2026-09-23</t>
        </is>
      </c>
      <c r="BD10" s="73" t="n">
        <v>240.6</v>
      </c>
      <c r="BE10" s="76" t="n">
        <v>50.9</v>
      </c>
      <c r="BF10" s="71" t="inlineStr">
        <is>
          <t>Y</t>
        </is>
      </c>
      <c r="BG10" s="83" t="n">
        <v>16</v>
      </c>
      <c r="BH10" s="83" t="n"/>
      <c r="BI10" s="83" t="n"/>
      <c r="BJ10" s="83" t="n">
        <v>3.4</v>
      </c>
      <c r="BK10" s="84">
        <f>IF('BBG Verify'!S10="","not filed; run on terminal",'BBG Verify'!S10)</f>
        <v/>
      </c>
      <c r="BL10" s="85" t="inlineStr">
        <is>
          <t>N</t>
        </is>
      </c>
      <c r="BM10" s="86">
        <f>IF('BBG Verify'!K10="","not filed; run on terminal",'BBG Verify'!K10)</f>
        <v/>
      </c>
      <c r="BN10" s="71" t="inlineStr">
        <is>
          <t>N/A</t>
        </is>
      </c>
      <c r="BO10" s="71" t="inlineStr">
        <is>
          <t>N/A</t>
        </is>
      </c>
      <c r="BP10" s="71" t="inlineStr">
        <is>
          <t>N/A</t>
        </is>
      </c>
      <c r="BQ10" s="71" t="inlineStr">
        <is>
          <t>N/A</t>
        </is>
      </c>
      <c r="BR10" s="71" t="inlineStr">
        <is>
          <t>N/A</t>
        </is>
      </c>
      <c r="BS10" s="71" t="inlineStr">
        <is>
          <t>N/A</t>
        </is>
      </c>
      <c r="BT10" s="85" t="inlineStr">
        <is>
          <t>Soochow Securities International Capital Limited</t>
        </is>
      </c>
      <c r="BU10" s="71" t="inlineStr">
        <is>
          <t>Soochow Securities International Capital Limited</t>
        </is>
      </c>
      <c r="BV10" s="71" t="inlineStr">
        <is>
          <t>SPDB International Capital Limited; BOCOM International Securities Limited; Yue Xiu Securities Company Limited; Shanxi Securities International Limited; Elstone Securities Limited</t>
        </is>
      </c>
      <c r="BW10" s="71"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X10" s="87">
        <f>HYPERLINK("https://www1.hkexnews.hk/listedco/listconews/sehk/2020/1231/2020123100103.pdf","prospectus")</f>
        <v/>
      </c>
      <c r="BY10" s="87">
        <f>HYPERLINK("https://www1.hkexnews.hk/listedco/listconews/sehk/2021/0114/2021011400022.htm","allotment")</f>
        <v/>
      </c>
      <c r="BZ10" s="71" t="n"/>
      <c r="CA10" s="85" t="n"/>
      <c r="CB10" s="71" t="inlineStr">
        <is>
          <t>greenshoe: end-of-stabilisation notice not found; market cap: published listing cap used; the estimate from deal size / offer % of enlarged capital disagreed; cornerstone list: no cornerstone tranche; grey market: etnet's story of the session gave only the Phillip open (1.2, +1.7% vs offer) on 2021-01-14; no close was published; allocation: allocation table not in this notice's format (older prose announcement); day-1 tape: volume on file; the retail multiple needs the final public split, which this notice does not state</t>
        </is>
      </c>
    </row>
    <row r="11" ht="15" customHeight="1">
      <c r="A11" s="70" t="inlineStr">
        <is>
          <t>2146</t>
        </is>
      </c>
      <c r="B11" s="71" t="inlineStr">
        <is>
          <t>ROISERV</t>
        </is>
      </c>
      <c r="C11" s="71" t="inlineStr">
        <is>
          <t>榮萬家</t>
        </is>
      </c>
      <c r="D11" s="71" t="inlineStr">
        <is>
          <t>Real Estate</t>
        </is>
      </c>
      <c r="E11" s="71" t="inlineStr">
        <is>
          <t>Property management</t>
        </is>
      </c>
      <c r="F11" s="71" t="inlineStr">
        <is>
          <t>Property Service and Management</t>
        </is>
      </c>
      <c r="G11" s="71" t="inlineStr">
        <is>
          <t>Standard</t>
        </is>
      </c>
      <c r="H11" s="72" t="n">
        <v>44211</v>
      </c>
      <c r="I11" s="73" t="n">
        <v>1265.2</v>
      </c>
      <c r="J11" s="71" t="inlineStr">
        <is>
          <t>gross (price x shares)</t>
        </is>
      </c>
      <c r="K11" s="74" t="n">
        <v>13.46</v>
      </c>
      <c r="L11" s="74" t="n">
        <v>18.36</v>
      </c>
      <c r="M11" s="74" t="n">
        <v>13.46</v>
      </c>
      <c r="N11" s="71" t="inlineStr">
        <is>
          <t>N</t>
        </is>
      </c>
      <c r="O11" s="75" t="n">
        <v>73.3</v>
      </c>
      <c r="P11" s="75" t="n">
        <v>0</v>
      </c>
      <c r="Q11" s="76" t="n">
        <v>6411.7</v>
      </c>
      <c r="R11" s="71" t="inlineStr">
        <is>
          <t>aastocks:上市市值 at the struck price</t>
        </is>
      </c>
      <c r="S11" s="77" t="n">
        <v>6.62</v>
      </c>
      <c r="T11" s="78" t="n">
        <v>1.94</v>
      </c>
      <c r="U11" s="79" t="n">
        <v>0</v>
      </c>
      <c r="V11" s="80" t="n">
        <v>108</v>
      </c>
      <c r="W11" s="75" t="n"/>
      <c r="X11" s="71" t="n"/>
      <c r="Y11" s="76" t="n">
        <v>1265.2</v>
      </c>
      <c r="Z11" s="76" t="n">
        <v>94000000</v>
      </c>
      <c r="AA11" s="75" t="n">
        <v>19.73</v>
      </c>
      <c r="AB11" s="71" t="n"/>
      <c r="AC11" s="71" t="n"/>
      <c r="AD11" s="75" t="n">
        <v>6.05</v>
      </c>
      <c r="AE11" s="71" t="inlineStr">
        <is>
          <t>lapsed</t>
        </is>
      </c>
      <c r="AF11" s="71" t="inlineStr">
        <is>
          <t>2021-02-07</t>
        </is>
      </c>
      <c r="AG11" s="71" t="inlineStr">
        <is>
          <t>Huatai Financial Holdings</t>
        </is>
      </c>
      <c r="AH11" s="71" t="inlineStr">
        <is>
          <t>Huatai</t>
        </is>
      </c>
      <c r="AI11" s="81" t="n"/>
      <c r="AJ11" s="82" t="n">
        <v>-8.17</v>
      </c>
      <c r="AK11" s="82" t="n">
        <v>-4.9</v>
      </c>
      <c r="AL11" s="82" t="n">
        <v>-3.44</v>
      </c>
      <c r="AM11" s="83" t="n"/>
      <c r="AN11" s="75" t="n">
        <v>6.56</v>
      </c>
      <c r="AO11" s="82" t="n">
        <v>-11.59</v>
      </c>
      <c r="AP11" s="82" t="n">
        <v>-34.03</v>
      </c>
      <c r="AQ11" s="82" t="n">
        <v>-36.85</v>
      </c>
      <c r="AR11" s="82" t="n">
        <v>-3.72</v>
      </c>
      <c r="AS11" s="82" t="n">
        <v>-28.16</v>
      </c>
      <c r="AT11" s="82" t="n">
        <v>-31.23</v>
      </c>
      <c r="AU11" s="82" t="n">
        <v>-13.66</v>
      </c>
      <c r="AV11" s="82" t="n">
        <v>-36.68</v>
      </c>
      <c r="AW11" s="82" t="n">
        <v>-47.57</v>
      </c>
      <c r="AX11" s="82" t="n">
        <v>-30.78</v>
      </c>
      <c r="AY11" s="82" t="n">
        <v>2.65</v>
      </c>
      <c r="AZ11" s="82" t="n">
        <v>2.62</v>
      </c>
      <c r="BA11" s="71" t="inlineStr">
        <is>
          <t>Hang Seng Properties sub-index</t>
        </is>
      </c>
      <c r="BB11" s="82" t="n">
        <v>-84.88</v>
      </c>
      <c r="BC11" s="72" t="inlineStr">
        <is>
          <t>2026-09-22</t>
        </is>
      </c>
      <c r="BD11" s="73" t="n">
        <v>1410.2</v>
      </c>
      <c r="BE11" s="76" t="n">
        <v>124.5</v>
      </c>
      <c r="BF11" s="71" t="inlineStr">
        <is>
          <t>Y</t>
        </is>
      </c>
      <c r="BG11" s="83" t="n">
        <v>51.5</v>
      </c>
      <c r="BH11" s="83" t="n">
        <v>10.7</v>
      </c>
      <c r="BI11" s="83" t="n">
        <v>5.9</v>
      </c>
      <c r="BJ11" s="83" t="n">
        <v>4.5</v>
      </c>
      <c r="BK11" s="84">
        <f>IF('BBG Verify'!S11="","not filed; run on terminal",'BBG Verify'!S11)</f>
        <v/>
      </c>
      <c r="BL11" s="85" t="inlineStr">
        <is>
          <t>N</t>
        </is>
      </c>
      <c r="BM11" s="86">
        <f>IF('BBG Verify'!K11="","not filed; run on terminal",'BBG Verify'!K11)</f>
        <v/>
      </c>
      <c r="BN11" s="71" t="inlineStr">
        <is>
          <t>N/A</t>
        </is>
      </c>
      <c r="BO11" s="71" t="inlineStr">
        <is>
          <t>N/A</t>
        </is>
      </c>
      <c r="BP11" s="71" t="inlineStr">
        <is>
          <t>N/A</t>
        </is>
      </c>
      <c r="BQ11" s="71" t="inlineStr">
        <is>
          <t>N/A</t>
        </is>
      </c>
      <c r="BR11" s="71" t="inlineStr">
        <is>
          <t>N/A</t>
        </is>
      </c>
      <c r="BS11" s="71" t="inlineStr">
        <is>
          <t>N/A</t>
        </is>
      </c>
      <c r="BT11" s="85" t="inlineStr">
        <is>
          <t>Huatai Financial Holdings (Hong Kong) Limited</t>
        </is>
      </c>
      <c r="BU11" s="71" t="inlineStr">
        <is>
          <t>Huatai Financial Holdings (Hong Kong) Limited</t>
        </is>
      </c>
      <c r="BV11" s="71"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W11" s="71"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X11" s="87">
        <f>HYPERLINK("https://www1.hkexnews.hk/listedco/listconews/sehk/2020/1231/2020123100013.pdf","prospectus")</f>
        <v/>
      </c>
      <c r="BY11" s="87">
        <f>HYPERLINK("https://www1.hkexnews.hk/listedco/listconews/sehk/2021/0114/2021011400038.htm","allotment")</f>
        <v/>
      </c>
      <c r="BZ11" s="87">
        <f>HYPERLINK("https://www1.hkexnews.hk/listedco/listconews/sehk/2021/0207/2021020700027.pdf","stabilisation")</f>
        <v/>
      </c>
      <c r="CA11" s="85" t="n"/>
      <c r="CB11" s="71" t="inlineStr">
        <is>
          <t>market cap: published listing cap used; the estimate from stated market capitalisation, rescaled to the offer price disagreed; cornerstone list: no cornerstone tranche; grey market: etnet's story of the session gave only the Phillip open (13.5, +0.3% vs offer) on 2021-01-14; no close was published; allocation: allocation table not in this notice's format (older prose announcement); day-1 tape: volume on file; the retail multiple needs the final public split, which this notice does not state</t>
        </is>
      </c>
    </row>
    <row r="12" ht="15" customHeight="1">
      <c r="A12" s="70" t="inlineStr">
        <is>
          <t>2125</t>
        </is>
      </c>
      <c r="B12" s="71" t="inlineStr">
        <is>
          <t>STRAWBEAR ENT</t>
        </is>
      </c>
      <c r="C12" s="71" t="inlineStr">
        <is>
          <t>稻草熊娛樂</t>
        </is>
      </c>
      <c r="D12" s="71" t="inlineStr">
        <is>
          <t>TMT-other</t>
        </is>
      </c>
      <c r="E12" s="71" t="inlineStr">
        <is>
          <t>Media / advertising</t>
        </is>
      </c>
      <c r="F12" s="71" t="inlineStr">
        <is>
          <t>Movies &amp; Entertainment</t>
        </is>
      </c>
      <c r="G12" s="71" t="inlineStr">
        <is>
          <t>Standard</t>
        </is>
      </c>
      <c r="H12" s="72" t="n">
        <v>44211</v>
      </c>
      <c r="I12" s="73" t="n">
        <v>974.8</v>
      </c>
      <c r="J12" s="71" t="inlineStr">
        <is>
          <t>gross (price x shares)</t>
        </is>
      </c>
      <c r="K12" s="74" t="n">
        <v>5.1</v>
      </c>
      <c r="L12" s="74" t="n">
        <v>6.16</v>
      </c>
      <c r="M12" s="74" t="n">
        <v>5.88</v>
      </c>
      <c r="N12" s="71" t="inlineStr">
        <is>
          <t>N</t>
        </is>
      </c>
      <c r="O12" s="75" t="n">
        <v>95.5</v>
      </c>
      <c r="P12" s="75" t="n">
        <v>73.59999999999999</v>
      </c>
      <c r="Q12" s="76" t="n">
        <v>3381.8</v>
      </c>
      <c r="R12" s="71" t="inlineStr">
        <is>
          <t>prospectus:stated market capitalisation</t>
        </is>
      </c>
      <c r="S12" s="77" t="n">
        <v>403.54</v>
      </c>
      <c r="T12" s="78" t="n">
        <v>13.41</v>
      </c>
      <c r="U12" s="79" t="n">
        <v>40</v>
      </c>
      <c r="V12" s="80" t="n">
        <v>233</v>
      </c>
      <c r="W12" s="75" t="n">
        <v>50</v>
      </c>
      <c r="X12" s="71" t="inlineStr">
        <is>
          <t>YES</t>
        </is>
      </c>
      <c r="Y12" s="76" t="n">
        <v>584.88</v>
      </c>
      <c r="Z12" s="76" t="n">
        <v>99468000</v>
      </c>
      <c r="AA12" s="75" t="n">
        <v>17.29</v>
      </c>
      <c r="AB12" s="71" t="inlineStr">
        <is>
          <t>Origin Flair Limited; Snow Lake Funds and Accounts; Vipshop International Holdings Limited</t>
        </is>
      </c>
      <c r="AC12" s="71" t="inlineStr">
        <is>
          <t>origin;snow;vipshop</t>
        </is>
      </c>
      <c r="AD12" s="75" t="n">
        <v>14.68</v>
      </c>
      <c r="AE12" s="71" t="inlineStr">
        <is>
          <t>full</t>
        </is>
      </c>
      <c r="AF12" s="71" t="inlineStr">
        <is>
          <t>2021-02-07</t>
        </is>
      </c>
      <c r="AG12" s="71" t="inlineStr">
        <is>
          <t>China Securities</t>
        </is>
      </c>
      <c r="AH12" s="71" t="inlineStr">
        <is>
          <t>China Securities</t>
        </is>
      </c>
      <c r="AI12" s="81" t="n"/>
      <c r="AJ12" s="82" t="n">
        <v>83.67</v>
      </c>
      <c r="AK12" s="82" t="n">
        <v>19.05</v>
      </c>
      <c r="AL12" s="82" t="n">
        <v>54.28</v>
      </c>
      <c r="AM12" s="83" t="n">
        <v>3.59</v>
      </c>
      <c r="AN12" s="75" t="n">
        <v>75.14</v>
      </c>
      <c r="AO12" s="82" t="n">
        <v>25.85</v>
      </c>
      <c r="AP12" s="82" t="n">
        <v>32.31</v>
      </c>
      <c r="AQ12" s="82" t="n">
        <v>130.95</v>
      </c>
      <c r="AR12" s="82" t="n">
        <v>-31.48</v>
      </c>
      <c r="AS12" s="82" t="n">
        <v>-27.96</v>
      </c>
      <c r="AT12" s="82" t="n">
        <v>25.74</v>
      </c>
      <c r="AU12" s="82" t="n">
        <v>22.51</v>
      </c>
      <c r="AV12" s="82" t="n">
        <v>23.23</v>
      </c>
      <c r="AW12" s="82" t="n">
        <v>130.51</v>
      </c>
      <c r="AX12" s="82" t="n">
        <v>-36.75</v>
      </c>
      <c r="AY12" s="82" t="n">
        <v>9.08</v>
      </c>
      <c r="AZ12" s="82" t="n">
        <v>8.789999999999999</v>
      </c>
      <c r="BA12" s="71" t="inlineStr">
        <is>
          <t>Hang Seng Index</t>
        </is>
      </c>
      <c r="BB12" s="82" t="n">
        <v>-95.15000000000001</v>
      </c>
      <c r="BC12" s="72" t="inlineStr">
        <is>
          <t>2026-09-23</t>
        </is>
      </c>
      <c r="BD12" s="73" t="n">
        <v>836.3</v>
      </c>
      <c r="BE12" s="76" t="n">
        <v>55.4</v>
      </c>
      <c r="BF12" s="71" t="inlineStr">
        <is>
          <t>Y</t>
        </is>
      </c>
      <c r="BG12" s="83" t="n">
        <v>61</v>
      </c>
      <c r="BH12" s="83" t="n"/>
      <c r="BI12" s="83" t="n"/>
      <c r="BJ12" s="83" t="n">
        <v>4</v>
      </c>
      <c r="BK12" s="84">
        <f>IF('BBG Verify'!S12="","not filed; run on terminal",'BBG Verify'!S12)</f>
        <v/>
      </c>
      <c r="BL12" s="85" t="inlineStr">
        <is>
          <t>N</t>
        </is>
      </c>
      <c r="BM12" s="86">
        <f>IF('BBG Verify'!K12="","not filed; run on terminal",'BBG Verify'!K12)</f>
        <v/>
      </c>
      <c r="BN12" s="71" t="inlineStr">
        <is>
          <t>N/A</t>
        </is>
      </c>
      <c r="BO12" s="71" t="inlineStr">
        <is>
          <t>N/A</t>
        </is>
      </c>
      <c r="BP12" s="71" t="inlineStr">
        <is>
          <t>N/A</t>
        </is>
      </c>
      <c r="BQ12" s="71" t="inlineStr">
        <is>
          <t>N/A</t>
        </is>
      </c>
      <c r="BR12" s="71" t="inlineStr">
        <is>
          <t>N/A</t>
        </is>
      </c>
      <c r="BS12" s="71" t="inlineStr">
        <is>
          <t>N/A</t>
        </is>
      </c>
      <c r="BT12" s="85" t="inlineStr">
        <is>
          <t>China Merchants Securities (HK) Co., Limited; China Securities (International) Corporate Finance Company Limited</t>
        </is>
      </c>
      <c r="BU12" s="71" t="inlineStr">
        <is>
          <t>China Securities (International) Corporate Finance Company Limited; China Merchants Securities (HK) Company Limited</t>
        </is>
      </c>
      <c r="BV12" s="71"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W12" s="71"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X12" s="87">
        <f>HYPERLINK("https://www1.hkexnews.hk/listedco/listconews/sehk/2020/1231/2020123100263.pdf","prospectus")</f>
        <v/>
      </c>
      <c r="BY12" s="87">
        <f>HYPERLINK("https://www1.hkexnews.hk/listedco/listconews/sehk/2021/0114/2021011400088.htm","allotment")</f>
        <v/>
      </c>
      <c r="BZ12" s="87">
        <f>HYPERLINK("https://www1.hkexnews.hk/listedco/listconews/sehk/2021/0207/2021020700085.pdf","stabilisation")</f>
        <v/>
      </c>
      <c r="CA12" s="85" t="n"/>
      <c r="CB12" s="71" t="inlineStr">
        <is>
          <t>cornerstone: table parse 80% rejected (institutional total implies 40%); the filed aggregate-amount sentence used; grey market: etnet's story of the session gave only the Phillip open (6.3, +7.1% vs offer) on 2021-01-14; no close was published</t>
        </is>
      </c>
    </row>
    <row r="13" ht="15" customHeight="1">
      <c r="A13" s="70" t="inlineStr">
        <is>
          <t>2158</t>
        </is>
      </c>
      <c r="B13" s="71" t="inlineStr">
        <is>
          <t>YIDU TECH</t>
        </is>
      </c>
      <c r="C13" s="71" t="inlineStr">
        <is>
          <t>醫渡科技</t>
        </is>
      </c>
      <c r="D13" s="71" t="inlineStr">
        <is>
          <t>Healthcare</t>
        </is>
      </c>
      <c r="E13" s="71" t="inlineStr">
        <is>
          <t>Digital health</t>
        </is>
      </c>
      <c r="F13" s="71" t="inlineStr">
        <is>
          <t>Health Care Services</t>
        </is>
      </c>
      <c r="G13" s="71" t="inlineStr">
        <is>
          <t>Standard</t>
        </is>
      </c>
      <c r="H13" s="72" t="n">
        <v>44211</v>
      </c>
      <c r="I13" s="73" t="n">
        <v>4114.6</v>
      </c>
      <c r="J13" s="71" t="inlineStr">
        <is>
          <t>gross (price x shares)</t>
        </is>
      </c>
      <c r="K13" s="74" t="n">
        <v>23.5</v>
      </c>
      <c r="L13" s="74" t="n">
        <v>26.3</v>
      </c>
      <c r="M13" s="74" t="n">
        <v>26.3</v>
      </c>
      <c r="N13" s="71" t="inlineStr">
        <is>
          <t>Y</t>
        </is>
      </c>
      <c r="O13" s="75" t="n">
        <v>100</v>
      </c>
      <c r="P13" s="75" t="n">
        <v>100</v>
      </c>
      <c r="Q13" s="76" t="n">
        <v>21154.8</v>
      </c>
      <c r="R13" s="71" t="inlineStr">
        <is>
          <t>derived:deal size / offer % of enlarged capital</t>
        </is>
      </c>
      <c r="S13" s="77" t="n">
        <v>1633.84</v>
      </c>
      <c r="T13" s="78" t="n">
        <v>33.4</v>
      </c>
      <c r="U13" s="79" t="n">
        <v>15.1</v>
      </c>
      <c r="V13" s="80" t="n">
        <v>267</v>
      </c>
      <c r="W13" s="75" t="n">
        <v>50</v>
      </c>
      <c r="X13" s="71" t="inlineStr">
        <is>
          <t>YES</t>
        </is>
      </c>
      <c r="Y13" s="76" t="n">
        <v>3493.3</v>
      </c>
      <c r="Z13" s="76" t="n">
        <v>132826050</v>
      </c>
      <c r="AA13" s="75" t="n">
        <v>16.51</v>
      </c>
      <c r="AB13" s="71" t="inlineStr">
        <is>
          <t>3W Fund Management Limited; China Orient Multi-Strategy Master Fund; CPP Investment Board PMI-2 Inc; Matthews Funds; OrbiMed Capital LLC; Tencent Mobility Limited; Velmar Company Limited</t>
        </is>
      </c>
      <c r="AC13" s="71" t="inlineStr">
        <is>
          <t>3w;orient;cpp;matthews;orbimed;tencent;velmar</t>
        </is>
      </c>
      <c r="AD13" s="75" t="n">
        <v>17.35</v>
      </c>
      <c r="AE13" s="71" t="inlineStr">
        <is>
          <t>full</t>
        </is>
      </c>
      <c r="AF13" s="71" t="inlineStr">
        <is>
          <t>2021-02-06</t>
        </is>
      </c>
      <c r="AG13" s="71" t="inlineStr">
        <is>
          <t>Goldman Sachs</t>
        </is>
      </c>
      <c r="AH13" s="71" t="inlineStr">
        <is>
          <t>Goldman Sachs</t>
        </is>
      </c>
      <c r="AI13" s="81" t="n">
        <v>121.48</v>
      </c>
      <c r="AJ13" s="82" t="n">
        <v>147.91</v>
      </c>
      <c r="AK13" s="82" t="n">
        <v>121.48</v>
      </c>
      <c r="AL13" s="82" t="n">
        <v>11.93</v>
      </c>
      <c r="AM13" s="83" t="n">
        <v>1.45</v>
      </c>
      <c r="AN13" s="75" t="n">
        <v>19.83</v>
      </c>
      <c r="AO13" s="82" t="n">
        <v>135.74</v>
      </c>
      <c r="AP13" s="82" t="n">
        <v>136.12</v>
      </c>
      <c r="AQ13" s="82" t="n">
        <v>38.78</v>
      </c>
      <c r="AR13" s="82" t="n">
        <v>-4.91</v>
      </c>
      <c r="AS13" s="82" t="n">
        <v>-4.76</v>
      </c>
      <c r="AT13" s="82" t="n">
        <v>-44.02</v>
      </c>
      <c r="AU13" s="82" t="n">
        <v>124.67</v>
      </c>
      <c r="AV13" s="82" t="n">
        <v>120.78</v>
      </c>
      <c r="AW13" s="82" t="n">
        <v>41.4</v>
      </c>
      <c r="AX13" s="82" t="n">
        <v>-20.56</v>
      </c>
      <c r="AY13" s="82" t="n">
        <v>15.34</v>
      </c>
      <c r="AZ13" s="82" t="n">
        <v>15.8</v>
      </c>
      <c r="BA13" s="71" t="inlineStr">
        <is>
          <t>China Biotech ETF (HS biotech proxy)</t>
        </is>
      </c>
      <c r="BB13" s="82" t="n">
        <v>-86.84</v>
      </c>
      <c r="BC13" s="72" t="inlineStr">
        <is>
          <t>2026-09-23</t>
        </is>
      </c>
      <c r="BD13" s="73" t="n">
        <v>613.9</v>
      </c>
      <c r="BE13" s="76" t="n"/>
      <c r="BF13" s="71" t="n"/>
      <c r="BG13" s="84">
        <f>IF('BBG Verify'!O13="","not filed; run on terminal",'BBG Verify'!O13)</f>
        <v/>
      </c>
      <c r="BH13" s="83" t="n"/>
      <c r="BI13" s="83" t="n">
        <v>51.4</v>
      </c>
      <c r="BJ13" s="83" t="n">
        <v>34.5</v>
      </c>
      <c r="BK13" s="84">
        <f>IF('BBG Verify'!S13="","not filed; run on terminal",'BBG Verify'!S13)</f>
        <v/>
      </c>
      <c r="BL13" s="85" t="inlineStr">
        <is>
          <t>N</t>
        </is>
      </c>
      <c r="BM13" s="86">
        <f>IF('BBG Verify'!K13="","not filed; run on terminal",'BBG Verify'!K13)</f>
        <v/>
      </c>
      <c r="BN13" s="71" t="inlineStr">
        <is>
          <t>N/A</t>
        </is>
      </c>
      <c r="BO13" s="71" t="inlineStr">
        <is>
          <t>N/A</t>
        </is>
      </c>
      <c r="BP13" s="71" t="inlineStr">
        <is>
          <t>N/A</t>
        </is>
      </c>
      <c r="BQ13" s="71" t="inlineStr">
        <is>
          <t>N/A</t>
        </is>
      </c>
      <c r="BR13" s="71" t="inlineStr">
        <is>
          <t>N/A</t>
        </is>
      </c>
      <c r="BS13" s="71" t="inlineStr">
        <is>
          <t>N/A</t>
        </is>
      </c>
      <c r="BT13" s="85" t="inlineStr">
        <is>
          <t>Goldman Sachs (Asia) L.L.C; China International Capital Corporation Hong Kong Securities Limited</t>
        </is>
      </c>
      <c r="BU13" s="71" t="inlineStr">
        <is>
          <t>China International Capital Corporation Hong Kong Securities Limited; Goldman Sachs (Asia) L.L.C.</t>
        </is>
      </c>
      <c r="BV13" s="71" t="inlineStr">
        <is>
          <t>Goldman Sachs (Asia) L.L.C; China International Capital Corporation Hong Kong Securities Limited; Citigroup Global Markets Asia Limited; Citigroup Global Markets Limited</t>
        </is>
      </c>
      <c r="BW13" s="71" t="inlineStr">
        <is>
          <t>Citigroup Global Markets Asia Limited; China International Capital Corporation Hong Kong Securities Limited; China Merchants Securities (HK) Company Limited; Goldman Sachs (Asia) L.L.C.</t>
        </is>
      </c>
      <c r="BX13" s="87">
        <f>HYPERLINK("https://www1.hkexnews.hk/listedco/listconews/sehk/2020/1231/2020123100119.pdf","prospectus")</f>
        <v/>
      </c>
      <c r="BY13" s="87">
        <f>HYPERLINK("https://www1.hkexnews.hk/listedco/listconews/sehk/2021/0114/2021011400064.htm","allotment")</f>
        <v/>
      </c>
      <c r="BZ13" s="87">
        <f>HYPERLINK("https://www1.hkexnews.hk/listedco/listconews/sehk/2021/0207/2021020700079.pdf","stabilisation")</f>
        <v/>
      </c>
      <c r="CA13" s="85" t="n"/>
      <c r="CB13" s="71" t="inlineStr">
        <is>
          <t>P/E: net income not extractable; market cap: prospectus 'market capitalisation' line is the listing-rule threshold, not the issuer's figure; rejected; financials: not extractable; pre-IPO year outside the AAStocks window</t>
        </is>
      </c>
    </row>
    <row r="14" ht="15" customHeight="1">
      <c r="A14" s="70" t="inlineStr">
        <is>
          <t>1490</t>
        </is>
      </c>
      <c r="B14" s="71" t="inlineStr">
        <is>
          <t>CHESHI</t>
        </is>
      </c>
      <c r="C14" s="71" t="inlineStr">
        <is>
          <t>AI X TECH</t>
        </is>
      </c>
      <c r="D14" s="71" t="inlineStr">
        <is>
          <t>TMT-other</t>
        </is>
      </c>
      <c r="E14" s="71" t="inlineStr">
        <is>
          <t>Media / advertising</t>
        </is>
      </c>
      <c r="F14" s="71" t="inlineStr">
        <is>
          <t>Advertising</t>
        </is>
      </c>
      <c r="G14" s="71" t="inlineStr">
        <is>
          <t>Standard</t>
        </is>
      </c>
      <c r="H14" s="72" t="n">
        <v>44211</v>
      </c>
      <c r="I14" s="73" t="n">
        <v>250.9</v>
      </c>
      <c r="J14" s="71" t="inlineStr">
        <is>
          <t>gross (price x shares)</t>
        </is>
      </c>
      <c r="K14" s="74" t="n"/>
      <c r="L14" s="74" t="n">
        <v>1.23</v>
      </c>
      <c r="M14" s="74" t="n">
        <v>1.23</v>
      </c>
      <c r="N14" s="71" t="inlineStr">
        <is>
          <t>Y</t>
        </is>
      </c>
      <c r="O14" s="75" t="n">
        <v>100</v>
      </c>
      <c r="P14" s="75" t="n"/>
      <c r="Q14" s="76" t="n">
        <v>1456.8</v>
      </c>
      <c r="R14" s="71" t="inlineStr">
        <is>
          <t>aastocks:上市市值 at the struck price</t>
        </is>
      </c>
      <c r="S14" s="77" t="n">
        <v>1274.76</v>
      </c>
      <c r="T14" s="78" t="n">
        <v>21.7</v>
      </c>
      <c r="U14" s="79" t="n">
        <v>36.4</v>
      </c>
      <c r="V14" s="80" t="n">
        <v>204</v>
      </c>
      <c r="W14" s="75" t="n">
        <v>50</v>
      </c>
      <c r="X14" s="71" t="inlineStr">
        <is>
          <t>YES</t>
        </is>
      </c>
      <c r="Y14" s="76" t="n">
        <v>159.57</v>
      </c>
      <c r="Z14" s="76" t="n">
        <v>129744000</v>
      </c>
      <c r="AA14" s="75" t="n">
        <v>10.95</v>
      </c>
      <c r="AB14" s="71" t="inlineStr">
        <is>
          <t>Coast Flagship Investment SPC; Goldstream Capital Management Limited; Huatai Financial Holdings (Hong Kong) Limited; Shimmering Skyline L.P</t>
        </is>
      </c>
      <c r="AC14" s="71" t="inlineStr">
        <is>
          <t>coast;goldstream;huatai;shimmering</t>
        </is>
      </c>
      <c r="AD14" s="75" t="n"/>
      <c r="AE14" s="71" t="inlineStr">
        <is>
          <t>full</t>
        </is>
      </c>
      <c r="AF14" s="71" t="inlineStr">
        <is>
          <t>2021-02-07</t>
        </is>
      </c>
      <c r="AG14" s="71" t="inlineStr">
        <is>
          <t>ABCI Securities Company Limited</t>
        </is>
      </c>
      <c r="AH14" s="71" t="inlineStr">
        <is>
          <t>ABCI</t>
        </is>
      </c>
      <c r="AI14" s="81" t="n"/>
      <c r="AJ14" s="82" t="n">
        <v>21.95</v>
      </c>
      <c r="AK14" s="82" t="n">
        <v>38.21</v>
      </c>
      <c r="AL14" s="82" t="n">
        <v>-11.76</v>
      </c>
      <c r="AM14" s="83" t="n">
        <v>2.8</v>
      </c>
      <c r="AN14" s="75" t="n">
        <v>19.41</v>
      </c>
      <c r="AO14" s="82" t="n">
        <v>10.57</v>
      </c>
      <c r="AP14" s="82" t="n">
        <v>8.130000000000001</v>
      </c>
      <c r="AQ14" s="82" t="n">
        <v>21.14</v>
      </c>
      <c r="AR14" s="82" t="n">
        <v>-9.33</v>
      </c>
      <c r="AS14" s="82" t="n">
        <v>-11.33</v>
      </c>
      <c r="AT14" s="82" t="n">
        <v>-0.66</v>
      </c>
      <c r="AU14" s="82" t="n">
        <v>7.23</v>
      </c>
      <c r="AV14" s="82" t="n">
        <v>-0.95</v>
      </c>
      <c r="AW14" s="82" t="n">
        <v>20.7</v>
      </c>
      <c r="AX14" s="82" t="n">
        <v>-20.12</v>
      </c>
      <c r="AY14" s="82" t="n">
        <v>9.08</v>
      </c>
      <c r="AZ14" s="82" t="n">
        <v>8.789999999999999</v>
      </c>
      <c r="BA14" s="71" t="inlineStr">
        <is>
          <t>Hang Seng Index</t>
        </is>
      </c>
      <c r="BB14" s="82" t="n">
        <v>-79.67</v>
      </c>
      <c r="BC14" s="72" t="inlineStr">
        <is>
          <t>2026-09-23</t>
        </is>
      </c>
      <c r="BD14" s="73" t="n"/>
      <c r="BE14" s="76" t="n">
        <v>52.4</v>
      </c>
      <c r="BF14" s="71" t="inlineStr">
        <is>
          <t>Y</t>
        </is>
      </c>
      <c r="BG14" s="83" t="n">
        <v>27.8</v>
      </c>
      <c r="BH14" s="83" t="n">
        <v>15.1</v>
      </c>
      <c r="BI14" s="83" t="n"/>
      <c r="BJ14" s="83" t="n"/>
      <c r="BK14" s="84">
        <f>IF('BBG Verify'!S14="","not filed; run on terminal",'BBG Verify'!S14)</f>
        <v/>
      </c>
      <c r="BL14" s="85" t="inlineStr">
        <is>
          <t>N</t>
        </is>
      </c>
      <c r="BM14" s="86">
        <f>IF('BBG Verify'!K14="","not filed; run on terminal",'BBG Verify'!K14)</f>
        <v/>
      </c>
      <c r="BN14" s="71" t="inlineStr">
        <is>
          <t>N/A</t>
        </is>
      </c>
      <c r="BO14" s="71" t="inlineStr">
        <is>
          <t>N/A</t>
        </is>
      </c>
      <c r="BP14" s="71" t="inlineStr">
        <is>
          <t>N/A</t>
        </is>
      </c>
      <c r="BQ14" s="71" t="inlineStr">
        <is>
          <t>N/A</t>
        </is>
      </c>
      <c r="BR14" s="71" t="inlineStr">
        <is>
          <t>N/A</t>
        </is>
      </c>
      <c r="BS14" s="71" t="inlineStr">
        <is>
          <t>N/A</t>
        </is>
      </c>
      <c r="BT14" s="85" t="n"/>
      <c r="BU14" s="71" t="inlineStr">
        <is>
          <t>ABCI Capital Limited</t>
        </is>
      </c>
      <c r="BV14" s="71" t="inlineStr">
        <is>
          <t>ABCI Securities Company Limited; Alpha International Securities (HK) Limited; Beta International Securities Limited; China Sky Securities Limited; Fosun Hani Securities Limited; Futu Securities International (Hong Kong) Limited</t>
        </is>
      </c>
      <c r="BW14" s="71"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X14" s="87">
        <f>HYPERLINK("https://www1.hkexnews.hk/listedco/listconews/sehk/2020/1231/2020123100280.htm","prospectus")</f>
        <v/>
      </c>
      <c r="BY14" s="87">
        <f>HYPERLINK("https://www1.hkexnews.hk/listedco/listconews/sehk/2021/0114/2021011400106.htm","allotment")</f>
        <v/>
      </c>
      <c r="BZ14" s="87">
        <f>HYPERLINK("https://www1.hkexnews.hk/listedco/listconews/sehk/2021/0207/2021020700025.pdf","stabilisation")</f>
        <v/>
      </c>
      <c r="CA14" s="85" t="n"/>
      <c r="CB14" s="71"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etnet's story of the session gave only the Phillip open (2.0, +62.6% vs offer) on 2021-01-14; no close was published</t>
        </is>
      </c>
    </row>
    <row r="15" ht="15" customHeight="1">
      <c r="A15" s="70" t="inlineStr">
        <is>
          <t>9608</t>
        </is>
      </c>
      <c r="B15" s="71" t="inlineStr">
        <is>
          <t>SUNDY SERVICE</t>
        </is>
      </c>
      <c r="C15" s="71" t="inlineStr">
        <is>
          <t>宋都服務</t>
        </is>
      </c>
      <c r="D15" s="71" t="inlineStr">
        <is>
          <t>Real Estate</t>
        </is>
      </c>
      <c r="E15" s="71" t="inlineStr">
        <is>
          <t>Property management</t>
        </is>
      </c>
      <c r="F15" s="71" t="inlineStr">
        <is>
          <t>Property Service and Management</t>
        </is>
      </c>
      <c r="G15" s="71" t="inlineStr">
        <is>
          <t>Standard</t>
        </is>
      </c>
      <c r="H15" s="72" t="n">
        <v>44214</v>
      </c>
      <c r="I15" s="73" t="n">
        <v>200</v>
      </c>
      <c r="J15" s="71" t="inlineStr">
        <is>
          <t>gross (price x shares)</t>
        </is>
      </c>
      <c r="K15" s="74" t="n">
        <v>0.21</v>
      </c>
      <c r="L15" s="74" t="n">
        <v>0.29</v>
      </c>
      <c r="M15" s="74" t="n">
        <v>0.25</v>
      </c>
      <c r="N15" s="71" t="inlineStr">
        <is>
          <t>N</t>
        </is>
      </c>
      <c r="O15" s="75" t="n">
        <v>86.2</v>
      </c>
      <c r="P15" s="75" t="n">
        <v>50</v>
      </c>
      <c r="Q15" s="76" t="n">
        <v>672</v>
      </c>
      <c r="R15" s="71" t="inlineStr">
        <is>
          <t>prospectus:stated market capitalisation</t>
        </is>
      </c>
      <c r="S15" s="77" t="n">
        <v>25.24</v>
      </c>
      <c r="T15" s="78" t="n">
        <v>1.31</v>
      </c>
      <c r="U15" s="79" t="n">
        <v>14.88</v>
      </c>
      <c r="V15" s="80" t="n">
        <v>87</v>
      </c>
      <c r="W15" s="75" t="n">
        <v>30</v>
      </c>
      <c r="X15" s="71" t="inlineStr">
        <is>
          <t>YES</t>
        </is>
      </c>
      <c r="Y15" s="76" t="n">
        <v>170.24</v>
      </c>
      <c r="Z15" s="76" t="n">
        <v>680960000</v>
      </c>
      <c r="AA15" s="75" t="n">
        <v>25.33</v>
      </c>
      <c r="AB15" s="71" t="inlineStr">
        <is>
          <t>Jiu Rong Holdings Limited</t>
        </is>
      </c>
      <c r="AC15" s="71" t="inlineStr">
        <is>
          <t>jiu</t>
        </is>
      </c>
      <c r="AD15" s="75" t="n">
        <v>5</v>
      </c>
      <c r="AE15" s="71" t="inlineStr">
        <is>
          <t>lapsed (no over-allocation)</t>
        </is>
      </c>
      <c r="AF15" s="71" t="inlineStr">
        <is>
          <t>2021-02-06</t>
        </is>
      </c>
      <c r="AG15" s="71" t="inlineStr">
        <is>
          <t>Elstone Securities Limited</t>
        </is>
      </c>
      <c r="AH15" s="71" t="inlineStr">
        <is>
          <t>Elstone</t>
        </is>
      </c>
      <c r="AI15" s="81" t="n"/>
      <c r="AJ15" s="82" t="n">
        <v>-36</v>
      </c>
      <c r="AK15" s="82" t="n">
        <v>-10</v>
      </c>
      <c r="AL15" s="82" t="n">
        <v>-28.89</v>
      </c>
      <c r="AM15" s="83" t="n">
        <v>2.23</v>
      </c>
      <c r="AN15" s="75" t="n">
        <v>30.67</v>
      </c>
      <c r="AO15" s="82" t="n">
        <v>-48</v>
      </c>
      <c r="AP15" s="82" t="n">
        <v>-50.4</v>
      </c>
      <c r="AQ15" s="82" t="n">
        <v>-52.4</v>
      </c>
      <c r="AR15" s="82" t="n">
        <v>-18.75</v>
      </c>
      <c r="AS15" s="82" t="n">
        <v>-22.5</v>
      </c>
      <c r="AT15" s="82" t="n">
        <v>-25.63</v>
      </c>
      <c r="AU15" s="82" t="n">
        <v>-49.1</v>
      </c>
      <c r="AV15" s="82" t="n">
        <v>-52.84</v>
      </c>
      <c r="AW15" s="82" t="n">
        <v>-63.17</v>
      </c>
      <c r="AX15" s="82" t="n">
        <v>-24.39</v>
      </c>
      <c r="AY15" s="82" t="n">
        <v>2.44</v>
      </c>
      <c r="AZ15" s="82" t="n">
        <v>1.89</v>
      </c>
      <c r="BA15" s="71" t="inlineStr">
        <is>
          <t>Hang Seng Properties sub-index</t>
        </is>
      </c>
      <c r="BB15" s="82" t="n">
        <v>-80.8</v>
      </c>
      <c r="BC15" s="72" t="inlineStr">
        <is>
          <t>2026-09-23</t>
        </is>
      </c>
      <c r="BD15" s="73" t="n">
        <v>244.7</v>
      </c>
      <c r="BE15" s="76" t="n">
        <v>38.8</v>
      </c>
      <c r="BF15" s="71" t="inlineStr">
        <is>
          <t>Y</t>
        </is>
      </c>
      <c r="BG15" s="83" t="n">
        <v>17.3</v>
      </c>
      <c r="BH15" s="83" t="n"/>
      <c r="BI15" s="83" t="n">
        <v>9.300000000000001</v>
      </c>
      <c r="BJ15" s="83" t="n">
        <v>2.7</v>
      </c>
      <c r="BK15" s="84">
        <f>IF('BBG Verify'!S15="","not filed; run on terminal",'BBG Verify'!S15)</f>
        <v/>
      </c>
      <c r="BL15" s="85" t="inlineStr">
        <is>
          <t>N</t>
        </is>
      </c>
      <c r="BM15" s="86">
        <f>IF('BBG Verify'!K15="","not filed; run on terminal",'BBG Verify'!K15)</f>
        <v/>
      </c>
      <c r="BN15" s="71" t="inlineStr">
        <is>
          <t>N/A</t>
        </is>
      </c>
      <c r="BO15" s="71" t="inlineStr">
        <is>
          <t>N/A</t>
        </is>
      </c>
      <c r="BP15" s="71" t="inlineStr">
        <is>
          <t>N/A</t>
        </is>
      </c>
      <c r="BQ15" s="71" t="inlineStr">
        <is>
          <t>N/A</t>
        </is>
      </c>
      <c r="BR15" s="71" t="inlineStr">
        <is>
          <t>N/A</t>
        </is>
      </c>
      <c r="BS15" s="71" t="inlineStr">
        <is>
          <t>N/A</t>
        </is>
      </c>
      <c r="BT15" s="85" t="inlineStr">
        <is>
          <t>Cinda International Capital Limited</t>
        </is>
      </c>
      <c r="BU15" s="71" t="inlineStr">
        <is>
          <t>Cinda International Capital Limited</t>
        </is>
      </c>
      <c r="BV15" s="71" t="inlineStr">
        <is>
          <t>Cinda International Capital Limited; Elstone Securities Limited; CCB International Capital Limited; Crosby Securities Limited</t>
        </is>
      </c>
      <c r="BW15" s="71"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X15" s="87">
        <f>HYPERLINK("https://www1.hkexnews.hk/listedco/listconews/sehk/2020/1231/2020123100097.pdf","prospectus")</f>
        <v/>
      </c>
      <c r="BY15" s="87">
        <f>HYPERLINK("https://www1.hkexnews.hk/listedco/listconews/sehk/2021/0115/2021011500020.htm","allotment")</f>
        <v/>
      </c>
      <c r="BZ15" s="87">
        <f>HYPERLINK("https://www1.hkexnews.hk/listedco/listconews/sehk/2021/0208/2021020800187.pdf","stabilisation")</f>
        <v/>
      </c>
      <c r="CA15" s="85" t="n"/>
      <c r="CB15" s="71" t="inlineStr">
        <is>
          <t>grey market: etnet's story of the session gave only the Phillip open (0.255, +2.0% vs offer) on 2021-01-15; no close was published</t>
        </is>
      </c>
    </row>
    <row r="16" ht="15" customHeight="1">
      <c r="A16" s="70" t="inlineStr">
        <is>
          <t>2159</t>
        </is>
      </c>
      <c r="B16" s="71" t="inlineStr">
        <is>
          <t>MEDIWELCOME</t>
        </is>
      </c>
      <c r="C16" s="71" t="inlineStr">
        <is>
          <t>麥迪衛康</t>
        </is>
      </c>
      <c r="D16" s="71" t="inlineStr">
        <is>
          <t>Healthcare</t>
        </is>
      </c>
      <c r="E16" s="71" t="inlineStr">
        <is>
          <t>Digital health</t>
        </is>
      </c>
      <c r="F16" s="71" t="inlineStr">
        <is>
          <t>Health Care Services</t>
        </is>
      </c>
      <c r="G16" s="71" t="inlineStr">
        <is>
          <t>Standard</t>
        </is>
      </c>
      <c r="H16" s="72" t="n">
        <v>44215</v>
      </c>
      <c r="I16" s="73" t="n">
        <v>150</v>
      </c>
      <c r="J16" s="71" t="inlineStr">
        <is>
          <t>gross (price x shares)</t>
        </is>
      </c>
      <c r="K16" s="74" t="n">
        <v>3</v>
      </c>
      <c r="L16" s="74" t="n">
        <v>4</v>
      </c>
      <c r="M16" s="74" t="n">
        <v>3</v>
      </c>
      <c r="N16" s="71" t="inlineStr">
        <is>
          <t>N</t>
        </is>
      </c>
      <c r="O16" s="75" t="n">
        <v>75</v>
      </c>
      <c r="P16" s="75" t="n">
        <v>0</v>
      </c>
      <c r="Q16" s="76" t="n">
        <v>750</v>
      </c>
      <c r="R16" s="71" t="inlineStr">
        <is>
          <t>aastocks:上市市值 at the struck price</t>
        </is>
      </c>
      <c r="S16" s="77" t="n">
        <v>168.75</v>
      </c>
      <c r="T16" s="78" t="n">
        <v>1.13</v>
      </c>
      <c r="U16" s="79" t="n">
        <v>0</v>
      </c>
      <c r="V16" s="80" t="n">
        <v>205</v>
      </c>
      <c r="W16" s="75" t="n">
        <v>50</v>
      </c>
      <c r="X16" s="71" t="inlineStr">
        <is>
          <t>YES</t>
        </is>
      </c>
      <c r="Y16" s="76" t="n">
        <v>150</v>
      </c>
      <c r="Z16" s="76" t="n">
        <v>50000000</v>
      </c>
      <c r="AA16" s="75" t="n">
        <v>20</v>
      </c>
      <c r="AB16" s="71" t="n"/>
      <c r="AC16" s="71" t="n"/>
      <c r="AD16" s="75" t="n">
        <v>15</v>
      </c>
      <c r="AE16" s="71" t="inlineStr">
        <is>
          <t>lapsed</t>
        </is>
      </c>
      <c r="AF16" s="71" t="n"/>
      <c r="AG16" s="71" t="n"/>
      <c r="AH16" s="71" t="n"/>
      <c r="AI16" s="81" t="n"/>
      <c r="AJ16" s="82" t="n">
        <v>26.33</v>
      </c>
      <c r="AK16" s="82" t="n">
        <v>33.33</v>
      </c>
      <c r="AL16" s="82" t="n">
        <v>-5.25</v>
      </c>
      <c r="AM16" s="83" t="n">
        <v>4.02</v>
      </c>
      <c r="AN16" s="75" t="n">
        <v>30.25</v>
      </c>
      <c r="AO16" s="82" t="n">
        <v>24.67</v>
      </c>
      <c r="AP16" s="82" t="n">
        <v>22.67</v>
      </c>
      <c r="AQ16" s="82" t="n">
        <v>-8.33</v>
      </c>
      <c r="AR16" s="82" t="n">
        <v>-1.31</v>
      </c>
      <c r="AS16" s="82" t="n">
        <v>-2.9</v>
      </c>
      <c r="AT16" s="82" t="n">
        <v>-27.44</v>
      </c>
      <c r="AU16" s="82" t="n">
        <v>17.7</v>
      </c>
      <c r="AV16" s="82" t="n">
        <v>14.24</v>
      </c>
      <c r="AW16" s="82" t="n">
        <v>-9.49</v>
      </c>
      <c r="AX16" s="82" t="n">
        <v>-10.16</v>
      </c>
      <c r="AY16" s="82" t="n">
        <v>8.43</v>
      </c>
      <c r="AZ16" s="82" t="n">
        <v>7.26</v>
      </c>
      <c r="BA16" s="71" t="inlineStr">
        <is>
          <t>China Biotech ETF (HS biotech proxy)</t>
        </is>
      </c>
      <c r="BB16" s="82" t="n">
        <v>-43</v>
      </c>
      <c r="BC16" s="72" t="inlineStr">
        <is>
          <t>2026-09-23</t>
        </is>
      </c>
      <c r="BD16" s="73" t="n">
        <v>469.9</v>
      </c>
      <c r="BE16" s="76" t="n">
        <v>28.6</v>
      </c>
      <c r="BF16" s="71" t="inlineStr">
        <is>
          <t>Y</t>
        </is>
      </c>
      <c r="BG16" s="83" t="n">
        <v>26.2</v>
      </c>
      <c r="BH16" s="83" t="n"/>
      <c r="BI16" s="83" t="n">
        <v>10.6</v>
      </c>
      <c r="BJ16" s="83" t="n">
        <v>1.6</v>
      </c>
      <c r="BK16" s="84">
        <f>IF('BBG Verify'!S16="","not filed; run on terminal",'BBG Verify'!S16)</f>
        <v/>
      </c>
      <c r="BL16" s="85" t="inlineStr">
        <is>
          <t>N</t>
        </is>
      </c>
      <c r="BM16" s="86">
        <f>IF('BBG Verify'!K16="","not filed; run on terminal",'BBG Verify'!K16)</f>
        <v/>
      </c>
      <c r="BN16" s="71" t="inlineStr">
        <is>
          <t>N/A</t>
        </is>
      </c>
      <c r="BO16" s="71" t="inlineStr">
        <is>
          <t>N/A</t>
        </is>
      </c>
      <c r="BP16" s="71" t="inlineStr">
        <is>
          <t>N/A</t>
        </is>
      </c>
      <c r="BQ16" s="71" t="inlineStr">
        <is>
          <t>N/A</t>
        </is>
      </c>
      <c r="BR16" s="71" t="inlineStr">
        <is>
          <t>N/A</t>
        </is>
      </c>
      <c r="BS16" s="71" t="inlineStr">
        <is>
          <t>N/A</t>
        </is>
      </c>
      <c r="BT16" s="85" t="inlineStr">
        <is>
          <t>CEB International Capital Corporation Limited</t>
        </is>
      </c>
      <c r="BU16" s="71" t="inlineStr">
        <is>
          <t>CEB International Capital Corporation Limited</t>
        </is>
      </c>
      <c r="BV16" s="71" t="inlineStr">
        <is>
          <t>CEB International Capital Corporation Limited; Aristo Securities Limited; BOCOM International Securities Limited; CMBC Securities Company Limited; SPDB International Capital Limited</t>
        </is>
      </c>
      <c r="BW16" s="71" t="inlineStr">
        <is>
          <t>Aristo Securities Limited; Beta International Securities Limited; CEB International Capital Corporation Limited; CMBC Securities Company Limited; Ruibang Securities Limited; SPDB International Capital Limited; Wonderland International Securities Limited</t>
        </is>
      </c>
      <c r="BX16" s="87">
        <f>HYPERLINK("https://www1.hkexnews.hk/listedco/listconews/sehk/2020/1231/2020123100137.pdf","prospectus")</f>
        <v/>
      </c>
      <c r="BY16" s="87">
        <f>HYPERLINK("https://www1.hkexnews.hk/listedco/listconews/sehk/2021/0118/2021011800013.htm","allotment")</f>
        <v/>
      </c>
      <c r="BZ16" s="87">
        <f>HYPERLINK("https://www1.hkexnews.hk/listedco/listconews/sehk/2021/0209/2021020900406.pdf","stabilisation")</f>
        <v/>
      </c>
      <c r="CA16" s="85" t="n"/>
      <c r="CB16" s="71"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etnet's story of the session gave only the Phillip open (3.2, +6.7% vs offer) on 2021-01-18; no close was published</t>
        </is>
      </c>
    </row>
    <row r="17" ht="15" customHeight="1">
      <c r="A17" s="70" t="inlineStr">
        <is>
          <t>6668</t>
        </is>
      </c>
      <c r="B17" s="71" t="inlineStr">
        <is>
          <t>E-STAR CM</t>
        </is>
      </c>
      <c r="C17" s="71" t="inlineStr">
        <is>
          <t>星盛商業</t>
        </is>
      </c>
      <c r="D17" s="71" t="inlineStr">
        <is>
          <t>Real Estate</t>
        </is>
      </c>
      <c r="E17" s="71" t="inlineStr">
        <is>
          <t>Property management</t>
        </is>
      </c>
      <c r="F17" s="71" t="inlineStr">
        <is>
          <t>Property Service and Management</t>
        </is>
      </c>
      <c r="G17" s="71" t="inlineStr">
        <is>
          <t>Standard</t>
        </is>
      </c>
      <c r="H17" s="72" t="n">
        <v>44222</v>
      </c>
      <c r="I17" s="73" t="n">
        <v>965</v>
      </c>
      <c r="J17" s="71" t="inlineStr">
        <is>
          <t>gross (price x shares)</t>
        </is>
      </c>
      <c r="K17" s="74" t="n">
        <v>3.2</v>
      </c>
      <c r="L17" s="74" t="n">
        <v>3.88</v>
      </c>
      <c r="M17" s="74" t="n">
        <v>3.86</v>
      </c>
      <c r="N17" s="71" t="inlineStr">
        <is>
          <t>N</t>
        </is>
      </c>
      <c r="O17" s="75" t="n">
        <v>99.5</v>
      </c>
      <c r="P17" s="75" t="n">
        <v>97.09999999999999</v>
      </c>
      <c r="Q17" s="76" t="n">
        <v>3482.5</v>
      </c>
      <c r="R17" s="71" t="inlineStr">
        <is>
          <t>derived:deal size / offer % of enlarged capital</t>
        </is>
      </c>
      <c r="S17" s="77" t="n">
        <v>756.85</v>
      </c>
      <c r="T17" s="78" t="n">
        <v>9</v>
      </c>
      <c r="U17" s="79" t="n">
        <v>32</v>
      </c>
      <c r="V17" s="80" t="n">
        <v>167</v>
      </c>
      <c r="W17" s="75" t="n">
        <v>50</v>
      </c>
      <c r="X17" s="71" t="inlineStr">
        <is>
          <t>YES</t>
        </is>
      </c>
      <c r="Y17" s="76" t="n">
        <v>656.2</v>
      </c>
      <c r="Z17" s="76" t="n">
        <v>170000000</v>
      </c>
      <c r="AA17" s="75" t="n">
        <v>18.84</v>
      </c>
      <c r="AB17" s="71" t="inlineStr">
        <is>
          <t>Pilgrim Ever Project Company Limited; SCGC Capital Holding Company Limited; Shenzhen Qichang Investment Holding Limited; Virtues Origin SPC</t>
        </is>
      </c>
      <c r="AC17" s="71" t="inlineStr">
        <is>
          <t>pilgrim;scgc;shenzhen-qichang;virtues</t>
        </is>
      </c>
      <c r="AD17" s="75" t="n">
        <v>8</v>
      </c>
      <c r="AE17" s="71" t="inlineStr">
        <is>
          <t>partial</t>
        </is>
      </c>
      <c r="AF17" s="71" t="inlineStr">
        <is>
          <t>2021-02-18</t>
        </is>
      </c>
      <c r="AG17" s="71" t="inlineStr">
        <is>
          <t>CCB International Capital Limited</t>
        </is>
      </c>
      <c r="AH17" s="71" t="inlineStr">
        <is>
          <t>CCB</t>
        </is>
      </c>
      <c r="AI17" s="81" t="n">
        <v>21.5</v>
      </c>
      <c r="AJ17" s="82" t="n">
        <v>3.63</v>
      </c>
      <c r="AK17" s="82" t="n">
        <v>13.99</v>
      </c>
      <c r="AL17" s="82" t="n">
        <v>-9.09</v>
      </c>
      <c r="AM17" s="83" t="n">
        <v>1.51</v>
      </c>
      <c r="AN17" s="75" t="n">
        <v>14.09</v>
      </c>
      <c r="AO17" s="82" t="n">
        <v>3.11</v>
      </c>
      <c r="AP17" s="82" t="n">
        <v>-8.029999999999999</v>
      </c>
      <c r="AQ17" s="82" t="n">
        <v>16.58</v>
      </c>
      <c r="AR17" s="82" t="n">
        <v>-0.5</v>
      </c>
      <c r="AS17" s="82" t="n">
        <v>-11.25</v>
      </c>
      <c r="AT17" s="82" t="n">
        <v>12.5</v>
      </c>
      <c r="AU17" s="82" t="n">
        <v>5.99</v>
      </c>
      <c r="AV17" s="82" t="n">
        <v>-16.36</v>
      </c>
      <c r="AW17" s="82" t="n">
        <v>8.76</v>
      </c>
      <c r="AX17" s="82" t="n">
        <v>-19.34</v>
      </c>
      <c r="AY17" s="82" t="n">
        <v>8.33</v>
      </c>
      <c r="AZ17" s="82" t="n">
        <v>8.09</v>
      </c>
      <c r="BA17" s="71" t="inlineStr">
        <is>
          <t>Hang Seng Properties sub-index</t>
        </is>
      </c>
      <c r="BB17" s="82" t="n">
        <v>-63.47</v>
      </c>
      <c r="BC17" s="72" t="inlineStr">
        <is>
          <t>2026-09-23</t>
        </is>
      </c>
      <c r="BD17" s="73" t="n">
        <v>426</v>
      </c>
      <c r="BE17" s="76" t="n"/>
      <c r="BF17" s="71" t="n"/>
      <c r="BG17" s="84">
        <f>IF('BBG Verify'!O17="","not filed; run on terminal",'BBG Verify'!O17)</f>
        <v/>
      </c>
      <c r="BH17" s="83" t="n"/>
      <c r="BI17" s="83" t="n">
        <v>7.9</v>
      </c>
      <c r="BJ17" s="83" t="n">
        <v>8.199999999999999</v>
      </c>
      <c r="BK17" s="84">
        <f>IF('BBG Verify'!S17="","not filed; run on terminal",'BBG Verify'!S17)</f>
        <v/>
      </c>
      <c r="BL17" s="85" t="inlineStr">
        <is>
          <t>N</t>
        </is>
      </c>
      <c r="BM17" s="86">
        <f>IF('BBG Verify'!K17="","not filed; run on terminal",'BBG Verify'!K17)</f>
        <v/>
      </c>
      <c r="BN17" s="71" t="inlineStr">
        <is>
          <t>N/A</t>
        </is>
      </c>
      <c r="BO17" s="71" t="inlineStr">
        <is>
          <t>N/A</t>
        </is>
      </c>
      <c r="BP17" s="71" t="inlineStr">
        <is>
          <t>N/A</t>
        </is>
      </c>
      <c r="BQ17" s="71" t="inlineStr">
        <is>
          <t>N/A</t>
        </is>
      </c>
      <c r="BR17" s="71" t="inlineStr">
        <is>
          <t>N/A</t>
        </is>
      </c>
      <c r="BS17" s="71" t="inlineStr">
        <is>
          <t>N/A</t>
        </is>
      </c>
      <c r="BT17" s="85" t="inlineStr">
        <is>
          <t>CCB International Capital Limited; China Securities (International) Corporate Finance Company Limited</t>
        </is>
      </c>
      <c r="BU17" s="71" t="inlineStr">
        <is>
          <t>CCB International Capital Limited; China Securities (International) Corporate Finance Company Limited</t>
        </is>
      </c>
      <c r="BV17" s="71"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W17" s="71"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X17" s="87">
        <f>HYPERLINK("https://www1.hkexnews.hk/listedco/listconews/sehk/2021/0114/2021011400003.pdf","prospectus")</f>
        <v/>
      </c>
      <c r="BY17" s="87">
        <f>HYPERLINK("https://www1.hkexnews.hk/listedco/listconews/sehk/2021/0125/2021012500004.htm","allotment")</f>
        <v/>
      </c>
      <c r="BZ17" s="87">
        <f>HYPERLINK("https://www1.hkexnews.hk/listedco/listconews/sehk/2021/0218/2021021800882.pdf","stabilisation")</f>
        <v/>
      </c>
      <c r="CA17" s="85" t="n"/>
      <c r="CB17" s="71" t="inlineStr">
        <is>
          <t>P/E: net income not extractable; financials: not extractable; pre-IPO year outside the AAStocks window</t>
        </is>
      </c>
    </row>
    <row r="18" ht="15" customHeight="1">
      <c r="A18" s="70" t="inlineStr">
        <is>
          <t>2160</t>
        </is>
      </c>
      <c r="B18" s="71" t="inlineStr">
        <is>
          <t>CARDIOFLOW-B</t>
        </is>
      </c>
      <c r="C18" s="71" t="inlineStr">
        <is>
          <t>微創心通－Ｂ</t>
        </is>
      </c>
      <c r="D18" s="71" t="inlineStr">
        <is>
          <t>Healthcare</t>
        </is>
      </c>
      <c r="E18" s="71" t="inlineStr">
        <is>
          <t>Medical devices</t>
        </is>
      </c>
      <c r="F18" s="71" t="inlineStr">
        <is>
          <t>Biotechnology</t>
        </is>
      </c>
      <c r="G18" s="71" t="inlineStr">
        <is>
          <t>18A</t>
        </is>
      </c>
      <c r="H18" s="72" t="n">
        <v>44231</v>
      </c>
      <c r="I18" s="73" t="n">
        <v>2508.6</v>
      </c>
      <c r="J18" s="71" t="inlineStr">
        <is>
          <t>gross (price x shares)</t>
        </is>
      </c>
      <c r="K18" s="74" t="n"/>
      <c r="L18" s="74" t="n">
        <v>12.2</v>
      </c>
      <c r="M18" s="74" t="n">
        <v>12.2</v>
      </c>
      <c r="N18" s="71" t="inlineStr">
        <is>
          <t>Y</t>
        </is>
      </c>
      <c r="O18" s="75" t="n">
        <v>100</v>
      </c>
      <c r="P18" s="75" t="n"/>
      <c r="Q18" s="76" t="n">
        <v>27925.2</v>
      </c>
      <c r="R18" s="71" t="inlineStr">
        <is>
          <t>aastocks:上市市值 at the struck price</t>
        </is>
      </c>
      <c r="S18" s="77" t="n">
        <v>769</v>
      </c>
      <c r="T18" s="78" t="n">
        <v>54</v>
      </c>
      <c r="U18" s="79" t="n">
        <v>38.9</v>
      </c>
      <c r="V18" s="80" t="n">
        <v>281</v>
      </c>
      <c r="W18" s="75" t="n"/>
      <c r="X18" s="71" t="n"/>
      <c r="Y18" s="76" t="n">
        <v>1532.75</v>
      </c>
      <c r="Z18" s="76" t="n">
        <v>125633820</v>
      </c>
      <c r="AA18" s="75" t="n">
        <v>5.49</v>
      </c>
      <c r="AB18" s="71"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AC18" s="71" t="inlineStr">
        <is>
          <t>3w;cdg;china-asset;cpe;gaoling;yhg;gic;indus;kunlun;lake;pinpoint;snow;taikang;tybourne;woodline;wt;yi</t>
        </is>
      </c>
      <c r="AD18" s="75" t="n"/>
      <c r="AE18" s="71" t="inlineStr">
        <is>
          <t>full</t>
        </is>
      </c>
      <c r="AF18" s="71" t="inlineStr">
        <is>
          <t>2021-02-28</t>
        </is>
      </c>
      <c r="AG18" s="71" t="n"/>
      <c r="AH18" s="71" t="n"/>
      <c r="AI18" s="81" t="n">
        <v>65.56999999999999</v>
      </c>
      <c r="AJ18" s="82" t="n">
        <v>54.26</v>
      </c>
      <c r="AK18" s="82" t="n">
        <v>76.23</v>
      </c>
      <c r="AL18" s="82" t="n">
        <v>-12.47</v>
      </c>
      <c r="AM18" s="83" t="n"/>
      <c r="AN18" s="75" t="n">
        <v>18.98</v>
      </c>
      <c r="AO18" s="82" t="n">
        <v>59.67</v>
      </c>
      <c r="AP18" s="82" t="n">
        <v>29.51</v>
      </c>
      <c r="AQ18" s="82" t="n">
        <v>27.54</v>
      </c>
      <c r="AR18" s="82" t="n">
        <v>3.51</v>
      </c>
      <c r="AS18" s="82" t="n">
        <v>-16.04</v>
      </c>
      <c r="AT18" s="82" t="n">
        <v>-17.32</v>
      </c>
      <c r="AU18" s="82" t="n">
        <v>53.43</v>
      </c>
      <c r="AV18" s="82" t="n">
        <v>48.39</v>
      </c>
      <c r="AW18" s="82" t="n">
        <v>36.5</v>
      </c>
      <c r="AX18" s="82" t="n">
        <v>2.69</v>
      </c>
      <c r="AY18" s="82" t="n">
        <v>-18.88</v>
      </c>
      <c r="AZ18" s="82" t="n">
        <v>-18.73</v>
      </c>
      <c r="BA18" s="71" t="inlineStr">
        <is>
          <t>China Biotech ETF (HS biotech proxy)</t>
        </is>
      </c>
      <c r="BB18" s="82" t="n">
        <v>-97.90000000000001</v>
      </c>
      <c r="BC18" s="72" t="inlineStr">
        <is>
          <t>2026-08-31</t>
        </is>
      </c>
      <c r="BD18" s="73" t="n">
        <v>53.3</v>
      </c>
      <c r="BE18" s="76" t="n">
        <v>-91.8</v>
      </c>
      <c r="BF18" s="71" t="inlineStr">
        <is>
          <t>N</t>
        </is>
      </c>
      <c r="BG18" s="71" t="inlineStr">
        <is>
          <t>n/m</t>
        </is>
      </c>
      <c r="BH18" s="83" t="n"/>
      <c r="BI18" s="83" t="n"/>
      <c r="BJ18" s="83" t="n">
        <v>523.9</v>
      </c>
      <c r="BK18" s="84">
        <f>IF('BBG Verify'!S18="","not filed; run on terminal",'BBG Verify'!S18)</f>
        <v/>
      </c>
      <c r="BL18" s="85" t="inlineStr">
        <is>
          <t>N</t>
        </is>
      </c>
      <c r="BM18" s="86">
        <f>IF('BBG Verify'!K18="","not filed; run on terminal",'BBG Verify'!K18)</f>
        <v/>
      </c>
      <c r="BN18" s="71" t="inlineStr">
        <is>
          <t>N/A</t>
        </is>
      </c>
      <c r="BO18" s="71" t="inlineStr">
        <is>
          <t>N/A</t>
        </is>
      </c>
      <c r="BP18" s="71" t="inlineStr">
        <is>
          <t>N/A</t>
        </is>
      </c>
      <c r="BQ18" s="71" t="inlineStr">
        <is>
          <t>N/A</t>
        </is>
      </c>
      <c r="BR18" s="71" t="inlineStr">
        <is>
          <t>N/A</t>
        </is>
      </c>
      <c r="BS18" s="71" t="inlineStr">
        <is>
          <t>N/A</t>
        </is>
      </c>
      <c r="BT18" s="85" t="n"/>
      <c r="BU18" s="71" t="inlineStr">
        <is>
          <t>China International Capital Corporation Hong Kong Securities Limited; J.P. Morgan Securities (Far East) Limited; Citigroup Global Markets Asia Limited</t>
        </is>
      </c>
      <c r="BV18" s="71" t="inlineStr">
        <is>
          <t>Citigroup Global Markets Asia Limited; China International Capital Corporation Hong Kong Securities Limited; J.P. Morgan Securities (Asia Pacific) Limited</t>
        </is>
      </c>
      <c r="BW18" s="71" t="inlineStr">
        <is>
          <t>Citigroup Global Markets Asia Limited; China International Capital Corporation Hong Kong Securities Limited; J.P. Morgan Securities (Asia Pacific) Limited</t>
        </is>
      </c>
      <c r="BX18" s="87">
        <f>HYPERLINK("https://www1.hkexnews.hk/listedco/listconews/sehk/2021/0126/2021012600169.htm","prospectus")</f>
        <v/>
      </c>
      <c r="BY18" s="87">
        <f>HYPERLINK("https://www1.hkexnews.hk/listedco/listconews/sehk/2021/0203/2021020300020.htm","allotment")</f>
        <v/>
      </c>
      <c r="BZ18" s="87">
        <f>HYPERLINK("https://www1.hkexnews.hk/listedco/listconews/sehk/2021/0228/2021022800029.pdf","stabilisation")</f>
        <v/>
      </c>
      <c r="CA18" s="85" t="n"/>
      <c r="CB1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9" ht="15" customHeight="1">
      <c r="A19" s="70" t="inlineStr">
        <is>
          <t>2161</t>
        </is>
      </c>
      <c r="B19" s="71" t="inlineStr">
        <is>
          <t>JBM HEALTHCARE</t>
        </is>
      </c>
      <c r="C19" s="71" t="inlineStr">
        <is>
          <t>健倍苗苗</t>
        </is>
      </c>
      <c r="D19" s="71" t="inlineStr">
        <is>
          <t>Healthcare</t>
        </is>
      </c>
      <c r="E19" s="71" t="inlineStr">
        <is>
          <t>Biopharma commercial</t>
        </is>
      </c>
      <c r="F19" s="71" t="inlineStr">
        <is>
          <t>Health Care Supplies</t>
        </is>
      </c>
      <c r="G19" s="71" t="inlineStr">
        <is>
          <t>Standard</t>
        </is>
      </c>
      <c r="H19" s="72" t="n">
        <v>44232</v>
      </c>
      <c r="I19" s="73" t="n">
        <v>10.6</v>
      </c>
      <c r="J19" s="71" t="inlineStr">
        <is>
          <t>net proceeds</t>
        </is>
      </c>
      <c r="K19" s="74" t="n"/>
      <c r="L19" s="74" t="n">
        <v>1.2</v>
      </c>
      <c r="M19" s="74" t="n">
        <v>1.2</v>
      </c>
      <c r="N19" s="71" t="inlineStr">
        <is>
          <t>Y</t>
        </is>
      </c>
      <c r="O19" s="75" t="n">
        <v>100</v>
      </c>
      <c r="P19" s="75" t="n"/>
      <c r="Q19" s="76" t="n">
        <v>1072.4</v>
      </c>
      <c r="R19" s="71" t="inlineStr">
        <is>
          <t>press:broker factsheet (cyberquote 2161.pdf): HK$1,072.4m at HK$1.20 | FINANCIALS (HKD x1.0): JBM Healthcare FY2020 (Mar-YE) prospectus: revenue HK$381.5m, profit HK$44.3m</t>
        </is>
      </c>
      <c r="S19" s="77" t="n">
        <v>22.47</v>
      </c>
      <c r="T19" s="88">
        <f>IF('BBG Verify'!E19="","not filed; run on terminal",'BBG Verify'!E19)</f>
        <v/>
      </c>
      <c r="U19" s="79" t="n"/>
      <c r="V19" s="80" t="n"/>
      <c r="W19" s="75" t="n"/>
      <c r="X19" s="71" t="n"/>
      <c r="Y19" s="76" t="n">
        <v>10.6</v>
      </c>
      <c r="Z19" s="76" t="n"/>
      <c r="AA19" s="75" t="n">
        <v>0.99</v>
      </c>
      <c r="AB19" s="71" t="n"/>
      <c r="AC19" s="71" t="n"/>
      <c r="AD19" s="75" t="n"/>
      <c r="AE19" s="71" t="n"/>
      <c r="AF19" s="71" t="n"/>
      <c r="AG19" s="71" t="n"/>
      <c r="AH19" s="71" t="n"/>
      <c r="AI19" s="81" t="n">
        <v>14.17</v>
      </c>
      <c r="AJ19" s="82" t="n">
        <v>80</v>
      </c>
      <c r="AK19" s="82" t="n">
        <v>23.33</v>
      </c>
      <c r="AL19" s="82" t="n">
        <v>45.95</v>
      </c>
      <c r="AM19" s="83" t="n"/>
      <c r="AN19" s="75" t="n">
        <v>116.89</v>
      </c>
      <c r="AO19" s="82" t="n">
        <v>100</v>
      </c>
      <c r="AP19" s="82" t="n">
        <v>21.67</v>
      </c>
      <c r="AQ19" s="82" t="n">
        <v>50</v>
      </c>
      <c r="AR19" s="82" t="n">
        <v>11.11</v>
      </c>
      <c r="AS19" s="82" t="n">
        <v>-32.41</v>
      </c>
      <c r="AT19" s="82" t="n">
        <v>-16.67</v>
      </c>
      <c r="AU19" s="82" t="n">
        <v>93.61</v>
      </c>
      <c r="AV19" s="82" t="n">
        <v>39.37</v>
      </c>
      <c r="AW19" s="82" t="n">
        <v>56.87</v>
      </c>
      <c r="AX19" s="82" t="n">
        <v>-13.88</v>
      </c>
      <c r="AY19" s="82" t="n">
        <v>-17.7</v>
      </c>
      <c r="AZ19" s="82" t="n">
        <v>-18.53</v>
      </c>
      <c r="BA19" s="71" t="inlineStr">
        <is>
          <t>China Biotech ETF (HS biotech proxy)</t>
        </is>
      </c>
      <c r="BB19" s="82" t="n">
        <v>37.08</v>
      </c>
      <c r="BC19" s="72" t="inlineStr">
        <is>
          <t>2026-09-23</t>
        </is>
      </c>
      <c r="BD19" s="73" t="n">
        <v>381.5</v>
      </c>
      <c r="BE19" s="76" t="n">
        <v>44.3</v>
      </c>
      <c r="BF19" s="71" t="inlineStr">
        <is>
          <t>Y</t>
        </is>
      </c>
      <c r="BG19" s="83" t="n">
        <v>24.2</v>
      </c>
      <c r="BH19" s="83" t="n"/>
      <c r="BI19" s="83" t="n">
        <v>7.4</v>
      </c>
      <c r="BJ19" s="83" t="n">
        <v>2.8</v>
      </c>
      <c r="BK19" s="84">
        <f>IF('BBG Verify'!S19="","not filed; run on terminal",'BBG Verify'!S19)</f>
        <v/>
      </c>
      <c r="BL19" s="85" t="inlineStr">
        <is>
          <t>N</t>
        </is>
      </c>
      <c r="BM19" s="86">
        <f>IF('BBG Verify'!K19="","not filed; run on terminal",'BBG Verify'!K19)</f>
        <v/>
      </c>
      <c r="BN19" s="71" t="inlineStr">
        <is>
          <t>N/A</t>
        </is>
      </c>
      <c r="BO19" s="71" t="inlineStr">
        <is>
          <t>N/A</t>
        </is>
      </c>
      <c r="BP19" s="71" t="inlineStr">
        <is>
          <t>N/A</t>
        </is>
      </c>
      <c r="BQ19" s="71" t="inlineStr">
        <is>
          <t>N/A</t>
        </is>
      </c>
      <c r="BR19" s="71" t="inlineStr">
        <is>
          <t>N/A</t>
        </is>
      </c>
      <c r="BS19" s="71" t="inlineStr">
        <is>
          <t>N/A</t>
        </is>
      </c>
      <c r="BT19" s="85" t="n"/>
      <c r="BU19" s="71" t="inlineStr">
        <is>
          <t>China Galaxy International Securities (Hong Kong) Company Limited</t>
        </is>
      </c>
      <c r="BV19" s="71" t="inlineStr">
        <is>
          <t>China Galaxy International Securities (Hong Kong) Company Limited; Cinda International Capital Limited; Eddid Securities and Futures Limited; Fosun Hani Securities Limited; HeungKong Securities Limited; Maxa Capital Limited</t>
        </is>
      </c>
      <c r="BW19" s="71"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X19" s="87">
        <f>HYPERLINK("https://www1.hkexnews.hk/listedco/listconews/sehk/2021/0126/2021012600248.pdf","prospectus")</f>
        <v/>
      </c>
      <c r="BY19" s="87">
        <f>HYPERLINK("https://www1.hkexnews.hk/listedco/listconews/sehk/2021/0204/2021020400012.htm","allotment")</f>
        <v/>
      </c>
      <c r="BZ19" s="71" t="n"/>
      <c r="CA19" s="85" t="n"/>
      <c r="CB19" s="71"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20" ht="15" customHeight="1">
      <c r="A20" s="70" t="inlineStr">
        <is>
          <t>1024</t>
        </is>
      </c>
      <c r="B20" s="71" t="inlineStr">
        <is>
          <t>KUAISHOU-W</t>
        </is>
      </c>
      <c r="C20" s="71" t="inlineStr">
        <is>
          <t>快手－Ｗ</t>
        </is>
      </c>
      <c r="D20" s="71" t="inlineStr">
        <is>
          <t>Tech/AI</t>
        </is>
      </c>
      <c r="E20" s="71" t="inlineStr">
        <is>
          <t>Internet platform / e-commerce</t>
        </is>
      </c>
      <c r="F20" s="71" t="inlineStr">
        <is>
          <t>e-Commerce &amp; Internet Services</t>
        </is>
      </c>
      <c r="G20" s="71" t="inlineStr">
        <is>
          <t>WVR</t>
        </is>
      </c>
      <c r="H20" s="72" t="n">
        <v>44232</v>
      </c>
      <c r="I20" s="73" t="n">
        <v>42000.1</v>
      </c>
      <c r="J20" s="71" t="inlineStr">
        <is>
          <t>gross (price x shares)</t>
        </is>
      </c>
      <c r="K20" s="74" t="n"/>
      <c r="L20" s="74" t="n">
        <v>115</v>
      </c>
      <c r="M20" s="74" t="n">
        <v>115</v>
      </c>
      <c r="N20" s="71" t="inlineStr">
        <is>
          <t>Y</t>
        </is>
      </c>
      <c r="O20" s="75" t="n">
        <v>100</v>
      </c>
      <c r="P20" s="75" t="n"/>
      <c r="Q20" s="76" t="n">
        <v>457482.6</v>
      </c>
      <c r="R20" s="71" t="inlineStr">
        <is>
          <t>aastocks:上市市值 at the struck price</t>
        </is>
      </c>
      <c r="S20" s="77" t="n">
        <v>1204.16</v>
      </c>
      <c r="T20" s="78" t="n">
        <v>39</v>
      </c>
      <c r="U20" s="79" t="n">
        <v>45.23</v>
      </c>
      <c r="V20" s="80" t="n">
        <v>734</v>
      </c>
      <c r="W20" s="75" t="n"/>
      <c r="X20" s="71" t="n"/>
      <c r="Y20" s="76" t="n">
        <v>23003.45</v>
      </c>
      <c r="Z20" s="76" t="n">
        <v>200030227</v>
      </c>
      <c r="AA20" s="75" t="n">
        <v>5.03</v>
      </c>
      <c r="AB20" s="71" t="inlineStr">
        <is>
          <t>Aranda Investments Pte. Ltd; BlackRock, Inc; CPP Investment Board PMI-2 Inc; FIL Investment Management (Hong Kong) Limited; GIC Private Limited; Invesco Ltd; Sunny Festive Limited; The Capital Group Funds</t>
        </is>
      </c>
      <c r="AC20" s="71" t="inlineStr">
        <is>
          <t>aranda;blackrock;cpp;fil;gic;invesco;sunny;the-capital</t>
        </is>
      </c>
      <c r="AD20" s="75" t="n"/>
      <c r="AE20" s="71" t="inlineStr">
        <is>
          <t>full</t>
        </is>
      </c>
      <c r="AF20" s="71" t="inlineStr">
        <is>
          <t>2021-02-28</t>
        </is>
      </c>
      <c r="AG20" s="71" t="inlineStr">
        <is>
          <t>Morgan Stanley Asia Limited</t>
        </is>
      </c>
      <c r="AH20" s="71" t="inlineStr">
        <is>
          <t>Morgan Stanley</t>
        </is>
      </c>
      <c r="AI20" s="81" t="n">
        <v>191.83</v>
      </c>
      <c r="AJ20" s="82" t="n">
        <v>160.87</v>
      </c>
      <c r="AK20" s="82" t="n">
        <v>193.91</v>
      </c>
      <c r="AL20" s="82" t="n">
        <v>-11.24</v>
      </c>
      <c r="AM20" s="83" t="n"/>
      <c r="AN20" s="75" t="n">
        <v>13.31</v>
      </c>
      <c r="AO20" s="82" t="n">
        <v>250.43</v>
      </c>
      <c r="AP20" s="82" t="n">
        <v>141.91</v>
      </c>
      <c r="AQ20" s="82" t="n">
        <v>105.39</v>
      </c>
      <c r="AR20" s="82" t="n">
        <v>34.33</v>
      </c>
      <c r="AS20" s="82" t="n">
        <v>-7.27</v>
      </c>
      <c r="AT20" s="82" t="n">
        <v>-21.27</v>
      </c>
      <c r="AU20" s="82" t="n">
        <v>242.45</v>
      </c>
      <c r="AV20" s="82" t="n">
        <v>158.43</v>
      </c>
      <c r="AW20" s="82" t="n">
        <v>126.23</v>
      </c>
      <c r="AX20" s="82" t="n">
        <v>8.470000000000001</v>
      </c>
      <c r="AY20" s="82" t="n">
        <v>-16.52</v>
      </c>
      <c r="AZ20" s="82" t="n">
        <v>-15.74</v>
      </c>
      <c r="BA20" s="71" t="inlineStr">
        <is>
          <t>HSTECH (Hang Seng TECH ETF)</t>
        </is>
      </c>
      <c r="BB20" s="82" t="n">
        <v>-73.23</v>
      </c>
      <c r="BC20" s="72" t="inlineStr">
        <is>
          <t>2026-09-23</t>
        </is>
      </c>
      <c r="BD20" s="73" t="n"/>
      <c r="BE20" s="76" t="n"/>
      <c r="BF20" s="71" t="n"/>
      <c r="BG20" s="84">
        <f>IF('BBG Verify'!O20="","not filed; run on terminal",'BBG Verify'!O20)</f>
        <v/>
      </c>
      <c r="BH20" s="83" t="n"/>
      <c r="BI20" s="83" t="n">
        <v>8</v>
      </c>
      <c r="BJ20" s="83" t="n"/>
      <c r="BK20" s="84">
        <f>IF('BBG Verify'!S20="","not filed; run on terminal",'BBG Verify'!S20)</f>
        <v/>
      </c>
      <c r="BL20" s="85" t="inlineStr">
        <is>
          <t>N</t>
        </is>
      </c>
      <c r="BM20" s="86">
        <f>IF('BBG Verify'!K20="","not filed; run on terminal",'BBG Verify'!K20)</f>
        <v/>
      </c>
      <c r="BN20" s="71" t="inlineStr">
        <is>
          <t>N/A</t>
        </is>
      </c>
      <c r="BO20" s="71" t="inlineStr">
        <is>
          <t>N/A</t>
        </is>
      </c>
      <c r="BP20" s="71" t="inlineStr">
        <is>
          <t>N/A</t>
        </is>
      </c>
      <c r="BQ20" s="71" t="inlineStr">
        <is>
          <t>N/A</t>
        </is>
      </c>
      <c r="BR20" s="71" t="inlineStr">
        <is>
          <t>N/A</t>
        </is>
      </c>
      <c r="BS20" s="71" t="inlineStr">
        <is>
          <t>N/A</t>
        </is>
      </c>
      <c r="BT20" s="85" t="n"/>
      <c r="BU20" s="71" t="inlineStr">
        <is>
          <t>Morgan Stanley Asia Limited; Merrill Lynch Far East Limited; China Renaissance Securities (Hong Kong) Limited</t>
        </is>
      </c>
      <c r="BV20" s="71" t="inlineStr">
        <is>
          <t>BOCI Asia Limited; CMB International Capital Limited; China Renaissance Securities (Hong Kong) Limited; Futu Securities International (Hong Kong) Limited; Haitong International Securities Company Limited; The Hongkong and Shanghai Banking Corporation Limited</t>
        </is>
      </c>
      <c r="BW20" s="71"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X20" s="87">
        <f>HYPERLINK("https://www1.hkexnews.hk/listedco/listconews/sehk/2021/0126/2021012600093.htm","prospectus")</f>
        <v/>
      </c>
      <c r="BY20" s="87">
        <f>HYPERLINK("https://www1.hkexnews.hk/listedco/listconews/sehk/2021/0204/2021020400034.htm","allotment")</f>
        <v/>
      </c>
      <c r="BZ20" s="87">
        <f>HYPERLINK("https://www1.hkexnews.hk/listedco/listconews/sehk/2021/0301/2021030100029.pdf","stabilisation")</f>
        <v/>
      </c>
      <c r="CA20" s="85" t="n"/>
      <c r="CB20" s="71"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21" ht="15" customHeight="1">
      <c r="A21" s="70" t="inlineStr">
        <is>
          <t>2170</t>
        </is>
      </c>
      <c r="B21" s="71" t="inlineStr">
        <is>
          <t>BASECARE-B</t>
        </is>
      </c>
      <c r="C21" s="71" t="inlineStr">
        <is>
          <t>貝康醫療－Ｂ</t>
        </is>
      </c>
      <c r="D21" s="71" t="inlineStr">
        <is>
          <t>Healthcare</t>
        </is>
      </c>
      <c r="E21" s="71" t="inlineStr">
        <is>
          <t>Medical devices</t>
        </is>
      </c>
      <c r="F21" s="71" t="inlineStr">
        <is>
          <t>Biotechnology</t>
        </is>
      </c>
      <c r="G21" s="71" t="inlineStr">
        <is>
          <t>18A</t>
        </is>
      </c>
      <c r="H21" s="72" t="n">
        <v>44235</v>
      </c>
      <c r="I21" s="73" t="n">
        <v>1824</v>
      </c>
      <c r="J21" s="71" t="inlineStr">
        <is>
          <t>gross (price x shares)</t>
        </is>
      </c>
      <c r="K21" s="74" t="n"/>
      <c r="L21" s="74" t="n">
        <v>27.36</v>
      </c>
      <c r="M21" s="74" t="n">
        <v>27.36</v>
      </c>
      <c r="N21" s="71" t="inlineStr">
        <is>
          <t>Y</t>
        </is>
      </c>
      <c r="O21" s="75" t="n">
        <v>100</v>
      </c>
      <c r="P21" s="75" t="n"/>
      <c r="Q21" s="76" t="n">
        <v>7346.9</v>
      </c>
      <c r="R21" s="71" t="inlineStr">
        <is>
          <t>aastocks:上市市值 at the struck price</t>
        </is>
      </c>
      <c r="S21" s="77" t="n">
        <v>402.8</v>
      </c>
      <c r="T21" s="78" t="n">
        <v>21.8</v>
      </c>
      <c r="U21" s="79" t="n">
        <v>17</v>
      </c>
      <c r="V21" s="80" t="n">
        <v>112</v>
      </c>
      <c r="W21" s="75" t="n">
        <v>50</v>
      </c>
      <c r="X21" s="71" t="inlineStr">
        <is>
          <t>YES</t>
        </is>
      </c>
      <c r="Y21" s="76" t="n">
        <v>1513.92</v>
      </c>
      <c r="Z21" s="76" t="n">
        <v>55333610</v>
      </c>
      <c r="AA21" s="75" t="n">
        <v>20.61</v>
      </c>
      <c r="AB21" s="71" t="inlineStr">
        <is>
          <t>Affin Hwang Asset Management Berhad; CRF Investment Holdings Company Limited; Foresight Funds; IvyRock Asset Management (HK) Limited; Lake Bleu Prime Healthcare Master Fund Limited; OrbiMed Funds; WinTwin Capital Limited</t>
        </is>
      </c>
      <c r="AC21" s="71" t="inlineStr">
        <is>
          <t>affin;crf;foresight;ivyrock;lake;orbimed;wintwin</t>
        </is>
      </c>
      <c r="AD21" s="75" t="n"/>
      <c r="AE21" s="71" t="inlineStr">
        <is>
          <t>partial</t>
        </is>
      </c>
      <c r="AF21" s="71" t="inlineStr">
        <is>
          <t>2021-03-03</t>
        </is>
      </c>
      <c r="AG21" s="71" t="inlineStr">
        <is>
          <t>CLSA Limited</t>
        </is>
      </c>
      <c r="AH21" s="71" t="inlineStr">
        <is>
          <t>CLSA</t>
        </is>
      </c>
      <c r="AI21" s="81" t="n"/>
      <c r="AJ21" s="82" t="n">
        <v>1.24</v>
      </c>
      <c r="AK21" s="82" t="n">
        <v>9.65</v>
      </c>
      <c r="AL21" s="82" t="n">
        <v>-7.67</v>
      </c>
      <c r="AM21" s="83" t="n">
        <v>1.53</v>
      </c>
      <c r="AN21" s="75" t="n">
        <v>15.83</v>
      </c>
      <c r="AO21" s="82" t="n">
        <v>16.96</v>
      </c>
      <c r="AP21" s="82" t="n">
        <v>-25.26</v>
      </c>
      <c r="AQ21" s="82" t="n">
        <v>-1.32</v>
      </c>
      <c r="AR21" s="82" t="n">
        <v>15.53</v>
      </c>
      <c r="AS21" s="82" t="n">
        <v>-26.18</v>
      </c>
      <c r="AT21" s="82" t="n">
        <v>-2.53</v>
      </c>
      <c r="AU21" s="82" t="n">
        <v>11.93</v>
      </c>
      <c r="AV21" s="82" t="n">
        <v>-9.67</v>
      </c>
      <c r="AW21" s="82" t="n">
        <v>6.3</v>
      </c>
      <c r="AX21" s="82" t="n">
        <v>-9.880000000000001</v>
      </c>
      <c r="AY21" s="82" t="n">
        <v>-15.59</v>
      </c>
      <c r="AZ21" s="82" t="n">
        <v>-16.3</v>
      </c>
      <c r="BA21" s="71" t="inlineStr">
        <is>
          <t>China Biotech ETF (HS biotech proxy)</t>
        </is>
      </c>
      <c r="BB21" s="82" t="n">
        <v>-94.90000000000001</v>
      </c>
      <c r="BC21" s="72" t="inlineStr">
        <is>
          <t>2026-09-23</t>
        </is>
      </c>
      <c r="BD21" s="73" t="n">
        <v>46</v>
      </c>
      <c r="BE21" s="76" t="n"/>
      <c r="BF21" s="71" t="n"/>
      <c r="BG21" s="84">
        <f>IF('BBG Verify'!O21="","not filed; run on terminal",'BBG Verify'!O21)</f>
        <v/>
      </c>
      <c r="BH21" s="83" t="n"/>
      <c r="BI21" s="83" t="n"/>
      <c r="BJ21" s="83" t="n">
        <v>159.7</v>
      </c>
      <c r="BK21" s="84">
        <f>IF('BBG Verify'!S21="","not filed; run on terminal",'BBG Verify'!S21)</f>
        <v/>
      </c>
      <c r="BL21" s="85" t="inlineStr">
        <is>
          <t>N</t>
        </is>
      </c>
      <c r="BM21" s="86">
        <f>IF('BBG Verify'!K21="","not filed; run on terminal",'BBG Verify'!K21)</f>
        <v/>
      </c>
      <c r="BN21" s="71" t="inlineStr">
        <is>
          <t>N/A</t>
        </is>
      </c>
      <c r="BO21" s="71" t="inlineStr">
        <is>
          <t>N/A</t>
        </is>
      </c>
      <c r="BP21" s="71" t="inlineStr">
        <is>
          <t>N/A</t>
        </is>
      </c>
      <c r="BQ21" s="71" t="inlineStr">
        <is>
          <t>N/A</t>
        </is>
      </c>
      <c r="BR21" s="71" t="inlineStr">
        <is>
          <t>N/A</t>
        </is>
      </c>
      <c r="BS21" s="71" t="inlineStr">
        <is>
          <t>N/A</t>
        </is>
      </c>
      <c r="BT21" s="85" t="n"/>
      <c r="BU21" s="71" t="inlineStr">
        <is>
          <t>CLSA Capital Markets Limited</t>
        </is>
      </c>
      <c r="BV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W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X21" s="87">
        <f>HYPERLINK("https://www1.hkexnews.hk/listedco/listconews/sehk/2021/0127/2021012700036.htm","prospectus")</f>
        <v/>
      </c>
      <c r="BY21" s="87">
        <f>HYPERLINK("https://www1.hkexnews.hk/listedco/listconews/sehk/2021/0205/2021020500040.htm","allotment")</f>
        <v/>
      </c>
      <c r="BZ21" s="87">
        <f>HYPERLINK("https://www1.hkexnews.hk/listedco/listconews/sehk/2021/0304/2021030400005.pdf","stabilisation")</f>
        <v/>
      </c>
      <c r="CA21" s="85" t="n"/>
      <c r="CB21" s="71"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close found: etnet's news wire (every story that evening and the next morning), etnet's grey table (from Oct-2024) and AAStocks all checked</t>
        </is>
      </c>
    </row>
    <row r="22" ht="15" customHeight="1">
      <c r="A22" s="70" t="inlineStr">
        <is>
          <t>1473</t>
        </is>
      </c>
      <c r="B22" s="71" t="inlineStr">
        <is>
          <t>PANGAEA CONNECT</t>
        </is>
      </c>
      <c r="C22" s="71" t="inlineStr">
        <is>
          <t>環聯連訊</t>
        </is>
      </c>
      <c r="D22" s="71" t="inlineStr">
        <is>
          <t>Tech/AI</t>
        </is>
      </c>
      <c r="E22" s="71" t="inlineStr">
        <is>
          <t>SaaS / enterprise software</t>
        </is>
      </c>
      <c r="F22" s="71" t="inlineStr">
        <is>
          <t>Telecommunications &amp; Networking Equipment</t>
        </is>
      </c>
      <c r="G22" s="71" t="inlineStr">
        <is>
          <t>Standard</t>
        </is>
      </c>
      <c r="H22" s="72" t="n">
        <v>44246</v>
      </c>
      <c r="I22" s="73" t="n">
        <v>140</v>
      </c>
      <c r="J22" s="71" t="inlineStr">
        <is>
          <t>gross (price x shares)</t>
        </is>
      </c>
      <c r="K22" s="74" t="n">
        <v>0.52</v>
      </c>
      <c r="L22" s="74" t="n">
        <v>0.58</v>
      </c>
      <c r="M22" s="74" t="n">
        <v>0.5600000000000001</v>
      </c>
      <c r="N22" s="71" t="inlineStr">
        <is>
          <t>N</t>
        </is>
      </c>
      <c r="O22" s="75" t="n">
        <v>96.59999999999999</v>
      </c>
      <c r="P22" s="75" t="n">
        <v>66.7</v>
      </c>
      <c r="Q22" s="76" t="n">
        <v>502.1</v>
      </c>
      <c r="R22" s="71" t="inlineStr">
        <is>
          <t>prospectus:stated market capitalisation, rescaled to the offer price</t>
        </is>
      </c>
      <c r="S22" s="77" t="n">
        <v>64.15000000000001</v>
      </c>
      <c r="T22" s="78" t="n">
        <v>1.01</v>
      </c>
      <c r="U22" s="79" t="n">
        <v>0</v>
      </c>
      <c r="V22" s="80" t="n">
        <v>165</v>
      </c>
      <c r="W22" s="75" t="n"/>
      <c r="X22" s="71" t="n"/>
      <c r="Y22" s="76" t="n">
        <v>140</v>
      </c>
      <c r="Z22" s="76" t="n">
        <v>250000000</v>
      </c>
      <c r="AA22" s="75" t="n">
        <v>27.88</v>
      </c>
      <c r="AB22" s="71" t="n"/>
      <c r="AC22" s="71" t="n"/>
      <c r="AD22" s="75" t="n">
        <v>15</v>
      </c>
      <c r="AE22" s="71" t="n"/>
      <c r="AF22" s="71" t="n"/>
      <c r="AG22" s="71" t="inlineStr">
        <is>
          <t>Stabilisin g Manager</t>
        </is>
      </c>
      <c r="AH22" s="71" t="inlineStr">
        <is>
          <t>Stabilisin g</t>
        </is>
      </c>
      <c r="AI22" s="81" t="n"/>
      <c r="AJ22" s="82" t="n">
        <v>26.79</v>
      </c>
      <c r="AK22" s="82" t="n">
        <v>19.64</v>
      </c>
      <c r="AL22" s="82" t="n">
        <v>5.98</v>
      </c>
      <c r="AM22" s="83" t="n"/>
      <c r="AN22" s="75" t="n">
        <v>31.34</v>
      </c>
      <c r="AO22" s="82" t="n">
        <v>1.79</v>
      </c>
      <c r="AP22" s="82" t="n">
        <v>8.93</v>
      </c>
      <c r="AQ22" s="82" t="n">
        <v>16.07</v>
      </c>
      <c r="AR22" s="82" t="n">
        <v>-19.72</v>
      </c>
      <c r="AS22" s="82" t="n">
        <v>-14.09</v>
      </c>
      <c r="AT22" s="82" t="n">
        <v>-8.449999999999999</v>
      </c>
      <c r="AU22" s="82" t="n">
        <v>18.57</v>
      </c>
      <c r="AV22" s="82" t="n">
        <v>30.32</v>
      </c>
      <c r="AW22" s="82" t="n">
        <v>41.65</v>
      </c>
      <c r="AX22" s="82" t="n">
        <v>5.58</v>
      </c>
      <c r="AY22" s="82" t="n">
        <v>-21.39</v>
      </c>
      <c r="AZ22" s="82" t="n">
        <v>-19.67</v>
      </c>
      <c r="BA22" s="71" t="inlineStr">
        <is>
          <t>HSTECH (Hang Seng TECH ETF)</t>
        </is>
      </c>
      <c r="BB22" s="82" t="n">
        <v>119.64</v>
      </c>
      <c r="BC22" s="72" t="inlineStr">
        <is>
          <t>2026-09-23</t>
        </is>
      </c>
      <c r="BD22" s="73" t="n"/>
      <c r="BE22" s="76" t="n">
        <v>34.9</v>
      </c>
      <c r="BF22" s="71" t="inlineStr">
        <is>
          <t>Y</t>
        </is>
      </c>
      <c r="BG22" s="83" t="n">
        <v>14.4</v>
      </c>
      <c r="BH22" s="83" t="n"/>
      <c r="BI22" s="83" t="n">
        <v>37.1</v>
      </c>
      <c r="BJ22" s="83" t="n"/>
      <c r="BK22" s="84">
        <f>IF('BBG Verify'!S22="","not filed; run on terminal",'BBG Verify'!S22)</f>
        <v/>
      </c>
      <c r="BL22" s="85" t="inlineStr">
        <is>
          <t>N</t>
        </is>
      </c>
      <c r="BM22" s="86">
        <f>IF('BBG Verify'!K22="","not filed; run on terminal",'BBG Verify'!K22)</f>
        <v/>
      </c>
      <c r="BN22" s="71" t="inlineStr">
        <is>
          <t>N/A</t>
        </is>
      </c>
      <c r="BO22" s="71" t="inlineStr">
        <is>
          <t>N/A</t>
        </is>
      </c>
      <c r="BP22" s="71" t="inlineStr">
        <is>
          <t>N/A</t>
        </is>
      </c>
      <c r="BQ22" s="71" t="inlineStr">
        <is>
          <t>N/A</t>
        </is>
      </c>
      <c r="BR22" s="71" t="inlineStr">
        <is>
          <t>N/A</t>
        </is>
      </c>
      <c r="BS22" s="71" t="inlineStr">
        <is>
          <t>N/A</t>
        </is>
      </c>
      <c r="BT22" s="85" t="inlineStr">
        <is>
          <t>Honestum International Limited</t>
        </is>
      </c>
      <c r="BU22" s="71" t="inlineStr">
        <is>
          <t>Honestum International Limited</t>
        </is>
      </c>
      <c r="BV22" s="71" t="inlineStr">
        <is>
          <t>CMBC Securities Company Limited; Forwin Securities Group Limited; Lego Securities Limited; Crosby Securities Limited; GLAM Capital Limited</t>
        </is>
      </c>
      <c r="BW22" s="71" t="inlineStr">
        <is>
          <t>CMBC Securities Company Limited; Crosby Securities Limited; Enhanced Securities Limited; Forwin Securities Group Limited; GLAM Capital Limited; Lego Securities Limited; Victory Securities Company Limited</t>
        </is>
      </c>
      <c r="BX22" s="87">
        <f>HYPERLINK("https://www1.hkexnews.hk/listedco/listconews/sehk/2021/0129/2021012901777.pdf","prospectus")</f>
        <v/>
      </c>
      <c r="BY22" s="87">
        <f>HYPERLINK("https://www1.hkexnews.hk/listedco/listconews/sehk/2021/0218/2021021800016.htm","allotment")</f>
        <v/>
      </c>
      <c r="BZ22" s="87">
        <f>HYPERLINK("https://www1.hkexnews.hk/listedco/listconews/sehk/2021/0308/2021030801177.pdf","stabilisation")</f>
        <v/>
      </c>
      <c r="CA22" s="85" t="n"/>
      <c r="CB22" s="71" t="inlineStr">
        <is>
          <t>greenshoe: end-of-stabilisation notice not found; market cap: prospectus cap HK$520m at HK$0.58, rescaled to HK$0.56; cornerstone list: no cornerstone tranche; P/S: revenue not extractable; financials: not extractable; pre-IPO year outside the AAStocks window; grey market: etnet's story of the session gave only the Phillip open (0.68, +21.4% vs offer) on 2021-02-18; no close was published;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3" ht="15" customHeight="1">
      <c r="A23" s="70" t="inlineStr">
        <is>
          <t>6127</t>
        </is>
      </c>
      <c r="B23" s="71" t="inlineStr">
        <is>
          <t>JOINN</t>
        </is>
      </c>
      <c r="C23" s="71" t="inlineStr">
        <is>
          <t>昭衍新藥</t>
        </is>
      </c>
      <c r="D23" s="71" t="inlineStr">
        <is>
          <t>Healthcare</t>
        </is>
      </c>
      <c r="E23" s="71" t="inlineStr">
        <is>
          <t>CXO / pharma services</t>
        </is>
      </c>
      <c r="F23" s="71" t="inlineStr">
        <is>
          <t>Health Care Services</t>
        </is>
      </c>
      <c r="G23" s="71" t="inlineStr">
        <is>
          <t>Standard</t>
        </is>
      </c>
      <c r="H23" s="72" t="n">
        <v>44253</v>
      </c>
      <c r="I23" s="73" t="n">
        <v>6542</v>
      </c>
      <c r="J23" s="71" t="inlineStr">
        <is>
          <t>gross (price x shares)</t>
        </is>
      </c>
      <c r="K23" s="74" t="n">
        <v>133</v>
      </c>
      <c r="L23" s="74" t="n">
        <v>151</v>
      </c>
      <c r="M23" s="74" t="n">
        <v>151</v>
      </c>
      <c r="N23" s="71" t="inlineStr">
        <is>
          <t>Y</t>
        </is>
      </c>
      <c r="O23" s="75" t="n">
        <v>100</v>
      </c>
      <c r="P23" s="75" t="n">
        <v>100</v>
      </c>
      <c r="Q23" s="76" t="n">
        <v>40893.9</v>
      </c>
      <c r="R23" s="71" t="inlineStr">
        <is>
          <t>aastocks:上市市值 at the struck price</t>
        </is>
      </c>
      <c r="S23" s="77" t="n">
        <v>310</v>
      </c>
      <c r="T23" s="78" t="n">
        <v>26</v>
      </c>
      <c r="U23" s="79" t="n">
        <v>31.8</v>
      </c>
      <c r="V23" s="80" t="n">
        <v>339</v>
      </c>
      <c r="W23" s="75" t="n">
        <v>36</v>
      </c>
      <c r="X23" s="71" t="inlineStr">
        <is>
          <t>YES</t>
        </is>
      </c>
      <c r="Y23" s="76" t="n">
        <v>4461.64</v>
      </c>
      <c r="Z23" s="76" t="n">
        <v>29547514</v>
      </c>
      <c r="AA23" s="75" t="n">
        <v>10.91</v>
      </c>
      <c r="AB23" s="71"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AC23" s="71" t="inlineStr">
        <is>
          <t>carmignac;structural;cpe;crf;janchor;lake;octagon;orbimed;scc;valliance</t>
        </is>
      </c>
      <c r="AD23" s="75" t="n">
        <v>5.8</v>
      </c>
      <c r="AE23" s="71" t="inlineStr">
        <is>
          <t>partial</t>
        </is>
      </c>
      <c r="AF23" s="71" t="inlineStr">
        <is>
          <t>2021-03-21</t>
        </is>
      </c>
      <c r="AG23" s="71" t="n"/>
      <c r="AH23" s="71" t="n"/>
      <c r="AI23" s="81" t="n"/>
      <c r="AJ23" s="82" t="n">
        <v>-8.609999999999999</v>
      </c>
      <c r="AK23" s="82" t="n">
        <v>-1.99</v>
      </c>
      <c r="AL23" s="82" t="n">
        <v>-6.75</v>
      </c>
      <c r="AM23" s="83" t="n">
        <v>0.75</v>
      </c>
      <c r="AN23" s="75" t="n">
        <v>6.76</v>
      </c>
      <c r="AO23" s="82" t="n">
        <v>-12.58</v>
      </c>
      <c r="AP23" s="82" t="n">
        <v>-8.48</v>
      </c>
      <c r="AQ23" s="82" t="n">
        <v>4.17</v>
      </c>
      <c r="AR23" s="82" t="n">
        <v>-4.34</v>
      </c>
      <c r="AS23" s="82" t="n">
        <v>0.14</v>
      </c>
      <c r="AT23" s="82" t="n">
        <v>13.98</v>
      </c>
      <c r="AU23" s="82" t="n">
        <v>-5.7</v>
      </c>
      <c r="AV23" s="82" t="n">
        <v>-0.34</v>
      </c>
      <c r="AW23" s="82" t="n">
        <v>-5.9</v>
      </c>
      <c r="AX23" s="82" t="n">
        <v>6.29</v>
      </c>
      <c r="AY23" s="82" t="n">
        <v>-8.140000000000001</v>
      </c>
      <c r="AZ23" s="82" t="n">
        <v>-6.15</v>
      </c>
      <c r="BA23" s="71" t="inlineStr">
        <is>
          <t>China Biotech ETF (HS biotech proxy)</t>
        </is>
      </c>
      <c r="BB23" s="82" t="n">
        <v>-49.92</v>
      </c>
      <c r="BC23" s="72" t="inlineStr">
        <is>
          <t>2026-09-23</t>
        </is>
      </c>
      <c r="BD23" s="73" t="n"/>
      <c r="BE23" s="76" t="n"/>
      <c r="BF23" s="71" t="n"/>
      <c r="BG23" s="83" t="n">
        <v>87.5</v>
      </c>
      <c r="BH23" s="83" t="n">
        <v>87.5</v>
      </c>
      <c r="BI23" s="83" t="n">
        <v>34.6</v>
      </c>
      <c r="BJ23" s="83" t="n"/>
      <c r="BK23" s="84">
        <f>IF('BBG Verify'!S23="","not filed; run on terminal",'BBG Verify'!S23)</f>
        <v/>
      </c>
      <c r="BL23" s="85" t="inlineStr">
        <is>
          <t>Y</t>
        </is>
      </c>
      <c r="BM23" s="71" t="inlineStr">
        <is>
          <t>603127.SS</t>
        </is>
      </c>
      <c r="BN23" s="82" t="n">
        <v>12.28</v>
      </c>
      <c r="BO23" s="74" t="n">
        <v>169.5434</v>
      </c>
      <c r="BP23" s="89" t="n">
        <v>1.0661</v>
      </c>
      <c r="BQ23" s="76" t="n">
        <v>41053.9</v>
      </c>
      <c r="BR23" s="84">
        <f>IF('BBG Verify'!Q23="","run on terminal",'BBG Verify'!Q23)</f>
        <v/>
      </c>
      <c r="BS23" s="84">
        <f>IF('BBG Verify'!R23="","run on terminal",'BBG Verify'!R23)</f>
        <v/>
      </c>
      <c r="BT23" s="85" t="inlineStr">
        <is>
          <t>CLSA Capital Markets Limited</t>
        </is>
      </c>
      <c r="BU23" s="71" t="inlineStr">
        <is>
          <t>CLSA Capital Markets Limited</t>
        </is>
      </c>
      <c r="BV23" s="71"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W23" s="71"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X23" s="87">
        <f>HYPERLINK("https://www1.hkexnews.hk/listedco/listconews/sehk/2021/0216/2021021600009.pdf","prospectus")</f>
        <v/>
      </c>
      <c r="BY23" s="87">
        <f>HYPERLINK("https://www1.hkexnews.hk/listedco/listconews/sehk/2021/0225/2021022500020.htm","allotment")</f>
        <v/>
      </c>
      <c r="BZ23" s="87">
        <f>HYPERLINK("https://www1.hkexnews.hk/listedco/listconews/sehk/2021/0321/2021032100045.pdf","stabilisation")</f>
        <v/>
      </c>
      <c r="CA23" s="85" t="n"/>
      <c r="CB23" s="71"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etnet's story of the session gave only the Phillip open (142.0, -6.0% vs offer) on 2021-02-25; no close was published</t>
        </is>
      </c>
    </row>
    <row r="24" ht="15" customHeight="1">
      <c r="A24" s="70" t="inlineStr">
        <is>
          <t>6601</t>
        </is>
      </c>
      <c r="B24" s="71" t="inlineStr">
        <is>
          <t>CHEERWIN GP</t>
        </is>
      </c>
      <c r="C24" s="71" t="inlineStr">
        <is>
          <t>朝雲集團</t>
        </is>
      </c>
      <c r="D24" s="71" t="inlineStr">
        <is>
          <t>Consumer</t>
        </is>
      </c>
      <c r="E24" s="71" t="inlineStr">
        <is>
          <t>Beauty / personal care</t>
        </is>
      </c>
      <c r="F24" s="71" t="inlineStr">
        <is>
          <t>Household Products</t>
        </is>
      </c>
      <c r="G24" s="71" t="inlineStr">
        <is>
          <t>Standard</t>
        </is>
      </c>
      <c r="H24" s="72" t="n">
        <v>44265</v>
      </c>
      <c r="I24" s="73" t="n">
        <v>3066.7</v>
      </c>
      <c r="J24" s="71" t="inlineStr">
        <is>
          <t>gross (price x shares)</t>
        </is>
      </c>
      <c r="K24" s="74" t="n">
        <v>7.8</v>
      </c>
      <c r="L24" s="74" t="n">
        <v>9.199999999999999</v>
      </c>
      <c r="M24" s="74" t="n">
        <v>9.199999999999999</v>
      </c>
      <c r="N24" s="71" t="inlineStr">
        <is>
          <t>Y</t>
        </is>
      </c>
      <c r="O24" s="75" t="n">
        <v>100</v>
      </c>
      <c r="P24" s="75" t="n">
        <v>100</v>
      </c>
      <c r="Q24" s="76" t="n">
        <v>12266.7</v>
      </c>
      <c r="R24" s="71" t="inlineStr">
        <is>
          <t>aastocks:上市市值 at the struck price</t>
        </is>
      </c>
      <c r="S24" s="77" t="n">
        <v>172.32</v>
      </c>
      <c r="T24" s="78" t="n">
        <v>13.8</v>
      </c>
      <c r="U24" s="79" t="n">
        <v>0</v>
      </c>
      <c r="V24" s="80" t="n">
        <v>270</v>
      </c>
      <c r="W24" s="75" t="n">
        <v>50</v>
      </c>
      <c r="X24" s="71" t="inlineStr">
        <is>
          <t>YES</t>
        </is>
      </c>
      <c r="Y24" s="76" t="n">
        <v>3066.7</v>
      </c>
      <c r="Z24" s="76" t="n">
        <v>333333500</v>
      </c>
      <c r="AA24" s="75" t="n">
        <v>25</v>
      </c>
      <c r="AB24" s="71" t="n"/>
      <c r="AC24" s="71" t="n"/>
      <c r="AD24" s="75" t="n">
        <v>6</v>
      </c>
      <c r="AE24" s="71" t="inlineStr">
        <is>
          <t>lapsed</t>
        </is>
      </c>
      <c r="AF24" s="71" t="inlineStr">
        <is>
          <t>2021-04-02</t>
        </is>
      </c>
      <c r="AG24" s="71" t="inlineStr">
        <is>
          <t>Morgan Stanley Asia Limited DEFINITIONS –2 8</t>
        </is>
      </c>
      <c r="AH24" s="71" t="inlineStr">
        <is>
          <t>Morgan Stanley</t>
        </is>
      </c>
      <c r="AI24" s="81" t="n">
        <v>-20</v>
      </c>
      <c r="AJ24" s="82" t="n">
        <v>-13.15</v>
      </c>
      <c r="AK24" s="82" t="n">
        <v>-14.24</v>
      </c>
      <c r="AL24" s="82" t="n">
        <v>1.27</v>
      </c>
      <c r="AM24" s="83" t="n">
        <v>1.3</v>
      </c>
      <c r="AN24" s="75" t="n">
        <v>17.62</v>
      </c>
      <c r="AO24" s="82" t="n">
        <v>-9.24</v>
      </c>
      <c r="AP24" s="82" t="n">
        <v>-9.779999999999999</v>
      </c>
      <c r="AQ24" s="82" t="n">
        <v>-9.779999999999999</v>
      </c>
      <c r="AR24" s="82" t="n">
        <v>4.5</v>
      </c>
      <c r="AS24" s="82" t="n">
        <v>3.88</v>
      </c>
      <c r="AT24" s="82" t="n">
        <v>3.88</v>
      </c>
      <c r="AU24" s="82" t="n">
        <v>-12.74</v>
      </c>
      <c r="AV24" s="82" t="n">
        <v>-9.15</v>
      </c>
      <c r="AW24" s="82" t="n">
        <v>-13.12</v>
      </c>
      <c r="AX24" s="82" t="n">
        <v>6.15</v>
      </c>
      <c r="AY24" s="82" t="n">
        <v>-0.63</v>
      </c>
      <c r="AZ24" s="82" t="n">
        <v>-2.27</v>
      </c>
      <c r="BA24" s="71" t="inlineStr">
        <is>
          <t>Hang Seng Commerce &amp; Industry sub-index</t>
        </is>
      </c>
      <c r="BB24" s="82" t="n">
        <v>-74.13</v>
      </c>
      <c r="BC24" s="72" t="inlineStr">
        <is>
          <t>2026-09-23</t>
        </is>
      </c>
      <c r="BD24" s="73" t="n">
        <v>1521.7</v>
      </c>
      <c r="BE24" s="76" t="n">
        <v>202.8</v>
      </c>
      <c r="BF24" s="71" t="inlineStr">
        <is>
          <t>Y</t>
        </is>
      </c>
      <c r="BG24" s="83" t="n">
        <v>60.5</v>
      </c>
      <c r="BH24" s="83" t="n"/>
      <c r="BI24" s="83" t="n">
        <v>11.5</v>
      </c>
      <c r="BJ24" s="83" t="n">
        <v>8.1</v>
      </c>
      <c r="BK24" s="84">
        <f>IF('BBG Verify'!S24="","not filed; run on terminal",'BBG Verify'!S24)</f>
        <v/>
      </c>
      <c r="BL24" s="85" t="inlineStr">
        <is>
          <t>N</t>
        </is>
      </c>
      <c r="BM24" s="86">
        <f>IF('BBG Verify'!K24="","not filed; run on terminal",'BBG Verify'!K24)</f>
        <v/>
      </c>
      <c r="BN24" s="71" t="inlineStr">
        <is>
          <t>N/A</t>
        </is>
      </c>
      <c r="BO24" s="71" t="inlineStr">
        <is>
          <t>N/A</t>
        </is>
      </c>
      <c r="BP24" s="71" t="inlineStr">
        <is>
          <t>N/A</t>
        </is>
      </c>
      <c r="BQ24" s="71" t="inlineStr">
        <is>
          <t>N/A</t>
        </is>
      </c>
      <c r="BR24" s="71" t="inlineStr">
        <is>
          <t>N/A</t>
        </is>
      </c>
      <c r="BS24" s="71" t="inlineStr">
        <is>
          <t>N/A</t>
        </is>
      </c>
      <c r="BT24" s="85" t="inlineStr">
        <is>
          <t>Morgan Stanley Asia Limited; China International Capital Corporation Hong Kong Securities Limited</t>
        </is>
      </c>
      <c r="BU24" s="71" t="inlineStr">
        <is>
          <t>Morgan Stanley Asia Limited; China International Capital Corporation (HK) Ltd</t>
        </is>
      </c>
      <c r="BV24" s="71" t="inlineStr">
        <is>
          <t>Morgan Stanley Asia Limited; China International Capital Corporation Hong Kong Securities Limited</t>
        </is>
      </c>
      <c r="BW24" s="71" t="inlineStr">
        <is>
          <t>China International Capital Corporation Hong Kong Securities Limited; Futu Securities International (Hong Kong) Limited; Morgan Stanley Asia Limited</t>
        </is>
      </c>
      <c r="BX24" s="87">
        <f>HYPERLINK("https://www1.hkexnews.hk/listedco/listconews/sehk/2021/0226/2021022600033.pdf","prospectus")</f>
        <v/>
      </c>
      <c r="BY24" s="87">
        <f>HYPERLINK("https://www1.hkexnews.hk/listedco/listconews/sehk/2021/0309/2021030900022.htm","allotment")</f>
        <v/>
      </c>
      <c r="BZ24" s="87">
        <f>HYPERLINK("https://www1.hkexnews.hk/listedco/listconews/sehk/2021/0407/2021040700023.pdf","stabilisation")</f>
        <v/>
      </c>
      <c r="CA24" s="85" t="n"/>
      <c r="CB24" s="71" t="inlineStr">
        <is>
          <t>market cap: published listing cap used; the estimate from deal size / offer % of enlarged capital disagreed; cornerstone list: no cornerstone tranche</t>
        </is>
      </c>
    </row>
    <row r="25" ht="15" customHeight="1">
      <c r="A25" s="70" t="inlineStr">
        <is>
          <t>1413</t>
        </is>
      </c>
      <c r="B25" s="71" t="inlineStr">
        <is>
          <t>KWONG LUEN ENG</t>
        </is>
      </c>
      <c r="C25" s="71" t="inlineStr">
        <is>
          <t>鑄帝控股</t>
        </is>
      </c>
      <c r="D25" s="71" t="inlineStr">
        <is>
          <t>Industrials</t>
        </is>
      </c>
      <c r="E25" s="71" t="inlineStr">
        <is>
          <t>Construction / engineering</t>
        </is>
      </c>
      <c r="F25" s="71" t="inlineStr">
        <is>
          <t>Construction &amp; Engineering</t>
        </is>
      </c>
      <c r="G25" s="71" t="inlineStr">
        <is>
          <t>Standard</t>
        </is>
      </c>
      <c r="H25" s="72" t="n">
        <v>44266</v>
      </c>
      <c r="I25" s="73" t="n">
        <v>135</v>
      </c>
      <c r="J25" s="71" t="inlineStr">
        <is>
          <t>gross (price x shares)</t>
        </is>
      </c>
      <c r="K25" s="74" t="n">
        <v>0.5</v>
      </c>
      <c r="L25" s="74" t="n">
        <v>0.54</v>
      </c>
      <c r="M25" s="74" t="n">
        <v>0.54</v>
      </c>
      <c r="N25" s="71" t="inlineStr">
        <is>
          <t>Y</t>
        </is>
      </c>
      <c r="O25" s="75" t="n">
        <v>100</v>
      </c>
      <c r="P25" s="75" t="n">
        <v>100</v>
      </c>
      <c r="Q25" s="76" t="n">
        <v>540</v>
      </c>
      <c r="R25" s="71" t="inlineStr">
        <is>
          <t>aastocks:上市市值 at the struck price</t>
        </is>
      </c>
      <c r="S25" s="77" t="n">
        <v>54.29</v>
      </c>
      <c r="T25" s="78" t="n">
        <v>1.05</v>
      </c>
      <c r="U25" s="79" t="n">
        <v>0</v>
      </c>
      <c r="V25" s="80" t="n">
        <v>147</v>
      </c>
      <c r="W25" s="75" t="n">
        <v>40</v>
      </c>
      <c r="X25" s="71" t="inlineStr">
        <is>
          <t>YES</t>
        </is>
      </c>
      <c r="Y25" s="76" t="n">
        <v>135</v>
      </c>
      <c r="Z25" s="76" t="n">
        <v>250000000</v>
      </c>
      <c r="AA25" s="75" t="n">
        <v>25</v>
      </c>
      <c r="AB25" s="71" t="n"/>
      <c r="AC25" s="71" t="n"/>
      <c r="AD25" s="75" t="n">
        <v>15</v>
      </c>
      <c r="AE25" s="71" t="n"/>
      <c r="AF25" s="71" t="n"/>
      <c r="AG25" s="71" t="inlineStr">
        <is>
          <t>Space Securities Limited</t>
        </is>
      </c>
      <c r="AH25" s="71" t="inlineStr">
        <is>
          <t>Space</t>
        </is>
      </c>
      <c r="AI25" s="81" t="n"/>
      <c r="AJ25" s="82" t="n">
        <v>-22.22</v>
      </c>
      <c r="AK25" s="82" t="n">
        <v>-5.56</v>
      </c>
      <c r="AL25" s="82" t="n">
        <v>-17.64</v>
      </c>
      <c r="AM25" s="83" t="n">
        <v>3.43</v>
      </c>
      <c r="AN25" s="75" t="n">
        <v>22.55</v>
      </c>
      <c r="AO25" s="82" t="n">
        <v>-29.63</v>
      </c>
      <c r="AP25" s="82" t="n">
        <v>-37.96</v>
      </c>
      <c r="AQ25" s="82" t="n">
        <v>-40.74</v>
      </c>
      <c r="AR25" s="82" t="n">
        <v>-9.529999999999999</v>
      </c>
      <c r="AS25" s="82" t="n">
        <v>-20.24</v>
      </c>
      <c r="AT25" s="82" t="n">
        <v>-23.81</v>
      </c>
      <c r="AU25" s="82" t="n">
        <v>-33.31</v>
      </c>
      <c r="AV25" s="82" t="n">
        <v>-38</v>
      </c>
      <c r="AW25" s="82" t="n">
        <v>-42.08</v>
      </c>
      <c r="AX25" s="82" t="n">
        <v>-17.31</v>
      </c>
      <c r="AY25" s="82" t="n">
        <v>0.04</v>
      </c>
      <c r="AZ25" s="82" t="n">
        <v>-2.93</v>
      </c>
      <c r="BA25" s="71" t="inlineStr">
        <is>
          <t>Hang Seng Commerce &amp; Industry sub-index</t>
        </is>
      </c>
      <c r="BB25" s="82" t="n">
        <v>-91.89</v>
      </c>
      <c r="BC25" s="72" t="inlineStr">
        <is>
          <t>2026-09-23</t>
        </is>
      </c>
      <c r="BD25" s="73" t="n">
        <v>404.8</v>
      </c>
      <c r="BE25" s="76" t="n">
        <v>38.4</v>
      </c>
      <c r="BF25" s="71" t="inlineStr">
        <is>
          <t>Y</t>
        </is>
      </c>
      <c r="BG25" s="83" t="n">
        <v>14.1</v>
      </c>
      <c r="BH25" s="83" t="n"/>
      <c r="BI25" s="83" t="n"/>
      <c r="BJ25" s="83" t="n">
        <v>1.3</v>
      </c>
      <c r="BK25" s="84">
        <f>IF('BBG Verify'!S25="","not filed; run on terminal",'BBG Verify'!S25)</f>
        <v/>
      </c>
      <c r="BL25" s="85" t="inlineStr">
        <is>
          <t>N</t>
        </is>
      </c>
      <c r="BM25" s="86">
        <f>IF('BBG Verify'!K25="","not filed; run on terminal",'BBG Verify'!K25)</f>
        <v/>
      </c>
      <c r="BN25" s="71" t="inlineStr">
        <is>
          <t>N/A</t>
        </is>
      </c>
      <c r="BO25" s="71" t="inlineStr">
        <is>
          <t>N/A</t>
        </is>
      </c>
      <c r="BP25" s="71" t="inlineStr">
        <is>
          <t>N/A</t>
        </is>
      </c>
      <c r="BQ25" s="71" t="inlineStr">
        <is>
          <t>N/A</t>
        </is>
      </c>
      <c r="BR25" s="71" t="inlineStr">
        <is>
          <t>N/A</t>
        </is>
      </c>
      <c r="BS25" s="71" t="inlineStr">
        <is>
          <t>N/A</t>
        </is>
      </c>
      <c r="BT25" s="85" t="n"/>
      <c r="BU25" s="71" t="inlineStr">
        <is>
          <t>Grande Capital Limited</t>
        </is>
      </c>
      <c r="BV25" s="71" t="inlineStr">
        <is>
          <t>Space Securities Limited; CMBC Securities Company Limited; Innovax Securities Limited; SPDB International Capital Limited</t>
        </is>
      </c>
      <c r="BW25" s="71"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X25" s="87">
        <f>HYPERLINK("https://www1.hkexnews.hk/listedco/listconews/sehk/2021/0226/2021022600013.pdf","prospectus")</f>
        <v/>
      </c>
      <c r="BY25" s="87">
        <f>HYPERLINK("https://www1.hkexnews.hk/listedco/listconews/sehk/2021/0310/2021031000014.htm","allotment")</f>
        <v/>
      </c>
      <c r="BZ25" s="71" t="n"/>
      <c r="CA25" s="85" t="n"/>
      <c r="CB25" s="71" t="inlineStr">
        <is>
          <t>greenshoe: end-of-stabilisation notice not found; sponsor: English name not in the filing; AAStocks 保薦人 shown; cornerstone list: no cornerstone tranche; grey market: etnet's story of the session gave only the Phillip open (0.6, +11.1% vs offer) on 2021-03-10; no close was published</t>
        </is>
      </c>
    </row>
    <row r="26" ht="15" customHeight="1">
      <c r="A26" s="70" t="inlineStr">
        <is>
          <t>2518</t>
        </is>
      </c>
      <c r="B26" s="71" t="inlineStr">
        <is>
          <t>AUTOHOME-S</t>
        </is>
      </c>
      <c r="C26" s="71" t="inlineStr">
        <is>
          <t>汽車之家－Ｓ</t>
        </is>
      </c>
      <c r="D26" s="71" t="inlineStr">
        <is>
          <t>Tech/AI</t>
        </is>
      </c>
      <c r="E26" s="71" t="inlineStr">
        <is>
          <t>Internet platform / e-commerce</t>
        </is>
      </c>
      <c r="F26" s="71" t="inlineStr">
        <is>
          <t>e-Commerce &amp; Internet Services</t>
        </is>
      </c>
      <c r="G26" s="71" t="inlineStr">
        <is>
          <t>Secondary</t>
        </is>
      </c>
      <c r="H26" s="72" t="n">
        <v>44270</v>
      </c>
      <c r="I26" s="73" t="n">
        <v>5340.3</v>
      </c>
      <c r="J26" s="71" t="inlineStr">
        <is>
          <t>gross (price x shares)</t>
        </is>
      </c>
      <c r="K26" s="74" t="n"/>
      <c r="L26" s="74" t="n">
        <v>251.8</v>
      </c>
      <c r="M26" s="74" t="n">
        <v>176.3</v>
      </c>
      <c r="N26" s="71" t="inlineStr">
        <is>
          <t>N</t>
        </is>
      </c>
      <c r="O26" s="75" t="n">
        <v>70</v>
      </c>
      <c r="P26" s="75" t="n"/>
      <c r="Q26" s="76" t="n">
        <v>88980</v>
      </c>
      <c r="R26" s="71" t="inlineStr">
        <is>
          <t>press:lanjinger.com/d/154659: 开盘181港元 市值913.77亿 | FINANCIALS (RMB x1.1): Autohome FY2020 PR: net revenues RMB8,658.6m, NI attributable RMB3,405.2m</t>
        </is>
      </c>
      <c r="S26" s="77" t="n">
        <v>10.71</v>
      </c>
      <c r="T26" s="78" t="n">
        <v>4</v>
      </c>
      <c r="U26" s="79" t="n"/>
      <c r="V26" s="80" t="n">
        <v>110</v>
      </c>
      <c r="W26" s="75" t="n"/>
      <c r="X26" s="71" t="n"/>
      <c r="Y26" s="76" t="n">
        <v>5340.3</v>
      </c>
      <c r="Z26" s="76" t="n">
        <v>30291200</v>
      </c>
      <c r="AA26" s="75" t="n">
        <v>6</v>
      </c>
      <c r="AB26" s="71" t="n"/>
      <c r="AC26" s="71" t="n"/>
      <c r="AD26" s="75" t="n">
        <v>6</v>
      </c>
      <c r="AE26" s="71" t="inlineStr">
        <is>
          <t>full</t>
        </is>
      </c>
      <c r="AF26" s="71" t="inlineStr">
        <is>
          <t>2021-04-08</t>
        </is>
      </c>
      <c r="AG26" s="71" t="n"/>
      <c r="AH26" s="71" t="n"/>
      <c r="AI26" s="81" t="n"/>
      <c r="AJ26" s="82" t="n">
        <v>2.1</v>
      </c>
      <c r="AK26" s="82" t="n">
        <v>2.67</v>
      </c>
      <c r="AL26" s="82" t="n">
        <v>-0.5600000000000001</v>
      </c>
      <c r="AM26" s="83" t="n"/>
      <c r="AN26" s="75" t="n">
        <v>3.54</v>
      </c>
      <c r="AO26" s="82" t="n">
        <v>10.72</v>
      </c>
      <c r="AP26" s="82" t="n">
        <v>3.52</v>
      </c>
      <c r="AQ26" s="82" t="n">
        <v>-28.64</v>
      </c>
      <c r="AR26" s="82" t="n">
        <v>8.44</v>
      </c>
      <c r="AS26" s="82" t="n">
        <v>1.39</v>
      </c>
      <c r="AT26" s="82" t="n">
        <v>-30.11</v>
      </c>
      <c r="AU26" s="82" t="n">
        <v>10.48</v>
      </c>
      <c r="AV26" s="82" t="n">
        <v>6.55</v>
      </c>
      <c r="AW26" s="82" t="n">
        <v>-21.39</v>
      </c>
      <c r="AX26" s="82" t="n">
        <v>1.88</v>
      </c>
      <c r="AY26" s="82" t="n">
        <v>-3.03</v>
      </c>
      <c r="AZ26" s="82" t="n">
        <v>-0.49</v>
      </c>
      <c r="BA26" s="71" t="inlineStr">
        <is>
          <t>HSTECH (Hang Seng TECH ETF)</t>
        </is>
      </c>
      <c r="BB26" s="82" t="n">
        <v>-76.73999999999999</v>
      </c>
      <c r="BC26" s="72" t="inlineStr">
        <is>
          <t>2026-09-23</t>
        </is>
      </c>
      <c r="BD26" s="73" t="n">
        <v>9524.5</v>
      </c>
      <c r="BE26" s="76" t="n">
        <v>3745.7</v>
      </c>
      <c r="BF26" s="71" t="inlineStr">
        <is>
          <t>Y</t>
        </is>
      </c>
      <c r="BG26" s="83" t="n">
        <v>23.8</v>
      </c>
      <c r="BH26" s="83" t="n"/>
      <c r="BI26" s="83" t="n"/>
      <c r="BJ26" s="83" t="n">
        <v>9.300000000000001</v>
      </c>
      <c r="BK26" s="84">
        <f>IF('BBG Verify'!S26="","not filed; run on terminal",'BBG Verify'!S26)</f>
        <v/>
      </c>
      <c r="BL26" s="85" t="inlineStr">
        <is>
          <t>N</t>
        </is>
      </c>
      <c r="BM26" s="86">
        <f>IF('BBG Verify'!K26="","not filed; run on terminal",'BBG Verify'!K26)</f>
        <v/>
      </c>
      <c r="BN26" s="71" t="inlineStr">
        <is>
          <t>N/A</t>
        </is>
      </c>
      <c r="BO26" s="71" t="inlineStr">
        <is>
          <t>N/A</t>
        </is>
      </c>
      <c r="BP26" s="71" t="inlineStr">
        <is>
          <t>N/A</t>
        </is>
      </c>
      <c r="BQ26" s="71" t="inlineStr">
        <is>
          <t>N/A</t>
        </is>
      </c>
      <c r="BR26" s="71" t="inlineStr">
        <is>
          <t>N/A</t>
        </is>
      </c>
      <c r="BS26" s="71" t="inlineStr">
        <is>
          <t>N/A</t>
        </is>
      </c>
      <c r="BT26" s="85" t="inlineStr">
        <is>
          <t>China International Capital Corporation Hong Kong Securities Limited; (in alphabetical order with no ranking assigned) Credit Suisse (Hong Kong) Limited; Goldman Sachs (Asia) L.L.C</t>
        </is>
      </c>
      <c r="BU26" s="71" t="inlineStr">
        <is>
          <t>China International Capital Corporation Hong Kong Securities Limited; Goldman Sachs (Asia) L.L.C.; Credit Suisse (Hong Kong) Limited</t>
        </is>
      </c>
      <c r="BV26" s="71"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W26" s="71"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X26" s="87">
        <f>HYPERLINK("https://www1.hkexnews.hk/listedco/listconews/sehk/2021/0304/2021030400013.pdf","prospectus")</f>
        <v/>
      </c>
      <c r="BY26" s="87">
        <f>HYPERLINK("https://www1.hkexnews.hk/listedco/listconews/sehk/2021/0312/2021031200028.htm","allotment")</f>
        <v/>
      </c>
      <c r="BZ26" s="87">
        <f>HYPERLINK("https://www1.hkexnews.hk/listedco/listconews/sehk/2021/0409/2021040900003.pdf","stabilisation")</f>
        <v/>
      </c>
      <c r="CA26" s="85" t="n"/>
      <c r="CB26" s="71" t="inlineStr">
        <is>
          <t>range low: maximum offer price only, no floor published; cornerstone list: no cornerstone tranche; cornerstone %: no cornerstone tranche; stabilising manager: not named in the allotment notice or prospectus glossary; grey market: etnet's story of the session gave only the Phillip open (183.3, +4.0% vs offer) on 2021-03-12; no close was published; allocation: allocation table not in this notice's format (older prose announcement); day-1 tape: volume on file; the retail multiple needs the final public split, which this notice does not state</t>
        </is>
      </c>
    </row>
    <row r="27" ht="15" customHeight="1">
      <c r="A27" s="70" t="inlineStr">
        <is>
          <t>1927</t>
        </is>
      </c>
      <c r="B27" s="71" t="inlineStr">
        <is>
          <t>JIUJIUWANG</t>
        </is>
      </c>
      <c r="C27" s="71" t="inlineStr">
        <is>
          <t>久久王</t>
        </is>
      </c>
      <c r="D27" s="71" t="inlineStr">
        <is>
          <t>Consumer</t>
        </is>
      </c>
      <c r="E27" s="71" t="inlineStr">
        <is>
          <t>Beverages / packaged food</t>
        </is>
      </c>
      <c r="F27" s="71" t="inlineStr">
        <is>
          <t>Packaged Foods</t>
        </is>
      </c>
      <c r="G27" s="71" t="inlineStr">
        <is>
          <t>Standard</t>
        </is>
      </c>
      <c r="H27" s="72" t="n">
        <v>44271</v>
      </c>
      <c r="I27" s="73" t="n">
        <v>148.5</v>
      </c>
      <c r="J27" s="71" t="inlineStr">
        <is>
          <t>gross (price x shares)</t>
        </is>
      </c>
      <c r="K27" s="74" t="n">
        <v>0.65</v>
      </c>
      <c r="L27" s="74" t="n">
        <v>0.75</v>
      </c>
      <c r="M27" s="74" t="n">
        <v>0.75</v>
      </c>
      <c r="N27" s="71" t="inlineStr">
        <is>
          <t>Y</t>
        </is>
      </c>
      <c r="O27" s="75" t="n">
        <v>100</v>
      </c>
      <c r="P27" s="75" t="n">
        <v>100</v>
      </c>
      <c r="Q27" s="76" t="n">
        <v>594</v>
      </c>
      <c r="R27" s="71" t="inlineStr">
        <is>
          <t>aastocks:上市市值 at the struck price</t>
        </is>
      </c>
      <c r="S27" s="77" t="n">
        <v>214.36</v>
      </c>
      <c r="T27" s="78" t="n">
        <v>1.14</v>
      </c>
      <c r="U27" s="79" t="n">
        <v>0</v>
      </c>
      <c r="V27" s="80" t="n">
        <v>222</v>
      </c>
      <c r="W27" s="75" t="n"/>
      <c r="X27" s="71" t="n"/>
      <c r="Y27" s="76" t="n">
        <v>148.5</v>
      </c>
      <c r="Z27" s="76" t="n">
        <v>198000000</v>
      </c>
      <c r="AA27" s="75" t="n">
        <v>25</v>
      </c>
      <c r="AB27" s="71" t="n"/>
      <c r="AC27" s="71" t="n"/>
      <c r="AD27" s="75" t="n">
        <v>15</v>
      </c>
      <c r="AE27" s="71" t="n"/>
      <c r="AF27" s="71" t="n"/>
      <c r="AG27" s="71" t="inlineStr">
        <is>
          <t>First Fidelity Capi tal</t>
        </is>
      </c>
      <c r="AH27" s="71" t="inlineStr">
        <is>
          <t>First Fidelity Capi</t>
        </is>
      </c>
      <c r="AI27" s="81" t="n"/>
      <c r="AJ27" s="82" t="n">
        <v>-26.67</v>
      </c>
      <c r="AK27" s="82" t="n">
        <v>-8</v>
      </c>
      <c r="AL27" s="82" t="n">
        <v>-20.29</v>
      </c>
      <c r="AM27" s="83" t="n"/>
      <c r="AN27" s="75" t="n">
        <v>46.38</v>
      </c>
      <c r="AO27" s="82" t="n">
        <v>-34.67</v>
      </c>
      <c r="AP27" s="82" t="n">
        <v>-40</v>
      </c>
      <c r="AQ27" s="82" t="n">
        <v>-46.67</v>
      </c>
      <c r="AR27" s="82" t="n">
        <v>-10.91</v>
      </c>
      <c r="AS27" s="82" t="n">
        <v>-18.18</v>
      </c>
      <c r="AT27" s="82" t="n">
        <v>-27.27</v>
      </c>
      <c r="AU27" s="82" t="n">
        <v>-34</v>
      </c>
      <c r="AV27" s="82" t="n">
        <v>-42.02</v>
      </c>
      <c r="AW27" s="82" t="n">
        <v>-49.65</v>
      </c>
      <c r="AX27" s="82" t="n">
        <v>-17.97</v>
      </c>
      <c r="AY27" s="82" t="n">
        <v>2.02</v>
      </c>
      <c r="AZ27" s="82" t="n">
        <v>-0.21</v>
      </c>
      <c r="BA27" s="71" t="inlineStr">
        <is>
          <t>Hang Seng Commerce &amp; Industry sub-index</t>
        </is>
      </c>
      <c r="BB27" s="82" t="n">
        <v>-58</v>
      </c>
      <c r="BC27" s="72" t="inlineStr">
        <is>
          <t>2026-09-23</t>
        </is>
      </c>
      <c r="BD27" s="73" t="n">
        <v>455.5</v>
      </c>
      <c r="BE27" s="76" t="n">
        <v>47.5</v>
      </c>
      <c r="BF27" s="71" t="inlineStr">
        <is>
          <t>Y</t>
        </is>
      </c>
      <c r="BG27" s="83" t="n">
        <v>12.5</v>
      </c>
      <c r="BH27" s="83" t="n">
        <v>6.2</v>
      </c>
      <c r="BI27" s="83" t="n"/>
      <c r="BJ27" s="83" t="n">
        <v>1.3</v>
      </c>
      <c r="BK27" s="84">
        <f>IF('BBG Verify'!S27="","not filed; run on terminal",'BBG Verify'!S27)</f>
        <v/>
      </c>
      <c r="BL27" s="85" t="inlineStr">
        <is>
          <t>N</t>
        </is>
      </c>
      <c r="BM27" s="86">
        <f>IF('BBG Verify'!K27="","not filed; run on terminal",'BBG Verify'!K27)</f>
        <v/>
      </c>
      <c r="BN27" s="71" t="inlineStr">
        <is>
          <t>N/A</t>
        </is>
      </c>
      <c r="BO27" s="71" t="inlineStr">
        <is>
          <t>N/A</t>
        </is>
      </c>
      <c r="BP27" s="71" t="inlineStr">
        <is>
          <t>N/A</t>
        </is>
      </c>
      <c r="BQ27" s="71" t="inlineStr">
        <is>
          <t>N/A</t>
        </is>
      </c>
      <c r="BR27" s="71" t="inlineStr">
        <is>
          <t>N/A</t>
        </is>
      </c>
      <c r="BS27" s="71" t="inlineStr">
        <is>
          <t>N/A</t>
        </is>
      </c>
      <c r="BT27" s="85" t="inlineStr">
        <is>
          <t>Lego Corporate Finance Limited</t>
        </is>
      </c>
      <c r="BU27" s="71" t="inlineStr">
        <is>
          <t>Lego Corporate Finance Limited</t>
        </is>
      </c>
      <c r="BV27" s="71" t="inlineStr">
        <is>
          <t>Aristo Securities Limited; Brilliant Norton Securities Company Limited; China Tonghai Securities Limited; First Fidelity Capital (International) Limited; Fruit Tree Securities Limited; Grand China Securities Limited</t>
        </is>
      </c>
      <c r="BW27" s="71"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X27" s="87">
        <f>HYPERLINK("https://www1.hkexnews.hk/listedco/listconews/sehk/2021/0226/2021022600021.pdf","prospectus")</f>
        <v/>
      </c>
      <c r="BY27" s="87">
        <f>HYPERLINK("https://www1.hkexnews.hk/listedco/listconews/sehk/2021/0315/2021031500018.htm","allotment")</f>
        <v/>
      </c>
      <c r="BZ27" s="87">
        <f>HYPERLINK("https://www1.hkexnews.hk/listedco/listconews/sehk/2021/0414/2021041401047.pdf","stabilisation")</f>
        <v/>
      </c>
      <c r="CA27" s="85" t="n"/>
      <c r="CB27" s="71" t="inlineStr">
        <is>
          <t>greenshoe: end-of-stabilisation notice not found; market cap: published listing cap used; the estimate from deal size / offer % of enlarged capital disagreed; cornerstone list: no cornerstone tranche; grey market: etnet's story of the session gave only the Phillip open (0.76, +1.3% vs offer) on 2021-03-15; no close was published;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8" ht="15" customHeight="1">
      <c r="A28" s="70" t="inlineStr">
        <is>
          <t>9888</t>
        </is>
      </c>
      <c r="B28" s="71" t="inlineStr">
        <is>
          <t>BIDU-SW</t>
        </is>
      </c>
      <c r="C28" s="71" t="inlineStr">
        <is>
          <t>百度集團－Ｗ</t>
        </is>
      </c>
      <c r="D28" s="71" t="inlineStr">
        <is>
          <t>Tech/AI</t>
        </is>
      </c>
      <c r="E28" s="71" t="inlineStr">
        <is>
          <t>Internet platform / e-commerce</t>
        </is>
      </c>
      <c r="F28" s="71" t="inlineStr">
        <is>
          <t>e-Commerce &amp; Internet Services</t>
        </is>
      </c>
      <c r="G28" s="71" t="inlineStr">
        <is>
          <t>Secondary + WVR</t>
        </is>
      </c>
      <c r="H28" s="72" t="n">
        <v>44278</v>
      </c>
      <c r="I28" s="73" t="n">
        <v>23940</v>
      </c>
      <c r="J28" s="71" t="inlineStr">
        <is>
          <t>gross (price x shares)</t>
        </is>
      </c>
      <c r="K28" s="74" t="n"/>
      <c r="L28" s="74" t="n">
        <v>295</v>
      </c>
      <c r="M28" s="74" t="n">
        <v>252</v>
      </c>
      <c r="N28" s="71" t="inlineStr">
        <is>
          <t>N</t>
        </is>
      </c>
      <c r="O28" s="75" t="n">
        <v>85.40000000000001</v>
      </c>
      <c r="P28" s="75" t="n"/>
      <c r="Q28" s="76" t="n">
        <v>712800</v>
      </c>
      <c r="R28" s="71" t="inlineStr">
        <is>
          <t>press:sina tech 2021-03-23 + STCN: 总市值7128亿港元 | FINANCIALS (RMB x1.1): Baidu FY2020 PR: total revenues RMB107,074m, NI attributable RMB22,472m</t>
        </is>
      </c>
      <c r="S28" s="77" t="n">
        <v>112.01</v>
      </c>
      <c r="T28" s="78" t="n">
        <v>10</v>
      </c>
      <c r="U28" s="79" t="n"/>
      <c r="V28" s="80" t="n">
        <v>13</v>
      </c>
      <c r="W28" s="75" t="n"/>
      <c r="X28" s="71" t="n"/>
      <c r="Y28" s="76" t="n">
        <v>23940</v>
      </c>
      <c r="Z28" s="76" t="n">
        <v>95000000</v>
      </c>
      <c r="AA28" s="75" t="n">
        <v>3.36</v>
      </c>
      <c r="AB28" s="71" t="n"/>
      <c r="AC28" s="71" t="n"/>
      <c r="AD28" s="75" t="n">
        <v>10</v>
      </c>
      <c r="AE28" s="71" t="n"/>
      <c r="AF28" s="71" t="inlineStr">
        <is>
          <t>2021-04-16</t>
        </is>
      </c>
      <c r="AG28" s="71" t="inlineStr">
        <is>
          <t>Merrill Lynch</t>
        </is>
      </c>
      <c r="AH28" s="71" t="inlineStr">
        <is>
          <t>Merrill Lynch</t>
        </is>
      </c>
      <c r="AI28" s="81" t="n">
        <v>1.11</v>
      </c>
      <c r="AJ28" s="82" t="n">
        <v>0</v>
      </c>
      <c r="AK28" s="82" t="n">
        <v>0.79</v>
      </c>
      <c r="AL28" s="82" t="n">
        <v>-0.78</v>
      </c>
      <c r="AM28" s="83" t="n"/>
      <c r="AN28" s="75" t="n">
        <v>1.97</v>
      </c>
      <c r="AO28" s="82" t="n">
        <v>-19.92</v>
      </c>
      <c r="AP28" s="82" t="n">
        <v>-14.84</v>
      </c>
      <c r="AQ28" s="82" t="n">
        <v>-24.4</v>
      </c>
      <c r="AR28" s="82" t="n">
        <v>-19.92</v>
      </c>
      <c r="AS28" s="82" t="n">
        <v>-14.84</v>
      </c>
      <c r="AT28" s="82" t="n">
        <v>-24.4</v>
      </c>
      <c r="AU28" s="82" t="n">
        <v>-16.19</v>
      </c>
      <c r="AV28" s="82" t="n">
        <v>-14.43</v>
      </c>
      <c r="AW28" s="82" t="n">
        <v>-21.14</v>
      </c>
      <c r="AX28" s="82" t="n">
        <v>-16.85</v>
      </c>
      <c r="AY28" s="82" t="n">
        <v>-0.41</v>
      </c>
      <c r="AZ28" s="82" t="n">
        <v>2.01</v>
      </c>
      <c r="BA28" s="71" t="inlineStr">
        <is>
          <t>HSTECH (Hang Seng TECH ETF)</t>
        </is>
      </c>
      <c r="BB28" s="82" t="n">
        <v>-64.86</v>
      </c>
      <c r="BC28" s="72" t="inlineStr">
        <is>
          <t>2026-09-23</t>
        </is>
      </c>
      <c r="BD28" s="73" t="n">
        <v>117781.4</v>
      </c>
      <c r="BE28" s="76" t="n">
        <v>24719.2</v>
      </c>
      <c r="BF28" s="71" t="inlineStr">
        <is>
          <t>Y</t>
        </is>
      </c>
      <c r="BG28" s="83" t="n">
        <v>28.8</v>
      </c>
      <c r="BH28" s="83" t="n"/>
      <c r="BI28" s="83" t="n"/>
      <c r="BJ28" s="83" t="n">
        <v>6.1</v>
      </c>
      <c r="BK28" s="84">
        <f>IF('BBG Verify'!S28="","not filed; run on terminal",'BBG Verify'!S28)</f>
        <v/>
      </c>
      <c r="BL28" s="85" t="inlineStr">
        <is>
          <t>N</t>
        </is>
      </c>
      <c r="BM28" s="86">
        <f>IF('BBG Verify'!K28="","not filed; run on terminal",'BBG Verify'!K28)</f>
        <v/>
      </c>
      <c r="BN28" s="71" t="inlineStr">
        <is>
          <t>N/A</t>
        </is>
      </c>
      <c r="BO28" s="71" t="inlineStr">
        <is>
          <t>N/A</t>
        </is>
      </c>
      <c r="BP28" s="71" t="inlineStr">
        <is>
          <t>N/A</t>
        </is>
      </c>
      <c r="BQ28" s="71" t="inlineStr">
        <is>
          <t>N/A</t>
        </is>
      </c>
      <c r="BR28" s="71" t="inlineStr">
        <is>
          <t>N/A</t>
        </is>
      </c>
      <c r="BS28" s="71" t="inlineStr">
        <is>
          <t>N/A</t>
        </is>
      </c>
      <c r="BT28" s="85" t="inlineStr">
        <is>
          <t>Merrill Lynch (Asia Pacific) Limited; CLSA Capital Markets Limited; Goldman Sachs (Asia) L.L.C; CLSA Limited</t>
        </is>
      </c>
      <c r="BU28" s="71" t="inlineStr">
        <is>
          <t>Merrill Lynch (Asia Pacific) Limited; Goldman Sachs (Asia) L.L.C.; CLSA Capital Markets Limited</t>
        </is>
      </c>
      <c r="BV28" s="71"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W28" s="71"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X28" s="87">
        <f>HYPERLINK("https://www1.hkexnews.hk/listedco/listconews/sehk/2021/0312/2021031200021.pdf","prospectus")</f>
        <v/>
      </c>
      <c r="BY28" s="87">
        <f>HYPERLINK("https://www1.hkexnews.hk/listedco/listconews/sehk/2021/0322/2021032200016.htm","allotment")</f>
        <v/>
      </c>
      <c r="BZ28" s="87">
        <f>HYPERLINK("https://www1.hkexnews.hk/listedco/listconews/sehk/2021/0418/2021041800007.pdf","stabilisation")</f>
        <v/>
      </c>
      <c r="CA28" s="85" t="n"/>
      <c r="CB28" s="71" t="inlineStr">
        <is>
          <t>greenshoe: end-of-stabilisation notice not found; range low: maximum offer price only, no floor published; cornerstone list: names not extractable, see the prospectus; cornerstone %: aggregate not stated in the filing;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9" ht="15" customHeight="1">
      <c r="A29" s="70" t="inlineStr">
        <is>
          <t>2187</t>
        </is>
      </c>
      <c r="B29" s="71" t="inlineStr">
        <is>
          <t>ZHIXIN GP HLDG</t>
        </is>
      </c>
      <c r="C29" s="71" t="inlineStr">
        <is>
          <t>智欣集團控股</t>
        </is>
      </c>
      <c r="D29" s="71" t="inlineStr">
        <is>
          <t>Industrials</t>
        </is>
      </c>
      <c r="E29" s="71" t="inlineStr">
        <is>
          <t>Construction / engineering</t>
        </is>
      </c>
      <c r="F29" s="71" t="inlineStr">
        <is>
          <t>Construction Materials</t>
        </is>
      </c>
      <c r="G29" s="71" t="inlineStr">
        <is>
          <t>Standard</t>
        </is>
      </c>
      <c r="H29" s="72" t="n">
        <v>44281</v>
      </c>
      <c r="I29" s="73" t="n">
        <v>241.4</v>
      </c>
      <c r="J29" s="71" t="inlineStr">
        <is>
          <t>net proceeds</t>
        </is>
      </c>
      <c r="K29" s="74" t="n"/>
      <c r="L29" s="74" t="n">
        <v>1.5</v>
      </c>
      <c r="M29" s="74" t="n">
        <v>1.5</v>
      </c>
      <c r="N29" s="71" t="inlineStr">
        <is>
          <t>Y</t>
        </is>
      </c>
      <c r="O29" s="75" t="n">
        <v>100</v>
      </c>
      <c r="P29" s="75" t="n"/>
      <c r="Q29" s="76" t="n">
        <v>1122</v>
      </c>
      <c r="R29" s="71" t="inlineStr">
        <is>
          <t>prospectus:stated market capitalisation</t>
        </is>
      </c>
      <c r="S29" s="77" t="n">
        <v>25.24</v>
      </c>
      <c r="T29" s="88">
        <f>IF('BBG Verify'!E29="","not filed; run on terminal",'BBG Verify'!E29)</f>
        <v/>
      </c>
      <c r="U29" s="79" t="n">
        <v>30.3</v>
      </c>
      <c r="V29" s="80" t="n">
        <v>195</v>
      </c>
      <c r="W29" s="75" t="n"/>
      <c r="X29" s="71" t="n"/>
      <c r="Y29" s="76" t="n">
        <v>168.26</v>
      </c>
      <c r="Z29" s="76" t="n"/>
      <c r="AA29" s="75" t="n">
        <v>15</v>
      </c>
      <c r="AB29" s="71" t="inlineStr">
        <is>
          <t>Tenancy Co., Limited; Wang Miao</t>
        </is>
      </c>
      <c r="AC29" s="71" t="inlineStr">
        <is>
          <t>tenancy;wang-miao</t>
        </is>
      </c>
      <c r="AD29" s="75" t="n"/>
      <c r="AE29" s="71" t="n"/>
      <c r="AF29" s="71" t="n"/>
      <c r="AG29" s="71" t="n"/>
      <c r="AH29" s="71" t="n"/>
      <c r="AI29" s="81" t="n"/>
      <c r="AJ29" s="82" t="n">
        <v>-29.33</v>
      </c>
      <c r="AK29" s="82" t="n">
        <v>-3.33</v>
      </c>
      <c r="AL29" s="82" t="n">
        <v>-26.9</v>
      </c>
      <c r="AM29" s="83" t="n"/>
      <c r="AN29" s="75" t="n">
        <v>33.1</v>
      </c>
      <c r="AO29" s="82" t="n">
        <v>-30</v>
      </c>
      <c r="AP29" s="82" t="n">
        <v>-23.33</v>
      </c>
      <c r="AQ29" s="82" t="n">
        <v>-16</v>
      </c>
      <c r="AR29" s="82" t="n">
        <v>-0.95</v>
      </c>
      <c r="AS29" s="82" t="n">
        <v>8.49</v>
      </c>
      <c r="AT29" s="82" t="n">
        <v>18.86</v>
      </c>
      <c r="AU29" s="82" t="n">
        <v>-34.83</v>
      </c>
      <c r="AV29" s="82" t="n">
        <v>-29.89</v>
      </c>
      <c r="AW29" s="82" t="n">
        <v>-25.18</v>
      </c>
      <c r="AX29" s="82" t="n">
        <v>4.35</v>
      </c>
      <c r="AY29" s="82" t="n">
        <v>6.56</v>
      </c>
      <c r="AZ29" s="82" t="n">
        <v>4.14</v>
      </c>
      <c r="BA29" s="71" t="inlineStr">
        <is>
          <t>Hang Seng Commerce &amp; Industry sub-index</t>
        </is>
      </c>
      <c r="BB29" s="82" t="n">
        <v>-69.33</v>
      </c>
      <c r="BC29" s="72" t="inlineStr">
        <is>
          <t>2026-09-23</t>
        </is>
      </c>
      <c r="BD29" s="73" t="n">
        <v>649.9</v>
      </c>
      <c r="BE29" s="76" t="n">
        <v>46</v>
      </c>
      <c r="BF29" s="71" t="inlineStr">
        <is>
          <t>Y</t>
        </is>
      </c>
      <c r="BG29" s="83" t="n">
        <v>24.4</v>
      </c>
      <c r="BH29" s="83" t="n">
        <v>8.199999999999999</v>
      </c>
      <c r="BI29" s="83" t="n"/>
      <c r="BJ29" s="83" t="n">
        <v>1.7</v>
      </c>
      <c r="BK29" s="84">
        <f>IF('BBG Verify'!S29="","not filed; run on terminal",'BBG Verify'!S29)</f>
        <v/>
      </c>
      <c r="BL29" s="85" t="inlineStr">
        <is>
          <t>N</t>
        </is>
      </c>
      <c r="BM29" s="86">
        <f>IF('BBG Verify'!K29="","not filed; run on terminal",'BBG Verify'!K29)</f>
        <v/>
      </c>
      <c r="BN29" s="71" t="inlineStr">
        <is>
          <t>N/A</t>
        </is>
      </c>
      <c r="BO29" s="71" t="inlineStr">
        <is>
          <t>N/A</t>
        </is>
      </c>
      <c r="BP29" s="71" t="inlineStr">
        <is>
          <t>N/A</t>
        </is>
      </c>
      <c r="BQ29" s="71" t="inlineStr">
        <is>
          <t>N/A</t>
        </is>
      </c>
      <c r="BR29" s="71" t="inlineStr">
        <is>
          <t>N/A</t>
        </is>
      </c>
      <c r="BS29" s="71" t="inlineStr">
        <is>
          <t>N/A</t>
        </is>
      </c>
      <c r="BT29" s="85" t="inlineStr">
        <is>
          <t>Kingsway Capital Limited</t>
        </is>
      </c>
      <c r="BU29" s="71" t="inlineStr">
        <is>
          <t>Kingsway Capital Limited</t>
        </is>
      </c>
      <c r="BV29" s="71" t="inlineStr">
        <is>
          <t>Kingsway Financial Services Group Limited; Seazen Resources Securities Limited; Zhongtai International Securities Limited; SPDB International Capital Limited</t>
        </is>
      </c>
      <c r="BW29" s="71" t="inlineStr">
        <is>
          <t>Haitong International Securities Company Limited; Kingsway Financial Services Group Limited; SPDB International Capital Limited; Seazen Resources Securities Limited; Zhongtai International Securities Limited; ZMF Asset Management Limited</t>
        </is>
      </c>
      <c r="BX29" s="87">
        <f>HYPERLINK("https://www1.hkexnews.hk/listedco/listconews/sehk/2021/0316/2021031600111.pdf","prospectus")</f>
        <v/>
      </c>
      <c r="BY29" s="87">
        <f>HYPERLINK("https://www1.hkexnews.hk/listedco/listconews/sehk/2021/0325/2021032500100.htm","allotment")</f>
        <v/>
      </c>
      <c r="BZ29" s="71" t="n"/>
      <c r="CA29" s="85" t="n"/>
      <c r="CB29" s="71"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etnet's story of the session gave only the Phillip mid-session quote (1.46, -2.7% vs offer) on 2021-03-25; no close was published; eff float shares: share count unavailable; the HK$m figure is exact; allocation: allocation table not in this notice's format (older prose announcement); day-1 tape: volume on file; the retail multiple needs the final public split, which this notice does not state</t>
        </is>
      </c>
    </row>
    <row r="30" ht="15" customHeight="1">
      <c r="A30" s="70" t="inlineStr">
        <is>
          <t>9626</t>
        </is>
      </c>
      <c r="B30" s="71" t="inlineStr">
        <is>
          <t>BILIBILI-SW</t>
        </is>
      </c>
      <c r="C30" s="71" t="inlineStr">
        <is>
          <t>嗶哩嗶哩－Ｗ</t>
        </is>
      </c>
      <c r="D30" s="71" t="inlineStr">
        <is>
          <t>Tech/AI</t>
        </is>
      </c>
      <c r="E30" s="71" t="inlineStr">
        <is>
          <t>Internet platform / e-commerce</t>
        </is>
      </c>
      <c r="F30" s="71" t="inlineStr">
        <is>
          <t>e-Commerce &amp; Internet Services</t>
        </is>
      </c>
      <c r="G30" s="71" t="inlineStr">
        <is>
          <t>Secondary + WVR</t>
        </is>
      </c>
      <c r="H30" s="72" t="n">
        <v>44284</v>
      </c>
      <c r="I30" s="73" t="n">
        <v>20200</v>
      </c>
      <c r="J30" s="71" t="inlineStr">
        <is>
          <t>gross (price x shares)</t>
        </is>
      </c>
      <c r="K30" s="74" t="n"/>
      <c r="L30" s="74" t="n">
        <v>988</v>
      </c>
      <c r="M30" s="74" t="n">
        <v>808</v>
      </c>
      <c r="N30" s="71" t="inlineStr">
        <is>
          <t>N</t>
        </is>
      </c>
      <c r="O30" s="75" t="n">
        <v>81.8</v>
      </c>
      <c r="P30" s="75" t="n"/>
      <c r="Q30" s="76" t="n">
        <v>298019</v>
      </c>
      <c r="R30" s="71" t="inlineStr">
        <is>
          <t>press:chinanews 2021-03-30: 总市值约2980.19亿港元 | FINANCIALS (RMB x1.1): Bilibili FY2020 PR/20-F: total net revenues RMB11,999.0m (stored NI is the attributable line, kept)</t>
        </is>
      </c>
      <c r="S30" s="77" t="n">
        <v>174.19</v>
      </c>
      <c r="T30" s="78" t="n">
        <v>11.9</v>
      </c>
      <c r="U30" s="79" t="n"/>
      <c r="V30" s="80" t="n">
        <v>396</v>
      </c>
      <c r="W30" s="75" t="n"/>
      <c r="X30" s="71" t="n"/>
      <c r="Y30" s="76" t="n">
        <v>20200</v>
      </c>
      <c r="Z30" s="76" t="n">
        <v>25000000</v>
      </c>
      <c r="AA30" s="75" t="n">
        <v>6.78</v>
      </c>
      <c r="AB30" s="71" t="n"/>
      <c r="AC30" s="71" t="n"/>
      <c r="AD30" s="75" t="n">
        <v>6.6</v>
      </c>
      <c r="AE30" s="71" t="inlineStr">
        <is>
          <t>full</t>
        </is>
      </c>
      <c r="AF30" s="71" t="inlineStr">
        <is>
          <t>2021-04-22</t>
        </is>
      </c>
      <c r="AG30" s="71" t="inlineStr">
        <is>
          <t>Morgan Stanley Asia Limited</t>
        </is>
      </c>
      <c r="AH30" s="71" t="inlineStr">
        <is>
          <t>Morgan Stanley</t>
        </is>
      </c>
      <c r="AI30" s="81" t="n">
        <v>-6.56</v>
      </c>
      <c r="AJ30" s="82" t="n">
        <v>-0.99</v>
      </c>
      <c r="AK30" s="82" t="n">
        <v>-2.23</v>
      </c>
      <c r="AL30" s="82" t="n">
        <v>1.27</v>
      </c>
      <c r="AM30" s="83" t="n"/>
      <c r="AN30" s="75" t="n">
        <v>5.95</v>
      </c>
      <c r="AO30" s="82" t="n">
        <v>5.82</v>
      </c>
      <c r="AP30" s="82" t="n">
        <v>10.27</v>
      </c>
      <c r="AQ30" s="82" t="n">
        <v>15.72</v>
      </c>
      <c r="AR30" s="82" t="n">
        <v>6.88</v>
      </c>
      <c r="AS30" s="82" t="n">
        <v>11.37</v>
      </c>
      <c r="AT30" s="82" t="n">
        <v>16.88</v>
      </c>
      <c r="AU30" s="82" t="n">
        <v>1.79</v>
      </c>
      <c r="AV30" s="82" t="n">
        <v>7.85</v>
      </c>
      <c r="AW30" s="82" t="n">
        <v>18.57</v>
      </c>
      <c r="AX30" s="82" t="n">
        <v>6.87</v>
      </c>
      <c r="AY30" s="82" t="n">
        <v>2.42</v>
      </c>
      <c r="AZ30" s="82" t="n">
        <v>4.5</v>
      </c>
      <c r="BA30" s="71" t="inlineStr">
        <is>
          <t>HSTECH (Hang Seng TECH ETF)</t>
        </is>
      </c>
      <c r="BB30" s="82" t="n">
        <v>-85.31</v>
      </c>
      <c r="BC30" s="72" t="inlineStr">
        <is>
          <t>2026-09-23</t>
        </is>
      </c>
      <c r="BD30" s="73" t="n">
        <v>13198.9</v>
      </c>
      <c r="BE30" s="76" t="n">
        <v>-3359.4</v>
      </c>
      <c r="BF30" s="71" t="inlineStr">
        <is>
          <t>N</t>
        </is>
      </c>
      <c r="BG30" s="71" t="inlineStr">
        <is>
          <t>n/m</t>
        </is>
      </c>
      <c r="BH30" s="83" t="n"/>
      <c r="BI30" s="83" t="n"/>
      <c r="BJ30" s="83" t="n">
        <v>22.6</v>
      </c>
      <c r="BK30" s="84">
        <f>IF('BBG Verify'!S30="","not filed; run on terminal",'BBG Verify'!S30)</f>
        <v/>
      </c>
      <c r="BL30" s="85" t="inlineStr">
        <is>
          <t>N</t>
        </is>
      </c>
      <c r="BM30" s="86">
        <f>IF('BBG Verify'!K30="","not filed; run on terminal",'BBG Verify'!K30)</f>
        <v/>
      </c>
      <c r="BN30" s="71" t="inlineStr">
        <is>
          <t>N/A</t>
        </is>
      </c>
      <c r="BO30" s="71" t="inlineStr">
        <is>
          <t>N/A</t>
        </is>
      </c>
      <c r="BP30" s="71" t="inlineStr">
        <is>
          <t>N/A</t>
        </is>
      </c>
      <c r="BQ30" s="71" t="inlineStr">
        <is>
          <t>N/A</t>
        </is>
      </c>
      <c r="BR30" s="71" t="inlineStr">
        <is>
          <t>N/A</t>
        </is>
      </c>
      <c r="BS30" s="71" t="inlineStr">
        <is>
          <t>N/A</t>
        </is>
      </c>
      <c r="BT30" s="85" t="inlineStr">
        <is>
          <t>Morgan Stanley Asia Limited; Goldman Sachs (Asia) L.L.C; J.P. Morgan Securities (Far East) Limited; UBS Securities Hong Kong Limited</t>
        </is>
      </c>
      <c r="BU30" s="71" t="inlineStr">
        <is>
          <t>Morgan Stanley Asia Limited; J.P. Morgan Securities (Far East) Limited; UBS Securities Hong Kong Limited; Goldman Sachs (Asia) L.L.C.</t>
        </is>
      </c>
      <c r="BV30" s="71"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W30" s="71"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X30" s="87">
        <f>HYPERLINK("https://www1.hkexnews.hk/listedco/listconews/sehk/2021/0318/2021031800173.pdf","prospectus")</f>
        <v/>
      </c>
      <c r="BY30" s="87">
        <f>HYPERLINK("https://www1.hkexnews.hk/listedco/listconews/sehk/2021/0326/2021032600074.htm","allotment")</f>
        <v/>
      </c>
      <c r="BZ30" s="87">
        <f>HYPERLINK("https://www1.hkexnews.hk/listedco/listconews/sehk/2021/0422/2021042202002.pdf","stabilisation")</f>
        <v/>
      </c>
      <c r="CA30" s="85" t="n"/>
      <c r="CB30" s="71" t="inlineStr">
        <is>
          <t>P/E: loss-making at IPO, use P/S; range low: maximum offer price only, no floor published; cornerstone list: no cornerstone tranche; cornerstone %: no cornerstone tranche; allocation: allocation table not in this notice's format (older prose announcement); day-1 tape: volume on file; the retail multiple needs the final public split, which this notice does not state</t>
        </is>
      </c>
    </row>
    <row r="31" ht="15" customHeight="1">
      <c r="A31" s="70" t="inlineStr">
        <is>
          <t>6939</t>
        </is>
      </c>
      <c r="B31" s="71" t="inlineStr">
        <is>
          <t>MEGAIN</t>
        </is>
      </c>
      <c r="C31" s="71" t="inlineStr">
        <is>
          <t>美佳音控股</t>
        </is>
      </c>
      <c r="D31" s="71" t="inlineStr">
        <is>
          <t>Tech/AI</t>
        </is>
      </c>
      <c r="E31" s="71" t="inlineStr">
        <is>
          <t>AI chips &amp; semis</t>
        </is>
      </c>
      <c r="F31" s="71" t="inlineStr">
        <is>
          <t>Electrical Components &amp; Equipment</t>
        </is>
      </c>
      <c r="G31" s="71" t="inlineStr">
        <is>
          <t>Standard</t>
        </is>
      </c>
      <c r="H31" s="72" t="n">
        <v>44286</v>
      </c>
      <c r="I31" s="73" t="n">
        <v>157.5</v>
      </c>
      <c r="J31" s="71" t="inlineStr">
        <is>
          <t>gross (price x shares)</t>
        </is>
      </c>
      <c r="K31" s="74" t="n">
        <v>1.15</v>
      </c>
      <c r="L31" s="74" t="n">
        <v>1.35</v>
      </c>
      <c r="M31" s="74" t="n">
        <v>1.26</v>
      </c>
      <c r="N31" s="71" t="inlineStr">
        <is>
          <t>N</t>
        </is>
      </c>
      <c r="O31" s="75" t="n">
        <v>93.3</v>
      </c>
      <c r="P31" s="75" t="n">
        <v>55</v>
      </c>
      <c r="Q31" s="76" t="n">
        <v>693.4</v>
      </c>
      <c r="R31" s="71" t="inlineStr">
        <is>
          <t>aastocks:上市市值 at the struck price</t>
        </is>
      </c>
      <c r="S31" s="77" t="n">
        <v>22.43</v>
      </c>
      <c r="T31" s="78" t="n">
        <v>1.71</v>
      </c>
      <c r="U31" s="79" t="n">
        <v>0</v>
      </c>
      <c r="V31" s="80" t="n">
        <v>201</v>
      </c>
      <c r="W31" s="75" t="n">
        <v>30</v>
      </c>
      <c r="X31" s="71" t="inlineStr">
        <is>
          <t>YES</t>
        </is>
      </c>
      <c r="Y31" s="76" t="n">
        <v>157.5</v>
      </c>
      <c r="Z31" s="76" t="n">
        <v>125000000</v>
      </c>
      <c r="AA31" s="75" t="n">
        <v>22.71</v>
      </c>
      <c r="AB31" s="71" t="n"/>
      <c r="AC31" s="71" t="n"/>
      <c r="AD31" s="75" t="n">
        <v>16.63</v>
      </c>
      <c r="AE31" s="71" t="inlineStr">
        <is>
          <t>full</t>
        </is>
      </c>
      <c r="AF31" s="71" t="n"/>
      <c r="AG31" s="71" t="inlineStr">
        <is>
          <t>CMBC Securities Company Limited</t>
        </is>
      </c>
      <c r="AH31" s="71" t="inlineStr">
        <is>
          <t>CMBC</t>
        </is>
      </c>
      <c r="AI31" s="81" t="n"/>
      <c r="AJ31" s="82" t="n">
        <v>6.35</v>
      </c>
      <c r="AK31" s="82" t="n">
        <v>10.32</v>
      </c>
      <c r="AL31" s="82" t="n">
        <v>-3.6</v>
      </c>
      <c r="AM31" s="83" t="n">
        <v>1.89</v>
      </c>
      <c r="AN31" s="75" t="n">
        <v>12.23</v>
      </c>
      <c r="AO31" s="82" t="n">
        <v>12.7</v>
      </c>
      <c r="AP31" s="82" t="n">
        <v>15.08</v>
      </c>
      <c r="AQ31" s="82" t="n">
        <v>44.44</v>
      </c>
      <c r="AR31" s="82" t="n">
        <v>5.97</v>
      </c>
      <c r="AS31" s="82" t="n">
        <v>8.210000000000001</v>
      </c>
      <c r="AT31" s="82" t="n">
        <v>35.82</v>
      </c>
      <c r="AU31" s="82" t="n">
        <v>12.64</v>
      </c>
      <c r="AV31" s="82" t="n">
        <v>13.91</v>
      </c>
      <c r="AW31" s="82" t="n">
        <v>50.84</v>
      </c>
      <c r="AX31" s="82" t="n">
        <v>7.04</v>
      </c>
      <c r="AY31" s="82" t="n">
        <v>1.17</v>
      </c>
      <c r="AZ31" s="82" t="n">
        <v>1.17</v>
      </c>
      <c r="BA31" s="71" t="inlineStr">
        <is>
          <t>HSTECH (Hang Seng TECH ETF)</t>
        </is>
      </c>
      <c r="BB31" s="82" t="n">
        <v>-2.78</v>
      </c>
      <c r="BC31" s="72" t="inlineStr">
        <is>
          <t>2026-09-23</t>
        </is>
      </c>
      <c r="BD31" s="73" t="n">
        <v>173.8</v>
      </c>
      <c r="BE31" s="76" t="n">
        <v>45.4</v>
      </c>
      <c r="BF31" s="71" t="inlineStr">
        <is>
          <t>Y</t>
        </is>
      </c>
      <c r="BG31" s="83" t="n">
        <v>15.3</v>
      </c>
      <c r="BH31" s="83" t="n"/>
      <c r="BI31" s="83" t="n"/>
      <c r="BJ31" s="83" t="n">
        <v>4</v>
      </c>
      <c r="BK31" s="84">
        <f>IF('BBG Verify'!S31="","not filed; run on terminal",'BBG Verify'!S31)</f>
        <v/>
      </c>
      <c r="BL31" s="85" t="inlineStr">
        <is>
          <t>N</t>
        </is>
      </c>
      <c r="BM31" s="86">
        <f>IF('BBG Verify'!K31="","not filed; run on terminal",'BBG Verify'!K31)</f>
        <v/>
      </c>
      <c r="BN31" s="71" t="inlineStr">
        <is>
          <t>N/A</t>
        </is>
      </c>
      <c r="BO31" s="71" t="inlineStr">
        <is>
          <t>N/A</t>
        </is>
      </c>
      <c r="BP31" s="71" t="inlineStr">
        <is>
          <t>N/A</t>
        </is>
      </c>
      <c r="BQ31" s="71" t="inlineStr">
        <is>
          <t>N/A</t>
        </is>
      </c>
      <c r="BR31" s="71" t="inlineStr">
        <is>
          <t>N/A</t>
        </is>
      </c>
      <c r="BS31" s="71" t="inlineStr">
        <is>
          <t>N/A</t>
        </is>
      </c>
      <c r="BT31" s="85" t="inlineStr">
        <is>
          <t>CMBC International Capital Limited</t>
        </is>
      </c>
      <c r="BU31" s="71" t="inlineStr">
        <is>
          <t>CMBC International Capital Limited</t>
        </is>
      </c>
      <c r="BV31" s="71"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W31" s="71"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X31" s="87">
        <f>HYPERLINK("https://www1.hkexnews.hk/listedco/listconews/sehk/2021/0318/2021031800013.pdf","prospectus")</f>
        <v/>
      </c>
      <c r="BY31" s="87">
        <f>HYPERLINK("https://www1.hkexnews.hk/listedco/listconews/sehk/2021/0330/2021033000148.htm","allotment")</f>
        <v/>
      </c>
      <c r="BZ31" s="87">
        <f>HYPERLINK("https://www1.hkexnews.hk/listedco/listconews/sehk/2021/0422/2021042201830.pdf","stabilisation")</f>
        <v/>
      </c>
      <c r="CA31" s="85" t="n"/>
      <c r="CB31" s="71" t="inlineStr">
        <is>
          <t>greenshoe: outcome published; expiry date not in the notice; market cap: published listing cap used; the estimate from deal size / offer % of enlarged capital disagreed; cornerstone list: no cornerstone tranche; grey market: etnet's story of the session gave only the Phillip open (1.25, -0.8% vs offer) on 2021-03-30; no close was published</t>
        </is>
      </c>
    </row>
    <row r="32" ht="15" customHeight="1">
      <c r="A32" s="70" t="inlineStr">
        <is>
          <t>6608</t>
        </is>
      </c>
      <c r="B32" s="71" t="inlineStr">
        <is>
          <t>BAIRONG-W</t>
        </is>
      </c>
      <c r="C32" s="71" t="inlineStr">
        <is>
          <t>百融智能－Ｗ</t>
        </is>
      </c>
      <c r="D32" s="71" t="inlineStr">
        <is>
          <t>Tech/AI</t>
        </is>
      </c>
      <c r="E32" s="71" t="inlineStr">
        <is>
          <t>Fintech platform</t>
        </is>
      </c>
      <c r="F32" s="71" t="inlineStr">
        <is>
          <t>Systems Software</t>
        </is>
      </c>
      <c r="G32" s="71" t="inlineStr">
        <is>
          <t>WVR</t>
        </is>
      </c>
      <c r="H32" s="72" t="n">
        <v>44286</v>
      </c>
      <c r="I32" s="73" t="n">
        <v>3937.6</v>
      </c>
      <c r="J32" s="71" t="inlineStr">
        <is>
          <t>gross (price x shares)</t>
        </is>
      </c>
      <c r="K32" s="74" t="n"/>
      <c r="L32" s="74" t="n">
        <v>31.8</v>
      </c>
      <c r="M32" s="74" t="n">
        <v>31.8</v>
      </c>
      <c r="N32" s="71" t="inlineStr">
        <is>
          <t>Y</t>
        </is>
      </c>
      <c r="O32" s="75" t="n">
        <v>100</v>
      </c>
      <c r="P32" s="75" t="n"/>
      <c r="Q32" s="76" t="n">
        <v>15750.2</v>
      </c>
      <c r="R32" s="71" t="inlineStr">
        <is>
          <t>aastocks:上市市值 at the struck price</t>
        </is>
      </c>
      <c r="S32" s="77" t="n">
        <v>150.67</v>
      </c>
      <c r="T32" s="78" t="n">
        <v>36.3</v>
      </c>
      <c r="U32" s="79" t="n">
        <v>47.3</v>
      </c>
      <c r="V32" s="80" t="n">
        <v>198</v>
      </c>
      <c r="W32" s="75" t="n"/>
      <c r="X32" s="71" t="n"/>
      <c r="Y32" s="76" t="n">
        <v>2075.12</v>
      </c>
      <c r="Z32" s="76" t="n">
        <v>65254458</v>
      </c>
      <c r="AA32" s="75" t="n">
        <v>13.18</v>
      </c>
      <c r="AB32" s="71" t="inlineStr">
        <is>
          <t>Cederberg Capital Limited; China Structural Reform Fund Corporation Limited; Franchise Fund LP</t>
        </is>
      </c>
      <c r="AC32" s="71" t="inlineStr">
        <is>
          <t>cederberg;structural;franchise</t>
        </is>
      </c>
      <c r="AD32" s="75" t="n">
        <v>5.19</v>
      </c>
      <c r="AE32" s="71" t="inlineStr">
        <is>
          <t>lapsed</t>
        </is>
      </c>
      <c r="AF32" s="71" t="n"/>
      <c r="AG32" s="71" t="n"/>
      <c r="AH32" s="71" t="n"/>
      <c r="AI32" s="81" t="n"/>
      <c r="AJ32" s="82" t="n">
        <v>-16.04</v>
      </c>
      <c r="AK32" s="82" t="n">
        <v>-7.39</v>
      </c>
      <c r="AL32" s="82" t="n">
        <v>-9.34</v>
      </c>
      <c r="AM32" s="83" t="n"/>
      <c r="AN32" s="75" t="n">
        <v>9.51</v>
      </c>
      <c r="AO32" s="82" t="n">
        <v>-23.11</v>
      </c>
      <c r="AP32" s="82" t="n">
        <v>-35.06</v>
      </c>
      <c r="AQ32" s="82" t="n">
        <v>-40.57</v>
      </c>
      <c r="AR32" s="82" t="n">
        <v>-8.42</v>
      </c>
      <c r="AS32" s="82" t="n">
        <v>-22.65</v>
      </c>
      <c r="AT32" s="82" t="n">
        <v>-29.22</v>
      </c>
      <c r="AU32" s="82" t="n">
        <v>-23.17</v>
      </c>
      <c r="AV32" s="82" t="n">
        <v>-36.23</v>
      </c>
      <c r="AW32" s="82" t="n">
        <v>-34.17</v>
      </c>
      <c r="AX32" s="82" t="n">
        <v>-23.82</v>
      </c>
      <c r="AY32" s="82" t="n">
        <v>1.17</v>
      </c>
      <c r="AZ32" s="82" t="n">
        <v>1.17</v>
      </c>
      <c r="BA32" s="71" t="inlineStr">
        <is>
          <t>HSTECH (Hang Seng TECH ETF)</t>
        </is>
      </c>
      <c r="BB32" s="82" t="n">
        <v>-85.47</v>
      </c>
      <c r="BC32" s="72" t="inlineStr">
        <is>
          <t>2026-09-23</t>
        </is>
      </c>
      <c r="BD32" s="73" t="n">
        <v>447</v>
      </c>
      <c r="BE32" s="76" t="n">
        <v>-103.6</v>
      </c>
      <c r="BF32" s="71" t="inlineStr">
        <is>
          <t>N</t>
        </is>
      </c>
      <c r="BG32" s="71" t="inlineStr">
        <is>
          <t>n/m</t>
        </is>
      </c>
      <c r="BH32" s="83" t="n"/>
      <c r="BI32" s="83" t="n">
        <v>32.3</v>
      </c>
      <c r="BJ32" s="83" t="n">
        <v>35.2</v>
      </c>
      <c r="BK32" s="84">
        <f>IF('BBG Verify'!S32="","not filed; run on terminal",'BBG Verify'!S32)</f>
        <v/>
      </c>
      <c r="BL32" s="85" t="inlineStr">
        <is>
          <t>N</t>
        </is>
      </c>
      <c r="BM32" s="86">
        <f>IF('BBG Verify'!K32="","not filed; run on terminal",'BBG Verify'!K32)</f>
        <v/>
      </c>
      <c r="BN32" s="71" t="inlineStr">
        <is>
          <t>N/A</t>
        </is>
      </c>
      <c r="BO32" s="71" t="inlineStr">
        <is>
          <t>N/A</t>
        </is>
      </c>
      <c r="BP32" s="71" t="inlineStr">
        <is>
          <t>N/A</t>
        </is>
      </c>
      <c r="BQ32" s="71" t="inlineStr">
        <is>
          <t>N/A</t>
        </is>
      </c>
      <c r="BR32" s="71" t="inlineStr">
        <is>
          <t>N/A</t>
        </is>
      </c>
      <c r="BS32" s="71" t="inlineStr">
        <is>
          <t>N/A</t>
        </is>
      </c>
      <c r="BT32" s="85" t="inlineStr">
        <is>
          <t>Morgan Stanley Asia Limited; China International Capital Corporation Hong Kong Securities Limited; CMBC International Capital Limited</t>
        </is>
      </c>
      <c r="BU32" s="71" t="inlineStr">
        <is>
          <t>China International Capital Corporation Hong Kong Securities Limited; Morgan Stanley Asia Limited; CMBC International Capital Limited</t>
        </is>
      </c>
      <c r="BV32" s="71"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W32" s="71"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X32" s="87">
        <f>HYPERLINK("https://www1.hkexnews.hk/listedco/listconews/sehk/2021/0319/2021031900021.pdf","prospectus")</f>
        <v/>
      </c>
      <c r="BY32" s="87">
        <f>HYPERLINK("https://www1.hkexnews.hk/listedco/listconews/sehk/2021/0330/2021033000204.htm","allotment")</f>
        <v/>
      </c>
      <c r="BZ32" s="87">
        <f>HYPERLINK("https://www1.hkexnews.hk/listedco/listconews/sehk/2021/0423/2021042302099.pdf","stabilisation")</f>
        <v/>
      </c>
      <c r="CA32" s="85" t="n"/>
      <c r="CB32" s="71"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33" ht="15" customHeight="1">
      <c r="A33" s="70" t="inlineStr">
        <is>
          <t>2195</t>
        </is>
      </c>
      <c r="B33" s="71" t="inlineStr">
        <is>
          <t>UNITY ENT</t>
        </is>
      </c>
      <c r="C33" s="71" t="inlineStr">
        <is>
          <t>盈滙企業控股</t>
        </is>
      </c>
      <c r="D33" s="71" t="inlineStr">
        <is>
          <t>Industrials</t>
        </is>
      </c>
      <c r="E33" s="71" t="inlineStr">
        <is>
          <t>Construction / engineering</t>
        </is>
      </c>
      <c r="F33" s="71" t="inlineStr">
        <is>
          <t>Building Construction</t>
        </is>
      </c>
      <c r="G33" s="71" t="inlineStr">
        <is>
          <t>Standard</t>
        </is>
      </c>
      <c r="H33" s="72" t="n">
        <v>44286</v>
      </c>
      <c r="I33" s="73" t="n">
        <v>140</v>
      </c>
      <c r="J33" s="71" t="inlineStr">
        <is>
          <t>gross (price x shares)</t>
        </is>
      </c>
      <c r="K33" s="74" t="n">
        <v>0.5</v>
      </c>
      <c r="L33" s="74" t="n">
        <v>0.5600000000000001</v>
      </c>
      <c r="M33" s="74" t="n">
        <v>0.5600000000000001</v>
      </c>
      <c r="N33" s="71" t="inlineStr">
        <is>
          <t>Y</t>
        </is>
      </c>
      <c r="O33" s="75" t="n">
        <v>100</v>
      </c>
      <c r="P33" s="75" t="n">
        <v>100</v>
      </c>
      <c r="Q33" s="76" t="n">
        <v>560</v>
      </c>
      <c r="R33" s="71" t="inlineStr">
        <is>
          <t>aastocks:上市市值 at the struck price</t>
        </is>
      </c>
      <c r="S33" s="77" t="n">
        <v>21.65</v>
      </c>
      <c r="T33" s="78" t="n">
        <v>1.08</v>
      </c>
      <c r="U33" s="79" t="n"/>
      <c r="V33" s="80" t="n">
        <v>129</v>
      </c>
      <c r="W33" s="75" t="n">
        <v>30</v>
      </c>
      <c r="X33" s="71" t="inlineStr">
        <is>
          <t>YES</t>
        </is>
      </c>
      <c r="Y33" s="76" t="n">
        <v>140</v>
      </c>
      <c r="Z33" s="76" t="n">
        <v>250000000</v>
      </c>
      <c r="AA33" s="75" t="n">
        <v>25</v>
      </c>
      <c r="AB33" s="71" t="n"/>
      <c r="AC33" s="71" t="n"/>
      <c r="AD33" s="75" t="n"/>
      <c r="AE33" s="71" t="n"/>
      <c r="AF33" s="71" t="inlineStr">
        <is>
          <t>2021-04-23</t>
        </is>
      </c>
      <c r="AG33" s="71" t="n"/>
      <c r="AH33" s="71" t="n"/>
      <c r="AI33" s="81" t="n"/>
      <c r="AJ33" s="82" t="n">
        <v>-41.07</v>
      </c>
      <c r="AK33" s="82" t="n">
        <v>-28.57</v>
      </c>
      <c r="AL33" s="82" t="n">
        <v>-17.5</v>
      </c>
      <c r="AM33" s="83" t="n">
        <v>1.4</v>
      </c>
      <c r="AN33" s="75" t="n">
        <v>21.25</v>
      </c>
      <c r="AO33" s="82" t="n">
        <v>-46.43</v>
      </c>
      <c r="AP33" s="82" t="n">
        <v>-17.86</v>
      </c>
      <c r="AQ33" s="82" t="n">
        <v>-24.11</v>
      </c>
      <c r="AR33" s="82" t="n">
        <v>-9.1</v>
      </c>
      <c r="AS33" s="82" t="n">
        <v>39.39</v>
      </c>
      <c r="AT33" s="82" t="n">
        <v>28.78</v>
      </c>
      <c r="AU33" s="82" t="n">
        <v>-46.9</v>
      </c>
      <c r="AV33" s="82" t="n">
        <v>-19.52</v>
      </c>
      <c r="AW33" s="82" t="n">
        <v>-25.43</v>
      </c>
      <c r="AX33" s="82" t="n">
        <v>37.5</v>
      </c>
      <c r="AY33" s="82" t="n">
        <v>1.66</v>
      </c>
      <c r="AZ33" s="82" t="n">
        <v>1.89</v>
      </c>
      <c r="BA33" s="71" t="inlineStr">
        <is>
          <t>Hang Seng Commerce &amp; Industry sub-index</t>
        </is>
      </c>
      <c r="BB33" s="82" t="n">
        <v>-95.36</v>
      </c>
      <c r="BC33" s="72" t="inlineStr">
        <is>
          <t>2026-09-23</t>
        </is>
      </c>
      <c r="BD33" s="73" t="n">
        <v>302</v>
      </c>
      <c r="BE33" s="76" t="n">
        <v>43.2</v>
      </c>
      <c r="BF33" s="71" t="inlineStr">
        <is>
          <t>Y</t>
        </is>
      </c>
      <c r="BG33" s="83" t="n">
        <v>13</v>
      </c>
      <c r="BH33" s="83" t="n">
        <v>6.6</v>
      </c>
      <c r="BI33" s="83" t="n"/>
      <c r="BJ33" s="83" t="n">
        <v>1.9</v>
      </c>
      <c r="BK33" s="84">
        <f>IF('BBG Verify'!S33="","not filed; run on terminal",'BBG Verify'!S33)</f>
        <v/>
      </c>
      <c r="BL33" s="85" t="inlineStr">
        <is>
          <t>N</t>
        </is>
      </c>
      <c r="BM33" s="86">
        <f>IF('BBG Verify'!K33="","not filed; run on terminal",'BBG Verify'!K33)</f>
        <v/>
      </c>
      <c r="BN33" s="71" t="inlineStr">
        <is>
          <t>N/A</t>
        </is>
      </c>
      <c r="BO33" s="71" t="inlineStr">
        <is>
          <t>N/A</t>
        </is>
      </c>
      <c r="BP33" s="71" t="inlineStr">
        <is>
          <t>N/A</t>
        </is>
      </c>
      <c r="BQ33" s="71" t="inlineStr">
        <is>
          <t>N/A</t>
        </is>
      </c>
      <c r="BR33" s="71" t="inlineStr">
        <is>
          <t>N/A</t>
        </is>
      </c>
      <c r="BS33" s="71" t="inlineStr">
        <is>
          <t>N/A</t>
        </is>
      </c>
      <c r="BT33" s="85" t="n"/>
      <c r="BU33" s="71" t="inlineStr">
        <is>
          <t>Grande Capital Limited</t>
        </is>
      </c>
      <c r="BV33" s="71" t="inlineStr">
        <is>
          <t>ChaoShang Securities Limited; Get Nice Securities Limited; Head &amp; Shoulders Securities Limited; MTF Securities Limited; Sinomax Securities Limited; Vinco Capital Limited</t>
        </is>
      </c>
      <c r="BW33" s="71" t="inlineStr">
        <is>
          <t>ChaoShang Securities Limited; Get Nice Securities Limited; Head &amp; Shoulders Securities Limited; MTF Securities Limited; Sinomax Securities Limited; Vinco Capital Limited; Zhong Jia Securities Limited</t>
        </is>
      </c>
      <c r="BX33" s="87">
        <f>HYPERLINK("https://www1.hkexnews.hk/listedco/listconews/sehk/2021/0319/2021031900036.htm","prospectus")</f>
        <v/>
      </c>
      <c r="BY33" s="87">
        <f>HYPERLINK("https://www1.hkexnews.hk/listedco/listconews/sehk/2021/0330/2021033000230.htm","allotment")</f>
        <v/>
      </c>
      <c r="BZ33" s="71" t="n"/>
      <c r="CA33" s="85" t="n"/>
      <c r="CB3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close found: etnet's news wire (every story that evening and the next morning), etnet's grey table (from Oct-2024) and AAStocks all checked</t>
        </is>
      </c>
    </row>
    <row r="34" ht="15" customHeight="1">
      <c r="A34" s="70" t="inlineStr">
        <is>
          <t>9959</t>
        </is>
      </c>
      <c r="B34" s="71" t="inlineStr">
        <is>
          <t>LINKLOGIS–W</t>
        </is>
      </c>
      <c r="C34" s="71" t="inlineStr">
        <is>
          <t>聯易融科技－Ｗ</t>
        </is>
      </c>
      <c r="D34" s="71" t="inlineStr">
        <is>
          <t>Tech/AI</t>
        </is>
      </c>
      <c r="E34" s="71" t="inlineStr">
        <is>
          <t>Fintech platform</t>
        </is>
      </c>
      <c r="F34" s="71" t="inlineStr">
        <is>
          <t>IT Consulting &amp; Other Services</t>
        </is>
      </c>
      <c r="G34" s="71" t="inlineStr">
        <is>
          <t>WVR</t>
        </is>
      </c>
      <c r="H34" s="72" t="n">
        <v>44295</v>
      </c>
      <c r="I34" s="73" t="n">
        <v>7961.6</v>
      </c>
      <c r="J34" s="71" t="inlineStr">
        <is>
          <t>gross (price x shares)</t>
        </is>
      </c>
      <c r="K34" s="74" t="n">
        <v>16.28</v>
      </c>
      <c r="L34" s="74" t="n">
        <v>18.28</v>
      </c>
      <c r="M34" s="74" t="n">
        <v>17.58</v>
      </c>
      <c r="N34" s="71" t="inlineStr">
        <is>
          <t>N</t>
        </is>
      </c>
      <c r="O34" s="75" t="n">
        <v>96.2</v>
      </c>
      <c r="P34" s="75" t="n">
        <v>65</v>
      </c>
      <c r="Q34" s="76" t="n">
        <v>35452.4</v>
      </c>
      <c r="R34" s="71" t="inlineStr">
        <is>
          <t>prospectus:stated market capitalisation, rescaled to the offer price</t>
        </is>
      </c>
      <c r="S34" s="77" t="n">
        <v>98.45999999999999</v>
      </c>
      <c r="T34" s="78" t="n">
        <v>14.83</v>
      </c>
      <c r="U34" s="79" t="n">
        <v>35.6</v>
      </c>
      <c r="V34" s="80" t="n">
        <v>294</v>
      </c>
      <c r="W34" s="75" t="n"/>
      <c r="X34" s="71" t="n"/>
      <c r="Y34" s="76" t="n">
        <v>5127.27</v>
      </c>
      <c r="Z34" s="76" t="n">
        <v>291653754</v>
      </c>
      <c r="AA34" s="75" t="n">
        <v>14.46</v>
      </c>
      <c r="AB34" s="71" t="inlineStr">
        <is>
          <t>BlackRock Funds; EDB Investments Pte Ltd; Fidelity International; Janus Henderson Funds; Ontario Teachers Pension Plan Board; Sequoia Funds</t>
        </is>
      </c>
      <c r="AC34" s="71" t="inlineStr">
        <is>
          <t>blackrock;edb;fidelity;janus;ontario;sequoia</t>
        </is>
      </c>
      <c r="AD34" s="75" t="n">
        <v>15</v>
      </c>
      <c r="AE34" s="71" t="inlineStr">
        <is>
          <t>full</t>
        </is>
      </c>
      <c r="AF34" s="71" t="inlineStr">
        <is>
          <t>2021-04-30</t>
        </is>
      </c>
      <c r="AG34" s="71" t="inlineStr">
        <is>
          <t>Goldman Sachs</t>
        </is>
      </c>
      <c r="AH34" s="71" t="inlineStr">
        <is>
          <t>Goldman Sachs</t>
        </is>
      </c>
      <c r="AI34" s="81" t="n"/>
      <c r="AJ34" s="82" t="n">
        <v>9.9</v>
      </c>
      <c r="AK34" s="82" t="n">
        <v>9.9</v>
      </c>
      <c r="AL34" s="82" t="n">
        <v>0</v>
      </c>
      <c r="AM34" s="83" t="n"/>
      <c r="AN34" s="75" t="n">
        <v>7.35</v>
      </c>
      <c r="AO34" s="82" t="n">
        <v>25.43</v>
      </c>
      <c r="AP34" s="82" t="n">
        <v>25.14</v>
      </c>
      <c r="AQ34" s="82" t="n">
        <v>-17.41</v>
      </c>
      <c r="AR34" s="82" t="n">
        <v>14.13</v>
      </c>
      <c r="AS34" s="82" t="n">
        <v>13.87</v>
      </c>
      <c r="AT34" s="82" t="n">
        <v>-24.85</v>
      </c>
      <c r="AU34" s="82" t="n">
        <v>28.11</v>
      </c>
      <c r="AV34" s="82" t="n">
        <v>31.82</v>
      </c>
      <c r="AW34" s="82" t="n">
        <v>-6.26</v>
      </c>
      <c r="AX34" s="82" t="n">
        <v>18.91</v>
      </c>
      <c r="AY34" s="82" t="n">
        <v>-6.68</v>
      </c>
      <c r="AZ34" s="82" t="n">
        <v>-5.04</v>
      </c>
      <c r="BA34" s="71" t="inlineStr">
        <is>
          <t>HSTECH (Hang Seng TECH ETF)</t>
        </is>
      </c>
      <c r="BB34" s="82" t="n">
        <v>-86.86</v>
      </c>
      <c r="BC34" s="72" t="inlineStr">
        <is>
          <t>2026-09-23</t>
        </is>
      </c>
      <c r="BD34" s="73" t="n">
        <v>167.9</v>
      </c>
      <c r="BE34" s="76" t="n">
        <v>-787</v>
      </c>
      <c r="BF34" s="71" t="inlineStr">
        <is>
          <t>N</t>
        </is>
      </c>
      <c r="BG34" s="71" t="inlineStr">
        <is>
          <t>n/m</t>
        </is>
      </c>
      <c r="BH34" s="83" t="n"/>
      <c r="BI34" s="83" t="n"/>
      <c r="BJ34" s="83" t="n">
        <v>211.2</v>
      </c>
      <c r="BK34" s="84">
        <f>IF('BBG Verify'!S34="","not filed; run on terminal",'BBG Verify'!S34)</f>
        <v/>
      </c>
      <c r="BL34" s="85" t="inlineStr">
        <is>
          <t>N</t>
        </is>
      </c>
      <c r="BM34" s="86">
        <f>IF('BBG Verify'!K34="","not filed; run on terminal",'BBG Verify'!K34)</f>
        <v/>
      </c>
      <c r="BN34" s="71" t="inlineStr">
        <is>
          <t>N/A</t>
        </is>
      </c>
      <c r="BO34" s="71" t="inlineStr">
        <is>
          <t>N/A</t>
        </is>
      </c>
      <c r="BP34" s="71" t="inlineStr">
        <is>
          <t>N/A</t>
        </is>
      </c>
      <c r="BQ34" s="71" t="inlineStr">
        <is>
          <t>N/A</t>
        </is>
      </c>
      <c r="BR34" s="71" t="inlineStr">
        <is>
          <t>N/A</t>
        </is>
      </c>
      <c r="BS34" s="71" t="inlineStr">
        <is>
          <t>N/A</t>
        </is>
      </c>
      <c r="BT34" s="85" t="inlineStr">
        <is>
          <t>Goldman Sachs (Asia) L.L.C; China International Capital Corporation Hong Kong Securities Limited</t>
        </is>
      </c>
      <c r="BU34" s="71" t="inlineStr">
        <is>
          <t>China International Capital Corporation Hong Kong Securities Limited; Goldman Sachs (Asia) L.L.C.</t>
        </is>
      </c>
      <c r="BV34" s="71" t="inlineStr">
        <is>
          <t>Goldman Sachs (Asia) L.L.C; China International Capital Corporation Hong Kong Securities Limited; Citigroup Global Markets Asia Limited; Kong) Limited; CLSA Limited</t>
        </is>
      </c>
      <c r="BW34" s="71"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X34" s="87">
        <f>HYPERLINK("https://www1.hkexnews.hk/listedco/listconews/sehk/2021/0326/2021032600037.pdf","prospectus")</f>
        <v/>
      </c>
      <c r="BY34" s="87">
        <f>HYPERLINK("https://www1.hkexnews.hk/listedco/listconews/sehk/2021/0408/2021040800096.htm","allotment")</f>
        <v/>
      </c>
      <c r="BZ34" s="87">
        <f>HYPERLINK("https://www1.hkexnews.hk/listedco/listconews/sehk/2021/0430/2021043002237.pdf","stabilisation")</f>
        <v/>
      </c>
      <c r="CA34" s="85" t="n"/>
      <c r="CB34" s="71" t="inlineStr">
        <is>
          <t>P/E: loss-making at IPO, use P/S; market cap: prospectus cap HK$36,864m at HK$18.28, rescaled to HK$17.58; cornerstone: % from the prospectus; AAStocks table includes non-cornerstone orders; grey market: etnet's story of the session gave only the Phillip open (17.7, +0.7% vs offer) on 2021-04-08; no close was published; allocation: allocation table not in this notice's format (older prose announcement); day-1 tape: volume on file; the retail multiple needs the final public split, which this notice does not state</t>
        </is>
      </c>
    </row>
    <row r="35" ht="15" customHeight="1">
      <c r="A35" s="70" t="inlineStr">
        <is>
          <t>9961</t>
        </is>
      </c>
      <c r="B35" s="71" t="inlineStr">
        <is>
          <t>TRIP.COM-S</t>
        </is>
      </c>
      <c r="C35" s="71" t="inlineStr">
        <is>
          <t>攜程集團－Ｓ</t>
        </is>
      </c>
      <c r="D35" s="71" t="inlineStr">
        <is>
          <t>Tech/AI</t>
        </is>
      </c>
      <c r="E35" s="71" t="inlineStr">
        <is>
          <t>Internet platform / e-commerce</t>
        </is>
      </c>
      <c r="F35" s="71" t="inlineStr">
        <is>
          <t>Tourism</t>
        </is>
      </c>
      <c r="G35" s="71" t="inlineStr">
        <is>
          <t>Secondary</t>
        </is>
      </c>
      <c r="H35" s="72" t="n">
        <v>44305</v>
      </c>
      <c r="I35" s="73" t="n">
        <v>8478.299999999999</v>
      </c>
      <c r="J35" s="71" t="inlineStr">
        <is>
          <t>gross (price x shares)</t>
        </is>
      </c>
      <c r="K35" s="74" t="n"/>
      <c r="L35" s="74" t="n">
        <v>333</v>
      </c>
      <c r="M35" s="74" t="n">
        <v>268</v>
      </c>
      <c r="N35" s="71" t="inlineStr">
        <is>
          <t>N</t>
        </is>
      </c>
      <c r="O35" s="75" t="n">
        <v>80.5</v>
      </c>
      <c r="P35" s="75" t="n"/>
      <c r="Q35" s="76" t="n">
        <v>210692.8</v>
      </c>
      <c r="R35" s="71" t="inlineStr">
        <is>
          <t>prospectus:stated market capitalisation</t>
        </is>
      </c>
      <c r="S35" s="77" t="n">
        <v>17.78</v>
      </c>
      <c r="T35" s="78" t="n">
        <v>5.06</v>
      </c>
      <c r="U35" s="79" t="n"/>
      <c r="V35" s="80" t="n">
        <v>123</v>
      </c>
      <c r="W35" s="75" t="n"/>
      <c r="X35" s="71" t="n"/>
      <c r="Y35" s="76" t="n">
        <v>8478.299999999999</v>
      </c>
      <c r="Z35" s="76" t="n">
        <v>31635600</v>
      </c>
      <c r="AA35" s="75" t="n">
        <v>4.02</v>
      </c>
      <c r="AB35" s="71" t="n"/>
      <c r="AC35" s="71" t="n"/>
      <c r="AD35" s="75" t="n">
        <v>6.4</v>
      </c>
      <c r="AE35" s="71" t="inlineStr">
        <is>
          <t>full</t>
        </is>
      </c>
      <c r="AF35" s="71" t="inlineStr">
        <is>
          <t>2021-05-13</t>
        </is>
      </c>
      <c r="AG35" s="71" t="n"/>
      <c r="AH35" s="71" t="n"/>
      <c r="AI35" s="81" t="n">
        <v>3.73</v>
      </c>
      <c r="AJ35" s="82" t="n">
        <v>4.55</v>
      </c>
      <c r="AK35" s="82" t="n">
        <v>4.85</v>
      </c>
      <c r="AL35" s="82" t="n">
        <v>-0.29</v>
      </c>
      <c r="AM35" s="83" t="n"/>
      <c r="AN35" s="75" t="n">
        <v>2.14</v>
      </c>
      <c r="AO35" s="82" t="n">
        <v>11.49</v>
      </c>
      <c r="AP35" s="82" t="n">
        <v>13.73</v>
      </c>
      <c r="AQ35" s="82" t="n">
        <v>-16.04</v>
      </c>
      <c r="AR35" s="82" t="n">
        <v>6.64</v>
      </c>
      <c r="AS35" s="82" t="n">
        <v>8.779999999999999</v>
      </c>
      <c r="AT35" s="82" t="n">
        <v>-19.69</v>
      </c>
      <c r="AU35" s="82" t="n">
        <v>8.550000000000001</v>
      </c>
      <c r="AV35" s="82" t="n">
        <v>18.69</v>
      </c>
      <c r="AW35" s="82" t="n">
        <v>-5.26</v>
      </c>
      <c r="AX35" s="82" t="n">
        <v>15.01</v>
      </c>
      <c r="AY35" s="82" t="n">
        <v>-4.96</v>
      </c>
      <c r="AZ35" s="82" t="n">
        <v>-6.23</v>
      </c>
      <c r="BA35" s="71" t="inlineStr">
        <is>
          <t>HSTECH (Hang Seng TECH ETF)</t>
        </is>
      </c>
      <c r="BB35" s="82" t="n">
        <v>20.67</v>
      </c>
      <c r="BC35" s="72" t="inlineStr">
        <is>
          <t>2026-09-23</t>
        </is>
      </c>
      <c r="BD35" s="73" t="n">
        <v>20147.6</v>
      </c>
      <c r="BE35" s="76" t="n">
        <v>-3571.7</v>
      </c>
      <c r="BF35" s="71" t="inlineStr">
        <is>
          <t>N</t>
        </is>
      </c>
      <c r="BG35" s="71" t="inlineStr">
        <is>
          <t>n/m</t>
        </is>
      </c>
      <c r="BH35" s="83" t="n"/>
      <c r="BI35" s="83" t="n">
        <v>7.3</v>
      </c>
      <c r="BJ35" s="83" t="n">
        <v>10.5</v>
      </c>
      <c r="BK35" s="84">
        <f>IF('BBG Verify'!S35="","not filed; run on terminal",'BBG Verify'!S35)</f>
        <v/>
      </c>
      <c r="BL35" s="85" t="inlineStr">
        <is>
          <t>N</t>
        </is>
      </c>
      <c r="BM35" s="86">
        <f>IF('BBG Verify'!K35="","not filed; run on terminal",'BBG Verify'!K35)</f>
        <v/>
      </c>
      <c r="BN35" s="71" t="inlineStr">
        <is>
          <t>N/A</t>
        </is>
      </c>
      <c r="BO35" s="71" t="inlineStr">
        <is>
          <t>N/A</t>
        </is>
      </c>
      <c r="BP35" s="71" t="inlineStr">
        <is>
          <t>N/A</t>
        </is>
      </c>
      <c r="BQ35" s="71" t="inlineStr">
        <is>
          <t>N/A</t>
        </is>
      </c>
      <c r="BR35" s="71" t="inlineStr">
        <is>
          <t>N/A</t>
        </is>
      </c>
      <c r="BS35" s="71" t="inlineStr">
        <is>
          <t>N/A</t>
        </is>
      </c>
      <c r="BT35" s="8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U35" s="71" t="inlineStr">
        <is>
          <t>China International Capital Corporation Hong Kong Securities Limited; J.P. Morgan Securities (Far East) Limited; Goldman Sachs (Asia) L.L.C.</t>
        </is>
      </c>
      <c r="BV35" s="71" t="inlineStr">
        <is>
          <t>ICBC International Securities Limited; ABCI Securities Company Limited</t>
        </is>
      </c>
      <c r="BW35" s="71"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X35" s="87">
        <f>HYPERLINK("https://www1.hkexnews.hk/listedco/listconews/sehk/2021/0408/2021040800019.pdf","prospectus")</f>
        <v/>
      </c>
      <c r="BY35" s="87">
        <f>HYPERLINK("https://www1.hkexnews.hk/listedco/listconews/sehk/2021/0416/2021041600028.htm","allotment")</f>
        <v/>
      </c>
      <c r="BZ35" s="87">
        <f>HYPERLINK("https://www1.hkexnews.hk/listedco/listconews/sehk/2021/0513/2021051300333.pdf","stabilisation")</f>
        <v/>
      </c>
      <c r="CA35" s="85" t="n"/>
      <c r="CB35" s="71"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6" ht="15" customHeight="1">
      <c r="A36" s="70" t="inlineStr">
        <is>
          <t>6622</t>
        </is>
      </c>
      <c r="B36" s="71" t="inlineStr">
        <is>
          <t>ZHAOKE OPHTH-B</t>
        </is>
      </c>
      <c r="C36" s="71" t="inlineStr">
        <is>
          <t>兆科眼科－Ｂ</t>
        </is>
      </c>
      <c r="D36" s="71" t="inlineStr">
        <is>
          <t>Healthcare</t>
        </is>
      </c>
      <c r="E36" s="71" t="inlineStr">
        <is>
          <t>Biotech pre-revenue (18A)</t>
        </is>
      </c>
      <c r="F36" s="71" t="inlineStr">
        <is>
          <t>Biotechnology</t>
        </is>
      </c>
      <c r="G36" s="71" t="inlineStr">
        <is>
          <t>18A</t>
        </is>
      </c>
      <c r="H36" s="72" t="n">
        <v>44315</v>
      </c>
      <c r="I36" s="73" t="n">
        <v>2075.9</v>
      </c>
      <c r="J36" s="71" t="inlineStr">
        <is>
          <t>gross (price x shares)</t>
        </is>
      </c>
      <c r="K36" s="74" t="n">
        <v>15.38</v>
      </c>
      <c r="L36" s="74" t="n">
        <v>16.8</v>
      </c>
      <c r="M36" s="74" t="n">
        <v>16.8</v>
      </c>
      <c r="N36" s="71" t="inlineStr">
        <is>
          <t>Y</t>
        </is>
      </c>
      <c r="O36" s="75" t="n">
        <v>100</v>
      </c>
      <c r="P36" s="75" t="n">
        <v>100</v>
      </c>
      <c r="Q36" s="76" t="n">
        <v>8077.4</v>
      </c>
      <c r="R36" s="71" t="inlineStr">
        <is>
          <t>derived:deal size / offer % of enlarged capital</t>
        </is>
      </c>
      <c r="S36" s="77" t="n">
        <v>56</v>
      </c>
      <c r="T36" s="78" t="n">
        <v>5.3</v>
      </c>
      <c r="U36" s="79" t="n">
        <v>20.6</v>
      </c>
      <c r="V36" s="80" t="n">
        <v>110</v>
      </c>
      <c r="W36" s="75" t="n"/>
      <c r="X36" s="71" t="n"/>
      <c r="Y36" s="76" t="n">
        <v>1648.26</v>
      </c>
      <c r="Z36" s="76" t="n">
        <v>98112595</v>
      </c>
      <c r="AA36" s="75" t="n">
        <v>20.41</v>
      </c>
      <c r="AB36" s="71" t="inlineStr">
        <is>
          <t>CaaS Capital Master Fund LP; GIC Private Limited; Golden Valley Global Limited; Jennison Associates LLC; Mass Ave Global, Inc; Matthews Asia Growth Fund and Matthews Asia Innovators Fund; VMS Zhaoke Investment Fund SP</t>
        </is>
      </c>
      <c r="AC36" s="71" t="inlineStr">
        <is>
          <t>caas;gic;golden-valley;jennison;mass;matthews;vms</t>
        </is>
      </c>
      <c r="AD36" s="75" t="n">
        <v>5</v>
      </c>
      <c r="AE36" s="71" t="inlineStr">
        <is>
          <t>lapsed</t>
        </is>
      </c>
      <c r="AF36" s="71" t="inlineStr">
        <is>
          <t>2021-05-21</t>
        </is>
      </c>
      <c r="AG36" s="71" t="inlineStr">
        <is>
          <t>Goldman Sachs</t>
        </is>
      </c>
      <c r="AH36" s="71" t="inlineStr">
        <is>
          <t>Goldman Sachs</t>
        </is>
      </c>
      <c r="AI36" s="81" t="n"/>
      <c r="AJ36" s="82" t="n">
        <v>-14.76</v>
      </c>
      <c r="AK36" s="82" t="n">
        <v>-7.62</v>
      </c>
      <c r="AL36" s="82" t="n">
        <v>-7.73</v>
      </c>
      <c r="AM36" s="83" t="n"/>
      <c r="AN36" s="75" t="n">
        <v>8.51</v>
      </c>
      <c r="AO36" s="82" t="n">
        <v>-32.14</v>
      </c>
      <c r="AP36" s="82" t="n">
        <v>-20.95</v>
      </c>
      <c r="AQ36" s="82" t="n">
        <v>-52.38</v>
      </c>
      <c r="AR36" s="82" t="n">
        <v>-20.39</v>
      </c>
      <c r="AS36" s="82" t="n">
        <v>-7.26</v>
      </c>
      <c r="AT36" s="82" t="n">
        <v>-44.13</v>
      </c>
      <c r="AU36" s="82" t="n">
        <v>-27.25</v>
      </c>
      <c r="AV36" s="82" t="n">
        <v>-25.08</v>
      </c>
      <c r="AW36" s="82" t="n">
        <v>-46.33</v>
      </c>
      <c r="AX36" s="82" t="n">
        <v>-12.27</v>
      </c>
      <c r="AY36" s="82" t="n">
        <v>4.13</v>
      </c>
      <c r="AZ36" s="82" t="n">
        <v>5.01</v>
      </c>
      <c r="BA36" s="71" t="inlineStr">
        <is>
          <t>China Biotech ETF (HS biotech proxy)</t>
        </is>
      </c>
      <c r="BB36" s="82" t="n">
        <v>-85.33</v>
      </c>
      <c r="BC36" s="72" t="inlineStr">
        <is>
          <t>2026-09-23</t>
        </is>
      </c>
      <c r="BD36" s="73" t="n">
        <v>0</v>
      </c>
      <c r="BE36" s="76" t="n">
        <v>-799.7</v>
      </c>
      <c r="BF36" s="71" t="inlineStr">
        <is>
          <t>N</t>
        </is>
      </c>
      <c r="BG36" s="71" t="inlineStr">
        <is>
          <t>n/m</t>
        </is>
      </c>
      <c r="BH36" s="83" t="n"/>
      <c r="BI36" s="83" t="n"/>
      <c r="BJ36" s="71" t="inlineStr">
        <is>
          <t>pre-rev</t>
        </is>
      </c>
      <c r="BK36" s="84">
        <f>IF('BBG Verify'!S36="","not filed; run on terminal",'BBG Verify'!S36)</f>
        <v/>
      </c>
      <c r="BL36" s="85" t="inlineStr">
        <is>
          <t>N</t>
        </is>
      </c>
      <c r="BM36" s="86">
        <f>IF('BBG Verify'!K36="","not filed; run on terminal",'BBG Verify'!K36)</f>
        <v/>
      </c>
      <c r="BN36" s="71" t="inlineStr">
        <is>
          <t>N/A</t>
        </is>
      </c>
      <c r="BO36" s="71" t="inlineStr">
        <is>
          <t>N/A</t>
        </is>
      </c>
      <c r="BP36" s="71" t="inlineStr">
        <is>
          <t>N/A</t>
        </is>
      </c>
      <c r="BQ36" s="71" t="inlineStr">
        <is>
          <t>N/A</t>
        </is>
      </c>
      <c r="BR36" s="71" t="inlineStr">
        <is>
          <t>N/A</t>
        </is>
      </c>
      <c r="BS36" s="71" t="inlineStr">
        <is>
          <t>N/A</t>
        </is>
      </c>
      <c r="BT36" s="85" t="inlineStr">
        <is>
          <t>Goldman Sachs (Asia) L.L.C; Jefferies Hong Kong Limited</t>
        </is>
      </c>
      <c r="BU36" s="71" t="inlineStr">
        <is>
          <t>Jefferies Hong Kong Limited; Goldman Sachs (Asia) L.L.C.</t>
        </is>
      </c>
      <c r="BV36" s="71"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W36" s="71"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X36" s="87">
        <f>HYPERLINK("https://www1.hkexnews.hk/listedco/listconews/sehk/2021/0416/2021041600009.pdf","prospectus")</f>
        <v/>
      </c>
      <c r="BY36" s="87">
        <f>HYPERLINK("https://www1.hkexnews.hk/listedco/listconews/sehk/2021/0428/2021042800066.htm","allotment")</f>
        <v/>
      </c>
      <c r="BZ36" s="87">
        <f>HYPERLINK("https://www1.hkexnews.hk/listedco/listconews/sehk/2021/0521/2021052101496.pdf","stabilisation")</f>
        <v/>
      </c>
      <c r="CA36" s="85" t="n"/>
      <c r="CB36" s="71" t="inlineStr">
        <is>
          <t>P/E: loss-making at IPO, use P/S; P/S: pre-revenue issuer, no sales multiple; grey market: etnet's story of the session gave only the Phillip open (16.68, -0.7% vs offer) on 2021-04-28; no close was published; allocation: allocation table not in this notice's format (older prose announcement); day-1 tape: volume on file; the retail multiple needs the final public split, which this notice does not state</t>
        </is>
      </c>
    </row>
    <row r="37" ht="15" customHeight="1">
      <c r="A37" s="70" t="inlineStr">
        <is>
          <t>2191</t>
        </is>
      </c>
      <c r="B37" s="71" t="inlineStr">
        <is>
          <t>SF REIT</t>
        </is>
      </c>
      <c r="C37" s="71" t="inlineStr">
        <is>
          <t>順豐房託</t>
        </is>
      </c>
      <c r="D37" s="71" t="inlineStr">
        <is>
          <t>Real Estate</t>
        </is>
      </c>
      <c r="E37" s="71" t="inlineStr">
        <is>
          <t>REITs / asset-light</t>
        </is>
      </c>
      <c r="F37" s="71" t="inlineStr">
        <is>
          <t>Office and Commercial REIT's</t>
        </is>
      </c>
      <c r="G37" s="71" t="inlineStr">
        <is>
          <t>Standard</t>
        </is>
      </c>
      <c r="H37" s="72" t="n">
        <v>44333</v>
      </c>
      <c r="I37" s="73" t="n">
        <v>2498</v>
      </c>
      <c r="J37" s="71" t="inlineStr">
        <is>
          <t>net proceeds</t>
        </is>
      </c>
      <c r="K37" s="74" t="n">
        <v>4.68</v>
      </c>
      <c r="L37" s="74" t="n">
        <v>5.16</v>
      </c>
      <c r="M37" s="74" t="n">
        <v>4.98</v>
      </c>
      <c r="N37" s="71" t="inlineStr">
        <is>
          <t>N</t>
        </is>
      </c>
      <c r="O37" s="75" t="n">
        <v>96.5</v>
      </c>
      <c r="P37" s="75" t="n">
        <v>62.5</v>
      </c>
      <c r="Q37" s="76" t="n">
        <v>4128</v>
      </c>
      <c r="R37" s="71" t="inlineStr">
        <is>
          <t>prospectus:stated market capitalisation</t>
        </is>
      </c>
      <c r="S37" s="77" t="n">
        <v>5</v>
      </c>
      <c r="T37" s="78" t="n">
        <v>3</v>
      </c>
      <c r="U37" s="79" t="n">
        <v>14.9</v>
      </c>
      <c r="V37" s="80" t="n">
        <v>126</v>
      </c>
      <c r="W37" s="75" t="n"/>
      <c r="X37" s="71" t="n"/>
      <c r="Y37" s="76" t="n">
        <v>2125.8</v>
      </c>
      <c r="Z37" s="76" t="n"/>
      <c r="AA37" s="75" t="n">
        <v>51.5</v>
      </c>
      <c r="AB37" s="71" t="inlineStr">
        <is>
          <t>China Orient Multi-Strategy Master Fund; CI Global Asset Management</t>
        </is>
      </c>
      <c r="AC37" s="71" t="inlineStr">
        <is>
          <t>orient;ci</t>
        </is>
      </c>
      <c r="AD37" s="75" t="n">
        <v>5</v>
      </c>
      <c r="AE37" s="71" t="inlineStr">
        <is>
          <t>lapsed</t>
        </is>
      </c>
      <c r="AF37" s="71" t="n"/>
      <c r="AG37" s="71" t="inlineStr">
        <is>
          <t>Credit Suisse</t>
        </is>
      </c>
      <c r="AH37" s="71" t="inlineStr">
        <is>
          <t>Credit Suisse</t>
        </is>
      </c>
      <c r="AI37" s="81" t="n">
        <v>-0.8</v>
      </c>
      <c r="AJ37" s="82" t="n">
        <v>-16.47</v>
      </c>
      <c r="AK37" s="82" t="n">
        <v>-9.84</v>
      </c>
      <c r="AL37" s="82" t="n">
        <v>-7.35</v>
      </c>
      <c r="AM37" s="83" t="n"/>
      <c r="AN37" s="75" t="n">
        <v>9.800000000000001</v>
      </c>
      <c r="AO37" s="82" t="n">
        <v>-7.63</v>
      </c>
      <c r="AP37" s="82" t="n">
        <v>-9.640000000000001</v>
      </c>
      <c r="AQ37" s="82" t="n">
        <v>-12.45</v>
      </c>
      <c r="AR37" s="82" t="n">
        <v>10.58</v>
      </c>
      <c r="AS37" s="82" t="n">
        <v>8.18</v>
      </c>
      <c r="AT37" s="82" t="n">
        <v>4.81</v>
      </c>
      <c r="AU37" s="82" t="n">
        <v>-9.73</v>
      </c>
      <c r="AV37" s="82" t="n">
        <v>-12.34</v>
      </c>
      <c r="AW37" s="82" t="n">
        <v>-5.34</v>
      </c>
      <c r="AX37" s="82" t="n">
        <v>5.34</v>
      </c>
      <c r="AY37" s="82" t="n">
        <v>2.7</v>
      </c>
      <c r="AZ37" s="82" t="n">
        <v>2.84</v>
      </c>
      <c r="BA37" s="71" t="inlineStr">
        <is>
          <t>Hang Seng Properties sub-index</t>
        </is>
      </c>
      <c r="BB37" s="82" t="n">
        <v>-48.8</v>
      </c>
      <c r="BC37" s="72" t="inlineStr">
        <is>
          <t>2026-09-23</t>
        </is>
      </c>
      <c r="BD37" s="73" t="n">
        <v>279</v>
      </c>
      <c r="BE37" s="76" t="n">
        <v>26.9</v>
      </c>
      <c r="BF37" s="71" t="inlineStr">
        <is>
          <t>Y</t>
        </is>
      </c>
      <c r="BG37" s="83" t="n">
        <v>153.5</v>
      </c>
      <c r="BH37" s="83" t="n"/>
      <c r="BI37" s="83" t="n">
        <v>106.9</v>
      </c>
      <c r="BJ37" s="83" t="n">
        <v>14.8</v>
      </c>
      <c r="BK37" s="84">
        <f>IF('BBG Verify'!S37="","not filed; run on terminal",'BBG Verify'!S37)</f>
        <v/>
      </c>
      <c r="BL37" s="85" t="inlineStr">
        <is>
          <t>N</t>
        </is>
      </c>
      <c r="BM37" s="86">
        <f>IF('BBG Verify'!K37="","not filed; run on terminal",'BBG Verify'!K37)</f>
        <v/>
      </c>
      <c r="BN37" s="71" t="inlineStr">
        <is>
          <t>N/A</t>
        </is>
      </c>
      <c r="BO37" s="71" t="inlineStr">
        <is>
          <t>N/A</t>
        </is>
      </c>
      <c r="BP37" s="71" t="inlineStr">
        <is>
          <t>N/A</t>
        </is>
      </c>
      <c r="BQ37" s="71" t="inlineStr">
        <is>
          <t>N/A</t>
        </is>
      </c>
      <c r="BR37" s="71" t="inlineStr">
        <is>
          <t>N/A</t>
        </is>
      </c>
      <c r="BS37" s="71" t="inlineStr">
        <is>
          <t>N/A</t>
        </is>
      </c>
      <c r="BT37" s="85" t="n"/>
      <c r="BU37" s="71" t="inlineStr">
        <is>
          <t>Credit Suisse (Hong Kong) Limited; DBS Asia Capital Limited; J.P. Morgan Securities (Asia Pacific) Limited</t>
        </is>
      </c>
      <c r="BV37" s="71"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W37" s="71" t="inlineStr">
        <is>
          <t>Credit Suisse (Hong Kong) Limited; DBS Asia Capital Limited; J.P. Morgan Securities (Asia Pacific) Limited</t>
        </is>
      </c>
      <c r="BX37" s="87">
        <f>HYPERLINK("https://www1.hkexnews.hk/listedco/listconews/sehk/2021/0505/2021050500053.pdf","prospectus")</f>
        <v/>
      </c>
      <c r="BY37" s="87">
        <f>HYPERLINK("https://www1.hkexnews.hk/listedco/listconews/sehk/2021/0514/2021051400092.htm","allotment")</f>
        <v/>
      </c>
      <c r="BZ37" s="87">
        <f>HYPERLINK("https://www1.hkexnews.hk/listedco/listconews/sehk/2021/0609/2021060900679.pdf","stabilisation")</f>
        <v/>
      </c>
      <c r="CA37" s="85" t="n"/>
      <c r="CB37" s="71" t="inlineStr">
        <is>
          <t>greenshoe: outcome published; expiry date not in the notice; sponsor: English name not in the filing; AAStocks 保薦人 shown; eff float shares: share count unavailable; the HK$m figure is exact; allocation: allocation table not in this notice's format (older prose announcement); day-1 tape: volume on file; the retail multiple needs the final public split, which this notice does not state</t>
        </is>
      </c>
    </row>
    <row r="38" ht="15" customHeight="1">
      <c r="A38" s="70" t="inlineStr">
        <is>
          <t>3658</t>
        </is>
      </c>
      <c r="B38" s="71" t="inlineStr">
        <is>
          <t>NEW HOPE SERV</t>
        </is>
      </c>
      <c r="C38" s="71" t="inlineStr">
        <is>
          <t>新希望服務</t>
        </is>
      </c>
      <c r="D38" s="71" t="inlineStr">
        <is>
          <t>Real Estate</t>
        </is>
      </c>
      <c r="E38" s="71" t="inlineStr">
        <is>
          <t>Property management</t>
        </is>
      </c>
      <c r="F38" s="71" t="inlineStr">
        <is>
          <t>Property Service and Management</t>
        </is>
      </c>
      <c r="G38" s="71" t="inlineStr">
        <is>
          <t>Standard</t>
        </is>
      </c>
      <c r="H38" s="72" t="n">
        <v>44341</v>
      </c>
      <c r="I38" s="73" t="n">
        <v>760</v>
      </c>
      <c r="J38" s="71" t="inlineStr">
        <is>
          <t>gross (price x shares)</t>
        </is>
      </c>
      <c r="K38" s="74" t="n">
        <v>3.8</v>
      </c>
      <c r="L38" s="74" t="n">
        <v>4.7</v>
      </c>
      <c r="M38" s="74" t="n">
        <v>3.8</v>
      </c>
      <c r="N38" s="71" t="inlineStr">
        <is>
          <t>N</t>
        </is>
      </c>
      <c r="O38" s="75" t="n">
        <v>80.90000000000001</v>
      </c>
      <c r="P38" s="75" t="n">
        <v>0</v>
      </c>
      <c r="Q38" s="76" t="n">
        <v>3686.1</v>
      </c>
      <c r="R38" s="71" t="inlineStr">
        <is>
          <t>aastocks:上市市值 at the struck price</t>
        </is>
      </c>
      <c r="S38" s="77" t="n">
        <v>4.75</v>
      </c>
      <c r="T38" s="78" t="n">
        <v>1.78</v>
      </c>
      <c r="U38" s="79" t="n">
        <v>50.3</v>
      </c>
      <c r="V38" s="80" t="n">
        <v>96</v>
      </c>
      <c r="W38" s="75" t="n"/>
      <c r="X38" s="71" t="n"/>
      <c r="Y38" s="76" t="n">
        <v>377.72</v>
      </c>
      <c r="Z38" s="76" t="n">
        <v>99400000</v>
      </c>
      <c r="AA38" s="75" t="n">
        <v>10.25</v>
      </c>
      <c r="AB38" s="71" t="inlineStr">
        <is>
          <t>China Sichuan International Investment Limited; Golden Star International Pty Limited; Green Better; Keltic Investment (HK) Limited; Neptune Investments Holdings Limited; Peak Reinsurance Company Limited</t>
        </is>
      </c>
      <c r="AC38" s="71" t="inlineStr">
        <is>
          <t>sichuan;golden-star;green;keltic;neptune;peak</t>
        </is>
      </c>
      <c r="AD38" s="75" t="n">
        <v>7.7</v>
      </c>
      <c r="AE38" s="71" t="inlineStr">
        <is>
          <t>partial</t>
        </is>
      </c>
      <c r="AF38" s="71" t="n"/>
      <c r="AG38" s="71" t="n"/>
      <c r="AH38" s="71" t="n"/>
      <c r="AI38" s="81" t="n"/>
      <c r="AJ38" s="82" t="n">
        <v>0.53</v>
      </c>
      <c r="AK38" s="82" t="n">
        <v>0</v>
      </c>
      <c r="AL38" s="82" t="n">
        <v>0.53</v>
      </c>
      <c r="AM38" s="83" t="n"/>
      <c r="AN38" s="75" t="n">
        <v>6.32</v>
      </c>
      <c r="AO38" s="82" t="n">
        <v>5</v>
      </c>
      <c r="AP38" s="82" t="n">
        <v>-25.79</v>
      </c>
      <c r="AQ38" s="82" t="n">
        <v>-45.26</v>
      </c>
      <c r="AR38" s="82" t="n">
        <v>4.45</v>
      </c>
      <c r="AS38" s="82" t="n">
        <v>-26.18</v>
      </c>
      <c r="AT38" s="82" t="n">
        <v>-45.55</v>
      </c>
      <c r="AU38" s="82" t="n">
        <v>3.61</v>
      </c>
      <c r="AV38" s="82" t="n">
        <v>-26.66</v>
      </c>
      <c r="AW38" s="82" t="n">
        <v>-35.18</v>
      </c>
      <c r="AX38" s="82" t="n">
        <v>-26.45</v>
      </c>
      <c r="AY38" s="82" t="n">
        <v>0.87</v>
      </c>
      <c r="AZ38" s="82" t="n">
        <v>0.27</v>
      </c>
      <c r="BA38" s="71" t="inlineStr">
        <is>
          <t>Hang Seng Properties sub-index</t>
        </is>
      </c>
      <c r="BB38" s="82" t="n">
        <v>-57.11</v>
      </c>
      <c r="BC38" s="72" t="inlineStr">
        <is>
          <t>2026-09-23</t>
        </is>
      </c>
      <c r="BD38" s="73" t="n">
        <v>647.1</v>
      </c>
      <c r="BE38" s="76" t="n">
        <v>120.7</v>
      </c>
      <c r="BF38" s="71" t="inlineStr">
        <is>
          <t>Y</t>
        </is>
      </c>
      <c r="BG38" s="83" t="n">
        <v>30.5</v>
      </c>
      <c r="BH38" s="83" t="n"/>
      <c r="BI38" s="83" t="n">
        <v>5.9</v>
      </c>
      <c r="BJ38" s="83" t="n">
        <v>5.7</v>
      </c>
      <c r="BK38" s="84">
        <f>IF('BBG Verify'!S38="","not filed; run on terminal",'BBG Verify'!S38)</f>
        <v/>
      </c>
      <c r="BL38" s="85" t="inlineStr">
        <is>
          <t>N</t>
        </is>
      </c>
      <c r="BM38" s="86">
        <f>IF('BBG Verify'!K38="","not filed; run on terminal",'BBG Verify'!K38)</f>
        <v/>
      </c>
      <c r="BN38" s="71" t="inlineStr">
        <is>
          <t>N/A</t>
        </is>
      </c>
      <c r="BO38" s="71" t="inlineStr">
        <is>
          <t>N/A</t>
        </is>
      </c>
      <c r="BP38" s="71" t="inlineStr">
        <is>
          <t>N/A</t>
        </is>
      </c>
      <c r="BQ38" s="71" t="inlineStr">
        <is>
          <t>N/A</t>
        </is>
      </c>
      <c r="BR38" s="71" t="inlineStr">
        <is>
          <t>N/A</t>
        </is>
      </c>
      <c r="BS38" s="71" t="inlineStr">
        <is>
          <t>N/A</t>
        </is>
      </c>
      <c r="BT38" s="85" t="inlineStr">
        <is>
          <t>ABCI Capital Limited</t>
        </is>
      </c>
      <c r="BU38" s="71" t="inlineStr">
        <is>
          <t>ABCI Capital Limited</t>
        </is>
      </c>
      <c r="BV38" s="71" t="inlineStr">
        <is>
          <t>ABCI Capital Limited; Haitong International Securities Company Limited; CMB International Capital Limited; CLSA Limited; CMBC Securities Company Limited; China Everbright Securities (HK) Limited</t>
        </is>
      </c>
      <c r="BW38" s="71"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X38" s="87">
        <f>HYPERLINK("https://www1.hkexnews.hk/listedco/listconews/sehk/2021/0511/2021051100021.pdf","prospectus")</f>
        <v/>
      </c>
      <c r="BY38" s="87">
        <f>HYPERLINK("https://www1.hkexnews.hk/listedco/listconews/sehk/2021/0524/2021052400010.htm","allotment")</f>
        <v/>
      </c>
      <c r="BZ38" s="87">
        <f>HYPERLINK("https://www1.hkexnews.hk/listedco/listconews/sehk/2021/0615/2021061500076.pdf","stabilisation")</f>
        <v/>
      </c>
      <c r="CA38" s="85" t="n"/>
      <c r="CB38" s="71" t="inlineStr">
        <is>
          <t>greenshoe: outcome published; expiry date not in the notice; stabilising manager: not named in the allotment notice or prospectus glossary;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39" ht="15" customHeight="1">
      <c r="A39" s="70" t="inlineStr">
        <is>
          <t>2618</t>
        </is>
      </c>
      <c r="B39" s="71" t="inlineStr">
        <is>
          <t>JD LOGISTICS</t>
        </is>
      </c>
      <c r="C39" s="71" t="inlineStr">
        <is>
          <t>京東物流</t>
        </is>
      </c>
      <c r="D39" s="71" t="inlineStr">
        <is>
          <t>Industrials</t>
        </is>
      </c>
      <c r="E39" s="71" t="inlineStr">
        <is>
          <t>Logistics</t>
        </is>
      </c>
      <c r="F39" s="71" t="inlineStr">
        <is>
          <t>Air Freight &amp; Logistics</t>
        </is>
      </c>
      <c r="G39" s="71" t="inlineStr">
        <is>
          <t>Standard</t>
        </is>
      </c>
      <c r="H39" s="72" t="n">
        <v>44344</v>
      </c>
      <c r="I39" s="73" t="n">
        <v>24585.7</v>
      </c>
      <c r="J39" s="71" t="inlineStr">
        <is>
          <t>gross (price x shares)</t>
        </is>
      </c>
      <c r="K39" s="74" t="n"/>
      <c r="L39" s="74" t="n">
        <v>40.36</v>
      </c>
      <c r="M39" s="74" t="n">
        <v>40.36</v>
      </c>
      <c r="N39" s="71" t="inlineStr">
        <is>
          <t>Y</t>
        </is>
      </c>
      <c r="O39" s="75" t="n">
        <v>100</v>
      </c>
      <c r="P39" s="75" t="n"/>
      <c r="Q39" s="76" t="n">
        <v>255728.1</v>
      </c>
      <c r="R39" s="71" t="inlineStr">
        <is>
          <t>aastocks:上市市值 at the struck price</t>
        </is>
      </c>
      <c r="S39" s="77" t="n">
        <v>715.61</v>
      </c>
      <c r="T39" s="78" t="n">
        <v>10.8</v>
      </c>
      <c r="U39" s="79" t="n">
        <v>48.33</v>
      </c>
      <c r="V39" s="80" t="n">
        <v>580</v>
      </c>
      <c r="W39" s="75" t="n">
        <v>9</v>
      </c>
      <c r="X39" s="71" t="inlineStr">
        <is>
          <t>NO</t>
        </is>
      </c>
      <c r="Y39" s="76" t="n">
        <v>12703.43</v>
      </c>
      <c r="Z39" s="76" t="n">
        <v>314753385</v>
      </c>
      <c r="AA39" s="75" t="n">
        <v>4.97</v>
      </c>
      <c r="AB39" s="71" t="inlineStr">
        <is>
          <t>China Chengtong Investment Company Limited; Internet Fund IIIA Pte Ltd; Matthews Funds; Oaktree Emerging Markets Equity Fund, L.P; SoftBank Group; The Blackstone Group Inc</t>
        </is>
      </c>
      <c r="AC39" s="71" t="inlineStr">
        <is>
          <t>chengtong;internet;matthews;oaktree;softbank;blackstone</t>
        </is>
      </c>
      <c r="AD39" s="75" t="n"/>
      <c r="AE39" s="71" t="n"/>
      <c r="AF39" s="71" t="inlineStr">
        <is>
          <t>2021-06-20</t>
        </is>
      </c>
      <c r="AG39" s="71" t="inlineStr">
        <is>
          <t>Merrill Lynch</t>
        </is>
      </c>
      <c r="AH39" s="71" t="inlineStr">
        <is>
          <t>Merrill Lynch</t>
        </is>
      </c>
      <c r="AI39" s="81" t="n">
        <v>20.29</v>
      </c>
      <c r="AJ39" s="82" t="n">
        <v>3.32</v>
      </c>
      <c r="AK39" s="82" t="n">
        <v>14.1</v>
      </c>
      <c r="AL39" s="82" t="n">
        <v>-9.449999999999999</v>
      </c>
      <c r="AM39" s="83" t="n">
        <v>2.89</v>
      </c>
      <c r="AN39" s="75" t="n">
        <v>14.12</v>
      </c>
      <c r="AO39" s="82" t="n">
        <v>16.33</v>
      </c>
      <c r="AP39" s="82" t="n">
        <v>4.19</v>
      </c>
      <c r="AQ39" s="82" t="n">
        <v>-24.18</v>
      </c>
      <c r="AR39" s="82" t="n">
        <v>12.59</v>
      </c>
      <c r="AS39" s="82" t="n">
        <v>0.84</v>
      </c>
      <c r="AT39" s="82" t="n">
        <v>-26.62</v>
      </c>
      <c r="AU39" s="82" t="n">
        <v>15.58</v>
      </c>
      <c r="AV39" s="82" t="n">
        <v>-0.14</v>
      </c>
      <c r="AW39" s="82" t="n">
        <v>-9.92</v>
      </c>
      <c r="AX39" s="82" t="n">
        <v>-4.79</v>
      </c>
      <c r="AY39" s="82" t="n">
        <v>4.33</v>
      </c>
      <c r="AZ39" s="82" t="n">
        <v>5.63</v>
      </c>
      <c r="BA39" s="71" t="inlineStr">
        <is>
          <t>Hang Seng Commerce &amp; Industry sub-index</t>
        </is>
      </c>
      <c r="BB39" s="82" t="n">
        <v>-74.58</v>
      </c>
      <c r="BC39" s="72" t="inlineStr">
        <is>
          <t>2026-09-23</t>
        </is>
      </c>
      <c r="BD39" s="73" t="n"/>
      <c r="BE39" s="76" t="n"/>
      <c r="BF39" s="71" t="n"/>
      <c r="BG39" s="84">
        <f>IF('BBG Verify'!O39="","not filed; run on terminal",'BBG Verify'!O39)</f>
        <v/>
      </c>
      <c r="BH39" s="83" t="n"/>
      <c r="BI39" s="83" t="n">
        <v>8.9</v>
      </c>
      <c r="BJ39" s="83" t="n"/>
      <c r="BK39" s="84">
        <f>IF('BBG Verify'!S39="","not filed; run on terminal",'BBG Verify'!S39)</f>
        <v/>
      </c>
      <c r="BL39" s="85" t="inlineStr">
        <is>
          <t>N</t>
        </is>
      </c>
      <c r="BM39" s="86">
        <f>IF('BBG Verify'!K39="","not filed; run on terminal",'BBG Verify'!K39)</f>
        <v/>
      </c>
      <c r="BN39" s="71" t="inlineStr">
        <is>
          <t>N/A</t>
        </is>
      </c>
      <c r="BO39" s="71" t="inlineStr">
        <is>
          <t>N/A</t>
        </is>
      </c>
      <c r="BP39" s="71" t="inlineStr">
        <is>
          <t>N/A</t>
        </is>
      </c>
      <c r="BQ39" s="71" t="inlineStr">
        <is>
          <t>N/A</t>
        </is>
      </c>
      <c r="BR39" s="71" t="inlineStr">
        <is>
          <t>N/A</t>
        </is>
      </c>
      <c r="BS39" s="71" t="inlineStr">
        <is>
          <t>N/A</t>
        </is>
      </c>
      <c r="BT39" s="85" t="inlineStr">
        <is>
          <t>BofA Securities; Goldman Sachs; Haitong International</t>
        </is>
      </c>
      <c r="BU39" s="71" t="inlineStr">
        <is>
          <t>Haitong International Capital Limited; Merrill Lynch (Asia Pacific) Limited; Goldman Sachs (Asia) L.L.C.</t>
        </is>
      </c>
      <c r="BV39" s="71" t="inlineStr">
        <is>
          <t>ABCI Securities Company Limited; Beta International Securities Limited; BOCI Asia Limited; CCB International Capital Limited; CLSA Limited; CMB International Capital Limited</t>
        </is>
      </c>
      <c r="BW39" s="71"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X39" s="71" t="n"/>
      <c r="BY39" s="87">
        <f>HYPERLINK("https://www1.hkexnews.hk/listedco/listconews/sehk/2021/0527/2021052700014.htm","allotment")</f>
        <v/>
      </c>
      <c r="BZ39" s="71" t="n"/>
      <c r="CA39" s="85" t="n"/>
      <c r="CB39"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t>
        </is>
      </c>
    </row>
    <row r="40" ht="15" customHeight="1">
      <c r="A40" s="70" t="inlineStr">
        <is>
          <t>9982</t>
        </is>
      </c>
      <c r="B40" s="71" t="inlineStr">
        <is>
          <t>CENTRALCHINA MT</t>
        </is>
      </c>
      <c r="C40" s="71" t="inlineStr">
        <is>
          <t>中原建業</t>
        </is>
      </c>
      <c r="D40" s="71" t="inlineStr">
        <is>
          <t>Real Estate</t>
        </is>
      </c>
      <c r="E40" s="71" t="inlineStr">
        <is>
          <t>Property management</t>
        </is>
      </c>
      <c r="F40" s="71" t="inlineStr">
        <is>
          <t>Property Development</t>
        </is>
      </c>
      <c r="G40" s="71" t="inlineStr">
        <is>
          <t>Standard</t>
        </is>
      </c>
      <c r="H40" s="72" t="n">
        <v>44347</v>
      </c>
      <c r="I40" s="73" t="n">
        <v>984.5</v>
      </c>
      <c r="J40" s="71" t="inlineStr">
        <is>
          <t>gross (price x shares)</t>
        </is>
      </c>
      <c r="K40" s="74" t="n">
        <v>2.4</v>
      </c>
      <c r="L40" s="74" t="n">
        <v>3.2</v>
      </c>
      <c r="M40" s="74" t="n">
        <v>3</v>
      </c>
      <c r="N40" s="71" t="inlineStr">
        <is>
          <t>N</t>
        </is>
      </c>
      <c r="O40" s="75" t="n">
        <v>93.8</v>
      </c>
      <c r="P40" s="75" t="n">
        <v>75</v>
      </c>
      <c r="Q40" s="76" t="n">
        <v>8712.4</v>
      </c>
      <c r="R40" s="71" t="inlineStr">
        <is>
          <t>derived:deal size / offer % of enlarged capital</t>
        </is>
      </c>
      <c r="S40" s="77" t="n">
        <v>4.99</v>
      </c>
      <c r="T40" s="78" t="n">
        <v>0.72</v>
      </c>
      <c r="U40" s="79" t="n">
        <v>4.8</v>
      </c>
      <c r="V40" s="80" t="n">
        <v>137</v>
      </c>
      <c r="W40" s="75" t="n"/>
      <c r="X40" s="71" t="n"/>
      <c r="Y40" s="76" t="n">
        <v>937.24</v>
      </c>
      <c r="Z40" s="76" t="n">
        <v>312419744</v>
      </c>
      <c r="AA40" s="75" t="n">
        <v>10.76</v>
      </c>
      <c r="AB40" s="71" t="inlineStr">
        <is>
          <t>Lucky Advent Limited</t>
        </is>
      </c>
      <c r="AC40" s="71" t="inlineStr">
        <is>
          <t>lucky</t>
        </is>
      </c>
      <c r="AD40" s="75" t="n">
        <v>10</v>
      </c>
      <c r="AE40" s="71" t="inlineStr">
        <is>
          <t>lapsed</t>
        </is>
      </c>
      <c r="AF40" s="71" t="inlineStr">
        <is>
          <t>2021-06-23</t>
        </is>
      </c>
      <c r="AG40" s="71" t="inlineStr">
        <is>
          <t>BN P Paribas Securities</t>
        </is>
      </c>
      <c r="AH40" s="71" t="inlineStr">
        <is>
          <t>BN P</t>
        </is>
      </c>
      <c r="AI40" s="81" t="n">
        <v>-14</v>
      </c>
      <c r="AJ40" s="82" t="n">
        <v>-12</v>
      </c>
      <c r="AK40" s="82" t="n">
        <v>-16.67</v>
      </c>
      <c r="AL40" s="82" t="n">
        <v>5.6</v>
      </c>
      <c r="AM40" s="83" t="n"/>
      <c r="AN40" s="75" t="n">
        <v>15.2</v>
      </c>
      <c r="AO40" s="82" t="n">
        <v>-9</v>
      </c>
      <c r="AP40" s="82" t="n">
        <v>-23.67</v>
      </c>
      <c r="AQ40" s="82" t="n">
        <v>-38.33</v>
      </c>
      <c r="AR40" s="82" t="n">
        <v>3.41</v>
      </c>
      <c r="AS40" s="82" t="n">
        <v>-13.26</v>
      </c>
      <c r="AT40" s="82" t="n">
        <v>-29.92</v>
      </c>
      <c r="AU40" s="82" t="n">
        <v>-6.86</v>
      </c>
      <c r="AV40" s="82" t="n">
        <v>-20.27</v>
      </c>
      <c r="AW40" s="82" t="n">
        <v>-25.76</v>
      </c>
      <c r="AX40" s="82" t="n">
        <v>-11.26</v>
      </c>
      <c r="AY40" s="82" t="n">
        <v>-3.4</v>
      </c>
      <c r="AZ40" s="82" t="n">
        <v>-2</v>
      </c>
      <c r="BA40" s="71" t="inlineStr">
        <is>
          <t>Hang Seng Properties sub-index</t>
        </is>
      </c>
      <c r="BB40" s="82" t="n">
        <v>-96.97</v>
      </c>
      <c r="BC40" s="72" t="inlineStr">
        <is>
          <t>2026-09-23</t>
        </is>
      </c>
      <c r="BD40" s="73" t="n">
        <v>1267.2</v>
      </c>
      <c r="BE40" s="76" t="n">
        <v>749.1</v>
      </c>
      <c r="BF40" s="71" t="inlineStr">
        <is>
          <t>Y</t>
        </is>
      </c>
      <c r="BG40" s="83" t="n">
        <v>11.6</v>
      </c>
      <c r="BH40" s="83" t="n"/>
      <c r="BI40" s="83" t="n">
        <v>6.1</v>
      </c>
      <c r="BJ40" s="83" t="n">
        <v>6.9</v>
      </c>
      <c r="BK40" s="84">
        <f>IF('BBG Verify'!S40="","not filed; run on terminal",'BBG Verify'!S40)</f>
        <v/>
      </c>
      <c r="BL40" s="85" t="inlineStr">
        <is>
          <t>N</t>
        </is>
      </c>
      <c r="BM40" s="86">
        <f>IF('BBG Verify'!K40="","not filed; run on terminal",'BBG Verify'!K40)</f>
        <v/>
      </c>
      <c r="BN40" s="71" t="inlineStr">
        <is>
          <t>N/A</t>
        </is>
      </c>
      <c r="BO40" s="71" t="inlineStr">
        <is>
          <t>N/A</t>
        </is>
      </c>
      <c r="BP40" s="71" t="inlineStr">
        <is>
          <t>N/A</t>
        </is>
      </c>
      <c r="BQ40" s="71" t="inlineStr">
        <is>
          <t>N/A</t>
        </is>
      </c>
      <c r="BR40" s="71" t="inlineStr">
        <is>
          <t>N/A</t>
        </is>
      </c>
      <c r="BS40" s="71" t="inlineStr">
        <is>
          <t>N/A</t>
        </is>
      </c>
      <c r="BT40" s="85" t="inlineStr">
        <is>
          <t>ICBC International Capital Limited; CCB International Capital Limited; Sole financial advisor to CCRE and our Company BNP Paribas Securities (Asia) Limited</t>
        </is>
      </c>
      <c r="BU40" s="71" t="inlineStr">
        <is>
          <t>CCB International Capital Limited; ICBC International Capital Limited</t>
        </is>
      </c>
      <c r="BV40" s="71" t="inlineStr">
        <is>
          <t>BNP Paribas Securities (Asia) Limited; CCB International Capital Limited; ICBC International Capital Limited; ABCI Capital Limited; China Galaxy International Securities (Hong Kong) Co., Limited; CMB International Capital Limited; CRIC Securities Company Limited</t>
        </is>
      </c>
      <c r="BW40" s="71"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X40" s="87">
        <f>HYPERLINK("https://www1.hkexnews.hk/listedco/listconews/sehk/2021/0518/2021051800033.pdf","prospectus")</f>
        <v/>
      </c>
      <c r="BY40" s="87">
        <f>HYPERLINK("https://www1.hkexnews.hk/listedco/listconews/sehk/2021/0528/2021052800048.htm","allotment")</f>
        <v/>
      </c>
      <c r="BZ40" s="87">
        <f>HYPERLINK("https://www1.hkexnews.hk/listedco/listconews/sehk/2021/0623/2021062301182.pdf","stabilisation")</f>
        <v/>
      </c>
      <c r="CA40" s="85" t="n"/>
      <c r="CB40" s="71" t="inlineStr">
        <is>
          <t>allocation: allocation table not in this notice's format (older prose announcement); day-1 tape: volume on file; the retail multiple needs the final public split, which this notice does not state</t>
        </is>
      </c>
    </row>
    <row r="41" ht="15" customHeight="1">
      <c r="A41" s="70" t="inlineStr">
        <is>
          <t>6699</t>
        </is>
      </c>
      <c r="B41" s="71" t="inlineStr">
        <is>
          <t>ANGELALIGN</t>
        </is>
      </c>
      <c r="C41" s="71" t="inlineStr">
        <is>
          <t>時代天使</t>
        </is>
      </c>
      <c r="D41" s="71" t="inlineStr">
        <is>
          <t>Healthcare</t>
        </is>
      </c>
      <c r="E41" s="71" t="inlineStr">
        <is>
          <t>Medical devices</t>
        </is>
      </c>
      <c r="F41" s="71" t="inlineStr">
        <is>
          <t>Health Care Services</t>
        </is>
      </c>
      <c r="G41" s="71" t="inlineStr">
        <is>
          <t>Standard</t>
        </is>
      </c>
      <c r="H41" s="72" t="n">
        <v>44363</v>
      </c>
      <c r="I41" s="73" t="n">
        <v>2911.5</v>
      </c>
      <c r="J41" s="71" t="inlineStr">
        <is>
          <t>gross (price x shares)</t>
        </is>
      </c>
      <c r="K41" s="74" t="n">
        <v>147</v>
      </c>
      <c r="L41" s="74" t="n">
        <v>173</v>
      </c>
      <c r="M41" s="74" t="n">
        <v>173</v>
      </c>
      <c r="N41" s="71" t="inlineStr">
        <is>
          <t>Y</t>
        </is>
      </c>
      <c r="O41" s="75" t="n">
        <v>100</v>
      </c>
      <c r="P41" s="75" t="n">
        <v>100</v>
      </c>
      <c r="Q41" s="76" t="n">
        <v>24373.6</v>
      </c>
      <c r="R41" s="71" t="inlineStr">
        <is>
          <t>prospectus:stated market capitalisation</t>
        </is>
      </c>
      <c r="S41" s="77" t="n">
        <v>2079.16</v>
      </c>
      <c r="T41" s="78" t="n">
        <v>114.7</v>
      </c>
      <c r="U41" s="79" t="n">
        <v>0</v>
      </c>
      <c r="V41" s="80" t="n">
        <v>194</v>
      </c>
      <c r="W41" s="75" t="n"/>
      <c r="X41" s="71" t="n"/>
      <c r="Y41" s="76" t="n">
        <v>2911.5</v>
      </c>
      <c r="Z41" s="76" t="n">
        <v>16829600</v>
      </c>
      <c r="AA41" s="75" t="n">
        <v>11.95</v>
      </c>
      <c r="AB41" s="71" t="n"/>
      <c r="AC41" s="71" t="n"/>
      <c r="AD41" s="75" t="n">
        <v>10</v>
      </c>
      <c r="AE41" s="71" t="inlineStr">
        <is>
          <t>full</t>
        </is>
      </c>
      <c r="AF41" s="71" t="inlineStr">
        <is>
          <t>2021-07-08</t>
        </is>
      </c>
      <c r="AG41" s="71" t="inlineStr">
        <is>
          <t>Goldman Sachs</t>
        </is>
      </c>
      <c r="AH41" s="71" t="inlineStr">
        <is>
          <t>Goldman Sachs</t>
        </is>
      </c>
      <c r="AI41" s="81" t="n">
        <v>113.06</v>
      </c>
      <c r="AJ41" s="82" t="n">
        <v>131.79</v>
      </c>
      <c r="AK41" s="82" t="n">
        <v>131.21</v>
      </c>
      <c r="AL41" s="82" t="n">
        <v>0.25</v>
      </c>
      <c r="AM41" s="83" t="n"/>
      <c r="AN41" s="75" t="n">
        <v>28.75</v>
      </c>
      <c r="AO41" s="82" t="n">
        <v>144.51</v>
      </c>
      <c r="AP41" s="82" t="n">
        <v>141.97</v>
      </c>
      <c r="AQ41" s="82" t="n">
        <v>109.36</v>
      </c>
      <c r="AR41" s="82" t="n">
        <v>5.49</v>
      </c>
      <c r="AS41" s="82" t="n">
        <v>4.39</v>
      </c>
      <c r="AT41" s="82" t="n">
        <v>-9.68</v>
      </c>
      <c r="AU41" s="82" t="n">
        <v>141.81</v>
      </c>
      <c r="AV41" s="82" t="n">
        <v>141.37</v>
      </c>
      <c r="AW41" s="82" t="n">
        <v>123.22</v>
      </c>
      <c r="AX41" s="82" t="n">
        <v>0.89</v>
      </c>
      <c r="AY41" s="82" t="n">
        <v>0.6</v>
      </c>
      <c r="AZ41" s="82" t="n">
        <v>3.5</v>
      </c>
      <c r="BA41" s="71" t="inlineStr">
        <is>
          <t>China Biotech ETF (HS biotech proxy)</t>
        </is>
      </c>
      <c r="BB41" s="82" t="n">
        <v>-50.17</v>
      </c>
      <c r="BC41" s="72" t="inlineStr">
        <is>
          <t>2026-09-23</t>
        </is>
      </c>
      <c r="BD41" s="73" t="n">
        <v>898.2</v>
      </c>
      <c r="BE41" s="76" t="n">
        <v>166</v>
      </c>
      <c r="BF41" s="71" t="inlineStr">
        <is>
          <t>Y</t>
        </is>
      </c>
      <c r="BG41" s="83" t="n">
        <v>146.8</v>
      </c>
      <c r="BH41" s="83" t="n">
        <v>282.1</v>
      </c>
      <c r="BI41" s="83" t="n">
        <v>70.59999999999999</v>
      </c>
      <c r="BJ41" s="83" t="n">
        <v>27.1</v>
      </c>
      <c r="BK41" s="84">
        <f>IF('BBG Verify'!S41="","not filed; run on terminal",'BBG Verify'!S41)</f>
        <v/>
      </c>
      <c r="BL41" s="85" t="inlineStr">
        <is>
          <t>N</t>
        </is>
      </c>
      <c r="BM41" s="86">
        <f>IF('BBG Verify'!K41="","not filed; run on terminal",'BBG Verify'!K41)</f>
        <v/>
      </c>
      <c r="BN41" s="71" t="inlineStr">
        <is>
          <t>N/A</t>
        </is>
      </c>
      <c r="BO41" s="71" t="inlineStr">
        <is>
          <t>N/A</t>
        </is>
      </c>
      <c r="BP41" s="71" t="inlineStr">
        <is>
          <t>N/A</t>
        </is>
      </c>
      <c r="BQ41" s="71" t="inlineStr">
        <is>
          <t>N/A</t>
        </is>
      </c>
      <c r="BR41" s="71" t="inlineStr">
        <is>
          <t>N/A</t>
        </is>
      </c>
      <c r="BS41" s="71" t="inlineStr">
        <is>
          <t>N/A</t>
        </is>
      </c>
      <c r="BT41" s="8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U41" s="71" t="inlineStr">
        <is>
          <t>China International Capital Corporation Hong Kong Securities Limited; Goldman Sachs (Asia) L.L.C.</t>
        </is>
      </c>
      <c r="BV41" s="71" t="inlineStr">
        <is>
          <t>China International Capital Corporation Hong Kong Securities Limited; Goldman Sachs (Asia) L.L.C.</t>
        </is>
      </c>
      <c r="BW41" s="71" t="inlineStr">
        <is>
          <t>China International Capital Corporation Hong Kong Securities Limited; Goldman Sachs (Asia) L.L.C.</t>
        </is>
      </c>
      <c r="BX41" s="87">
        <f>HYPERLINK("https://www1.hkexnews.hk/listedco/listconews/sehk/2021/0603/2021060300011.pdf","prospectus")</f>
        <v/>
      </c>
      <c r="BY41" s="87">
        <f>HYPERLINK("https://www1.hkexnews.hk/listedco/listconews/sehk/2021/0615/2021061500010.htm","allotment")</f>
        <v/>
      </c>
      <c r="BZ41" s="87">
        <f>HYPERLINK("https://www1.hkexnews.hk/listedco/listconews/sehk/2021/0708/2021070801042.pdf","stabilisation")</f>
        <v/>
      </c>
      <c r="CA41" s="85" t="n"/>
      <c r="CB41" s="71" t="inlineStr">
        <is>
          <t>cornerstone list: no cornerstone tranche; allocation: allocation table not in this notice's format (older prose announcement); day-1 tape: volume on file; the retail multiple needs the final public split, which this notice does not state</t>
        </is>
      </c>
    </row>
    <row r="42" ht="15" customHeight="1">
      <c r="A42" s="70" t="inlineStr">
        <is>
          <t>2171</t>
        </is>
      </c>
      <c r="B42" s="71" t="inlineStr">
        <is>
          <t>CARSGEN-B</t>
        </is>
      </c>
      <c r="C42" s="71" t="inlineStr">
        <is>
          <t>科濟藥業－Ｂ</t>
        </is>
      </c>
      <c r="D42" s="71" t="inlineStr">
        <is>
          <t>Healthcare</t>
        </is>
      </c>
      <c r="E42" s="71" t="inlineStr">
        <is>
          <t>Biotech pre-revenue (18A)</t>
        </is>
      </c>
      <c r="F42" s="71" t="inlineStr">
        <is>
          <t>Biotechnology</t>
        </is>
      </c>
      <c r="G42" s="71" t="inlineStr">
        <is>
          <t>18A</t>
        </is>
      </c>
      <c r="H42" s="72" t="n">
        <v>44365</v>
      </c>
      <c r="I42" s="73" t="n">
        <v>3107.7</v>
      </c>
      <c r="J42" s="71" t="inlineStr">
        <is>
          <t>gross (price x shares)</t>
        </is>
      </c>
      <c r="K42" s="74" t="n">
        <v>29.6</v>
      </c>
      <c r="L42" s="74" t="n">
        <v>32.8</v>
      </c>
      <c r="M42" s="74" t="n">
        <v>32.8</v>
      </c>
      <c r="N42" s="71" t="inlineStr">
        <is>
          <t>Y</t>
        </is>
      </c>
      <c r="O42" s="75" t="n">
        <v>100</v>
      </c>
      <c r="P42" s="75" t="n">
        <v>100</v>
      </c>
      <c r="Q42" s="76" t="n">
        <v>17700</v>
      </c>
      <c r="R42" s="71" t="inlineStr">
        <is>
          <t>prospectus:stated market capitalisation</t>
        </is>
      </c>
      <c r="S42" s="77" t="n">
        <v>434.57</v>
      </c>
      <c r="T42" s="78" t="n">
        <v>8.199999999999999</v>
      </c>
      <c r="U42" s="79" t="n">
        <v>27.2</v>
      </c>
      <c r="V42" s="80" t="n">
        <v>106</v>
      </c>
      <c r="W42" s="75" t="n">
        <v>50</v>
      </c>
      <c r="X42" s="71" t="inlineStr">
        <is>
          <t>YES</t>
        </is>
      </c>
      <c r="Y42" s="76" t="n">
        <v>2262.41</v>
      </c>
      <c r="Z42" s="76" t="n">
        <v>68975816</v>
      </c>
      <c r="AA42" s="75" t="n">
        <v>12.78</v>
      </c>
      <c r="AB42" s="71"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AC42" s="71" t="inlineStr">
        <is>
          <t>affin;southern;cloudalpha;dymon;foresight;gf;ivyrock;lav;wt</t>
        </is>
      </c>
      <c r="AD42" s="75" t="n">
        <v>5.5</v>
      </c>
      <c r="AE42" s="71" t="inlineStr">
        <is>
          <t>lapsed</t>
        </is>
      </c>
      <c r="AF42" s="71" t="inlineStr">
        <is>
          <t>2021-07-10</t>
        </is>
      </c>
      <c r="AG42" s="71" t="inlineStr">
        <is>
          <t>Goldman Sachs</t>
        </is>
      </c>
      <c r="AH42" s="71" t="inlineStr">
        <is>
          <t>Goldman Sachs</t>
        </is>
      </c>
      <c r="AI42" s="81" t="n"/>
      <c r="AJ42" s="82" t="n">
        <v>-8.539999999999999</v>
      </c>
      <c r="AK42" s="82" t="n">
        <v>-17.53</v>
      </c>
      <c r="AL42" s="82" t="n">
        <v>10.9</v>
      </c>
      <c r="AM42" s="83" t="n">
        <v>1.15</v>
      </c>
      <c r="AN42" s="75" t="n">
        <v>21.81</v>
      </c>
      <c r="AO42" s="82" t="n">
        <v>-3.05</v>
      </c>
      <c r="AP42" s="82" t="n">
        <v>-8.69</v>
      </c>
      <c r="AQ42" s="82" t="n">
        <v>32.16</v>
      </c>
      <c r="AR42" s="82" t="n">
        <v>6</v>
      </c>
      <c r="AS42" s="82" t="n">
        <v>-0.16</v>
      </c>
      <c r="AT42" s="82" t="n">
        <v>44.5</v>
      </c>
      <c r="AU42" s="82" t="n">
        <v>-9.98</v>
      </c>
      <c r="AV42" s="82" t="n">
        <v>-12.93</v>
      </c>
      <c r="AW42" s="82" t="n">
        <v>45.72</v>
      </c>
      <c r="AX42" s="82" t="n">
        <v>-2.78</v>
      </c>
      <c r="AY42" s="82" t="n">
        <v>4.24</v>
      </c>
      <c r="AZ42" s="82" t="n">
        <v>2.62</v>
      </c>
      <c r="BA42" s="71" t="inlineStr">
        <is>
          <t>China Biotech ETF (HS biotech proxy)</t>
        </is>
      </c>
      <c r="BB42" s="82" t="n">
        <v>-59.76</v>
      </c>
      <c r="BC42" s="72" t="inlineStr">
        <is>
          <t>2026-09-23</t>
        </is>
      </c>
      <c r="BD42" s="73" t="n">
        <v>34.1</v>
      </c>
      <c r="BE42" s="76" t="n">
        <v>-291.6</v>
      </c>
      <c r="BF42" s="71" t="inlineStr">
        <is>
          <t>N</t>
        </is>
      </c>
      <c r="BG42" s="71" t="inlineStr">
        <is>
          <t>n/m</t>
        </is>
      </c>
      <c r="BH42" s="83" t="n"/>
      <c r="BI42" s="83" t="n"/>
      <c r="BJ42" s="83" t="n">
        <v>519.1</v>
      </c>
      <c r="BK42" s="84">
        <f>IF('BBG Verify'!S42="","not filed; run on terminal",'BBG Verify'!S42)</f>
        <v/>
      </c>
      <c r="BL42" s="85" t="inlineStr">
        <is>
          <t>N</t>
        </is>
      </c>
      <c r="BM42" s="86">
        <f>IF('BBG Verify'!K42="","not filed; run on terminal",'BBG Verify'!K42)</f>
        <v/>
      </c>
      <c r="BN42" s="71" t="inlineStr">
        <is>
          <t>N/A</t>
        </is>
      </c>
      <c r="BO42" s="71" t="inlineStr">
        <is>
          <t>N/A</t>
        </is>
      </c>
      <c r="BP42" s="71" t="inlineStr">
        <is>
          <t>N/A</t>
        </is>
      </c>
      <c r="BQ42" s="71" t="inlineStr">
        <is>
          <t>N/A</t>
        </is>
      </c>
      <c r="BR42" s="71" t="inlineStr">
        <is>
          <t>N/A</t>
        </is>
      </c>
      <c r="BS42" s="71" t="inlineStr">
        <is>
          <t>N/A</t>
        </is>
      </c>
      <c r="BT42" s="85" t="inlineStr">
        <is>
          <t>Goldman Sachs (Asia) L.L.C; UBS Securities Hong Kong Limited</t>
        </is>
      </c>
      <c r="BU42" s="71" t="inlineStr">
        <is>
          <t>UBS Securities Hong Kong Limited; Goldman Sachs (Asia) L.L.C.</t>
        </is>
      </c>
      <c r="BV42" s="71" t="inlineStr">
        <is>
          <t>Goldman Sachs (Asia) L.L.C; UBS AG Hong Kong Branch; CLSA Limited; Credit Suisse (Hong Kong) Limited</t>
        </is>
      </c>
      <c r="BW42" s="71" t="inlineStr">
        <is>
          <t>CLSA Limited; Credit Suisse (Hong Kong) Limited; Goldman Sachs (Asia) L.L.C.; UBS AG Hong Kong Branch</t>
        </is>
      </c>
      <c r="BX42" s="87">
        <f>HYPERLINK("https://www1.hkexnews.hk/listedco/listconews/sehk/2021/0607/2021060700009.pdf","prospectus")</f>
        <v/>
      </c>
      <c r="BY42" s="87">
        <f>HYPERLINK("https://www1.hkexnews.hk/listedco/listconews/sehk/2021/0617/2021061700006.htm","allotment")</f>
        <v/>
      </c>
      <c r="BZ42" s="87">
        <f>HYPERLINK("https://www1.hkexnews.hk/listedco/listconews/sehk/2021/0712/2021071200836.pdf","stabilisation")</f>
        <v/>
      </c>
      <c r="CA42" s="85" t="n"/>
      <c r="CB42" s="71" t="inlineStr">
        <is>
          <t>P/E: loss-making at IPO, use P/S; cornerstone: % from the prospectus; AAStocks table includes non-cornerstone orders; P/S: 519x on HK$34.1m revenue, effectively pre-revenue; not comparable; grey market: etnet's story of the session gave only the Phillip open (39.0, +18.9% vs offer) on 2021-06-17; no close was published</t>
        </is>
      </c>
    </row>
    <row r="43" ht="15" customHeight="1">
      <c r="A43" s="70" t="inlineStr">
        <is>
          <t>9858</t>
        </is>
      </c>
      <c r="B43" s="71" t="inlineStr">
        <is>
          <t>YOURAN DAIRY</t>
        </is>
      </c>
      <c r="C43" s="71" t="inlineStr">
        <is>
          <t>優然牧業</t>
        </is>
      </c>
      <c r="D43" s="71" t="inlineStr">
        <is>
          <t>Consumer</t>
        </is>
      </c>
      <c r="E43" s="71" t="inlineStr">
        <is>
          <t>Beverages / packaged food</t>
        </is>
      </c>
      <c r="F43" s="71" t="inlineStr">
        <is>
          <t>Dairy Products</t>
        </is>
      </c>
      <c r="G43" s="71" t="inlineStr">
        <is>
          <t>Standard</t>
        </is>
      </c>
      <c r="H43" s="72" t="n">
        <v>44365</v>
      </c>
      <c r="I43" s="73" t="n">
        <v>4993.7</v>
      </c>
      <c r="J43" s="71" t="inlineStr">
        <is>
          <t>gross (price x shares)</t>
        </is>
      </c>
      <c r="K43" s="74" t="n">
        <v>6.98</v>
      </c>
      <c r="L43" s="74" t="n">
        <v>8.66</v>
      </c>
      <c r="M43" s="74" t="n">
        <v>6.98</v>
      </c>
      <c r="N43" s="71" t="inlineStr">
        <is>
          <t>N</t>
        </is>
      </c>
      <c r="O43" s="75" t="n">
        <v>80.59999999999999</v>
      </c>
      <c r="P43" s="75" t="n">
        <v>0</v>
      </c>
      <c r="Q43" s="76" t="n">
        <v>31631.2</v>
      </c>
      <c r="R43" s="71" t="inlineStr">
        <is>
          <t>aastocks:上市市值 at the struck price</t>
        </is>
      </c>
      <c r="S43" s="77" t="n">
        <v>3.73</v>
      </c>
      <c r="T43" s="78" t="n">
        <v>3.88</v>
      </c>
      <c r="U43" s="79" t="n">
        <v>7.77</v>
      </c>
      <c r="V43" s="80" t="n">
        <v>100</v>
      </c>
      <c r="W43" s="75" t="n"/>
      <c r="X43" s="71" t="n"/>
      <c r="Y43" s="76" t="n">
        <v>4605.69</v>
      </c>
      <c r="Z43" s="76" t="n">
        <v>659845700</v>
      </c>
      <c r="AA43" s="75" t="n">
        <v>14.56</v>
      </c>
      <c r="AB43" s="71" t="inlineStr">
        <is>
          <t>CITIC-Prudential Life Insurance Company Limited; Harvest Private Wealth Thematic Fund SPC</t>
        </is>
      </c>
      <c r="AC43" s="71" t="inlineStr">
        <is>
          <t>citic;harvest</t>
        </is>
      </c>
      <c r="AD43" s="75" t="n">
        <v>16.97</v>
      </c>
      <c r="AE43" s="71" t="inlineStr">
        <is>
          <t>lapsed</t>
        </is>
      </c>
      <c r="AF43" s="71" t="inlineStr">
        <is>
          <t>2021-07-10</t>
        </is>
      </c>
      <c r="AG43" s="71" t="inlineStr">
        <is>
          <t>Credit Suisse</t>
        </is>
      </c>
      <c r="AH43" s="71" t="inlineStr">
        <is>
          <t>Credit Suisse</t>
        </is>
      </c>
      <c r="AI43" s="81" t="n"/>
      <c r="AJ43" s="82" t="n">
        <v>-11.89</v>
      </c>
      <c r="AK43" s="82" t="n">
        <v>-10.03</v>
      </c>
      <c r="AL43" s="82" t="n">
        <v>-2.07</v>
      </c>
      <c r="AM43" s="83" t="n"/>
      <c r="AN43" s="75" t="n">
        <v>15.61</v>
      </c>
      <c r="AO43" s="82" t="n">
        <v>-11.32</v>
      </c>
      <c r="AP43" s="82" t="n">
        <v>-26.93</v>
      </c>
      <c r="AQ43" s="82" t="n">
        <v>-29.08</v>
      </c>
      <c r="AR43" s="82" t="n">
        <v>0.65</v>
      </c>
      <c r="AS43" s="82" t="n">
        <v>-17.07</v>
      </c>
      <c r="AT43" s="82" t="n">
        <v>-19.51</v>
      </c>
      <c r="AU43" s="82" t="n">
        <v>-16.57</v>
      </c>
      <c r="AV43" s="82" t="n">
        <v>-23.51</v>
      </c>
      <c r="AW43" s="82" t="n">
        <v>-13.87</v>
      </c>
      <c r="AX43" s="82" t="n">
        <v>-11.66</v>
      </c>
      <c r="AY43" s="82" t="n">
        <v>-3.42</v>
      </c>
      <c r="AZ43" s="82" t="n">
        <v>-5.41</v>
      </c>
      <c r="BA43" s="71" t="inlineStr">
        <is>
          <t>Hang Seng Commerce &amp; Industry sub-index</t>
        </is>
      </c>
      <c r="BB43" s="82" t="n">
        <v>-41.4</v>
      </c>
      <c r="BC43" s="72" t="inlineStr">
        <is>
          <t>2026-09-23</t>
        </is>
      </c>
      <c r="BD43" s="73" t="n">
        <v>12959.3</v>
      </c>
      <c r="BE43" s="76" t="n">
        <v>1694.7</v>
      </c>
      <c r="BF43" s="71" t="inlineStr">
        <is>
          <t>Y</t>
        </is>
      </c>
      <c r="BG43" s="83" t="n">
        <v>18.7</v>
      </c>
      <c r="BH43" s="83" t="n">
        <v>12.3</v>
      </c>
      <c r="BI43" s="83" t="n"/>
      <c r="BJ43" s="83" t="n">
        <v>2.4</v>
      </c>
      <c r="BK43" s="84">
        <f>IF('BBG Verify'!S43="","not filed; run on terminal",'BBG Verify'!S43)</f>
        <v/>
      </c>
      <c r="BL43" s="85" t="inlineStr">
        <is>
          <t>N</t>
        </is>
      </c>
      <c r="BM43" s="86">
        <f>IF('BBG Verify'!K43="","not filed; run on terminal",'BBG Verify'!K43)</f>
        <v/>
      </c>
      <c r="BN43" s="71" t="inlineStr">
        <is>
          <t>N/A</t>
        </is>
      </c>
      <c r="BO43" s="71" t="inlineStr">
        <is>
          <t>N/A</t>
        </is>
      </c>
      <c r="BP43" s="71" t="inlineStr">
        <is>
          <t>N/A</t>
        </is>
      </c>
      <c r="BQ43" s="71" t="inlineStr">
        <is>
          <t>N/A</t>
        </is>
      </c>
      <c r="BR43" s="71" t="inlineStr">
        <is>
          <t>N/A</t>
        </is>
      </c>
      <c r="BS43" s="71" t="inlineStr">
        <is>
          <t>N/A</t>
        </is>
      </c>
      <c r="BT43" s="85" t="inlineStr">
        <is>
          <t>Huatai Financial Holdings (Hong Kong) Limited; Credit Suisse (Hong Kong) Limited</t>
        </is>
      </c>
      <c r="BU43" s="71" t="inlineStr">
        <is>
          <t>Huatai Financial Holdings (Hong Kong) Limited; Credit Suisse (Hong Kong) Limited</t>
        </is>
      </c>
      <c r="BV43" s="71"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W43" s="71"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X43" s="87">
        <f>HYPERLINK("https://www1.hkexnews.hk/listedco/listconews/sehk/2021/0607/2021060700019.pdf","prospectus")</f>
        <v/>
      </c>
      <c r="BY43" s="87">
        <f>HYPERLINK("https://www1.hkexnews.hk/listedco/listconews/sehk/2021/0617/2021061700034.htm","allotment")</f>
        <v/>
      </c>
      <c r="BZ43" s="87">
        <f>HYPERLINK("https://www1.hkexnews.hk/listedco/listconews/sehk/2021/0711/2021071100011.pdf","stabilisation")</f>
        <v/>
      </c>
      <c r="CA43" s="85" t="n"/>
      <c r="CB43" s="71" t="inlineStr">
        <is>
          <t>market cap: published listing cap used; the estimate from deal size / offer % of enlarged capital disagreed; grey market: etnet's story of the session gave only the Phillip open (6.9, -1.1% vs offer) on 2021-06-17; no close was published; allocation: allocation table not in this notice's format (older prose announcement); day-1 tape: volume on file; the retail multiple needs the final public split, which this notice does not state</t>
        </is>
      </c>
    </row>
    <row r="44" ht="15" customHeight="1">
      <c r="A44" s="70" t="inlineStr">
        <is>
          <t>2155</t>
        </is>
      </c>
      <c r="B44" s="71" t="inlineStr">
        <is>
          <t>MORIMATSU INTL</t>
        </is>
      </c>
      <c r="C44" s="71" t="inlineStr">
        <is>
          <t>森松國際</t>
        </is>
      </c>
      <c r="D44" s="71" t="inlineStr">
        <is>
          <t>Industrials</t>
        </is>
      </c>
      <c r="E44" s="71" t="inlineStr">
        <is>
          <t>Capital goods / machinery</t>
        </is>
      </c>
      <c r="F44" s="71" t="inlineStr">
        <is>
          <t>Industrial Machinery</t>
        </is>
      </c>
      <c r="G44" s="71" t="inlineStr">
        <is>
          <t>Standard</t>
        </is>
      </c>
      <c r="H44" s="72" t="n">
        <v>44375</v>
      </c>
      <c r="I44" s="73" t="n">
        <v>620</v>
      </c>
      <c r="J44" s="71" t="inlineStr">
        <is>
          <t>gross (price x shares)</t>
        </is>
      </c>
      <c r="K44" s="74" t="n">
        <v>2.2</v>
      </c>
      <c r="L44" s="74" t="n">
        <v>2.48</v>
      </c>
      <c r="M44" s="74" t="n">
        <v>2.48</v>
      </c>
      <c r="N44" s="71" t="inlineStr">
        <is>
          <t>Y</t>
        </is>
      </c>
      <c r="O44" s="75" t="n">
        <v>100</v>
      </c>
      <c r="P44" s="75" t="n">
        <v>100</v>
      </c>
      <c r="Q44" s="76" t="n">
        <v>2755.6</v>
      </c>
      <c r="R44" s="71" t="inlineStr">
        <is>
          <t>derived:deal size / offer % of enlarged capital</t>
        </is>
      </c>
      <c r="S44" s="77" t="n">
        <v>23.71</v>
      </c>
      <c r="T44" s="78" t="n">
        <v>2.36</v>
      </c>
      <c r="U44" s="79" t="n">
        <v>44.63</v>
      </c>
      <c r="V44" s="80" t="n">
        <v>134</v>
      </c>
      <c r="W44" s="75" t="n">
        <v>30</v>
      </c>
      <c r="X44" s="71" t="inlineStr">
        <is>
          <t>YES</t>
        </is>
      </c>
      <c r="Y44" s="76" t="n">
        <v>343.29</v>
      </c>
      <c r="Z44" s="76" t="n">
        <v>138425000</v>
      </c>
      <c r="AA44" s="75" t="n">
        <v>12.46</v>
      </c>
      <c r="AB44" s="71" t="inlineStr">
        <is>
          <t>China Universal Asset Management Limited Liability Company; Huayou HongKong Holding Limited; Hwa-An International Limited; Jingzhirui (Suzhou) Microelectronic Technology Co., Ltd; WuXi Biologics HealthCare Venture; Zhang Ning</t>
        </is>
      </c>
      <c r="AC44" s="71" t="inlineStr">
        <is>
          <t>universal;huayou;hwa;jingzhirui;wuxi;zhang-ning</t>
        </is>
      </c>
      <c r="AD44" s="75" t="n">
        <v>12.37</v>
      </c>
      <c r="AE44" s="71" t="inlineStr">
        <is>
          <t>full</t>
        </is>
      </c>
      <c r="AF44" s="71" t="n"/>
      <c r="AG44" s="71" t="inlineStr">
        <is>
          <t>Sinolink Securities</t>
        </is>
      </c>
      <c r="AH44" s="71" t="inlineStr">
        <is>
          <t>Sinolink</t>
        </is>
      </c>
      <c r="AI44" s="81" t="n"/>
      <c r="AJ44" s="82" t="n">
        <v>258.87</v>
      </c>
      <c r="AK44" s="82" t="n">
        <v>100</v>
      </c>
      <c r="AL44" s="82" t="n">
        <v>79.44</v>
      </c>
      <c r="AM44" s="83" t="n">
        <v>2.3</v>
      </c>
      <c r="AN44" s="75" t="n">
        <v>116.94</v>
      </c>
      <c r="AO44" s="82" t="n">
        <v>459.68</v>
      </c>
      <c r="AP44" s="82" t="n">
        <v>303.23</v>
      </c>
      <c r="AQ44" s="82" t="n">
        <v>290.73</v>
      </c>
      <c r="AR44" s="82" t="n">
        <v>55.96</v>
      </c>
      <c r="AS44" s="82" t="n">
        <v>12.36</v>
      </c>
      <c r="AT44" s="82" t="n">
        <v>8.880000000000001</v>
      </c>
      <c r="AU44" s="82" t="n">
        <v>465.73</v>
      </c>
      <c r="AV44" s="82" t="n">
        <v>316.25</v>
      </c>
      <c r="AW44" s="82" t="n">
        <v>309.79</v>
      </c>
      <c r="AX44" s="82" t="n">
        <v>25.1</v>
      </c>
      <c r="AY44" s="82" t="n">
        <v>-13.02</v>
      </c>
      <c r="AZ44" s="82" t="n">
        <v>-12.74</v>
      </c>
      <c r="BA44" s="71" t="inlineStr">
        <is>
          <t>Hang Seng Commerce &amp; Industry sub-index</t>
        </is>
      </c>
      <c r="BB44" s="82" t="n">
        <v>182.66</v>
      </c>
      <c r="BC44" s="72" t="inlineStr">
        <is>
          <t>2026-09-23</t>
        </is>
      </c>
      <c r="BD44" s="73" t="n">
        <v>3109</v>
      </c>
      <c r="BE44" s="76" t="n">
        <v>161.3</v>
      </c>
      <c r="BF44" s="71" t="inlineStr">
        <is>
          <t>Y</t>
        </is>
      </c>
      <c r="BG44" s="83" t="n">
        <v>17.1</v>
      </c>
      <c r="BH44" s="83" t="n"/>
      <c r="BI44" s="83" t="n">
        <v>13.4</v>
      </c>
      <c r="BJ44" s="83" t="n">
        <v>0.9</v>
      </c>
      <c r="BK44" s="84">
        <f>IF('BBG Verify'!S44="","not filed; run on terminal",'BBG Verify'!S44)</f>
        <v/>
      </c>
      <c r="BL44" s="85" t="inlineStr">
        <is>
          <t>N</t>
        </is>
      </c>
      <c r="BM44" s="86">
        <f>IF('BBG Verify'!K44="","not filed; run on terminal",'BBG Verify'!K44)</f>
        <v/>
      </c>
      <c r="BN44" s="71" t="inlineStr">
        <is>
          <t>N/A</t>
        </is>
      </c>
      <c r="BO44" s="71" t="inlineStr">
        <is>
          <t>N/A</t>
        </is>
      </c>
      <c r="BP44" s="71" t="inlineStr">
        <is>
          <t>N/A</t>
        </is>
      </c>
      <c r="BQ44" s="71" t="inlineStr">
        <is>
          <t>N/A</t>
        </is>
      </c>
      <c r="BR44" s="71" t="inlineStr">
        <is>
          <t>N/A</t>
        </is>
      </c>
      <c r="BS44" s="71" t="inlineStr">
        <is>
          <t>N/A</t>
        </is>
      </c>
      <c r="BT44" s="85" t="inlineStr">
        <is>
          <t>Sinolink Securities (Hong Kong) Company Limited</t>
        </is>
      </c>
      <c r="BU44" s="71" t="inlineStr">
        <is>
          <t>Sinolink Securities (Hong Kong) Company Limited</t>
        </is>
      </c>
      <c r="BV44" s="71" t="inlineStr">
        <is>
          <t>Sinolink Securities (Hong Kong) Company Limited; Haitong International Securities Company Limited; Innovax Securities Limited</t>
        </is>
      </c>
      <c r="BW44" s="71" t="inlineStr">
        <is>
          <t>Futu Securities International (Hong Kong) Limited; Haitong International Securities Company Limited; Innovax Securities Limited; Livermore Holdings Limited; Sinolink Securities (Hong Kong) Company Limited; Sinomax Securities Limited</t>
        </is>
      </c>
      <c r="BX44" s="87">
        <f>HYPERLINK("https://www1.hkexnews.hk/listedco/listconews/sehk/2021/0615/2021061500023.pdf","prospectus")</f>
        <v/>
      </c>
      <c r="BY44" s="87">
        <f>HYPERLINK("https://www1.hkexnews.hk/listedco/listconews/sehk/2021/0625/2021062500064.htm","allotment")</f>
        <v/>
      </c>
      <c r="BZ44" s="87">
        <f>HYPERLINK("https://www1.hkexnews.hk/listedco/listconews/sehk/2021/0719/2021071900868.pdf","stabilisation")</f>
        <v/>
      </c>
      <c r="CA44" s="85" t="n"/>
      <c r="CB44" s="71" t="inlineStr">
        <is>
          <t>greenshoe: outcome published; expiry date not in the notice; grey market: no close found: etnet's news wire (every story that evening and the next morning), etnet's grey table (from Oct-2024) and AAStocks all checked</t>
        </is>
      </c>
    </row>
    <row r="45" ht="15" customHeight="1">
      <c r="A45" s="70" t="inlineStr">
        <is>
          <t>6626</t>
        </is>
      </c>
      <c r="B45" s="71" t="inlineStr">
        <is>
          <t>YUEXIU SERVICES</t>
        </is>
      </c>
      <c r="C45" s="71" t="inlineStr">
        <is>
          <t>越秀服務</t>
        </is>
      </c>
      <c r="D45" s="71" t="inlineStr">
        <is>
          <t>Real Estate</t>
        </is>
      </c>
      <c r="E45" s="71" t="inlineStr">
        <is>
          <t>Property management</t>
        </is>
      </c>
      <c r="F45" s="71" t="inlineStr">
        <is>
          <t>Property Service and Management</t>
        </is>
      </c>
      <c r="G45" s="71" t="inlineStr">
        <is>
          <t>Standard</t>
        </is>
      </c>
      <c r="H45" s="72" t="n">
        <v>44375</v>
      </c>
      <c r="I45" s="73" t="n">
        <v>1803.9</v>
      </c>
      <c r="J45" s="71" t="inlineStr">
        <is>
          <t>gross (price x shares)</t>
        </is>
      </c>
      <c r="K45" s="74" t="n">
        <v>4.88</v>
      </c>
      <c r="L45" s="74" t="n">
        <v>6.52</v>
      </c>
      <c r="M45" s="74" t="n">
        <v>4.88</v>
      </c>
      <c r="N45" s="71" t="inlineStr">
        <is>
          <t>N</t>
        </is>
      </c>
      <c r="O45" s="75" t="n">
        <v>74.8</v>
      </c>
      <c r="P45" s="75" t="n">
        <v>0</v>
      </c>
      <c r="Q45" s="76" t="n">
        <v>9295.700000000001</v>
      </c>
      <c r="R45" s="71" t="inlineStr">
        <is>
          <t>aastocks:上市市值 at the struck price</t>
        </is>
      </c>
      <c r="S45" s="77" t="n">
        <v>9.880000000000001</v>
      </c>
      <c r="T45" s="78" t="n">
        <v>2.4</v>
      </c>
      <c r="U45" s="79" t="n">
        <v>10.76</v>
      </c>
      <c r="V45" s="80" t="n">
        <v>164</v>
      </c>
      <c r="W45" s="75" t="n"/>
      <c r="X45" s="71" t="n"/>
      <c r="Y45" s="76" t="n">
        <v>1609.8</v>
      </c>
      <c r="Z45" s="76" t="n">
        <v>329884584</v>
      </c>
      <c r="AA45" s="75" t="n">
        <v>17.32</v>
      </c>
      <c r="AB45" s="71"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AC45" s="71" t="inlineStr">
        <is>
          <t>crotona;goingup;jiang-ganjun;kaiser;ke;keltic;new;sensepower;sunfly;wealthking</t>
        </is>
      </c>
      <c r="AD45" s="75" t="n">
        <v>6.11</v>
      </c>
      <c r="AE45" s="71" t="inlineStr">
        <is>
          <t>partial</t>
        </is>
      </c>
      <c r="AF45" s="71" t="inlineStr">
        <is>
          <t>2021-07-21</t>
        </is>
      </c>
      <c r="AG45" s="71" t="inlineStr">
        <is>
          <t>Yue Xiu Securities Company Limited</t>
        </is>
      </c>
      <c r="AH45" s="71" t="inlineStr">
        <is>
          <t>Yue Xiu</t>
        </is>
      </c>
      <c r="AI45" s="81" t="n"/>
      <c r="AJ45" s="82" t="n">
        <v>0</v>
      </c>
      <c r="AK45" s="82" t="n">
        <v>-1.64</v>
      </c>
      <c r="AL45" s="82" t="n">
        <v>1.67</v>
      </c>
      <c r="AM45" s="83" t="n"/>
      <c r="AN45" s="75" t="n">
        <v>4.79</v>
      </c>
      <c r="AO45" s="82" t="n">
        <v>10.04</v>
      </c>
      <c r="AP45" s="82" t="n">
        <v>-13.93</v>
      </c>
      <c r="AQ45" s="82" t="n">
        <v>-33.81</v>
      </c>
      <c r="AR45" s="82" t="n">
        <v>10.04</v>
      </c>
      <c r="AS45" s="82" t="n">
        <v>-13.93</v>
      </c>
      <c r="AT45" s="82" t="n">
        <v>-33.81</v>
      </c>
      <c r="AU45" s="82" t="n">
        <v>12.74</v>
      </c>
      <c r="AV45" s="82" t="n">
        <v>-5.36</v>
      </c>
      <c r="AW45" s="82" t="n">
        <v>-13.45</v>
      </c>
      <c r="AX45" s="82" t="n">
        <v>-5.77</v>
      </c>
      <c r="AY45" s="82" t="n">
        <v>-8.57</v>
      </c>
      <c r="AZ45" s="82" t="n">
        <v>-8.16</v>
      </c>
      <c r="BA45" s="71" t="inlineStr">
        <is>
          <t>Hang Seng Properties sub-index</t>
        </is>
      </c>
      <c r="BB45" s="82" t="n">
        <v>-63.73</v>
      </c>
      <c r="BC45" s="72" t="inlineStr">
        <is>
          <t>2026-09-23</t>
        </is>
      </c>
      <c r="BD45" s="73" t="n">
        <v>1284.9</v>
      </c>
      <c r="BE45" s="76" t="n">
        <v>224.1</v>
      </c>
      <c r="BF45" s="71" t="inlineStr">
        <is>
          <t>Y</t>
        </is>
      </c>
      <c r="BG45" s="83" t="n">
        <v>41.5</v>
      </c>
      <c r="BH45" s="83" t="n"/>
      <c r="BI45" s="83" t="n">
        <v>8</v>
      </c>
      <c r="BJ45" s="83" t="n">
        <v>7.2</v>
      </c>
      <c r="BK45" s="84">
        <f>IF('BBG Verify'!S45="","not filed; run on terminal",'BBG Verify'!S45)</f>
        <v/>
      </c>
      <c r="BL45" s="85" t="inlineStr">
        <is>
          <t>N</t>
        </is>
      </c>
      <c r="BM45" s="86">
        <f>IF('BBG Verify'!K45="","not filed; run on terminal",'BBG Verify'!K45)</f>
        <v/>
      </c>
      <c r="BN45" s="71" t="inlineStr">
        <is>
          <t>N/A</t>
        </is>
      </c>
      <c r="BO45" s="71" t="inlineStr">
        <is>
          <t>N/A</t>
        </is>
      </c>
      <c r="BP45" s="71" t="inlineStr">
        <is>
          <t>N/A</t>
        </is>
      </c>
      <c r="BQ45" s="71" t="inlineStr">
        <is>
          <t>N/A</t>
        </is>
      </c>
      <c r="BR45" s="71" t="inlineStr">
        <is>
          <t>N/A</t>
        </is>
      </c>
      <c r="BS45" s="71" t="inlineStr">
        <is>
          <t>N/A</t>
        </is>
      </c>
      <c r="BT45" s="85" t="inlineStr">
        <is>
          <t>ABCI Capital Limited; China Securities (International) Corporate Finance Company Limited; CCB International Capital Limited; Yue Xiu Capital Limited</t>
        </is>
      </c>
      <c r="BU45" s="71" t="inlineStr">
        <is>
          <t>CCB International Capital Limited; China Securities (International) Corporate Finance Company Limited; Yue Xiu Capital Limited; ABCI Capital Limited</t>
        </is>
      </c>
      <c r="BV45" s="71"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W45" s="71"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X45" s="87">
        <f>HYPERLINK("https://www1.hkexnews.hk/listedco/listconews/sehk/2021/0616/2021061600035.pdf","prospectus")</f>
        <v/>
      </c>
      <c r="BY45" s="87">
        <f>HYPERLINK("https://www1.hkexnews.hk/listedco/listconews/sehk/2021/0625/2021062500178.htm","allotment")</f>
        <v/>
      </c>
      <c r="BZ45" s="87">
        <f>HYPERLINK("https://www1.hkexnews.hk/listedco/listconews/sehk/2021/0721/2021072101184.pdf","stabilisation")</f>
        <v/>
      </c>
      <c r="CA45" s="85" t="n"/>
      <c r="CB45" s="71" t="inlineStr">
        <is>
          <t>market cap: published listing cap used; the estimate from stated market capitalisation, rescaled to the offer price disagreed; cornerstone: % from the prospectus; AAStocks table includes non-cornerstone orders;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46" ht="15" customHeight="1">
      <c r="A46" s="70" t="inlineStr">
        <is>
          <t>0013</t>
        </is>
      </c>
      <c r="B46" s="71" t="inlineStr">
        <is>
          <t>HUTCHMED</t>
        </is>
      </c>
      <c r="C46" s="71" t="inlineStr">
        <is>
          <t>和黃醫藥</t>
        </is>
      </c>
      <c r="D46" s="71" t="inlineStr">
        <is>
          <t>Healthcare</t>
        </is>
      </c>
      <c r="E46" s="71" t="inlineStr">
        <is>
          <t>Biopharma commercial</t>
        </is>
      </c>
      <c r="F46" s="71" t="inlineStr">
        <is>
          <t>Biotechnology</t>
        </is>
      </c>
      <c r="G46" s="71" t="inlineStr">
        <is>
          <t>Standard</t>
        </is>
      </c>
      <c r="H46" s="72" t="n">
        <v>44377</v>
      </c>
      <c r="I46" s="73" t="n">
        <v>4170.4</v>
      </c>
      <c r="J46" s="71" t="inlineStr">
        <is>
          <t>gross (price x shares)</t>
        </is>
      </c>
      <c r="K46" s="74" t="n"/>
      <c r="L46" s="74" t="n">
        <v>40.1</v>
      </c>
      <c r="M46" s="74" t="n">
        <v>40.1</v>
      </c>
      <c r="N46" s="71" t="inlineStr">
        <is>
          <t>Y</t>
        </is>
      </c>
      <c r="O46" s="75" t="n">
        <v>100</v>
      </c>
      <c r="P46" s="75" t="n"/>
      <c r="Q46" s="76" t="n">
        <v>34025</v>
      </c>
      <c r="R46" s="71" t="inlineStr">
        <is>
          <t>press:HUTCHMED pricing PR: issued share capital 848,515,660</t>
        </is>
      </c>
      <c r="S46" s="77" t="n">
        <v>5.23</v>
      </c>
      <c r="T46" s="78" t="n">
        <v>5</v>
      </c>
      <c r="U46" s="79" t="n">
        <v>44.9</v>
      </c>
      <c r="V46" s="80" t="n">
        <v>50</v>
      </c>
      <c r="W46" s="75" t="n"/>
      <c r="X46" s="71" t="n"/>
      <c r="Y46" s="76" t="n">
        <v>2297.89</v>
      </c>
      <c r="Z46" s="76" t="n">
        <v>57304000</v>
      </c>
      <c r="AA46" s="75" t="n">
        <v>6.75</v>
      </c>
      <c r="AB46" s="71" t="inlineStr">
        <is>
          <t>CA Fern Parent; CICC Grandeur (Xiamen) Equity Investment Fund Partnership (L.P.); CPP Investments; General Atlantic Singapore HCM Pte. Ltd; HBM Healthcare Investments (Cayman) Ltd</t>
        </is>
      </c>
      <c r="AC46" s="71" t="inlineStr">
        <is>
          <t>ca;china-international;cpp;general;hbm</t>
        </is>
      </c>
      <c r="AD46" s="75" t="n"/>
      <c r="AE46" s="71" t="n"/>
      <c r="AF46" s="71" t="inlineStr">
        <is>
          <t>2021-07-23</t>
        </is>
      </c>
      <c r="AG46" s="71" t="inlineStr">
        <is>
          <t>Morgan Stanley Asia Limited</t>
        </is>
      </c>
      <c r="AH46" s="71" t="inlineStr">
        <is>
          <t>Morgan Stanley</t>
        </is>
      </c>
      <c r="AI46" s="81" t="n">
        <v>24.94</v>
      </c>
      <c r="AJ46" s="82" t="n">
        <v>50.37</v>
      </c>
      <c r="AK46" s="82" t="n">
        <v>28.18</v>
      </c>
      <c r="AL46" s="82" t="n">
        <v>17.31</v>
      </c>
      <c r="AM46" s="83" t="n"/>
      <c r="AN46" s="75" t="n">
        <v>67.31999999999999</v>
      </c>
      <c r="AO46" s="82" t="n">
        <v>42.02</v>
      </c>
      <c r="AP46" s="82" t="n">
        <v>76.06</v>
      </c>
      <c r="AQ46" s="82" t="n">
        <v>44.26</v>
      </c>
      <c r="AR46" s="82" t="n">
        <v>-5.55</v>
      </c>
      <c r="AS46" s="82" t="n">
        <v>17.08</v>
      </c>
      <c r="AT46" s="82" t="n">
        <v>-4.06</v>
      </c>
      <c r="AU46" s="82" t="n">
        <v>48.98</v>
      </c>
      <c r="AV46" s="82" t="n">
        <v>85.86</v>
      </c>
      <c r="AW46" s="82" t="n">
        <v>62.51</v>
      </c>
      <c r="AX46" s="82" t="n">
        <v>26.24</v>
      </c>
      <c r="AY46" s="82" t="n">
        <v>-9.800000000000001</v>
      </c>
      <c r="AZ46" s="82" t="n">
        <v>-9.16</v>
      </c>
      <c r="BA46" s="71" t="inlineStr">
        <is>
          <t>China Biotech ETF (HS biotech proxy)</t>
        </is>
      </c>
      <c r="BB46" s="82" t="n">
        <v>-43.79</v>
      </c>
      <c r="BC46" s="72" t="inlineStr">
        <is>
          <t>2026-09-23</t>
        </is>
      </c>
      <c r="BD46" s="73" t="n"/>
      <c r="BE46" s="76" t="n"/>
      <c r="BF46" s="71" t="n"/>
      <c r="BG46" s="84">
        <f>IF('BBG Verify'!O46="","not filed; run on terminal",'BBG Verify'!O46)</f>
        <v/>
      </c>
      <c r="BH46" s="83" t="n"/>
      <c r="BI46" s="83" t="n"/>
      <c r="BJ46" s="83" t="n"/>
      <c r="BK46" s="84">
        <f>IF('BBG Verify'!S46="","not filed; run on terminal",'BBG Verify'!S46)</f>
        <v/>
      </c>
      <c r="BL46" s="85" t="inlineStr">
        <is>
          <t>N</t>
        </is>
      </c>
      <c r="BM46" s="86">
        <f>IF('BBG Verify'!K46="","not filed; run on terminal",'BBG Verify'!K46)</f>
        <v/>
      </c>
      <c r="BN46" s="71" t="inlineStr">
        <is>
          <t>N/A</t>
        </is>
      </c>
      <c r="BO46" s="71" t="inlineStr">
        <is>
          <t>N/A</t>
        </is>
      </c>
      <c r="BP46" s="71" t="inlineStr">
        <is>
          <t>N/A</t>
        </is>
      </c>
      <c r="BQ46" s="71" t="inlineStr">
        <is>
          <t>N/A</t>
        </is>
      </c>
      <c r="BR46" s="71" t="inlineStr">
        <is>
          <t>N/A</t>
        </is>
      </c>
      <c r="BS46" s="71" t="inlineStr">
        <is>
          <t>N/A</t>
        </is>
      </c>
      <c r="BT46" s="85" t="inlineStr">
        <is>
          <t>Morgan Stanley; Jefferies; CICC</t>
        </is>
      </c>
      <c r="BU46" s="71" t="inlineStr">
        <is>
          <t>China International Capital Corporation Hong Kong Securities Limited; Jefferies Hong Kong Limited; Morgan Stanley Asia Limited</t>
        </is>
      </c>
      <c r="BV46" s="71" t="inlineStr">
        <is>
          <t>BOCI Asia Limited; China International Capital Corporation Hong Kong Securities Limited; CMB International Capital Corporation Limited; China Merchants Securities (HK) Company Limited; Credit Suisse (Hong Kong) Limited; Deutsche Bank AG, Hong Kong Branch</t>
        </is>
      </c>
      <c r="BW46" s="71"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X46" s="71" t="n"/>
      <c r="BY46" s="87">
        <f>HYPERLINK("https://www1.hkexnews.hk/listedco/listconews/sehk/2021/0629/2021062900052.htm","allotment")</f>
        <v/>
      </c>
      <c r="BZ46" s="71" t="n"/>
      <c r="CA46" s="85" t="n"/>
      <c r="CB46"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7" ht="15" customHeight="1">
      <c r="A47" s="70" t="inlineStr">
        <is>
          <t>2150</t>
        </is>
      </c>
      <c r="B47" s="71" t="inlineStr">
        <is>
          <t>NAYUKI</t>
        </is>
      </c>
      <c r="C47" s="71" t="inlineStr">
        <is>
          <t>奈雪的茶</t>
        </is>
      </c>
      <c r="D47" s="71" t="inlineStr">
        <is>
          <t>Consumer</t>
        </is>
      </c>
      <c r="E47" s="71" t="inlineStr">
        <is>
          <t>F&amp;B chains / restaurants</t>
        </is>
      </c>
      <c r="F47" s="71" t="inlineStr">
        <is>
          <t>Restaurants</t>
        </is>
      </c>
      <c r="G47" s="71" t="inlineStr">
        <is>
          <t>Standard</t>
        </is>
      </c>
      <c r="H47" s="72" t="n">
        <v>44377</v>
      </c>
      <c r="I47" s="73" t="n">
        <v>4842.4</v>
      </c>
      <c r="J47" s="71" t="inlineStr">
        <is>
          <t>net proceeds</t>
        </is>
      </c>
      <c r="K47" s="74" t="n">
        <v>17.2</v>
      </c>
      <c r="L47" s="74" t="n">
        <v>19.8</v>
      </c>
      <c r="M47" s="74" t="n">
        <v>19.8</v>
      </c>
      <c r="N47" s="71" t="inlineStr">
        <is>
          <t>Y</t>
        </is>
      </c>
      <c r="O47" s="75" t="n">
        <v>100</v>
      </c>
      <c r="P47" s="75" t="n">
        <v>100</v>
      </c>
      <c r="Q47" s="76" t="n">
        <v>29500.2</v>
      </c>
      <c r="R47" s="71" t="inlineStr">
        <is>
          <t>prospectus:stated market capitalisation</t>
        </is>
      </c>
      <c r="S47" s="77" t="n">
        <v>432.03</v>
      </c>
      <c r="T47" s="78" t="n">
        <v>18.18</v>
      </c>
      <c r="U47" s="79" t="n">
        <v>23.6</v>
      </c>
      <c r="V47" s="80" t="n">
        <v>393</v>
      </c>
      <c r="W47" s="75" t="n"/>
      <c r="X47" s="71" t="n"/>
      <c r="Y47" s="76" t="n">
        <v>3699.59</v>
      </c>
      <c r="Z47" s="76" t="n"/>
      <c r="AA47" s="75" t="n">
        <v>12.54</v>
      </c>
      <c r="AB47" s="71" t="inlineStr">
        <is>
          <t>China Southern Asset Management Co., Ltd; GF Fund Management Co., Ltd; Grand Rejuvenation Premium Selection Fund SPC; UBS Funds</t>
        </is>
      </c>
      <c r="AC47" s="71" t="inlineStr">
        <is>
          <t>southern;gf;grand-rejuvenation;ubs</t>
        </is>
      </c>
      <c r="AD47" s="75" t="n">
        <v>15</v>
      </c>
      <c r="AE47" s="71" t="inlineStr">
        <is>
          <t>lapsed</t>
        </is>
      </c>
      <c r="AF47" s="71" t="inlineStr">
        <is>
          <t>2021-07-23</t>
        </is>
      </c>
      <c r="AG47" s="71" t="inlineStr">
        <is>
          <t>J.P. Morgan Securities</t>
        </is>
      </c>
      <c r="AH47" s="71" t="inlineStr">
        <is>
          <t>JP Morgan</t>
        </is>
      </c>
      <c r="AI47" s="81" t="n">
        <v>-1.31</v>
      </c>
      <c r="AJ47" s="82" t="n">
        <v>-13.54</v>
      </c>
      <c r="AK47" s="82" t="n">
        <v>-4.75</v>
      </c>
      <c r="AL47" s="82" t="n">
        <v>-9.23</v>
      </c>
      <c r="AM47" s="83" t="n"/>
      <c r="AN47" s="75" t="n">
        <v>12.2</v>
      </c>
      <c r="AO47" s="82" t="n">
        <v>-19.09</v>
      </c>
      <c r="AP47" s="82" t="n">
        <v>-42.93</v>
      </c>
      <c r="AQ47" s="82" t="n">
        <v>-39.19</v>
      </c>
      <c r="AR47" s="82" t="n">
        <v>-6.42</v>
      </c>
      <c r="AS47" s="82" t="n">
        <v>-33.99</v>
      </c>
      <c r="AT47" s="82" t="n">
        <v>-29.67</v>
      </c>
      <c r="AU47" s="82" t="n">
        <v>-9.67</v>
      </c>
      <c r="AV47" s="82" t="n">
        <v>-28.13</v>
      </c>
      <c r="AW47" s="82" t="n">
        <v>-20.13</v>
      </c>
      <c r="AX47" s="82" t="n">
        <v>-19.79</v>
      </c>
      <c r="AY47" s="82" t="n">
        <v>-14.8</v>
      </c>
      <c r="AZ47" s="82" t="n">
        <v>-14.2</v>
      </c>
      <c r="BA47" s="71" t="inlineStr">
        <is>
          <t>Hang Seng Commerce &amp; Industry sub-index</t>
        </is>
      </c>
      <c r="BB47" s="82" t="n">
        <v>-96.29000000000001</v>
      </c>
      <c r="BC47" s="72" t="inlineStr">
        <is>
          <t>2026-09-23</t>
        </is>
      </c>
      <c r="BD47" s="73" t="n">
        <v>3362.9</v>
      </c>
      <c r="BE47" s="76" t="n">
        <v>-223.6</v>
      </c>
      <c r="BF47" s="71" t="inlineStr">
        <is>
          <t>N</t>
        </is>
      </c>
      <c r="BG47" s="71" t="inlineStr">
        <is>
          <t>n/m</t>
        </is>
      </c>
      <c r="BH47" s="83" t="n"/>
      <c r="BI47" s="83" t="n"/>
      <c r="BJ47" s="83" t="n">
        <v>8.800000000000001</v>
      </c>
      <c r="BK47" s="84">
        <f>IF('BBG Verify'!S47="","not filed; run on terminal",'BBG Verify'!S47)</f>
        <v/>
      </c>
      <c r="BL47" s="85" t="inlineStr">
        <is>
          <t>N</t>
        </is>
      </c>
      <c r="BM47" s="86">
        <f>IF('BBG Verify'!K47="","not filed; run on terminal",'BBG Verify'!K47)</f>
        <v/>
      </c>
      <c r="BN47" s="71" t="inlineStr">
        <is>
          <t>N/A</t>
        </is>
      </c>
      <c r="BO47" s="71" t="inlineStr">
        <is>
          <t>N/A</t>
        </is>
      </c>
      <c r="BP47" s="71" t="inlineStr">
        <is>
          <t>N/A</t>
        </is>
      </c>
      <c r="BQ47" s="71" t="inlineStr">
        <is>
          <t>N/A</t>
        </is>
      </c>
      <c r="BR47" s="71" t="inlineStr">
        <is>
          <t>N/A</t>
        </is>
      </c>
      <c r="BS47" s="71" t="inlineStr">
        <is>
          <t>N/A</t>
        </is>
      </c>
      <c r="BT47" s="85" t="inlineStr">
        <is>
          <t>J.P. Morgan Securities (Far East) Limited; CMB International Capital Limited; Huatai Financial Holdings (Hong Kong) Limited</t>
        </is>
      </c>
      <c r="BU47" s="71" t="inlineStr">
        <is>
          <t>J.P. Morgan Securities (Far East) Limited; Huatai Financial Holdings (Hong Kong) Limited; CMB International Capital Limited</t>
        </is>
      </c>
      <c r="BV47" s="71"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W47" s="71"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X47" s="87">
        <f>HYPERLINK("https://www1.hkexnews.hk/listedco/listconews/sehk/2021/0618/2021061800009.pdf","prospectus")</f>
        <v/>
      </c>
      <c r="BY47" s="87">
        <f>HYPERLINK("https://www1.hkexnews.hk/listedco/listconews/sehk/2021/0629/2021062900074.htm","allotment")</f>
        <v/>
      </c>
      <c r="BZ47" s="87">
        <f>HYPERLINK("https://www1.hkexnews.hk/listedco/listconews/sehk/2021/0723/2021072300965.pdf","stabilisation")</f>
        <v/>
      </c>
      <c r="CA47" s="85" t="n"/>
      <c r="CB47" s="71" t="inlineStr">
        <is>
          <t>P/E: loss-making at IPO, use P/S; eff float shares: share count unavailable; the HK$m figure is exact; allocation: allocation table not in this notice's format (older prose announcement); day-1 tape: volume on file; the retail multiple needs the final public split, which this notice does not state</t>
        </is>
      </c>
    </row>
    <row r="48" ht="15" customHeight="1">
      <c r="A48" s="70" t="inlineStr">
        <is>
          <t>0606</t>
        </is>
      </c>
      <c r="B48" s="71" t="inlineStr">
        <is>
          <t>SCE CM</t>
        </is>
      </c>
      <c r="C48" s="71" t="inlineStr">
        <is>
          <t>中駿商管</t>
        </is>
      </c>
      <c r="D48" s="71" t="inlineStr">
        <is>
          <t>Real Estate</t>
        </is>
      </c>
      <c r="E48" s="71" t="inlineStr">
        <is>
          <t>Property management</t>
        </is>
      </c>
      <c r="F48" s="71" t="inlineStr">
        <is>
          <t>Property Service and Management</t>
        </is>
      </c>
      <c r="G48" s="71" t="inlineStr">
        <is>
          <t>Standard</t>
        </is>
      </c>
      <c r="H48" s="72" t="n">
        <v>44379</v>
      </c>
      <c r="I48" s="73" t="n">
        <v>1850</v>
      </c>
      <c r="J48" s="71" t="inlineStr">
        <is>
          <t>gross (price x shares)</t>
        </is>
      </c>
      <c r="K48" s="74" t="n"/>
      <c r="L48" s="74" t="n">
        <v>3.7</v>
      </c>
      <c r="M48" s="74" t="n">
        <v>3.7</v>
      </c>
      <c r="N48" s="71" t="inlineStr">
        <is>
          <t>Y</t>
        </is>
      </c>
      <c r="O48" s="75" t="n">
        <v>100</v>
      </c>
      <c r="P48" s="75" t="n"/>
      <c r="Q48" s="76" t="n">
        <v>8611.200000000001</v>
      </c>
      <c r="R48" s="71" t="inlineStr">
        <is>
          <t>aastocks:上市市值 at the struck price</t>
        </is>
      </c>
      <c r="S48" s="77" t="n">
        <v>1.3</v>
      </c>
      <c r="T48" s="78" t="n">
        <v>3.65</v>
      </c>
      <c r="U48" s="79" t="n">
        <v>29.4</v>
      </c>
      <c r="V48" s="80" t="n">
        <v>121</v>
      </c>
      <c r="W48" s="75" t="n"/>
      <c r="X48" s="71" t="n"/>
      <c r="Y48" s="76" t="n">
        <v>1306.1</v>
      </c>
      <c r="Z48" s="76" t="n">
        <v>353000000</v>
      </c>
      <c r="AA48" s="75" t="n">
        <v>15.17</v>
      </c>
      <c r="AB48" s="71" t="inlineStr">
        <is>
          <t>He Sheng Overseas Holdings Limited; King Terrace Limited; Lam Yuen Ying; TX Capital Value Fund</t>
        </is>
      </c>
      <c r="AC48" s="71" t="inlineStr">
        <is>
          <t>he-sheng;king;lam;tx</t>
        </is>
      </c>
      <c r="AD48" s="75" t="n"/>
      <c r="AE48" s="71" t="n"/>
      <c r="AF48" s="71" t="inlineStr">
        <is>
          <t>2021-07-24</t>
        </is>
      </c>
      <c r="AG48" s="71" t="inlineStr">
        <is>
          <t>UBS AG Hong Kong Branch</t>
        </is>
      </c>
      <c r="AH48" s="71" t="inlineStr">
        <is>
          <t>UBS</t>
        </is>
      </c>
      <c r="AI48" s="81" t="n"/>
      <c r="AJ48" s="82" t="n">
        <v>8.109999999999999</v>
      </c>
      <c r="AK48" s="82" t="n">
        <v>2.97</v>
      </c>
      <c r="AL48" s="82" t="n">
        <v>4.99</v>
      </c>
      <c r="AM48" s="83" t="n"/>
      <c r="AN48" s="75" t="n">
        <v>9.19</v>
      </c>
      <c r="AO48" s="82" t="n">
        <v>11.89</v>
      </c>
      <c r="AP48" s="82" t="n">
        <v>8.92</v>
      </c>
      <c r="AQ48" s="82" t="n">
        <v>14.05</v>
      </c>
      <c r="AR48" s="82" t="n">
        <v>3.5</v>
      </c>
      <c r="AS48" s="82" t="n">
        <v>0.75</v>
      </c>
      <c r="AT48" s="82" t="n">
        <v>5.49</v>
      </c>
      <c r="AU48" s="82" t="n">
        <v>15.43</v>
      </c>
      <c r="AV48" s="82" t="n">
        <v>16.43</v>
      </c>
      <c r="AW48" s="82" t="n">
        <v>27.06</v>
      </c>
      <c r="AX48" s="82" t="n">
        <v>7.32</v>
      </c>
      <c r="AY48" s="82" t="n">
        <v>-7.51</v>
      </c>
      <c r="AZ48" s="82" t="n">
        <v>-6.57</v>
      </c>
      <c r="BA48" s="71" t="inlineStr">
        <is>
          <t>Hang Seng Properties sub-index</t>
        </is>
      </c>
      <c r="BB48" s="82" t="n">
        <v>-93.23999999999999</v>
      </c>
      <c r="BC48" s="72" t="inlineStr">
        <is>
          <t>2026-09-23</t>
        </is>
      </c>
      <c r="BD48" s="73" t="n"/>
      <c r="BE48" s="76" t="n"/>
      <c r="BF48" s="71" t="n"/>
      <c r="BG48" s="84">
        <f>IF('BBG Verify'!O48="","not filed; run on terminal",'BBG Verify'!O48)</f>
        <v/>
      </c>
      <c r="BH48" s="83" t="n"/>
      <c r="BI48" s="83" t="n"/>
      <c r="BJ48" s="83" t="n"/>
      <c r="BK48" s="84">
        <f>IF('BBG Verify'!S48="","not filed; run on terminal",'BBG Verify'!S48)</f>
        <v/>
      </c>
      <c r="BL48" s="85" t="inlineStr">
        <is>
          <t>N</t>
        </is>
      </c>
      <c r="BM48" s="86">
        <f>IF('BBG Verify'!K48="","not filed; run on terminal",'BBG Verify'!K48)</f>
        <v/>
      </c>
      <c r="BN48" s="71" t="inlineStr">
        <is>
          <t>N/A</t>
        </is>
      </c>
      <c r="BO48" s="71" t="inlineStr">
        <is>
          <t>N/A</t>
        </is>
      </c>
      <c r="BP48" s="71" t="inlineStr">
        <is>
          <t>N/A</t>
        </is>
      </c>
      <c r="BQ48" s="71" t="inlineStr">
        <is>
          <t>N/A</t>
        </is>
      </c>
      <c r="BR48" s="71" t="inlineStr">
        <is>
          <t>N/A</t>
        </is>
      </c>
      <c r="BS48" s="71" t="inlineStr">
        <is>
          <t>N/A</t>
        </is>
      </c>
      <c r="BT48" s="85" t="n"/>
      <c r="BU48" s="71" t="inlineStr">
        <is>
          <t>UBS Securities Hong Kong Limited; Merrill Lynch (Asia Pacific) Limited; Merrill Lynch Far East Limited; UBS AG Hong Kong Branch</t>
        </is>
      </c>
      <c r="BV48" s="71" t="inlineStr">
        <is>
          <t>CLSA Limited; CRIC Securities Company Limited; Futu Securities International (Hong Kong) Limited; The Hongkong and Shanghai Banking Corporation Limited; Merrill Lynch (Asia Pacific) Limited; UBS AG Hong Kong Branch</t>
        </is>
      </c>
      <c r="BW48" s="71" t="inlineStr">
        <is>
          <t>CLSA Limited; CRIC Securities Company Limited; Futu Securities International (Hong Kong) Limited; The Hongkong and Shanghai Banking Corporation Limited; Merrill Lynch (Asia Pacific) Limited; UBS AG Hong Kong Branch</t>
        </is>
      </c>
      <c r="BX48" s="71" t="n"/>
      <c r="BY48" s="87">
        <f>HYPERLINK("https://www1.hkexnews.hk/listedco/listconews/sehk/2021/0630/2021063000308.htm","allotment")</f>
        <v/>
      </c>
      <c r="BZ48" s="71" t="n"/>
      <c r="CA48" s="85" t="n"/>
      <c r="CB48" s="71"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etnet's story of the session gave only the Phillip open (3.68, -0.5% vs offer) on 2021-06-30; no close was published; allocation: allocation table not in this notice's format (older prose announcement); day-1 tape: volume on file; the retail multiple needs the final public split, which this notice does not state</t>
        </is>
      </c>
    </row>
    <row r="49" ht="15" customHeight="1">
      <c r="A49" s="70" t="inlineStr">
        <is>
          <t>2190</t>
        </is>
      </c>
      <c r="B49" s="71" t="inlineStr">
        <is>
          <t>ZYLOXTB-B</t>
        </is>
      </c>
      <c r="C49" s="71" t="inlineStr">
        <is>
          <t>歸創通橋</t>
        </is>
      </c>
      <c r="D49" s="71" t="inlineStr">
        <is>
          <t>Healthcare</t>
        </is>
      </c>
      <c r="E49" s="71" t="inlineStr">
        <is>
          <t>Medical devices</t>
        </is>
      </c>
      <c r="F49" s="71" t="inlineStr">
        <is>
          <t>Biotechnology</t>
        </is>
      </c>
      <c r="G49" s="71" t="inlineStr">
        <is>
          <t>18A</t>
        </is>
      </c>
      <c r="H49" s="72" t="n">
        <v>44382</v>
      </c>
      <c r="I49" s="73" t="n">
        <v>2562</v>
      </c>
      <c r="J49" s="71" t="inlineStr">
        <is>
          <t>gross (price x shares)</t>
        </is>
      </c>
      <c r="K49" s="74" t="n">
        <v>39.8</v>
      </c>
      <c r="L49" s="74" t="n">
        <v>42.7</v>
      </c>
      <c r="M49" s="74" t="n">
        <v>42.7</v>
      </c>
      <c r="N49" s="71" t="inlineStr">
        <is>
          <t>Y</t>
        </is>
      </c>
      <c r="O49" s="75" t="n">
        <v>100</v>
      </c>
      <c r="P49" s="75" t="n">
        <v>100</v>
      </c>
      <c r="Q49" s="76" t="n">
        <v>12317.3</v>
      </c>
      <c r="R49" s="71" t="inlineStr">
        <is>
          <t>derived:deal size / offer % of enlarged capital</t>
        </is>
      </c>
      <c r="S49" s="77" t="n">
        <v>1190.37</v>
      </c>
      <c r="T49" s="78" t="n">
        <v>22.5</v>
      </c>
      <c r="U49" s="79" t="n">
        <v>44.9</v>
      </c>
      <c r="V49" s="80" t="n">
        <v>154</v>
      </c>
      <c r="W49" s="75" t="n">
        <v>50</v>
      </c>
      <c r="X49" s="71" t="inlineStr">
        <is>
          <t>YES</t>
        </is>
      </c>
      <c r="Y49" s="76" t="n">
        <v>1411.66</v>
      </c>
      <c r="Z49" s="76" t="n">
        <v>33060000</v>
      </c>
      <c r="AA49" s="75" t="n">
        <v>11.46</v>
      </c>
      <c r="AB49" s="71"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AC49" s="71" t="inlineStr">
        <is>
          <t>aihc;athos;boyu;cormorant;fidelity;gaoling;yhg;hudson;ivyrock;lake;octagon;sage;snow</t>
        </is>
      </c>
      <c r="AD49" s="75" t="n">
        <v>15.94</v>
      </c>
      <c r="AE49" s="71" t="inlineStr">
        <is>
          <t>full</t>
        </is>
      </c>
      <c r="AF49" s="71" t="inlineStr">
        <is>
          <t>2021-07-25</t>
        </is>
      </c>
      <c r="AG49" s="71" t="inlineStr">
        <is>
          <t>Morgan Stanley Asia Limited</t>
        </is>
      </c>
      <c r="AH49" s="71" t="inlineStr">
        <is>
          <t>Morgan Stanley</t>
        </is>
      </c>
      <c r="AI49" s="81" t="n">
        <v>30.21</v>
      </c>
      <c r="AJ49" s="82" t="n">
        <v>40.52</v>
      </c>
      <c r="AK49" s="82" t="n">
        <v>28.81</v>
      </c>
      <c r="AL49" s="82" t="n">
        <v>9.09</v>
      </c>
      <c r="AM49" s="83" t="n">
        <v>1.97</v>
      </c>
      <c r="AN49" s="75" t="n">
        <v>18.73</v>
      </c>
      <c r="AO49" s="82" t="n">
        <v>29.51</v>
      </c>
      <c r="AP49" s="82" t="n">
        <v>8.67</v>
      </c>
      <c r="AQ49" s="82" t="n">
        <v>-1.64</v>
      </c>
      <c r="AR49" s="82" t="n">
        <v>-7.84</v>
      </c>
      <c r="AS49" s="82" t="n">
        <v>-22.67</v>
      </c>
      <c r="AT49" s="82" t="n">
        <v>-30</v>
      </c>
      <c r="AU49" s="82" t="n">
        <v>30.01</v>
      </c>
      <c r="AV49" s="82" t="n">
        <v>9.76</v>
      </c>
      <c r="AW49" s="82" t="n">
        <v>14.7</v>
      </c>
      <c r="AX49" s="82" t="n">
        <v>-22.13</v>
      </c>
      <c r="AY49" s="82" t="n">
        <v>-1.09</v>
      </c>
      <c r="AZ49" s="82" t="n">
        <v>-0.54</v>
      </c>
      <c r="BA49" s="71" t="inlineStr">
        <is>
          <t>China Biotech ETF (HS biotech proxy)</t>
        </is>
      </c>
      <c r="BB49" s="82" t="n">
        <v>-50.59</v>
      </c>
      <c r="BC49" s="72" t="inlineStr">
        <is>
          <t>2026-09-23</t>
        </is>
      </c>
      <c r="BD49" s="73" t="n">
        <v>30.4</v>
      </c>
      <c r="BE49" s="76" t="n">
        <v>-110.5</v>
      </c>
      <c r="BF49" s="71" t="inlineStr">
        <is>
          <t>N</t>
        </is>
      </c>
      <c r="BG49" s="71" t="inlineStr">
        <is>
          <t>n/m</t>
        </is>
      </c>
      <c r="BH49" s="83" t="n"/>
      <c r="BI49" s="83" t="n">
        <v>22.4</v>
      </c>
      <c r="BJ49" s="83" t="n">
        <v>405.2</v>
      </c>
      <c r="BK49" s="84">
        <f>IF('BBG Verify'!S49="","not filed; run on terminal",'BBG Verify'!S49)</f>
        <v/>
      </c>
      <c r="BL49" s="85" t="inlineStr">
        <is>
          <t>N</t>
        </is>
      </c>
      <c r="BM49" s="86">
        <f>IF('BBG Verify'!K49="","not filed; run on terminal",'BBG Verify'!K49)</f>
        <v/>
      </c>
      <c r="BN49" s="71" t="inlineStr">
        <is>
          <t>N/A</t>
        </is>
      </c>
      <c r="BO49" s="71" t="inlineStr">
        <is>
          <t>N/A</t>
        </is>
      </c>
      <c r="BP49" s="71" t="inlineStr">
        <is>
          <t>N/A</t>
        </is>
      </c>
      <c r="BQ49" s="71" t="inlineStr">
        <is>
          <t>N/A</t>
        </is>
      </c>
      <c r="BR49" s="71" t="inlineStr">
        <is>
          <t>N/A</t>
        </is>
      </c>
      <c r="BS49" s="71" t="inlineStr">
        <is>
          <t>N/A</t>
        </is>
      </c>
      <c r="BT49" s="85" t="inlineStr">
        <is>
          <t>Morgan Stanley Asia Limited; CLSA Capital Markets Limited</t>
        </is>
      </c>
      <c r="BU49" s="71" t="inlineStr">
        <is>
          <t>Morgan Stanley Asia Limited; CLSA Capital Markets Limited</t>
        </is>
      </c>
      <c r="BV49" s="71"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W49" s="71" t="inlineStr">
        <is>
          <t>China Industrial Securities International Capital Limited; CLSA Limited; CMB International Capital Limited; Essence International Securities (Hong Kong) Limited; ICBC International Securities Limited; Morgan Stanley Asia Limited</t>
        </is>
      </c>
      <c r="BX49" s="87">
        <f>HYPERLINK("https://www1.hkexnews.hk/listedco/listconews/sehk/2021/0622/2021062200009.pdf","prospectus")</f>
        <v/>
      </c>
      <c r="BY49" s="87">
        <f>HYPERLINK("https://www1.hkexnews.hk/listedco/listconews/sehk/2021/0702/2021070200028.htm","allotment")</f>
        <v/>
      </c>
      <c r="BZ49" s="87">
        <f>HYPERLINK("https://www1.hkexnews.hk/listedco/listconews/sehk/2021/0726/2021072601655.pdf","stabilisation")</f>
        <v/>
      </c>
      <c r="CA49" s="85" t="n"/>
      <c r="CB49" s="71" t="inlineStr">
        <is>
          <t>P/E: loss-making at IPO, use P/S; market cap: prospectus 'market capitalisation' line is the listing-rule threshold, not the issuer's figure; rejected; P/S: 405x on HK$30.4m revenue, effectively pre-revenue; not comparable</t>
        </is>
      </c>
    </row>
    <row r="50" ht="15" customHeight="1">
      <c r="A50" s="70" t="inlineStr">
        <is>
          <t>2219</t>
        </is>
      </c>
      <c r="B50" s="71" t="inlineStr">
        <is>
          <t>CHAOJU EYE CARE</t>
        </is>
      </c>
      <c r="C50" s="71" t="inlineStr">
        <is>
          <t>朝聚眼科</t>
        </is>
      </c>
      <c r="D50" s="71" t="inlineStr">
        <is>
          <t>Healthcare</t>
        </is>
      </c>
      <c r="E50" s="71" t="inlineStr">
        <is>
          <t>Hospitals / clinics</t>
        </is>
      </c>
      <c r="F50" s="71" t="inlineStr">
        <is>
          <t>Health Care Services</t>
        </is>
      </c>
      <c r="G50" s="71" t="inlineStr">
        <is>
          <t>Standard</t>
        </is>
      </c>
      <c r="H50" s="72" t="n">
        <v>44384</v>
      </c>
      <c r="I50" s="73" t="n">
        <v>1811.9</v>
      </c>
      <c r="J50" s="71" t="inlineStr">
        <is>
          <t>gross (price x shares)</t>
        </is>
      </c>
      <c r="K50" s="74" t="n">
        <v>9.48</v>
      </c>
      <c r="L50" s="74" t="n">
        <v>10.6</v>
      </c>
      <c r="M50" s="74" t="n">
        <v>10.6</v>
      </c>
      <c r="N50" s="71" t="inlineStr">
        <is>
          <t>Y</t>
        </is>
      </c>
      <c r="O50" s="75" t="n">
        <v>100</v>
      </c>
      <c r="P50" s="75" t="n">
        <v>100</v>
      </c>
      <c r="Q50" s="76" t="n">
        <v>7288.4</v>
      </c>
      <c r="R50" s="71" t="inlineStr">
        <is>
          <t>derived:deal size / offer % of enlarged capital</t>
        </is>
      </c>
      <c r="S50" s="77" t="n">
        <v>113.97</v>
      </c>
      <c r="T50" s="78" t="n">
        <v>17.83</v>
      </c>
      <c r="U50" s="79" t="n">
        <v>49.4</v>
      </c>
      <c r="V50" s="80" t="n">
        <v>115</v>
      </c>
      <c r="W50" s="75" t="n">
        <v>50</v>
      </c>
      <c r="X50" s="71" t="inlineStr">
        <is>
          <t>YES</t>
        </is>
      </c>
      <c r="Y50" s="76" t="n">
        <v>916.8200000000001</v>
      </c>
      <c r="Z50" s="76" t="n">
        <v>86490580</v>
      </c>
      <c r="AA50" s="75" t="n">
        <v>12.58</v>
      </c>
      <c r="AB50" s="71" t="inlineStr">
        <is>
          <t>Fullgoal Fund Management Co., Ltd; Gigantic Wealth Holdings Limited; GT Cedar Capital (Hong Kong) Limited; The Valliance Fund</t>
        </is>
      </c>
      <c r="AC50" s="71" t="inlineStr">
        <is>
          <t>fullgoal;gigantic;gt;valliance</t>
        </is>
      </c>
      <c r="AD50" s="75" t="n">
        <v>15</v>
      </c>
      <c r="AE50" s="71" t="inlineStr">
        <is>
          <t>full</t>
        </is>
      </c>
      <c r="AF50" s="71" t="inlineStr">
        <is>
          <t>2021-07-29</t>
        </is>
      </c>
      <c r="AG50" s="71" t="inlineStr">
        <is>
          <t>Haitong International Securities Company Limited</t>
        </is>
      </c>
      <c r="AH50" s="71" t="inlineStr">
        <is>
          <t>Haitong</t>
        </is>
      </c>
      <c r="AI50" s="81" t="n">
        <v>2.08</v>
      </c>
      <c r="AJ50" s="82" t="n">
        <v>33.02</v>
      </c>
      <c r="AK50" s="82" t="n">
        <v>0</v>
      </c>
      <c r="AL50" s="82" t="n">
        <v>33.02</v>
      </c>
      <c r="AM50" s="83" t="n">
        <v>1.94</v>
      </c>
      <c r="AN50" s="75" t="n">
        <v>53.77</v>
      </c>
      <c r="AO50" s="82" t="n">
        <v>44.34</v>
      </c>
      <c r="AP50" s="82" t="n">
        <v>25.47</v>
      </c>
      <c r="AQ50" s="82" t="n">
        <v>-10.47</v>
      </c>
      <c r="AR50" s="82" t="n">
        <v>8.51</v>
      </c>
      <c r="AS50" s="82" t="n">
        <v>-5.68</v>
      </c>
      <c r="AT50" s="82" t="n">
        <v>-32.69</v>
      </c>
      <c r="AU50" s="82" t="n">
        <v>39.55</v>
      </c>
      <c r="AV50" s="82" t="n">
        <v>21.82</v>
      </c>
      <c r="AW50" s="82" t="n">
        <v>2.92</v>
      </c>
      <c r="AX50" s="82" t="n">
        <v>-7.22</v>
      </c>
      <c r="AY50" s="82" t="n">
        <v>3.65</v>
      </c>
      <c r="AZ50" s="82" t="n">
        <v>1.54</v>
      </c>
      <c r="BA50" s="71" t="inlineStr">
        <is>
          <t>China Biotech ETF (HS biotech proxy)</t>
        </is>
      </c>
      <c r="BB50" s="82" t="n">
        <v>-76.93000000000001</v>
      </c>
      <c r="BC50" s="72" t="inlineStr">
        <is>
          <t>2026-09-23</t>
        </is>
      </c>
      <c r="BD50" s="73" t="n">
        <v>873.7</v>
      </c>
      <c r="BE50" s="76" t="n">
        <v>132.6</v>
      </c>
      <c r="BF50" s="71" t="inlineStr">
        <is>
          <t>Y</t>
        </is>
      </c>
      <c r="BG50" s="83" t="n">
        <v>55</v>
      </c>
      <c r="BH50" s="83" t="n"/>
      <c r="BI50" s="83" t="n">
        <v>8.5</v>
      </c>
      <c r="BJ50" s="83" t="n">
        <v>8.300000000000001</v>
      </c>
      <c r="BK50" s="84">
        <f>IF('BBG Verify'!S50="","not filed; run on terminal",'BBG Verify'!S50)</f>
        <v/>
      </c>
      <c r="BL50" s="85" t="inlineStr">
        <is>
          <t>N</t>
        </is>
      </c>
      <c r="BM50" s="86">
        <f>IF('BBG Verify'!K50="","not filed; run on terminal",'BBG Verify'!K50)</f>
        <v/>
      </c>
      <c r="BN50" s="71" t="inlineStr">
        <is>
          <t>N/A</t>
        </is>
      </c>
      <c r="BO50" s="71" t="inlineStr">
        <is>
          <t>N/A</t>
        </is>
      </c>
      <c r="BP50" s="71" t="inlineStr">
        <is>
          <t>N/A</t>
        </is>
      </c>
      <c r="BQ50" s="71" t="inlineStr">
        <is>
          <t>N/A</t>
        </is>
      </c>
      <c r="BR50" s="71" t="inlineStr">
        <is>
          <t>N/A</t>
        </is>
      </c>
      <c r="BS50" s="71" t="inlineStr">
        <is>
          <t>N/A</t>
        </is>
      </c>
      <c r="BT50" s="85" t="inlineStr">
        <is>
          <t>Haitong International Capital Limited; Industrial and Commercial Bank of China (Asia) Limited; Hong Kong Share Registrar Computershare Hong Kong Investor Services Limited; Industrial and Commercial Bank of China Co., Ltd., Xiamen Xinglin Branch</t>
        </is>
      </c>
      <c r="BU50" s="71" t="inlineStr">
        <is>
          <t>Haitong International Capital Limited; Huatai Financial Holdings (Hong Kong) Limited</t>
        </is>
      </c>
      <c r="BV50" s="71" t="inlineStr">
        <is>
          <t>Huatai Financial Holdings (Hong Kong) Limited; Haitong International Securities Company Limited</t>
        </is>
      </c>
      <c r="BW50" s="71" t="inlineStr">
        <is>
          <t>Huatai Financial Holdings (Hong Kong) Limited; Haitong International Securities Company Limited</t>
        </is>
      </c>
      <c r="BX50" s="87">
        <f>HYPERLINK("https://www1.hkexnews.hk/listedco/listconews/sehk/2021/0624/2021062400013.pdf","prospectus")</f>
        <v/>
      </c>
      <c r="BY50" s="87">
        <f>HYPERLINK("https://www1.hkexnews.hk/listedco/listconews/sehk/2021/0706/2021070600016.htm","allotment")</f>
        <v/>
      </c>
      <c r="BZ50" s="87">
        <f>HYPERLINK("https://www1.hkexnews.hk/listedco/listconews/sehk/2021/0729/2021072901513.pdf","stabilisation")</f>
        <v/>
      </c>
      <c r="CA50" s="85" t="n"/>
      <c r="CB50" s="71" t="inlineStr"/>
    </row>
    <row r="51" ht="15" customHeight="1">
      <c r="A51" s="70" t="inlineStr">
        <is>
          <t>9868</t>
        </is>
      </c>
      <c r="B51" s="71" t="inlineStr">
        <is>
          <t>XPENG-W</t>
        </is>
      </c>
      <c r="C51" s="71" t="inlineStr">
        <is>
          <t>小鵬集團－Ｗ</t>
        </is>
      </c>
      <c r="D51" s="71" t="inlineStr">
        <is>
          <t>Consumer</t>
        </is>
      </c>
      <c r="E51" s="71" t="inlineStr">
        <is>
          <t>Autos (NEV OEM)</t>
        </is>
      </c>
      <c r="F51" s="71" t="inlineStr">
        <is>
          <t>Automobile Manufacturers</t>
        </is>
      </c>
      <c r="G51" s="71" t="inlineStr">
        <is>
          <t>WVR</t>
        </is>
      </c>
      <c r="H51" s="72" t="n">
        <v>44384</v>
      </c>
      <c r="I51" s="73" t="n">
        <v>14025</v>
      </c>
      <c r="J51" s="71" t="inlineStr">
        <is>
          <t>gross (price x shares)</t>
        </is>
      </c>
      <c r="K51" s="74" t="n"/>
      <c r="L51" s="74" t="n">
        <v>180</v>
      </c>
      <c r="M51" s="74" t="n">
        <v>165</v>
      </c>
      <c r="N51" s="71" t="inlineStr">
        <is>
          <t>N</t>
        </is>
      </c>
      <c r="O51" s="75" t="n">
        <v>91.7</v>
      </c>
      <c r="P51" s="75" t="n"/>
      <c r="Q51" s="76" t="n">
        <v>270000</v>
      </c>
      <c r="R51" s="71" t="inlineStr">
        <is>
          <t>press:sina 2021-07-07: 市值超2700亿港元 | FINANCIALS (RMB x1.1): XPeng FY2020 PR: total revenues RMB5,844.3m, net loss RMB2,732.0m</t>
        </is>
      </c>
      <c r="S51" s="77" t="n">
        <v>14.73</v>
      </c>
      <c r="T51" s="78" t="n">
        <v>2.36</v>
      </c>
      <c r="U51" s="79" t="n"/>
      <c r="V51" s="80" t="n">
        <v>127</v>
      </c>
      <c r="W51" s="75" t="n"/>
      <c r="X51" s="71" t="n"/>
      <c r="Y51" s="76" t="n">
        <v>14025</v>
      </c>
      <c r="Z51" s="76" t="n">
        <v>85000000</v>
      </c>
      <c r="AA51" s="75" t="n">
        <v>5.19</v>
      </c>
      <c r="AB51" s="71" t="n"/>
      <c r="AC51" s="71" t="n"/>
      <c r="AD51" s="75" t="n">
        <v>7.5</v>
      </c>
      <c r="AE51" s="71" t="inlineStr">
        <is>
          <t>partial</t>
        </is>
      </c>
      <c r="AF51" s="71" t="n"/>
      <c r="AG51" s="71" t="inlineStr">
        <is>
          <t>J.P. Morgan Securities</t>
        </is>
      </c>
      <c r="AH51" s="71" t="inlineStr">
        <is>
          <t>JP Morgan</t>
        </is>
      </c>
      <c r="AI51" s="81" t="n">
        <v>-0.42</v>
      </c>
      <c r="AJ51" s="82" t="n">
        <v>0</v>
      </c>
      <c r="AK51" s="82" t="n">
        <v>1.82</v>
      </c>
      <c r="AL51" s="82" t="n">
        <v>-1.79</v>
      </c>
      <c r="AM51" s="83" t="n"/>
      <c r="AN51" s="75" t="n">
        <v>5.48</v>
      </c>
      <c r="AO51" s="82" t="n">
        <v>-8.48</v>
      </c>
      <c r="AP51" s="82" t="n">
        <v>-0.12</v>
      </c>
      <c r="AQ51" s="82" t="n">
        <v>-17.7</v>
      </c>
      <c r="AR51" s="82" t="n">
        <v>-8.48</v>
      </c>
      <c r="AS51" s="82" t="n">
        <v>-0.12</v>
      </c>
      <c r="AT51" s="82" t="n">
        <v>-17.7</v>
      </c>
      <c r="AU51" s="82" t="n">
        <v>-8.69</v>
      </c>
      <c r="AV51" s="82" t="n">
        <v>8.289999999999999</v>
      </c>
      <c r="AW51" s="82" t="n">
        <v>0.82</v>
      </c>
      <c r="AX51" s="82" t="n">
        <v>8.140000000000001</v>
      </c>
      <c r="AY51" s="82" t="n">
        <v>-8.41</v>
      </c>
      <c r="AZ51" s="82" t="n">
        <v>-8.26</v>
      </c>
      <c r="BA51" s="71" t="inlineStr">
        <is>
          <t>Hang Seng Commerce &amp; Industry sub-index</t>
        </is>
      </c>
      <c r="BB51" s="82" t="n">
        <v>-75.52</v>
      </c>
      <c r="BC51" s="72" t="inlineStr">
        <is>
          <t>2026-09-23</t>
        </is>
      </c>
      <c r="BD51" s="73" t="n">
        <v>6428.7</v>
      </c>
      <c r="BE51" s="76" t="n">
        <v>-3005.2</v>
      </c>
      <c r="BF51" s="71" t="inlineStr">
        <is>
          <t>N</t>
        </is>
      </c>
      <c r="BG51" s="71" t="inlineStr">
        <is>
          <t>n/m</t>
        </is>
      </c>
      <c r="BH51" s="83" t="n"/>
      <c r="BI51" s="83" t="n"/>
      <c r="BJ51" s="83" t="n">
        <v>42</v>
      </c>
      <c r="BK51" s="84">
        <f>IF('BBG Verify'!S51="","not filed; run on terminal",'BBG Verify'!S51)</f>
        <v/>
      </c>
      <c r="BL51" s="85" t="inlineStr">
        <is>
          <t>N</t>
        </is>
      </c>
      <c r="BM51" s="86">
        <f>IF('BBG Verify'!K51="","not filed; run on terminal",'BBG Verify'!K51)</f>
        <v/>
      </c>
      <c r="BN51" s="71" t="inlineStr">
        <is>
          <t>N/A</t>
        </is>
      </c>
      <c r="BO51" s="71" t="inlineStr">
        <is>
          <t>N/A</t>
        </is>
      </c>
      <c r="BP51" s="71" t="inlineStr">
        <is>
          <t>N/A</t>
        </is>
      </c>
      <c r="BQ51" s="71" t="inlineStr">
        <is>
          <t>N/A</t>
        </is>
      </c>
      <c r="BR51" s="71" t="inlineStr">
        <is>
          <t>N/A</t>
        </is>
      </c>
      <c r="BS51" s="71" t="inlineStr">
        <is>
          <t>N/A</t>
        </is>
      </c>
      <c r="BT51" s="85" t="inlineStr">
        <is>
          <t>J.P. Morgan Securities (Far East) Limited; Merrill Lynch (Asia Pacific) Limited; J.P. Morgan Securities (Asia Pacific) Limited; Citigroup Global Markets Asia Limited</t>
        </is>
      </c>
      <c r="BU51" s="71" t="inlineStr">
        <is>
          <t>J.P. Morgan Securities (Far East) Limited; Merrill Lynch (Asia Pacific) Limited</t>
        </is>
      </c>
      <c r="BV51" s="71"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W51" s="71" t="inlineStr">
        <is>
          <t>ABCI Securities Company Limited; BOCI Asia Limited; Citigroup Global Markets Asia Limited; CLSA Limited; Futu Securities International (Hong Kong) Limited; J.P. Morgan Securities (Asia Pacific) Limited; Merrill Lynch (Asia Pacific) Limited</t>
        </is>
      </c>
      <c r="BX51" s="87">
        <f>HYPERLINK("https://www1.hkexnews.hk/listedco/listconews/sehk/2021/0625/2021062500039.pdf","prospectus")</f>
        <v/>
      </c>
      <c r="BY51" s="87">
        <f>HYPERLINK("https://www1.hkexnews.hk/listedco/listconews/sehk/2021/0706/2021070600032.htm","allotment")</f>
        <v/>
      </c>
      <c r="BZ51" s="87">
        <f>HYPERLINK("https://www1.hkexnews.hk/listedco/listconews/sehk/2021/0730/2021073001378.pdf","stabilisation")</f>
        <v/>
      </c>
      <c r="CA51" s="85" t="n"/>
      <c r="CB51" s="71" t="inlineStr">
        <is>
          <t>P/E: loss-making at IPO, use P/S; greenshoe: outcome published; expiry date not in the notice; range low: maximum offer price only, no floor published; cornerstone list: no cornerstone tranche; cornerstone %: no cornerstone tranche; allocation: allocation table not in this notice's format (older prose announcement); day-1 tape: volume on file; the retail multiple needs the final public split, which this notice does not state</t>
        </is>
      </c>
    </row>
    <row r="52" ht="15" customHeight="1">
      <c r="A52" s="70" t="inlineStr">
        <is>
          <t>1965</t>
        </is>
      </c>
      <c r="B52" s="71" t="inlineStr">
        <is>
          <t>LANDSEA LIFE</t>
        </is>
      </c>
      <c r="C52" s="71" t="inlineStr">
        <is>
          <t>朗詩綠色生活</t>
        </is>
      </c>
      <c r="D52" s="71" t="inlineStr">
        <is>
          <t>Real Estate</t>
        </is>
      </c>
      <c r="E52" s="71" t="inlineStr">
        <is>
          <t>Property management</t>
        </is>
      </c>
      <c r="F52" s="71" t="inlineStr">
        <is>
          <t>Property Service and Management</t>
        </is>
      </c>
      <c r="G52" s="71" t="inlineStr">
        <is>
          <t>Standard</t>
        </is>
      </c>
      <c r="H52" s="72" t="n">
        <v>44385</v>
      </c>
      <c r="I52" s="73" t="n">
        <v>318</v>
      </c>
      <c r="J52" s="71" t="inlineStr">
        <is>
          <t>gross (price x shares)</t>
        </is>
      </c>
      <c r="K52" s="74" t="n">
        <v>2.86</v>
      </c>
      <c r="L52" s="74" t="n">
        <v>4.16</v>
      </c>
      <c r="M52" s="74" t="n">
        <v>3.18</v>
      </c>
      <c r="N52" s="71" t="inlineStr">
        <is>
          <t>N</t>
        </is>
      </c>
      <c r="O52" s="75" t="n">
        <v>76.40000000000001</v>
      </c>
      <c r="P52" s="75" t="n">
        <v>24.6</v>
      </c>
      <c r="Q52" s="76" t="n">
        <v>1583</v>
      </c>
      <c r="R52" s="71" t="inlineStr">
        <is>
          <t>aastocks:上市市值 at the struck price</t>
        </is>
      </c>
      <c r="S52" s="77" t="n">
        <v>8.01</v>
      </c>
      <c r="T52" s="78" t="n">
        <v>1.25</v>
      </c>
      <c r="U52" s="79" t="n">
        <v>24.5</v>
      </c>
      <c r="V52" s="80" t="n">
        <v>138</v>
      </c>
      <c r="W52" s="75" t="n"/>
      <c r="X52" s="71" t="n"/>
      <c r="Y52" s="76" t="n">
        <v>240.09</v>
      </c>
      <c r="Z52" s="76" t="n">
        <v>75500000</v>
      </c>
      <c r="AA52" s="75" t="n">
        <v>15.17</v>
      </c>
      <c r="AB52" s="71" t="inlineStr">
        <is>
          <t>CURA International (Hong Kong) Investment Management Company Limited</t>
        </is>
      </c>
      <c r="AC52" s="71" t="inlineStr">
        <is>
          <t>cura</t>
        </is>
      </c>
      <c r="AD52" s="75" t="n">
        <v>10</v>
      </c>
      <c r="AE52" s="71" t="inlineStr">
        <is>
          <t>partial</t>
        </is>
      </c>
      <c r="AF52" s="71" t="inlineStr">
        <is>
          <t>2021-07-30</t>
        </is>
      </c>
      <c r="AG52" s="71" t="inlineStr">
        <is>
          <t>Haitong International Securities Company Limited</t>
        </is>
      </c>
      <c r="AH52" s="71" t="inlineStr">
        <is>
          <t>Haitong</t>
        </is>
      </c>
      <c r="AI52" s="81" t="n">
        <v>66.67</v>
      </c>
      <c r="AJ52" s="82" t="n">
        <v>41.51</v>
      </c>
      <c r="AK52" s="82" t="n">
        <v>88.68000000000001</v>
      </c>
      <c r="AL52" s="82" t="n">
        <v>-25</v>
      </c>
      <c r="AM52" s="83" t="n"/>
      <c r="AN52" s="75" t="n">
        <v>51.67</v>
      </c>
      <c r="AO52" s="82" t="n">
        <v>2.52</v>
      </c>
      <c r="AP52" s="82" t="n">
        <v>0</v>
      </c>
      <c r="AQ52" s="82" t="n">
        <v>3.77</v>
      </c>
      <c r="AR52" s="82" t="n">
        <v>-27.55</v>
      </c>
      <c r="AS52" s="82" t="n">
        <v>-29.33</v>
      </c>
      <c r="AT52" s="82" t="n">
        <v>-26.67</v>
      </c>
      <c r="AU52" s="82" t="n">
        <v>2.52</v>
      </c>
      <c r="AV52" s="82" t="n">
        <v>9.33</v>
      </c>
      <c r="AW52" s="82" t="n">
        <v>15.35</v>
      </c>
      <c r="AX52" s="82" t="n">
        <v>-21.35</v>
      </c>
      <c r="AY52" s="82" t="n">
        <v>-9.33</v>
      </c>
      <c r="AZ52" s="82" t="n">
        <v>-7.98</v>
      </c>
      <c r="BA52" s="71" t="inlineStr">
        <is>
          <t>Hang Seng Properties sub-index</t>
        </is>
      </c>
      <c r="BB52" s="82" t="n">
        <v>-95.59999999999999</v>
      </c>
      <c r="BC52" s="72" t="inlineStr">
        <is>
          <t>2026-09-22</t>
        </is>
      </c>
      <c r="BD52" s="73" t="n">
        <v>131.9</v>
      </c>
      <c r="BE52" s="76" t="n">
        <v>72.09999999999999</v>
      </c>
      <c r="BF52" s="71" t="inlineStr">
        <is>
          <t>Y</t>
        </is>
      </c>
      <c r="BG52" s="83" t="n">
        <v>22</v>
      </c>
      <c r="BH52" s="83" t="n"/>
      <c r="BI52" s="83" t="n">
        <v>1.9</v>
      </c>
      <c r="BJ52" s="83" t="n">
        <v>12</v>
      </c>
      <c r="BK52" s="84">
        <f>IF('BBG Verify'!S52="","not filed; run on terminal",'BBG Verify'!S52)</f>
        <v/>
      </c>
      <c r="BL52" s="85" t="inlineStr">
        <is>
          <t>N</t>
        </is>
      </c>
      <c r="BM52" s="86">
        <f>IF('BBG Verify'!K52="","not filed; run on terminal",'BBG Verify'!K52)</f>
        <v/>
      </c>
      <c r="BN52" s="71" t="inlineStr">
        <is>
          <t>N/A</t>
        </is>
      </c>
      <c r="BO52" s="71" t="inlineStr">
        <is>
          <t>N/A</t>
        </is>
      </c>
      <c r="BP52" s="71" t="inlineStr">
        <is>
          <t>N/A</t>
        </is>
      </c>
      <c r="BQ52" s="71" t="inlineStr">
        <is>
          <t>N/A</t>
        </is>
      </c>
      <c r="BR52" s="71" t="inlineStr">
        <is>
          <t>N/A</t>
        </is>
      </c>
      <c r="BS52" s="71" t="inlineStr">
        <is>
          <t>N/A</t>
        </is>
      </c>
      <c r="BT52" s="85" t="inlineStr">
        <is>
          <t>Haitong International Capital Limited</t>
        </is>
      </c>
      <c r="BU52" s="71" t="inlineStr">
        <is>
          <t>Haitong International Capital Limited</t>
        </is>
      </c>
      <c r="BV52" s="71" t="inlineStr">
        <is>
          <t>Beta International Securities Limited; CCB International Capital Limited; China Industrial Securities International Capital Limited; CLSA Limited; CMB International Capital Corporation Limited; CRIC Securities Company Limited</t>
        </is>
      </c>
      <c r="BW52" s="71"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X52" s="87">
        <f>HYPERLINK("https://www1.hkexnews.hk/listedco/listconews/sehk/2021/0625/2021062500057.pdf","prospectus")</f>
        <v/>
      </c>
      <c r="BY52" s="87">
        <f>HYPERLINK("https://www1.hkexnews.hk/listedco/listconews/sehk/2021/0707/2021070700022.htm","allotment")</f>
        <v/>
      </c>
      <c r="BZ52" s="87">
        <f>HYPERLINK("https://www1.hkexnews.hk/listedco/listconews/sehk/2021/0730/2021073001922.pdf","stabilisation")</f>
        <v/>
      </c>
      <c r="CA52" s="85" t="n"/>
      <c r="CB52" s="71" t="inlineStr">
        <is>
          <t>market cap: published listing cap used; the estimate from deal size / offer % of enlarged capital disagreed; cornerstone: table parse 76% rejected (institutional total implies 25%); the AAStocks institutional total used; allocation: allocation table not in this notice's format (older prose announcement); day-1 tape: volume on file; the retail multiple needs the final public split, which this notice does not state</t>
        </is>
      </c>
    </row>
    <row r="53" ht="15" customHeight="1">
      <c r="A53" s="70" t="inlineStr">
        <is>
          <t>2162</t>
        </is>
      </c>
      <c r="B53" s="71" t="inlineStr">
        <is>
          <t>KEYMED BIO-B</t>
        </is>
      </c>
      <c r="C53" s="71" t="inlineStr">
        <is>
          <t>康諾亞－Ｂ</t>
        </is>
      </c>
      <c r="D53" s="71" t="inlineStr">
        <is>
          <t>Healthcare</t>
        </is>
      </c>
      <c r="E53" s="71" t="inlineStr">
        <is>
          <t>Biotech pre-revenue (18A)</t>
        </is>
      </c>
      <c r="F53" s="71" t="inlineStr">
        <is>
          <t>Biotechnology</t>
        </is>
      </c>
      <c r="G53" s="71" t="inlineStr">
        <is>
          <t>18A</t>
        </is>
      </c>
      <c r="H53" s="72" t="n">
        <v>44385</v>
      </c>
      <c r="I53" s="73" t="n">
        <v>3105.5</v>
      </c>
      <c r="J53" s="71" t="inlineStr">
        <is>
          <t>gross (price x shares)</t>
        </is>
      </c>
      <c r="K53" s="74" t="n">
        <v>50.5</v>
      </c>
      <c r="L53" s="74" t="n">
        <v>53.3</v>
      </c>
      <c r="M53" s="74" t="n">
        <v>53.3</v>
      </c>
      <c r="N53" s="71" t="inlineStr">
        <is>
          <t>Y</t>
        </is>
      </c>
      <c r="O53" s="75" t="n">
        <v>100</v>
      </c>
      <c r="P53" s="75" t="n">
        <v>100</v>
      </c>
      <c r="Q53" s="76" t="n">
        <v>13685.3</v>
      </c>
      <c r="R53" s="71" t="inlineStr">
        <is>
          <t>prospectus:stated market capitalisation</t>
        </is>
      </c>
      <c r="S53" s="77" t="n">
        <v>429.97</v>
      </c>
      <c r="T53" s="78" t="n">
        <v>21.9</v>
      </c>
      <c r="U53" s="79" t="n">
        <v>20</v>
      </c>
      <c r="V53" s="80" t="n">
        <v>158</v>
      </c>
      <c r="W53" s="75" t="n">
        <v>50</v>
      </c>
      <c r="X53" s="71" t="inlineStr">
        <is>
          <t>YES</t>
        </is>
      </c>
      <c r="Y53" s="76" t="n">
        <v>2484.4</v>
      </c>
      <c r="Z53" s="76" t="n">
        <v>46611600</v>
      </c>
      <c r="AA53" s="75" t="n">
        <v>18.15</v>
      </c>
      <c r="AB53" s="71"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AC53" s="71" t="inlineStr">
        <is>
          <t>aranda;boyu;double;dragon;hillhouse;hudson;invesco;janchor;lake;lav;octagon;sage;springhill;ubs;yi</t>
        </is>
      </c>
      <c r="AD53" s="75" t="n">
        <v>10.78</v>
      </c>
      <c r="AE53" s="71" t="inlineStr">
        <is>
          <t>full</t>
        </is>
      </c>
      <c r="AF53" s="71" t="inlineStr">
        <is>
          <t>2021-07-30</t>
        </is>
      </c>
      <c r="AG53" s="71" t="inlineStr">
        <is>
          <t>Morgan Stanley Asia Limited</t>
        </is>
      </c>
      <c r="AH53" s="71" t="inlineStr">
        <is>
          <t>Morgan Stanley</t>
        </is>
      </c>
      <c r="AI53" s="81" t="n">
        <v>34.15</v>
      </c>
      <c r="AJ53" s="82" t="n">
        <v>27.58</v>
      </c>
      <c r="AK53" s="82" t="n">
        <v>46.34</v>
      </c>
      <c r="AL53" s="82" t="n">
        <v>-12.82</v>
      </c>
      <c r="AM53" s="83" t="n">
        <v>1.46</v>
      </c>
      <c r="AN53" s="75" t="n">
        <v>17.44</v>
      </c>
      <c r="AO53" s="82" t="n">
        <v>27.95</v>
      </c>
      <c r="AP53" s="82" t="n">
        <v>22.51</v>
      </c>
      <c r="AQ53" s="82" t="n">
        <v>-6.19</v>
      </c>
      <c r="AR53" s="82" t="n">
        <v>0.29</v>
      </c>
      <c r="AS53" s="82" t="n">
        <v>-3.97</v>
      </c>
      <c r="AT53" s="82" t="n">
        <v>-26.47</v>
      </c>
      <c r="AU53" s="82" t="n">
        <v>26.02</v>
      </c>
      <c r="AV53" s="82" t="n">
        <v>25.29</v>
      </c>
      <c r="AW53" s="82" t="n">
        <v>7.58</v>
      </c>
      <c r="AX53" s="82" t="n">
        <v>-3.08</v>
      </c>
      <c r="AY53" s="82" t="n">
        <v>-2.78</v>
      </c>
      <c r="AZ53" s="82" t="n">
        <v>-0.89</v>
      </c>
      <c r="BA53" s="71" t="inlineStr">
        <is>
          <t>China Biotech ETF (HS biotech proxy)</t>
        </is>
      </c>
      <c r="BB53" s="82" t="n">
        <v>47.28</v>
      </c>
      <c r="BC53" s="72" t="inlineStr">
        <is>
          <t>2026-09-23</t>
        </is>
      </c>
      <c r="BD53" s="73" t="n">
        <v>0</v>
      </c>
      <c r="BE53" s="76" t="n">
        <v>-900.7</v>
      </c>
      <c r="BF53" s="71" t="inlineStr">
        <is>
          <t>N</t>
        </is>
      </c>
      <c r="BG53" s="71" t="inlineStr">
        <is>
          <t>n/m</t>
        </is>
      </c>
      <c r="BH53" s="83" t="n"/>
      <c r="BI53" s="83" t="n"/>
      <c r="BJ53" s="71" t="inlineStr">
        <is>
          <t>pre-rev</t>
        </is>
      </c>
      <c r="BK53" s="84">
        <f>IF('BBG Verify'!S53="","not filed; run on terminal",'BBG Verify'!S53)</f>
        <v/>
      </c>
      <c r="BL53" s="85" t="inlineStr">
        <is>
          <t>N</t>
        </is>
      </c>
      <c r="BM53" s="86">
        <f>IF('BBG Verify'!K53="","not filed; run on terminal",'BBG Verify'!K53)</f>
        <v/>
      </c>
      <c r="BN53" s="71" t="inlineStr">
        <is>
          <t>N/A</t>
        </is>
      </c>
      <c r="BO53" s="71" t="inlineStr">
        <is>
          <t>N/A</t>
        </is>
      </c>
      <c r="BP53" s="71" t="inlineStr">
        <is>
          <t>N/A</t>
        </is>
      </c>
      <c r="BQ53" s="71" t="inlineStr">
        <is>
          <t>N/A</t>
        </is>
      </c>
      <c r="BR53" s="71" t="inlineStr">
        <is>
          <t>N/A</t>
        </is>
      </c>
      <c r="BS53" s="71" t="inlineStr">
        <is>
          <t>N/A</t>
        </is>
      </c>
      <c r="BT53" s="85" t="inlineStr">
        <is>
          <t>Morgan Stanley Asia Limited; China International Capital Corporation Hong Kong Securities Limited; Huatai Financial Holdings (Hong Kong) Limited</t>
        </is>
      </c>
      <c r="BU53" s="71" t="inlineStr">
        <is>
          <t>China International Capital Corporation Hong Kong Securities Limited; Morgan Stanley Asia Limited; Huatai Financial Holdings (Hong Kong) Limited</t>
        </is>
      </c>
      <c r="BV53" s="71" t="inlineStr">
        <is>
          <t>Morgan Stanley Asia Limited; China International Capital Corporation Hong Kong Securities Limited; Huatai Financial Holdings (Hong Kong) Limited; Morgan Stanley &amp; Co. International plc; China Everbright Securities (HK) Limited</t>
        </is>
      </c>
      <c r="BW53" s="71" t="inlineStr">
        <is>
          <t>China Everbright Securities (HK) Limited; China International Capital Corporation Hong Kong Securities Limited; Huatai Financial Holdings (Hong Kong) Limited; Morgan Stanley Asia Limited</t>
        </is>
      </c>
      <c r="BX53" s="87">
        <f>HYPERLINK("https://www1.hkexnews.hk/listedco/listconews/sehk/2021/0625/2021062500031.pdf","prospectus")</f>
        <v/>
      </c>
      <c r="BY53" s="87">
        <f>HYPERLINK("https://www1.hkexnews.hk/listedco/listconews/sehk/2021/0707/2021070700054.htm","allotment")</f>
        <v/>
      </c>
      <c r="BZ53" s="87">
        <f>HYPERLINK("https://www1.hkexnews.hk/listedco/listconews/sehk/2021/0730/2021073001918.pdf","stabilisation")</f>
        <v/>
      </c>
      <c r="CA53" s="85" t="n"/>
      <c r="CB53" s="71" t="inlineStr">
        <is>
          <t>P/E: loss-making at IPO, use P/S; cornerstone: % from the prospectus; AAStocks table includes non-cornerstone orders; P/S: pre-revenue issuer, no sales multiple</t>
        </is>
      </c>
    </row>
    <row r="54" ht="15" customHeight="1">
      <c r="A54" s="70" t="inlineStr">
        <is>
          <t>2209</t>
        </is>
      </c>
      <c r="B54" s="71" t="inlineStr">
        <is>
          <t>YESASIA HLDGS</t>
        </is>
      </c>
      <c r="C54" s="71" t="inlineStr">
        <is>
          <t>喆麗控股</t>
        </is>
      </c>
      <c r="D54" s="71" t="inlineStr">
        <is>
          <t>Tech/AI</t>
        </is>
      </c>
      <c r="E54" s="71" t="inlineStr">
        <is>
          <t>Internet platform / e-commerce</t>
        </is>
      </c>
      <c r="F54" s="71" t="inlineStr">
        <is>
          <t>e-Commerce &amp; Internet Services</t>
        </is>
      </c>
      <c r="G54" s="71" t="inlineStr">
        <is>
          <t>Standard</t>
        </is>
      </c>
      <c r="H54" s="72" t="n">
        <v>44386</v>
      </c>
      <c r="I54" s="73" t="n">
        <v>91</v>
      </c>
      <c r="J54" s="71" t="inlineStr">
        <is>
          <t>net proceeds</t>
        </is>
      </c>
      <c r="K54" s="74" t="n">
        <v>3</v>
      </c>
      <c r="L54" s="74" t="n">
        <v>3.33</v>
      </c>
      <c r="M54" s="74" t="n">
        <v>3.28</v>
      </c>
      <c r="N54" s="71" t="inlineStr">
        <is>
          <t>N</t>
        </is>
      </c>
      <c r="O54" s="75" t="n">
        <v>98.5</v>
      </c>
      <c r="P54" s="75" t="n">
        <v>84.8</v>
      </c>
      <c r="Q54" s="76" t="n">
        <v>1316</v>
      </c>
      <c r="R54" s="71" t="inlineStr">
        <is>
          <t>aastocks:上市市值 at the struck price</t>
        </is>
      </c>
      <c r="S54" s="77" t="n">
        <v>145.3</v>
      </c>
      <c r="T54" s="78" t="n">
        <v>3.2</v>
      </c>
      <c r="U54" s="79" t="n">
        <v>37.94</v>
      </c>
      <c r="V54" s="80" t="n">
        <v>82</v>
      </c>
      <c r="W54" s="75" t="n"/>
      <c r="X54" s="71" t="n"/>
      <c r="Y54" s="76" t="n">
        <v>56.47</v>
      </c>
      <c r="Z54" s="76" t="n"/>
      <c r="AA54" s="75" t="n">
        <v>4.29</v>
      </c>
      <c r="AB54" s="71" t="inlineStr">
        <is>
          <t>CS Logistics Holdings Ltd; Triple Surge Holdings Limited</t>
        </is>
      </c>
      <c r="AC54" s="71" t="inlineStr">
        <is>
          <t>cs;triple</t>
        </is>
      </c>
      <c r="AD54" s="75" t="n">
        <v>11.3</v>
      </c>
      <c r="AE54" s="71" t="inlineStr">
        <is>
          <t>partial</t>
        </is>
      </c>
      <c r="AF54" s="71" t="inlineStr">
        <is>
          <t>2021-08-01</t>
        </is>
      </c>
      <c r="AG54" s="71" t="inlineStr">
        <is>
          <t>UOB Kay Hian</t>
        </is>
      </c>
      <c r="AH54" s="71" t="inlineStr">
        <is>
          <t>UOB Kay</t>
        </is>
      </c>
      <c r="AI54" s="81" t="n">
        <v>35.37</v>
      </c>
      <c r="AJ54" s="82" t="n">
        <v>5.49</v>
      </c>
      <c r="AK54" s="82" t="n">
        <v>47.26</v>
      </c>
      <c r="AL54" s="82" t="n">
        <v>-28.36</v>
      </c>
      <c r="AM54" s="83" t="n"/>
      <c r="AN54" s="75" t="n">
        <v>31.47</v>
      </c>
      <c r="AO54" s="82" t="n">
        <v>-7.62</v>
      </c>
      <c r="AP54" s="82" t="n">
        <v>-20.12</v>
      </c>
      <c r="AQ54" s="82" t="n">
        <v>-56.1</v>
      </c>
      <c r="AR54" s="82" t="n">
        <v>-12.43</v>
      </c>
      <c r="AS54" s="82" t="n">
        <v>-24.28</v>
      </c>
      <c r="AT54" s="82" t="n">
        <v>-58.38</v>
      </c>
      <c r="AU54" s="82" t="n">
        <v>-11.53</v>
      </c>
      <c r="AV54" s="82" t="n">
        <v>-10.79</v>
      </c>
      <c r="AW54" s="82" t="n">
        <v>-40.38</v>
      </c>
      <c r="AX54" s="82" t="n">
        <v>-14.03</v>
      </c>
      <c r="AY54" s="82" t="n">
        <v>-9.33</v>
      </c>
      <c r="AZ54" s="82" t="n">
        <v>-10.25</v>
      </c>
      <c r="BA54" s="71" t="inlineStr">
        <is>
          <t>HSTECH (Hang Seng TECH ETF)</t>
        </is>
      </c>
      <c r="BB54" s="82" t="n">
        <v>3.05</v>
      </c>
      <c r="BC54" s="72" t="inlineStr">
        <is>
          <t>2026-09-23</t>
        </is>
      </c>
      <c r="BD54" s="73" t="n">
        <v>1351.9</v>
      </c>
      <c r="BE54" s="76" t="n">
        <v>87.5</v>
      </c>
      <c r="BF54" s="71" t="inlineStr">
        <is>
          <t>Y</t>
        </is>
      </c>
      <c r="BG54" s="83" t="n">
        <v>15</v>
      </c>
      <c r="BH54" s="83" t="n"/>
      <c r="BI54" s="83" t="n">
        <v>8.199999999999999</v>
      </c>
      <c r="BJ54" s="83" t="n">
        <v>1</v>
      </c>
      <c r="BK54" s="84">
        <f>IF('BBG Verify'!S54="","not filed; run on terminal",'BBG Verify'!S54)</f>
        <v/>
      </c>
      <c r="BL54" s="85" t="inlineStr">
        <is>
          <t>N</t>
        </is>
      </c>
      <c r="BM54" s="86">
        <f>IF('BBG Verify'!K54="","not filed; run on terminal",'BBG Verify'!K54)</f>
        <v/>
      </c>
      <c r="BN54" s="71" t="inlineStr">
        <is>
          <t>N/A</t>
        </is>
      </c>
      <c r="BO54" s="71" t="inlineStr">
        <is>
          <t>N/A</t>
        </is>
      </c>
      <c r="BP54" s="71" t="inlineStr">
        <is>
          <t>N/A</t>
        </is>
      </c>
      <c r="BQ54" s="71" t="inlineStr">
        <is>
          <t>N/A</t>
        </is>
      </c>
      <c r="BR54" s="71" t="inlineStr">
        <is>
          <t>N/A</t>
        </is>
      </c>
      <c r="BS54" s="71" t="inlineStr">
        <is>
          <t>N/A</t>
        </is>
      </c>
      <c r="BT54" s="85" t="inlineStr">
        <is>
          <t>UOB Kay Hian (Hong Kong) Limited</t>
        </is>
      </c>
      <c r="BU54" s="71" t="inlineStr">
        <is>
          <t>UOB Kay Hian (Hong Kong) Limited</t>
        </is>
      </c>
      <c r="BV54" s="71"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W54" s="71"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X54" s="87">
        <f>HYPERLINK("https://www1.hkexnews.hk/listedco/listconews/sehk/2021/0628/2021062800027.pdf","prospectus")</f>
        <v/>
      </c>
      <c r="BY54" s="87">
        <f>HYPERLINK("https://www1.hkexnews.hk/listedco/listconews/sehk/2021/0708/2021070800026.htm","allotment")</f>
        <v/>
      </c>
      <c r="BZ54" s="87">
        <f>HYPERLINK("https://www1.hkexnews.hk/listedco/listconews/sehk/2021/0801/2021080100011.pdf","stabilisation")</f>
        <v/>
      </c>
      <c r="CA54" s="85" t="n"/>
      <c r="CB54" s="71" t="inlineStr">
        <is>
          <t>market cap: published listing cap used; the estimate from deal size / offer % of enlarged capital disagreed; deal size: stated gross HK$4.5m rejected, below the net proceeds of HK$91.0m; eff float shares: share count unavailable; the HK$m figure is exact; allocation: allocation table not in this notice's format (older prose announcement); day-1 tape: volume on file; the retail multiple needs the final public split, which this notice does not state</t>
        </is>
      </c>
    </row>
    <row r="55" ht="15" customHeight="1">
      <c r="A55" s="70" t="inlineStr">
        <is>
          <t>2165</t>
        </is>
      </c>
      <c r="B55" s="71" t="inlineStr">
        <is>
          <t>LING YUE SER GP</t>
        </is>
      </c>
      <c r="C55" s="71" t="inlineStr">
        <is>
          <t>領悅服務集團</t>
        </is>
      </c>
      <c r="D55" s="71" t="inlineStr">
        <is>
          <t>Real Estate</t>
        </is>
      </c>
      <c r="E55" s="71" t="inlineStr">
        <is>
          <t>Property management</t>
        </is>
      </c>
      <c r="F55" s="71" t="inlineStr">
        <is>
          <t>Property Service and Management</t>
        </is>
      </c>
      <c r="G55" s="71" t="inlineStr">
        <is>
          <t>Standard</t>
        </is>
      </c>
      <c r="H55" s="72" t="n">
        <v>44389</v>
      </c>
      <c r="I55" s="73" t="n">
        <v>293.3</v>
      </c>
      <c r="J55" s="71" t="inlineStr">
        <is>
          <t>gross (price x shares)</t>
        </is>
      </c>
      <c r="K55" s="74" t="n">
        <v>3.75</v>
      </c>
      <c r="L55" s="74" t="n">
        <v>4.55</v>
      </c>
      <c r="M55" s="74" t="n">
        <v>4.19</v>
      </c>
      <c r="N55" s="71" t="inlineStr">
        <is>
          <t>N</t>
        </is>
      </c>
      <c r="O55" s="75" t="n">
        <v>92.09999999999999</v>
      </c>
      <c r="P55" s="75" t="n">
        <v>55</v>
      </c>
      <c r="Q55" s="76" t="n">
        <v>1058.8</v>
      </c>
      <c r="R55" s="71" t="inlineStr">
        <is>
          <t>derived:deal size / offer % of enlarged capital</t>
        </is>
      </c>
      <c r="S55" s="77" t="n">
        <v>5.23</v>
      </c>
      <c r="T55" s="78" t="n">
        <v>1.2</v>
      </c>
      <c r="U55" s="79" t="n">
        <v>0</v>
      </c>
      <c r="V55" s="80" t="n">
        <v>111</v>
      </c>
      <c r="W55" s="75" t="n"/>
      <c r="X55" s="71" t="n"/>
      <c r="Y55" s="76" t="n">
        <v>293.3</v>
      </c>
      <c r="Z55" s="76" t="n">
        <v>70000000</v>
      </c>
      <c r="AA55" s="75" t="n">
        <v>27.7</v>
      </c>
      <c r="AB55" s="71" t="n"/>
      <c r="AC55" s="71" t="n"/>
      <c r="AD55" s="75" t="n">
        <v>16.5</v>
      </c>
      <c r="AE55" s="71" t="inlineStr">
        <is>
          <t>partial</t>
        </is>
      </c>
      <c r="AF55" s="71" t="inlineStr">
        <is>
          <t>2021-08-04</t>
        </is>
      </c>
      <c r="AG55" s="71" t="inlineStr">
        <is>
          <t>CCB International Capital Limited</t>
        </is>
      </c>
      <c r="AH55" s="71" t="inlineStr">
        <is>
          <t>CCB</t>
        </is>
      </c>
      <c r="AI55" s="81" t="n"/>
      <c r="AJ55" s="82" t="n">
        <v>0</v>
      </c>
      <c r="AK55" s="82" t="n">
        <v>24.11</v>
      </c>
      <c r="AL55" s="82" t="n">
        <v>-19.43</v>
      </c>
      <c r="AM55" s="83" t="n"/>
      <c r="AN55" s="75" t="n">
        <v>25.19</v>
      </c>
      <c r="AO55" s="82" t="n">
        <v>0</v>
      </c>
      <c r="AP55" s="82" t="n">
        <v>0.24</v>
      </c>
      <c r="AQ55" s="82" t="n">
        <v>0</v>
      </c>
      <c r="AR55" s="82" t="n">
        <v>0</v>
      </c>
      <c r="AS55" s="82" t="n">
        <v>0.24</v>
      </c>
      <c r="AT55" s="82" t="n">
        <v>0</v>
      </c>
      <c r="AU55" s="82" t="n">
        <v>-1.01</v>
      </c>
      <c r="AV55" s="82" t="n">
        <v>5.83</v>
      </c>
      <c r="AW55" s="82" t="n">
        <v>9.390000000000001</v>
      </c>
      <c r="AX55" s="82" t="n">
        <v>7.02</v>
      </c>
      <c r="AY55" s="82" t="n">
        <v>-5.59</v>
      </c>
      <c r="AZ55" s="82" t="n">
        <v>-6.78</v>
      </c>
      <c r="BA55" s="71" t="inlineStr">
        <is>
          <t>Hang Seng Properties sub-index</t>
        </is>
      </c>
      <c r="BB55" s="82" t="n">
        <v>-63.37</v>
      </c>
      <c r="BC55" s="72" t="inlineStr">
        <is>
          <t>2026-09-18</t>
        </is>
      </c>
      <c r="BD55" s="73" t="n">
        <v>471</v>
      </c>
      <c r="BE55" s="76" t="n">
        <v>77.3</v>
      </c>
      <c r="BF55" s="71" t="inlineStr">
        <is>
          <t>Y</t>
        </is>
      </c>
      <c r="BG55" s="83" t="n">
        <v>13.7</v>
      </c>
      <c r="BH55" s="83" t="n"/>
      <c r="BI55" s="83" t="n">
        <v>5.1</v>
      </c>
      <c r="BJ55" s="83" t="n">
        <v>2.2</v>
      </c>
      <c r="BK55" s="84">
        <f>IF('BBG Verify'!S55="","not filed; run on terminal",'BBG Verify'!S55)</f>
        <v/>
      </c>
      <c r="BL55" s="85" t="inlineStr">
        <is>
          <t>N</t>
        </is>
      </c>
      <c r="BM55" s="86">
        <f>IF('BBG Verify'!K55="","not filed; run on terminal",'BBG Verify'!K55)</f>
        <v/>
      </c>
      <c r="BN55" s="71" t="inlineStr">
        <is>
          <t>N/A</t>
        </is>
      </c>
      <c r="BO55" s="71" t="inlineStr">
        <is>
          <t>N/A</t>
        </is>
      </c>
      <c r="BP55" s="71" t="inlineStr">
        <is>
          <t>N/A</t>
        </is>
      </c>
      <c r="BQ55" s="71" t="inlineStr">
        <is>
          <t>N/A</t>
        </is>
      </c>
      <c r="BR55" s="71" t="inlineStr">
        <is>
          <t>N/A</t>
        </is>
      </c>
      <c r="BS55" s="71" t="inlineStr">
        <is>
          <t>N/A</t>
        </is>
      </c>
      <c r="BT55" s="85" t="inlineStr">
        <is>
          <t>CCB International Capital Limited</t>
        </is>
      </c>
      <c r="BU55" s="71" t="inlineStr">
        <is>
          <t>CCB International Capital Limited</t>
        </is>
      </c>
      <c r="BV55" s="71" t="inlineStr">
        <is>
          <t>CCB International Capital Limited; CMB International Capital Limited; Huatai Financial Holdings (Hong Kong) Limited; Seazen Resources Securities Limited; Shenwan Hongyuan Securities (H.K.) Limited; CMBC Securities Company Limited</t>
        </is>
      </c>
      <c r="BW55" s="71"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X55" s="87">
        <f>HYPERLINK("https://www1.hkexnews.hk/listedco/listconews/sehk/2021/0629/2021062900045.pdf","prospectus")</f>
        <v/>
      </c>
      <c r="BY55" s="87">
        <f>HYPERLINK("https://www1.hkexnews.hk/listedco/listconews/sehk/2021/0709/2021070900020.htm","allotment")</f>
        <v/>
      </c>
      <c r="BZ55" s="87">
        <f>HYPERLINK("https://www1.hkexnews.hk/listedco/listconews/sehk/2021/0805/2021080500013.pdf","stabilisation")</f>
        <v/>
      </c>
      <c r="CA55" s="85" t="n"/>
      <c r="CB55" s="71" t="inlineStr">
        <is>
          <t>cornerstone list: no cornerstone tranche;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56" ht="15" customHeight="1">
      <c r="A56" s="70" t="inlineStr">
        <is>
          <t>2177</t>
        </is>
      </c>
      <c r="B56" s="71" t="inlineStr">
        <is>
          <t>UNQ HOLDINGS</t>
        </is>
      </c>
      <c r="C56" s="71" t="inlineStr">
        <is>
          <t>優趣匯控股</t>
        </is>
      </c>
      <c r="D56" s="71" t="inlineStr">
        <is>
          <t>Tech/AI</t>
        </is>
      </c>
      <c r="E56" s="71" t="inlineStr">
        <is>
          <t>Internet platform / e-commerce</t>
        </is>
      </c>
      <c r="F56" s="71" t="inlineStr">
        <is>
          <t>e-Commerce &amp; Internet Services</t>
        </is>
      </c>
      <c r="G56" s="71" t="inlineStr">
        <is>
          <t>Standard</t>
        </is>
      </c>
      <c r="H56" s="72" t="n">
        <v>44389</v>
      </c>
      <c r="I56" s="73" t="n">
        <v>327.99</v>
      </c>
      <c r="J56" s="71" t="inlineStr">
        <is>
          <t>net proceeds</t>
        </is>
      </c>
      <c r="K56" s="74" t="n">
        <v>11.86</v>
      </c>
      <c r="L56" s="74" t="n">
        <v>15.35</v>
      </c>
      <c r="M56" s="74" t="n">
        <v>11.86</v>
      </c>
      <c r="N56" s="71" t="inlineStr">
        <is>
          <t>N</t>
        </is>
      </c>
      <c r="O56" s="75" t="n">
        <v>77.3</v>
      </c>
      <c r="P56" s="75" t="n">
        <v>0</v>
      </c>
      <c r="Q56" s="76" t="n">
        <v>2414.9</v>
      </c>
      <c r="R56" s="71" t="inlineStr">
        <is>
          <t>aastocks:上市市值 at the struck price</t>
        </is>
      </c>
      <c r="S56" s="77" t="n">
        <v>25.45</v>
      </c>
      <c r="T56" s="78" t="n">
        <v>1.83</v>
      </c>
      <c r="U56" s="79" t="n">
        <v>31.3</v>
      </c>
      <c r="V56" s="80" t="n">
        <v>150</v>
      </c>
      <c r="W56" s="75" t="n">
        <v>30</v>
      </c>
      <c r="X56" s="71" t="inlineStr">
        <is>
          <t>YES</t>
        </is>
      </c>
      <c r="Y56" s="76" t="n">
        <v>225.33</v>
      </c>
      <c r="Z56" s="76" t="n"/>
      <c r="AA56" s="75" t="n">
        <v>9.33</v>
      </c>
      <c r="AB56" s="71" t="inlineStr">
        <is>
          <t>Country Garden Property Services HK Holdings Company Limited; Kobayashi Pharmaceutical Co., Ltd; Unicharm Corporation</t>
        </is>
      </c>
      <c r="AC56" s="71" t="inlineStr">
        <is>
          <t>country;kobayashi;unicharm</t>
        </is>
      </c>
      <c r="AD56" s="75" t="n">
        <v>17.7</v>
      </c>
      <c r="AE56" s="71" t="inlineStr">
        <is>
          <t>lapsed</t>
        </is>
      </c>
      <c r="AF56" s="71" t="inlineStr">
        <is>
          <t>2021-08-04</t>
        </is>
      </c>
      <c r="AG56" s="71" t="inlineStr">
        <is>
          <t>China International Capital Corporation Hong Kong Securities Limited</t>
        </is>
      </c>
      <c r="AH56" s="71" t="inlineStr">
        <is>
          <t>China International</t>
        </is>
      </c>
      <c r="AI56" s="81" t="n"/>
      <c r="AJ56" s="82" t="n">
        <v>-23.78</v>
      </c>
      <c r="AK56" s="82" t="n">
        <v>3.04</v>
      </c>
      <c r="AL56" s="82" t="n">
        <v>-26.03</v>
      </c>
      <c r="AM56" s="83" t="n">
        <v>2.02</v>
      </c>
      <c r="AN56" s="75" t="n">
        <v>29.05</v>
      </c>
      <c r="AO56" s="82" t="n">
        <v>-29.09</v>
      </c>
      <c r="AP56" s="82" t="n">
        <v>-50.42</v>
      </c>
      <c r="AQ56" s="82" t="n">
        <v>-57</v>
      </c>
      <c r="AR56" s="82" t="n">
        <v>-6.97</v>
      </c>
      <c r="AS56" s="82" t="n">
        <v>-34.95</v>
      </c>
      <c r="AT56" s="82" t="n">
        <v>-43.58</v>
      </c>
      <c r="AU56" s="82" t="n">
        <v>-29.02</v>
      </c>
      <c r="AV56" s="82" t="n">
        <v>-42.4</v>
      </c>
      <c r="AW56" s="82" t="n">
        <v>-43.14</v>
      </c>
      <c r="AX56" s="82" t="n">
        <v>-25.82</v>
      </c>
      <c r="AY56" s="82" t="n">
        <v>-8.02</v>
      </c>
      <c r="AZ56" s="82" t="n">
        <v>-9.130000000000001</v>
      </c>
      <c r="BA56" s="71" t="inlineStr">
        <is>
          <t>HSTECH (Hang Seng TECH ETF)</t>
        </is>
      </c>
      <c r="BB56" s="82" t="n">
        <v>-81.62</v>
      </c>
      <c r="BC56" s="72" t="inlineStr">
        <is>
          <t>2026-09-22</t>
        </is>
      </c>
      <c r="BD56" s="73" t="n">
        <v>3080.9</v>
      </c>
      <c r="BE56" s="76" t="n">
        <v>47.3</v>
      </c>
      <c r="BF56" s="71" t="inlineStr">
        <is>
          <t>Y</t>
        </is>
      </c>
      <c r="BG56" s="83" t="n">
        <v>51.1</v>
      </c>
      <c r="BH56" s="83" t="n"/>
      <c r="BI56" s="83" t="n">
        <v>12.5</v>
      </c>
      <c r="BJ56" s="83" t="n">
        <v>0.8</v>
      </c>
      <c r="BK56" s="84">
        <f>IF('BBG Verify'!S56="","not filed; run on terminal",'BBG Verify'!S56)</f>
        <v/>
      </c>
      <c r="BL56" s="85" t="inlineStr">
        <is>
          <t>N</t>
        </is>
      </c>
      <c r="BM56" s="86">
        <f>IF('BBG Verify'!K56="","not filed; run on terminal",'BBG Verify'!K56)</f>
        <v/>
      </c>
      <c r="BN56" s="71" t="inlineStr">
        <is>
          <t>N/A</t>
        </is>
      </c>
      <c r="BO56" s="71" t="inlineStr">
        <is>
          <t>N/A</t>
        </is>
      </c>
      <c r="BP56" s="71" t="inlineStr">
        <is>
          <t>N/A</t>
        </is>
      </c>
      <c r="BQ56" s="71" t="inlineStr">
        <is>
          <t>N/A</t>
        </is>
      </c>
      <c r="BR56" s="71" t="inlineStr">
        <is>
          <t>N/A</t>
        </is>
      </c>
      <c r="BS56" s="71" t="inlineStr">
        <is>
          <t>N/A</t>
        </is>
      </c>
      <c r="BT56" s="85" t="inlineStr">
        <is>
          <t>China International Capital Corporation Hong Kong Securities Limited</t>
        </is>
      </c>
      <c r="BU56" s="71" t="inlineStr">
        <is>
          <t>China International Capital Corporation Hong Kong Securities Limited</t>
        </is>
      </c>
      <c r="BV56" s="71"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W56" s="71"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X56" s="87">
        <f>HYPERLINK("https://www1.hkexnews.hk/listedco/listconews/sehk/2021/0628/2021062800009.pdf","prospectus")</f>
        <v/>
      </c>
      <c r="BY56" s="87">
        <f>HYPERLINK("https://www1.hkexnews.hk/listedco/listconews/sehk/2021/0709/2021070900048.htm","allotment")</f>
        <v/>
      </c>
      <c r="BZ56" s="87">
        <f>HYPERLINK("https://www1.hkexnews.hk/listedco/listconews/sehk/2021/0804/2021080401759.pdf","stabilisation")</f>
        <v/>
      </c>
      <c r="CA56" s="85" t="n"/>
      <c r="CB56" s="71" t="inlineStr">
        <is>
          <t>market cap: published listing cap used; the estimate from stated market capitalisation, rescaled to the offer price disagreed; grey market: no close found: etnet's news wire (every story that evening and the next morning), etnet's grey table (from Oct-2024) and AAStocks all checked; eff float shares: share count unavailable; the HK$m figure is exact</t>
        </is>
      </c>
    </row>
    <row r="57" ht="15" customHeight="1">
      <c r="A57" s="70" t="inlineStr">
        <is>
          <t>6913</t>
        </is>
      </c>
      <c r="B57" s="71" t="inlineStr">
        <is>
          <t>SCVE GROUP</t>
        </is>
      </c>
      <c r="C57" s="71" t="inlineStr">
        <is>
          <t>華南職業教育</t>
        </is>
      </c>
      <c r="D57" s="71" t="inlineStr">
        <is>
          <t>Consumer</t>
        </is>
      </c>
      <c r="E57" s="71" t="inlineStr">
        <is>
          <t>Consumer services / education</t>
        </is>
      </c>
      <c r="F57" s="71" t="inlineStr">
        <is>
          <t>Education Services</t>
        </is>
      </c>
      <c r="G57" s="71" t="inlineStr">
        <is>
          <t>Standard</t>
        </is>
      </c>
      <c r="H57" s="72" t="n">
        <v>44390</v>
      </c>
      <c r="I57" s="73" t="n">
        <v>531.1</v>
      </c>
      <c r="J57" s="71" t="inlineStr">
        <is>
          <t>gross (price x shares)</t>
        </is>
      </c>
      <c r="K57" s="74" t="n">
        <v>1.59</v>
      </c>
      <c r="L57" s="74" t="n">
        <v>2.01</v>
      </c>
      <c r="M57" s="74" t="n">
        <v>1.59</v>
      </c>
      <c r="N57" s="71" t="inlineStr">
        <is>
          <t>N</t>
        </is>
      </c>
      <c r="O57" s="75" t="n">
        <v>79.09999999999999</v>
      </c>
      <c r="P57" s="75" t="n">
        <v>0</v>
      </c>
      <c r="Q57" s="76" t="n">
        <v>2564.2</v>
      </c>
      <c r="R57" s="71" t="inlineStr">
        <is>
          <t>aastocks:上市市值 at the struck price</t>
        </is>
      </c>
      <c r="S57" s="77" t="n">
        <v>6.01</v>
      </c>
      <c r="T57" s="78" t="n">
        <v>1.99</v>
      </c>
      <c r="U57" s="79" t="n">
        <v>0</v>
      </c>
      <c r="V57" s="80" t="n">
        <v>101</v>
      </c>
      <c r="W57" s="75" t="n"/>
      <c r="X57" s="71" t="n"/>
      <c r="Y57" s="76" t="n">
        <v>531.1</v>
      </c>
      <c r="Z57" s="76" t="n">
        <v>334000000</v>
      </c>
      <c r="AA57" s="75" t="n">
        <v>20.71</v>
      </c>
      <c r="AB57" s="71" t="n"/>
      <c r="AC57" s="71" t="n"/>
      <c r="AD57" s="75" t="n">
        <v>12.3</v>
      </c>
      <c r="AE57" s="71" t="inlineStr">
        <is>
          <t>lapsed</t>
        </is>
      </c>
      <c r="AF57" s="71" t="n"/>
      <c r="AG57" s="71" t="inlineStr">
        <is>
          <t>BNP Paribas Securities</t>
        </is>
      </c>
      <c r="AH57" s="71" t="inlineStr">
        <is>
          <t>BNP Paribas</t>
        </is>
      </c>
      <c r="AI57" s="81" t="n">
        <v>-6.29</v>
      </c>
      <c r="AJ57" s="82" t="n">
        <v>-16.98</v>
      </c>
      <c r="AK57" s="82" t="n">
        <v>-8.81</v>
      </c>
      <c r="AL57" s="82" t="n">
        <v>-8.960000000000001</v>
      </c>
      <c r="AM57" s="83" t="n"/>
      <c r="AN57" s="75" t="n">
        <v>17.24</v>
      </c>
      <c r="AO57" s="82" t="n">
        <v>-33.33</v>
      </c>
      <c r="AP57" s="82" t="n">
        <v>-11.95</v>
      </c>
      <c r="AQ57" s="82" t="n">
        <v>-24.53</v>
      </c>
      <c r="AR57" s="82" t="n">
        <v>-19.69</v>
      </c>
      <c r="AS57" s="82" t="n">
        <v>6.06</v>
      </c>
      <c r="AT57" s="82" t="n">
        <v>-9.09</v>
      </c>
      <c r="AU57" s="82" t="n">
        <v>-32.43</v>
      </c>
      <c r="AV57" s="82" t="n">
        <v>-6.8</v>
      </c>
      <c r="AW57" s="82" t="n">
        <v>-12.42</v>
      </c>
      <c r="AX57" s="82" t="n">
        <v>12.97</v>
      </c>
      <c r="AY57" s="82" t="n">
        <v>-5.15</v>
      </c>
      <c r="AZ57" s="82" t="n">
        <v>-6.91</v>
      </c>
      <c r="BA57" s="71" t="inlineStr">
        <is>
          <t>Hang Seng Commerce &amp; Industry sub-index</t>
        </is>
      </c>
      <c r="BB57" s="82" t="n">
        <v>-93.90000000000001</v>
      </c>
      <c r="BC57" s="72" t="inlineStr">
        <is>
          <t>2026-09-23</t>
        </is>
      </c>
      <c r="BD57" s="73" t="n">
        <v>495</v>
      </c>
      <c r="BE57" s="76" t="n">
        <v>187</v>
      </c>
      <c r="BF57" s="71" t="inlineStr">
        <is>
          <t>Y</t>
        </is>
      </c>
      <c r="BG57" s="83" t="n">
        <v>13.7</v>
      </c>
      <c r="BH57" s="83" t="n"/>
      <c r="BI57" s="83" t="n"/>
      <c r="BJ57" s="83" t="n">
        <v>5.2</v>
      </c>
      <c r="BK57" s="84">
        <f>IF('BBG Verify'!S57="","not filed; run on terminal",'BBG Verify'!S57)</f>
        <v/>
      </c>
      <c r="BL57" s="85" t="inlineStr">
        <is>
          <t>N</t>
        </is>
      </c>
      <c r="BM57" s="86">
        <f>IF('BBG Verify'!K57="","not filed; run on terminal",'BBG Verify'!K57)</f>
        <v/>
      </c>
      <c r="BN57" s="71" t="inlineStr">
        <is>
          <t>N/A</t>
        </is>
      </c>
      <c r="BO57" s="71" t="inlineStr">
        <is>
          <t>N/A</t>
        </is>
      </c>
      <c r="BP57" s="71" t="inlineStr">
        <is>
          <t>N/A</t>
        </is>
      </c>
      <c r="BQ57" s="71" t="inlineStr">
        <is>
          <t>N/A</t>
        </is>
      </c>
      <c r="BR57" s="71" t="inlineStr">
        <is>
          <t>N/A</t>
        </is>
      </c>
      <c r="BS57" s="71" t="inlineStr">
        <is>
          <t>N/A</t>
        </is>
      </c>
      <c r="BT57" s="85" t="inlineStr">
        <is>
          <t>BNP Paribas Securities (Asia) Limited</t>
        </is>
      </c>
      <c r="BU57" s="71" t="inlineStr">
        <is>
          <t>BNP Paribas Securities (Asia) Limited</t>
        </is>
      </c>
      <c r="BV57" s="71"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W57" s="71"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X57" s="87">
        <f>HYPERLINK("https://www1.hkexnews.hk/listedco/listconews/sehk/2021/0630/2021063000199.pdf","prospectus")</f>
        <v/>
      </c>
      <c r="BY57" s="87">
        <f>HYPERLINK("https://www1.hkexnews.hk/listedco/listconews/sehk/2021/0712/2021071200022.htm","allotment")</f>
        <v/>
      </c>
      <c r="BZ57" s="87">
        <f>HYPERLINK("https://www1.hkexnews.hk/listedco/listconews/sehk/2021/0805/2021080500675.pdf","stabilisation")</f>
        <v/>
      </c>
      <c r="CA57" s="85" t="n"/>
      <c r="CB57" s="71"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58" ht="15" customHeight="1">
      <c r="A58" s="70" t="inlineStr">
        <is>
          <t>2137</t>
        </is>
      </c>
      <c r="B58" s="71" t="inlineStr">
        <is>
          <t>BRII - B</t>
        </is>
      </c>
      <c r="C58" s="71" t="inlineStr">
        <is>
          <t>騰盛博藥－Ｂ</t>
        </is>
      </c>
      <c r="D58" s="71" t="inlineStr">
        <is>
          <t>Healthcare</t>
        </is>
      </c>
      <c r="E58" s="71" t="inlineStr">
        <is>
          <t>Biotech pre-revenue (18A)</t>
        </is>
      </c>
      <c r="F58" s="71" t="inlineStr">
        <is>
          <t>Biotechnology</t>
        </is>
      </c>
      <c r="G58" s="71" t="inlineStr">
        <is>
          <t>Standard</t>
        </is>
      </c>
      <c r="H58" s="72" t="n">
        <v>44390</v>
      </c>
      <c r="I58" s="73" t="n">
        <v>2482.7</v>
      </c>
      <c r="J58" s="71" t="inlineStr">
        <is>
          <t>gross (price x shares)</t>
        </is>
      </c>
      <c r="K58" s="74" t="n">
        <v>21</v>
      </c>
      <c r="L58" s="74" t="n">
        <v>22.25</v>
      </c>
      <c r="M58" s="74" t="n">
        <v>22.25</v>
      </c>
      <c r="N58" s="71" t="inlineStr">
        <is>
          <t>Y</t>
        </is>
      </c>
      <c r="O58" s="75" t="n">
        <v>100</v>
      </c>
      <c r="P58" s="75" t="n">
        <v>100</v>
      </c>
      <c r="Q58" s="76" t="n">
        <v>13987</v>
      </c>
      <c r="R58" s="71" t="inlineStr">
        <is>
          <t>derived:deal size / offer % of enlarged capital</t>
        </is>
      </c>
      <c r="S58" s="77" t="n">
        <v>292</v>
      </c>
      <c r="T58" s="78" t="n">
        <v>12</v>
      </c>
      <c r="U58" s="79" t="n">
        <v>47.52</v>
      </c>
      <c r="V58" s="80" t="n">
        <v>160</v>
      </c>
      <c r="W58" s="75" t="n">
        <v>50</v>
      </c>
      <c r="X58" s="71" t="inlineStr">
        <is>
          <t>YES</t>
        </is>
      </c>
      <c r="Y58" s="76" t="n">
        <v>1302.92</v>
      </c>
      <c r="Z58" s="76" t="n">
        <v>58557184</v>
      </c>
      <c r="AA58" s="75" t="n">
        <v>9.32</v>
      </c>
      <c r="AB58" s="71"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AC58" s="71" t="inlineStr">
        <is>
          <t>aihc;athos;boyu;invesco;rbc;sage;scc;springhill;valliance;ubs;youyu</t>
        </is>
      </c>
      <c r="AD58" s="75" t="n">
        <v>6.1</v>
      </c>
      <c r="AE58" s="71" t="inlineStr">
        <is>
          <t>partial</t>
        </is>
      </c>
      <c r="AF58" s="71" t="inlineStr">
        <is>
          <t>2021-08-05</t>
        </is>
      </c>
      <c r="AG58" s="71" t="inlineStr">
        <is>
          <t>Morgan Stanley Asia Limited</t>
        </is>
      </c>
      <c r="AH58" s="71" t="inlineStr">
        <is>
          <t>Morgan Stanley</t>
        </is>
      </c>
      <c r="AI58" s="81" t="n">
        <v>-6.07</v>
      </c>
      <c r="AJ58" s="82" t="n">
        <v>3.15</v>
      </c>
      <c r="AK58" s="82" t="n">
        <v>-3.82</v>
      </c>
      <c r="AL58" s="82" t="n">
        <v>7.25</v>
      </c>
      <c r="AM58" s="83" t="n">
        <v>1.21</v>
      </c>
      <c r="AN58" s="75" t="n">
        <v>16.12</v>
      </c>
      <c r="AO58" s="82" t="n">
        <v>-6.52</v>
      </c>
      <c r="AP58" s="82" t="n">
        <v>79.78</v>
      </c>
      <c r="AQ58" s="82" t="n">
        <v>22.02</v>
      </c>
      <c r="AR58" s="82" t="n">
        <v>-9.369999999999999</v>
      </c>
      <c r="AS58" s="82" t="n">
        <v>74.29000000000001</v>
      </c>
      <c r="AT58" s="82" t="n">
        <v>18.29</v>
      </c>
      <c r="AU58" s="82" t="n">
        <v>-6.88</v>
      </c>
      <c r="AV58" s="82" t="n">
        <v>87.09999999999999</v>
      </c>
      <c r="AW58" s="82" t="n">
        <v>39.45</v>
      </c>
      <c r="AX58" s="82" t="n">
        <v>81.16</v>
      </c>
      <c r="AY58" s="82" t="n">
        <v>-7.32</v>
      </c>
      <c r="AZ58" s="82" t="n">
        <v>-6.87</v>
      </c>
      <c r="BA58" s="71" t="inlineStr">
        <is>
          <t>China Biotech ETF (HS biotech proxy)</t>
        </is>
      </c>
      <c r="BB58" s="82" t="n">
        <v>-95.98</v>
      </c>
      <c r="BC58" s="72" t="inlineStr">
        <is>
          <t>2026-09-23</t>
        </is>
      </c>
      <c r="BD58" s="73" t="n">
        <v>34.1</v>
      </c>
      <c r="BE58" s="76" t="n">
        <v>-1411.9</v>
      </c>
      <c r="BF58" s="71" t="inlineStr">
        <is>
          <t>N</t>
        </is>
      </c>
      <c r="BG58" s="71" t="inlineStr">
        <is>
          <t>n/m</t>
        </is>
      </c>
      <c r="BH58" s="83" t="n"/>
      <c r="BI58" s="83" t="n"/>
      <c r="BJ58" s="83" t="n">
        <v>410.2</v>
      </c>
      <c r="BK58" s="84">
        <f>IF('BBG Verify'!S58="","not filed; run on terminal",'BBG Verify'!S58)</f>
        <v/>
      </c>
      <c r="BL58" s="85" t="inlineStr">
        <is>
          <t>N</t>
        </is>
      </c>
      <c r="BM58" s="86">
        <f>IF('BBG Verify'!K58="","not filed; run on terminal",'BBG Verify'!K58)</f>
        <v/>
      </c>
      <c r="BN58" s="71" t="inlineStr">
        <is>
          <t>N/A</t>
        </is>
      </c>
      <c r="BO58" s="71" t="inlineStr">
        <is>
          <t>N/A</t>
        </is>
      </c>
      <c r="BP58" s="71" t="inlineStr">
        <is>
          <t>N/A</t>
        </is>
      </c>
      <c r="BQ58" s="71" t="inlineStr">
        <is>
          <t>N/A</t>
        </is>
      </c>
      <c r="BR58" s="71" t="inlineStr">
        <is>
          <t>N/A</t>
        </is>
      </c>
      <c r="BS58" s="71" t="inlineStr">
        <is>
          <t>N/A</t>
        </is>
      </c>
      <c r="BT58" s="85" t="inlineStr">
        <is>
          <t>Morgan Stanley Asia Limited; UBS Securities Hong Kong Limited</t>
        </is>
      </c>
      <c r="BU58" s="71" t="inlineStr">
        <is>
          <t>Morgan Stanley Asia Limited; UBS Securities Hong Kong Limited</t>
        </is>
      </c>
      <c r="BV58" s="71" t="inlineStr">
        <is>
          <t>Morgan Stanley Asia Limited; UBS AG Hong Kong Branch; China International Capital Corporation Hong Kong Securities Limited</t>
        </is>
      </c>
      <c r="BW58" s="71" t="inlineStr">
        <is>
          <t>China International Capital Corporation Hong Kong Securities Limited; Morgan Stanley Asia Limited; UBS AG Hong Kong Branch</t>
        </is>
      </c>
      <c r="BX58" s="87">
        <f>HYPERLINK("https://www1.hkexnews.hk/listedco/listconews/sehk/2021/0630/2021063000045.pdf","prospectus")</f>
        <v/>
      </c>
      <c r="BY58" s="87">
        <f>HYPERLINK("https://www1.hkexnews.hk/listedco/listconews/sehk/2021/0712/2021071200036.htm","allotment")</f>
        <v/>
      </c>
      <c r="BZ58" s="87">
        <f>HYPERLINK("https://www1.hkexnews.hk/listedco/listconews/sehk/2021/0805/2021080502190.pdf","stabilisation")</f>
        <v/>
      </c>
      <c r="CA58" s="85" t="n"/>
      <c r="CB58" s="71" t="inlineStr">
        <is>
          <t>P/E: loss-making at IPO, use P/S; P/S: 410x on HK$34.1m revenue, effectively pre-revenue; not comparable</t>
        </is>
      </c>
    </row>
    <row r="59" ht="15" customHeight="1">
      <c r="A59" s="70" t="inlineStr">
        <is>
          <t>2192</t>
        </is>
      </c>
      <c r="B59" s="71" t="inlineStr">
        <is>
          <t>MEDLIVE</t>
        </is>
      </c>
      <c r="C59" s="71" t="inlineStr">
        <is>
          <t>醫脈通</t>
        </is>
      </c>
      <c r="D59" s="71" t="inlineStr">
        <is>
          <t>Healthcare</t>
        </is>
      </c>
      <c r="E59" s="71" t="inlineStr">
        <is>
          <t>Digital health</t>
        </is>
      </c>
      <c r="F59" s="71" t="inlineStr">
        <is>
          <t>Health Care Services</t>
        </is>
      </c>
      <c r="G59" s="71" t="inlineStr">
        <is>
          <t>Standard</t>
        </is>
      </c>
      <c r="H59" s="72" t="n">
        <v>44392</v>
      </c>
      <c r="I59" s="73" t="n">
        <v>4218.6</v>
      </c>
      <c r="J59" s="71" t="inlineStr">
        <is>
          <t>gross (price x shares)</t>
        </is>
      </c>
      <c r="K59" s="74" t="n">
        <v>24.1</v>
      </c>
      <c r="L59" s="74" t="n">
        <v>27.2</v>
      </c>
      <c r="M59" s="74" t="n">
        <v>27.2</v>
      </c>
      <c r="N59" s="71" t="inlineStr">
        <is>
          <t>Y</t>
        </is>
      </c>
      <c r="O59" s="75" t="n">
        <v>100</v>
      </c>
      <c r="P59" s="75" t="n">
        <v>100</v>
      </c>
      <c r="Q59" s="76" t="n">
        <v>17703</v>
      </c>
      <c r="R59" s="71" t="inlineStr">
        <is>
          <t>prospectus:stated market capitalisation</t>
        </is>
      </c>
      <c r="S59" s="77" t="n">
        <v>592.41</v>
      </c>
      <c r="T59" s="78" t="n">
        <v>31.2</v>
      </c>
      <c r="U59" s="79" t="n">
        <v>40.48</v>
      </c>
      <c r="V59" s="80" t="n">
        <v>207</v>
      </c>
      <c r="W59" s="75" t="n"/>
      <c r="X59" s="71" t="n"/>
      <c r="Y59" s="76" t="n">
        <v>2510.91</v>
      </c>
      <c r="Z59" s="76" t="n">
        <v>92313139</v>
      </c>
      <c r="AA59" s="75" t="n">
        <v>14.18</v>
      </c>
      <c r="AB59" s="71" t="inlineStr">
        <is>
          <t>Fidelity Investments; FIL Investment Management (Hong Kong) Limited; GIC Private Limited; Matthews Funds; OrbiMed Funds; Springhill Master Fund Limited; Tencent Mobility Limited</t>
        </is>
      </c>
      <c r="AC59" s="71" t="inlineStr">
        <is>
          <t>fidelity;fil;gic;matthews;orbimed;springhill;tencent</t>
        </is>
      </c>
      <c r="AD59" s="75" t="n">
        <v>5.2</v>
      </c>
      <c r="AE59" s="71" t="inlineStr">
        <is>
          <t>partial</t>
        </is>
      </c>
      <c r="AF59" s="71" t="inlineStr">
        <is>
          <t>2021-08-06</t>
        </is>
      </c>
      <c r="AG59" s="71" t="inlineStr">
        <is>
          <t>Goldman Sachs</t>
        </is>
      </c>
      <c r="AH59" s="71" t="inlineStr">
        <is>
          <t>Goldman Sachs</t>
        </is>
      </c>
      <c r="AI59" s="81" t="n">
        <v>6.62</v>
      </c>
      <c r="AJ59" s="82" t="n">
        <v>13.97</v>
      </c>
      <c r="AK59" s="82" t="n">
        <v>6.25</v>
      </c>
      <c r="AL59" s="82" t="n">
        <v>7.27</v>
      </c>
      <c r="AM59" s="83" t="n"/>
      <c r="AN59" s="75" t="n">
        <v>14.53</v>
      </c>
      <c r="AO59" s="82" t="n">
        <v>11.21</v>
      </c>
      <c r="AP59" s="82" t="n">
        <v>29.23</v>
      </c>
      <c r="AQ59" s="82" t="n">
        <v>42.28</v>
      </c>
      <c r="AR59" s="82" t="n">
        <v>-2.42</v>
      </c>
      <c r="AS59" s="82" t="n">
        <v>13.39</v>
      </c>
      <c r="AT59" s="82" t="n">
        <v>24.84</v>
      </c>
      <c r="AU59" s="82" t="n">
        <v>13.47</v>
      </c>
      <c r="AV59" s="82" t="n">
        <v>39.37</v>
      </c>
      <c r="AW59" s="82" t="n">
        <v>60.8</v>
      </c>
      <c r="AX59" s="82" t="n">
        <v>22.89</v>
      </c>
      <c r="AY59" s="82" t="n">
        <v>-10.14</v>
      </c>
      <c r="AZ59" s="82" t="n">
        <v>-9.5</v>
      </c>
      <c r="BA59" s="71" t="inlineStr">
        <is>
          <t>China Biotech ETF (HS biotech proxy)</t>
        </is>
      </c>
      <c r="BB59" s="82" t="n">
        <v>-74.45</v>
      </c>
      <c r="BC59" s="72" t="inlineStr">
        <is>
          <t>2026-09-23</t>
        </is>
      </c>
      <c r="BD59" s="73" t="n">
        <v>234.9</v>
      </c>
      <c r="BE59" s="76" t="n">
        <v>93.7</v>
      </c>
      <c r="BF59" s="71" t="inlineStr">
        <is>
          <t>Y</t>
        </is>
      </c>
      <c r="BG59" s="83" t="n">
        <v>188.9</v>
      </c>
      <c r="BH59" s="83" t="n"/>
      <c r="BI59" s="83" t="n">
        <v>15.2</v>
      </c>
      <c r="BJ59" s="83" t="n">
        <v>75.40000000000001</v>
      </c>
      <c r="BK59" s="84">
        <f>IF('BBG Verify'!S59="","not filed; run on terminal",'BBG Verify'!S59)</f>
        <v/>
      </c>
      <c r="BL59" s="85" t="inlineStr">
        <is>
          <t>N</t>
        </is>
      </c>
      <c r="BM59" s="86">
        <f>IF('BBG Verify'!K59="","not filed; run on terminal",'BBG Verify'!K59)</f>
        <v/>
      </c>
      <c r="BN59" s="71" t="inlineStr">
        <is>
          <t>N/A</t>
        </is>
      </c>
      <c r="BO59" s="71" t="inlineStr">
        <is>
          <t>N/A</t>
        </is>
      </c>
      <c r="BP59" s="71" t="inlineStr">
        <is>
          <t>N/A</t>
        </is>
      </c>
      <c r="BQ59" s="71" t="inlineStr">
        <is>
          <t>N/A</t>
        </is>
      </c>
      <c r="BR59" s="71" t="inlineStr">
        <is>
          <t>N/A</t>
        </is>
      </c>
      <c r="BS59" s="71" t="inlineStr">
        <is>
          <t>N/A</t>
        </is>
      </c>
      <c r="BT59" s="8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U59" s="71" t="inlineStr">
        <is>
          <t>Haitong International Capital Limited; Goldman Sachs (Asia) L.L.C.</t>
        </is>
      </c>
      <c r="BV59" s="71" t="inlineStr">
        <is>
          <t>China International Capital Corporation Hong Kong Securities Limited; Goldman Sachs (Asia) L.L.C.; Haitong International Securities Company Limited</t>
        </is>
      </c>
      <c r="BW59" s="71" t="inlineStr">
        <is>
          <t>China International Capital Corporation Hong Kong Securities Limited; Goldman Sachs (Asia) L.L.C.; Haitong International Securities Company Limited</t>
        </is>
      </c>
      <c r="BX59" s="87">
        <f>HYPERLINK("https://www1.hkexnews.hk/listedco/listconews/sehk/2021/0630/2021063000187.pdf","prospectus")</f>
        <v/>
      </c>
      <c r="BY59" s="87">
        <f>HYPERLINK("https://www1.hkexnews.hk/listedco/listconews/sehk/2021/0714/2021071400028.htm","allotment")</f>
        <v/>
      </c>
      <c r="BZ59" s="87">
        <f>HYPERLINK("https://www1.hkexnews.hk/listedco/listconews/sehk/2021/0808/2021080800055.pdf","stabilisation")</f>
        <v/>
      </c>
      <c r="CA59" s="85" t="n"/>
      <c r="CB59" s="71" t="inlineStr">
        <is>
          <t>allocation: allocation table not in this notice's format (older prose announcement); day-1 tape: volume on file; the retail multiple needs the final public split, which this notice does not state</t>
        </is>
      </c>
    </row>
    <row r="60" ht="15" customHeight="1">
      <c r="A60" s="70" t="inlineStr">
        <is>
          <t>6909</t>
        </is>
      </c>
      <c r="B60" s="71" t="inlineStr">
        <is>
          <t>BETTERLIFE HLDG</t>
        </is>
      </c>
      <c r="C60" s="71" t="inlineStr">
        <is>
          <t>百得利控股</t>
        </is>
      </c>
      <c r="D60" s="71" t="inlineStr">
        <is>
          <t>Consumer</t>
        </is>
      </c>
      <c r="E60" s="71" t="inlineStr">
        <is>
          <t>Retail / distribution</t>
        </is>
      </c>
      <c r="F60" s="71" t="inlineStr">
        <is>
          <t>Automotive Retail</t>
        </is>
      </c>
      <c r="G60" s="71" t="inlineStr">
        <is>
          <t>Standard</t>
        </is>
      </c>
      <c r="H60" s="72" t="n">
        <v>44392</v>
      </c>
      <c r="I60" s="73" t="n">
        <v>660</v>
      </c>
      <c r="J60" s="71" t="inlineStr">
        <is>
          <t>gross (price x shares)</t>
        </is>
      </c>
      <c r="K60" s="74" t="n">
        <v>4</v>
      </c>
      <c r="L60" s="74" t="n">
        <v>4.8</v>
      </c>
      <c r="M60" s="74" t="n">
        <v>4.4</v>
      </c>
      <c r="N60" s="71" t="inlineStr">
        <is>
          <t>N</t>
        </is>
      </c>
      <c r="O60" s="75" t="n">
        <v>91.7</v>
      </c>
      <c r="P60" s="75" t="n">
        <v>50</v>
      </c>
      <c r="Q60" s="76" t="n">
        <v>2640</v>
      </c>
      <c r="R60" s="71" t="inlineStr">
        <is>
          <t>derived:deal size / offer % of enlarged capital</t>
        </is>
      </c>
      <c r="S60" s="77" t="n">
        <v>43.92</v>
      </c>
      <c r="T60" s="78" t="n">
        <v>2.28</v>
      </c>
      <c r="U60" s="79" t="n">
        <v>0</v>
      </c>
      <c r="V60" s="80" t="n">
        <v>127</v>
      </c>
      <c r="W60" s="75" t="n">
        <v>30</v>
      </c>
      <c r="X60" s="71" t="inlineStr">
        <is>
          <t>YES</t>
        </is>
      </c>
      <c r="Y60" s="76" t="n">
        <v>660</v>
      </c>
      <c r="Z60" s="76" t="n">
        <v>150000000</v>
      </c>
      <c r="AA60" s="75" t="n">
        <v>25</v>
      </c>
      <c r="AB60" s="71" t="n"/>
      <c r="AC60" s="71" t="n"/>
      <c r="AD60" s="75" t="n">
        <v>9.800000000000001</v>
      </c>
      <c r="AE60" s="71" t="inlineStr">
        <is>
          <t>full</t>
        </is>
      </c>
      <c r="AF60" s="71" t="n"/>
      <c r="AG60" s="71" t="inlineStr">
        <is>
          <t>Macquarie</t>
        </is>
      </c>
      <c r="AH60" s="71" t="inlineStr">
        <is>
          <t>Macquarie</t>
        </is>
      </c>
      <c r="AI60" s="81" t="n">
        <v>31.36</v>
      </c>
      <c r="AJ60" s="82" t="n">
        <v>25</v>
      </c>
      <c r="AK60" s="82" t="n">
        <v>34.09</v>
      </c>
      <c r="AL60" s="82" t="n">
        <v>-6.78</v>
      </c>
      <c r="AM60" s="83" t="n">
        <v>2.57</v>
      </c>
      <c r="AN60" s="75" t="n">
        <v>23.56</v>
      </c>
      <c r="AO60" s="82" t="n">
        <v>89.55</v>
      </c>
      <c r="AP60" s="82" t="n">
        <v>63.41</v>
      </c>
      <c r="AQ60" s="82" t="n">
        <v>57.27</v>
      </c>
      <c r="AR60" s="82" t="n">
        <v>51.64</v>
      </c>
      <c r="AS60" s="82" t="n">
        <v>30.73</v>
      </c>
      <c r="AT60" s="82" t="n">
        <v>25.82</v>
      </c>
      <c r="AU60" s="82" t="n">
        <v>90.8</v>
      </c>
      <c r="AV60" s="82" t="n">
        <v>71.28</v>
      </c>
      <c r="AW60" s="82" t="n">
        <v>68.45</v>
      </c>
      <c r="AX60" s="82" t="n">
        <v>38.95</v>
      </c>
      <c r="AY60" s="82" t="n">
        <v>-7.87</v>
      </c>
      <c r="AZ60" s="82" t="n">
        <v>-8.220000000000001</v>
      </c>
      <c r="BA60" s="71" t="inlineStr">
        <is>
          <t>Hang Seng Commerce &amp; Industry sub-index</t>
        </is>
      </c>
      <c r="BB60" s="82" t="n">
        <v>-95.23</v>
      </c>
      <c r="BC60" s="72" t="inlineStr">
        <is>
          <t>2026-09-22</t>
        </is>
      </c>
      <c r="BD60" s="73" t="n">
        <v>9386.4</v>
      </c>
      <c r="BE60" s="76" t="n">
        <v>337.1</v>
      </c>
      <c r="BF60" s="71" t="inlineStr">
        <is>
          <t>Y</t>
        </is>
      </c>
      <c r="BG60" s="83" t="n">
        <v>7.8</v>
      </c>
      <c r="BH60" s="83" t="n"/>
      <c r="BI60" s="83" t="n">
        <v>62.1</v>
      </c>
      <c r="BJ60" s="83" t="n">
        <v>0.3</v>
      </c>
      <c r="BK60" s="84">
        <f>IF('BBG Verify'!S60="","not filed; run on terminal",'BBG Verify'!S60)</f>
        <v/>
      </c>
      <c r="BL60" s="85" t="inlineStr">
        <is>
          <t>N</t>
        </is>
      </c>
      <c r="BM60" s="86">
        <f>IF('BBG Verify'!K60="","not filed; run on terminal",'BBG Verify'!K60)</f>
        <v/>
      </c>
      <c r="BN60" s="71" t="inlineStr">
        <is>
          <t>N/A</t>
        </is>
      </c>
      <c r="BO60" s="71" t="inlineStr">
        <is>
          <t>N/A</t>
        </is>
      </c>
      <c r="BP60" s="71" t="inlineStr">
        <is>
          <t>N/A</t>
        </is>
      </c>
      <c r="BQ60" s="71" t="inlineStr">
        <is>
          <t>N/A</t>
        </is>
      </c>
      <c r="BR60" s="71" t="inlineStr">
        <is>
          <t>N/A</t>
        </is>
      </c>
      <c r="BS60" s="71" t="inlineStr">
        <is>
          <t>N/A</t>
        </is>
      </c>
      <c r="BT60" s="85" t="inlineStr">
        <is>
          <t>Macquarie Capital Limited</t>
        </is>
      </c>
      <c r="BU60" s="71" t="inlineStr">
        <is>
          <t>Macquarie Capital Limited</t>
        </is>
      </c>
      <c r="BV60" s="71" t="inlineStr">
        <is>
          <t>Macquarie Capital Limited; Huatai Financial Holdings (Hong Kong) Limited; BOCOM International Securities Limited; UOB Kay Hian (Hong Kong) Limited; DBS Asia Capital Limited; First Shanghai Securities Limited; Maxa Capital Limited</t>
        </is>
      </c>
      <c r="BW60" s="71"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X60" s="87">
        <f>HYPERLINK("https://www1.hkexnews.hk/listedco/listconews/sehk/2021/0630/2021063000067.pdf","prospectus")</f>
        <v/>
      </c>
      <c r="BY60" s="87">
        <f>HYPERLINK("https://www1.hkexnews.hk/listedco/listconews/sehk/2021/0714/2021071400040.htm","allotment")</f>
        <v/>
      </c>
      <c r="BZ60" s="87">
        <f>HYPERLINK("https://www1.hkexnews.hk/listedco/listconews/sehk/2021/0808/2021080800009.pdf","stabilisation")</f>
        <v/>
      </c>
      <c r="CA60" s="85" t="n"/>
      <c r="CB60" s="71" t="inlineStr">
        <is>
          <t>greenshoe: outcome published; expiry date not in the notice; cornerstone list: no cornerstone tranche</t>
        </is>
      </c>
    </row>
    <row r="61" ht="15" customHeight="1">
      <c r="A61" s="70" t="inlineStr">
        <is>
          <t>2215</t>
        </is>
      </c>
      <c r="B61" s="71" t="inlineStr">
        <is>
          <t>DEXIN SER GROUP</t>
        </is>
      </c>
      <c r="C61" s="71" t="inlineStr">
        <is>
          <t>德信服務集團</t>
        </is>
      </c>
      <c r="D61" s="71" t="inlineStr">
        <is>
          <t>Real Estate</t>
        </is>
      </c>
      <c r="E61" s="71" t="inlineStr">
        <is>
          <t>Property management</t>
        </is>
      </c>
      <c r="F61" s="71" t="inlineStr">
        <is>
          <t>Property Service and Management</t>
        </is>
      </c>
      <c r="G61" s="71" t="inlineStr">
        <is>
          <t>Standard</t>
        </is>
      </c>
      <c r="H61" s="72" t="n">
        <v>44392</v>
      </c>
      <c r="I61" s="73" t="n">
        <v>765</v>
      </c>
      <c r="J61" s="71" t="inlineStr">
        <is>
          <t>gross (price x shares)</t>
        </is>
      </c>
      <c r="K61" s="74" t="n">
        <v>2.66</v>
      </c>
      <c r="L61" s="74" t="n">
        <v>3.44</v>
      </c>
      <c r="M61" s="74" t="n">
        <v>3.06</v>
      </c>
      <c r="N61" s="71" t="inlineStr">
        <is>
          <t>N</t>
        </is>
      </c>
      <c r="O61" s="75" t="n">
        <v>89</v>
      </c>
      <c r="P61" s="75" t="n">
        <v>51.3</v>
      </c>
      <c r="Q61" s="76" t="n">
        <v>2760.7</v>
      </c>
      <c r="R61" s="71" t="inlineStr">
        <is>
          <t>derived:deal size / offer % of enlarged capital</t>
        </is>
      </c>
      <c r="S61" s="77" t="n">
        <v>3.08</v>
      </c>
      <c r="T61" s="78" t="n">
        <v>1.31</v>
      </c>
      <c r="U61" s="79" t="n">
        <v>21.4</v>
      </c>
      <c r="V61" s="80" t="n">
        <v>111</v>
      </c>
      <c r="W61" s="75" t="n"/>
      <c r="X61" s="71" t="n"/>
      <c r="Y61" s="76" t="n">
        <v>601.29</v>
      </c>
      <c r="Z61" s="76" t="n">
        <v>196500000</v>
      </c>
      <c r="AA61" s="75" t="n">
        <v>21.78</v>
      </c>
      <c r="AB61" s="71" t="inlineStr">
        <is>
          <t>Hangzhou Jintou Shenghan Investment Partnership (Limited Partnership); Hangzhou Light Industrial Association Investment Group Co.,Ltd; JIC TRUST CO., LTD</t>
        </is>
      </c>
      <c r="AC61" s="71" t="inlineStr">
        <is>
          <t>hangzhou-jintou;hangzhou-light;jic</t>
        </is>
      </c>
      <c r="AD61" s="75" t="n">
        <v>15</v>
      </c>
      <c r="AE61" s="71" t="inlineStr">
        <is>
          <t>partial</t>
        </is>
      </c>
      <c r="AF61" s="71" t="inlineStr">
        <is>
          <t>2021-08-07</t>
        </is>
      </c>
      <c r="AG61" s="71" t="inlineStr">
        <is>
          <t>CCB International Capital Limited</t>
        </is>
      </c>
      <c r="AH61" s="71" t="inlineStr">
        <is>
          <t>CCB</t>
        </is>
      </c>
      <c r="AI61" s="81" t="n">
        <v>-3.27</v>
      </c>
      <c r="AJ61" s="82" t="n">
        <v>0</v>
      </c>
      <c r="AK61" s="82" t="n">
        <v>0</v>
      </c>
      <c r="AL61" s="82" t="n">
        <v>0</v>
      </c>
      <c r="AM61" s="83" t="n"/>
      <c r="AN61" s="75" t="n">
        <v>2.61</v>
      </c>
      <c r="AO61" s="82" t="n">
        <v>-0</v>
      </c>
      <c r="AP61" s="82" t="n">
        <v>9.800000000000001</v>
      </c>
      <c r="AQ61" s="82" t="n">
        <v>10.13</v>
      </c>
      <c r="AR61" s="82" t="n">
        <v>0</v>
      </c>
      <c r="AS61" s="82" t="n">
        <v>9.800000000000001</v>
      </c>
      <c r="AT61" s="82" t="n">
        <v>10.13</v>
      </c>
      <c r="AU61" s="82" t="n">
        <v>-1.15</v>
      </c>
      <c r="AV61" s="82" t="n">
        <v>14.33</v>
      </c>
      <c r="AW61" s="82" t="n">
        <v>19.43</v>
      </c>
      <c r="AX61" s="82" t="n">
        <v>16.18</v>
      </c>
      <c r="AY61" s="82" t="n">
        <v>-4.53</v>
      </c>
      <c r="AZ61" s="82" t="n">
        <v>-6.38</v>
      </c>
      <c r="BA61" s="71" t="inlineStr">
        <is>
          <t>Hang Seng Properties sub-index</t>
        </is>
      </c>
      <c r="BB61" s="82" t="n">
        <v>-91.34</v>
      </c>
      <c r="BC61" s="72" t="inlineStr">
        <is>
          <t>2026-09-23</t>
        </is>
      </c>
      <c r="BD61" s="73" t="n">
        <v>761.6</v>
      </c>
      <c r="BE61" s="76" t="n">
        <v>116.4</v>
      </c>
      <c r="BF61" s="71" t="inlineStr">
        <is>
          <t>Y</t>
        </is>
      </c>
      <c r="BG61" s="83" t="n">
        <v>23.7</v>
      </c>
      <c r="BH61" s="83" t="n"/>
      <c r="BI61" s="83" t="n"/>
      <c r="BJ61" s="83" t="n">
        <v>3.6</v>
      </c>
      <c r="BK61" s="84">
        <f>IF('BBG Verify'!S61="","not filed; run on terminal",'BBG Verify'!S61)</f>
        <v/>
      </c>
      <c r="BL61" s="85" t="inlineStr">
        <is>
          <t>N</t>
        </is>
      </c>
      <c r="BM61" s="86">
        <f>IF('BBG Verify'!K61="","not filed; run on terminal",'BBG Verify'!K61)</f>
        <v/>
      </c>
      <c r="BN61" s="71" t="inlineStr">
        <is>
          <t>N/A</t>
        </is>
      </c>
      <c r="BO61" s="71" t="inlineStr">
        <is>
          <t>N/A</t>
        </is>
      </c>
      <c r="BP61" s="71" t="inlineStr">
        <is>
          <t>N/A</t>
        </is>
      </c>
      <c r="BQ61" s="71" t="inlineStr">
        <is>
          <t>N/A</t>
        </is>
      </c>
      <c r="BR61" s="71" t="inlineStr">
        <is>
          <t>N/A</t>
        </is>
      </c>
      <c r="BS61" s="71" t="inlineStr">
        <is>
          <t>N/A</t>
        </is>
      </c>
      <c r="BT61" s="85" t="inlineStr">
        <is>
          <t>CCB International Capital Limited</t>
        </is>
      </c>
      <c r="BU61" s="71" t="inlineStr">
        <is>
          <t>CCB International Capital Limited</t>
        </is>
      </c>
      <c r="BV61" s="71" t="inlineStr">
        <is>
          <t>CCB International Capital Limited; China Industrial Securities International Capital Limited; Zhongtai International Securities Limited; Vision Capital International Holdings Limited</t>
        </is>
      </c>
      <c r="BW61" s="71"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X61" s="87">
        <f>HYPERLINK("https://www1.hkexnews.hk/listedco/listconews/sehk/2021/0629/2021062900043.pdf","prospectus")</f>
        <v/>
      </c>
      <c r="BY61" s="87">
        <f>HYPERLINK("https://www1.hkexnews.hk/listedco/listconews/sehk/2021/0714/2021071400259.htm","allotment")</f>
        <v/>
      </c>
      <c r="BZ61" s="87">
        <f>HYPERLINK("https://www1.hkexnews.hk/listedco/listconews/sehk/2021/0808/2021080800043.pdf","stabilisation")</f>
        <v/>
      </c>
      <c r="CA61" s="85" t="n"/>
      <c r="CB61" s="71" t="inlineStr">
        <is>
          <t>allocation: allocation table not in this notice's format (older prose announcement); day-1 tape: volume on file; the retail multiple needs the final public split, which this notice does not state</t>
        </is>
      </c>
    </row>
    <row r="62" ht="15" customHeight="1">
      <c r="A62" s="70" t="inlineStr">
        <is>
          <t>9960</t>
        </is>
      </c>
      <c r="B62" s="71" t="inlineStr">
        <is>
          <t>KINDSTAR GLOBAL</t>
        </is>
      </c>
      <c r="C62" s="71" t="inlineStr">
        <is>
          <t>康聖環球</t>
        </is>
      </c>
      <c r="D62" s="71" t="inlineStr">
        <is>
          <t>Healthcare</t>
        </is>
      </c>
      <c r="E62" s="71" t="inlineStr">
        <is>
          <t>CXO / pharma services</t>
        </is>
      </c>
      <c r="F62" s="71" t="inlineStr">
        <is>
          <t>Health Care Services</t>
        </is>
      </c>
      <c r="G62" s="71" t="inlineStr">
        <is>
          <t>Standard</t>
        </is>
      </c>
      <c r="H62" s="72" t="n">
        <v>44393</v>
      </c>
      <c r="I62" s="73" t="n">
        <v>2214.2</v>
      </c>
      <c r="J62" s="71" t="inlineStr">
        <is>
          <t>gross (price x shares)</t>
        </is>
      </c>
      <c r="K62" s="74" t="n">
        <v>8.6</v>
      </c>
      <c r="L62" s="74" t="n">
        <v>9.779999999999999</v>
      </c>
      <c r="M62" s="74" t="n">
        <v>9.779999999999999</v>
      </c>
      <c r="N62" s="71" t="inlineStr">
        <is>
          <t>Y</t>
        </is>
      </c>
      <c r="O62" s="75" t="n">
        <v>100</v>
      </c>
      <c r="P62" s="75" t="n">
        <v>100</v>
      </c>
      <c r="Q62" s="76" t="n">
        <v>7993.5</v>
      </c>
      <c r="R62" s="71" t="inlineStr">
        <is>
          <t>derived:deal size / offer % of enlarged capital</t>
        </is>
      </c>
      <c r="S62" s="77" t="n">
        <v>543.03</v>
      </c>
      <c r="T62" s="78" t="n">
        <v>13.81</v>
      </c>
      <c r="U62" s="79" t="n">
        <v>49.08</v>
      </c>
      <c r="V62" s="80" t="n">
        <v>162</v>
      </c>
      <c r="W62" s="75" t="n">
        <v>50</v>
      </c>
      <c r="X62" s="71" t="inlineStr">
        <is>
          <t>YES</t>
        </is>
      </c>
      <c r="Y62" s="76" t="n">
        <v>1127.47</v>
      </c>
      <c r="Z62" s="76" t="n">
        <v>115285426</v>
      </c>
      <c r="AA62" s="75" t="n">
        <v>14.1</v>
      </c>
      <c r="AB62" s="71" t="inlineStr">
        <is>
          <t>Athos Capital Limited; BlackRock, Inc; Carmignac Funds; China Pinnacle Equity Management Limited; DNCA Finance; IvyRock Asset Management (HK) Limited; Snow Lake Capital (HK) Limited</t>
        </is>
      </c>
      <c r="AC62" s="71" t="inlineStr">
        <is>
          <t>athos;blackrock;carmignac;pinnacle;dnca;ivyrock;snow</t>
        </is>
      </c>
      <c r="AD62" s="75" t="n">
        <v>7.2</v>
      </c>
      <c r="AE62" s="71" t="inlineStr">
        <is>
          <t>lapsed</t>
        </is>
      </c>
      <c r="AF62" s="71" t="inlineStr">
        <is>
          <t>2021-08-06</t>
        </is>
      </c>
      <c r="AG62" s="71" t="inlineStr">
        <is>
          <t>Goldman Sachs</t>
        </is>
      </c>
      <c r="AH62" s="71" t="inlineStr">
        <is>
          <t>Goldman Sachs</t>
        </is>
      </c>
      <c r="AI62" s="81" t="n">
        <v>-7.06</v>
      </c>
      <c r="AJ62" s="82" t="n">
        <v>-7.57</v>
      </c>
      <c r="AK62" s="82" t="n">
        <v>0</v>
      </c>
      <c r="AL62" s="82" t="n">
        <v>-7.57</v>
      </c>
      <c r="AM62" s="83" t="n">
        <v>0.86</v>
      </c>
      <c r="AN62" s="75" t="n">
        <v>7.67</v>
      </c>
      <c r="AO62" s="82" t="n">
        <v>-18</v>
      </c>
      <c r="AP62" s="82" t="n">
        <v>-20.76</v>
      </c>
      <c r="AQ62" s="82" t="n">
        <v>-45.3</v>
      </c>
      <c r="AR62" s="82" t="n">
        <v>-11.28</v>
      </c>
      <c r="AS62" s="82" t="n">
        <v>-14.27</v>
      </c>
      <c r="AT62" s="82" t="n">
        <v>-40.82</v>
      </c>
      <c r="AU62" s="82" t="n">
        <v>-13.98</v>
      </c>
      <c r="AV62" s="82" t="n">
        <v>-10.43</v>
      </c>
      <c r="AW62" s="82" t="n">
        <v>-28.86</v>
      </c>
      <c r="AX62" s="82" t="n">
        <v>-4.25</v>
      </c>
      <c r="AY62" s="82" t="n">
        <v>-10.33</v>
      </c>
      <c r="AZ62" s="82" t="n">
        <v>-10.02</v>
      </c>
      <c r="BA62" s="71" t="inlineStr">
        <is>
          <t>China Biotech ETF (HS biotech proxy)</t>
        </is>
      </c>
      <c r="BB62" s="82" t="n">
        <v>-90.64</v>
      </c>
      <c r="BC62" s="72" t="inlineStr">
        <is>
          <t>2026-09-23</t>
        </is>
      </c>
      <c r="BD62" s="73" t="n">
        <v>980.5</v>
      </c>
      <c r="BE62" s="76" t="n">
        <v>-1067.1</v>
      </c>
      <c r="BF62" s="71" t="inlineStr">
        <is>
          <t>N</t>
        </is>
      </c>
      <c r="BG62" s="71" t="inlineStr">
        <is>
          <t>n/m</t>
        </is>
      </c>
      <c r="BH62" s="83" t="n"/>
      <c r="BI62" s="83" t="n"/>
      <c r="BJ62" s="83" t="n">
        <v>8.199999999999999</v>
      </c>
      <c r="BK62" s="84">
        <f>IF('BBG Verify'!S62="","not filed; run on terminal",'BBG Verify'!S62)</f>
        <v/>
      </c>
      <c r="BL62" s="85" t="inlineStr">
        <is>
          <t>N</t>
        </is>
      </c>
      <c r="BM62" s="86">
        <f>IF('BBG Verify'!K62="","not filed; run on terminal",'BBG Verify'!K62)</f>
        <v/>
      </c>
      <c r="BN62" s="71" t="inlineStr">
        <is>
          <t>N/A</t>
        </is>
      </c>
      <c r="BO62" s="71" t="inlineStr">
        <is>
          <t>N/A</t>
        </is>
      </c>
      <c r="BP62" s="71" t="inlineStr">
        <is>
          <t>N/A</t>
        </is>
      </c>
      <c r="BQ62" s="71" t="inlineStr">
        <is>
          <t>N/A</t>
        </is>
      </c>
      <c r="BR62" s="71" t="inlineStr">
        <is>
          <t>N/A</t>
        </is>
      </c>
      <c r="BS62" s="71" t="inlineStr">
        <is>
          <t>N/A</t>
        </is>
      </c>
      <c r="BT62" s="85" t="inlineStr">
        <is>
          <t>Goldman Sachs (Asia) L.L.C; China International Capital Corporation Hong Kong Securities Limited; Credit Suisse (Hong Kong) Limited</t>
        </is>
      </c>
      <c r="BU62" s="71" t="inlineStr">
        <is>
          <t>China International Capital Corporation Hong Kong Securities Limited; Goldman Sachs (Asia) L.L.C.; Credit Suisse (Hong Kong) Limited</t>
        </is>
      </c>
      <c r="BV62" s="71" t="inlineStr">
        <is>
          <t>Goldman Sachs (Asia) L.L.C; China International Capital Corporation Hong Kong Securities Limited; Credit Suisse (Hong Kong) Limited</t>
        </is>
      </c>
      <c r="BW62" s="71" t="inlineStr">
        <is>
          <t>China International Capital Corporation Hong Kong Securities Limited; Credit Suisse (Hong Kong) Limited; Futu Securities International (Hong Kong) Limited; Guotai Junan Securities (Hong Kong) Limited; Goldman Sachs (Asia) L.L.C.; VMS Securities Limited</t>
        </is>
      </c>
      <c r="BX62" s="87">
        <f>HYPERLINK("https://www1.hkexnews.hk/listedco/listconews/sehk/2021/0629/2021062900037.pdf","prospectus")</f>
        <v/>
      </c>
      <c r="BY62" s="87">
        <f>HYPERLINK("https://www1.hkexnews.hk/listedco/listconews/sehk/2021/0715/2021071500008.htm","allotment")</f>
        <v/>
      </c>
      <c r="BZ62" s="87">
        <f>HYPERLINK("https://www1.hkexnews.hk/listedco/listconews/sehk/2021/0806/2021080601107.pdf","stabilisation")</f>
        <v/>
      </c>
      <c r="CA62" s="85" t="n"/>
      <c r="CB62" s="71" t="inlineStr">
        <is>
          <t>P/E: loss-making at IPO, use P/S</t>
        </is>
      </c>
    </row>
    <row r="63" ht="15" customHeight="1">
      <c r="A63" s="70" t="inlineStr">
        <is>
          <t>2175</t>
        </is>
      </c>
      <c r="B63" s="71" t="inlineStr">
        <is>
          <t>CH GENERAL EDU</t>
        </is>
      </c>
      <c r="C63" s="71" t="inlineStr">
        <is>
          <t>中國通才教育</t>
        </is>
      </c>
      <c r="D63" s="71" t="inlineStr">
        <is>
          <t>Consumer</t>
        </is>
      </c>
      <c r="E63" s="71" t="inlineStr">
        <is>
          <t>Consumer services / education</t>
        </is>
      </c>
      <c r="F63" s="71" t="inlineStr">
        <is>
          <t>Education Services</t>
        </is>
      </c>
      <c r="G63" s="71" t="inlineStr">
        <is>
          <t>Standard</t>
        </is>
      </c>
      <c r="H63" s="72" t="n">
        <v>44393</v>
      </c>
      <c r="I63" s="73" t="n">
        <v>461.2</v>
      </c>
      <c r="J63" s="71" t="inlineStr">
        <is>
          <t>gross (price x shares)</t>
        </is>
      </c>
      <c r="K63" s="74" t="n">
        <v>3.16</v>
      </c>
      <c r="L63" s="74" t="n">
        <v>4.38</v>
      </c>
      <c r="M63" s="74" t="n">
        <v>3.69</v>
      </c>
      <c r="N63" s="71" t="inlineStr">
        <is>
          <t>N</t>
        </is>
      </c>
      <c r="O63" s="75" t="n">
        <v>84.2</v>
      </c>
      <c r="P63" s="75" t="n">
        <v>43.4</v>
      </c>
      <c r="Q63" s="76" t="n">
        <v>2117</v>
      </c>
      <c r="R63" s="71" t="inlineStr">
        <is>
          <t>aastocks:上市市值 at the struck price</t>
        </is>
      </c>
      <c r="S63" s="77" t="n">
        <v>4.12</v>
      </c>
      <c r="T63" s="78" t="n">
        <v>1.47</v>
      </c>
      <c r="U63" s="79" t="n">
        <v>0</v>
      </c>
      <c r="V63" s="80" t="n">
        <v>110</v>
      </c>
      <c r="W63" s="75" t="n"/>
      <c r="X63" s="71" t="n"/>
      <c r="Y63" s="76" t="n">
        <v>461.2</v>
      </c>
      <c r="Z63" s="76" t="n">
        <v>125000000</v>
      </c>
      <c r="AA63" s="75" t="n">
        <v>21.79</v>
      </c>
      <c r="AB63" s="71" t="n"/>
      <c r="AC63" s="71" t="n"/>
      <c r="AD63" s="75" t="n">
        <v>20</v>
      </c>
      <c r="AE63" s="71" t="inlineStr">
        <is>
          <t>partial</t>
        </is>
      </c>
      <c r="AF63" s="71" t="n"/>
      <c r="AG63" s="71" t="inlineStr">
        <is>
          <t>Guotai Junan Securities</t>
        </is>
      </c>
      <c r="AH63" s="71" t="inlineStr">
        <is>
          <t>Guotai Junan</t>
        </is>
      </c>
      <c r="AI63" s="81" t="n">
        <v>-10.84</v>
      </c>
      <c r="AJ63" s="82" t="n">
        <v>0</v>
      </c>
      <c r="AK63" s="82" t="n">
        <v>-10.84</v>
      </c>
      <c r="AL63" s="82" t="n">
        <v>12.16</v>
      </c>
      <c r="AM63" s="83" t="n"/>
      <c r="AN63" s="75" t="n">
        <v>12.46</v>
      </c>
      <c r="AO63" s="82" t="n">
        <v>0.8100000000000001</v>
      </c>
      <c r="AP63" s="82" t="n">
        <v>20.6</v>
      </c>
      <c r="AQ63" s="82" t="n">
        <v>16.8</v>
      </c>
      <c r="AR63" s="82" t="n">
        <v>0.8100000000000001</v>
      </c>
      <c r="AS63" s="82" t="n">
        <v>20.6</v>
      </c>
      <c r="AT63" s="82" t="n">
        <v>16.8</v>
      </c>
      <c r="AU63" s="82" t="n">
        <v>4.18</v>
      </c>
      <c r="AV63" s="82" t="n">
        <v>30.6</v>
      </c>
      <c r="AW63" s="82" t="n">
        <v>26.69</v>
      </c>
      <c r="AX63" s="82" t="n">
        <v>30.55</v>
      </c>
      <c r="AY63" s="82" t="n">
        <v>-10</v>
      </c>
      <c r="AZ63" s="82" t="n">
        <v>-9.949999999999999</v>
      </c>
      <c r="BA63" s="71" t="inlineStr">
        <is>
          <t>Hang Seng Commerce &amp; Industry sub-index</t>
        </is>
      </c>
      <c r="BB63" s="82" t="n">
        <v>-39.3</v>
      </c>
      <c r="BC63" s="72" t="inlineStr">
        <is>
          <t>2026-09-23</t>
        </is>
      </c>
      <c r="BD63" s="73" t="n">
        <v>298.2</v>
      </c>
      <c r="BE63" s="76" t="n">
        <v>157</v>
      </c>
      <c r="BF63" s="71" t="inlineStr">
        <is>
          <t>Y</t>
        </is>
      </c>
      <c r="BG63" s="83" t="n">
        <v>13.5</v>
      </c>
      <c r="BH63" s="83" t="n"/>
      <c r="BI63" s="83" t="n">
        <v>13.5</v>
      </c>
      <c r="BJ63" s="83" t="n">
        <v>7.1</v>
      </c>
      <c r="BK63" s="84">
        <f>IF('BBG Verify'!S63="","not filed; run on terminal",'BBG Verify'!S63)</f>
        <v/>
      </c>
      <c r="BL63" s="85" t="inlineStr">
        <is>
          <t>N</t>
        </is>
      </c>
      <c r="BM63" s="86">
        <f>IF('BBG Verify'!K63="","not filed; run on terminal",'BBG Verify'!K63)</f>
        <v/>
      </c>
      <c r="BN63" s="71" t="inlineStr">
        <is>
          <t>N/A</t>
        </is>
      </c>
      <c r="BO63" s="71" t="inlineStr">
        <is>
          <t>N/A</t>
        </is>
      </c>
      <c r="BP63" s="71" t="inlineStr">
        <is>
          <t>N/A</t>
        </is>
      </c>
      <c r="BQ63" s="71" t="inlineStr">
        <is>
          <t>N/A</t>
        </is>
      </c>
      <c r="BR63" s="71" t="inlineStr">
        <is>
          <t>N/A</t>
        </is>
      </c>
      <c r="BS63" s="71" t="inlineStr">
        <is>
          <t>N/A</t>
        </is>
      </c>
      <c r="BT63" s="85" t="inlineStr">
        <is>
          <t>Guotai Junan Capital Limited</t>
        </is>
      </c>
      <c r="BU63" s="71" t="inlineStr">
        <is>
          <t>Guotai Junan Capital Limited</t>
        </is>
      </c>
      <c r="BV63" s="71"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W63" s="71"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X63" s="87">
        <f>HYPERLINK("https://www1.hkexnews.hk/listedco/listconews/sehk/2021/0630/2021063000077.pdf","prospectus")</f>
        <v/>
      </c>
      <c r="BY63" s="87">
        <f>HYPERLINK("https://www1.hkexnews.hk/listedco/listconews/sehk/2021/0715/2021071500034.htm","allotment")</f>
        <v/>
      </c>
      <c r="BZ63" s="87">
        <f>HYPERLINK("https://www1.hkexnews.hk/listedco/listconews/sehk/2021/0808/2021080800003.pdf","stabilisation")</f>
        <v/>
      </c>
      <c r="CA63" s="85" t="n"/>
      <c r="CB63" s="71" t="inlineStr">
        <is>
          <t>greenshoe: outcome published; expiry date not in the notice; market cap: published listing cap used; the estimate from stated market capitalisation, rescaled to the offer price disagreed; cornerstone list: no cornerstone tranche; allocation: allocation table not in this notice's format (older prose announcement); day-1 tape: volume on file; the retail multiple needs the final public split, which this notice does not state</t>
        </is>
      </c>
    </row>
    <row r="64" ht="15" customHeight="1">
      <c r="A64" s="70" t="inlineStr">
        <is>
          <t>2205</t>
        </is>
      </c>
      <c r="B64" s="71" t="inlineStr">
        <is>
          <t>KANGQIAO SER</t>
        </is>
      </c>
      <c r="C64" s="71" t="inlineStr">
        <is>
          <t>康橋悅生活</t>
        </is>
      </c>
      <c r="D64" s="71" t="inlineStr">
        <is>
          <t>Real Estate</t>
        </is>
      </c>
      <c r="E64" s="71" t="inlineStr">
        <is>
          <t>Property management</t>
        </is>
      </c>
      <c r="F64" s="71" t="inlineStr">
        <is>
          <t>Property Service and Management</t>
        </is>
      </c>
      <c r="G64" s="71" t="inlineStr">
        <is>
          <t>Standard</t>
        </is>
      </c>
      <c r="H64" s="72" t="n">
        <v>44393</v>
      </c>
      <c r="I64" s="73" t="n">
        <v>644</v>
      </c>
      <c r="J64" s="71" t="inlineStr">
        <is>
          <t>gross (price x shares)</t>
        </is>
      </c>
      <c r="K64" s="74" t="n">
        <v>2.78</v>
      </c>
      <c r="L64" s="74" t="n">
        <v>3.88</v>
      </c>
      <c r="M64" s="74" t="n">
        <v>3.68</v>
      </c>
      <c r="N64" s="71" t="inlineStr">
        <is>
          <t>N</t>
        </is>
      </c>
      <c r="O64" s="75" t="n">
        <v>94.8</v>
      </c>
      <c r="P64" s="75" t="n">
        <v>81.8</v>
      </c>
      <c r="Q64" s="76" t="n">
        <v>2324.1</v>
      </c>
      <c r="R64" s="71" t="inlineStr">
        <is>
          <t>derived:deal size / offer % of enlarged capital</t>
        </is>
      </c>
      <c r="S64" s="77" t="n">
        <v>23.72</v>
      </c>
      <c r="T64" s="78" t="n">
        <v>1.55</v>
      </c>
      <c r="U64" s="79" t="n">
        <v>38.55</v>
      </c>
      <c r="V64" s="80" t="n">
        <v>127</v>
      </c>
      <c r="W64" s="75" t="n">
        <v>30</v>
      </c>
      <c r="X64" s="71" t="inlineStr">
        <is>
          <t>YES</t>
        </is>
      </c>
      <c r="Y64" s="76" t="n">
        <v>395.74</v>
      </c>
      <c r="Z64" s="76" t="n">
        <v>107537500</v>
      </c>
      <c r="AA64" s="75" t="n">
        <v>17.03</v>
      </c>
      <c r="AB64" s="71" t="inlineStr">
        <is>
          <t>58.com Holdings Inc; Autobio Group Co., Ltd; Country Garden Property Services HK Holdings Company Limited</t>
        </is>
      </c>
      <c r="AC64" s="71" t="inlineStr">
        <is>
          <t>58;autobio;country</t>
        </is>
      </c>
      <c r="AD64" s="75" t="n">
        <v>10.2</v>
      </c>
      <c r="AE64" s="71" t="inlineStr">
        <is>
          <t>lapsed</t>
        </is>
      </c>
      <c r="AF64" s="71" t="inlineStr">
        <is>
          <t>2021-08-08</t>
        </is>
      </c>
      <c r="AG64" s="71" t="inlineStr">
        <is>
          <t>CCB International Capital Limited</t>
        </is>
      </c>
      <c r="AH64" s="71" t="inlineStr">
        <is>
          <t>CCB</t>
        </is>
      </c>
      <c r="AI64" s="81" t="n">
        <v>-2.17</v>
      </c>
      <c r="AJ64" s="82" t="n">
        <v>-1.09</v>
      </c>
      <c r="AK64" s="82" t="n">
        <v>0</v>
      </c>
      <c r="AL64" s="82" t="n">
        <v>-1.09</v>
      </c>
      <c r="AM64" s="83" t="n">
        <v>1.05</v>
      </c>
      <c r="AN64" s="75" t="n">
        <v>7.34</v>
      </c>
      <c r="AO64" s="82" t="n">
        <v>-1.09</v>
      </c>
      <c r="AP64" s="82" t="n">
        <v>-2.99</v>
      </c>
      <c r="AQ64" s="82" t="n">
        <v>-0.82</v>
      </c>
      <c r="AR64" s="82" t="n">
        <v>0</v>
      </c>
      <c r="AS64" s="82" t="n">
        <v>-1.92</v>
      </c>
      <c r="AT64" s="82" t="n">
        <v>0.27</v>
      </c>
      <c r="AU64" s="82" t="n">
        <v>0.46</v>
      </c>
      <c r="AV64" s="82" t="n">
        <v>2.73</v>
      </c>
      <c r="AW64" s="82" t="n">
        <v>10.38</v>
      </c>
      <c r="AX64" s="82" t="n">
        <v>3.44</v>
      </c>
      <c r="AY64" s="82" t="n">
        <v>-5.72</v>
      </c>
      <c r="AZ64" s="82" t="n">
        <v>-5.36</v>
      </c>
      <c r="BA64" s="71" t="inlineStr">
        <is>
          <t>Hang Seng Properties sub-index</t>
        </is>
      </c>
      <c r="BB64" s="82" t="n">
        <v>-83.7</v>
      </c>
      <c r="BC64" s="72" t="inlineStr">
        <is>
          <t>2026-09-18</t>
        </is>
      </c>
      <c r="BD64" s="73" t="n">
        <v>633.1</v>
      </c>
      <c r="BE64" s="76" t="n">
        <v>101</v>
      </c>
      <c r="BF64" s="71" t="inlineStr">
        <is>
          <t>Y</t>
        </is>
      </c>
      <c r="BG64" s="83" t="n">
        <v>23</v>
      </c>
      <c r="BH64" s="83" t="n">
        <v>16.3</v>
      </c>
      <c r="BI64" s="83" t="n"/>
      <c r="BJ64" s="83" t="n">
        <v>3.7</v>
      </c>
      <c r="BK64" s="84">
        <f>IF('BBG Verify'!S64="","not filed; run on terminal",'BBG Verify'!S64)</f>
        <v/>
      </c>
      <c r="BL64" s="85" t="inlineStr">
        <is>
          <t>N</t>
        </is>
      </c>
      <c r="BM64" s="86">
        <f>IF('BBG Verify'!K64="","not filed; run on terminal",'BBG Verify'!K64)</f>
        <v/>
      </c>
      <c r="BN64" s="71" t="inlineStr">
        <is>
          <t>N/A</t>
        </is>
      </c>
      <c r="BO64" s="71" t="inlineStr">
        <is>
          <t>N/A</t>
        </is>
      </c>
      <c r="BP64" s="71" t="inlineStr">
        <is>
          <t>N/A</t>
        </is>
      </c>
      <c r="BQ64" s="71" t="inlineStr">
        <is>
          <t>N/A</t>
        </is>
      </c>
      <c r="BR64" s="71" t="inlineStr">
        <is>
          <t>N/A</t>
        </is>
      </c>
      <c r="BS64" s="71" t="inlineStr">
        <is>
          <t>N/A</t>
        </is>
      </c>
      <c r="BT64" s="85" t="inlineStr">
        <is>
          <t>CCB International Capital Limited</t>
        </is>
      </c>
      <c r="BU64" s="71" t="inlineStr">
        <is>
          <t>CCB International Capital Limited</t>
        </is>
      </c>
      <c r="BV64" s="71" t="inlineStr">
        <is>
          <t>CCB International Capital Limited; Haitong International Securities Company Limited; Sheng Yuan Securities Limited; Shenwan Hongyuan Securities (H.K.) Limited; DL SECURITIES (HK) LIMITED</t>
        </is>
      </c>
      <c r="BW64" s="71"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X64" s="87">
        <f>HYPERLINK("https://www1.hkexnews.hk/listedco/listconews/sehk/2021/0629/2021062900193.pdf","prospectus")</f>
        <v/>
      </c>
      <c r="BY64" s="87">
        <f>HYPERLINK("https://www1.hkexnews.hk/listedco/listconews/sehk/2021/0715/2021071500080.htm","allotment")</f>
        <v/>
      </c>
      <c r="BZ64" s="87">
        <f>HYPERLINK("https://www1.hkexnews.hk/listedco/listconews/sehk/2021/0809/2021080900033.pdf","stabilisation")</f>
        <v/>
      </c>
      <c r="CA64" s="85" t="n"/>
      <c r="CB64" s="71" t="inlineStr"/>
    </row>
    <row r="65" ht="15" customHeight="1">
      <c r="A65" s="70" t="inlineStr">
        <is>
          <t>6616</t>
        </is>
      </c>
      <c r="B65" s="71" t="inlineStr">
        <is>
          <t>GLOBAL NEW MAT</t>
        </is>
      </c>
      <c r="C65" s="71" t="inlineStr">
        <is>
          <t>環球新材國際</t>
        </is>
      </c>
      <c r="D65" s="71" t="inlineStr">
        <is>
          <t>Materials/Energy</t>
        </is>
      </c>
      <c r="E65" s="71" t="inlineStr">
        <is>
          <t>Chemicals</t>
        </is>
      </c>
      <c r="F65" s="71" t="inlineStr">
        <is>
          <t>Diversified Chemicals</t>
        </is>
      </c>
      <c r="G65" s="71" t="inlineStr">
        <is>
          <t>Standard</t>
        </is>
      </c>
      <c r="H65" s="72" t="n">
        <v>44393</v>
      </c>
      <c r="I65" s="73" t="n">
        <v>944.7</v>
      </c>
      <c r="J65" s="71" t="inlineStr">
        <is>
          <t>gross (price x shares)</t>
        </is>
      </c>
      <c r="K65" s="74" t="n">
        <v>3.52</v>
      </c>
      <c r="L65" s="74" t="n">
        <v>4.22</v>
      </c>
      <c r="M65" s="74" t="n">
        <v>3.25</v>
      </c>
      <c r="N65" s="71" t="inlineStr">
        <is>
          <t>N</t>
        </is>
      </c>
      <c r="O65" s="75" t="n">
        <v>77</v>
      </c>
      <c r="P65" s="75" t="n">
        <v>-38.6</v>
      </c>
      <c r="Q65" s="76" t="n">
        <v>4741.6</v>
      </c>
      <c r="R65" s="71" t="inlineStr">
        <is>
          <t>aastocks:上市市值 at the struck price</t>
        </is>
      </c>
      <c r="S65" s="77" t="n">
        <v>10.79</v>
      </c>
      <c r="T65" s="78" t="n">
        <v>1.16</v>
      </c>
      <c r="U65" s="79" t="n">
        <v>2.1</v>
      </c>
      <c r="V65" s="80" t="n">
        <v>177</v>
      </c>
      <c r="W65" s="75" t="n"/>
      <c r="X65" s="71" t="n"/>
      <c r="Y65" s="76" t="n">
        <v>924.86</v>
      </c>
      <c r="Z65" s="76" t="n">
        <v>284569846</v>
      </c>
      <c r="AA65" s="75" t="n">
        <v>19.51</v>
      </c>
      <c r="AB65" s="71" t="inlineStr">
        <is>
          <t>Shanghai Huijin Asset Management Co., Ltd; YBN Investments</t>
        </is>
      </c>
      <c r="AC65" s="71" t="inlineStr">
        <is>
          <t>shanghai-huijin;ybn</t>
        </is>
      </c>
      <c r="AD65" s="75" t="n">
        <v>6.6</v>
      </c>
      <c r="AE65" s="71" t="inlineStr">
        <is>
          <t>partial</t>
        </is>
      </c>
      <c r="AF65" s="71" t="inlineStr">
        <is>
          <t>2021-08-05</t>
        </is>
      </c>
      <c r="AG65" s="71" t="inlineStr">
        <is>
          <t>Essence International Securities</t>
        </is>
      </c>
      <c r="AH65" s="71" t="inlineStr">
        <is>
          <t>Essence</t>
        </is>
      </c>
      <c r="AI65" s="81" t="n">
        <v>21.54</v>
      </c>
      <c r="AJ65" s="82" t="n">
        <v>13.85</v>
      </c>
      <c r="AK65" s="82" t="n">
        <v>26.15</v>
      </c>
      <c r="AL65" s="82" t="n">
        <v>-9.75</v>
      </c>
      <c r="AM65" s="83" t="n"/>
      <c r="AN65" s="75" t="n">
        <v>13.41</v>
      </c>
      <c r="AO65" s="82" t="n">
        <v>26.46</v>
      </c>
      <c r="AP65" s="82" t="n">
        <v>93.84999999999999</v>
      </c>
      <c r="AQ65" s="82" t="n">
        <v>61.54</v>
      </c>
      <c r="AR65" s="82" t="n">
        <v>11.08</v>
      </c>
      <c r="AS65" s="82" t="n">
        <v>70.27</v>
      </c>
      <c r="AT65" s="82" t="n">
        <v>41.89</v>
      </c>
      <c r="AU65" s="82" t="n">
        <v>29.83</v>
      </c>
      <c r="AV65" s="82" t="n">
        <v>103.85</v>
      </c>
      <c r="AW65" s="82" t="n">
        <v>71.43000000000001</v>
      </c>
      <c r="AX65" s="82" t="n">
        <v>80.22</v>
      </c>
      <c r="AY65" s="82" t="n">
        <v>-10</v>
      </c>
      <c r="AZ65" s="82" t="n">
        <v>-9.949999999999999</v>
      </c>
      <c r="BA65" s="71" t="inlineStr">
        <is>
          <t>Hang Seng Commerce &amp; Industry sub-index</t>
        </is>
      </c>
      <c r="BB65" s="82" t="n">
        <v>183.08</v>
      </c>
      <c r="BC65" s="72" t="inlineStr">
        <is>
          <t>2026-09-23</t>
        </is>
      </c>
      <c r="BD65" s="73" t="n">
        <v>626</v>
      </c>
      <c r="BE65" s="76" t="n">
        <v>168.1</v>
      </c>
      <c r="BF65" s="71" t="inlineStr">
        <is>
          <t>Y</t>
        </is>
      </c>
      <c r="BG65" s="83" t="n">
        <v>28.2</v>
      </c>
      <c r="BH65" s="83" t="n"/>
      <c r="BI65" s="83" t="n"/>
      <c r="BJ65" s="83" t="n">
        <v>7.6</v>
      </c>
      <c r="BK65" s="84">
        <f>IF('BBG Verify'!S65="","not filed; run on terminal",'BBG Verify'!S65)</f>
        <v/>
      </c>
      <c r="BL65" s="85" t="inlineStr">
        <is>
          <t>N</t>
        </is>
      </c>
      <c r="BM65" s="86">
        <f>IF('BBG Verify'!K65="","not filed; run on terminal",'BBG Verify'!K65)</f>
        <v/>
      </c>
      <c r="BN65" s="71" t="inlineStr">
        <is>
          <t>N/A</t>
        </is>
      </c>
      <c r="BO65" s="71" t="inlineStr">
        <is>
          <t>N/A</t>
        </is>
      </c>
      <c r="BP65" s="71" t="inlineStr">
        <is>
          <t>N/A</t>
        </is>
      </c>
      <c r="BQ65" s="71" t="inlineStr">
        <is>
          <t>N/A</t>
        </is>
      </c>
      <c r="BR65" s="71" t="inlineStr">
        <is>
          <t>N/A</t>
        </is>
      </c>
      <c r="BS65" s="71" t="inlineStr">
        <is>
          <t>N/A</t>
        </is>
      </c>
      <c r="BT65" s="85" t="inlineStr">
        <is>
          <t>Essence Corporate Finance (Hong Kong) Limited</t>
        </is>
      </c>
      <c r="BU65" s="71" t="inlineStr">
        <is>
          <t>Essence Corporate Finance (Hong Kong) Limited</t>
        </is>
      </c>
      <c r="BV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W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X65" s="87">
        <f>HYPERLINK("https://www1.hkexnews.hk/listedco/listconews/sehk/2021/0630/2021063000059.pdf","prospectus")</f>
        <v/>
      </c>
      <c r="BY65" s="87">
        <f>HYPERLINK("https://www1.hkexnews.hk/listedco/listconews/sehk/2021/0715/2021071500120.htm","allotment")</f>
        <v/>
      </c>
      <c r="BZ65" s="87">
        <f>HYPERLINK("https://www1.hkexnews.hk/listedco/listconews/sehk/2021/0805/2021080502158.pdf","stabilisation")</f>
        <v/>
      </c>
      <c r="CA65" s="85" t="n"/>
      <c r="CB65" s="71" t="inlineStr">
        <is>
          <t>price range: priced HK$3.25, below the HK$3.52 floor (downward offer price adjustment); 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66" ht="15" customHeight="1">
      <c r="A66" s="70" t="inlineStr">
        <is>
          <t>6611</t>
        </is>
      </c>
      <c r="B66" s="71" t="inlineStr">
        <is>
          <t>SANXUN GROUP</t>
        </is>
      </c>
      <c r="C66" s="71" t="inlineStr">
        <is>
          <t>三巽集團</t>
        </is>
      </c>
      <c r="D66" s="71" t="inlineStr">
        <is>
          <t>Real Estate</t>
        </is>
      </c>
      <c r="E66" s="71" t="inlineStr">
        <is>
          <t>Developers</t>
        </is>
      </c>
      <c r="F66" s="71" t="inlineStr">
        <is>
          <t>Property Development</t>
        </is>
      </c>
      <c r="G66" s="71" t="inlineStr">
        <is>
          <t>Standard</t>
        </is>
      </c>
      <c r="H66" s="72" t="n">
        <v>44396</v>
      </c>
      <c r="I66" s="73" t="n">
        <v>783.8</v>
      </c>
      <c r="J66" s="71" t="inlineStr">
        <is>
          <t>gross (price x shares)</t>
        </is>
      </c>
      <c r="K66" s="74" t="n">
        <v>3.3</v>
      </c>
      <c r="L66" s="74" t="n">
        <v>5.2</v>
      </c>
      <c r="M66" s="74" t="n">
        <v>4.75</v>
      </c>
      <c r="N66" s="71" t="inlineStr">
        <is>
          <t>N</t>
        </is>
      </c>
      <c r="O66" s="75" t="n">
        <v>91.3</v>
      </c>
      <c r="P66" s="75" t="n">
        <v>76.3</v>
      </c>
      <c r="Q66" s="76" t="n">
        <v>2805</v>
      </c>
      <c r="R66" s="71" t="inlineStr">
        <is>
          <t>prospectus:stated market capitalisation</t>
        </is>
      </c>
      <c r="S66" s="77" t="n">
        <v>3.22</v>
      </c>
      <c r="T66" s="78" t="n">
        <v>1.29</v>
      </c>
      <c r="U66" s="79" t="n">
        <v>0</v>
      </c>
      <c r="V66" s="80" t="n">
        <v>109</v>
      </c>
      <c r="W66" s="75" t="n"/>
      <c r="X66" s="71" t="n"/>
      <c r="Y66" s="76" t="n">
        <v>783.8</v>
      </c>
      <c r="Z66" s="76" t="n">
        <v>165000000</v>
      </c>
      <c r="AA66" s="75" t="n">
        <v>27.94</v>
      </c>
      <c r="AB66" s="71" t="n"/>
      <c r="AC66" s="71" t="n"/>
      <c r="AD66" s="75" t="n">
        <v>15</v>
      </c>
      <c r="AE66" s="71" t="inlineStr">
        <is>
          <t>partial</t>
        </is>
      </c>
      <c r="AF66" s="71" t="inlineStr">
        <is>
          <t>2021-08-11</t>
        </is>
      </c>
      <c r="AG66" s="71" t="inlineStr">
        <is>
          <t>CCB International Capital Limited</t>
        </is>
      </c>
      <c r="AH66" s="71" t="inlineStr">
        <is>
          <t>CCB</t>
        </is>
      </c>
      <c r="AI66" s="81" t="n">
        <v>0.63</v>
      </c>
      <c r="AJ66" s="82" t="n">
        <v>0</v>
      </c>
      <c r="AK66" s="82" t="n">
        <v>0.21</v>
      </c>
      <c r="AL66" s="82" t="n">
        <v>-0.21</v>
      </c>
      <c r="AM66" s="83" t="n"/>
      <c r="AN66" s="75" t="n">
        <v>0.42</v>
      </c>
      <c r="AO66" s="82" t="n">
        <v>0</v>
      </c>
      <c r="AP66" s="82" t="n">
        <v>-7.37</v>
      </c>
      <c r="AQ66" s="82" t="n">
        <v>-3.16</v>
      </c>
      <c r="AR66" s="82" t="n">
        <v>0</v>
      </c>
      <c r="AS66" s="82" t="n">
        <v>-7.37</v>
      </c>
      <c r="AT66" s="82" t="n">
        <v>-3.16</v>
      </c>
      <c r="AU66" s="82" t="n">
        <v>4.15</v>
      </c>
      <c r="AV66" s="82" t="n">
        <v>-1.03</v>
      </c>
      <c r="AW66" s="82" t="n">
        <v>7.04</v>
      </c>
      <c r="AX66" s="82" t="n">
        <v>-2.14</v>
      </c>
      <c r="AY66" s="82" t="n">
        <v>-6.34</v>
      </c>
      <c r="AZ66" s="82" t="n">
        <v>-5.23</v>
      </c>
      <c r="BA66" s="71" t="inlineStr">
        <is>
          <t>Hang Seng Properties sub-index</t>
        </is>
      </c>
      <c r="BB66" s="82" t="n">
        <v>-99.03</v>
      </c>
      <c r="BC66" s="72" t="inlineStr">
        <is>
          <t>2026-09-18</t>
        </is>
      </c>
      <c r="BD66" s="73" t="n">
        <v>4340.7</v>
      </c>
      <c r="BE66" s="76" t="n">
        <v>404.5</v>
      </c>
      <c r="BF66" s="71" t="inlineStr">
        <is>
          <t>Y</t>
        </is>
      </c>
      <c r="BG66" s="83" t="n">
        <v>6.9</v>
      </c>
      <c r="BH66" s="83" t="n"/>
      <c r="BI66" s="83" t="n"/>
      <c r="BJ66" s="83" t="n">
        <v>0.6</v>
      </c>
      <c r="BK66" s="84">
        <f>IF('BBG Verify'!S66="","not filed; run on terminal",'BBG Verify'!S66)</f>
        <v/>
      </c>
      <c r="BL66" s="85" t="inlineStr">
        <is>
          <t>N</t>
        </is>
      </c>
      <c r="BM66" s="86">
        <f>IF('BBG Verify'!K66="","not filed; run on terminal",'BBG Verify'!K66)</f>
        <v/>
      </c>
      <c r="BN66" s="71" t="inlineStr">
        <is>
          <t>N/A</t>
        </is>
      </c>
      <c r="BO66" s="71" t="inlineStr">
        <is>
          <t>N/A</t>
        </is>
      </c>
      <c r="BP66" s="71" t="inlineStr">
        <is>
          <t>N/A</t>
        </is>
      </c>
      <c r="BQ66" s="71" t="inlineStr">
        <is>
          <t>N/A</t>
        </is>
      </c>
      <c r="BR66" s="71" t="inlineStr">
        <is>
          <t>N/A</t>
        </is>
      </c>
      <c r="BS66" s="71" t="inlineStr">
        <is>
          <t>N/A</t>
        </is>
      </c>
      <c r="BT66" s="85" t="n"/>
      <c r="BU66" s="71" t="inlineStr">
        <is>
          <t>CCB International Capital Limited</t>
        </is>
      </c>
      <c r="BV66" s="71" t="inlineStr">
        <is>
          <t>CCB International Capital Limited; CRIC Securities Company Limited; BOCOM International Securities Limited</t>
        </is>
      </c>
      <c r="BW66" s="71" t="inlineStr">
        <is>
          <t>Beta International Securities Limited; CCB International Capital Limited; CRIC Securities Company Limited; Futu Securities International (Hong Kong) Limited; I Win Securities Limited; Valuable Capital Limited</t>
        </is>
      </c>
      <c r="BX66" s="87">
        <f>HYPERLINK("https://www1.hkexnews.hk/listedco/listconews/sehk/2021/0630/2021063000037.pdf","prospectus")</f>
        <v/>
      </c>
      <c r="BY66" s="87">
        <f>HYPERLINK("https://www1.hkexnews.hk/listedco/listconews/sehk/2021/0716/2021071600044.htm","allotment")</f>
        <v/>
      </c>
      <c r="BZ66" s="87">
        <f>HYPERLINK("https://www1.hkexnews.hk/listedco/listconews/sehk/2021/0811/2021081101494.pdf","stabilisation")</f>
        <v/>
      </c>
      <c r="CA66" s="85" t="n"/>
      <c r="CB66" s="71" t="inlineStr">
        <is>
          <t>sponsor: English name not in the filing; AAStocks 保薦人 shown; cornerstone list: no cornerstone tranche; allocation: allocation table not in this notice's format (older prose announcement); day-1 tape: volume on file; the retail multiple needs the final public split, which this notice does not state</t>
        </is>
      </c>
    </row>
    <row r="67" ht="15" customHeight="1">
      <c r="A67" s="70" t="inlineStr">
        <is>
          <t>2015</t>
        </is>
      </c>
      <c r="B67" s="71" t="inlineStr">
        <is>
          <t>LI AUTO-W</t>
        </is>
      </c>
      <c r="C67" s="71" t="inlineStr">
        <is>
          <t>理想汽車－Ｗ</t>
        </is>
      </c>
      <c r="D67" s="71" t="inlineStr">
        <is>
          <t>Consumer</t>
        </is>
      </c>
      <c r="E67" s="71" t="inlineStr">
        <is>
          <t>Autos (NEV OEM)</t>
        </is>
      </c>
      <c r="F67" s="71" t="inlineStr">
        <is>
          <t>Automobile Manufacturers</t>
        </is>
      </c>
      <c r="G67" s="71" t="inlineStr">
        <is>
          <t>WVR</t>
        </is>
      </c>
      <c r="H67" s="72" t="n">
        <v>44420</v>
      </c>
      <c r="I67" s="73" t="n">
        <v>11800</v>
      </c>
      <c r="J67" s="71" t="inlineStr">
        <is>
          <t>gross (price x shares)</t>
        </is>
      </c>
      <c r="K67" s="74" t="n"/>
      <c r="L67" s="74" t="n">
        <v>150</v>
      </c>
      <c r="M67" s="74" t="n">
        <v>118</v>
      </c>
      <c r="N67" s="71" t="inlineStr">
        <is>
          <t>N</t>
        </is>
      </c>
      <c r="O67" s="75" t="n">
        <v>78.7</v>
      </c>
      <c r="P67" s="75" t="n"/>
      <c r="Q67" s="76" t="n">
        <v>242136</v>
      </c>
      <c r="R67" s="71" t="inlineStr">
        <is>
          <t>prospectus:stated market capitalisation, rescaled to the offer price</t>
        </is>
      </c>
      <c r="S67" s="77" t="n">
        <v>5.5</v>
      </c>
      <c r="T67" s="78" t="n">
        <v>7.9</v>
      </c>
      <c r="U67" s="79" t="n"/>
      <c r="V67" s="80" t="n">
        <v>108</v>
      </c>
      <c r="W67" s="75" t="n"/>
      <c r="X67" s="71" t="n"/>
      <c r="Y67" s="76" t="n">
        <v>11800</v>
      </c>
      <c r="Z67" s="76" t="n">
        <v>100000000</v>
      </c>
      <c r="AA67" s="75" t="n">
        <v>4.87</v>
      </c>
      <c r="AB67" s="71" t="n"/>
      <c r="AC67" s="71" t="n"/>
      <c r="AD67" s="75" t="n">
        <v>5.56</v>
      </c>
      <c r="AE67" s="71" t="inlineStr">
        <is>
          <t>partial</t>
        </is>
      </c>
      <c r="AF67" s="71" t="n"/>
      <c r="AG67" s="71" t="inlineStr">
        <is>
          <t>Goldman Sachs</t>
        </is>
      </c>
      <c r="AH67" s="71" t="inlineStr">
        <is>
          <t>Goldman Sachs</t>
        </is>
      </c>
      <c r="AI67" s="81" t="n">
        <v>-1.78</v>
      </c>
      <c r="AJ67" s="82" t="n">
        <v>-0.85</v>
      </c>
      <c r="AK67" s="82" t="n">
        <v>0</v>
      </c>
      <c r="AL67" s="82" t="n">
        <v>-0.85</v>
      </c>
      <c r="AM67" s="83" t="n"/>
      <c r="AN67" s="75" t="n">
        <v>2.54</v>
      </c>
      <c r="AO67" s="82" t="n">
        <v>-7.71</v>
      </c>
      <c r="AP67" s="82" t="n">
        <v>0.76</v>
      </c>
      <c r="AQ67" s="82" t="n">
        <v>0.85</v>
      </c>
      <c r="AR67" s="82" t="n">
        <v>-6.92</v>
      </c>
      <c r="AS67" s="82" t="n">
        <v>1.62</v>
      </c>
      <c r="AT67" s="82" t="n">
        <v>1.71</v>
      </c>
      <c r="AU67" s="82" t="n">
        <v>0.27</v>
      </c>
      <c r="AV67" s="82" t="n">
        <v>2.02</v>
      </c>
      <c r="AW67" s="82" t="n">
        <v>5.17</v>
      </c>
      <c r="AX67" s="82" t="n">
        <v>2.71</v>
      </c>
      <c r="AY67" s="82" t="n">
        <v>-1.26</v>
      </c>
      <c r="AZ67" s="82" t="n">
        <v>-1.09</v>
      </c>
      <c r="BA67" s="71" t="inlineStr">
        <is>
          <t>Hang Seng Commerce &amp; Industry sub-index</t>
        </is>
      </c>
      <c r="BB67" s="82" t="n">
        <v>-60.81</v>
      </c>
      <c r="BC67" s="72" t="inlineStr">
        <is>
          <t>2026-09-23</t>
        </is>
      </c>
      <c r="BD67" s="73" t="n">
        <v>10402.3</v>
      </c>
      <c r="BE67" s="76" t="n">
        <v>-166.9</v>
      </c>
      <c r="BF67" s="71" t="inlineStr">
        <is>
          <t>N</t>
        </is>
      </c>
      <c r="BG67" s="71" t="inlineStr">
        <is>
          <t>n/m</t>
        </is>
      </c>
      <c r="BH67" s="83" t="n"/>
      <c r="BI67" s="83" t="n"/>
      <c r="BJ67" s="83" t="n">
        <v>23.3</v>
      </c>
      <c r="BK67" s="84">
        <f>IF('BBG Verify'!S67="","not filed; run on terminal",'BBG Verify'!S67)</f>
        <v/>
      </c>
      <c r="BL67" s="85" t="inlineStr">
        <is>
          <t>N</t>
        </is>
      </c>
      <c r="BM67" s="86">
        <f>IF('BBG Verify'!K67="","not filed; run on terminal",'BBG Verify'!K67)</f>
        <v/>
      </c>
      <c r="BN67" s="71" t="inlineStr">
        <is>
          <t>N/A</t>
        </is>
      </c>
      <c r="BO67" s="71" t="inlineStr">
        <is>
          <t>N/A</t>
        </is>
      </c>
      <c r="BP67" s="71" t="inlineStr">
        <is>
          <t>N/A</t>
        </is>
      </c>
      <c r="BQ67" s="71" t="inlineStr">
        <is>
          <t>N/A</t>
        </is>
      </c>
      <c r="BR67" s="71" t="inlineStr">
        <is>
          <t>N/A</t>
        </is>
      </c>
      <c r="BS67" s="71" t="inlineStr">
        <is>
          <t>N/A</t>
        </is>
      </c>
      <c r="BT67" s="85" t="inlineStr">
        <is>
          <t>Goldman Sachs (Asia) L.L.C; China International Capital Corporation Hong Kong Securities Limited</t>
        </is>
      </c>
      <c r="BU67" s="71" t="inlineStr">
        <is>
          <t>China International Capital Corporation Hong Kong Securities Limited; Goldman Sachs (Asia) L.L.C.</t>
        </is>
      </c>
      <c r="BV67" s="71"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W67" s="71" t="inlineStr">
        <is>
          <t>BOCI Asia Limited; China International Capital Corporation Hong Kong Securities Limited; CLSA Limited; CMB International Capital Limited; Futu Securities International (Hong Kong) Limited; Goldman Sachs (Asia) L.L.C.; UBS AG Hong Kong Branch</t>
        </is>
      </c>
      <c r="BX67" s="87">
        <f>HYPERLINK("https://www1.hkexnews.hk/listedco/listconews/sehk/2021/0803/2021080300011.pdf","prospectus")</f>
        <v/>
      </c>
      <c r="BY67" s="87">
        <f>HYPERLINK("https://www1.hkexnews.hk/listedco/listconews/sehk/2021/0811/2021081100020.htm","allotment")</f>
        <v/>
      </c>
      <c r="BZ67" s="87">
        <f>HYPERLINK("https://www1.hkexnews.hk/listedco/listconews/sehk/2021/0905/2021090500025.pdf","stabilisation")</f>
        <v/>
      </c>
      <c r="CA67" s="85" t="n"/>
      <c r="CB67" s="71"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allocation: allocation table not in this notice's format (older prose announcement); day-1 tape: volume on file; the retail multiple needs the final public split, which this notice does not state</t>
        </is>
      </c>
    </row>
    <row r="68" ht="15" customHeight="1">
      <c r="A68" s="70" t="inlineStr">
        <is>
          <t>6609</t>
        </is>
      </c>
      <c r="B68" s="71" t="inlineStr">
        <is>
          <t>HEARTCARE-B</t>
        </is>
      </c>
      <c r="C68" s="71" t="inlineStr">
        <is>
          <t>心瑋醫療－Ｂ</t>
        </is>
      </c>
      <c r="D68" s="71" t="inlineStr">
        <is>
          <t>Healthcare</t>
        </is>
      </c>
      <c r="E68" s="71" t="inlineStr">
        <is>
          <t>Medical devices</t>
        </is>
      </c>
      <c r="F68" s="71" t="inlineStr">
        <is>
          <t>Biotechnology</t>
        </is>
      </c>
      <c r="G68" s="71" t="inlineStr">
        <is>
          <t>18A</t>
        </is>
      </c>
      <c r="H68" s="72" t="n">
        <v>44428</v>
      </c>
      <c r="I68" s="73" t="n">
        <v>459.7</v>
      </c>
      <c r="J68" s="71" t="inlineStr">
        <is>
          <t>net proceeds</t>
        </is>
      </c>
      <c r="K68" s="74" t="n">
        <v>160</v>
      </c>
      <c r="L68" s="74" t="n">
        <v>171</v>
      </c>
      <c r="M68" s="74" t="n">
        <v>171</v>
      </c>
      <c r="N68" s="71" t="inlineStr">
        <is>
          <t>Y</t>
        </is>
      </c>
      <c r="O68" s="75" t="n">
        <v>100</v>
      </c>
      <c r="P68" s="75" t="n">
        <v>100</v>
      </c>
      <c r="Q68" s="76" t="n">
        <v>6640.7</v>
      </c>
      <c r="R68" s="71" t="inlineStr">
        <is>
          <t>aastocks:上市市值 at the struck price</t>
        </is>
      </c>
      <c r="S68" s="77" t="n">
        <v>333.14</v>
      </c>
      <c r="T68" s="78" t="n">
        <v>8.300000000000001</v>
      </c>
      <c r="U68" s="79" t="n">
        <v>13.8</v>
      </c>
      <c r="V68" s="80" t="n">
        <v>44</v>
      </c>
      <c r="W68" s="75" t="n">
        <v>50</v>
      </c>
      <c r="X68" s="71" t="inlineStr">
        <is>
          <t>YES</t>
        </is>
      </c>
      <c r="Y68" s="76" t="n">
        <v>396.26</v>
      </c>
      <c r="Z68" s="76" t="n"/>
      <c r="AA68" s="75" t="n">
        <v>5.97</v>
      </c>
      <c r="AB68" s="71"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AC68" s="71" t="inlineStr">
        <is>
          <t>3w;aspex;boyu;lake;lyfe;octagon;sage;superstring;valliance</t>
        </is>
      </c>
      <c r="AD68" s="75" t="n">
        <v>9.470000000000001</v>
      </c>
      <c r="AE68" s="71" t="inlineStr">
        <is>
          <t>lapsed</t>
        </is>
      </c>
      <c r="AF68" s="71" t="n"/>
      <c r="AG68" s="71" t="inlineStr">
        <is>
          <t>Goldman Sachs</t>
        </is>
      </c>
      <c r="AH68" s="71" t="inlineStr">
        <is>
          <t>Goldman Sachs</t>
        </is>
      </c>
      <c r="AI68" s="81" t="n"/>
      <c r="AJ68" s="82" t="n">
        <v>-24.56</v>
      </c>
      <c r="AK68" s="82" t="n">
        <v>-17.43</v>
      </c>
      <c r="AL68" s="82" t="n">
        <v>-8.640000000000001</v>
      </c>
      <c r="AM68" s="83" t="n">
        <v>0.62</v>
      </c>
      <c r="AN68" s="75" t="n">
        <v>11.33</v>
      </c>
      <c r="AO68" s="82" t="n">
        <v>-28.19</v>
      </c>
      <c r="AP68" s="82" t="n">
        <v>-42.4</v>
      </c>
      <c r="AQ68" s="82" t="n">
        <v>-56.9</v>
      </c>
      <c r="AR68" s="82" t="n">
        <v>-4.81</v>
      </c>
      <c r="AS68" s="82" t="n">
        <v>-23.65</v>
      </c>
      <c r="AT68" s="82" t="n">
        <v>-42.87</v>
      </c>
      <c r="AU68" s="82" t="n">
        <v>-24.24</v>
      </c>
      <c r="AV68" s="82" t="n">
        <v>-42.45</v>
      </c>
      <c r="AW68" s="82" t="n">
        <v>-47.55</v>
      </c>
      <c r="AX68" s="82" t="n">
        <v>-28.84</v>
      </c>
      <c r="AY68" s="82" t="n">
        <v>0.05</v>
      </c>
      <c r="AZ68" s="82" t="n">
        <v>5.19</v>
      </c>
      <c r="BA68" s="71" t="inlineStr">
        <is>
          <t>China Biotech ETF (HS biotech proxy)</t>
        </is>
      </c>
      <c r="BB68" s="82" t="n">
        <v>-68.54000000000001</v>
      </c>
      <c r="BC68" s="72" t="inlineStr">
        <is>
          <t>2026-09-23</t>
        </is>
      </c>
      <c r="BD68" s="73" t="n">
        <v>0.1</v>
      </c>
      <c r="BE68" s="76" t="n"/>
      <c r="BF68" s="71" t="n"/>
      <c r="BG68" s="84">
        <f>IF('BBG Verify'!O68="","not filed; run on terminal",'BBG Verify'!O68)</f>
        <v/>
      </c>
      <c r="BH68" s="83" t="n"/>
      <c r="BI68" s="83" t="n">
        <v>20.8</v>
      </c>
      <c r="BJ68" s="83" t="n">
        <v>66407</v>
      </c>
      <c r="BK68" s="84">
        <f>IF('BBG Verify'!S68="","not filed; run on terminal",'BBG Verify'!S68)</f>
        <v/>
      </c>
      <c r="BL68" s="85" t="inlineStr">
        <is>
          <t>N</t>
        </is>
      </c>
      <c r="BM68" s="86">
        <f>IF('BBG Verify'!K68="","not filed; run on terminal",'BBG Verify'!K68)</f>
        <v/>
      </c>
      <c r="BN68" s="71" t="inlineStr">
        <is>
          <t>N/A</t>
        </is>
      </c>
      <c r="BO68" s="71" t="inlineStr">
        <is>
          <t>N/A</t>
        </is>
      </c>
      <c r="BP68" s="71" t="inlineStr">
        <is>
          <t>N/A</t>
        </is>
      </c>
      <c r="BQ68" s="71" t="inlineStr">
        <is>
          <t>N/A</t>
        </is>
      </c>
      <c r="BR68" s="71" t="inlineStr">
        <is>
          <t>N/A</t>
        </is>
      </c>
      <c r="BS68" s="71" t="inlineStr">
        <is>
          <t>N/A</t>
        </is>
      </c>
      <c r="BT68" s="85" t="inlineStr">
        <is>
          <t>Goldman Sachs (Asia) L.L.C; China International Capital Corporation Hong Kong Securities Limited</t>
        </is>
      </c>
      <c r="BU68" s="71" t="inlineStr">
        <is>
          <t>China International Capital Corporation Hong Kong Securities Limited; Goldman Sachs (Asia) L.L.C.</t>
        </is>
      </c>
      <c r="BV68" s="71" t="inlineStr">
        <is>
          <t>Goldman Sachs (Asia) L.L.C; China International Capital Corporation Hong Kong Securities Limited</t>
        </is>
      </c>
      <c r="BW68" s="71" t="inlineStr">
        <is>
          <t>China International Capital Corporation Hong Kong Securities Limited; Futu Securities International (Hong Kong) Limited; Goldman Sachs (Asia) L.L.C.</t>
        </is>
      </c>
      <c r="BX68" s="87">
        <f>HYPERLINK("https://www1.hkexnews.hk/listedco/listconews/sehk/2021/0810/2021081000015.pdf","prospectus")</f>
        <v/>
      </c>
      <c r="BY68" s="87">
        <f>HYPERLINK("https://www1.hkexnews.hk/listedco/listconews/sehk/2021/0819/2021081900014.htm","allotment")</f>
        <v/>
      </c>
      <c r="BZ68" s="87">
        <f>HYPERLINK("https://www1.hkexnews.hk/listedco/listconews/sehk/2021/0912/2021091200105.pdf","stabilisation")</f>
        <v/>
      </c>
      <c r="CA68" s="85" t="n"/>
      <c r="CB68" s="71"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close found: etnet's news wire (every story that evening and the next morning), etnet's grey table (from Oct-2024) and AAStocks all checked; eff float shares: share count unavailable; the HK$m figure is exact</t>
        </is>
      </c>
    </row>
    <row r="69" ht="15" customHeight="1">
      <c r="A69" s="70" t="inlineStr">
        <is>
          <t>6669</t>
        </is>
      </c>
      <c r="B69" s="71" t="inlineStr">
        <is>
          <t>ACOTEC-B</t>
        </is>
      </c>
      <c r="C69" s="71" t="inlineStr">
        <is>
          <t>先瑞達醫療－Ｂ</t>
        </is>
      </c>
      <c r="D69" s="71" t="inlineStr">
        <is>
          <t>Healthcare</t>
        </is>
      </c>
      <c r="E69" s="71" t="inlineStr">
        <is>
          <t>Medical devices</t>
        </is>
      </c>
      <c r="F69" s="71" t="inlineStr">
        <is>
          <t>Biotechnology</t>
        </is>
      </c>
      <c r="G69" s="71" t="inlineStr">
        <is>
          <t>18A</t>
        </is>
      </c>
      <c r="H69" s="72" t="n">
        <v>44432</v>
      </c>
      <c r="I69" s="73" t="n">
        <v>1633.5</v>
      </c>
      <c r="J69" s="71" t="inlineStr">
        <is>
          <t>gross (price x shares)</t>
        </is>
      </c>
      <c r="K69" s="74" t="n">
        <v>22.2</v>
      </c>
      <c r="L69" s="74" t="n">
        <v>23.8</v>
      </c>
      <c r="M69" s="74" t="n">
        <v>23.8</v>
      </c>
      <c r="N69" s="71" t="inlineStr">
        <is>
          <t>Y</t>
        </is>
      </c>
      <c r="O69" s="75" t="n">
        <v>100</v>
      </c>
      <c r="P69" s="75" t="n">
        <v>100</v>
      </c>
      <c r="Q69" s="76" t="n">
        <v>6694.7</v>
      </c>
      <c r="R69" s="71" t="inlineStr">
        <is>
          <t>derived:deal size / offer % of enlarged capital</t>
        </is>
      </c>
      <c r="S69" s="77" t="n">
        <v>654.51</v>
      </c>
      <c r="T69" s="78" t="n">
        <v>4.86</v>
      </c>
      <c r="U69" s="79" t="n">
        <v>28.5</v>
      </c>
      <c r="V69" s="80" t="n">
        <v>189</v>
      </c>
      <c r="W69" s="75" t="n">
        <v>50</v>
      </c>
      <c r="X69" s="71" t="inlineStr">
        <is>
          <t>YES</t>
        </is>
      </c>
      <c r="Y69" s="76" t="n">
        <v>1167.95</v>
      </c>
      <c r="Z69" s="76" t="n">
        <v>49072595</v>
      </c>
      <c r="AA69" s="75" t="n">
        <v>17.45</v>
      </c>
      <c r="AB69" s="71"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AC69" s="71" t="inlineStr">
        <is>
          <t>athos;china-international;universal;cpe;daguan;dymon;healthcare;new-journey;panjing;perseverance;pinpoint;primeone;valliance</t>
        </is>
      </c>
      <c r="AD69" s="75" t="n">
        <v>11.72</v>
      </c>
      <c r="AE69" s="71" t="inlineStr">
        <is>
          <t>lapsed</t>
        </is>
      </c>
      <c r="AF69" s="71" t="inlineStr">
        <is>
          <t>2021-09-16</t>
        </is>
      </c>
      <c r="AG69" s="71" t="inlineStr">
        <is>
          <t>Morgan Stanley Asia Limited</t>
        </is>
      </c>
      <c r="AH69" s="71" t="inlineStr">
        <is>
          <t>Morgan Stanley</t>
        </is>
      </c>
      <c r="AI69" s="81" t="n"/>
      <c r="AJ69" s="82" t="n">
        <v>-26.05</v>
      </c>
      <c r="AK69" s="82" t="n">
        <v>-23.03</v>
      </c>
      <c r="AL69" s="82" t="n">
        <v>-3.92</v>
      </c>
      <c r="AM69" s="83" t="n">
        <v>0.9</v>
      </c>
      <c r="AN69" s="75" t="n">
        <v>7.53</v>
      </c>
      <c r="AO69" s="82" t="n">
        <v>-26.89</v>
      </c>
      <c r="AP69" s="82" t="n">
        <v>-37.9</v>
      </c>
      <c r="AQ69" s="82" t="n">
        <v>-41.01</v>
      </c>
      <c r="AR69" s="82" t="n">
        <v>-1.14</v>
      </c>
      <c r="AS69" s="82" t="n">
        <v>-16.02</v>
      </c>
      <c r="AT69" s="82" t="n">
        <v>-20.23</v>
      </c>
      <c r="AU69" s="82" t="n">
        <v>-25.03</v>
      </c>
      <c r="AV69" s="82" t="n">
        <v>-38.55</v>
      </c>
      <c r="AW69" s="82" t="n">
        <v>-36.11</v>
      </c>
      <c r="AX69" s="82" t="n">
        <v>-14.79</v>
      </c>
      <c r="AY69" s="82" t="n">
        <v>0.65</v>
      </c>
      <c r="AZ69" s="82" t="n">
        <v>-1.23</v>
      </c>
      <c r="BA69" s="71" t="inlineStr">
        <is>
          <t>China Biotech ETF (HS biotech proxy)</t>
        </is>
      </c>
      <c r="BB69" s="82" t="n">
        <v>-73.91</v>
      </c>
      <c r="BC69" s="72" t="inlineStr">
        <is>
          <t>2026-09-23</t>
        </is>
      </c>
      <c r="BD69" s="73" t="n">
        <v>21.6</v>
      </c>
      <c r="BE69" s="76" t="n">
        <v>-4.1</v>
      </c>
      <c r="BF69" s="71" t="inlineStr">
        <is>
          <t>N</t>
        </is>
      </c>
      <c r="BG69" s="71" t="inlineStr">
        <is>
          <t>n/m</t>
        </is>
      </c>
      <c r="BH69" s="83" t="n"/>
      <c r="BI69" s="83" t="n">
        <v>14</v>
      </c>
      <c r="BJ69" s="83" t="n">
        <v>309.9</v>
      </c>
      <c r="BK69" s="84">
        <f>IF('BBG Verify'!S69="","not filed; run on terminal",'BBG Verify'!S69)</f>
        <v/>
      </c>
      <c r="BL69" s="85" t="inlineStr">
        <is>
          <t>N</t>
        </is>
      </c>
      <c r="BM69" s="86">
        <f>IF('BBG Verify'!K69="","not filed; run on terminal",'BBG Verify'!K69)</f>
        <v/>
      </c>
      <c r="BN69" s="71" t="inlineStr">
        <is>
          <t>N/A</t>
        </is>
      </c>
      <c r="BO69" s="71" t="inlineStr">
        <is>
          <t>N/A</t>
        </is>
      </c>
      <c r="BP69" s="71" t="inlineStr">
        <is>
          <t>N/A</t>
        </is>
      </c>
      <c r="BQ69" s="71" t="inlineStr">
        <is>
          <t>N/A</t>
        </is>
      </c>
      <c r="BR69" s="71" t="inlineStr">
        <is>
          <t>N/A</t>
        </is>
      </c>
      <c r="BS69" s="71" t="inlineStr">
        <is>
          <t>N/A</t>
        </is>
      </c>
      <c r="BT69" s="85" t="inlineStr">
        <is>
          <t>Morgan Stanley Asia Limited; China International Capital Corporation Hong Kong Securities Limited</t>
        </is>
      </c>
      <c r="BU69" s="71" t="inlineStr">
        <is>
          <t>China International Capital Corporation Hong Kong Securities Limited; Morgan Stanley Asia Limited</t>
        </is>
      </c>
      <c r="BV69" s="71" t="inlineStr">
        <is>
          <t>Morgan Stanley Asia Limited; Morgan Stanley &amp; Co. International plc; China Merchants Securities (HK) Co., Limited; Valuable Capital Limited</t>
        </is>
      </c>
      <c r="BW69" s="71" t="inlineStr">
        <is>
          <t>China International Capital Corporation Hong Kong Securities Limited; China Merchants Securities (HK) Company Limited; Morgan Stanley Asia Limited; Valuable Capital Limited</t>
        </is>
      </c>
      <c r="BX69" s="87">
        <f>HYPERLINK("https://www1.hkexnews.hk/listedco/listconews/sehk/2021/0812/2021081200017.pdf","prospectus")</f>
        <v/>
      </c>
      <c r="BY69" s="87">
        <f>HYPERLINK("https://www1.hkexnews.hk/listedco/listconews/sehk/2021/0823/2021082300014.htm","allotment")</f>
        <v/>
      </c>
      <c r="BZ69" s="87">
        <f>HYPERLINK("https://www1.hkexnews.hk/listedco/listconews/sehk/2021/0916/2021091601755.pdf","stabilisation")</f>
        <v/>
      </c>
      <c r="CA69" s="85" t="n"/>
      <c r="CB69" s="71" t="inlineStr">
        <is>
          <t>P/E: loss-making at IPO, use P/S; cornerstone: % from the prospectus; AAStocks table includes non-cornerstone orders; P/S: 310x on HK$21.6m revenue, effectively pre-revenue; not comparable; grey market: etnet's story of the session gave only the Phillip open (19.1, -19.7% vs offer) on 2021-08-23; no close was published</t>
        </is>
      </c>
    </row>
    <row r="70" ht="15" customHeight="1">
      <c r="A70" s="70" t="inlineStr">
        <is>
          <t>9869</t>
        </is>
      </c>
      <c r="B70" s="71" t="inlineStr">
        <is>
          <t>HELENS</t>
        </is>
      </c>
      <c r="C70" s="71" t="inlineStr">
        <is>
          <t>海倫司</t>
        </is>
      </c>
      <c r="D70" s="71" t="inlineStr">
        <is>
          <t>Consumer</t>
        </is>
      </c>
      <c r="E70" s="71" t="inlineStr">
        <is>
          <t>F&amp;B chains / restaurants</t>
        </is>
      </c>
      <c r="F70" s="71" t="inlineStr">
        <is>
          <t>Restaurants</t>
        </is>
      </c>
      <c r="G70" s="71" t="inlineStr">
        <is>
          <t>Standard</t>
        </is>
      </c>
      <c r="H70" s="72" t="n">
        <v>44449</v>
      </c>
      <c r="I70" s="73" t="n">
        <v>2662</v>
      </c>
      <c r="J70" s="71" t="inlineStr">
        <is>
          <t>gross (price x shares)</t>
        </is>
      </c>
      <c r="K70" s="74" t="n">
        <v>18.82</v>
      </c>
      <c r="L70" s="74" t="n">
        <v>20.72</v>
      </c>
      <c r="M70" s="74" t="n">
        <v>19.77</v>
      </c>
      <c r="N70" s="71" t="inlineStr">
        <is>
          <t>N</t>
        </is>
      </c>
      <c r="O70" s="75" t="n">
        <v>95.40000000000001</v>
      </c>
      <c r="P70" s="75" t="n">
        <v>50</v>
      </c>
      <c r="Q70" s="76" t="n">
        <v>27135.6</v>
      </c>
      <c r="R70" s="71" t="inlineStr">
        <is>
          <t>prospectus:stated market capitalisation, rescaled to the offer price</t>
        </is>
      </c>
      <c r="S70" s="77" t="n">
        <v>30.8</v>
      </c>
      <c r="T70" s="78" t="n">
        <v>25.58</v>
      </c>
      <c r="U70" s="79" t="n">
        <v>0</v>
      </c>
      <c r="V70" s="80" t="n">
        <v>145</v>
      </c>
      <c r="W70" s="75" t="n"/>
      <c r="X70" s="71" t="n"/>
      <c r="Y70" s="76" t="n">
        <v>2662</v>
      </c>
      <c r="Z70" s="76" t="n">
        <v>134650000</v>
      </c>
      <c r="AA70" s="75" t="n">
        <v>9.81</v>
      </c>
      <c r="AB70" s="71" t="n"/>
      <c r="AC70" s="71" t="n"/>
      <c r="AD70" s="75" t="n">
        <v>19.4478</v>
      </c>
      <c r="AE70" s="71" t="inlineStr">
        <is>
          <t>full</t>
        </is>
      </c>
      <c r="AF70" s="71" t="inlineStr">
        <is>
          <t>2021-10-03</t>
        </is>
      </c>
      <c r="AG70" s="71" t="inlineStr">
        <is>
          <t>China International Capital Corporation Hong Kong Securities Limited</t>
        </is>
      </c>
      <c r="AH70" s="71" t="inlineStr">
        <is>
          <t>China International</t>
        </is>
      </c>
      <c r="AI70" s="81" t="n"/>
      <c r="AJ70" s="82" t="n">
        <v>22.91</v>
      </c>
      <c r="AK70" s="82" t="n">
        <v>16.59</v>
      </c>
      <c r="AL70" s="82" t="n">
        <v>5.42</v>
      </c>
      <c r="AM70" s="83" t="n"/>
      <c r="AN70" s="75" t="n">
        <v>11.93</v>
      </c>
      <c r="AO70" s="82" t="n">
        <v>16.34</v>
      </c>
      <c r="AP70" s="82" t="n">
        <v>2.93</v>
      </c>
      <c r="AQ70" s="82" t="n">
        <v>4.96</v>
      </c>
      <c r="AR70" s="82" t="n">
        <v>-5.35</v>
      </c>
      <c r="AS70" s="82" t="n">
        <v>-16.26</v>
      </c>
      <c r="AT70" s="82" t="n">
        <v>-14.6</v>
      </c>
      <c r="AU70" s="82" t="n">
        <v>19.3</v>
      </c>
      <c r="AV70" s="82" t="n">
        <v>5.11</v>
      </c>
      <c r="AW70" s="82" t="n">
        <v>16.34</v>
      </c>
      <c r="AX70" s="82" t="n">
        <v>-12.02</v>
      </c>
      <c r="AY70" s="82" t="n">
        <v>-2.18</v>
      </c>
      <c r="AZ70" s="82" t="n">
        <v>-4.24</v>
      </c>
      <c r="BA70" s="71" t="inlineStr">
        <is>
          <t>Hang Seng Commerce &amp; Industry sub-index</t>
        </is>
      </c>
      <c r="BB70" s="82" t="n">
        <v>-95.31999999999999</v>
      </c>
      <c r="BC70" s="72" t="inlineStr">
        <is>
          <t>2026-09-23</t>
        </is>
      </c>
      <c r="BD70" s="73" t="n">
        <v>899.7</v>
      </c>
      <c r="BE70" s="76" t="n">
        <v>106.7</v>
      </c>
      <c r="BF70" s="71" t="inlineStr">
        <is>
          <t>Y</t>
        </is>
      </c>
      <c r="BG70" s="83" t="n">
        <v>254.3</v>
      </c>
      <c r="BH70" s="83" t="n"/>
      <c r="BI70" s="83" t="n">
        <v>49.6</v>
      </c>
      <c r="BJ70" s="83" t="n">
        <v>30.2</v>
      </c>
      <c r="BK70" s="84">
        <f>IF('BBG Verify'!S70="","not filed; run on terminal",'BBG Verify'!S70)</f>
        <v/>
      </c>
      <c r="BL70" s="85" t="inlineStr">
        <is>
          <t>N</t>
        </is>
      </c>
      <c r="BM70" s="86">
        <f>IF('BBG Verify'!K70="","not filed; run on terminal",'BBG Verify'!K70)</f>
        <v/>
      </c>
      <c r="BN70" s="71" t="inlineStr">
        <is>
          <t>N/A</t>
        </is>
      </c>
      <c r="BO70" s="71" t="inlineStr">
        <is>
          <t>N/A</t>
        </is>
      </c>
      <c r="BP70" s="71" t="inlineStr">
        <is>
          <t>N/A</t>
        </is>
      </c>
      <c r="BQ70" s="71" t="inlineStr">
        <is>
          <t>N/A</t>
        </is>
      </c>
      <c r="BR70" s="71" t="inlineStr">
        <is>
          <t>N/A</t>
        </is>
      </c>
      <c r="BS70" s="71" t="inlineStr">
        <is>
          <t>N/A</t>
        </is>
      </c>
      <c r="BT70" s="8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U70" s="71" t="inlineStr">
        <is>
          <t>China International Capital Corporation Hong Kong Securities Limited</t>
        </is>
      </c>
      <c r="BV70" s="71" t="inlineStr">
        <is>
          <t>China International Capital Corporation Hong Kong Securities Limited</t>
        </is>
      </c>
      <c r="BW70" s="71" t="inlineStr">
        <is>
          <t>China International Capital Corporation Hong Kong Securities Limited</t>
        </is>
      </c>
      <c r="BX70" s="87">
        <f>HYPERLINK("https://www1.hkexnews.hk/listedco/listconews/sehk/2021/0831/2021083100011.pdf","prospectus")</f>
        <v/>
      </c>
      <c r="BY70" s="87">
        <f>HYPERLINK("https://www1.hkexnews.hk/listedco/listconews/sehk/2021/0909/2021090900010.htm","allotment")</f>
        <v/>
      </c>
      <c r="BZ70" s="87">
        <f>HYPERLINK("https://www1.hkexnews.hk/listedco/listconews/sehk/2021/1003/2021100300023.pdf","stabilisation")</f>
        <v/>
      </c>
      <c r="CA70" s="85" t="n"/>
      <c r="CB70" s="71" t="inlineStr">
        <is>
          <t>market cap: prospectus cap HK$25,832m at HK$18.82, rescaled to HK$19.77; cornerstone list: no cornerstone tranche;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71" ht="15" customHeight="1">
      <c r="A71" s="70" t="inlineStr">
        <is>
          <t>2216</t>
        </is>
      </c>
      <c r="B71" s="71" t="inlineStr">
        <is>
          <t>BRONCUS-B</t>
        </is>
      </c>
      <c r="C71" s="71" t="inlineStr">
        <is>
          <t>堃博醫療－Ｂ</t>
        </is>
      </c>
      <c r="D71" s="71" t="inlineStr">
        <is>
          <t>Healthcare</t>
        </is>
      </c>
      <c r="E71" s="71" t="inlineStr">
        <is>
          <t>Medical devices</t>
        </is>
      </c>
      <c r="F71" s="71" t="inlineStr">
        <is>
          <t>Biotechnology</t>
        </is>
      </c>
      <c r="G71" s="71" t="inlineStr">
        <is>
          <t>18A</t>
        </is>
      </c>
      <c r="H71" s="72" t="n">
        <v>44463</v>
      </c>
      <c r="I71" s="73" t="n">
        <v>1670.9</v>
      </c>
      <c r="J71" s="71" t="inlineStr">
        <is>
          <t>gross (price x shares)</t>
        </is>
      </c>
      <c r="K71" s="74" t="n">
        <v>17.2</v>
      </c>
      <c r="L71" s="74" t="n">
        <v>18.7</v>
      </c>
      <c r="M71" s="74" t="n">
        <v>18.7</v>
      </c>
      <c r="N71" s="71" t="inlineStr">
        <is>
          <t>Y</t>
        </is>
      </c>
      <c r="O71" s="75" t="n">
        <v>100</v>
      </c>
      <c r="P71" s="75" t="n">
        <v>100</v>
      </c>
      <c r="Q71" s="76" t="n">
        <v>9435</v>
      </c>
      <c r="R71" s="71" t="inlineStr">
        <is>
          <t>prospectus:stated market capitalisation</t>
        </is>
      </c>
      <c r="S71" s="77" t="n">
        <v>11.13</v>
      </c>
      <c r="T71" s="78" t="n">
        <v>4.1</v>
      </c>
      <c r="U71" s="79" t="n">
        <v>42.3</v>
      </c>
      <c r="V71" s="80" t="n">
        <v>103</v>
      </c>
      <c r="W71" s="75" t="n"/>
      <c r="X71" s="71" t="n"/>
      <c r="Y71" s="76" t="n">
        <v>964.11</v>
      </c>
      <c r="Z71" s="76" t="n">
        <v>51557835</v>
      </c>
      <c r="AA71" s="75" t="n">
        <v>10.22</v>
      </c>
      <c r="AB71" s="71"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AC71" s="71" t="inlineStr">
        <is>
          <t>artisan;cephei;emerging;lake;snow;springhill;summer;valliance;ubs;healthcare</t>
        </is>
      </c>
      <c r="AD71" s="75" t="n">
        <v>7</v>
      </c>
      <c r="AE71" s="71" t="inlineStr">
        <is>
          <t>lapsed</t>
        </is>
      </c>
      <c r="AF71" s="71" t="inlineStr">
        <is>
          <t>2021-10-16</t>
        </is>
      </c>
      <c r="AG71" s="71" t="inlineStr">
        <is>
          <t>Goldman Sachs</t>
        </is>
      </c>
      <c r="AH71" s="71" t="inlineStr">
        <is>
          <t>Goldman Sachs</t>
        </is>
      </c>
      <c r="AI71" s="81" t="n"/>
      <c r="AJ71" s="82" t="n">
        <v>-19.79</v>
      </c>
      <c r="AK71" s="82" t="n">
        <v>-3.74</v>
      </c>
      <c r="AL71" s="82" t="n">
        <v>-16.67</v>
      </c>
      <c r="AM71" s="83" t="n"/>
      <c r="AN71" s="75" t="n">
        <v>18.89</v>
      </c>
      <c r="AO71" s="82" t="n">
        <v>-27.81</v>
      </c>
      <c r="AP71" s="82" t="n">
        <v>-39.57</v>
      </c>
      <c r="AQ71" s="82" t="n">
        <v>-56.74</v>
      </c>
      <c r="AR71" s="82" t="n">
        <v>-10</v>
      </c>
      <c r="AS71" s="82" t="n">
        <v>-24.66</v>
      </c>
      <c r="AT71" s="82" t="n">
        <v>-46.07</v>
      </c>
      <c r="AU71" s="82" t="n">
        <v>-25.6</v>
      </c>
      <c r="AV71" s="82" t="n">
        <v>-32.85</v>
      </c>
      <c r="AW71" s="82" t="n">
        <v>-40.49</v>
      </c>
      <c r="AX71" s="82" t="n">
        <v>-18.1</v>
      </c>
      <c r="AY71" s="82" t="n">
        <v>-6.72</v>
      </c>
      <c r="AZ71" s="82" t="n">
        <v>-6.56</v>
      </c>
      <c r="BA71" s="71" t="inlineStr">
        <is>
          <t>China Biotech ETF (HS biotech proxy)</t>
        </is>
      </c>
      <c r="BB71" s="82" t="n">
        <v>-95.94</v>
      </c>
      <c r="BC71" s="72" t="inlineStr">
        <is>
          <t>2026-09-23</t>
        </is>
      </c>
      <c r="BD71" s="73" t="n">
        <v>4.1</v>
      </c>
      <c r="BE71" s="76" t="n"/>
      <c r="BF71" s="71" t="n"/>
      <c r="BG71" s="84">
        <f>IF('BBG Verify'!O71="","not filed; run on terminal",'BBG Verify'!O71)</f>
        <v/>
      </c>
      <c r="BH71" s="83" t="n"/>
      <c r="BI71" s="83" t="n"/>
      <c r="BJ71" s="83" t="n">
        <v>2301.2</v>
      </c>
      <c r="BK71" s="84">
        <f>IF('BBG Verify'!S71="","not filed; run on terminal",'BBG Verify'!S71)</f>
        <v/>
      </c>
      <c r="BL71" s="85" t="inlineStr">
        <is>
          <t>N</t>
        </is>
      </c>
      <c r="BM71" s="86">
        <f>IF('BBG Verify'!K71="","not filed; run on terminal",'BBG Verify'!K71)</f>
        <v/>
      </c>
      <c r="BN71" s="71" t="inlineStr">
        <is>
          <t>N/A</t>
        </is>
      </c>
      <c r="BO71" s="71" t="inlineStr">
        <is>
          <t>N/A</t>
        </is>
      </c>
      <c r="BP71" s="71" t="inlineStr">
        <is>
          <t>N/A</t>
        </is>
      </c>
      <c r="BQ71" s="71" t="inlineStr">
        <is>
          <t>N/A</t>
        </is>
      </c>
      <c r="BR71" s="71" t="inlineStr">
        <is>
          <t>N/A</t>
        </is>
      </c>
      <c r="BS71" s="71" t="inlineStr">
        <is>
          <t>N/A</t>
        </is>
      </c>
      <c r="BT71" s="85" t="inlineStr">
        <is>
          <t>Goldman Sachs (Asia) L.L.C; Haitong International Capital Limited</t>
        </is>
      </c>
      <c r="BU71" s="71" t="inlineStr">
        <is>
          <t>Haitong International Capital Limited; Goldman Sachs (Asia) L.L.C.</t>
        </is>
      </c>
      <c r="BV71" s="71"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W71" s="71"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X71" s="87">
        <f>HYPERLINK("https://www1.hkexnews.hk/listedco/listconews/sehk/2021/0913/2021091300015.pdf","prospectus")</f>
        <v/>
      </c>
      <c r="BY71" s="87">
        <f>HYPERLINK("https://www1.hkexnews.hk/listedco/listconews/sehk/2021/0923/2021092300020.htm","allotment")</f>
        <v/>
      </c>
      <c r="BZ71" s="87">
        <f>HYPERLINK("https://www1.hkexnews.hk/listedco/listconews/sehk/2021/1017/2021101700017.pdf","stabilisation")</f>
        <v/>
      </c>
      <c r="CA71" s="85" t="n"/>
      <c r="CB71" s="71" t="inlineStr">
        <is>
          <t>P/E: net income not extractable; P/S: 2,301x on HK$4.1m revenue, effectively pre-revenue; not comparable; financials: not extractable; pre-IPO year outside the AAStocks window;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72" ht="15" customHeight="1">
      <c r="A72" s="70" t="inlineStr">
        <is>
          <t>9889</t>
        </is>
      </c>
      <c r="B72" s="71" t="inlineStr">
        <is>
          <t>DRCB</t>
        </is>
      </c>
      <c r="C72" s="71" t="inlineStr">
        <is>
          <t>東莞農商銀行</t>
        </is>
      </c>
      <c r="D72" s="71" t="inlineStr">
        <is>
          <t>Financials</t>
        </is>
      </c>
      <c r="E72" s="71" t="inlineStr">
        <is>
          <t>Banks</t>
        </is>
      </c>
      <c r="F72" s="71" t="inlineStr">
        <is>
          <t>Diversified Banks</t>
        </is>
      </c>
      <c r="G72" s="71" t="inlineStr">
        <is>
          <t>Standard</t>
        </is>
      </c>
      <c r="H72" s="72" t="n">
        <v>44468</v>
      </c>
      <c r="I72" s="73" t="n">
        <v>8881.700000000001</v>
      </c>
      <c r="J72" s="71" t="inlineStr">
        <is>
          <t>net proceeds</t>
        </is>
      </c>
      <c r="K72" s="74" t="n"/>
      <c r="L72" s="74" t="n">
        <v>7.92</v>
      </c>
      <c r="M72" s="74" t="n">
        <v>7.92</v>
      </c>
      <c r="N72" s="71" t="inlineStr">
        <is>
          <t>Y</t>
        </is>
      </c>
      <c r="O72" s="75" t="n">
        <v>100</v>
      </c>
      <c r="P72" s="75" t="n"/>
      <c r="Q72" s="76" t="n">
        <v>57278.2</v>
      </c>
      <c r="R72" s="71" t="inlineStr">
        <is>
          <t>aastocks:上市市值 at the struck price</t>
        </is>
      </c>
      <c r="S72" s="77" t="n">
        <v>0.22</v>
      </c>
      <c r="T72" s="78" t="n">
        <v>1.18</v>
      </c>
      <c r="U72" s="79" t="n">
        <v>11.3</v>
      </c>
      <c r="V72" s="80" t="n">
        <v>126</v>
      </c>
      <c r="W72" s="75" t="n">
        <v>2.25</v>
      </c>
      <c r="X72" s="71" t="inlineStr">
        <is>
          <t>NO</t>
        </is>
      </c>
      <c r="Y72" s="76" t="n">
        <v>7878.07</v>
      </c>
      <c r="Z72" s="76" t="n"/>
      <c r="AA72" s="75" t="n">
        <v>13.75</v>
      </c>
      <c r="AB72" s="71" t="inlineStr">
        <is>
          <t>Fook Man Development Company Limited</t>
        </is>
      </c>
      <c r="AC72" s="71" t="inlineStr">
        <is>
          <t>fook</t>
        </is>
      </c>
      <c r="AD72" s="75" t="n">
        <v>16.67</v>
      </c>
      <c r="AE72" s="71" t="inlineStr">
        <is>
          <t>lapsed (no over-allocation)</t>
        </is>
      </c>
      <c r="AF72" s="71" t="n"/>
      <c r="AG72" s="71" t="inlineStr">
        <is>
          <t>ABCI Securities Company Limited</t>
        </is>
      </c>
      <c r="AH72" s="71" t="inlineStr">
        <is>
          <t>ABCI</t>
        </is>
      </c>
      <c r="AI72" s="81" t="n">
        <v>-5.3</v>
      </c>
      <c r="AJ72" s="82" t="n">
        <v>4.17</v>
      </c>
      <c r="AK72" s="82" t="n">
        <v>1.01</v>
      </c>
      <c r="AL72" s="82" t="n">
        <v>3.13</v>
      </c>
      <c r="AM72" s="83" t="n">
        <v>1.13</v>
      </c>
      <c r="AN72" s="75" t="n">
        <v>23.63</v>
      </c>
      <c r="AO72" s="82" t="n">
        <v>-4.92</v>
      </c>
      <c r="AP72" s="82" t="n">
        <v>-8.59</v>
      </c>
      <c r="AQ72" s="82" t="n">
        <v>-4.67</v>
      </c>
      <c r="AR72" s="82" t="n">
        <v>-8.73</v>
      </c>
      <c r="AS72" s="82" t="n">
        <v>-12.25</v>
      </c>
      <c r="AT72" s="82" t="n">
        <v>-8.49</v>
      </c>
      <c r="AU72" s="82" t="n">
        <v>-8.08</v>
      </c>
      <c r="AV72" s="82" t="n">
        <v>-12.64</v>
      </c>
      <c r="AW72" s="82" t="n">
        <v>-6</v>
      </c>
      <c r="AX72" s="82" t="n">
        <v>-14.52</v>
      </c>
      <c r="AY72" s="82" t="n">
        <v>4.05</v>
      </c>
      <c r="AZ72" s="82" t="n">
        <v>2.27</v>
      </c>
      <c r="BA72" s="71" t="inlineStr">
        <is>
          <t>Hang Seng Finance sub-index</t>
        </is>
      </c>
      <c r="BB72" s="82" t="n">
        <v>-60.67</v>
      </c>
      <c r="BC72" s="72" t="inlineStr">
        <is>
          <t>2026-09-23</t>
        </is>
      </c>
      <c r="BD72" s="73" t="n"/>
      <c r="BE72" s="76" t="n"/>
      <c r="BF72" s="71" t="n"/>
      <c r="BG72" s="84">
        <f>IF('BBG Verify'!O72="","not filed; run on terminal",'BBG Verify'!O72)</f>
        <v/>
      </c>
      <c r="BH72" s="83" t="n"/>
      <c r="BI72" s="83" t="n">
        <v>5</v>
      </c>
      <c r="BJ72" s="83" t="n"/>
      <c r="BK72" s="84">
        <f>IF('BBG Verify'!S72="","not filed; run on terminal",'BBG Verify'!S72)</f>
        <v/>
      </c>
      <c r="BL72" s="85" t="inlineStr">
        <is>
          <t>N</t>
        </is>
      </c>
      <c r="BM72" s="86">
        <f>IF('BBG Verify'!K72="","not filed; run on terminal",'BBG Verify'!K72)</f>
        <v/>
      </c>
      <c r="BN72" s="71" t="inlineStr">
        <is>
          <t>N/A</t>
        </is>
      </c>
      <c r="BO72" s="71" t="inlineStr">
        <is>
          <t>N/A</t>
        </is>
      </c>
      <c r="BP72" s="71" t="inlineStr">
        <is>
          <t>N/A</t>
        </is>
      </c>
      <c r="BQ72" s="71" t="inlineStr">
        <is>
          <t>N/A</t>
        </is>
      </c>
      <c r="BR72" s="71" t="inlineStr">
        <is>
          <t>N/A</t>
        </is>
      </c>
      <c r="BS72" s="71" t="inlineStr">
        <is>
          <t>N/A</t>
        </is>
      </c>
      <c r="BT72" s="85" t="n"/>
      <c r="BU72" s="71" t="inlineStr">
        <is>
          <t>CMB International Capital Limited; China Merchants Securities (HK) Company Limited; ICBC International Capital Limited; ABCI Capital Limited</t>
        </is>
      </c>
      <c r="BV72" s="71" t="inlineStr">
        <is>
          <t>ABCI Securities Company Limited; AMTD Global Markets Limited; CCB International Capital Limited; CMB International Capital Limited; China Merchants Securities (HK) Company Limited; Fortune (HK) Securities Limited</t>
        </is>
      </c>
      <c r="BW72" s="71"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X72" s="87">
        <f>HYPERLINK("https://www1.hkexnews.hk/listedco/listconews/sehk/2021/0916/2021091600052.htm","prospectus")</f>
        <v/>
      </c>
      <c r="BY72" s="87">
        <f>HYPERLINK("https://www1.hkexnews.hk/listedco/listconews/sehk/2021/0928/2021092800010.htm","allotment")</f>
        <v/>
      </c>
      <c r="BZ72" s="87">
        <f>HYPERLINK("https://www1.hkexnews.hk/listedco/listconews/sehk/2021/1021/2021102100557.pdf","stabilisation")</f>
        <v/>
      </c>
      <c r="CA72" s="85" t="n"/>
      <c r="CB72"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eff float shares: share count unavailable; the HK$m figure is exact</t>
        </is>
      </c>
    </row>
    <row r="73" ht="15" customHeight="1">
      <c r="A73" s="70" t="inlineStr">
        <is>
          <t>6628</t>
        </is>
      </c>
      <c r="B73" s="71" t="inlineStr">
        <is>
          <t>TRANSCENTA-B</t>
        </is>
      </c>
      <c r="C73" s="71" t="inlineStr">
        <is>
          <t>創勝集團醫藥－Ｂ</t>
        </is>
      </c>
      <c r="D73" s="71" t="inlineStr">
        <is>
          <t>Healthcare</t>
        </is>
      </c>
      <c r="E73" s="71" t="inlineStr">
        <is>
          <t>Biotech pre-revenue (18A)</t>
        </is>
      </c>
      <c r="F73" s="71" t="inlineStr">
        <is>
          <t>Biotechnology</t>
        </is>
      </c>
      <c r="G73" s="71" t="inlineStr">
        <is>
          <t>18A</t>
        </is>
      </c>
      <c r="H73" s="72" t="n">
        <v>44468</v>
      </c>
      <c r="I73" s="73" t="n">
        <v>645.3</v>
      </c>
      <c r="J73" s="71" t="inlineStr">
        <is>
          <t>gross (price x shares)</t>
        </is>
      </c>
      <c r="K73" s="74" t="n"/>
      <c r="L73" s="74" t="n">
        <v>16</v>
      </c>
      <c r="M73" s="74" t="n">
        <v>16</v>
      </c>
      <c r="N73" s="71" t="inlineStr">
        <is>
          <t>Y</t>
        </is>
      </c>
      <c r="O73" s="75" t="n">
        <v>100</v>
      </c>
      <c r="P73" s="75" t="n"/>
      <c r="Q73" s="76" t="n">
        <v>6265</v>
      </c>
      <c r="R73" s="71" t="inlineStr">
        <is>
          <t>derived:deal size / offer % of enlarged capital</t>
        </is>
      </c>
      <c r="S73" s="77" t="n">
        <v>60.7</v>
      </c>
      <c r="T73" s="78" t="n">
        <v>2.1</v>
      </c>
      <c r="U73" s="79" t="n">
        <v>82.2</v>
      </c>
      <c r="V73" s="80" t="n">
        <v>109</v>
      </c>
      <c r="W73" s="75" t="n"/>
      <c r="X73" s="71" t="n"/>
      <c r="Y73" s="76" t="n">
        <v>114.86</v>
      </c>
      <c r="Z73" s="76" t="n">
        <v>7178740</v>
      </c>
      <c r="AA73" s="75" t="n">
        <v>1.83</v>
      </c>
      <c r="AB73" s="71" t="inlineStr">
        <is>
          <t>China Structural Reform Fund Corporation Limited; LAV Biosciences Fund V, L.P</t>
        </is>
      </c>
      <c r="AC73" s="71" t="inlineStr">
        <is>
          <t>structural;lav</t>
        </is>
      </c>
      <c r="AD73" s="75" t="n">
        <v>15.1</v>
      </c>
      <c r="AE73" s="71" t="inlineStr">
        <is>
          <t>lapsed</t>
        </is>
      </c>
      <c r="AF73" s="71" t="inlineStr">
        <is>
          <t>2021-10-17</t>
        </is>
      </c>
      <c r="AG73" s="71" t="inlineStr">
        <is>
          <t>Goldman Sachs</t>
        </is>
      </c>
      <c r="AH73" s="71" t="inlineStr">
        <is>
          <t>Goldman Sachs</t>
        </is>
      </c>
      <c r="AI73" s="81" t="n">
        <v>-17.75</v>
      </c>
      <c r="AJ73" s="82" t="n">
        <v>-17.25</v>
      </c>
      <c r="AK73" s="82" t="n">
        <v>-18.75</v>
      </c>
      <c r="AL73" s="82" t="n">
        <v>1.85</v>
      </c>
      <c r="AM73" s="83" t="n"/>
      <c r="AN73" s="75" t="n">
        <v>9.69</v>
      </c>
      <c r="AO73" s="82" t="n">
        <v>-3.12</v>
      </c>
      <c r="AP73" s="82" t="n">
        <v>-43.81</v>
      </c>
      <c r="AQ73" s="82" t="n">
        <v>-42.5</v>
      </c>
      <c r="AR73" s="82" t="n">
        <v>17.08</v>
      </c>
      <c r="AS73" s="82" t="n">
        <v>-32.1</v>
      </c>
      <c r="AT73" s="82" t="n">
        <v>-30.51</v>
      </c>
      <c r="AU73" s="82" t="n">
        <v>-1.95</v>
      </c>
      <c r="AV73" s="82" t="n">
        <v>-34.62</v>
      </c>
      <c r="AW73" s="82" t="n">
        <v>-26.95</v>
      </c>
      <c r="AX73" s="82" t="n">
        <v>-24.03</v>
      </c>
      <c r="AY73" s="82" t="n">
        <v>-9.19</v>
      </c>
      <c r="AZ73" s="82" t="n">
        <v>-8.07</v>
      </c>
      <c r="BA73" s="71" t="inlineStr">
        <is>
          <t>China Biotech ETF (HS biotech proxy)</t>
        </is>
      </c>
      <c r="BB73" s="82" t="n">
        <v>-93.09</v>
      </c>
      <c r="BC73" s="72" t="inlineStr">
        <is>
          <t>2026-09-23</t>
        </is>
      </c>
      <c r="BD73" s="73" t="n">
        <v>7.5</v>
      </c>
      <c r="BE73" s="76" t="n">
        <v>-27.3</v>
      </c>
      <c r="BF73" s="71" t="inlineStr">
        <is>
          <t>N</t>
        </is>
      </c>
      <c r="BG73" s="71" t="inlineStr">
        <is>
          <t>n/m</t>
        </is>
      </c>
      <c r="BH73" s="83" t="n"/>
      <c r="BI73" s="83" t="n"/>
      <c r="BJ73" s="83" t="n">
        <v>835.3</v>
      </c>
      <c r="BK73" s="84">
        <f>IF('BBG Verify'!S73="","not filed; run on terminal",'BBG Verify'!S73)</f>
        <v/>
      </c>
      <c r="BL73" s="85" t="inlineStr">
        <is>
          <t>N</t>
        </is>
      </c>
      <c r="BM73" s="86">
        <f>IF('BBG Verify'!K73="","not filed; run on terminal",'BBG Verify'!K73)</f>
        <v/>
      </c>
      <c r="BN73" s="71" t="inlineStr">
        <is>
          <t>N/A</t>
        </is>
      </c>
      <c r="BO73" s="71" t="inlineStr">
        <is>
          <t>N/A</t>
        </is>
      </c>
      <c r="BP73" s="71" t="inlineStr">
        <is>
          <t>N/A</t>
        </is>
      </c>
      <c r="BQ73" s="71" t="inlineStr">
        <is>
          <t>N/A</t>
        </is>
      </c>
      <c r="BR73" s="71" t="inlineStr">
        <is>
          <t>N/A</t>
        </is>
      </c>
      <c r="BS73" s="71" t="inlineStr">
        <is>
          <t>N/A</t>
        </is>
      </c>
      <c r="BT73" s="8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U73" s="71" t="inlineStr">
        <is>
          <t>China International Capital Corporation Hong Kong Securities Limited; Goldman Sachs (Asia) L.L.C.</t>
        </is>
      </c>
      <c r="BV73" s="71" t="inlineStr">
        <is>
          <t>BOCI Asia Limited; China International Capital Corporation Hong Kong Securities Limited; China Renaissance Securities (Hong Kong) Limited; Goldman Sachs (Asia) L.L.C.</t>
        </is>
      </c>
      <c r="BW73" s="71" t="inlineStr">
        <is>
          <t>BOCI Asia Limited; China International Capital Corporation Hong Kong Securities Limited; China Renaissance Securities (Hong Kong) Limited; Goldman Sachs (Asia) L.L.C.</t>
        </is>
      </c>
      <c r="BX73" s="87">
        <f>HYPERLINK("https://www1.hkexnews.hk/listedco/listconews/sehk/2021/0914/2021091400015.pdf","prospectus")</f>
        <v/>
      </c>
      <c r="BY73" s="87">
        <f>HYPERLINK("https://www1.hkexnews.hk/listedco/listconews/sehk/2021/0928/2021092800028.htm","allotment")</f>
        <v/>
      </c>
      <c r="BZ73" s="87">
        <f>HYPERLINK("https://www1.hkexnews.hk/listedco/listconews/sehk/2021/1017/2021101700005.pdf","stabilisation")</f>
        <v/>
      </c>
      <c r="CA73" s="85" t="n"/>
      <c r="CB73" s="71" t="inlineStr">
        <is>
          <t>P/E: loss-making at IPO, use P/S; range low: maximum offer price only, no floor published; cornerstone: table parse 83% rejected (institutional total implies 46%); the filed aggregate-amount sentence used; P/S: 835x on HK$7.5m revenue, effectively pre-revenue; not comparable; allocation: allocation table not in this notice's format (older prose announcement); day-1 tape: volume on file; the retail multiple needs the final public split, which this notice does not state</t>
        </is>
      </c>
    </row>
    <row r="74" ht="15" customHeight="1">
      <c r="A74" s="70" t="inlineStr">
        <is>
          <t>2378</t>
        </is>
      </c>
      <c r="B74" s="71" t="inlineStr">
        <is>
          <t>PRU</t>
        </is>
      </c>
      <c r="C74" s="71" t="inlineStr">
        <is>
          <t>保誠</t>
        </is>
      </c>
      <c r="D74" s="71" t="inlineStr">
        <is>
          <t>Financials</t>
        </is>
      </c>
      <c r="E74" s="71" t="inlineStr">
        <is>
          <t>Insurance</t>
        </is>
      </c>
      <c r="F74" s="71" t="n"/>
      <c r="G74" s="71" t="inlineStr">
        <is>
          <t>Standard</t>
        </is>
      </c>
      <c r="H74" s="72" t="n">
        <v>44473</v>
      </c>
      <c r="I74" s="73" t="n">
        <v>18500</v>
      </c>
      <c r="J74" s="71" t="inlineStr">
        <is>
          <t>net proceeds</t>
        </is>
      </c>
      <c r="K74" s="74" t="n"/>
      <c r="L74" s="74" t="n">
        <v>172</v>
      </c>
      <c r="M74" s="74" t="n">
        <v>143.8</v>
      </c>
      <c r="N74" s="71" t="inlineStr">
        <is>
          <t>N</t>
        </is>
      </c>
      <c r="O74" s="75" t="n">
        <v>83.59999999999999</v>
      </c>
      <c r="P74" s="75" t="n"/>
      <c r="Q74" s="76" t="n">
        <v>394931.5</v>
      </c>
      <c r="R74" s="71" t="inlineStr">
        <is>
          <t>derived:price x shares upon listing</t>
        </is>
      </c>
      <c r="S74" s="77" t="n">
        <v>1.43</v>
      </c>
      <c r="T74" s="78" t="n">
        <v>1.43</v>
      </c>
      <c r="U74" s="79" t="n"/>
      <c r="V74" s="80" t="n"/>
      <c r="W74" s="75" t="n"/>
      <c r="X74" s="71" t="n"/>
      <c r="Y74" s="76" t="n">
        <v>18500</v>
      </c>
      <c r="Z74" s="76" t="n"/>
      <c r="AA74" s="75" t="n">
        <v>4.68</v>
      </c>
      <c r="AB74" s="71" t="n"/>
      <c r="AC74" s="71" t="n"/>
      <c r="AD74" s="75" t="n"/>
      <c r="AE74" s="71" t="n"/>
      <c r="AF74" s="71" t="n"/>
      <c r="AG74" s="71" t="n"/>
      <c r="AH74" s="71" t="n"/>
      <c r="AI74" s="81" t="n"/>
      <c r="AJ74" s="82" t="n">
        <v>4.73</v>
      </c>
      <c r="AK74" s="82" t="n">
        <v>4.38</v>
      </c>
      <c r="AL74" s="82" t="n">
        <v>0.34</v>
      </c>
      <c r="AM74" s="83" t="n"/>
      <c r="AN74" s="75" t="n">
        <v>1.93</v>
      </c>
      <c r="AO74" s="82" t="n">
        <v>10.64</v>
      </c>
      <c r="AP74" s="82" t="n">
        <v>8.9</v>
      </c>
      <c r="AQ74" s="82" t="n">
        <v>-6.05</v>
      </c>
      <c r="AR74" s="82" t="n">
        <v>5.64</v>
      </c>
      <c r="AS74" s="82" t="n">
        <v>3.98</v>
      </c>
      <c r="AT74" s="82" t="n">
        <v>-10.29</v>
      </c>
      <c r="AU74" s="82" t="n">
        <v>8.119999999999999</v>
      </c>
      <c r="AV74" s="82" t="n">
        <v>7.57</v>
      </c>
      <c r="AW74" s="82" t="n">
        <v>-6.76</v>
      </c>
      <c r="AX74" s="82" t="n">
        <v>0.88</v>
      </c>
      <c r="AY74" s="82" t="n">
        <v>1.33</v>
      </c>
      <c r="AZ74" s="82" t="n">
        <v>3.1</v>
      </c>
      <c r="BA74" s="71" t="inlineStr">
        <is>
          <t>Hang Seng Finance sub-index</t>
        </is>
      </c>
      <c r="BB74" s="82" t="n">
        <v>-30.6</v>
      </c>
      <c r="BC74" s="72" t="inlineStr">
        <is>
          <t>2026-09-23</t>
        </is>
      </c>
      <c r="BD74" s="73" t="n"/>
      <c r="BE74" s="76" t="n"/>
      <c r="BF74" s="71" t="n"/>
      <c r="BG74" s="83" t="n">
        <v>17.4</v>
      </c>
      <c r="BH74" s="83" t="n">
        <v>17.4</v>
      </c>
      <c r="BI74" s="83" t="n">
        <v>8.800000000000001</v>
      </c>
      <c r="BJ74" s="83" t="n"/>
      <c r="BK74" s="84">
        <f>IF('BBG Verify'!S74="","not filed; run on terminal",'BBG Verify'!S74)</f>
        <v/>
      </c>
      <c r="BL74" s="85" t="inlineStr">
        <is>
          <t>N</t>
        </is>
      </c>
      <c r="BM74" s="86">
        <f>IF('BBG Verify'!K74="","not filed; run on terminal",'BBG Verify'!K74)</f>
        <v/>
      </c>
      <c r="BN74" s="71" t="inlineStr">
        <is>
          <t>N/A</t>
        </is>
      </c>
      <c r="BO74" s="71" t="inlineStr">
        <is>
          <t>N/A</t>
        </is>
      </c>
      <c r="BP74" s="71" t="inlineStr">
        <is>
          <t>N/A</t>
        </is>
      </c>
      <c r="BQ74" s="71" t="inlineStr">
        <is>
          <t>N/A</t>
        </is>
      </c>
      <c r="BR74" s="71" t="inlineStr">
        <is>
          <t>N/A</t>
        </is>
      </c>
      <c r="BS74" s="71" t="inlineStr">
        <is>
          <t>N/A</t>
        </is>
      </c>
      <c r="BT74" s="85" t="n"/>
      <c r="BU74" s="71" t="n"/>
      <c r="BV74" s="71" t="n"/>
      <c r="BW74" s="71" t="n"/>
      <c r="BX74" s="87">
        <f>HYPERLINK("https://www1.hkexnews.hk/listedco/listconews/sehk/2021/0920/2021092000007.pdf","prospectus")</f>
        <v/>
      </c>
      <c r="BY74" s="87">
        <f>HYPERLINK("https://www1.hkexnews.hk/listedco/listconews/sehk/2021/0930/2021093000120.htm","allotment")</f>
        <v/>
      </c>
      <c r="BZ74" s="71" t="n"/>
      <c r="CA74" s="85" t="n"/>
      <c r="CB74" s="71"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close found: etnet's news wire (every story that evening and the next morning), etnet's grey table (from Oct-2024) and AAStocks all checked;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t>
        </is>
      </c>
    </row>
    <row r="75" ht="15" customHeight="1">
      <c r="A75" s="70" t="inlineStr">
        <is>
          <t>2256</t>
        </is>
      </c>
      <c r="B75" s="71" t="inlineStr">
        <is>
          <t>ABBISKO-B</t>
        </is>
      </c>
      <c r="C75" s="71" t="inlineStr">
        <is>
          <t>和譽－Ｂ</t>
        </is>
      </c>
      <c r="D75" s="71" t="inlineStr">
        <is>
          <t>Healthcare</t>
        </is>
      </c>
      <c r="E75" s="71" t="inlineStr">
        <is>
          <t>Biotech pre-revenue (18A)</t>
        </is>
      </c>
      <c r="F75" s="71" t="inlineStr">
        <is>
          <t>Biotechnology</t>
        </is>
      </c>
      <c r="G75" s="71" t="inlineStr">
        <is>
          <t>18A</t>
        </is>
      </c>
      <c r="H75" s="72" t="n">
        <v>44482</v>
      </c>
      <c r="I75" s="73" t="n">
        <v>1753.6</v>
      </c>
      <c r="J75" s="71" t="inlineStr">
        <is>
          <t>gross (price x shares)</t>
        </is>
      </c>
      <c r="K75" s="74" t="n">
        <v>12.16</v>
      </c>
      <c r="L75" s="74" t="n">
        <v>12.46</v>
      </c>
      <c r="M75" s="74" t="n">
        <v>12.46</v>
      </c>
      <c r="N75" s="71" t="inlineStr">
        <is>
          <t>Y</t>
        </is>
      </c>
      <c r="O75" s="75" t="n">
        <v>100</v>
      </c>
      <c r="P75" s="75" t="n">
        <v>100</v>
      </c>
      <c r="Q75" s="76" t="n">
        <v>8542</v>
      </c>
      <c r="R75" s="71" t="inlineStr">
        <is>
          <t>prospectus:stated market capitalisation</t>
        </is>
      </c>
      <c r="S75" s="77" t="n">
        <v>5.64</v>
      </c>
      <c r="T75" s="78" t="n">
        <v>4.65</v>
      </c>
      <c r="U75" s="79" t="n">
        <v>56.63</v>
      </c>
      <c r="V75" s="80" t="n">
        <v>124</v>
      </c>
      <c r="W75" s="75" t="n"/>
      <c r="X75" s="71" t="n"/>
      <c r="Y75" s="76" t="n">
        <v>760.54</v>
      </c>
      <c r="Z75" s="76" t="n">
        <v>61037203</v>
      </c>
      <c r="AA75" s="75" t="n">
        <v>8.9</v>
      </c>
      <c r="AB75" s="71"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AC75" s="71" t="inlineStr">
        <is>
          <t>aihc;aranda;blackrock;epsomite;hudson;janchor;lake;lav;orbimed;ubs;vivo</t>
        </is>
      </c>
      <c r="AD75" s="75" t="n">
        <v>8.5</v>
      </c>
      <c r="AE75" s="71" t="inlineStr">
        <is>
          <t>partial</t>
        </is>
      </c>
      <c r="AF75" s="71" t="n"/>
      <c r="AG75" s="71" t="inlineStr">
        <is>
          <t>Morgan Stanley Asia Limited</t>
        </is>
      </c>
      <c r="AH75" s="71" t="inlineStr">
        <is>
          <t>Morgan Stanley</t>
        </is>
      </c>
      <c r="AI75" s="81" t="n">
        <v>-7.22</v>
      </c>
      <c r="AJ75" s="82" t="n">
        <v>-0.48</v>
      </c>
      <c r="AK75" s="82" t="n">
        <v>-9.31</v>
      </c>
      <c r="AL75" s="82" t="n">
        <v>9.74</v>
      </c>
      <c r="AM75" s="83" t="n"/>
      <c r="AN75" s="75" t="n"/>
      <c r="AO75" s="82" t="n">
        <v>-6.9</v>
      </c>
      <c r="AP75" s="82" t="n">
        <v>-13</v>
      </c>
      <c r="AQ75" s="82" t="n">
        <v>-31.94</v>
      </c>
      <c r="AR75" s="82" t="n">
        <v>-6.45</v>
      </c>
      <c r="AS75" s="82" t="n">
        <v>-12.58</v>
      </c>
      <c r="AT75" s="82" t="n">
        <v>-31.61</v>
      </c>
      <c r="AU75" s="82" t="n">
        <v>-7.73</v>
      </c>
      <c r="AV75" s="82" t="n">
        <v>-10.74</v>
      </c>
      <c r="AW75" s="82" t="n">
        <v>-15.87</v>
      </c>
      <c r="AX75" s="82" t="n">
        <v>-10.39</v>
      </c>
      <c r="AY75" s="82" t="n">
        <v>-2.26</v>
      </c>
      <c r="AZ75" s="82" t="n">
        <v>-2.19</v>
      </c>
      <c r="BA75" s="71" t="inlineStr">
        <is>
          <t>China Biotech ETF (HS biotech proxy)</t>
        </is>
      </c>
      <c r="BB75" s="82" t="n">
        <v>-25.68</v>
      </c>
      <c r="BC75" s="72" t="inlineStr">
        <is>
          <t>2026-09-23</t>
        </is>
      </c>
      <c r="BD75" s="73" t="n">
        <v>0.6</v>
      </c>
      <c r="BE75" s="76" t="n">
        <v>-147.3</v>
      </c>
      <c r="BF75" s="71" t="inlineStr">
        <is>
          <t>N</t>
        </is>
      </c>
      <c r="BG75" s="71" t="inlineStr">
        <is>
          <t>n/m</t>
        </is>
      </c>
      <c r="BH75" s="83" t="n"/>
      <c r="BI75" s="83" t="n">
        <v>111.1</v>
      </c>
      <c r="BJ75" s="83" t="n">
        <v>14236.7</v>
      </c>
      <c r="BK75" s="84">
        <f>IF('BBG Verify'!S75="","not filed; run on terminal",'BBG Verify'!S75)</f>
        <v/>
      </c>
      <c r="BL75" s="85" t="inlineStr">
        <is>
          <t>N</t>
        </is>
      </c>
      <c r="BM75" s="86">
        <f>IF('BBG Verify'!K75="","not filed; run on terminal",'BBG Verify'!K75)</f>
        <v/>
      </c>
      <c r="BN75" s="71" t="inlineStr">
        <is>
          <t>N/A</t>
        </is>
      </c>
      <c r="BO75" s="71" t="inlineStr">
        <is>
          <t>N/A</t>
        </is>
      </c>
      <c r="BP75" s="71" t="inlineStr">
        <is>
          <t>N/A</t>
        </is>
      </c>
      <c r="BQ75" s="71" t="inlineStr">
        <is>
          <t>N/A</t>
        </is>
      </c>
      <c r="BR75" s="71" t="inlineStr">
        <is>
          <t>N/A</t>
        </is>
      </c>
      <c r="BS75" s="71" t="inlineStr">
        <is>
          <t>N/A</t>
        </is>
      </c>
      <c r="BT75" s="85" t="inlineStr">
        <is>
          <t>Morgan Stanley Asia Limited; J.P. Morgan Securities (Far East) Limited</t>
        </is>
      </c>
      <c r="BU75" s="71" t="inlineStr">
        <is>
          <t>Morgan Stanley Asia Limited; J.P. Morgan Securities (Far East) Limited</t>
        </is>
      </c>
      <c r="BV75" s="71" t="inlineStr">
        <is>
          <t>Morgan Stanley Asia Limited; J.P. Morgan Securities (Asia Pacific) Limited; China International Capital Corporation Hong Kong Securities Limited</t>
        </is>
      </c>
      <c r="BW75" s="71"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X75" s="87">
        <f>HYPERLINK("https://www1.hkexnews.hk/listedco/listconews/sehk/2021/0930/2021093000017.pdf","prospectus")</f>
        <v/>
      </c>
      <c r="BY75" s="87">
        <f>HYPERLINK("https://www1.hkexnews.hk/listedco/listconews/sehk/2021/1012/2021101200008.htm","allotment")</f>
        <v/>
      </c>
      <c r="BZ75" s="87">
        <f>HYPERLINK("https://www1.hkexnews.hk/listedco/listconews/sehk/2021/1105/2021110501527.pdf","stabilisation")</f>
        <v/>
      </c>
      <c r="CA75" s="85" t="n"/>
      <c r="CB75" s="71" t="inlineStr">
        <is>
          <t>P/E: loss-making at IPO, use P/S; greenshoe: outcome published; expiry date not in the notice; P/S: 14,237x on HK$0.6m revenue, effectively pre-revenue; not comparable; allocation: allocation table not in this notice's format (older prose announcement); day-1 tape: no listing-day bar in the kline feed</t>
        </is>
      </c>
    </row>
    <row r="76" ht="15" customHeight="1">
      <c r="A76" s="70" t="inlineStr">
        <is>
          <t>2235</t>
        </is>
      </c>
      <c r="B76" s="71" t="inlineStr">
        <is>
          <t>MICROTECH MED-B</t>
        </is>
      </c>
      <c r="C76" s="71" t="inlineStr">
        <is>
          <t>微泰醫療－Ｂ</t>
        </is>
      </c>
      <c r="D76" s="71" t="inlineStr">
        <is>
          <t>Healthcare</t>
        </is>
      </c>
      <c r="E76" s="71" t="inlineStr">
        <is>
          <t>Medical devices</t>
        </is>
      </c>
      <c r="F76" s="71" t="inlineStr">
        <is>
          <t>Biotechnology</t>
        </is>
      </c>
      <c r="G76" s="71" t="inlineStr">
        <is>
          <t>18A</t>
        </is>
      </c>
      <c r="H76" s="72" t="n">
        <v>44488</v>
      </c>
      <c r="I76" s="73" t="n">
        <v>1937.6</v>
      </c>
      <c r="J76" s="71" t="inlineStr">
        <is>
          <t>gross (price x shares)</t>
        </is>
      </c>
      <c r="K76" s="74" t="n">
        <v>27.7</v>
      </c>
      <c r="L76" s="74" t="n">
        <v>31.15</v>
      </c>
      <c r="M76" s="74" t="n">
        <v>30.5</v>
      </c>
      <c r="N76" s="71" t="inlineStr">
        <is>
          <t>N</t>
        </is>
      </c>
      <c r="O76" s="75" t="n">
        <v>97.90000000000001</v>
      </c>
      <c r="P76" s="75" t="n">
        <v>81.2</v>
      </c>
      <c r="Q76" s="76" t="n">
        <v>11485.5</v>
      </c>
      <c r="R76" s="71" t="inlineStr">
        <is>
          <t>derived:deal size / offer % of enlarged capital</t>
        </is>
      </c>
      <c r="S76" s="77" t="n">
        <v>6.79</v>
      </c>
      <c r="T76" s="78" t="n">
        <v>4.9</v>
      </c>
      <c r="U76" s="79" t="n">
        <v>61.7</v>
      </c>
      <c r="V76" s="80" t="n">
        <v>107</v>
      </c>
      <c r="W76" s="75" t="n"/>
      <c r="X76" s="71" t="n"/>
      <c r="Y76" s="76" t="n">
        <v>742.1</v>
      </c>
      <c r="Z76" s="76" t="n">
        <v>24331798</v>
      </c>
      <c r="AA76" s="75" t="n">
        <v>6.46</v>
      </c>
      <c r="AB76" s="71"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AC76" s="71" t="inlineStr">
        <is>
          <t>boyu;hudson;invesco;lake;lav;octagon;orbimed;sage;springhill;tencent;ubs</t>
        </is>
      </c>
      <c r="AD76" s="75" t="n">
        <v>17.36</v>
      </c>
      <c r="AE76" s="71" t="inlineStr">
        <is>
          <t>partial</t>
        </is>
      </c>
      <c r="AF76" s="71" t="inlineStr">
        <is>
          <t>2021-11-10</t>
        </is>
      </c>
      <c r="AG76" s="71" t="inlineStr">
        <is>
          <t>Goldman Sachs</t>
        </is>
      </c>
      <c r="AH76" s="71" t="inlineStr">
        <is>
          <t>Goldman Sachs</t>
        </is>
      </c>
      <c r="AI76" s="81" t="n"/>
      <c r="AJ76" s="82" t="n">
        <v>0</v>
      </c>
      <c r="AK76" s="82" t="n">
        <v>1.64</v>
      </c>
      <c r="AL76" s="82" t="n">
        <v>-1.61</v>
      </c>
      <c r="AM76" s="83" t="n"/>
      <c r="AN76" s="75" t="n">
        <v>3.23</v>
      </c>
      <c r="AO76" s="82" t="n">
        <v>0.16</v>
      </c>
      <c r="AP76" s="82" t="n">
        <v>-6.56</v>
      </c>
      <c r="AQ76" s="82" t="n">
        <v>-35.74</v>
      </c>
      <c r="AR76" s="82" t="n">
        <v>0.16</v>
      </c>
      <c r="AS76" s="82" t="n">
        <v>-6.56</v>
      </c>
      <c r="AT76" s="82" t="n">
        <v>-35.74</v>
      </c>
      <c r="AU76" s="82" t="n">
        <v>-1.15</v>
      </c>
      <c r="AV76" s="82" t="n">
        <v>-7.91</v>
      </c>
      <c r="AW76" s="82" t="n">
        <v>-20.8</v>
      </c>
      <c r="AX76" s="82" t="n">
        <v>-6.09</v>
      </c>
      <c r="AY76" s="82" t="n">
        <v>1.35</v>
      </c>
      <c r="AZ76" s="82" t="n">
        <v>-0.47</v>
      </c>
      <c r="BA76" s="71" t="inlineStr">
        <is>
          <t>China Biotech ETF (HS biotech proxy)</t>
        </is>
      </c>
      <c r="BB76" s="82" t="n">
        <v>-77.34</v>
      </c>
      <c r="BC76" s="72" t="inlineStr">
        <is>
          <t>2026-09-23</t>
        </is>
      </c>
      <c r="BD76" s="73" t="n">
        <v>19.5</v>
      </c>
      <c r="BE76" s="76" t="n">
        <v>-4.5</v>
      </c>
      <c r="BF76" s="71" t="inlineStr">
        <is>
          <t>N</t>
        </is>
      </c>
      <c r="BG76" s="71" t="inlineStr">
        <is>
          <t>n/m</t>
        </is>
      </c>
      <c r="BH76" s="83" t="n"/>
      <c r="BI76" s="83" t="n">
        <v>62.2</v>
      </c>
      <c r="BJ76" s="83" t="n">
        <v>589</v>
      </c>
      <c r="BK76" s="84">
        <f>IF('BBG Verify'!S76="","not filed; run on terminal",'BBG Verify'!S76)</f>
        <v/>
      </c>
      <c r="BL76" s="85" t="inlineStr">
        <is>
          <t>N</t>
        </is>
      </c>
      <c r="BM76" s="86">
        <f>IF('BBG Verify'!K76="","not filed; run on terminal",'BBG Verify'!K76)</f>
        <v/>
      </c>
      <c r="BN76" s="71" t="inlineStr">
        <is>
          <t>N/A</t>
        </is>
      </c>
      <c r="BO76" s="71" t="inlineStr">
        <is>
          <t>N/A</t>
        </is>
      </c>
      <c r="BP76" s="71" t="inlineStr">
        <is>
          <t>N/A</t>
        </is>
      </c>
      <c r="BQ76" s="71" t="inlineStr">
        <is>
          <t>N/A</t>
        </is>
      </c>
      <c r="BR76" s="71" t="inlineStr">
        <is>
          <t>N/A</t>
        </is>
      </c>
      <c r="BS76" s="71" t="inlineStr">
        <is>
          <t>N/A</t>
        </is>
      </c>
      <c r="BT76" s="85" t="inlineStr">
        <is>
          <t>Goldman Sachs (Asia) L.L.C; China International Capital Corporation Hong Kong Securities Limited</t>
        </is>
      </c>
      <c r="BU76" s="71" t="inlineStr">
        <is>
          <t>China International Capital Corporation Hong Kong Securities Limited; Goldman Sachs (Asia) L.L.C.</t>
        </is>
      </c>
      <c r="BV76" s="71" t="inlineStr">
        <is>
          <t>Goldman Sachs (Asia) L.L.C; China International Capital Corporation Hong Kong Securities Limited; CLSA Limited</t>
        </is>
      </c>
      <c r="BW76" s="71" t="inlineStr">
        <is>
          <t>China International Capital Corporation Hong Kong Securities Limited; CLSA Limited; Goldman Sachs (Asia) L.L.C.</t>
        </is>
      </c>
      <c r="BX76" s="87">
        <f>HYPERLINK("https://www1.hkexnews.hk/listedco/listconews/sehk/2021/1006/2021100600007.pdf","prospectus")</f>
        <v/>
      </c>
      <c r="BY76" s="87">
        <f>HYPERLINK("https://www1.hkexnews.hk/listedco/listconews/sehk/2021/1018/2021101800008.htm","allotment")</f>
        <v/>
      </c>
      <c r="BZ76" s="87">
        <f>HYPERLINK("https://www1.hkexnews.hk/listedco/listconews/sehk/2021/1111/2021111100027.pdf","stabilisation")</f>
        <v/>
      </c>
      <c r="CA76" s="85" t="n"/>
      <c r="CB76" s="71" t="inlineStr">
        <is>
          <t>P/E: loss-making at IPO, use P/S; P/S: 589x on HK$19.5m revenue, effectively pre-revenue; not comparable; deal size: stated gross HK$75.7m rejected, below the net proceeds of HK$1,815.1m;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77" ht="15" customHeight="1">
      <c r="A77" s="70" t="inlineStr">
        <is>
          <t>2252</t>
        </is>
      </c>
      <c r="B77" s="71" t="inlineStr">
        <is>
          <t>MEDBOT-B</t>
        </is>
      </c>
      <c r="C77" s="71" t="inlineStr">
        <is>
          <t>微創機器人－Ｂ</t>
        </is>
      </c>
      <c r="D77" s="71" t="inlineStr">
        <is>
          <t>Healthcare</t>
        </is>
      </c>
      <c r="E77" s="71" t="inlineStr">
        <is>
          <t>Medical devices</t>
        </is>
      </c>
      <c r="F77" s="71" t="inlineStr">
        <is>
          <t>Biotechnology</t>
        </is>
      </c>
      <c r="G77" s="71" t="inlineStr">
        <is>
          <t>18A</t>
        </is>
      </c>
      <c r="H77" s="72" t="n">
        <v>44502</v>
      </c>
      <c r="I77" s="73" t="n">
        <v>1563.8</v>
      </c>
      <c r="J77" s="71" t="inlineStr">
        <is>
          <t>gross (price x shares)</t>
        </is>
      </c>
      <c r="K77" s="74" t="n">
        <v>36</v>
      </c>
      <c r="L77" s="74" t="n">
        <v>43.2</v>
      </c>
      <c r="M77" s="74" t="n">
        <v>43.2</v>
      </c>
      <c r="N77" s="71" t="inlineStr">
        <is>
          <t>Y</t>
        </is>
      </c>
      <c r="O77" s="75" t="n">
        <v>100</v>
      </c>
      <c r="P77" s="75" t="n">
        <v>100</v>
      </c>
      <c r="Q77" s="76" t="n">
        <v>41411.3</v>
      </c>
      <c r="R77" s="71" t="inlineStr">
        <is>
          <t>aastocks:上市市值 at the struck price</t>
        </is>
      </c>
      <c r="S77" s="77" t="n">
        <v>163.83</v>
      </c>
      <c r="T77" s="78" t="n">
        <v>16</v>
      </c>
      <c r="U77" s="79" t="n">
        <v>45</v>
      </c>
      <c r="V77" s="80" t="n">
        <v>114</v>
      </c>
      <c r="W77" s="75" t="n"/>
      <c r="X77" s="71" t="n"/>
      <c r="Y77" s="76" t="n">
        <v>860.09</v>
      </c>
      <c r="Z77" s="76" t="n">
        <v>19910000</v>
      </c>
      <c r="AA77" s="75" t="n">
        <v>2.08</v>
      </c>
      <c r="AB77" s="71" t="inlineStr">
        <is>
          <t>Artisan China Post-Venture Master Fund LP; Aspex Master Fund; CloudAlpha Master Fund; Hillhouse Funds; LAV Fund VI, L.P; Snow Lake Funds and Accounts; Yorkool International Limited</t>
        </is>
      </c>
      <c r="AC77" s="71" t="inlineStr">
        <is>
          <t>artisan;aspex;cloudalpha;hillhouse;lav;snow;yorkool</t>
        </is>
      </c>
      <c r="AD77" s="75" t="n">
        <v>15</v>
      </c>
      <c r="AE77" s="71" t="inlineStr">
        <is>
          <t>full</t>
        </is>
      </c>
      <c r="AF77" s="71" t="inlineStr">
        <is>
          <t>2021-11-25</t>
        </is>
      </c>
      <c r="AG77" s="71" t="n"/>
      <c r="AH77" s="71" t="n"/>
      <c r="AI77" s="81" t="n">
        <v>-7.06</v>
      </c>
      <c r="AJ77" s="82" t="n">
        <v>6.02</v>
      </c>
      <c r="AK77" s="82" t="n">
        <v>-7.87</v>
      </c>
      <c r="AL77" s="82" t="n">
        <v>15.08</v>
      </c>
      <c r="AM77" s="83" t="n"/>
      <c r="AN77" s="75" t="n">
        <v>24.62</v>
      </c>
      <c r="AO77" s="82" t="n">
        <v>34.03</v>
      </c>
      <c r="AP77" s="82" t="n">
        <v>24.19</v>
      </c>
      <c r="AQ77" s="82" t="n">
        <v>9.949999999999999</v>
      </c>
      <c r="AR77" s="82" t="n">
        <v>26.42</v>
      </c>
      <c r="AS77" s="82" t="n">
        <v>17.14</v>
      </c>
      <c r="AT77" s="82" t="n">
        <v>3.71</v>
      </c>
      <c r="AU77" s="82" t="n">
        <v>36.38</v>
      </c>
      <c r="AV77" s="82" t="n">
        <v>22.54</v>
      </c>
      <c r="AW77" s="82" t="n">
        <v>32.97</v>
      </c>
      <c r="AX77" s="82" t="n">
        <v>13.85</v>
      </c>
      <c r="AY77" s="82" t="n">
        <v>1.65</v>
      </c>
      <c r="AZ77" s="82" t="n">
        <v>3.29</v>
      </c>
      <c r="BA77" s="71" t="inlineStr">
        <is>
          <t>China Biotech ETF (HS biotech proxy)</t>
        </is>
      </c>
      <c r="BB77" s="82" t="n">
        <v>-50.97</v>
      </c>
      <c r="BC77" s="72" t="inlineStr">
        <is>
          <t>2026-08-31</t>
        </is>
      </c>
      <c r="BD77" s="73" t="n">
        <v>8.800000000000001</v>
      </c>
      <c r="BE77" s="76" t="n">
        <v>-53.9</v>
      </c>
      <c r="BF77" s="71" t="inlineStr">
        <is>
          <t>N</t>
        </is>
      </c>
      <c r="BG77" s="71" t="inlineStr">
        <is>
          <t>n/m</t>
        </is>
      </c>
      <c r="BH77" s="83" t="n"/>
      <c r="BI77" s="83" t="n"/>
      <c r="BJ77" s="83" t="n">
        <v>4705.8</v>
      </c>
      <c r="BK77" s="84">
        <f>IF('BBG Verify'!S77="","not filed; run on terminal",'BBG Verify'!S77)</f>
        <v/>
      </c>
      <c r="BL77" s="85" t="inlineStr">
        <is>
          <t>N</t>
        </is>
      </c>
      <c r="BM77" s="86">
        <f>IF('BBG Verify'!K77="","not filed; run on terminal",'BBG Verify'!K77)</f>
        <v/>
      </c>
      <c r="BN77" s="71" t="inlineStr">
        <is>
          <t>N/A</t>
        </is>
      </c>
      <c r="BO77" s="71" t="inlineStr">
        <is>
          <t>N/A</t>
        </is>
      </c>
      <c r="BP77" s="71" t="inlineStr">
        <is>
          <t>N/A</t>
        </is>
      </c>
      <c r="BQ77" s="71" t="inlineStr">
        <is>
          <t>N/A</t>
        </is>
      </c>
      <c r="BR77" s="71" t="inlineStr">
        <is>
          <t>N/A</t>
        </is>
      </c>
      <c r="BS77" s="71" t="inlineStr">
        <is>
          <t>N/A</t>
        </is>
      </c>
      <c r="BT77" s="85" t="inlineStr">
        <is>
          <t>J.P. Morgan Securities (Far East) Limited; China International Capital Corporation Hong Kong Securities Limited</t>
        </is>
      </c>
      <c r="BU77" s="71" t="inlineStr">
        <is>
          <t>China International Capital Corporation Hong Kong Securities Limited; J.P. Morgan Securities (Far East) Limited</t>
        </is>
      </c>
      <c r="BV77" s="71" t="inlineStr">
        <is>
          <t>J.P. Morgan Securities (Asia Pacific) Limited; China International Capital Corporation Hong Kong Securities Limited</t>
        </is>
      </c>
      <c r="BW77" s="71" t="inlineStr">
        <is>
          <t>China International Capital Corporation Hong Kong Securities Limited; Futu Securities International (Hong Kong) Limited; J.P. Morgan Securities (Asia Pacific) Limited; Livermore Holdings Limited</t>
        </is>
      </c>
      <c r="BX77" s="87">
        <f>HYPERLINK("https://www1.hkexnews.hk/listedco/listconews/sehk/2021/1021/2021102100011.pdf","prospectus")</f>
        <v/>
      </c>
      <c r="BY77" s="87">
        <f>HYPERLINK("https://www1.hkexnews.hk/listedco/listconews/sehk/2021/1101/2021110100012.htm","allotment")</f>
        <v/>
      </c>
      <c r="BZ77" s="87">
        <f>HYPERLINK("https://www1.hkexnews.hk/listedco/listconews/sehk/2021/1125/2021112501059.pdf","stabilisation")</f>
        <v/>
      </c>
      <c r="CA77" s="85" t="n"/>
      <c r="CB77" s="71" t="inlineStr">
        <is>
          <t>P/E: loss-making at IPO, use P/S; P/S: 4,706x on HK$8.8m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78" ht="15" customHeight="1">
      <c r="A78" s="70" t="inlineStr">
        <is>
          <t>2251</t>
        </is>
      </c>
      <c r="B78" s="71" t="inlineStr">
        <is>
          <t>AIRDOC-B</t>
        </is>
      </c>
      <c r="C78" s="71" t="inlineStr">
        <is>
          <t>鷹瞳科技－Ｂ</t>
        </is>
      </c>
      <c r="D78" s="71" t="inlineStr">
        <is>
          <t>Healthcare</t>
        </is>
      </c>
      <c r="E78" s="71" t="inlineStr">
        <is>
          <t>Digital health</t>
        </is>
      </c>
      <c r="F78" s="71" t="inlineStr">
        <is>
          <t>Biotechnology</t>
        </is>
      </c>
      <c r="G78" s="71" t="inlineStr">
        <is>
          <t>18A</t>
        </is>
      </c>
      <c r="H78" s="72" t="n">
        <v>44505</v>
      </c>
      <c r="I78" s="73" t="n">
        <v>1566.4</v>
      </c>
      <c r="J78" s="71" t="inlineStr">
        <is>
          <t>net proceeds</t>
        </is>
      </c>
      <c r="K78" s="74" t="n"/>
      <c r="L78" s="74" t="n">
        <v>75.09999999999999</v>
      </c>
      <c r="M78" s="74" t="n">
        <v>75.09999999999999</v>
      </c>
      <c r="N78" s="71" t="inlineStr">
        <is>
          <t>Y</t>
        </is>
      </c>
      <c r="O78" s="75" t="n">
        <v>100</v>
      </c>
      <c r="P78" s="75" t="n"/>
      <c r="Q78" s="76" t="n">
        <v>8099.1</v>
      </c>
      <c r="R78" s="71" t="inlineStr">
        <is>
          <t>aastocks:上市市值 at the struck price</t>
        </is>
      </c>
      <c r="S78" s="77" t="n">
        <v>6.18</v>
      </c>
      <c r="T78" s="78" t="n">
        <v>2.9</v>
      </c>
      <c r="U78" s="79" t="n">
        <v>34.6</v>
      </c>
      <c r="V78" s="80" t="n">
        <v>127</v>
      </c>
      <c r="W78" s="75" t="n"/>
      <c r="X78" s="71" t="n"/>
      <c r="Y78" s="76" t="n">
        <v>1024.43</v>
      </c>
      <c r="Z78" s="76" t="n"/>
      <c r="AA78" s="75" t="n">
        <v>12.65</v>
      </c>
      <c r="AB78" s="71" t="inlineStr">
        <is>
          <t>CloudAlpha Master Fund; GF Fund Management Co., Ltd; IvyRock Asset Management (HK) Limited; Lake Bleu Prime Healthcare Master Fund Limited; LAV Star Opportunities Limited; LMR Master Fund Limited; WT Asset Management Limited</t>
        </is>
      </c>
      <c r="AC78" s="71" t="inlineStr">
        <is>
          <t>cloudalpha;gf;ivyrock;lake;lav;lmr;wt</t>
        </is>
      </c>
      <c r="AD78" s="75" t="n"/>
      <c r="AE78" s="71" t="inlineStr">
        <is>
          <t>lapsed</t>
        </is>
      </c>
      <c r="AF78" s="71" t="inlineStr">
        <is>
          <t>2021-11-28</t>
        </is>
      </c>
      <c r="AG78" s="71" t="n"/>
      <c r="AH78" s="71" t="n"/>
      <c r="AI78" s="81" t="n"/>
      <c r="AJ78" s="82" t="n">
        <v>-9.449999999999999</v>
      </c>
      <c r="AK78" s="82" t="n">
        <v>-9.99</v>
      </c>
      <c r="AL78" s="82" t="n">
        <v>0.6</v>
      </c>
      <c r="AM78" s="83" t="n"/>
      <c r="AN78" s="75" t="n">
        <v>13.98</v>
      </c>
      <c r="AO78" s="82" t="n">
        <v>-12.98</v>
      </c>
      <c r="AP78" s="82" t="n">
        <v>-24.37</v>
      </c>
      <c r="AQ78" s="82" t="n">
        <v>-56.06</v>
      </c>
      <c r="AR78" s="82" t="n">
        <v>-3.9</v>
      </c>
      <c r="AS78" s="82" t="n">
        <v>-16.48</v>
      </c>
      <c r="AT78" s="82" t="n">
        <v>-51.47</v>
      </c>
      <c r="AU78" s="82" t="n">
        <v>-13.64</v>
      </c>
      <c r="AV78" s="82" t="n">
        <v>-20.53</v>
      </c>
      <c r="AW78" s="82" t="n">
        <v>-31.59</v>
      </c>
      <c r="AX78" s="82" t="n">
        <v>-13.93</v>
      </c>
      <c r="AY78" s="82" t="n">
        <v>-3.84</v>
      </c>
      <c r="AZ78" s="82" t="n">
        <v>-2.55</v>
      </c>
      <c r="BA78" s="71" t="inlineStr">
        <is>
          <t>China Biotech ETF (HS biotech proxy)</t>
        </is>
      </c>
      <c r="BB78" s="82" t="n">
        <v>-87.59999999999999</v>
      </c>
      <c r="BC78" s="72" t="inlineStr">
        <is>
          <t>2026-09-23</t>
        </is>
      </c>
      <c r="BD78" s="73" t="n">
        <v>7.2</v>
      </c>
      <c r="BE78" s="76" t="n">
        <v>-53.7</v>
      </c>
      <c r="BF78" s="71" t="inlineStr">
        <is>
          <t>N</t>
        </is>
      </c>
      <c r="BG78" s="71" t="inlineStr">
        <is>
          <t>n/m</t>
        </is>
      </c>
      <c r="BH78" s="83" t="n"/>
      <c r="BI78" s="83" t="n"/>
      <c r="BJ78" s="83" t="n">
        <v>1124.9</v>
      </c>
      <c r="BK78" s="84">
        <f>IF('BBG Verify'!S78="","not filed; run on terminal",'BBG Verify'!S78)</f>
        <v/>
      </c>
      <c r="BL78" s="85" t="inlineStr">
        <is>
          <t>N</t>
        </is>
      </c>
      <c r="BM78" s="86">
        <f>IF('BBG Verify'!K78="","not filed; run on terminal",'BBG Verify'!K78)</f>
        <v/>
      </c>
      <c r="BN78" s="71" t="inlineStr">
        <is>
          <t>N/A</t>
        </is>
      </c>
      <c r="BO78" s="71" t="inlineStr">
        <is>
          <t>N/A</t>
        </is>
      </c>
      <c r="BP78" s="71" t="inlineStr">
        <is>
          <t>N/A</t>
        </is>
      </c>
      <c r="BQ78" s="71" t="inlineStr">
        <is>
          <t>N/A</t>
        </is>
      </c>
      <c r="BR78" s="71" t="inlineStr">
        <is>
          <t>N/A</t>
        </is>
      </c>
      <c r="BS78" s="71" t="inlineStr">
        <is>
          <t>N/A</t>
        </is>
      </c>
      <c r="BT78" s="85" t="n"/>
      <c r="BU78" s="71" t="inlineStr">
        <is>
          <t>UBS Securities Hong Kong Limited; CLSA Capital Markets Limited</t>
        </is>
      </c>
      <c r="BV78" s="71" t="inlineStr">
        <is>
          <t>CLSA Limited; CMB International Capital Limited; China PA Securities (Hong Kong) Company Limited; Essence International Securities (Hong Kong) Limited; Fosun Hani Securities Limited; Guodu Securities (Hong Kong) Limited</t>
        </is>
      </c>
      <c r="BW78" s="71"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X78" s="87">
        <f>HYPERLINK("https://www1.hkexnews.hk/listedco/listconews/sehk/2021/1026/2021102600012.htm","prospectus")</f>
        <v/>
      </c>
      <c r="BY78" s="87">
        <f>HYPERLINK("https://www1.hkexnews.hk/listedco/listconews/sehk/2021/1104/2021110400022.htm","allotment")</f>
        <v/>
      </c>
      <c r="BZ78" s="87">
        <f>HYPERLINK("https://www1.hkexnews.hk/listedco/listconews/sehk/2021/1128/2021112800017.pdf","stabilisation")</f>
        <v/>
      </c>
      <c r="CA78" s="85" t="n"/>
      <c r="CB7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etnet's story of the session gave only the Phillip open (68.0, -9.5% vs offer) on 2021-11-04; no close was published; eff float shares: share count unavailable; the HK$m figure is exact; allocation: allocation table not in this notice's format (older prose announcement); day-1 tape: volume on file; the retail multiple needs the final public split, which this notice does not state</t>
        </is>
      </c>
    </row>
    <row r="79" ht="15" customHeight="1">
      <c r="A79" s="70" t="inlineStr">
        <is>
          <t>2197</t>
        </is>
      </c>
      <c r="B79" s="71" t="inlineStr">
        <is>
          <t>CLOVER BIO-B</t>
        </is>
      </c>
      <c r="C79" s="71" t="inlineStr">
        <is>
          <t>三葉草生物－Ｂ</t>
        </is>
      </c>
      <c r="D79" s="71" t="inlineStr">
        <is>
          <t>Healthcare</t>
        </is>
      </c>
      <c r="E79" s="71" t="inlineStr">
        <is>
          <t>Biotech pre-revenue (18A)</t>
        </is>
      </c>
      <c r="F79" s="71" t="inlineStr">
        <is>
          <t>Biotechnology</t>
        </is>
      </c>
      <c r="G79" s="71" t="inlineStr">
        <is>
          <t>18A</t>
        </is>
      </c>
      <c r="H79" s="72" t="n">
        <v>44505</v>
      </c>
      <c r="I79" s="73" t="n">
        <v>2007</v>
      </c>
      <c r="J79" s="71" t="inlineStr">
        <is>
          <t>gross (price x shares)</t>
        </is>
      </c>
      <c r="K79" s="74" t="n">
        <v>12.8</v>
      </c>
      <c r="L79" s="74" t="n">
        <v>13.5</v>
      </c>
      <c r="M79" s="74" t="n">
        <v>13.38</v>
      </c>
      <c r="N79" s="71" t="inlineStr">
        <is>
          <t>N</t>
        </is>
      </c>
      <c r="O79" s="75" t="n">
        <v>99.09999999999999</v>
      </c>
      <c r="P79" s="75" t="n">
        <v>82.90000000000001</v>
      </c>
      <c r="Q79" s="76" t="n">
        <v>14823.9</v>
      </c>
      <c r="R79" s="71" t="inlineStr">
        <is>
          <t>prospectus:stated market capitalisation</t>
        </is>
      </c>
      <c r="S79" s="77" t="n">
        <v>4.4</v>
      </c>
      <c r="T79" s="78" t="n">
        <v>3.21</v>
      </c>
      <c r="U79" s="79" t="n">
        <v>10.8</v>
      </c>
      <c r="V79" s="80" t="n">
        <v>126</v>
      </c>
      <c r="W79" s="75" t="n"/>
      <c r="X79" s="71" t="n"/>
      <c r="Y79" s="76" t="n">
        <v>1790.24</v>
      </c>
      <c r="Z79" s="76" t="n">
        <v>133800000</v>
      </c>
      <c r="AA79" s="75" t="n">
        <v>12.08</v>
      </c>
      <c r="AB79" s="71" t="inlineStr">
        <is>
          <t>Athos Capital Limited; HHLR Fund, L.P.; YHG Investment, L.P; Oceanpine Capital Management Limited; OrbiMed Funds; Rock Springs Capital Master Fund LP; Springhill Master Fund Limited; Superstring Capital Master Fund LP; Toroa Master Fund</t>
        </is>
      </c>
      <c r="AC79" s="71" t="inlineStr">
        <is>
          <t>athos;hhlr;yhg;oceanpine;orbimed;rock;springhill;superstring;toroa</t>
        </is>
      </c>
      <c r="AD79" s="75" t="n">
        <v>6.9</v>
      </c>
      <c r="AE79" s="71" t="inlineStr">
        <is>
          <t>lapsed</t>
        </is>
      </c>
      <c r="AF79" s="71" t="inlineStr">
        <is>
          <t>2021-11-27</t>
        </is>
      </c>
      <c r="AG79" s="71" t="n"/>
      <c r="AH79" s="71" t="n"/>
      <c r="AI79" s="81" t="n"/>
      <c r="AJ79" s="82" t="n">
        <v>-2.99</v>
      </c>
      <c r="AK79" s="82" t="n">
        <v>0</v>
      </c>
      <c r="AL79" s="82" t="n">
        <v>-2.99</v>
      </c>
      <c r="AM79" s="83" t="n"/>
      <c r="AN79" s="75" t="n">
        <v>10.01</v>
      </c>
      <c r="AO79" s="82" t="n">
        <v>-22.57</v>
      </c>
      <c r="AP79" s="82" t="n">
        <v>-16.89</v>
      </c>
      <c r="AQ79" s="82" t="n">
        <v>-17.79</v>
      </c>
      <c r="AR79" s="82" t="n">
        <v>-20.18</v>
      </c>
      <c r="AS79" s="82" t="n">
        <v>-14.33</v>
      </c>
      <c r="AT79" s="82" t="n">
        <v>-15.26</v>
      </c>
      <c r="AU79" s="82" t="n">
        <v>-23.23</v>
      </c>
      <c r="AV79" s="82" t="n">
        <v>-13.05</v>
      </c>
      <c r="AW79" s="82" t="n">
        <v>6.68</v>
      </c>
      <c r="AX79" s="82" t="n">
        <v>-11.78</v>
      </c>
      <c r="AY79" s="82" t="n">
        <v>-3.84</v>
      </c>
      <c r="AZ79" s="82" t="n">
        <v>-2.55</v>
      </c>
      <c r="BA79" s="71" t="inlineStr">
        <is>
          <t>China Biotech ETF (HS biotech proxy)</t>
        </is>
      </c>
      <c r="BB79" s="82" t="n">
        <v>-84.16</v>
      </c>
      <c r="BC79" s="72" t="inlineStr">
        <is>
          <t>2026-09-23</t>
        </is>
      </c>
      <c r="BD79" s="73" t="n">
        <v>1119.8</v>
      </c>
      <c r="BE79" s="76" t="n">
        <v>-163</v>
      </c>
      <c r="BF79" s="71" t="inlineStr">
        <is>
          <t>N</t>
        </is>
      </c>
      <c r="BG79" s="71" t="inlineStr">
        <is>
          <t>n/m</t>
        </is>
      </c>
      <c r="BH79" s="83" t="n"/>
      <c r="BI79" s="83" t="n"/>
      <c r="BJ79" s="83" t="n">
        <v>13.2</v>
      </c>
      <c r="BK79" s="84">
        <f>IF('BBG Verify'!S79="","not filed; run on terminal",'BBG Verify'!S79)</f>
        <v/>
      </c>
      <c r="BL79" s="85" t="inlineStr">
        <is>
          <t>N</t>
        </is>
      </c>
      <c r="BM79" s="86">
        <f>IF('BBG Verify'!K79="","not filed; run on terminal",'BBG Verify'!K79)</f>
        <v/>
      </c>
      <c r="BN79" s="71" t="inlineStr">
        <is>
          <t>N/A</t>
        </is>
      </c>
      <c r="BO79" s="71" t="inlineStr">
        <is>
          <t>N/A</t>
        </is>
      </c>
      <c r="BP79" s="71" t="inlineStr">
        <is>
          <t>N/A</t>
        </is>
      </c>
      <c r="BQ79" s="71" t="inlineStr">
        <is>
          <t>N/A</t>
        </is>
      </c>
      <c r="BR79" s="71" t="inlineStr">
        <is>
          <t>N/A</t>
        </is>
      </c>
      <c r="BS79" s="71" t="inlineStr">
        <is>
          <t>N/A</t>
        </is>
      </c>
      <c r="BT79" s="85" t="inlineStr">
        <is>
          <t>Goldman Sachs (Asia) L.L.C; China International Capital Corporation Hong Kong Securities Limited</t>
        </is>
      </c>
      <c r="BU79" s="71" t="inlineStr">
        <is>
          <t>China International Capital Corporation Hong Kong Securities Limited; Goldman Sachs (Asia) L.L.C.</t>
        </is>
      </c>
      <c r="BV79" s="71" t="inlineStr">
        <is>
          <t>China International Capital Corporation Hong Kong Securities Limited; Credit Suisse (Hong Kong) Limited; Goldman Sachs (Asia) L.L.C.</t>
        </is>
      </c>
      <c r="BW79" s="71" t="inlineStr">
        <is>
          <t>China International Capital Corporation Hong Kong Securities Limited; Credit Suisse (Hong Kong) Limited; Goldman Sachs (Asia) L.L.C.</t>
        </is>
      </c>
      <c r="BX79" s="87">
        <f>HYPERLINK("https://www1.hkexnews.hk/listedco/listconews/sehk/2021/1025/2021102500007.pdf","prospectus")</f>
        <v/>
      </c>
      <c r="BY79" s="87">
        <f>HYPERLINK("https://www1.hkexnews.hk/listedco/listconews/sehk/2021/1104/2021110400036.htm","allotment")</f>
        <v/>
      </c>
      <c r="BZ79" s="87">
        <f>HYPERLINK("https://www1.hkexnews.hk/listedco/listconews/sehk/2021/1129/2021112900089.pdf","stabilisation")</f>
        <v/>
      </c>
      <c r="CA79" s="85" t="n"/>
      <c r="CB79" s="71" t="inlineStr">
        <is>
          <t>P/E: loss-making at IPO, use P/S; cornerstone: % from the prospectus; AAStocks table includes non-cornerstone orders; stabilising manager: not named in the allotment notice or prospectus glossary; grey market: etnet's story of the session gave only the Phillip open (12.0, -10.3% vs offer) on 2021-11-04; no close was published; allocation: allocation table not in this notice's format (older prose announcement); day-1 tape: volume on file; the retail multiple needs the final public split, which this notice does not state</t>
        </is>
      </c>
    </row>
    <row r="80" ht="15" customHeight="1">
      <c r="A80" s="70" t="inlineStr">
        <is>
          <t>1948</t>
        </is>
      </c>
      <c r="B80" s="71" t="inlineStr">
        <is>
          <t>UJU HOLDING</t>
        </is>
      </c>
      <c r="C80" s="71" t="inlineStr">
        <is>
          <t>優矩控股</t>
        </is>
      </c>
      <c r="D80" s="71" t="inlineStr">
        <is>
          <t>TMT-other</t>
        </is>
      </c>
      <c r="E80" s="71" t="inlineStr">
        <is>
          <t>Media / advertising</t>
        </is>
      </c>
      <c r="F80" s="71" t="inlineStr">
        <is>
          <t>Advertising</t>
        </is>
      </c>
      <c r="G80" s="71" t="inlineStr">
        <is>
          <t>Standard</t>
        </is>
      </c>
      <c r="H80" s="72" t="n">
        <v>44508</v>
      </c>
      <c r="I80" s="73" t="n">
        <v>804</v>
      </c>
      <c r="J80" s="71" t="inlineStr">
        <is>
          <t>gross (price x shares)</t>
        </is>
      </c>
      <c r="K80" s="74" t="n">
        <v>6.7</v>
      </c>
      <c r="L80" s="74" t="n">
        <v>9.16</v>
      </c>
      <c r="M80" s="74" t="n">
        <v>6.7</v>
      </c>
      <c r="N80" s="71" t="inlineStr">
        <is>
          <t>N</t>
        </is>
      </c>
      <c r="O80" s="75" t="n">
        <v>73.09999999999999</v>
      </c>
      <c r="P80" s="75" t="n">
        <v>0</v>
      </c>
      <c r="Q80" s="76" t="n">
        <v>5099.6</v>
      </c>
      <c r="R80" s="71" t="inlineStr">
        <is>
          <t>aastocks:上市市值 at the struck price</t>
        </is>
      </c>
      <c r="S80" s="77" t="n">
        <v>4.56</v>
      </c>
      <c r="T80" s="78" t="n">
        <v>2.07</v>
      </c>
      <c r="U80" s="79" t="n">
        <v>14.5</v>
      </c>
      <c r="V80" s="80" t="n">
        <v>141</v>
      </c>
      <c r="W80" s="75" t="n"/>
      <c r="X80" s="71" t="n"/>
      <c r="Y80" s="76" t="n">
        <v>687.42</v>
      </c>
      <c r="Z80" s="76" t="n">
        <v>102600000</v>
      </c>
      <c r="AA80" s="75" t="n">
        <v>13.48</v>
      </c>
      <c r="AB80" s="71" t="inlineStr">
        <is>
          <t>BYTEDANCE (HK) LIMITED; Green Better</t>
        </is>
      </c>
      <c r="AC80" s="71" t="inlineStr">
        <is>
          <t>bytedance;green</t>
        </is>
      </c>
      <c r="AD80" s="75" t="n">
        <v>18</v>
      </c>
      <c r="AE80" s="71" t="inlineStr">
        <is>
          <t>lapsed</t>
        </is>
      </c>
      <c r="AF80" s="71" t="inlineStr">
        <is>
          <t>2021-11-28</t>
        </is>
      </c>
      <c r="AG80" s="71" t="inlineStr">
        <is>
          <t>Guotai Junan Securities</t>
        </is>
      </c>
      <c r="AH80" s="71" t="inlineStr">
        <is>
          <t>Guotai Junan</t>
        </is>
      </c>
      <c r="AI80" s="81" t="n"/>
      <c r="AJ80" s="82" t="n">
        <v>-4.48</v>
      </c>
      <c r="AK80" s="82" t="n">
        <v>0</v>
      </c>
      <c r="AL80" s="82" t="n">
        <v>-4.48</v>
      </c>
      <c r="AM80" s="83" t="n"/>
      <c r="AN80" s="75" t="n">
        <v>7.16</v>
      </c>
      <c r="AO80" s="82" t="n">
        <v>-1.94</v>
      </c>
      <c r="AP80" s="82" t="n">
        <v>-19.4</v>
      </c>
      <c r="AQ80" s="82" t="n">
        <v>-13.58</v>
      </c>
      <c r="AR80" s="82" t="n">
        <v>2.66</v>
      </c>
      <c r="AS80" s="82" t="n">
        <v>-15.62</v>
      </c>
      <c r="AT80" s="82" t="n">
        <v>-9.529999999999999</v>
      </c>
      <c r="AU80" s="82" t="n">
        <v>-4.03</v>
      </c>
      <c r="AV80" s="82" t="n">
        <v>-15.83</v>
      </c>
      <c r="AW80" s="82" t="n">
        <v>-13.42</v>
      </c>
      <c r="AX80" s="82" t="n">
        <v>-12.47</v>
      </c>
      <c r="AY80" s="82" t="n">
        <v>-3.57</v>
      </c>
      <c r="AZ80" s="82" t="n">
        <v>-3.15</v>
      </c>
      <c r="BA80" s="71" t="inlineStr">
        <is>
          <t>Hang Seng Index</t>
        </is>
      </c>
      <c r="BB80" s="82" t="n">
        <v>-39.25</v>
      </c>
      <c r="BC80" s="72" t="inlineStr">
        <is>
          <t>2026-09-21</t>
        </is>
      </c>
      <c r="BD80" s="73" t="n">
        <v>6996.8</v>
      </c>
      <c r="BE80" s="76" t="n">
        <v>146.5</v>
      </c>
      <c r="BF80" s="71" t="inlineStr">
        <is>
          <t>Y</t>
        </is>
      </c>
      <c r="BG80" s="83" t="n">
        <v>34.8</v>
      </c>
      <c r="BH80" s="83" t="n"/>
      <c r="BI80" s="83" t="n">
        <v>12.9</v>
      </c>
      <c r="BJ80" s="83" t="n">
        <v>0.7</v>
      </c>
      <c r="BK80" s="84">
        <f>IF('BBG Verify'!S80="","not filed; run on terminal",'BBG Verify'!S80)</f>
        <v/>
      </c>
      <c r="BL80" s="85" t="inlineStr">
        <is>
          <t>N</t>
        </is>
      </c>
      <c r="BM80" s="86">
        <f>IF('BBG Verify'!K80="","not filed; run on terminal",'BBG Verify'!K80)</f>
        <v/>
      </c>
      <c r="BN80" s="71" t="inlineStr">
        <is>
          <t>N/A</t>
        </is>
      </c>
      <c r="BO80" s="71" t="inlineStr">
        <is>
          <t>N/A</t>
        </is>
      </c>
      <c r="BP80" s="71" t="inlineStr">
        <is>
          <t>N/A</t>
        </is>
      </c>
      <c r="BQ80" s="71" t="inlineStr">
        <is>
          <t>N/A</t>
        </is>
      </c>
      <c r="BR80" s="71" t="inlineStr">
        <is>
          <t>N/A</t>
        </is>
      </c>
      <c r="BS80" s="71" t="inlineStr">
        <is>
          <t>N/A</t>
        </is>
      </c>
      <c r="BT80" s="85" t="inlineStr">
        <is>
          <t>CMBC International Capital Limited; Financial Adviser SBI China Capital Hong Kong Securities Limited</t>
        </is>
      </c>
      <c r="BU80" s="71" t="inlineStr">
        <is>
          <t>CMBC International Capital Limited</t>
        </is>
      </c>
      <c r="BV80" s="71"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W80" s="71"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X80" s="87">
        <f>HYPERLINK("https://www1.hkexnews.hk/listedco/listconews/sehk/2021/1026/2021102600091.pdf","prospectus")</f>
        <v/>
      </c>
      <c r="BY80" s="87">
        <f>HYPERLINK("https://www1.hkexnews.hk/listedco/listconews/sehk/2021/1105/2021110500012.htm","allotment")</f>
        <v/>
      </c>
      <c r="BZ80" s="87">
        <f>HYPERLINK("https://www1.hkexnews.hk/listedco/listconews/sehk/2021/1128/2021112800021.pdf","stabilisation")</f>
        <v/>
      </c>
      <c r="CA80" s="85" t="n"/>
      <c r="CB80" s="71" t="inlineStr">
        <is>
          <t>market cap: published listing cap used; the estimate from deal size / offer % of enlarged capital disagreed; grey market: etnet's story of the session gave only the Phillip open (6.53, -2.5% vs offer) on 2021-11-05; no close was published; allocation: allocation table not in this notice's format (older prose announcement); day-1 tape: volume on file; the retail multiple needs the final public split, which this notice does not state</t>
        </is>
      </c>
    </row>
    <row r="81" ht="15" customHeight="1">
      <c r="A81" s="70" t="inlineStr">
        <is>
          <t>2210</t>
        </is>
      </c>
      <c r="B81" s="71" t="inlineStr">
        <is>
          <t>BEIJING JIAYE</t>
        </is>
      </c>
      <c r="C81" s="71" t="inlineStr">
        <is>
          <t>京城佳業</t>
        </is>
      </c>
      <c r="D81" s="71" t="inlineStr">
        <is>
          <t>Real Estate</t>
        </is>
      </c>
      <c r="E81" s="71" t="inlineStr">
        <is>
          <t>Property management</t>
        </is>
      </c>
      <c r="F81" s="71" t="inlineStr">
        <is>
          <t>Property Service and Management</t>
        </is>
      </c>
      <c r="G81" s="71" t="inlineStr">
        <is>
          <t>Standard</t>
        </is>
      </c>
      <c r="H81" s="72" t="n">
        <v>44510</v>
      </c>
      <c r="I81" s="73" t="n">
        <v>303.6</v>
      </c>
      <c r="J81" s="71" t="inlineStr">
        <is>
          <t>gross (price x shares)</t>
        </is>
      </c>
      <c r="K81" s="74" t="n"/>
      <c r="L81" s="74" t="n">
        <v>9.960000000000001</v>
      </c>
      <c r="M81" s="74" t="n">
        <v>8.279999999999999</v>
      </c>
      <c r="N81" s="71" t="inlineStr">
        <is>
          <t>N</t>
        </is>
      </c>
      <c r="O81" s="75" t="n">
        <v>83.09999999999999</v>
      </c>
      <c r="P81" s="75" t="n"/>
      <c r="Q81" s="76" t="n">
        <v>1214.4</v>
      </c>
      <c r="R81" s="71" t="inlineStr">
        <is>
          <t>derived:deal size / offer % of enlarged capital</t>
        </is>
      </c>
      <c r="S81" s="77" t="n">
        <v>2.88</v>
      </c>
      <c r="T81" s="78" t="n">
        <v>1.41</v>
      </c>
      <c r="U81" s="79" t="n">
        <v>48.9</v>
      </c>
      <c r="V81" s="80" t="n">
        <v>110</v>
      </c>
      <c r="W81" s="75" t="n"/>
      <c r="X81" s="71" t="n"/>
      <c r="Y81" s="76" t="n">
        <v>155.14</v>
      </c>
      <c r="Z81" s="76" t="n">
        <v>18736939</v>
      </c>
      <c r="AA81" s="75" t="n">
        <v>12.78</v>
      </c>
      <c r="AB81" s="71" t="inlineStr">
        <is>
          <t>Glodon (Hongkong) Software Limited; Keltic Investment (HK) Limited</t>
        </is>
      </c>
      <c r="AC81" s="71" t="inlineStr">
        <is>
          <t>glodon;keltic</t>
        </is>
      </c>
      <c r="AD81" s="75" t="n">
        <v>15</v>
      </c>
      <c r="AE81" s="71" t="inlineStr">
        <is>
          <t>lapsed</t>
        </is>
      </c>
      <c r="AF81" s="71" t="inlineStr">
        <is>
          <t>2021-12-03</t>
        </is>
      </c>
      <c r="AG81" s="71" t="inlineStr">
        <is>
          <t>China International Capital Corporation Hong Kong Securities Limited</t>
        </is>
      </c>
      <c r="AH81" s="71" t="inlineStr">
        <is>
          <t>China International</t>
        </is>
      </c>
      <c r="AI81" s="81" t="n">
        <v>-0.97</v>
      </c>
      <c r="AJ81" s="82" t="n">
        <v>-0.24</v>
      </c>
      <c r="AK81" s="82" t="n">
        <v>0</v>
      </c>
      <c r="AL81" s="82" t="n">
        <v>-0.24</v>
      </c>
      <c r="AM81" s="83" t="n"/>
      <c r="AN81" s="75" t="n">
        <v>5.92</v>
      </c>
      <c r="AO81" s="82" t="n">
        <v>-9.300000000000001</v>
      </c>
      <c r="AP81" s="82" t="n">
        <v>-31.28</v>
      </c>
      <c r="AQ81" s="82" t="n">
        <v>-42.63</v>
      </c>
      <c r="AR81" s="82" t="n">
        <v>-9.08</v>
      </c>
      <c r="AS81" s="82" t="n">
        <v>-31.11</v>
      </c>
      <c r="AT81" s="82" t="n">
        <v>-42.49</v>
      </c>
      <c r="AU81" s="82" t="n">
        <v>-13.82</v>
      </c>
      <c r="AV81" s="82" t="n">
        <v>-34.16</v>
      </c>
      <c r="AW81" s="82" t="n">
        <v>-51.1</v>
      </c>
      <c r="AX81" s="82" t="n">
        <v>-30.94</v>
      </c>
      <c r="AY81" s="82" t="n">
        <v>2.88</v>
      </c>
      <c r="AZ81" s="82" t="n">
        <v>-0.17</v>
      </c>
      <c r="BA81" s="71" t="inlineStr">
        <is>
          <t>Hang Seng Properties sub-index</t>
        </is>
      </c>
      <c r="BB81" s="82" t="n">
        <v>-76.15000000000001</v>
      </c>
      <c r="BC81" s="72" t="inlineStr">
        <is>
          <t>2026-09-23</t>
        </is>
      </c>
      <c r="BD81" s="73" t="n">
        <v>1199.6</v>
      </c>
      <c r="BE81" s="76" t="n">
        <v>75.59999999999999</v>
      </c>
      <c r="BF81" s="71" t="inlineStr">
        <is>
          <t>Y</t>
        </is>
      </c>
      <c r="BG81" s="83" t="n">
        <v>16.1</v>
      </c>
      <c r="BH81" s="83" t="n"/>
      <c r="BI81" s="83" t="n">
        <v>4.6</v>
      </c>
      <c r="BJ81" s="83" t="n">
        <v>1</v>
      </c>
      <c r="BK81" s="84">
        <f>IF('BBG Verify'!S81="","not filed; run on terminal",'BBG Verify'!S81)</f>
        <v/>
      </c>
      <c r="BL81" s="85" t="inlineStr">
        <is>
          <t>N</t>
        </is>
      </c>
      <c r="BM81" s="86">
        <f>IF('BBG Verify'!K81="","not filed; run on terminal",'BBG Verify'!K81)</f>
        <v/>
      </c>
      <c r="BN81" s="71" t="inlineStr">
        <is>
          <t>N/A</t>
        </is>
      </c>
      <c r="BO81" s="71" t="inlineStr">
        <is>
          <t>N/A</t>
        </is>
      </c>
      <c r="BP81" s="71" t="inlineStr">
        <is>
          <t>N/A</t>
        </is>
      </c>
      <c r="BQ81" s="71" t="inlineStr">
        <is>
          <t>N/A</t>
        </is>
      </c>
      <c r="BR81" s="71" t="inlineStr">
        <is>
          <t>N/A</t>
        </is>
      </c>
      <c r="BS81" s="71" t="inlineStr">
        <is>
          <t>N/A</t>
        </is>
      </c>
      <c r="BT81" s="85" t="inlineStr">
        <is>
          <t>China International Capital Corporation Hong Kong Securities Limited</t>
        </is>
      </c>
      <c r="BU81" s="71" t="inlineStr">
        <is>
          <t>China International Capital Corporation Hong Kong Securities Limited</t>
        </is>
      </c>
      <c r="BV81" s="71" t="inlineStr">
        <is>
          <t>China International Capital Corporation Hong Kong Securities Limited; Zhongtai International Securities Limited; BOCOM International Securities Limited; CMBC Securities Company Limited; CCB International Capital Limited</t>
        </is>
      </c>
      <c r="BW81" s="71" t="inlineStr">
        <is>
          <t>Beta International Securities Limited; CCB International Capital Limited; China International Capital Corporation Hong Kong Securities Limited; CMBC Securities Company Limited; CMB International Capital Limited; Zhongtai International Securities Limited</t>
        </is>
      </c>
      <c r="BX81" s="87">
        <f>HYPERLINK("https://www1.hkexnews.hk/listedco/listconews/sehk/2021/1029/2021102900097.pdf","prospectus")</f>
        <v/>
      </c>
      <c r="BY81" s="87">
        <f>HYPERLINK("https://www1.hkexnews.hk/listedco/listconews/sehk/2021/1109/2021110900030.htm","allotment")</f>
        <v/>
      </c>
      <c r="BZ81" s="87">
        <f>HYPERLINK("https://www1.hkexnews.hk/listedco/listconews/sehk/2021/1203/2021120301558.pdf","stabilisation")</f>
        <v/>
      </c>
      <c r="CA81" s="85" t="n"/>
      <c r="CB81" s="71" t="inlineStr">
        <is>
          <t>range low: maximum offer price only, no floor published; allocation: allocation table not in this notice's format (older prose announcement); day-1 tape: volume on file; the retail multiple needs the final public split, which this notice does not state</t>
        </is>
      </c>
    </row>
    <row r="82" ht="15" customHeight="1">
      <c r="A82" s="70" t="inlineStr">
        <is>
          <t>2265</t>
        </is>
      </c>
      <c r="B82" s="71" t="inlineStr">
        <is>
          <t>HC ENV TECH</t>
        </is>
      </c>
      <c r="C82" s="71" t="inlineStr">
        <is>
          <t>鴻承環保科技</t>
        </is>
      </c>
      <c r="D82" s="71" t="inlineStr">
        <is>
          <t>Materials/Energy</t>
        </is>
      </c>
      <c r="E82" s="71" t="inlineStr">
        <is>
          <t>Oil &amp; gas / utilities</t>
        </is>
      </c>
      <c r="F82" s="71" t="inlineStr">
        <is>
          <t>Environmental &amp; Facilities Services</t>
        </is>
      </c>
      <c r="G82" s="71" t="inlineStr">
        <is>
          <t>Standard</t>
        </is>
      </c>
      <c r="H82" s="72" t="n">
        <v>44512</v>
      </c>
      <c r="I82" s="73" t="n">
        <v>255</v>
      </c>
      <c r="J82" s="71" t="inlineStr">
        <is>
          <t>gross (price x shares)</t>
        </is>
      </c>
      <c r="K82" s="74" t="n"/>
      <c r="L82" s="74" t="n">
        <v>1.48</v>
      </c>
      <c r="M82" s="74" t="n">
        <v>1.02</v>
      </c>
      <c r="N82" s="71" t="inlineStr">
        <is>
          <t>N</t>
        </is>
      </c>
      <c r="O82" s="75" t="n">
        <v>68.90000000000001</v>
      </c>
      <c r="P82" s="75" t="n"/>
      <c r="Q82" s="76" t="n">
        <v>1133.3</v>
      </c>
      <c r="R82" s="71" t="inlineStr">
        <is>
          <t>derived:deal size / offer % of enlarged capital</t>
        </is>
      </c>
      <c r="S82" s="77" t="n">
        <v>24.26</v>
      </c>
      <c r="T82" s="78" t="n">
        <v>1.02</v>
      </c>
      <c r="U82" s="79" t="n">
        <v>0</v>
      </c>
      <c r="V82" s="80" t="n">
        <v>146</v>
      </c>
      <c r="W82" s="75" t="n">
        <v>30</v>
      </c>
      <c r="X82" s="71" t="inlineStr">
        <is>
          <t>YES</t>
        </is>
      </c>
      <c r="Y82" s="76" t="n">
        <v>255</v>
      </c>
      <c r="Z82" s="76" t="n">
        <v>250000000</v>
      </c>
      <c r="AA82" s="75" t="n">
        <v>22.5</v>
      </c>
      <c r="AB82" s="71" t="n"/>
      <c r="AC82" s="71" t="n"/>
      <c r="AD82" s="75" t="n">
        <v>20</v>
      </c>
      <c r="AE82" s="71" t="inlineStr">
        <is>
          <t>lapsed (no over-allocation)</t>
        </is>
      </c>
      <c r="AF82" s="71" t="inlineStr">
        <is>
          <t>2021-12-03</t>
        </is>
      </c>
      <c r="AG82" s="71" t="inlineStr">
        <is>
          <t>First Shanghai Securities Limited</t>
        </is>
      </c>
      <c r="AH82" s="71" t="inlineStr">
        <is>
          <t>First Shanghai</t>
        </is>
      </c>
      <c r="AI82" s="81" t="n"/>
      <c r="AJ82" s="82" t="n">
        <v>-10.78</v>
      </c>
      <c r="AK82" s="82" t="n">
        <v>1.96</v>
      </c>
      <c r="AL82" s="82" t="n">
        <v>-12.5</v>
      </c>
      <c r="AM82" s="83" t="n">
        <v>0.6899999999999999</v>
      </c>
      <c r="AN82" s="75" t="n">
        <v>15.38</v>
      </c>
      <c r="AO82" s="82" t="n">
        <v>-3.92</v>
      </c>
      <c r="AP82" s="82" t="n">
        <v>-10.78</v>
      </c>
      <c r="AQ82" s="82" t="n">
        <v>-17.65</v>
      </c>
      <c r="AR82" s="82" t="n">
        <v>7.69</v>
      </c>
      <c r="AS82" s="82" t="n">
        <v>0</v>
      </c>
      <c r="AT82" s="82" t="n">
        <v>-7.7</v>
      </c>
      <c r="AU82" s="82" t="n">
        <v>-2.51</v>
      </c>
      <c r="AV82" s="82" t="n">
        <v>-2.37</v>
      </c>
      <c r="AW82" s="82" t="n">
        <v>-4.62</v>
      </c>
      <c r="AX82" s="82" t="n">
        <v>9.01</v>
      </c>
      <c r="AY82" s="82" t="n">
        <v>-8.41</v>
      </c>
      <c r="AZ82" s="82" t="n">
        <v>-9.01</v>
      </c>
      <c r="BA82" s="71" t="inlineStr">
        <is>
          <t>Hang Seng Commerce &amp; Industry sub-index</t>
        </is>
      </c>
      <c r="BB82" s="82" t="n">
        <v>12.75</v>
      </c>
      <c r="BC82" s="72" t="inlineStr">
        <is>
          <t>2026-09-23</t>
        </is>
      </c>
      <c r="BD82" s="73" t="n">
        <v>225.9</v>
      </c>
      <c r="BE82" s="76" t="n">
        <v>80.2</v>
      </c>
      <c r="BF82" s="71" t="inlineStr">
        <is>
          <t>Y</t>
        </is>
      </c>
      <c r="BG82" s="83" t="n">
        <v>14.1</v>
      </c>
      <c r="BH82" s="83" t="n"/>
      <c r="BI82" s="83" t="n">
        <v>12.2</v>
      </c>
      <c r="BJ82" s="83" t="n">
        <v>5</v>
      </c>
      <c r="BK82" s="84">
        <f>IF('BBG Verify'!S82="","not filed; run on terminal",'BBG Verify'!S82)</f>
        <v/>
      </c>
      <c r="BL82" s="85" t="inlineStr">
        <is>
          <t>N</t>
        </is>
      </c>
      <c r="BM82" s="86">
        <f>IF('BBG Verify'!K82="","not filed; run on terminal",'BBG Verify'!K82)</f>
        <v/>
      </c>
      <c r="BN82" s="71" t="inlineStr">
        <is>
          <t>N/A</t>
        </is>
      </c>
      <c r="BO82" s="71" t="inlineStr">
        <is>
          <t>N/A</t>
        </is>
      </c>
      <c r="BP82" s="71" t="inlineStr">
        <is>
          <t>N/A</t>
        </is>
      </c>
      <c r="BQ82" s="71" t="inlineStr">
        <is>
          <t>N/A</t>
        </is>
      </c>
      <c r="BR82" s="71" t="inlineStr">
        <is>
          <t>N/A</t>
        </is>
      </c>
      <c r="BS82" s="71" t="inlineStr">
        <is>
          <t>N/A</t>
        </is>
      </c>
      <c r="BT82" s="85" t="inlineStr">
        <is>
          <t>First Shanghai Capital Limited</t>
        </is>
      </c>
      <c r="BU82" s="71" t="inlineStr">
        <is>
          <t>First Shanghai Capital Limited</t>
        </is>
      </c>
      <c r="BV82" s="71" t="inlineStr">
        <is>
          <t>First Shanghai Securities Limited; Zhongtai International Securities Limited; Valuable Capital Limited; ICBC International Capital Limited; Blackwell Global Securities Limited</t>
        </is>
      </c>
      <c r="BW82" s="71"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X82" s="87">
        <f>HYPERLINK("https://www1.hkexnews.hk/listedco/listconews/sehk/2021/1029/2021102900113.pdf","prospectus")</f>
        <v/>
      </c>
      <c r="BY82" s="87">
        <f>HYPERLINK("https://www1.hkexnews.hk/listedco/listconews/sehk/2021/1111/2021111100010.htm","allotment")</f>
        <v/>
      </c>
      <c r="BZ82" s="87">
        <f>HYPERLINK("https://www1.hkexnews.hk/listedco/listconews/sehk/2021/1203/2021120301544.pdf","stabilisation")</f>
        <v/>
      </c>
      <c r="CA82" s="85" t="n"/>
      <c r="CB82" s="71" t="inlineStr">
        <is>
          <t>range low: maximum offer price only, no floor published; cornerstone list: no cornerstone tranche; grey market: no close found: etnet's news wire (every story that evening and the next morning), etnet's grey table (from Oct-2024) and AAStocks all checked</t>
        </is>
      </c>
    </row>
    <row r="83" ht="15" customHeight="1">
      <c r="A83" s="70" t="inlineStr">
        <is>
          <t>9899</t>
        </is>
      </c>
      <c r="B83" s="71" t="inlineStr">
        <is>
          <t>CLOUD VILLAGE</t>
        </is>
      </c>
      <c r="C83" s="71" t="inlineStr">
        <is>
          <t>網易雲音樂</t>
        </is>
      </c>
      <c r="D83" s="71" t="inlineStr">
        <is>
          <t>Tech/AI</t>
        </is>
      </c>
      <c r="E83" s="71" t="inlineStr">
        <is>
          <t>Internet platform / e-commerce</t>
        </is>
      </c>
      <c r="F83" s="71" t="inlineStr">
        <is>
          <t>e-Commerce &amp; Internet Services</t>
        </is>
      </c>
      <c r="G83" s="71" t="inlineStr">
        <is>
          <t>Standard</t>
        </is>
      </c>
      <c r="H83" s="72" t="n">
        <v>44532</v>
      </c>
      <c r="I83" s="73" t="n">
        <v>3280</v>
      </c>
      <c r="J83" s="71" t="inlineStr">
        <is>
          <t>gross (price x shares)</t>
        </is>
      </c>
      <c r="K83" s="74" t="n"/>
      <c r="L83" s="74" t="n">
        <v>220</v>
      </c>
      <c r="M83" s="74" t="n">
        <v>205</v>
      </c>
      <c r="N83" s="71" t="inlineStr">
        <is>
          <t>N</t>
        </is>
      </c>
      <c r="O83" s="75" t="n">
        <v>93.2</v>
      </c>
      <c r="P83" s="75" t="n"/>
      <c r="Q83" s="76" t="n">
        <v>36782.6</v>
      </c>
      <c r="R83" s="71" t="inlineStr">
        <is>
          <t>prospectus:stated market capitalisation, rescaled to the offer price</t>
        </is>
      </c>
      <c r="S83" s="77" t="n">
        <v>8.92</v>
      </c>
      <c r="T83" s="78" t="n">
        <v>1.7</v>
      </c>
      <c r="U83" s="79" t="n">
        <v>83.15000000000001</v>
      </c>
      <c r="V83" s="80" t="n">
        <v>144</v>
      </c>
      <c r="W83" s="75" t="n"/>
      <c r="X83" s="71" t="n"/>
      <c r="Y83" s="76" t="n">
        <v>552.6799999999999</v>
      </c>
      <c r="Z83" s="76" t="n">
        <v>2696000</v>
      </c>
      <c r="AA83" s="75" t="n">
        <v>1.5</v>
      </c>
      <c r="AB83" s="71" t="inlineStr">
        <is>
          <t>NetEase, Inc; Orbis Investment Management Limited; Sony Music Entertainment</t>
        </is>
      </c>
      <c r="AC83" s="71" t="inlineStr">
        <is>
          <t>netease;orbis;sony</t>
        </is>
      </c>
      <c r="AD83" s="75" t="n">
        <v>7.7</v>
      </c>
      <c r="AE83" s="71" t="inlineStr">
        <is>
          <t>lapsed</t>
        </is>
      </c>
      <c r="AF83" s="71" t="inlineStr">
        <is>
          <t>2021-12-26</t>
        </is>
      </c>
      <c r="AG83" s="71" t="inlineStr">
        <is>
          <t>Merrill Lynch</t>
        </is>
      </c>
      <c r="AH83" s="71" t="inlineStr">
        <is>
          <t>Merrill Lynch</t>
        </is>
      </c>
      <c r="AI83" s="81" t="n">
        <v>-2.24</v>
      </c>
      <c r="AJ83" s="82" t="n">
        <v>-2.49</v>
      </c>
      <c r="AK83" s="82" t="n">
        <v>0</v>
      </c>
      <c r="AL83" s="82" t="n">
        <v>-2.49</v>
      </c>
      <c r="AM83" s="83" t="n"/>
      <c r="AN83" s="75" t="n">
        <v>2.59</v>
      </c>
      <c r="AO83" s="82" t="n">
        <v>-2.73</v>
      </c>
      <c r="AP83" s="82" t="n">
        <v>-27.02</v>
      </c>
      <c r="AQ83" s="82" t="n">
        <v>-55.12</v>
      </c>
      <c r="AR83" s="82" t="n">
        <v>-0.25</v>
      </c>
      <c r="AS83" s="82" t="n">
        <v>-25.16</v>
      </c>
      <c r="AT83" s="82" t="n">
        <v>-53.97</v>
      </c>
      <c r="AU83" s="82" t="n">
        <v>-3.15</v>
      </c>
      <c r="AV83" s="82" t="n">
        <v>-20.01</v>
      </c>
      <c r="AW83" s="82" t="n">
        <v>-29.15</v>
      </c>
      <c r="AX83" s="82" t="n">
        <v>-19.01</v>
      </c>
      <c r="AY83" s="82" t="n">
        <v>-7.01</v>
      </c>
      <c r="AZ83" s="82" t="n">
        <v>-6.15</v>
      </c>
      <c r="BA83" s="71" t="inlineStr">
        <is>
          <t>HSTECH (Hang Seng TECH ETF)</t>
        </is>
      </c>
      <c r="BB83" s="82" t="n">
        <v>-58.24</v>
      </c>
      <c r="BC83" s="72" t="inlineStr">
        <is>
          <t>2026-09-23</t>
        </is>
      </c>
      <c r="BD83" s="73" t="n">
        <v>5385.3</v>
      </c>
      <c r="BE83" s="76" t="n"/>
      <c r="BF83" s="71" t="n"/>
      <c r="BG83" s="84">
        <f>IF('BBG Verify'!O83="","not filed; run on terminal",'BBG Verify'!O83)</f>
        <v/>
      </c>
      <c r="BH83" s="83" t="n"/>
      <c r="BI83" s="83" t="n">
        <v>7.7</v>
      </c>
      <c r="BJ83" s="83" t="n">
        <v>6.8</v>
      </c>
      <c r="BK83" s="84">
        <f>IF('BBG Verify'!S83="","not filed; run on terminal",'BBG Verify'!S83)</f>
        <v/>
      </c>
      <c r="BL83" s="85" t="inlineStr">
        <is>
          <t>N</t>
        </is>
      </c>
      <c r="BM83" s="86">
        <f>IF('BBG Verify'!K83="","not filed; run on terminal",'BBG Verify'!K83)</f>
        <v/>
      </c>
      <c r="BN83" s="71" t="inlineStr">
        <is>
          <t>N/A</t>
        </is>
      </c>
      <c r="BO83" s="71" t="inlineStr">
        <is>
          <t>N/A</t>
        </is>
      </c>
      <c r="BP83" s="71" t="inlineStr">
        <is>
          <t>N/A</t>
        </is>
      </c>
      <c r="BQ83" s="71" t="inlineStr">
        <is>
          <t>N/A</t>
        </is>
      </c>
      <c r="BR83" s="71" t="inlineStr">
        <is>
          <t>N/A</t>
        </is>
      </c>
      <c r="BS83" s="71" t="inlineStr">
        <is>
          <t>N/A</t>
        </is>
      </c>
      <c r="BT83" s="85" t="inlineStr">
        <is>
          <t>BofA Securities; CICC; Credit Suisse</t>
        </is>
      </c>
      <c r="BU83" s="71" t="inlineStr">
        <is>
          <t>China International Capital Corporation Hong Kong Securities Limited; Merrill Lynch (Asia Pacific) Limited; Credit Suisse (Hong Kong) Limited</t>
        </is>
      </c>
      <c r="BV83" s="71" t="inlineStr">
        <is>
          <t>ABCI Securities Company Limited; BOCI Asia Limited; CCB International Capital Limited; Citigroup Global Markets Asia Limited; China International Capital Corporation Hong Kong Securities Limited; CMB International Capital Corporation Limited</t>
        </is>
      </c>
      <c r="BW83" s="71"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X83" s="87">
        <f>HYPERLINK("https://www1.hkexnews.hk/listedco/listconews/sehk/2021/1123/2021112300032.pdf","prospectus")</f>
        <v/>
      </c>
      <c r="BY83" s="87">
        <f>HYPERLINK("https://www1.hkexnews.hk/listedco/listconews/sehk/2021/1201/2021120100040.htm","allotment")</f>
        <v/>
      </c>
      <c r="BZ83" s="87">
        <f>HYPERLINK("https://www1.hkexnews.hk/listedco/listconews/sehk/2021/1227/2021122700001.pdf","stabilisation")</f>
        <v/>
      </c>
      <c r="CA83" s="85" t="n"/>
      <c r="CB83" s="71" t="inlineStr">
        <is>
          <t>P/E: net income not extractable; range low: maximum offer price only, no floor published; market cap: prospectus cap HK$39,474m at HK$220.00, rescaled to HK$205.00; financials: not extractable; pre-IPO year outside the AAStocks window; allocation: allocation table not in this notice's format (older prose announcement); day-1 tape: volume on file; the retail multiple needs the final public split, which this notice does not state</t>
        </is>
      </c>
    </row>
    <row r="84" ht="15" customHeight="1">
      <c r="A84" s="70" t="inlineStr">
        <is>
          <t>9898</t>
        </is>
      </c>
      <c r="B84" s="71" t="inlineStr">
        <is>
          <t>WB-SW</t>
        </is>
      </c>
      <c r="C84" s="71" t="inlineStr">
        <is>
          <t>微博－ＳＷ</t>
        </is>
      </c>
      <c r="D84" s="71" t="inlineStr">
        <is>
          <t>Tech/AI</t>
        </is>
      </c>
      <c r="E84" s="71" t="inlineStr">
        <is>
          <t>Internet platform / e-commerce</t>
        </is>
      </c>
      <c r="F84" s="71" t="inlineStr">
        <is>
          <t>e-Commerce &amp; Internet Services</t>
        </is>
      </c>
      <c r="G84" s="71" t="inlineStr">
        <is>
          <t>Secondary + WVR</t>
        </is>
      </c>
      <c r="H84" s="72" t="n">
        <v>44538</v>
      </c>
      <c r="I84" s="73" t="n">
        <v>3000.8</v>
      </c>
      <c r="J84" s="71" t="inlineStr">
        <is>
          <t>gross (price x shares)</t>
        </is>
      </c>
      <c r="K84" s="74" t="n"/>
      <c r="L84" s="74" t="n">
        <v>388</v>
      </c>
      <c r="M84" s="74" t="n">
        <v>272.8</v>
      </c>
      <c r="N84" s="71" t="inlineStr">
        <is>
          <t>N</t>
        </is>
      </c>
      <c r="O84" s="75" t="n">
        <v>70.3</v>
      </c>
      <c r="P84" s="75" t="n"/>
      <c r="Q84" s="76" t="n">
        <v>91022</v>
      </c>
      <c r="R84" s="71" t="inlineStr">
        <is>
          <t>prospectus:stated market capitalisation</t>
        </is>
      </c>
      <c r="S84" s="77" t="n">
        <v>2.67</v>
      </c>
      <c r="T84" s="78" t="n">
        <v>5.5</v>
      </c>
      <c r="U84" s="79" t="n"/>
      <c r="V84" s="80" t="n">
        <v>148</v>
      </c>
      <c r="W84" s="75" t="n"/>
      <c r="X84" s="71" t="n"/>
      <c r="Y84" s="76" t="n">
        <v>3000.8</v>
      </c>
      <c r="Z84" s="76" t="n">
        <v>11000000</v>
      </c>
      <c r="AA84" s="75" t="n">
        <v>3.3</v>
      </c>
      <c r="AB84" s="71" t="n"/>
      <c r="AC84" s="71" t="n"/>
      <c r="AD84" s="75" t="n">
        <v>5.4</v>
      </c>
      <c r="AE84" s="71" t="inlineStr">
        <is>
          <t>partial</t>
        </is>
      </c>
      <c r="AF84" s="71" t="inlineStr">
        <is>
          <t>2022-01-01</t>
        </is>
      </c>
      <c r="AG84" s="71" t="inlineStr">
        <is>
          <t>Goldman Sachs</t>
        </is>
      </c>
      <c r="AH84" s="71" t="inlineStr">
        <is>
          <t>Goldman Sachs</t>
        </is>
      </c>
      <c r="AI84" s="81" t="n">
        <v>-6.16</v>
      </c>
      <c r="AJ84" s="82" t="n">
        <v>-7.18</v>
      </c>
      <c r="AK84" s="82" t="n">
        <v>-6.09</v>
      </c>
      <c r="AL84" s="82" t="n">
        <v>-1.16</v>
      </c>
      <c r="AM84" s="83" t="n"/>
      <c r="AN84" s="75" t="n">
        <v>2.26</v>
      </c>
      <c r="AO84" s="82" t="n">
        <v>-19.65</v>
      </c>
      <c r="AP84" s="82" t="n">
        <v>-4.4</v>
      </c>
      <c r="AQ84" s="82" t="n">
        <v>-28.52</v>
      </c>
      <c r="AR84" s="82" t="n">
        <v>-13.43</v>
      </c>
      <c r="AS84" s="82" t="n">
        <v>3</v>
      </c>
      <c r="AT84" s="82" t="n">
        <v>-22.99</v>
      </c>
      <c r="AU84" s="82" t="n">
        <v>-16.44</v>
      </c>
      <c r="AV84" s="82" t="n">
        <v>3.72</v>
      </c>
      <c r="AW84" s="82" t="n">
        <v>0.45</v>
      </c>
      <c r="AX84" s="82" t="n">
        <v>10.89</v>
      </c>
      <c r="AY84" s="82" t="n">
        <v>-8.119999999999999</v>
      </c>
      <c r="AZ84" s="82" t="n">
        <v>-7.89</v>
      </c>
      <c r="BA84" s="71" t="inlineStr">
        <is>
          <t>HSTECH (Hang Seng TECH ETF)</t>
        </is>
      </c>
      <c r="BB84" s="82" t="n">
        <v>-80.94</v>
      </c>
      <c r="BC84" s="72" t="inlineStr">
        <is>
          <t>2026-09-23</t>
        </is>
      </c>
      <c r="BD84" s="73" t="n"/>
      <c r="BE84" s="76" t="n"/>
      <c r="BF84" s="71" t="n"/>
      <c r="BG84" s="83" t="n">
        <v>11.2</v>
      </c>
      <c r="BH84" s="83" t="n">
        <v>11.2</v>
      </c>
      <c r="BI84" s="83" t="n">
        <v>4.9</v>
      </c>
      <c r="BJ84" s="83" t="n"/>
      <c r="BK84" s="84">
        <f>IF('BBG Verify'!S84="","not filed; run on terminal",'BBG Verify'!S84)</f>
        <v/>
      </c>
      <c r="BL84" s="85" t="inlineStr">
        <is>
          <t>N</t>
        </is>
      </c>
      <c r="BM84" s="86">
        <f>IF('BBG Verify'!K84="","not filed; run on terminal",'BBG Verify'!K84)</f>
        <v/>
      </c>
      <c r="BN84" s="71" t="inlineStr">
        <is>
          <t>N/A</t>
        </is>
      </c>
      <c r="BO84" s="71" t="inlineStr">
        <is>
          <t>N/A</t>
        </is>
      </c>
      <c r="BP84" s="71" t="inlineStr">
        <is>
          <t>N/A</t>
        </is>
      </c>
      <c r="BQ84" s="71" t="inlineStr">
        <is>
          <t>N/A</t>
        </is>
      </c>
      <c r="BR84" s="71" t="inlineStr">
        <is>
          <t>N/A</t>
        </is>
      </c>
      <c r="BS84" s="71" t="inlineStr">
        <is>
          <t>N/A</t>
        </is>
      </c>
      <c r="BT84" s="85" t="inlineStr">
        <is>
          <t>Goldman Sachs (Asia) L.L.C; Credit Suisse (Hong Kong) Limited; CLSA Capital Markets Limited; China International Capital Corporation Hong Kong Securities Limited; CLSA Limited</t>
        </is>
      </c>
      <c r="BU84" s="71" t="inlineStr">
        <is>
          <t>China International Capital Corporation Hong Kong Securities Limited; Goldman Sachs (Asia) L.L.C.; CLSA Capital Markets Limited; Credit Suisse (Hong Kong) Limited</t>
        </is>
      </c>
      <c r="BV84" s="71"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W84" s="71"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X84" s="87">
        <f>HYPERLINK("https://www1.hkexnews.hk/listedco/listconews/sehk/2021/1129/2021112900007.pdf","prospectus")</f>
        <v/>
      </c>
      <c r="BY84" s="87">
        <f>HYPERLINK("https://www1.hkexnews.hk/listedco/listconews/sehk/2021/1207/2021120700020.htm","allotment")</f>
        <v/>
      </c>
      <c r="BZ84" s="87">
        <f>HYPERLINK("https://www1.hkexnews.hk/listedco/listconews/sehk/2022/0102/2022010200019.pdf","stabilisation")</f>
        <v/>
      </c>
      <c r="CA84" s="85" t="n"/>
      <c r="CB84" s="71"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85" ht="15" customHeight="1">
      <c r="A85" s="70" t="inlineStr">
        <is>
          <t>1228</t>
        </is>
      </c>
      <c r="B85" s="71" t="inlineStr">
        <is>
          <t>CANBRIDGE-B</t>
        </is>
      </c>
      <c r="C85" s="71" t="inlineStr">
        <is>
          <t>北海康成－Ｂ</t>
        </is>
      </c>
      <c r="D85" s="71" t="inlineStr">
        <is>
          <t>Healthcare</t>
        </is>
      </c>
      <c r="E85" s="71" t="inlineStr">
        <is>
          <t>Biotech pre-revenue (18A)</t>
        </is>
      </c>
      <c r="F85" s="71" t="inlineStr">
        <is>
          <t>Biotechnology</t>
        </is>
      </c>
      <c r="G85" s="71" t="inlineStr">
        <is>
          <t>18A</t>
        </is>
      </c>
      <c r="H85" s="72" t="n">
        <v>44540</v>
      </c>
      <c r="I85" s="73" t="n">
        <v>685.1</v>
      </c>
      <c r="J85" s="71" t="inlineStr">
        <is>
          <t>gross (price x shares)</t>
        </is>
      </c>
      <c r="K85" s="74" t="n"/>
      <c r="L85" s="74" t="n">
        <v>12.18</v>
      </c>
      <c r="M85" s="74" t="n">
        <v>12.18</v>
      </c>
      <c r="N85" s="71" t="inlineStr">
        <is>
          <t>Y</t>
        </is>
      </c>
      <c r="O85" s="75" t="n">
        <v>100</v>
      </c>
      <c r="P85" s="75" t="n"/>
      <c r="Q85" s="76" t="n">
        <v>6851</v>
      </c>
      <c r="R85" s="71" t="inlineStr">
        <is>
          <t>press:gelonghui: 市值68.51亿 at HK$12.18 (10% float cross-checks)</t>
        </is>
      </c>
      <c r="S85" s="77" t="n">
        <v>1.97</v>
      </c>
      <c r="T85" s="78" t="n">
        <v>2.8</v>
      </c>
      <c r="U85" s="79" t="n">
        <v>75.8</v>
      </c>
      <c r="V85" s="80" t="n">
        <v>113</v>
      </c>
      <c r="W85" s="75" t="n"/>
      <c r="X85" s="71" t="n"/>
      <c r="Y85" s="76" t="n">
        <v>165.79</v>
      </c>
      <c r="Z85" s="76" t="n">
        <v>13612742</v>
      </c>
      <c r="AA85" s="75" t="n">
        <v>2.42</v>
      </c>
      <c r="AB85" s="71" t="inlineStr">
        <is>
          <t>Belinda A. Termeer; General Atlantic Singapore CP Pte. Ltd; Hongkong Ruihua Investment Management Limited; Hudson Bay Master Fund Ltd; Janus Investors; RA Capital Healthcare Fund, L.P; WuXi Biologics HealthCare Venture</t>
        </is>
      </c>
      <c r="AC85" s="71" t="inlineStr">
        <is>
          <t>belinda;general;hongkong;hudson;janus;ra;wuxi</t>
        </is>
      </c>
      <c r="AD85" s="75" t="n"/>
      <c r="AE85" s="71" t="n"/>
      <c r="AF85" s="71" t="inlineStr">
        <is>
          <t>2022-01-02</t>
        </is>
      </c>
      <c r="AG85" s="71" t="n"/>
      <c r="AH85" s="71" t="n"/>
      <c r="AI85" s="81" t="n"/>
      <c r="AJ85" s="82" t="n">
        <v>-26.93</v>
      </c>
      <c r="AK85" s="82" t="n">
        <v>-19.54</v>
      </c>
      <c r="AL85" s="82" t="n">
        <v>-9.18</v>
      </c>
      <c r="AM85" s="83" t="n"/>
      <c r="AN85" s="75" t="n">
        <v>14.08</v>
      </c>
      <c r="AO85" s="82" t="n">
        <v>-30.13</v>
      </c>
      <c r="AP85" s="82" t="n">
        <v>-32.84</v>
      </c>
      <c r="AQ85" s="82" t="n">
        <v>-64.37</v>
      </c>
      <c r="AR85" s="82" t="n">
        <v>-4.38</v>
      </c>
      <c r="AS85" s="82" t="n">
        <v>-8.09</v>
      </c>
      <c r="AT85" s="82" t="n">
        <v>-51.24</v>
      </c>
      <c r="AU85" s="82" t="n">
        <v>-23.79</v>
      </c>
      <c r="AV85" s="82" t="n">
        <v>-22.11</v>
      </c>
      <c r="AW85" s="82" t="n">
        <v>-26.66</v>
      </c>
      <c r="AX85" s="82" t="n">
        <v>1.24</v>
      </c>
      <c r="AY85" s="82" t="n">
        <v>-10.73</v>
      </c>
      <c r="AZ85" s="82" t="n">
        <v>-9.33</v>
      </c>
      <c r="BA85" s="71" t="inlineStr">
        <is>
          <t>China Biotech ETF (HS biotech proxy)</t>
        </is>
      </c>
      <c r="BB85" s="82" t="n">
        <v>-84.81</v>
      </c>
      <c r="BC85" s="72" t="inlineStr">
        <is>
          <t>2026-09-23</t>
        </is>
      </c>
      <c r="BD85" s="73" t="n"/>
      <c r="BE85" s="76" t="n"/>
      <c r="BF85" s="71" t="n"/>
      <c r="BG85" s="84">
        <f>IF('BBG Verify'!O85="","not filed; run on terminal",'BBG Verify'!O85)</f>
        <v/>
      </c>
      <c r="BH85" s="83" t="n"/>
      <c r="BI85" s="83" t="n">
        <v>37.8</v>
      </c>
      <c r="BJ85" s="83" t="n"/>
      <c r="BK85" s="84">
        <f>IF('BBG Verify'!S85="","not filed; run on terminal",'BBG Verify'!S85)</f>
        <v/>
      </c>
      <c r="BL85" s="85" t="inlineStr">
        <is>
          <t>N</t>
        </is>
      </c>
      <c r="BM85" s="86">
        <f>IF('BBG Verify'!K85="","not filed; run on terminal",'BBG Verify'!K85)</f>
        <v/>
      </c>
      <c r="BN85" s="71" t="inlineStr">
        <is>
          <t>N/A</t>
        </is>
      </c>
      <c r="BO85" s="71" t="inlineStr">
        <is>
          <t>N/A</t>
        </is>
      </c>
      <c r="BP85" s="71" t="inlineStr">
        <is>
          <t>N/A</t>
        </is>
      </c>
      <c r="BQ85" s="71" t="inlineStr">
        <is>
          <t>N/A</t>
        </is>
      </c>
      <c r="BR85" s="71" t="inlineStr">
        <is>
          <t>N/A</t>
        </is>
      </c>
      <c r="BS85" s="71" t="inlineStr">
        <is>
          <t>N/A</t>
        </is>
      </c>
      <c r="BT85" s="85" t="n"/>
      <c r="BU85" s="71" t="inlineStr">
        <is>
          <t>Jefferies Hong Kong Limited; Morgan Stanley Asia Limited</t>
        </is>
      </c>
      <c r="BV85" s="71" t="inlineStr">
        <is>
          <t>BOCI Asia Limited; China Merchants Securities (HK) Company Limited; Futu Securities International (Hong Kong) Limited; Haitong International Securities Company Limited; Jefferies Hong Kong Limited; Morgan Stanley Asia Limited</t>
        </is>
      </c>
      <c r="BW85" s="71" t="inlineStr">
        <is>
          <t>BOCI Asia Limited; China Merchants Securities (HK) Company Limited; Futu Securities International (Hong Kong) Limited; Haitong International Securities Company Limited; Jefferies Hong Kong Limited; Morgan Stanley Asia Limited</t>
        </is>
      </c>
      <c r="BX85" s="71" t="n"/>
      <c r="BY85" s="87">
        <f>HYPERLINK("https://www1.hkexnews.hk/listedco/listconews/sehk/2021/1209/2021120900010.htm","allotment")</f>
        <v/>
      </c>
      <c r="BZ85" s="71" t="n"/>
      <c r="CA85" s="85" t="n"/>
      <c r="CB85" s="71"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86" ht="15" customHeight="1">
      <c r="A86" s="70" t="inlineStr">
        <is>
          <t>2273</t>
        </is>
      </c>
      <c r="B86" s="71" t="inlineStr">
        <is>
          <t>GUSHENGTANG</t>
        </is>
      </c>
      <c r="C86" s="71" t="inlineStr">
        <is>
          <t>固生堂</t>
        </is>
      </c>
      <c r="D86" s="71" t="inlineStr">
        <is>
          <t>Healthcare</t>
        </is>
      </c>
      <c r="E86" s="71" t="inlineStr">
        <is>
          <t>TCM</t>
        </is>
      </c>
      <c r="F86" s="71" t="inlineStr">
        <is>
          <t>Health Care Services</t>
        </is>
      </c>
      <c r="G86" s="71" t="inlineStr">
        <is>
          <t>Standard</t>
        </is>
      </c>
      <c r="H86" s="72" t="n">
        <v>44540</v>
      </c>
      <c r="I86" s="73" t="n">
        <v>808.5</v>
      </c>
      <c r="J86" s="71" t="inlineStr">
        <is>
          <t>gross (price x shares)</t>
        </is>
      </c>
      <c r="K86" s="74" t="n">
        <v>25.8</v>
      </c>
      <c r="L86" s="74" t="n">
        <v>29</v>
      </c>
      <c r="M86" s="74" t="n">
        <v>29</v>
      </c>
      <c r="N86" s="71" t="inlineStr">
        <is>
          <t>Y</t>
        </is>
      </c>
      <c r="O86" s="75" t="n">
        <v>100</v>
      </c>
      <c r="P86" s="75" t="n">
        <v>100</v>
      </c>
      <c r="Q86" s="76" t="n">
        <v>5914.4</v>
      </c>
      <c r="R86" s="71" t="inlineStr">
        <is>
          <t>derived:deal size / offer % of enlarged capital</t>
        </is>
      </c>
      <c r="S86" s="77" t="n">
        <v>2.84</v>
      </c>
      <c r="T86" s="78" t="n">
        <v>4.4</v>
      </c>
      <c r="U86" s="79" t="n">
        <v>40.32</v>
      </c>
      <c r="V86" s="80" t="n">
        <v>69</v>
      </c>
      <c r="W86" s="75" t="n"/>
      <c r="X86" s="71" t="n"/>
      <c r="Y86" s="76" t="n">
        <v>482.51</v>
      </c>
      <c r="Z86" s="76" t="n">
        <v>16637590</v>
      </c>
      <c r="AA86" s="75" t="n">
        <v>8.16</v>
      </c>
      <c r="AB86" s="71" t="inlineStr">
        <is>
          <t>Boyu Capital Opportunities Master Fund; Foresight Funds; Sage Partners Master Fund; UBS Asset Management (Singapore) Ltd</t>
        </is>
      </c>
      <c r="AC86" s="71" t="inlineStr">
        <is>
          <t>boyu;foresight;sage;ubs</t>
        </is>
      </c>
      <c r="AD86" s="75" t="n">
        <v>15.14</v>
      </c>
      <c r="AE86" s="71" t="inlineStr">
        <is>
          <t>lapsed</t>
        </is>
      </c>
      <c r="AF86" s="71" t="inlineStr">
        <is>
          <t>2022-01-02</t>
        </is>
      </c>
      <c r="AG86" s="71" t="inlineStr">
        <is>
          <t>Merrill Lynch International</t>
        </is>
      </c>
      <c r="AH86" s="71" t="inlineStr">
        <is>
          <t>Merrill Lynch</t>
        </is>
      </c>
      <c r="AI86" s="81" t="n"/>
      <c r="AJ86" s="82" t="n">
        <v>0</v>
      </c>
      <c r="AK86" s="82" t="n">
        <v>15.17</v>
      </c>
      <c r="AL86" s="82" t="n">
        <v>-13.17</v>
      </c>
      <c r="AM86" s="83" t="n"/>
      <c r="AN86" s="75" t="n">
        <v>16.77</v>
      </c>
      <c r="AO86" s="82" t="n">
        <v>-17.24</v>
      </c>
      <c r="AP86" s="82" t="n">
        <v>45.86</v>
      </c>
      <c r="AQ86" s="82" t="n">
        <v>-28.45</v>
      </c>
      <c r="AR86" s="82" t="n">
        <v>-17.24</v>
      </c>
      <c r="AS86" s="82" t="n">
        <v>45.86</v>
      </c>
      <c r="AT86" s="82" t="n">
        <v>-28.45</v>
      </c>
      <c r="AU86" s="82" t="n">
        <v>-10.9</v>
      </c>
      <c r="AV86" s="82" t="n">
        <v>56.59</v>
      </c>
      <c r="AW86" s="82" t="n">
        <v>9.26</v>
      </c>
      <c r="AX86" s="82" t="n">
        <v>55.19</v>
      </c>
      <c r="AY86" s="82" t="n">
        <v>-10.73</v>
      </c>
      <c r="AZ86" s="82" t="n">
        <v>-9.33</v>
      </c>
      <c r="BA86" s="71" t="inlineStr">
        <is>
          <t>China Biotech ETF (HS biotech proxy)</t>
        </is>
      </c>
      <c r="BB86" s="82" t="n">
        <v>-4.97</v>
      </c>
      <c r="BC86" s="72" t="inlineStr">
        <is>
          <t>2026-09-23</t>
        </is>
      </c>
      <c r="BD86" s="73" t="n">
        <v>1017.9</v>
      </c>
      <c r="BE86" s="76" t="n">
        <v>-280.9</v>
      </c>
      <c r="BF86" s="71" t="inlineStr">
        <is>
          <t>N</t>
        </is>
      </c>
      <c r="BG86" s="71" t="inlineStr">
        <is>
          <t>n/m</t>
        </is>
      </c>
      <c r="BH86" s="83" t="n"/>
      <c r="BI86" s="83" t="n">
        <v>15.7</v>
      </c>
      <c r="BJ86" s="83" t="n">
        <v>5.8</v>
      </c>
      <c r="BK86" s="84">
        <f>IF('BBG Verify'!S86="","not filed; run on terminal",'BBG Verify'!S86)</f>
        <v/>
      </c>
      <c r="BL86" s="85" t="inlineStr">
        <is>
          <t>N</t>
        </is>
      </c>
      <c r="BM86" s="86">
        <f>IF('BBG Verify'!K86="","not filed; run on terminal",'BBG Verify'!K86)</f>
        <v/>
      </c>
      <c r="BN86" s="71" t="inlineStr">
        <is>
          <t>N/A</t>
        </is>
      </c>
      <c r="BO86" s="71" t="inlineStr">
        <is>
          <t>N/A</t>
        </is>
      </c>
      <c r="BP86" s="71" t="inlineStr">
        <is>
          <t>N/A</t>
        </is>
      </c>
      <c r="BQ86" s="71" t="inlineStr">
        <is>
          <t>N/A</t>
        </is>
      </c>
      <c r="BR86" s="71" t="inlineStr">
        <is>
          <t>N/A</t>
        </is>
      </c>
      <c r="BS86" s="71" t="inlineStr">
        <is>
          <t>N/A</t>
        </is>
      </c>
      <c r="BT86" s="85" t="inlineStr">
        <is>
          <t>Merrill Lynch (Asia Pacific) Limited; Haitong International Capital Limited; Haitong International Securities Company Limited</t>
        </is>
      </c>
      <c r="BU86" s="71" t="inlineStr">
        <is>
          <t>Haitong International Capital Limited; Merrill Lynch (Asia Pacific) Limited</t>
        </is>
      </c>
      <c r="BV86" s="71" t="inlineStr">
        <is>
          <t>Merrill Lynch (Asia Pacific) Limited; Haitong International Securities Company Limited; China International Capital Corporation Hong Kong Securities Limited; GF Securities (Hong Kong) Brokerage Limited; ICBC International Capital Limited</t>
        </is>
      </c>
      <c r="BW86" s="71"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X86" s="87">
        <f>HYPERLINK("https://www1.hkexnews.hk/listedco/listconews/sehk/2021/1130/2021113000025.pdf","prospectus")</f>
        <v/>
      </c>
      <c r="BY86" s="87">
        <f>HYPERLINK("https://www1.hkexnews.hk/listedco/listconews/sehk/2021/1209/2021120900040.htm","allotment")</f>
        <v/>
      </c>
      <c r="BZ86" s="87">
        <f>HYPERLINK("https://www1.hkexnews.hk/listedco/listconews/sehk/2022/0103/2022010302918.pdf","stabilisation")</f>
        <v/>
      </c>
      <c r="CA86" s="85" t="n"/>
      <c r="CB86" s="71" t="inlineStr">
        <is>
          <t>P/E: loss-making at IPO, use P/S; greenshoe: conflict: notice read 'lapsed' but Bloomberg records 4,181,700 shares exercised; check the notice; market cap: prospectus 'market capitalisation' line is the listing-rule threshold, not the issuer's figure; rejected; grey market: etnet's story of the session gave only the Phillip open (29.05, +0.2% vs offer) on 2021-12-09; no close was published; allocation: allocation table not in this notice's format (older prose announcement); day-1 tape: volume on file; the retail multiple needs the final public split, which this notice does not state</t>
        </is>
      </c>
    </row>
    <row r="87" ht="15" customHeight="1">
      <c r="A87" s="70" t="inlineStr">
        <is>
          <t>6821</t>
        </is>
      </c>
      <c r="B87" s="71" t="inlineStr">
        <is>
          <t>ASYMCHEM</t>
        </is>
      </c>
      <c r="C87" s="71" t="inlineStr">
        <is>
          <t>凱萊英</t>
        </is>
      </c>
      <c r="D87" s="71" t="inlineStr">
        <is>
          <t>Healthcare</t>
        </is>
      </c>
      <c r="E87" s="71" t="inlineStr">
        <is>
          <t>CXO / pharma services</t>
        </is>
      </c>
      <c r="F87" s="71" t="inlineStr">
        <is>
          <t>Pharmaceuticals</t>
        </is>
      </c>
      <c r="G87" s="71" t="inlineStr">
        <is>
          <t>Standard</t>
        </is>
      </c>
      <c r="H87" s="72" t="n">
        <v>44540</v>
      </c>
      <c r="I87" s="73" t="n">
        <v>7145.2</v>
      </c>
      <c r="J87" s="71" t="inlineStr">
        <is>
          <t>gross (price x shares)</t>
        </is>
      </c>
      <c r="K87" s="74" t="n">
        <v>350</v>
      </c>
      <c r="L87" s="74" t="n">
        <v>410</v>
      </c>
      <c r="M87" s="74" t="n">
        <v>388</v>
      </c>
      <c r="N87" s="71" t="inlineStr">
        <is>
          <t>N</t>
        </is>
      </c>
      <c r="O87" s="75" t="n">
        <v>94.59999999999999</v>
      </c>
      <c r="P87" s="75" t="n">
        <v>63.3</v>
      </c>
      <c r="Q87" s="76" t="n">
        <v>141820</v>
      </c>
      <c r="R87" s="71" t="inlineStr">
        <is>
          <t>prospectus:stated market capitalisation</t>
        </is>
      </c>
      <c r="S87" s="77" t="n">
        <v>4.5</v>
      </c>
      <c r="T87" s="78" t="n">
        <v>4.5</v>
      </c>
      <c r="U87" s="79" t="n">
        <v>0</v>
      </c>
      <c r="V87" s="80" t="n">
        <v>102</v>
      </c>
      <c r="W87" s="75" t="n"/>
      <c r="X87" s="71" t="n"/>
      <c r="Y87" s="76" t="n">
        <v>7145.2</v>
      </c>
      <c r="Z87" s="76" t="n">
        <v>18415400</v>
      </c>
      <c r="AA87" s="75" t="n">
        <v>5.04</v>
      </c>
      <c r="AB87" s="71" t="n"/>
      <c r="AC87" s="71" t="n"/>
      <c r="AD87" s="75" t="n">
        <v>7.97</v>
      </c>
      <c r="AE87" s="71" t="inlineStr">
        <is>
          <t>partial</t>
        </is>
      </c>
      <c r="AF87" s="71" t="inlineStr">
        <is>
          <t>2022-01-02</t>
        </is>
      </c>
      <c r="AG87" s="71" t="inlineStr">
        <is>
          <t>Goldman Sachs</t>
        </is>
      </c>
      <c r="AH87" s="71" t="inlineStr">
        <is>
          <t>Goldman Sachs</t>
        </is>
      </c>
      <c r="AI87" s="81" t="n"/>
      <c r="AJ87" s="82" t="n">
        <v>-4.64</v>
      </c>
      <c r="AK87" s="82" t="n">
        <v>0</v>
      </c>
      <c r="AL87" s="82" t="n">
        <v>-4.64</v>
      </c>
      <c r="AM87" s="83" t="n"/>
      <c r="AN87" s="75" t="n">
        <v>5.52</v>
      </c>
      <c r="AO87" s="82" t="n">
        <v>-16.55</v>
      </c>
      <c r="AP87" s="82" t="n">
        <v>-32.27</v>
      </c>
      <c r="AQ87" s="82" t="n">
        <v>-44.85</v>
      </c>
      <c r="AR87" s="82" t="n">
        <v>-12.49</v>
      </c>
      <c r="AS87" s="82" t="n">
        <v>-28.97</v>
      </c>
      <c r="AT87" s="82" t="n">
        <v>-42.17</v>
      </c>
      <c r="AU87" s="82" t="n">
        <v>-10.21</v>
      </c>
      <c r="AV87" s="82" t="n">
        <v>-21.54</v>
      </c>
      <c r="AW87" s="82" t="n">
        <v>-7.14</v>
      </c>
      <c r="AX87" s="82" t="n">
        <v>-19.64</v>
      </c>
      <c r="AY87" s="82" t="n">
        <v>-10.73</v>
      </c>
      <c r="AZ87" s="82" t="n">
        <v>-9.33</v>
      </c>
      <c r="BA87" s="71" t="inlineStr">
        <is>
          <t>China Biotech ETF (HS biotech proxy)</t>
        </is>
      </c>
      <c r="BB87" s="82" t="n">
        <v>-43.24</v>
      </c>
      <c r="BC87" s="72" t="inlineStr">
        <is>
          <t>2026-09-23</t>
        </is>
      </c>
      <c r="BD87" s="73" t="n">
        <v>3450.4</v>
      </c>
      <c r="BE87" s="76" t="n">
        <v>791.7</v>
      </c>
      <c r="BF87" s="71" t="inlineStr">
        <is>
          <t>Y</t>
        </is>
      </c>
      <c r="BG87" s="83" t="n">
        <v>179.1</v>
      </c>
      <c r="BH87" s="83" t="n"/>
      <c r="BI87" s="83" t="n"/>
      <c r="BJ87" s="83" t="n">
        <v>41.1</v>
      </c>
      <c r="BK87" s="84">
        <f>IF('BBG Verify'!S87="","not filed; run on terminal",'BBG Verify'!S87)</f>
        <v/>
      </c>
      <c r="BL87" s="85" t="inlineStr">
        <is>
          <t>Y</t>
        </is>
      </c>
      <c r="BM87" s="71" t="inlineStr">
        <is>
          <t>002821.SZ</t>
        </is>
      </c>
      <c r="BN87" s="82" t="n">
        <v>50.64</v>
      </c>
      <c r="BO87" s="74" t="n">
        <v>584.465</v>
      </c>
      <c r="BP87" s="89" t="n">
        <v>0.4017</v>
      </c>
      <c r="BQ87" s="76" t="n">
        <v>80748</v>
      </c>
      <c r="BR87" s="84">
        <f>IF('BBG Verify'!Q87="","run on terminal",'BBG Verify'!Q87)</f>
        <v/>
      </c>
      <c r="BS87" s="84">
        <f>IF('BBG Verify'!R87="","run on terminal",'BBG Verify'!R87)</f>
        <v/>
      </c>
      <c r="BT87" s="85" t="inlineStr">
        <is>
          <t>Goldman Sachs (Asia) L.L.C; CLSA Capital Markets Limited</t>
        </is>
      </c>
      <c r="BU87" s="71" t="inlineStr">
        <is>
          <t>Goldman Sachs (Asia) L.L.C.; CLSA Capital Markets Limited</t>
        </is>
      </c>
      <c r="BV87" s="71" t="inlineStr">
        <is>
          <t>Goldman Sachs (Asia) L.L.C; CLSA Limited; Credit Suisse (Hong Kong) Limited; Citigroup Global Markets Asia Limited; BOCOM International Securities Limited</t>
        </is>
      </c>
      <c r="BW87" s="71" t="inlineStr">
        <is>
          <t>Beta International Securities Limited; Citigroup Global Markets Asia Limited; CLSA Limited; Credit Suisse (Hong Kong) Limited; Guotai Junan Securities (Hong Kong) Limited; Goldman Sachs (Asia) L.L.C.</t>
        </is>
      </c>
      <c r="BX87" s="87">
        <f>HYPERLINK("https://www1.hkexnews.hk/listedco/listconews/sehk/2021/1130/2021113000029.pdf","prospectus")</f>
        <v/>
      </c>
      <c r="BY87" s="87">
        <f>HYPERLINK("https://www1.hkexnews.hk/listedco/listconews/sehk/2021/1209/2021120900056.htm","allotment")</f>
        <v/>
      </c>
      <c r="BZ87" s="87">
        <f>HYPERLINK("https://www1.hkexnews.hk/listedco/listconews/sehk/2022/0102/2022010200055.pdf","stabilisation")</f>
        <v/>
      </c>
      <c r="CA87" s="85" t="n"/>
      <c r="CB87" s="71" t="inlineStr">
        <is>
          <t>A/H: H listed Dec 2021 (CDMO); cornerstone list: no cornerstone tranche; grey market: etnet's story of the session gave only the Phillip open (392.0, +1.0% vs offer) on 2021-12-09; no close was published; allocation: allocation table not in this notice's format (older prose announcement); day-1 tape: volume on file; the retail multiple needs the final public split, which this notice does not state</t>
        </is>
      </c>
    </row>
    <row r="88" ht="15" customHeight="1">
      <c r="A88" s="70" t="inlineStr">
        <is>
          <t>2279</t>
        </is>
      </c>
      <c r="B88" s="71" t="inlineStr">
        <is>
          <t>YONGHE MEDICAL</t>
        </is>
      </c>
      <c r="C88" s="71" t="inlineStr">
        <is>
          <t>雍禾醫療</t>
        </is>
      </c>
      <c r="D88" s="71" t="inlineStr">
        <is>
          <t>Healthcare</t>
        </is>
      </c>
      <c r="E88" s="71" t="inlineStr">
        <is>
          <t>Hospitals / clinics</t>
        </is>
      </c>
      <c r="F88" s="71" t="inlineStr">
        <is>
          <t>Health Care Services</t>
        </is>
      </c>
      <c r="G88" s="71" t="inlineStr">
        <is>
          <t>Standard</t>
        </is>
      </c>
      <c r="H88" s="72" t="n">
        <v>44543</v>
      </c>
      <c r="I88" s="73" t="n">
        <v>1491.9</v>
      </c>
      <c r="J88" s="71" t="inlineStr">
        <is>
          <t>gross (price x shares)</t>
        </is>
      </c>
      <c r="K88" s="74" t="n"/>
      <c r="L88" s="74" t="n">
        <v>15.8</v>
      </c>
      <c r="M88" s="74" t="n">
        <v>15.8</v>
      </c>
      <c r="N88" s="71" t="inlineStr">
        <is>
          <t>Y</t>
        </is>
      </c>
      <c r="O88" s="75" t="n">
        <v>100</v>
      </c>
      <c r="P88" s="75" t="n"/>
      <c r="Q88" s="76" t="n">
        <v>8215.299999999999</v>
      </c>
      <c r="R88" s="71" t="inlineStr">
        <is>
          <t>prospectus:stated market capitalisation</t>
        </is>
      </c>
      <c r="S88" s="77" t="n">
        <v>160.06</v>
      </c>
      <c r="T88" s="78" t="n">
        <v>8.390000000000001</v>
      </c>
      <c r="U88" s="79" t="n">
        <v>50</v>
      </c>
      <c r="V88" s="80" t="n">
        <v>25</v>
      </c>
      <c r="W88" s="75" t="n">
        <v>50</v>
      </c>
      <c r="X88" s="71" t="inlineStr">
        <is>
          <t>YES</t>
        </is>
      </c>
      <c r="Y88" s="76" t="n">
        <v>745.95</v>
      </c>
      <c r="Z88" s="76" t="n">
        <v>47212000</v>
      </c>
      <c r="AA88" s="75" t="n">
        <v>9.08</v>
      </c>
      <c r="AB88" s="71"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AC88" s="71" t="inlineStr">
        <is>
          <t>athos;enreal;hudson;ivyrock;lake;lav;ncc;wt;yi;york</t>
        </is>
      </c>
      <c r="AD88" s="75" t="n">
        <v>9.199999999999999</v>
      </c>
      <c r="AE88" s="71" t="inlineStr">
        <is>
          <t>partial</t>
        </is>
      </c>
      <c r="AF88" s="71" t="inlineStr">
        <is>
          <t>2022-01-05</t>
        </is>
      </c>
      <c r="AG88" s="71" t="inlineStr">
        <is>
          <t>Morgan Stanley Asia Limited</t>
        </is>
      </c>
      <c r="AH88" s="71" t="inlineStr">
        <is>
          <t>Morgan Stanley</t>
        </is>
      </c>
      <c r="AI88" s="81" t="n">
        <v>-3.54</v>
      </c>
      <c r="AJ88" s="82" t="n">
        <v>5.06</v>
      </c>
      <c r="AK88" s="82" t="n">
        <v>-0.25</v>
      </c>
      <c r="AL88" s="82" t="n">
        <v>5.32</v>
      </c>
      <c r="AM88" s="83" t="n">
        <v>1.3</v>
      </c>
      <c r="AN88" s="75" t="n">
        <v>17.26</v>
      </c>
      <c r="AO88" s="82" t="n">
        <v>1.14</v>
      </c>
      <c r="AP88" s="82" t="n">
        <v>-17.34</v>
      </c>
      <c r="AQ88" s="82" t="n">
        <v>-38.1</v>
      </c>
      <c r="AR88" s="82" t="n">
        <v>-3.73</v>
      </c>
      <c r="AS88" s="82" t="n">
        <v>-21.32</v>
      </c>
      <c r="AT88" s="82" t="n">
        <v>-41.08</v>
      </c>
      <c r="AU88" s="82" t="n">
        <v>8.140000000000001</v>
      </c>
      <c r="AV88" s="82" t="n">
        <v>-9.119999999999999</v>
      </c>
      <c r="AW88" s="82" t="n">
        <v>-6.64</v>
      </c>
      <c r="AX88" s="82" t="n">
        <v>-14.88</v>
      </c>
      <c r="AY88" s="82" t="n">
        <v>-8.220000000000001</v>
      </c>
      <c r="AZ88" s="82" t="n">
        <v>-6.44</v>
      </c>
      <c r="BA88" s="71" t="inlineStr">
        <is>
          <t>China Biotech ETF (HS biotech proxy)</t>
        </is>
      </c>
      <c r="BB88" s="82" t="n">
        <v>-87.12</v>
      </c>
      <c r="BC88" s="72" t="inlineStr">
        <is>
          <t>2026-09-23</t>
        </is>
      </c>
      <c r="BD88" s="73" t="n">
        <v>1801.8</v>
      </c>
      <c r="BE88" s="76" t="n">
        <v>179.3</v>
      </c>
      <c r="BF88" s="71" t="inlineStr">
        <is>
          <t>Y</t>
        </is>
      </c>
      <c r="BG88" s="83" t="n">
        <v>45.8</v>
      </c>
      <c r="BH88" s="83" t="n"/>
      <c r="BI88" s="83" t="n">
        <v>14.9</v>
      </c>
      <c r="BJ88" s="83" t="n">
        <v>4.6</v>
      </c>
      <c r="BK88" s="84">
        <f>IF('BBG Verify'!S88="","not filed; run on terminal",'BBG Verify'!S88)</f>
        <v/>
      </c>
      <c r="BL88" s="85" t="inlineStr">
        <is>
          <t>N</t>
        </is>
      </c>
      <c r="BM88" s="86">
        <f>IF('BBG Verify'!K88="","not filed; run on terminal",'BBG Verify'!K88)</f>
        <v/>
      </c>
      <c r="BN88" s="71" t="inlineStr">
        <is>
          <t>N/A</t>
        </is>
      </c>
      <c r="BO88" s="71" t="inlineStr">
        <is>
          <t>N/A</t>
        </is>
      </c>
      <c r="BP88" s="71" t="inlineStr">
        <is>
          <t>N/A</t>
        </is>
      </c>
      <c r="BQ88" s="71" t="inlineStr">
        <is>
          <t>N/A</t>
        </is>
      </c>
      <c r="BR88" s="71" t="inlineStr">
        <is>
          <t>N/A</t>
        </is>
      </c>
      <c r="BS88" s="71" t="inlineStr">
        <is>
          <t>N/A</t>
        </is>
      </c>
      <c r="BT88" s="85" t="inlineStr">
        <is>
          <t>Morgan Stanley Asia Limited; China International Capital Corporation Hong Kong Securities Limited</t>
        </is>
      </c>
      <c r="BU88" s="71" t="inlineStr">
        <is>
          <t>China International Capital Corporation Hong Kong Securities Limited; Morgan Stanley Asia Limited</t>
        </is>
      </c>
      <c r="BV88" s="71" t="inlineStr">
        <is>
          <t>Morgan Stanley Asia Limited; China International Capital Corporation Hong Kong Securities Limited; Morgan Stanley &amp; Co. International plc</t>
        </is>
      </c>
      <c r="BW88" s="71" t="inlineStr">
        <is>
          <t>China International Capital Corporation Hong Kong Securities Limited; Morgan Stanley Asia Limited</t>
        </is>
      </c>
      <c r="BX88" s="87">
        <f>HYPERLINK("https://www1.hkexnews.hk/listedco/listconews/sehk/2021/1201/2021120100031.pdf","prospectus")</f>
        <v/>
      </c>
      <c r="BY88" s="87">
        <f>HYPERLINK("https://www1.hkexnews.hk/listedco/listconews/sehk/2021/1210/2021121000062.htm","allotment")</f>
        <v/>
      </c>
      <c r="BZ88" s="87">
        <f>HYPERLINK("https://www1.hkexnews.hk/listedco/listconews/sehk/2022/0105/2022010502109.pdf","stabilisation")</f>
        <v/>
      </c>
      <c r="CA88" s="85" t="n"/>
      <c r="CB88" s="71" t="inlineStr">
        <is>
          <t>range low: maximum offer price only, no floor published</t>
        </is>
      </c>
    </row>
    <row r="89" ht="15" customHeight="1">
      <c r="A89" s="70" t="inlineStr">
        <is>
          <t>9699</t>
        </is>
      </c>
      <c r="B89" s="71" t="inlineStr">
        <is>
          <t>SF INTRA-CITY</t>
        </is>
      </c>
      <c r="C89" s="71" t="inlineStr">
        <is>
          <t>順豐同城</t>
        </is>
      </c>
      <c r="D89" s="71" t="inlineStr">
        <is>
          <t>Industrials</t>
        </is>
      </c>
      <c r="E89" s="71" t="inlineStr">
        <is>
          <t>Logistics</t>
        </is>
      </c>
      <c r="F89" s="71" t="inlineStr">
        <is>
          <t>Air Freight &amp; Logistics</t>
        </is>
      </c>
      <c r="G89" s="71" t="inlineStr">
        <is>
          <t>Standard</t>
        </is>
      </c>
      <c r="H89" s="72" t="n">
        <v>44544</v>
      </c>
      <c r="I89" s="73" t="n">
        <v>2154</v>
      </c>
      <c r="J89" s="71" t="inlineStr">
        <is>
          <t>gross (price x shares)</t>
        </is>
      </c>
      <c r="K89" s="74" t="n">
        <v>16.42</v>
      </c>
      <c r="L89" s="74" t="n">
        <v>17.96</v>
      </c>
      <c r="M89" s="74" t="n">
        <v>16.42</v>
      </c>
      <c r="N89" s="71" t="inlineStr">
        <is>
          <t>N</t>
        </is>
      </c>
      <c r="O89" s="75" t="n">
        <v>91.40000000000001</v>
      </c>
      <c r="P89" s="75" t="n">
        <v>0</v>
      </c>
      <c r="Q89" s="76" t="n">
        <v>14013.1</v>
      </c>
      <c r="R89" s="71" t="inlineStr">
        <is>
          <t>prospectus:stated market capitalisation, rescaled to the offer price</t>
        </is>
      </c>
      <c r="S89" s="77" t="n">
        <v>2.93</v>
      </c>
      <c r="T89" s="78" t="n">
        <v>2.41</v>
      </c>
      <c r="U89" s="79" t="n">
        <v>43.9</v>
      </c>
      <c r="V89" s="80" t="n">
        <v>24</v>
      </c>
      <c r="W89" s="75" t="n"/>
      <c r="X89" s="71" t="n"/>
      <c r="Y89" s="76" t="n">
        <v>1208.39</v>
      </c>
      <c r="Z89" s="76" t="n">
        <v>73592429</v>
      </c>
      <c r="AA89" s="75" t="n">
        <v>8.619999999999999</v>
      </c>
      <c r="AB89" s="71" t="inlineStr">
        <is>
          <t>Hello Inc; Taobao China Holding Limited</t>
        </is>
      </c>
      <c r="AC89" s="71" t="inlineStr">
        <is>
          <t>hello;taobao</t>
        </is>
      </c>
      <c r="AD89" s="75" t="n">
        <v>5.6</v>
      </c>
      <c r="AE89" s="71" t="inlineStr">
        <is>
          <t>lapsed</t>
        </is>
      </c>
      <c r="AF89" s="71" t="n"/>
      <c r="AG89" s="71" t="inlineStr">
        <is>
          <t>China International Capital Corporation Hong Kong Securities Limited</t>
        </is>
      </c>
      <c r="AH89" s="71" t="inlineStr">
        <is>
          <t>China International</t>
        </is>
      </c>
      <c r="AI89" s="81" t="n">
        <v>-2.31</v>
      </c>
      <c r="AJ89" s="82" t="n">
        <v>-9.26</v>
      </c>
      <c r="AK89" s="82" t="n">
        <v>-7.43</v>
      </c>
      <c r="AL89" s="82" t="n">
        <v>-1.98</v>
      </c>
      <c r="AM89" s="83" t="n"/>
      <c r="AN89" s="75" t="n">
        <v>10.79</v>
      </c>
      <c r="AO89" s="82" t="n">
        <v>-6.94</v>
      </c>
      <c r="AP89" s="82" t="n">
        <v>-19.85</v>
      </c>
      <c r="AQ89" s="82" t="n">
        <v>-52.01</v>
      </c>
      <c r="AR89" s="82" t="n">
        <v>2.56</v>
      </c>
      <c r="AS89" s="82" t="n">
        <v>-11.67</v>
      </c>
      <c r="AT89" s="82" t="n">
        <v>-47.11</v>
      </c>
      <c r="AU89" s="82" t="n">
        <v>-0.86</v>
      </c>
      <c r="AV89" s="82" t="n">
        <v>-18.45</v>
      </c>
      <c r="AW89" s="82" t="n">
        <v>-32.97</v>
      </c>
      <c r="AX89" s="82" t="n">
        <v>-11.55</v>
      </c>
      <c r="AY89" s="82" t="n">
        <v>-1.4</v>
      </c>
      <c r="AZ89" s="82" t="n">
        <v>-0.12</v>
      </c>
      <c r="BA89" s="71" t="inlineStr">
        <is>
          <t>Hang Seng Commerce &amp; Industry sub-index</t>
        </is>
      </c>
      <c r="BB89" s="82" t="n">
        <v>-45.52</v>
      </c>
      <c r="BC89" s="72" t="inlineStr">
        <is>
          <t>2026-09-23</t>
        </is>
      </c>
      <c r="BD89" s="73" t="n">
        <v>5327.7</v>
      </c>
      <c r="BE89" s="76" t="n">
        <v>-833.4</v>
      </c>
      <c r="BF89" s="71" t="inlineStr">
        <is>
          <t>N</t>
        </is>
      </c>
      <c r="BG89" s="71" t="inlineStr">
        <is>
          <t>n/m</t>
        </is>
      </c>
      <c r="BH89" s="83" t="n"/>
      <c r="BI89" s="83" t="n">
        <v>22.6</v>
      </c>
      <c r="BJ89" s="83" t="n">
        <v>2.6</v>
      </c>
      <c r="BK89" s="84">
        <f>IF('BBG Verify'!S89="","not filed; run on terminal",'BBG Verify'!S89)</f>
        <v/>
      </c>
      <c r="BL89" s="85" t="inlineStr">
        <is>
          <t>N</t>
        </is>
      </c>
      <c r="BM89" s="86">
        <f>IF('BBG Verify'!K89="","not filed; run on terminal",'BBG Verify'!K89)</f>
        <v/>
      </c>
      <c r="BN89" s="71" t="inlineStr">
        <is>
          <t>N/A</t>
        </is>
      </c>
      <c r="BO89" s="71" t="inlineStr">
        <is>
          <t>N/A</t>
        </is>
      </c>
      <c r="BP89" s="71" t="inlineStr">
        <is>
          <t>N/A</t>
        </is>
      </c>
      <c r="BQ89" s="71" t="inlineStr">
        <is>
          <t>N/A</t>
        </is>
      </c>
      <c r="BR89" s="71" t="inlineStr">
        <is>
          <t>N/A</t>
        </is>
      </c>
      <c r="BS89" s="71" t="inlineStr">
        <is>
          <t>N/A</t>
        </is>
      </c>
      <c r="BT89" s="85" t="inlineStr">
        <is>
          <t>China International Capital Corporation Hong Kong Securities Limited; Merrill Lynch (Asia Pacific) Limited</t>
        </is>
      </c>
      <c r="BU89" s="71" t="inlineStr">
        <is>
          <t>China International Capital Corporation Hong Kong Securities Limited; Merrill Lynch (Asia Pacific) Limited</t>
        </is>
      </c>
      <c r="BV89" s="71"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W89" s="71"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X89" s="87">
        <f>HYPERLINK("https://www1.hkexnews.hk/listedco/listconews/sehk/2021/1130/2021113000021.pdf","prospectus")</f>
        <v/>
      </c>
      <c r="BY89" s="87">
        <f>HYPERLINK("https://www1.hkexnews.hk/listedco/listconews/sehk/2021/1213/2021121300010.htm","allotment")</f>
        <v/>
      </c>
      <c r="BZ89" s="87">
        <f>HYPERLINK("https://www1.hkexnews.hk/listedco/listconews/sehk/2022/0106/2022010601365.pdf","stabilisation")</f>
        <v/>
      </c>
      <c r="CA89" s="85" t="n"/>
      <c r="CB89" s="71" t="inlineStr">
        <is>
          <t>P/E: loss-making at IPO, use P/S; greenshoe: outcome published; expiry date not in the notice; market cap: prospectus cap HK$15,327m at HK$17.96, rescaled to HK$16.42; allocation: allocation table not in this notice's format (older prose announcement); day-1 tape: volume on file; the retail multiple needs the final public split, which this notice does not state</t>
        </is>
      </c>
    </row>
    <row r="90" ht="15" customHeight="1">
      <c r="A90" s="70" t="inlineStr">
        <is>
          <t>2276</t>
        </is>
      </c>
      <c r="B90" s="71" t="inlineStr">
        <is>
          <t>CONANT OPTICAL</t>
        </is>
      </c>
      <c r="C90" s="71" t="inlineStr">
        <is>
          <t>康耐特光學</t>
        </is>
      </c>
      <c r="D90" s="71" t="inlineStr">
        <is>
          <t>Healthcare</t>
        </is>
      </c>
      <c r="E90" s="71" t="inlineStr">
        <is>
          <t>Medical devices</t>
        </is>
      </c>
      <c r="F90" s="71" t="inlineStr">
        <is>
          <t>Optical Products</t>
        </is>
      </c>
      <c r="G90" s="71" t="inlineStr">
        <is>
          <t>Standard</t>
        </is>
      </c>
      <c r="H90" s="72" t="n">
        <v>44546</v>
      </c>
      <c r="I90" s="73" t="n">
        <v>542.3</v>
      </c>
      <c r="J90" s="71" t="inlineStr">
        <is>
          <t>gross (price x shares)</t>
        </is>
      </c>
      <c r="K90" s="74" t="n">
        <v>4.46</v>
      </c>
      <c r="L90" s="74" t="n">
        <v>6.1</v>
      </c>
      <c r="M90" s="74" t="n">
        <v>4.46</v>
      </c>
      <c r="N90" s="71" t="inlineStr">
        <is>
          <t>N</t>
        </is>
      </c>
      <c r="O90" s="75" t="n">
        <v>73.09999999999999</v>
      </c>
      <c r="P90" s="75" t="n">
        <v>0</v>
      </c>
      <c r="Q90" s="76" t="n">
        <v>1902.6</v>
      </c>
      <c r="R90" s="71" t="inlineStr">
        <is>
          <t>prospectus:stated market capitalisation</t>
        </is>
      </c>
      <c r="S90" s="77" t="n">
        <v>1.78</v>
      </c>
      <c r="T90" s="78" t="n">
        <v>1.12</v>
      </c>
      <c r="U90" s="79" t="n"/>
      <c r="V90" s="80" t="n">
        <v>113</v>
      </c>
      <c r="W90" s="75" t="n"/>
      <c r="X90" s="71" t="n"/>
      <c r="Y90" s="76" t="n">
        <v>542.3</v>
      </c>
      <c r="Z90" s="76" t="n">
        <v>121600000</v>
      </c>
      <c r="AA90" s="75" t="n">
        <v>28.5</v>
      </c>
      <c r="AB90" s="71" t="n"/>
      <c r="AC90" s="71" t="n"/>
      <c r="AD90" s="75" t="n">
        <v>15</v>
      </c>
      <c r="AE90" s="71" t="inlineStr">
        <is>
          <t>lapsed (no over-allocation)</t>
        </is>
      </c>
      <c r="AF90" s="71" t="inlineStr">
        <is>
          <t>2022-01-08</t>
        </is>
      </c>
      <c r="AG90" s="71" t="inlineStr">
        <is>
          <t>Guotai Junan Securities</t>
        </is>
      </c>
      <c r="AH90" s="71" t="inlineStr">
        <is>
          <t>Guotai Junan</t>
        </is>
      </c>
      <c r="AI90" s="81" t="n"/>
      <c r="AJ90" s="82" t="n">
        <v>2.02</v>
      </c>
      <c r="AK90" s="82" t="n">
        <v>-0.67</v>
      </c>
      <c r="AL90" s="82" t="n">
        <v>2.71</v>
      </c>
      <c r="AM90" s="83" t="n"/>
      <c r="AN90" s="75" t="n">
        <v>10.84</v>
      </c>
      <c r="AO90" s="82" t="n">
        <v>0.45</v>
      </c>
      <c r="AP90" s="82" t="n">
        <v>-2.69</v>
      </c>
      <c r="AQ90" s="82" t="n">
        <v>4.48</v>
      </c>
      <c r="AR90" s="82" t="n">
        <v>-1.54</v>
      </c>
      <c r="AS90" s="82" t="n">
        <v>-4.62</v>
      </c>
      <c r="AT90" s="82" t="n">
        <v>2.41</v>
      </c>
      <c r="AU90" s="82" t="n">
        <v>1.2</v>
      </c>
      <c r="AV90" s="82" t="n">
        <v>0.59</v>
      </c>
      <c r="AW90" s="82" t="n">
        <v>24.37</v>
      </c>
      <c r="AX90" s="82" t="n">
        <v>1.52</v>
      </c>
      <c r="AY90" s="82" t="n">
        <v>-3.28</v>
      </c>
      <c r="AZ90" s="82" t="n">
        <v>-6.14</v>
      </c>
      <c r="BA90" s="71" t="inlineStr">
        <is>
          <t>China Biotech ETF (HS biotech proxy)</t>
        </is>
      </c>
      <c r="BB90" s="82" t="n">
        <v>876.23</v>
      </c>
      <c r="BC90" s="72" t="inlineStr">
        <is>
          <t>2026-09-23</t>
        </is>
      </c>
      <c r="BD90" s="73" t="n">
        <v>13.5</v>
      </c>
      <c r="BE90" s="76" t="n">
        <v>-1.6</v>
      </c>
      <c r="BF90" s="71" t="inlineStr">
        <is>
          <t>N</t>
        </is>
      </c>
      <c r="BG90" s="71" t="inlineStr">
        <is>
          <t>n/m</t>
        </is>
      </c>
      <c r="BH90" s="83" t="n"/>
      <c r="BI90" s="83" t="n">
        <v>28.3</v>
      </c>
      <c r="BJ90" s="83" t="n">
        <v>140.9</v>
      </c>
      <c r="BK90" s="84">
        <f>IF('BBG Verify'!S90="","not filed; run on terminal",'BBG Verify'!S90)</f>
        <v/>
      </c>
      <c r="BL90" s="85" t="inlineStr">
        <is>
          <t>N</t>
        </is>
      </c>
      <c r="BM90" s="86">
        <f>IF('BBG Verify'!K90="","not filed; run on terminal",'BBG Verify'!K90)</f>
        <v/>
      </c>
      <c r="BN90" s="71" t="inlineStr">
        <is>
          <t>N/A</t>
        </is>
      </c>
      <c r="BO90" s="71" t="inlineStr">
        <is>
          <t>N/A</t>
        </is>
      </c>
      <c r="BP90" s="71" t="inlineStr">
        <is>
          <t>N/A</t>
        </is>
      </c>
      <c r="BQ90" s="71" t="inlineStr">
        <is>
          <t>N/A</t>
        </is>
      </c>
      <c r="BR90" s="71" t="inlineStr">
        <is>
          <t>N/A</t>
        </is>
      </c>
      <c r="BS90" s="71" t="inlineStr">
        <is>
          <t>N/A</t>
        </is>
      </c>
      <c r="BT90" s="85" t="inlineStr">
        <is>
          <t>Guotai Junan Capital Limited</t>
        </is>
      </c>
      <c r="BU90" s="71" t="inlineStr">
        <is>
          <t>Guotai Junan Capital Limited</t>
        </is>
      </c>
      <c r="BV90" s="71" t="inlineStr">
        <is>
          <t>Guotai Junan Securities (Hong Kong) Limited</t>
        </is>
      </c>
      <c r="BW90" s="71" t="inlineStr">
        <is>
          <t>Ever-Long Securities Company Limited; Guotai Junan Securities (Hong Kong) Limited; HTF Securities Limited; Merdeka Securities Limited</t>
        </is>
      </c>
      <c r="BX90" s="87">
        <f>HYPERLINK("https://www1.hkexnews.hk/listedco/listconews/sehk/2021/1130/2021113000017.pdf","prospectus")</f>
        <v/>
      </c>
      <c r="BY90" s="87">
        <f>HYPERLINK("https://www1.hkexnews.hk/listedco/listconews/sehk/2021/1215/2021121500014.htm","allotment")</f>
        <v/>
      </c>
      <c r="BZ90" s="87">
        <f>HYPERLINK("https://www1.hkexnews.hk/listedco/listconews/sehk/2022/0109/2022010900013.pdf","stabilisation")</f>
        <v/>
      </c>
      <c r="CA90" s="85" t="n"/>
      <c r="CB90" s="71" t="inlineStr">
        <is>
          <t>P/E: loss-making at IPO, use P/S; cornerstone list: names not extractable, see the prospectus; cornerstone %: aggregate not stated in the filing;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91" ht="15" customHeight="1">
      <c r="A91" s="70" t="inlineStr">
        <is>
          <t>6633</t>
        </is>
      </c>
      <c r="B91" s="71" t="inlineStr">
        <is>
          <t>QINGCI GAMES</t>
        </is>
      </c>
      <c r="C91" s="71" t="inlineStr">
        <is>
          <t>青瓷遊戲</t>
        </is>
      </c>
      <c r="D91" s="71" t="inlineStr">
        <is>
          <t>TMT-other</t>
        </is>
      </c>
      <c r="E91" s="71" t="inlineStr">
        <is>
          <t>Media / advertising</t>
        </is>
      </c>
      <c r="F91" s="71" t="inlineStr">
        <is>
          <t>Gaming Software</t>
        </is>
      </c>
      <c r="G91" s="71" t="inlineStr">
        <is>
          <t>Standard</t>
        </is>
      </c>
      <c r="H91" s="72" t="n">
        <v>44546</v>
      </c>
      <c r="I91" s="73" t="n">
        <v>952</v>
      </c>
      <c r="J91" s="71" t="inlineStr">
        <is>
          <t>gross (price x shares)</t>
        </is>
      </c>
      <c r="K91" s="74" t="n">
        <v>11.2</v>
      </c>
      <c r="L91" s="74" t="n">
        <v>14</v>
      </c>
      <c r="M91" s="74" t="n">
        <v>11.2</v>
      </c>
      <c r="N91" s="71" t="inlineStr">
        <is>
          <t>N</t>
        </is>
      </c>
      <c r="O91" s="75" t="n">
        <v>80</v>
      </c>
      <c r="P91" s="75" t="n">
        <v>0</v>
      </c>
      <c r="Q91" s="76" t="n">
        <v>7672</v>
      </c>
      <c r="R91" s="71" t="inlineStr">
        <is>
          <t>prospectus:stated market capitalisation</t>
        </is>
      </c>
      <c r="S91" s="77" t="n">
        <v>3.64</v>
      </c>
      <c r="T91" s="78" t="n">
        <v>1.77</v>
      </c>
      <c r="U91" s="79" t="n">
        <v>57.3</v>
      </c>
      <c r="V91" s="80" t="n">
        <v>113</v>
      </c>
      <c r="W91" s="75" t="n"/>
      <c r="X91" s="71" t="n"/>
      <c r="Y91" s="76" t="n">
        <v>406.5</v>
      </c>
      <c r="Z91" s="76" t="n">
        <v>36295000</v>
      </c>
      <c r="AA91" s="75" t="n">
        <v>5.3</v>
      </c>
      <c r="AB91" s="71" t="inlineStr">
        <is>
          <t>ABCI China Dynamic Growth SP; Boyu Capital Opportunities Master Fund; GF Global Capital Limited; Harvest Alternative Investment Opportunities Fund SP3; I-China Holdings Limited; Qookka Entertainment Limited</t>
        </is>
      </c>
      <c r="AC91" s="71" t="inlineStr">
        <is>
          <t>agricultural;boyu;gf;harvest;china-holdings;qookka</t>
        </is>
      </c>
      <c r="AD91" s="75" t="n">
        <v>7.11</v>
      </c>
      <c r="AE91" s="71" t="inlineStr">
        <is>
          <t>partial</t>
        </is>
      </c>
      <c r="AF91" s="71" t="inlineStr">
        <is>
          <t>2022-01-08</t>
        </is>
      </c>
      <c r="AG91" s="71" t="inlineStr">
        <is>
          <t>China International Capital Corporation Hong Kong Securities Limited</t>
        </is>
      </c>
      <c r="AH91" s="71" t="inlineStr">
        <is>
          <t>China International</t>
        </is>
      </c>
      <c r="AI91" s="81" t="n"/>
      <c r="AJ91" s="82" t="n">
        <v>-4.64</v>
      </c>
      <c r="AK91" s="82" t="n">
        <v>-8.93</v>
      </c>
      <c r="AL91" s="82" t="n">
        <v>4.71</v>
      </c>
      <c r="AM91" s="83" t="n"/>
      <c r="AN91" s="75" t="n">
        <v>16.37</v>
      </c>
      <c r="AO91" s="82" t="n">
        <v>-4.46</v>
      </c>
      <c r="AP91" s="82" t="n">
        <v>-21.34</v>
      </c>
      <c r="AQ91" s="82" t="n">
        <v>-61.88</v>
      </c>
      <c r="AR91" s="82" t="n">
        <v>0.19</v>
      </c>
      <c r="AS91" s="82" t="n">
        <v>-17.51</v>
      </c>
      <c r="AT91" s="82" t="n">
        <v>-60.03</v>
      </c>
      <c r="AU91" s="82" t="n">
        <v>-3.49</v>
      </c>
      <c r="AV91" s="82" t="n">
        <v>-24.74</v>
      </c>
      <c r="AW91" s="82" t="n">
        <v>-52.49</v>
      </c>
      <c r="AX91" s="82" t="n">
        <v>-20.67</v>
      </c>
      <c r="AY91" s="82" t="n">
        <v>3.4</v>
      </c>
      <c r="AZ91" s="82" t="n">
        <v>3.16</v>
      </c>
      <c r="BA91" s="71" t="inlineStr">
        <is>
          <t>Hang Seng Index</t>
        </is>
      </c>
      <c r="BB91" s="82" t="n">
        <v>-71.88</v>
      </c>
      <c r="BC91" s="72" t="inlineStr">
        <is>
          <t>2026-09-21</t>
        </is>
      </c>
      <c r="BD91" s="73" t="n">
        <v>1349.6</v>
      </c>
      <c r="BE91" s="76" t="n">
        <v>124.6</v>
      </c>
      <c r="BF91" s="71" t="inlineStr">
        <is>
          <t>Y</t>
        </is>
      </c>
      <c r="BG91" s="83" t="n">
        <v>61.6</v>
      </c>
      <c r="BH91" s="83" t="n"/>
      <c r="BI91" s="83" t="n">
        <v>14.8</v>
      </c>
      <c r="BJ91" s="83" t="n">
        <v>5.7</v>
      </c>
      <c r="BK91" s="84">
        <f>IF('BBG Verify'!S91="","not filed; run on terminal",'BBG Verify'!S91)</f>
        <v/>
      </c>
      <c r="BL91" s="85" t="inlineStr">
        <is>
          <t>N</t>
        </is>
      </c>
      <c r="BM91" s="86">
        <f>IF('BBG Verify'!K91="","not filed; run on terminal",'BBG Verify'!K91)</f>
        <v/>
      </c>
      <c r="BN91" s="71" t="inlineStr">
        <is>
          <t>N/A</t>
        </is>
      </c>
      <c r="BO91" s="71" t="inlineStr">
        <is>
          <t>N/A</t>
        </is>
      </c>
      <c r="BP91" s="71" t="inlineStr">
        <is>
          <t>N/A</t>
        </is>
      </c>
      <c r="BQ91" s="71" t="inlineStr">
        <is>
          <t>N/A</t>
        </is>
      </c>
      <c r="BR91" s="71" t="inlineStr">
        <is>
          <t>N/A</t>
        </is>
      </c>
      <c r="BS91" s="71" t="inlineStr">
        <is>
          <t>N/A</t>
        </is>
      </c>
      <c r="BT91" s="85" t="inlineStr">
        <is>
          <t>China International Capital Corporation Hong Kong Securities Limited; CLSA Capital Markets Limited; CLSA Limited</t>
        </is>
      </c>
      <c r="BU91" s="71" t="inlineStr">
        <is>
          <t>China International Capital Corporation Hong Kong Securities Limited; CLSA Capital Markets Limited</t>
        </is>
      </c>
      <c r="BV91" s="71" t="inlineStr">
        <is>
          <t>China International Capital Corporation Hong Kong Securities Limited; CLSA Limited; China Merchants Securities (HK) Co., Limited; (Below in alphabetical order) ABCI Capital Limited; Guotai Junan Securities (Hong Kong) Limited; Valuable Capital Limited</t>
        </is>
      </c>
      <c r="BW91" s="71"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X91" s="87">
        <f>HYPERLINK("https://www1.hkexnews.hk/listedco/listconews/sehk/2021/1206/2021120600013.pdf","prospectus")</f>
        <v/>
      </c>
      <c r="BY91" s="87">
        <f>HYPERLINK("https://www1.hkexnews.hk/listedco/listconews/sehk/2021/1215/2021121500032.htm","allotment")</f>
        <v/>
      </c>
      <c r="BZ91" s="87">
        <f>HYPERLINK("https://www1.hkexnews.hk/listedco/listconews/sehk/2022/0110/2022011000737.pdf","stabilisation")</f>
        <v/>
      </c>
      <c r="CA91" s="85" t="n"/>
      <c r="CB91" s="71" t="inlineStr">
        <is>
          <t>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92" ht="15" customHeight="1">
      <c r="A92" s="70" t="inlineStr">
        <is>
          <t>2270</t>
        </is>
      </c>
      <c r="B92" s="71" t="inlineStr">
        <is>
          <t>DESUN SERVICES</t>
        </is>
      </c>
      <c r="C92" s="71" t="inlineStr">
        <is>
          <t>德商產投服務</t>
        </is>
      </c>
      <c r="D92" s="71" t="inlineStr">
        <is>
          <t>Real Estate</t>
        </is>
      </c>
      <c r="E92" s="71" t="inlineStr">
        <is>
          <t>Property management</t>
        </is>
      </c>
      <c r="F92" s="71" t="inlineStr">
        <is>
          <t>Property Service and Management</t>
        </is>
      </c>
      <c r="G92" s="71" t="inlineStr">
        <is>
          <t>Standard</t>
        </is>
      </c>
      <c r="H92" s="72" t="n">
        <v>44547</v>
      </c>
      <c r="I92" s="73" t="n">
        <v>166.5</v>
      </c>
      <c r="J92" s="71" t="inlineStr">
        <is>
          <t>gross (price x shares)</t>
        </is>
      </c>
      <c r="K92" s="74" t="n">
        <v>1.1</v>
      </c>
      <c r="L92" s="74" t="n">
        <v>1.46</v>
      </c>
      <c r="M92" s="74" t="n">
        <v>1.11</v>
      </c>
      <c r="N92" s="71" t="inlineStr">
        <is>
          <t>N</t>
        </is>
      </c>
      <c r="O92" s="75" t="n">
        <v>76</v>
      </c>
      <c r="P92" s="75" t="n">
        <v>2.8</v>
      </c>
      <c r="Q92" s="76" t="n">
        <v>660</v>
      </c>
      <c r="R92" s="71" t="inlineStr">
        <is>
          <t>prospectus:stated market capitalisation</t>
        </is>
      </c>
      <c r="S92" s="77" t="n">
        <v>1.37</v>
      </c>
      <c r="T92" s="78" t="n">
        <v>1.17</v>
      </c>
      <c r="U92" s="79" t="n">
        <v>0</v>
      </c>
      <c r="V92" s="80" t="n">
        <v>110</v>
      </c>
      <c r="W92" s="75" t="n"/>
      <c r="X92" s="71" t="n"/>
      <c r="Y92" s="76" t="n">
        <v>166.5</v>
      </c>
      <c r="Z92" s="76" t="n">
        <v>150000000</v>
      </c>
      <c r="AA92" s="75" t="n">
        <v>25.23</v>
      </c>
      <c r="AB92" s="71" t="n"/>
      <c r="AC92" s="71" t="n"/>
      <c r="AD92" s="75" t="n">
        <v>15</v>
      </c>
      <c r="AE92" s="71" t="inlineStr">
        <is>
          <t>partial</t>
        </is>
      </c>
      <c r="AF92" s="71" t="inlineStr">
        <is>
          <t>2022-01-06</t>
        </is>
      </c>
      <c r="AG92" s="71" t="inlineStr">
        <is>
          <t>Shenwan Hongyuan Securities</t>
        </is>
      </c>
      <c r="AH92" s="71" t="inlineStr">
        <is>
          <t>Shenwan Hongyuan</t>
        </is>
      </c>
      <c r="AI92" s="81" t="n"/>
      <c r="AJ92" s="82" t="n">
        <v>-5.41</v>
      </c>
      <c r="AK92" s="82" t="n">
        <v>4.5</v>
      </c>
      <c r="AL92" s="82" t="n">
        <v>-9.48</v>
      </c>
      <c r="AM92" s="83" t="n"/>
      <c r="AN92" s="75" t="n">
        <v>12.93</v>
      </c>
      <c r="AO92" s="82" t="n">
        <v>0</v>
      </c>
      <c r="AP92" s="82" t="n">
        <v>-1.8</v>
      </c>
      <c r="AQ92" s="82" t="n">
        <v>-0.9</v>
      </c>
      <c r="AR92" s="82" t="n">
        <v>5.72</v>
      </c>
      <c r="AS92" s="82" t="n">
        <v>3.82</v>
      </c>
      <c r="AT92" s="82" t="n">
        <v>4.77</v>
      </c>
      <c r="AU92" s="82" t="n">
        <v>0.83</v>
      </c>
      <c r="AV92" s="82" t="n">
        <v>-3.13</v>
      </c>
      <c r="AW92" s="82" t="n">
        <v>-2.05</v>
      </c>
      <c r="AX92" s="82" t="n">
        <v>2.14</v>
      </c>
      <c r="AY92" s="82" t="n">
        <v>1.33</v>
      </c>
      <c r="AZ92" s="82" t="n">
        <v>1.68</v>
      </c>
      <c r="BA92" s="71" t="inlineStr">
        <is>
          <t>Hang Seng Properties sub-index</t>
        </is>
      </c>
      <c r="BB92" s="82" t="n">
        <v>465.32</v>
      </c>
      <c r="BC92" s="72" t="inlineStr">
        <is>
          <t>2026-09-18</t>
        </is>
      </c>
      <c r="BD92" s="73" t="n">
        <v>61.3</v>
      </c>
      <c r="BE92" s="76" t="n">
        <v>47.2</v>
      </c>
      <c r="BF92" s="71" t="inlineStr">
        <is>
          <t>Y</t>
        </is>
      </c>
      <c r="BG92" s="83" t="n">
        <v>14</v>
      </c>
      <c r="BH92" s="83" t="n"/>
      <c r="BI92" s="83" t="n">
        <v>104.3</v>
      </c>
      <c r="BJ92" s="83" t="n">
        <v>10.8</v>
      </c>
      <c r="BK92" s="84">
        <f>IF('BBG Verify'!S92="","not filed; run on terminal",'BBG Verify'!S92)</f>
        <v/>
      </c>
      <c r="BL92" s="85" t="inlineStr">
        <is>
          <t>N</t>
        </is>
      </c>
      <c r="BM92" s="86">
        <f>IF('BBG Verify'!K92="","not filed; run on terminal",'BBG Verify'!K92)</f>
        <v/>
      </c>
      <c r="BN92" s="71" t="inlineStr">
        <is>
          <t>N/A</t>
        </is>
      </c>
      <c r="BO92" s="71" t="inlineStr">
        <is>
          <t>N/A</t>
        </is>
      </c>
      <c r="BP92" s="71" t="inlineStr">
        <is>
          <t>N/A</t>
        </is>
      </c>
      <c r="BQ92" s="71" t="inlineStr">
        <is>
          <t>N/A</t>
        </is>
      </c>
      <c r="BR92" s="71" t="inlineStr">
        <is>
          <t>N/A</t>
        </is>
      </c>
      <c r="BS92" s="71" t="inlineStr">
        <is>
          <t>N/A</t>
        </is>
      </c>
      <c r="BT92" s="85" t="inlineStr">
        <is>
          <t>Shenwan Hongyuan Capital (H.K.) Limited</t>
        </is>
      </c>
      <c r="BU92" s="71" t="inlineStr">
        <is>
          <t>Shenwan Hongyuan Capital (H.K.) Limited</t>
        </is>
      </c>
      <c r="BV92" s="71" t="inlineStr">
        <is>
          <t>Shenwan Hongyuan Securities (H.K.) Limited; China Everbright Securities (HK) Limited; Guosen Securities (HK) Capital Company Limited; Livermore Holdings Limited; CMBC Securities Company Limited; SPDB International Capital Limited; ZMF Asset Management Limited</t>
        </is>
      </c>
      <c r="BW92" s="71" t="inlineStr">
        <is>
          <t>China Everbright Securities (HK) Limited; CMBC Securities Company Limited; Guosen Securities (HK) Capital Company Limited; Livermore Holdings Limited; Shenwan Hongyuan Securities (H.K.) Limited; SPDB International Capital Limited; ZMF Asset Management Limited</t>
        </is>
      </c>
      <c r="BX92" s="87">
        <f>HYPERLINK("https://www1.hkexnews.hk/listedco/listconews/sehk/2021/1130/2021113000045.pdf","prospectus")</f>
        <v/>
      </c>
      <c r="BY92" s="87">
        <f>HYPERLINK("https://www1.hkexnews.hk/listedco/listconews/sehk/2021/1216/2021121600022.htm","allotment")</f>
        <v/>
      </c>
      <c r="BZ92" s="87">
        <f>HYPERLINK("https://www1.hkexnews.hk/listedco/listconews/sehk/2022/0106/2022010601685.pdf","stabilisation")</f>
        <v/>
      </c>
      <c r="CA92" s="85" t="n"/>
      <c r="CB92" s="71" t="inlineStr">
        <is>
          <t>cornerstone list: no cornerstone tranche;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93" ht="15" customHeight="1">
      <c r="A93" s="70" t="inlineStr">
        <is>
          <t>2185</t>
        </is>
      </c>
      <c r="B93" s="71" t="inlineStr">
        <is>
          <t>BIOHEART-B</t>
        </is>
      </c>
      <c r="C93" s="71" t="inlineStr">
        <is>
          <t>百心安－Ｂ</t>
        </is>
      </c>
      <c r="D93" s="71" t="inlineStr">
        <is>
          <t>Healthcare</t>
        </is>
      </c>
      <c r="E93" s="71" t="inlineStr">
        <is>
          <t>Medical devices</t>
        </is>
      </c>
      <c r="F93" s="71" t="inlineStr">
        <is>
          <t>Health Care Equipment</t>
        </is>
      </c>
      <c r="G93" s="71" t="inlineStr">
        <is>
          <t>18A</t>
        </is>
      </c>
      <c r="H93" s="72" t="n">
        <v>44553</v>
      </c>
      <c r="I93" s="73" t="n">
        <v>508.7</v>
      </c>
      <c r="J93" s="71" t="inlineStr">
        <is>
          <t>gross (price x shares)</t>
        </is>
      </c>
      <c r="K93" s="74" t="n"/>
      <c r="L93" s="74" t="n">
        <v>24.79</v>
      </c>
      <c r="M93" s="74" t="n">
        <v>21.25</v>
      </c>
      <c r="N93" s="71" t="inlineStr">
        <is>
          <t>N</t>
        </is>
      </c>
      <c r="O93" s="75" t="n">
        <v>85.7</v>
      </c>
      <c r="P93" s="75" t="n"/>
      <c r="Q93" s="76" t="n">
        <v>4574.6</v>
      </c>
      <c r="R93" s="71" t="inlineStr">
        <is>
          <t>derived:deal size / offer % of enlarged capital</t>
        </is>
      </c>
      <c r="S93" s="77" t="n">
        <v>1.52</v>
      </c>
      <c r="T93" s="78" t="n">
        <v>1.16</v>
      </c>
      <c r="U93" s="79" t="n">
        <v>0</v>
      </c>
      <c r="V93" s="80" t="n">
        <v>111</v>
      </c>
      <c r="W93" s="75" t="n"/>
      <c r="X93" s="71" t="n"/>
      <c r="Y93" s="76" t="n">
        <v>508.7</v>
      </c>
      <c r="Z93" s="76" t="n">
        <v>23937000</v>
      </c>
      <c r="AA93" s="75" t="n">
        <v>11.12</v>
      </c>
      <c r="AB93" s="71" t="n"/>
      <c r="AC93" s="71" t="n"/>
      <c r="AD93" s="75" t="n">
        <v>15.44</v>
      </c>
      <c r="AE93" s="71" t="inlineStr">
        <is>
          <t>lapsed</t>
        </is>
      </c>
      <c r="AF93" s="71" t="n"/>
      <c r="AG93" s="71" t="inlineStr">
        <is>
          <t>Huatai Financial Holdings</t>
        </is>
      </c>
      <c r="AH93" s="71" t="inlineStr">
        <is>
          <t>Huatai</t>
        </is>
      </c>
      <c r="AI93" s="81" t="n"/>
      <c r="AJ93" s="82" t="n">
        <v>-5.41</v>
      </c>
      <c r="AK93" s="82" t="n">
        <v>-11.15</v>
      </c>
      <c r="AL93" s="82" t="n">
        <v>6.46</v>
      </c>
      <c r="AM93" s="83" t="n"/>
      <c r="AN93" s="75" t="n">
        <v>11.28</v>
      </c>
      <c r="AO93" s="82" t="n">
        <v>27.29</v>
      </c>
      <c r="AP93" s="82" t="n">
        <v>37.18</v>
      </c>
      <c r="AQ93" s="82" t="n">
        <v>110.82</v>
      </c>
      <c r="AR93" s="82" t="n">
        <v>34.57</v>
      </c>
      <c r="AS93" s="82" t="n">
        <v>45.03</v>
      </c>
      <c r="AT93" s="82" t="n">
        <v>122.88</v>
      </c>
      <c r="AU93" s="82" t="n">
        <v>27.61</v>
      </c>
      <c r="AV93" s="82" t="n">
        <v>45.84</v>
      </c>
      <c r="AW93" s="82" t="n">
        <v>131.04</v>
      </c>
      <c r="AX93" s="82" t="n">
        <v>52.54</v>
      </c>
      <c r="AY93" s="82" t="n">
        <v>-8.66</v>
      </c>
      <c r="AZ93" s="82" t="n">
        <v>-7.51</v>
      </c>
      <c r="BA93" s="71" t="inlineStr">
        <is>
          <t>China Biotech ETF (HS biotech proxy)</t>
        </is>
      </c>
      <c r="BB93" s="82" t="n">
        <v>-93.51000000000001</v>
      </c>
      <c r="BC93" s="72" t="inlineStr">
        <is>
          <t>2026-09-23</t>
        </is>
      </c>
      <c r="BD93" s="73" t="n">
        <v>67.90000000000001</v>
      </c>
      <c r="BE93" s="76" t="n">
        <v>-15</v>
      </c>
      <c r="BF93" s="71" t="inlineStr">
        <is>
          <t>N</t>
        </is>
      </c>
      <c r="BG93" s="71" t="inlineStr">
        <is>
          <t>n/m</t>
        </is>
      </c>
      <c r="BH93" s="83" t="n"/>
      <c r="BI93" s="83" t="n"/>
      <c r="BJ93" s="83" t="n">
        <v>67.40000000000001</v>
      </c>
      <c r="BK93" s="84">
        <f>IF('BBG Verify'!S93="","not filed; run on terminal",'BBG Verify'!S93)</f>
        <v/>
      </c>
      <c r="BL93" s="85" t="inlineStr">
        <is>
          <t>N</t>
        </is>
      </c>
      <c r="BM93" s="86">
        <f>IF('BBG Verify'!K93="","not filed; run on terminal",'BBG Verify'!K93)</f>
        <v/>
      </c>
      <c r="BN93" s="71" t="inlineStr">
        <is>
          <t>N/A</t>
        </is>
      </c>
      <c r="BO93" s="71" t="inlineStr">
        <is>
          <t>N/A</t>
        </is>
      </c>
      <c r="BP93" s="71" t="inlineStr">
        <is>
          <t>N/A</t>
        </is>
      </c>
      <c r="BQ93" s="71" t="inlineStr">
        <is>
          <t>N/A</t>
        </is>
      </c>
      <c r="BR93" s="71" t="inlineStr">
        <is>
          <t>N/A</t>
        </is>
      </c>
      <c r="BS93" s="71" t="inlineStr">
        <is>
          <t>N/A</t>
        </is>
      </c>
      <c r="BT93" s="85" t="inlineStr">
        <is>
          <t>Huatai Financial Holdings (Hong Kong) Limited</t>
        </is>
      </c>
      <c r="BU93" s="71" t="inlineStr">
        <is>
          <t>Huatai Financial Holdings (Hong Kong) Limited</t>
        </is>
      </c>
      <c r="BV93" s="71" t="inlineStr">
        <is>
          <t>Huatai Financial Holdings (Hong Kong) Limited</t>
        </is>
      </c>
      <c r="BW93" s="71" t="inlineStr">
        <is>
          <t>Huatai Financial Holdings (Hong Kong) Limited</t>
        </is>
      </c>
      <c r="BX93" s="87">
        <f>HYPERLINK("https://www1.hkexnews.hk/listedco/listconews/sehk/2021/1213/2021121300025.pdf","prospectus")</f>
        <v/>
      </c>
      <c r="BY93" s="87">
        <f>HYPERLINK("https://www1.hkexnews.hk/listedco/listconews/sehk/2021/1222/2021122200010.htm","allotment")</f>
        <v/>
      </c>
      <c r="BZ93" s="87">
        <f>HYPERLINK("https://www1.hkexnews.hk/listedco/listconews/sehk/2022/0117/2022011700011.pdf","stabilisation")</f>
        <v/>
      </c>
      <c r="CA93" s="85" t="n"/>
      <c r="CB93" s="71"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94" ht="15" customHeight="1">
      <c r="A94" s="70" t="inlineStr">
        <is>
          <t>2285</t>
        </is>
      </c>
      <c r="B94" s="71" t="inlineStr">
        <is>
          <t>CHERVON</t>
        </is>
      </c>
      <c r="C94" s="71" t="inlineStr">
        <is>
          <t>泉峰控股</t>
        </is>
      </c>
      <c r="D94" s="71" t="inlineStr">
        <is>
          <t>Industrials</t>
        </is>
      </c>
      <c r="E94" s="71" t="inlineStr">
        <is>
          <t>Capital goods / machinery</t>
        </is>
      </c>
      <c r="F94" s="71" t="inlineStr">
        <is>
          <t>Household Appliances</t>
        </is>
      </c>
      <c r="G94" s="71" t="inlineStr">
        <is>
          <t>Standard</t>
        </is>
      </c>
      <c r="H94" s="72" t="n">
        <v>44560</v>
      </c>
      <c r="I94" s="73" t="n">
        <v>3135.5</v>
      </c>
      <c r="J94" s="71" t="inlineStr">
        <is>
          <t>gross (price x shares)</t>
        </is>
      </c>
      <c r="K94" s="74" t="n">
        <v>37.6</v>
      </c>
      <c r="L94" s="74" t="n">
        <v>43.6</v>
      </c>
      <c r="M94" s="74" t="n">
        <v>43.6</v>
      </c>
      <c r="N94" s="71" t="inlineStr">
        <is>
          <t>Y</t>
        </is>
      </c>
      <c r="O94" s="75" t="n">
        <v>100</v>
      </c>
      <c r="P94" s="75" t="n">
        <v>100</v>
      </c>
      <c r="Q94" s="76" t="n">
        <v>18030</v>
      </c>
      <c r="R94" s="71" t="inlineStr">
        <is>
          <t>prospectus:stated market capitalisation</t>
        </is>
      </c>
      <c r="S94" s="77" t="n">
        <v>7.49</v>
      </c>
      <c r="T94" s="78" t="n">
        <v>7.27</v>
      </c>
      <c r="U94" s="79" t="n">
        <v>13.8</v>
      </c>
      <c r="V94" s="80" t="n">
        <v>120</v>
      </c>
      <c r="W94" s="75" t="n"/>
      <c r="X94" s="71" t="n"/>
      <c r="Y94" s="76" t="n">
        <v>2702.8</v>
      </c>
      <c r="Z94" s="76" t="n">
        <v>61991592</v>
      </c>
      <c r="AA94" s="75" t="n">
        <v>14.99</v>
      </c>
      <c r="AB94" s="71" t="inlineStr">
        <is>
          <t>3W Fund Management Limited; Dragon Billion China Master Fund; Greenwoods Asset Management Hong Kong Limited; IvyRock Asset Management (HK) Limited; Luo Jinhong; Value Partners Hong Kong Limited</t>
        </is>
      </c>
      <c r="AC94" s="71" t="inlineStr">
        <is>
          <t>3w;dragon;greenwoods;ivyrock;luo-jinhong;value</t>
        </is>
      </c>
      <c r="AD94" s="75" t="n">
        <v>10</v>
      </c>
      <c r="AE94" s="71" t="inlineStr">
        <is>
          <t>full</t>
        </is>
      </c>
      <c r="AF94" s="71" t="inlineStr">
        <is>
          <t>2022-01-21</t>
        </is>
      </c>
      <c r="AG94" s="71" t="n"/>
      <c r="AH94" s="71" t="n"/>
      <c r="AI94" s="81" t="n"/>
      <c r="AJ94" s="82" t="n">
        <v>28.44</v>
      </c>
      <c r="AK94" s="82" t="n">
        <v>18.81</v>
      </c>
      <c r="AL94" s="82" t="n">
        <v>8.109999999999999</v>
      </c>
      <c r="AM94" s="83" t="n"/>
      <c r="AN94" s="75" t="n">
        <v>12.16</v>
      </c>
      <c r="AO94" s="82" t="n">
        <v>27.98</v>
      </c>
      <c r="AP94" s="82" t="n">
        <v>28.9</v>
      </c>
      <c r="AQ94" s="82" t="n">
        <v>27.06</v>
      </c>
      <c r="AR94" s="82" t="n">
        <v>-0.36</v>
      </c>
      <c r="AS94" s="82" t="n">
        <v>0.36</v>
      </c>
      <c r="AT94" s="82" t="n">
        <v>-1.07</v>
      </c>
      <c r="AU94" s="82" t="n">
        <v>28.96</v>
      </c>
      <c r="AV94" s="82" t="n">
        <v>30.61</v>
      </c>
      <c r="AW94" s="82" t="n">
        <v>38.55</v>
      </c>
      <c r="AX94" s="82" t="n">
        <v>2.31</v>
      </c>
      <c r="AY94" s="82" t="n">
        <v>-1.71</v>
      </c>
      <c r="AZ94" s="82" t="n">
        <v>-1.95</v>
      </c>
      <c r="BA94" s="71" t="inlineStr">
        <is>
          <t>Hang Seng Commerce &amp; Industry sub-index</t>
        </is>
      </c>
      <c r="BB94" s="82" t="n">
        <v>-41.15</v>
      </c>
      <c r="BC94" s="72" t="inlineStr">
        <is>
          <t>2026-09-23</t>
        </is>
      </c>
      <c r="BD94" s="73" t="n">
        <v>9367</v>
      </c>
      <c r="BE94" s="76" t="n">
        <v>377.4</v>
      </c>
      <c r="BF94" s="71" t="inlineStr">
        <is>
          <t>Y</t>
        </is>
      </c>
      <c r="BG94" s="83" t="n">
        <v>47.8</v>
      </c>
      <c r="BH94" s="83" t="n">
        <v>26</v>
      </c>
      <c r="BI94" s="83" t="n">
        <v>12.5</v>
      </c>
      <c r="BJ94" s="83" t="n">
        <v>1.9</v>
      </c>
      <c r="BK94" s="84">
        <f>IF('BBG Verify'!S94="","not filed; run on terminal",'BBG Verify'!S94)</f>
        <v/>
      </c>
      <c r="BL94" s="85" t="inlineStr">
        <is>
          <t>N</t>
        </is>
      </c>
      <c r="BM94" s="86">
        <f>IF('BBG Verify'!K94="","not filed; run on terminal",'BBG Verify'!K94)</f>
        <v/>
      </c>
      <c r="BN94" s="71" t="inlineStr">
        <is>
          <t>N/A</t>
        </is>
      </c>
      <c r="BO94" s="71" t="inlineStr">
        <is>
          <t>N/A</t>
        </is>
      </c>
      <c r="BP94" s="71" t="inlineStr">
        <is>
          <t>N/A</t>
        </is>
      </c>
      <c r="BQ94" s="71" t="inlineStr">
        <is>
          <t>N/A</t>
        </is>
      </c>
      <c r="BR94" s="71" t="inlineStr">
        <is>
          <t>N/A</t>
        </is>
      </c>
      <c r="BS94" s="71" t="inlineStr">
        <is>
          <t>N/A</t>
        </is>
      </c>
      <c r="BT94" s="85" t="inlineStr">
        <is>
          <t>China International Capital Corporation Hong Kong Securities Limited; Citigroup Global Markets Asia Limited</t>
        </is>
      </c>
      <c r="BU94" s="71" t="inlineStr">
        <is>
          <t>China International Capital Corporation Hong Kong Securities Limited; Citigroup Global Markets Asia Limited</t>
        </is>
      </c>
      <c r="BV94" s="71"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W94" s="71" t="inlineStr">
        <is>
          <t>Beta International Securities Limited; Citigroup Global Markets Asia Limited; China International Capital Corporation Hong Kong Securities Limited; CMB International Capital Limited; The Hongkong and Shanghai Banking Corporation Limited</t>
        </is>
      </c>
      <c r="BX94" s="87">
        <f>HYPERLINK("https://www1.hkexnews.hk/listedco/listconews/sehk/2021/1217/2021121700005.pdf","prospectus")</f>
        <v/>
      </c>
      <c r="BY94" s="87">
        <f>HYPERLINK("https://www1.hkexnews.hk/listedco/listconews/sehk/2021/1229/2021122900020.htm","allotment")</f>
        <v/>
      </c>
      <c r="BZ94" s="87">
        <f>HYPERLINK("https://www1.hkexnews.hk/listedco/listconews/sehk/2022/0121/2022012101124.pdf","stabilisation")</f>
        <v/>
      </c>
      <c r="CA94" s="85" t="n"/>
      <c r="CB94" s="71" t="inlineStr">
        <is>
          <t>cornerstone: % from the prospectus; AAStocks table includes non-cornerstone orders; stabilising manager: not named in the allotment notice or prospectus glossary; grey market: etnet's story of the session gave only the Phillip mid-session quote (50.85, +16.6% vs offer) on 2021-12-29; no close was published; allocation: allocation table not in this notice's format (older prose announcement); day-1 tape: volume on file; the retail multiple needs the final public split, which this notice does not state</t>
        </is>
      </c>
    </row>
    <row r="95" ht="15" customHeight="1">
      <c r="A95" s="70" t="inlineStr">
        <is>
          <t>2257</t>
        </is>
      </c>
      <c r="B95" s="71" t="inlineStr">
        <is>
          <t>SIRNAOMICS-B</t>
        </is>
      </c>
      <c r="C95" s="71" t="inlineStr">
        <is>
          <t>聖諾醫藥－Ｂ</t>
        </is>
      </c>
      <c r="D95" s="71" t="inlineStr">
        <is>
          <t>Healthcare</t>
        </is>
      </c>
      <c r="E95" s="71" t="inlineStr">
        <is>
          <t>Biotech pre-revenue (18A)</t>
        </is>
      </c>
      <c r="F95" s="71" t="inlineStr">
        <is>
          <t>Biotechnology</t>
        </is>
      </c>
      <c r="G95" s="71" t="inlineStr">
        <is>
          <t>18A</t>
        </is>
      </c>
      <c r="H95" s="72" t="n">
        <v>44560</v>
      </c>
      <c r="I95" s="73" t="n">
        <v>496.9</v>
      </c>
      <c r="J95" s="71" t="inlineStr">
        <is>
          <t>gross (price x shares)</t>
        </is>
      </c>
      <c r="K95" s="74" t="n"/>
      <c r="L95" s="74" t="n">
        <v>65.90000000000001</v>
      </c>
      <c r="M95" s="74" t="n">
        <v>65.90000000000001</v>
      </c>
      <c r="N95" s="71" t="inlineStr">
        <is>
          <t>Y</t>
        </is>
      </c>
      <c r="O95" s="75" t="n">
        <v>100</v>
      </c>
      <c r="P95" s="75" t="n"/>
      <c r="Q95" s="76" t="n">
        <v>5261.1</v>
      </c>
      <c r="R95" s="71" t="inlineStr">
        <is>
          <t>prospectus:stated market capitalisation, rescaled to the offer price</t>
        </is>
      </c>
      <c r="S95" s="77" t="n">
        <v>5.68</v>
      </c>
      <c r="T95" s="78" t="n">
        <v>1.22</v>
      </c>
      <c r="U95" s="79" t="n">
        <v>41.1</v>
      </c>
      <c r="V95" s="80" t="n">
        <v>147</v>
      </c>
      <c r="W95" s="75" t="n"/>
      <c r="X95" s="71" t="n"/>
      <c r="Y95" s="76" t="n">
        <v>292.67</v>
      </c>
      <c r="Z95" s="76" t="n">
        <v>4441060</v>
      </c>
      <c r="AA95" s="75" t="n">
        <v>5.56</v>
      </c>
      <c r="AB95" s="71" t="inlineStr">
        <is>
          <t>Kunming Jiashiqing Investment Partnership (Limited Partnership); Zhejiang Innoforce Pharmaceuticals Co., Ltd</t>
        </is>
      </c>
      <c r="AC95" s="71" t="inlineStr">
        <is>
          <t>kunming;zhejiang</t>
        </is>
      </c>
      <c r="AD95" s="75" t="n">
        <v>14.5</v>
      </c>
      <c r="AE95" s="71" t="inlineStr">
        <is>
          <t>partial</t>
        </is>
      </c>
      <c r="AF95" s="71" t="inlineStr">
        <is>
          <t>2022-01-22</t>
        </is>
      </c>
      <c r="AG95" s="71" t="inlineStr">
        <is>
          <t>China International Capital Corporation Hong Kong Securities Limited</t>
        </is>
      </c>
      <c r="AH95" s="71" t="inlineStr">
        <is>
          <t>China International</t>
        </is>
      </c>
      <c r="AI95" s="81" t="n"/>
      <c r="AJ95" s="82" t="n">
        <v>18.21</v>
      </c>
      <c r="AK95" s="82" t="n">
        <v>0</v>
      </c>
      <c r="AL95" s="82" t="n">
        <v>18.21</v>
      </c>
      <c r="AM95" s="83" t="n"/>
      <c r="AN95" s="75" t="n">
        <v>21.85</v>
      </c>
      <c r="AO95" s="82" t="n">
        <v>20.03</v>
      </c>
      <c r="AP95" s="82" t="n">
        <v>11.53</v>
      </c>
      <c r="AQ95" s="82" t="n">
        <v>22.31</v>
      </c>
      <c r="AR95" s="82" t="n">
        <v>1.54</v>
      </c>
      <c r="AS95" s="82" t="n">
        <v>-5.65</v>
      </c>
      <c r="AT95" s="82" t="n">
        <v>3.47</v>
      </c>
      <c r="AU95" s="82" t="n">
        <v>25.37</v>
      </c>
      <c r="AV95" s="82" t="n">
        <v>28.3</v>
      </c>
      <c r="AW95" s="82" t="n">
        <v>41.81</v>
      </c>
      <c r="AX95" s="82" t="n">
        <v>12.03</v>
      </c>
      <c r="AY95" s="82" t="n">
        <v>-16.77</v>
      </c>
      <c r="AZ95" s="82" t="n">
        <v>-17.68</v>
      </c>
      <c r="BA95" s="71" t="inlineStr">
        <is>
          <t>China Biotech ETF (HS biotech proxy)</t>
        </is>
      </c>
      <c r="BB95" s="82" t="n">
        <v>-94.31999999999999</v>
      </c>
      <c r="BC95" s="72" t="inlineStr">
        <is>
          <t>2026-09-23</t>
        </is>
      </c>
      <c r="BD95" s="73" t="n">
        <v>0</v>
      </c>
      <c r="BE95" s="76" t="n">
        <v>-361.9</v>
      </c>
      <c r="BF95" s="71" t="inlineStr">
        <is>
          <t>N</t>
        </is>
      </c>
      <c r="BG95" s="71" t="inlineStr">
        <is>
          <t>n/m</t>
        </is>
      </c>
      <c r="BH95" s="83" t="n"/>
      <c r="BI95" s="83" t="n"/>
      <c r="BJ95" s="71" t="inlineStr">
        <is>
          <t>pre-rev</t>
        </is>
      </c>
      <c r="BK95" s="84">
        <f>IF('BBG Verify'!S95="","not filed; run on terminal",'BBG Verify'!S95)</f>
        <v/>
      </c>
      <c r="BL95" s="85" t="inlineStr">
        <is>
          <t>N</t>
        </is>
      </c>
      <c r="BM95" s="86">
        <f>IF('BBG Verify'!K95="","not filed; run on terminal",'BBG Verify'!K95)</f>
        <v/>
      </c>
      <c r="BN95" s="71" t="inlineStr">
        <is>
          <t>N/A</t>
        </is>
      </c>
      <c r="BO95" s="71" t="inlineStr">
        <is>
          <t>N/A</t>
        </is>
      </c>
      <c r="BP95" s="71" t="inlineStr">
        <is>
          <t>N/A</t>
        </is>
      </c>
      <c r="BQ95" s="71" t="inlineStr">
        <is>
          <t>N/A</t>
        </is>
      </c>
      <c r="BR95" s="71" t="inlineStr">
        <is>
          <t>N/A</t>
        </is>
      </c>
      <c r="BS95" s="71" t="inlineStr">
        <is>
          <t>N/A</t>
        </is>
      </c>
      <c r="BT95" s="85" t="n"/>
      <c r="BU95" s="71" t="inlineStr">
        <is>
          <t>China International Capital Corporation Hong Kong Securities Limited</t>
        </is>
      </c>
      <c r="BV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W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X95" s="87">
        <f>HYPERLINK("https://www1.hkexnews.hk/listedco/listconews/sehk/2021/1220/2021122000014.htm","prospectus")</f>
        <v/>
      </c>
      <c r="BY95" s="87">
        <f>HYPERLINK("https://www1.hkexnews.hk/listedco/listconews/sehk/2021/1229/2021122900046.htm","allotment")</f>
        <v/>
      </c>
      <c r="BZ95" s="87">
        <f>HYPERLINK("https://www1.hkexnews.hk/listedco/listconews/sehk/2022/0123/2022012300079.pdf","stabilisation")</f>
        <v/>
      </c>
      <c r="CA95" s="85" t="n"/>
      <c r="CB95" s="71"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etnet's story of the session gave only the Phillip open (60.0, -9.0% vs offer) on 2021-12-29; no close was published; allocation: allocation table not in this notice's format (older prose announcement); day-1 tape: volume on file; the retail multiple needs the final public split, which this notice does not state</t>
        </is>
      </c>
    </row>
    <row r="96" ht="15" customHeight="1">
      <c r="A96" s="70" t="inlineStr">
        <is>
          <t>0020</t>
        </is>
      </c>
      <c r="B96" s="71" t="inlineStr">
        <is>
          <t>SENSETIME-W</t>
        </is>
      </c>
      <c r="C96" s="71" t="inlineStr">
        <is>
          <t>商湯－Ｗ</t>
        </is>
      </c>
      <c r="D96" s="71" t="inlineStr">
        <is>
          <t>Tech/AI</t>
        </is>
      </c>
      <c r="E96" s="71" t="inlineStr">
        <is>
          <t>AI application / agent software</t>
        </is>
      </c>
      <c r="F96" s="71" t="inlineStr">
        <is>
          <t>Application Software</t>
        </is>
      </c>
      <c r="G96" s="71" t="inlineStr">
        <is>
          <t>WVR</t>
        </is>
      </c>
      <c r="H96" s="72" t="n">
        <v>44560</v>
      </c>
      <c r="I96" s="73" t="n">
        <v>5775</v>
      </c>
      <c r="J96" s="71" t="inlineStr">
        <is>
          <t>gross (price x shares)</t>
        </is>
      </c>
      <c r="K96" s="74" t="n"/>
      <c r="L96" s="74" t="n">
        <v>3.85</v>
      </c>
      <c r="M96" s="74" t="n">
        <v>3.85</v>
      </c>
      <c r="N96" s="71" t="inlineStr">
        <is>
          <t>Y</t>
        </is>
      </c>
      <c r="O96" s="75" t="n">
        <v>100</v>
      </c>
      <c r="P96" s="75" t="n"/>
      <c r="Q96" s="76" t="n">
        <v>131349</v>
      </c>
      <c r="R96" s="71" t="inlineStr">
        <is>
          <t>aastocks:上市市值 at the struck price</t>
        </is>
      </c>
      <c r="S96" s="77" t="n">
        <v>5.18</v>
      </c>
      <c r="T96" s="78" t="n">
        <v>1.5</v>
      </c>
      <c r="U96" s="79" t="n">
        <v>68.89</v>
      </c>
      <c r="V96" s="80" t="n">
        <v>132</v>
      </c>
      <c r="W96" s="75" t="n"/>
      <c r="X96" s="71" t="n"/>
      <c r="Y96" s="76" t="n">
        <v>1796.6</v>
      </c>
      <c r="Z96" s="76" t="n">
        <v>466650000</v>
      </c>
      <c r="AA96" s="75" t="n">
        <v>1.37</v>
      </c>
      <c r="AB96" s="71"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AC96" s="71" t="inlineStr">
        <is>
          <t>mer;guosheng;guotai;hkstp;saic;shanghai-xuhui;taizhou;state-owned</t>
        </is>
      </c>
      <c r="AD96" s="75" t="n"/>
      <c r="AE96" s="71" t="n"/>
      <c r="AF96" s="71" t="inlineStr">
        <is>
          <t>2022-01-22</t>
        </is>
      </c>
      <c r="AG96" s="71" t="inlineStr">
        <is>
          <t>China International Capital Corporation Hong Kong Securities Limited</t>
        </is>
      </c>
      <c r="AH96" s="71" t="inlineStr">
        <is>
          <t>China International</t>
        </is>
      </c>
      <c r="AI96" s="81" t="n">
        <v>-0.52</v>
      </c>
      <c r="AJ96" s="82" t="n">
        <v>7.27</v>
      </c>
      <c r="AK96" s="82" t="n">
        <v>1.56</v>
      </c>
      <c r="AL96" s="82" t="n">
        <v>5.62</v>
      </c>
      <c r="AM96" s="83" t="n"/>
      <c r="AN96" s="75" t="n">
        <v>21.48</v>
      </c>
      <c r="AO96" s="82" t="n">
        <v>106.49</v>
      </c>
      <c r="AP96" s="82" t="n">
        <v>64.16</v>
      </c>
      <c r="AQ96" s="82" t="n">
        <v>58.96</v>
      </c>
      <c r="AR96" s="82" t="n">
        <v>92.5</v>
      </c>
      <c r="AS96" s="82" t="n">
        <v>53.03</v>
      </c>
      <c r="AT96" s="82" t="n">
        <v>48.19</v>
      </c>
      <c r="AU96" s="82" t="n">
        <v>107.69</v>
      </c>
      <c r="AV96" s="82" t="n">
        <v>67.31</v>
      </c>
      <c r="AW96" s="82" t="n">
        <v>75.63</v>
      </c>
      <c r="AX96" s="82" t="n">
        <v>56.45</v>
      </c>
      <c r="AY96" s="82" t="n">
        <v>-3.15</v>
      </c>
      <c r="AZ96" s="82" t="n">
        <v>-3.42</v>
      </c>
      <c r="BA96" s="71" t="inlineStr">
        <is>
          <t>HSTECH (Hang Seng TECH ETF)</t>
        </is>
      </c>
      <c r="BB96" s="82" t="n">
        <v>-67.66</v>
      </c>
      <c r="BC96" s="72" t="inlineStr">
        <is>
          <t>2026-09-23</t>
        </is>
      </c>
      <c r="BD96" s="73" t="n">
        <v>5170.3</v>
      </c>
      <c r="BE96" s="76" t="n">
        <v>-18854.1</v>
      </c>
      <c r="BF96" s="71" t="inlineStr">
        <is>
          <t>N</t>
        </is>
      </c>
      <c r="BG96" s="71" t="inlineStr">
        <is>
          <t>n/m</t>
        </is>
      </c>
      <c r="BH96" s="83" t="n"/>
      <c r="BI96" s="83" t="n"/>
      <c r="BJ96" s="83" t="n">
        <v>25.4</v>
      </c>
      <c r="BK96" s="84">
        <f>IF('BBG Verify'!S96="","not filed; run on terminal",'BBG Verify'!S96)</f>
        <v/>
      </c>
      <c r="BL96" s="85" t="inlineStr">
        <is>
          <t>N</t>
        </is>
      </c>
      <c r="BM96" s="86">
        <f>IF('BBG Verify'!K96="","not filed; run on terminal",'BBG Verify'!K96)</f>
        <v/>
      </c>
      <c r="BN96" s="71" t="inlineStr">
        <is>
          <t>N/A</t>
        </is>
      </c>
      <c r="BO96" s="71" t="inlineStr">
        <is>
          <t>N/A</t>
        </is>
      </c>
      <c r="BP96" s="71" t="inlineStr">
        <is>
          <t>N/A</t>
        </is>
      </c>
      <c r="BQ96" s="71" t="inlineStr">
        <is>
          <t>N/A</t>
        </is>
      </c>
      <c r="BR96" s="71" t="inlineStr">
        <is>
          <t>N/A</t>
        </is>
      </c>
      <c r="BS96" s="71" t="inlineStr">
        <is>
          <t>N/A</t>
        </is>
      </c>
      <c r="BT96" s="85" t="inlineStr">
        <is>
          <t>CICC; Haitong International; HSBC</t>
        </is>
      </c>
      <c r="BU96" s="71" t="inlineStr">
        <is>
          <t>China International Capital Corporation Hong Kong Securities Limited; Haitong International Capital Limited; The Hongkong and Shanghai Banking Corporation Limited; HSBC Corporate Finance (Hong Kong) Limited</t>
        </is>
      </c>
      <c r="BV96" s="71" t="inlineStr">
        <is>
          <t>ABCI Securities Company Limited; BOCI Asia Limited; CCB International Capital Limited; China International Capital Corporation Hong Kong Securities Limited; CMB International Capital Limited; China Merchants Securities (HK) Company Limited</t>
        </is>
      </c>
      <c r="BW96" s="71"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X96" s="71" t="n"/>
      <c r="BY96" s="87">
        <f>HYPERLINK("https://www1.hkexnews.hk/listedco/listconews/sehk/2021/1229/2021122900058.htm","allotment")</f>
        <v/>
      </c>
      <c r="BZ96" s="71" t="n"/>
      <c r="CA96" s="85" t="n"/>
      <c r="CB96" s="71"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97" ht="15" customHeight="1">
      <c r="A97" s="70" t="inlineStr">
        <is>
          <t>2260</t>
        </is>
      </c>
      <c r="B97" s="71" t="inlineStr">
        <is>
          <t>VANOV HOLDINGS</t>
        </is>
      </c>
      <c r="C97" s="71" t="inlineStr">
        <is>
          <t>環龍控股</t>
        </is>
      </c>
      <c r="D97" s="71" t="inlineStr">
        <is>
          <t>Industrials</t>
        </is>
      </c>
      <c r="E97" s="71" t="inlineStr">
        <is>
          <t>Capital goods / machinery</t>
        </is>
      </c>
      <c r="F97" s="71" t="inlineStr">
        <is>
          <t>Paper Products</t>
        </is>
      </c>
      <c r="G97" s="71" t="inlineStr">
        <is>
          <t>Standard</t>
        </is>
      </c>
      <c r="H97" s="72" t="n">
        <v>44572</v>
      </c>
      <c r="I97" s="73" t="n">
        <v>139.3</v>
      </c>
      <c r="J97" s="71" t="inlineStr">
        <is>
          <t>gross (price x shares)</t>
        </is>
      </c>
      <c r="K97" s="74" t="n"/>
      <c r="L97" s="74" t="n">
        <v>1.22</v>
      </c>
      <c r="M97" s="74" t="n">
        <v>1.22</v>
      </c>
      <c r="N97" s="71" t="inlineStr">
        <is>
          <t>Y</t>
        </is>
      </c>
      <c r="O97" s="75" t="n">
        <v>100</v>
      </c>
      <c r="P97" s="75" t="n"/>
      <c r="Q97" s="76" t="n">
        <v>643</v>
      </c>
      <c r="R97" s="71" t="inlineStr">
        <is>
          <t>aastocks:上市市值 at the struck price</t>
        </is>
      </c>
      <c r="S97" s="77" t="n">
        <v>13.66</v>
      </c>
      <c r="T97" s="78" t="n">
        <v>13.66</v>
      </c>
      <c r="U97" s="79" t="n">
        <v>15.9</v>
      </c>
      <c r="V97" s="80" t="n">
        <v>163</v>
      </c>
      <c r="W97" s="75" t="n"/>
      <c r="X97" s="71" t="n"/>
      <c r="Y97" s="76" t="n">
        <v>117.15</v>
      </c>
      <c r="Z97" s="76" t="n">
        <v>96042200</v>
      </c>
      <c r="AA97" s="75" t="n">
        <v>18.22</v>
      </c>
      <c r="AB97" s="71" t="inlineStr">
        <is>
          <t>Chen Xiong; Gong Chaohui</t>
        </is>
      </c>
      <c r="AC97" s="71" t="inlineStr">
        <is>
          <t>chen-xiong;gong</t>
        </is>
      </c>
      <c r="AD97" s="75" t="n"/>
      <c r="AE97" s="71" t="inlineStr">
        <is>
          <t>partial</t>
        </is>
      </c>
      <c r="AF97" s="71" t="n"/>
      <c r="AG97" s="71" t="inlineStr">
        <is>
          <t>CMBC Securities Company Limited</t>
        </is>
      </c>
      <c r="AH97" s="71" t="inlineStr">
        <is>
          <t>CMBC</t>
        </is>
      </c>
      <c r="AI97" s="81" t="n">
        <v>3.28</v>
      </c>
      <c r="AJ97" s="82" t="n">
        <v>0.82</v>
      </c>
      <c r="AK97" s="82" t="n">
        <v>4.1</v>
      </c>
      <c r="AL97" s="82" t="n">
        <v>-3.15</v>
      </c>
      <c r="AM97" s="83" t="n"/>
      <c r="AN97" s="75" t="n">
        <v>19.69</v>
      </c>
      <c r="AO97" s="82" t="n">
        <v>0.82</v>
      </c>
      <c r="AP97" s="82" t="n">
        <v>0</v>
      </c>
      <c r="AQ97" s="82" t="n">
        <v>0</v>
      </c>
      <c r="AR97" s="82" t="n">
        <v>0</v>
      </c>
      <c r="AS97" s="82" t="n">
        <v>-0.8100000000000001</v>
      </c>
      <c r="AT97" s="82" t="n">
        <v>-0.8100000000000001</v>
      </c>
      <c r="AU97" s="82" t="n">
        <v>-1.01</v>
      </c>
      <c r="AV97" s="82" t="n">
        <v>-0.55</v>
      </c>
      <c r="AW97" s="82" t="n">
        <v>15.79</v>
      </c>
      <c r="AX97" s="82" t="n">
        <v>-1.34</v>
      </c>
      <c r="AY97" s="82" t="n">
        <v>0.55</v>
      </c>
      <c r="AZ97" s="82" t="n">
        <v>0.53</v>
      </c>
      <c r="BA97" s="71" t="inlineStr">
        <is>
          <t>Hang Seng Commerce &amp; Industry sub-index</t>
        </is>
      </c>
      <c r="BB97" s="82" t="n">
        <v>-1.64</v>
      </c>
      <c r="BC97" s="72" t="inlineStr">
        <is>
          <t>2026-09-21</t>
        </is>
      </c>
      <c r="BD97" s="73" t="n">
        <v>201</v>
      </c>
      <c r="BE97" s="76" t="n">
        <v>45.1</v>
      </c>
      <c r="BF97" s="71" t="inlineStr">
        <is>
          <t>Y</t>
        </is>
      </c>
      <c r="BG97" s="83" t="n">
        <v>14.3</v>
      </c>
      <c r="BH97" s="83" t="n">
        <v>7.4</v>
      </c>
      <c r="BI97" s="83" t="n">
        <v>14.8</v>
      </c>
      <c r="BJ97" s="83" t="n">
        <v>3.2</v>
      </c>
      <c r="BK97" s="84">
        <f>IF('BBG Verify'!S97="","not filed; run on terminal",'BBG Verify'!S97)</f>
        <v/>
      </c>
      <c r="BL97" s="85" t="inlineStr">
        <is>
          <t>N</t>
        </is>
      </c>
      <c r="BM97" s="86">
        <f>IF('BBG Verify'!K97="","not filed; run on terminal",'BBG Verify'!K97)</f>
        <v/>
      </c>
      <c r="BN97" s="71" t="inlineStr">
        <is>
          <t>N/A</t>
        </is>
      </c>
      <c r="BO97" s="71" t="inlineStr">
        <is>
          <t>N/A</t>
        </is>
      </c>
      <c r="BP97" s="71" t="inlineStr">
        <is>
          <t>N/A</t>
        </is>
      </c>
      <c r="BQ97" s="71" t="inlineStr">
        <is>
          <t>N/A</t>
        </is>
      </c>
      <c r="BR97" s="71" t="inlineStr">
        <is>
          <t>N/A</t>
        </is>
      </c>
      <c r="BS97" s="71" t="inlineStr">
        <is>
          <t>N/A</t>
        </is>
      </c>
      <c r="BT97" s="85" t="n"/>
      <c r="BU97" s="71" t="inlineStr">
        <is>
          <t>CMBC International Capital Limited</t>
        </is>
      </c>
      <c r="BV97" s="71" t="inlineStr">
        <is>
          <t>ABCI Securities Company Limited; CCB International Capital Limited; CEB International Capital Corporation Limited; China Everbright Securities (HK) Limited; China Tonghai Securities Limited; China Industrial Securities International Capital Limited</t>
        </is>
      </c>
      <c r="BW97" s="71"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X97" s="87">
        <f>HYPERLINK("https://www1.hkexnews.hk/listedco/listconews/sehk/2021/1229/2021122900078.htm","prospectus")</f>
        <v/>
      </c>
      <c r="BY97" s="87">
        <f>HYPERLINK("https://www1.hkexnews.hk/listedco/listconews/sehk/2022/0110/2022011000034.htm","allotment")</f>
        <v/>
      </c>
      <c r="BZ97" s="87">
        <f>HYPERLINK("https://www1.hkexnews.hk/listedco/listconews/sehk/2022/0204/2022020400047.pdf","stabilisation")</f>
        <v/>
      </c>
      <c r="CA97" s="85" t="n"/>
      <c r="CB97"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allocation: allocation table not in this notice's format (older prose announcement); day-1 tape: volume on file; the retail multiple needs the final public split, which this notice does not state</t>
        </is>
      </c>
    </row>
    <row r="98" ht="15" customHeight="1">
      <c r="A98" s="70" t="inlineStr">
        <is>
          <t>6680</t>
        </is>
      </c>
      <c r="B98" s="71" t="inlineStr">
        <is>
          <t>JLMAG</t>
        </is>
      </c>
      <c r="C98" s="71" t="inlineStr">
        <is>
          <t>金力永磁</t>
        </is>
      </c>
      <c r="D98" s="71" t="inlineStr">
        <is>
          <t>Industrials</t>
        </is>
      </c>
      <c r="E98" s="71" t="inlineStr">
        <is>
          <t>Capital goods / machinery</t>
        </is>
      </c>
      <c r="F98" s="71" t="inlineStr">
        <is>
          <t>Diversified Metals &amp; Minerals</t>
        </is>
      </c>
      <c r="G98" s="71" t="inlineStr">
        <is>
          <t>Standard</t>
        </is>
      </c>
      <c r="H98" s="72" t="n">
        <v>44575</v>
      </c>
      <c r="I98" s="73" t="n">
        <v>4240.8</v>
      </c>
      <c r="J98" s="71" t="inlineStr">
        <is>
          <t>gross (price x shares)</t>
        </is>
      </c>
      <c r="K98" s="74" t="n">
        <v>33.8</v>
      </c>
      <c r="L98" s="74" t="n">
        <v>40.3</v>
      </c>
      <c r="M98" s="74" t="n">
        <v>33.8</v>
      </c>
      <c r="N98" s="71" t="inlineStr">
        <is>
          <t>N</t>
        </is>
      </c>
      <c r="O98" s="75" t="n">
        <v>83.90000000000001</v>
      </c>
      <c r="P98" s="75" t="n">
        <v>0</v>
      </c>
      <c r="Q98" s="76" t="n">
        <v>32831.6</v>
      </c>
      <c r="R98" s="71" t="inlineStr">
        <is>
          <t>aastocks:上市市值 at the struck price</t>
        </is>
      </c>
      <c r="S98" s="77" t="n">
        <v>15</v>
      </c>
      <c r="T98" s="78" t="n">
        <v>1.57</v>
      </c>
      <c r="U98" s="79" t="n">
        <v>50.56</v>
      </c>
      <c r="V98" s="80" t="n">
        <v>161</v>
      </c>
      <c r="W98" s="75" t="n"/>
      <c r="X98" s="71" t="n"/>
      <c r="Y98" s="76" t="n">
        <v>2096.65</v>
      </c>
      <c r="Z98" s="76" t="n">
        <v>62030390</v>
      </c>
      <c r="AA98" s="75" t="n">
        <v>6.39</v>
      </c>
      <c r="AB98" s="71" t="inlineStr">
        <is>
          <t>CITIC-Prudential Life Insurance Company Limited; CR Alpha Investment II Limited; SINO-BLR Industrial Investment Fund, L.P; The China State-owned Enterprise Mixed Ownership Reform Fund Co., Ltd</t>
        </is>
      </c>
      <c r="AC98" s="71" t="inlineStr">
        <is>
          <t>citic;cr;sino-blr;state-owned</t>
        </is>
      </c>
      <c r="AD98" s="75" t="n">
        <v>15</v>
      </c>
      <c r="AE98" s="71" t="inlineStr">
        <is>
          <t>lapsed</t>
        </is>
      </c>
      <c r="AF98" s="71" t="inlineStr">
        <is>
          <t>2022-02-06</t>
        </is>
      </c>
      <c r="AG98" s="71" t="n"/>
      <c r="AH98" s="71" t="n"/>
      <c r="AI98" s="81" t="n"/>
      <c r="AJ98" s="82" t="n">
        <v>-16.57</v>
      </c>
      <c r="AK98" s="82" t="n">
        <v>-8.880000000000001</v>
      </c>
      <c r="AL98" s="82" t="n">
        <v>-8.44</v>
      </c>
      <c r="AM98" s="83" t="n"/>
      <c r="AN98" s="75" t="n">
        <v>9.09</v>
      </c>
      <c r="AO98" s="82" t="n">
        <v>-19.23</v>
      </c>
      <c r="AP98" s="82" t="n">
        <v>-11.54</v>
      </c>
      <c r="AQ98" s="82" t="n">
        <v>-35.06</v>
      </c>
      <c r="AR98" s="82" t="n">
        <v>-3.19</v>
      </c>
      <c r="AS98" s="82" t="n">
        <v>6.03</v>
      </c>
      <c r="AT98" s="82" t="n">
        <v>-22.16</v>
      </c>
      <c r="AU98" s="82" t="n">
        <v>-20.73</v>
      </c>
      <c r="AV98" s="82" t="n">
        <v>-10.29</v>
      </c>
      <c r="AW98" s="82" t="n">
        <v>-11.36</v>
      </c>
      <c r="AX98" s="82" t="n">
        <v>6.56</v>
      </c>
      <c r="AY98" s="82" t="n">
        <v>-1.25</v>
      </c>
      <c r="AZ98" s="82" t="n">
        <v>-0.53</v>
      </c>
      <c r="BA98" s="71" t="inlineStr">
        <is>
          <t>Hang Seng Commerce &amp; Industry sub-index</t>
        </is>
      </c>
      <c r="BB98" s="82" t="n">
        <v>-27.2</v>
      </c>
      <c r="BC98" s="72" t="inlineStr">
        <is>
          <t>2026-09-23</t>
        </is>
      </c>
      <c r="BD98" s="73" t="n">
        <v>2517.5</v>
      </c>
      <c r="BE98" s="76" t="n">
        <v>-0.7</v>
      </c>
      <c r="BF98" s="71" t="inlineStr">
        <is>
          <t>N</t>
        </is>
      </c>
      <c r="BG98" s="71" t="inlineStr">
        <is>
          <t>n/m</t>
        </is>
      </c>
      <c r="BH98" s="83" t="n">
        <v>30.9</v>
      </c>
      <c r="BI98" s="83" t="n">
        <v>27.9</v>
      </c>
      <c r="BJ98" s="83" t="n">
        <v>13</v>
      </c>
      <c r="BK98" s="84">
        <f>IF('BBG Verify'!S98="","not filed; run on terminal",'BBG Verify'!S98)</f>
        <v/>
      </c>
      <c r="BL98" s="85" t="inlineStr">
        <is>
          <t>Y</t>
        </is>
      </c>
      <c r="BM98" s="71" t="inlineStr">
        <is>
          <t>300748.SZ</t>
        </is>
      </c>
      <c r="BN98" s="82" t="n">
        <v>38.51</v>
      </c>
      <c r="BO98" s="74" t="n">
        <v>46.8177</v>
      </c>
      <c r="BP98" s="89" t="n">
        <v>0.8929</v>
      </c>
      <c r="BQ98" s="76" t="n">
        <v>41698.7</v>
      </c>
      <c r="BR98" s="84">
        <f>IF('BBG Verify'!Q98="","run on terminal",'BBG Verify'!Q98)</f>
        <v/>
      </c>
      <c r="BS98" s="84">
        <f>IF('BBG Verify'!R98="","run on terminal",'BBG Verify'!R98)</f>
        <v/>
      </c>
      <c r="BT98" s="85" t="inlineStr">
        <is>
          <t>CLSA Capital Markets Limited; BNP Paribas Securities (Asia) Limited</t>
        </is>
      </c>
      <c r="BU98" s="71" t="inlineStr">
        <is>
          <t>BNP Paribas Securities (Asia) Limited; CLSA Capital Markets Limited</t>
        </is>
      </c>
      <c r="BV98" s="71" t="inlineStr">
        <is>
          <t>CLSA Limited; BNP Paribas Securities (Asia) Limited; DBS Asia Capital Limited</t>
        </is>
      </c>
      <c r="BW98" s="71" t="inlineStr">
        <is>
          <t>BNP Paribas Securities (Asia) Limited; CLSA Limited; DBS Asia Capital Limited; Futu Securities International (Hong Kong) Limited; Livermore Holdings Limited</t>
        </is>
      </c>
      <c r="BX98" s="87">
        <f>HYPERLINK("https://www1.hkexnews.hk/listedco/listconews/sehk/2021/1231/2021123100023.pdf","prospectus")</f>
        <v/>
      </c>
      <c r="BY98" s="87">
        <f>HYPERLINK("https://www1.hkexnews.hk/listedco/listconews/sehk/2022/0113/2022011300010.htm","allotment")</f>
        <v/>
      </c>
      <c r="BZ98" s="87">
        <f>HYPERLINK("https://www1.hkexnews.hk/listedco/listconews/sehk/2022/0206/2022020600019.pdf","stabilisation")</f>
        <v/>
      </c>
      <c r="CA98" s="85" t="n"/>
      <c r="CB98" s="71"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99" ht="15" customHeight="1">
      <c r="A99" s="70" t="inlineStr">
        <is>
          <t>2250</t>
        </is>
      </c>
      <c r="B99" s="71" t="inlineStr">
        <is>
          <t>SEMK HOLDINGS</t>
        </is>
      </c>
      <c r="C99" s="71" t="inlineStr">
        <is>
          <t>小黃鴨德盈</t>
        </is>
      </c>
      <c r="D99" s="71" t="inlineStr">
        <is>
          <t>TMT-other</t>
        </is>
      </c>
      <c r="E99" s="71" t="inlineStr">
        <is>
          <t>Media / advertising</t>
        </is>
      </c>
      <c r="F99" s="71" t="inlineStr">
        <is>
          <t>e-Commerce &amp; Internet Services</t>
        </is>
      </c>
      <c r="G99" s="71" t="inlineStr">
        <is>
          <t>Standard</t>
        </is>
      </c>
      <c r="H99" s="72" t="n">
        <v>44578</v>
      </c>
      <c r="I99" s="73" t="n">
        <v>246</v>
      </c>
      <c r="J99" s="71" t="inlineStr">
        <is>
          <t>gross (price x shares)</t>
        </is>
      </c>
      <c r="K99" s="74" t="n">
        <v>2.05</v>
      </c>
      <c r="L99" s="74" t="n">
        <v>3.45</v>
      </c>
      <c r="M99" s="74" t="n">
        <v>2.05</v>
      </c>
      <c r="N99" s="71" t="inlineStr">
        <is>
          <t>N</t>
        </is>
      </c>
      <c r="O99" s="75" t="n">
        <v>59.4</v>
      </c>
      <c r="P99" s="75" t="n">
        <v>0</v>
      </c>
      <c r="Q99" s="76" t="n">
        <v>2881.9</v>
      </c>
      <c r="R99" s="71" t="inlineStr">
        <is>
          <t>aastocks:上市市值 at the struck price</t>
        </is>
      </c>
      <c r="S99" s="77" t="n">
        <v>7.31</v>
      </c>
      <c r="T99" s="78" t="n">
        <v>1.24</v>
      </c>
      <c r="U99" s="79" t="n">
        <v>0</v>
      </c>
      <c r="V99" s="80" t="n">
        <v>157</v>
      </c>
      <c r="W99" s="75" t="n"/>
      <c r="X99" s="71" t="n"/>
      <c r="Y99" s="76" t="n">
        <v>246</v>
      </c>
      <c r="Z99" s="76" t="n">
        <v>120000000</v>
      </c>
      <c r="AA99" s="75" t="n">
        <v>8.539999999999999</v>
      </c>
      <c r="AB99" s="71" t="n"/>
      <c r="AC99" s="71" t="n"/>
      <c r="AD99" s="75" t="n">
        <v>10</v>
      </c>
      <c r="AE99" s="71" t="inlineStr">
        <is>
          <t>lapsed (no over-allocation)</t>
        </is>
      </c>
      <c r="AF99" s="71" t="inlineStr">
        <is>
          <t>2022-02-06</t>
        </is>
      </c>
      <c r="AG99" s="71" t="inlineStr">
        <is>
          <t>China Everbright Securities</t>
        </is>
      </c>
      <c r="AH99" s="71" t="inlineStr">
        <is>
          <t>China Everbright</t>
        </is>
      </c>
      <c r="AI99" s="81" t="n"/>
      <c r="AJ99" s="82" t="n">
        <v>16.59</v>
      </c>
      <c r="AK99" s="82" t="n">
        <v>26.83</v>
      </c>
      <c r="AL99" s="82" t="n">
        <v>-8.07</v>
      </c>
      <c r="AM99" s="83" t="n"/>
      <c r="AN99" s="75" t="n">
        <v>16.54</v>
      </c>
      <c r="AO99" s="82" t="n">
        <v>2.44</v>
      </c>
      <c r="AP99" s="82" t="n">
        <v>2.44</v>
      </c>
      <c r="AQ99" s="82" t="n">
        <v>-13.17</v>
      </c>
      <c r="AR99" s="82" t="n">
        <v>-12.14</v>
      </c>
      <c r="AS99" s="82" t="n">
        <v>-12.14</v>
      </c>
      <c r="AT99" s="82" t="n">
        <v>-25.53</v>
      </c>
      <c r="AU99" s="82" t="n">
        <v>1.32</v>
      </c>
      <c r="AV99" s="82" t="n">
        <v>2.67</v>
      </c>
      <c r="AW99" s="82" t="n">
        <v>2.19</v>
      </c>
      <c r="AX99" s="82" t="n">
        <v>-12.59</v>
      </c>
      <c r="AY99" s="82" t="n">
        <v>-0.23</v>
      </c>
      <c r="AZ99" s="82" t="n">
        <v>0.45</v>
      </c>
      <c r="BA99" s="71" t="inlineStr">
        <is>
          <t>Hang Seng Index</t>
        </is>
      </c>
      <c r="BB99" s="82" t="n">
        <v>-84.88</v>
      </c>
      <c r="BC99" s="72" t="inlineStr">
        <is>
          <t>2026-09-23</t>
        </is>
      </c>
      <c r="BD99" s="73" t="n">
        <v>233.5</v>
      </c>
      <c r="BE99" s="76" t="n">
        <v>54.5</v>
      </c>
      <c r="BF99" s="71" t="inlineStr">
        <is>
          <t>Y</t>
        </is>
      </c>
      <c r="BG99" s="83" t="n">
        <v>52.9</v>
      </c>
      <c r="BH99" s="83" t="n"/>
      <c r="BI99" s="83" t="n"/>
      <c r="BJ99" s="83" t="n">
        <v>12.3</v>
      </c>
      <c r="BK99" s="84">
        <f>IF('BBG Verify'!S99="","not filed; run on terminal",'BBG Verify'!S99)</f>
        <v/>
      </c>
      <c r="BL99" s="85" t="inlineStr">
        <is>
          <t>N</t>
        </is>
      </c>
      <c r="BM99" s="86">
        <f>IF('BBG Verify'!K99="","not filed; run on terminal",'BBG Verify'!K99)</f>
        <v/>
      </c>
      <c r="BN99" s="71" t="inlineStr">
        <is>
          <t>N/A</t>
        </is>
      </c>
      <c r="BO99" s="71" t="inlineStr">
        <is>
          <t>N/A</t>
        </is>
      </c>
      <c r="BP99" s="71" t="inlineStr">
        <is>
          <t>N/A</t>
        </is>
      </c>
      <c r="BQ99" s="71" t="inlineStr">
        <is>
          <t>N/A</t>
        </is>
      </c>
      <c r="BR99" s="71" t="inlineStr">
        <is>
          <t>N/A</t>
        </is>
      </c>
      <c r="BS99" s="71" t="inlineStr">
        <is>
          <t>N/A</t>
        </is>
      </c>
      <c r="BT99" s="85" t="inlineStr">
        <is>
          <t>China Everbright Capital Limited; China Everbright Securities (HK) Limited</t>
        </is>
      </c>
      <c r="BU99" s="71" t="inlineStr">
        <is>
          <t>China Everbright Capital Limited</t>
        </is>
      </c>
      <c r="BV99" s="71" t="inlineStr">
        <is>
          <t>China Everbright Securities (HK) Limited; UOB Kay Hian (Hong Kong) Limited; BOCOM International Securities Limited; CMBC Securities Company Limited; Fosun Hani Securities Limited; Grand China Securities Limited; Zhongtai International Securities Limited</t>
        </is>
      </c>
      <c r="BW99" s="71"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X99" s="87">
        <f>HYPERLINK("https://www1.hkexnews.hk/listedco/listconews/sehk/2021/1230/2021123000005.pdf","prospectus")</f>
        <v/>
      </c>
      <c r="BY99" s="87">
        <f>HYPERLINK("https://www1.hkexnews.hk/listedco/listconews/sehk/2022/0114/2022011400002.htm","allotment")</f>
        <v/>
      </c>
      <c r="BZ99" s="87">
        <f>HYPERLINK("https://www1.hkexnews.hk/listedco/listconews/sehk/2022/0206/2022020600003.pdf","stabilisation")</f>
        <v/>
      </c>
      <c r="CA99" s="85" t="n"/>
      <c r="CB99" s="71" t="inlineStr">
        <is>
          <t>market cap: published listing cap used; the estimate from deal size / offer % of enlarged capital disagreed; cornerstone list: no cornerstone tranche; 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100" ht="15" customHeight="1">
      <c r="A100" s="70" t="inlineStr">
        <is>
          <t>2121</t>
        </is>
      </c>
      <c r="B100" s="71" t="inlineStr">
        <is>
          <t>AINNOVATION</t>
        </is>
      </c>
      <c r="C100" s="71" t="inlineStr">
        <is>
          <t>創新奇智</t>
        </is>
      </c>
      <c r="D100" s="71" t="inlineStr">
        <is>
          <t>Tech/AI</t>
        </is>
      </c>
      <c r="E100" s="71" t="inlineStr">
        <is>
          <t>AI application / agent software</t>
        </is>
      </c>
      <c r="F100" s="71" t="inlineStr">
        <is>
          <t>Application Software</t>
        </is>
      </c>
      <c r="G100" s="71" t="inlineStr">
        <is>
          <t>Standard</t>
        </is>
      </c>
      <c r="H100" s="72" t="n">
        <v>44588</v>
      </c>
      <c r="I100" s="73" t="n">
        <v>1176.8</v>
      </c>
      <c r="J100" s="71" t="inlineStr">
        <is>
          <t>gross (price x shares)</t>
        </is>
      </c>
      <c r="K100" s="74" t="n"/>
      <c r="L100" s="74" t="n">
        <v>26.3</v>
      </c>
      <c r="M100" s="74" t="n">
        <v>26.3</v>
      </c>
      <c r="N100" s="71" t="inlineStr">
        <is>
          <t>Y</t>
        </is>
      </c>
      <c r="O100" s="75" t="n">
        <v>100</v>
      </c>
      <c r="P100" s="75" t="n"/>
      <c r="Q100" s="76" t="n">
        <v>14989.4</v>
      </c>
      <c r="R100" s="71" t="inlineStr">
        <is>
          <t>aastocks:上市市值 at the struck price</t>
        </is>
      </c>
      <c r="S100" s="77" t="n">
        <v>13.89</v>
      </c>
      <c r="T100" s="78" t="n">
        <v>2.62</v>
      </c>
      <c r="U100" s="79" t="n">
        <v>17.3</v>
      </c>
      <c r="V100" s="80" t="n">
        <v>60</v>
      </c>
      <c r="W100" s="75" t="n"/>
      <c r="X100" s="71" t="n"/>
      <c r="Y100" s="76" t="n">
        <v>973.21</v>
      </c>
      <c r="Z100" s="76" t="n">
        <v>37003619</v>
      </c>
      <c r="AA100" s="75" t="n">
        <v>6.49</v>
      </c>
      <c r="AB100" s="71" t="inlineStr">
        <is>
          <t>Laurion Capital Master Fund Ltd; SVF II Zeal</t>
        </is>
      </c>
      <c r="AC100" s="71" t="inlineStr">
        <is>
          <t>laurion;svf</t>
        </is>
      </c>
      <c r="AD100" s="75" t="n"/>
      <c r="AE100" s="71" t="n"/>
      <c r="AF100" s="71" t="inlineStr">
        <is>
          <t>2022-02-19</t>
        </is>
      </c>
      <c r="AG100" s="71" t="inlineStr">
        <is>
          <t>UBS AG Hong Kong Branch</t>
        </is>
      </c>
      <c r="AH100" s="71" t="inlineStr">
        <is>
          <t>UBS</t>
        </is>
      </c>
      <c r="AI100" s="81" t="n">
        <v>-4.37</v>
      </c>
      <c r="AJ100" s="82" t="n">
        <v>-25.48</v>
      </c>
      <c r="AK100" s="82" t="n">
        <v>0</v>
      </c>
      <c r="AL100" s="82" t="n">
        <v>-25.48</v>
      </c>
      <c r="AM100" s="83" t="n"/>
      <c r="AN100" s="75" t="n">
        <v>28.14</v>
      </c>
      <c r="AO100" s="82" t="n">
        <v>-34.37</v>
      </c>
      <c r="AP100" s="82" t="n">
        <v>-46.77</v>
      </c>
      <c r="AQ100" s="82" t="n">
        <v>-24.11</v>
      </c>
      <c r="AR100" s="82" t="n">
        <v>-11.93</v>
      </c>
      <c r="AS100" s="82" t="n">
        <v>-28.57</v>
      </c>
      <c r="AT100" s="82" t="n">
        <v>1.84</v>
      </c>
      <c r="AU100" s="82" t="n">
        <v>-31.3</v>
      </c>
      <c r="AV100" s="82" t="n">
        <v>-36.17</v>
      </c>
      <c r="AW100" s="82" t="n">
        <v>-0.93</v>
      </c>
      <c r="AX100" s="82" t="n">
        <v>-21.59</v>
      </c>
      <c r="AY100" s="82" t="n">
        <v>-10.6</v>
      </c>
      <c r="AZ100" s="82" t="n">
        <v>-6.98</v>
      </c>
      <c r="BA100" s="71" t="inlineStr">
        <is>
          <t>HSTECH (Hang Seng TECH ETF)</t>
        </is>
      </c>
      <c r="BB100" s="82" t="n">
        <v>-88.45999999999999</v>
      </c>
      <c r="BC100" s="72" t="inlineStr">
        <is>
          <t>2026-09-23</t>
        </is>
      </c>
      <c r="BD100" s="73" t="n">
        <v>947.3</v>
      </c>
      <c r="BE100" s="76" t="n">
        <v>-700.3</v>
      </c>
      <c r="BF100" s="71" t="inlineStr">
        <is>
          <t>N</t>
        </is>
      </c>
      <c r="BG100" s="71" t="inlineStr">
        <is>
          <t>n/m</t>
        </is>
      </c>
      <c r="BH100" s="83" t="n"/>
      <c r="BI100" s="83" t="n"/>
      <c r="BJ100" s="83" t="n">
        <v>15.8</v>
      </c>
      <c r="BK100" s="84">
        <f>IF('BBG Verify'!S100="","not filed; run on terminal",'BBG Verify'!S100)</f>
        <v/>
      </c>
      <c r="BL100" s="85" t="inlineStr">
        <is>
          <t>N</t>
        </is>
      </c>
      <c r="BM100" s="86">
        <f>IF('BBG Verify'!K100="","not filed; run on terminal",'BBG Verify'!K100)</f>
        <v/>
      </c>
      <c r="BN100" s="71" t="inlineStr">
        <is>
          <t>N/A</t>
        </is>
      </c>
      <c r="BO100" s="71" t="inlineStr">
        <is>
          <t>N/A</t>
        </is>
      </c>
      <c r="BP100" s="71" t="inlineStr">
        <is>
          <t>N/A</t>
        </is>
      </c>
      <c r="BQ100" s="71" t="inlineStr">
        <is>
          <t>N/A</t>
        </is>
      </c>
      <c r="BR100" s="71" t="inlineStr">
        <is>
          <t>N/A</t>
        </is>
      </c>
      <c r="BS100" s="71" t="inlineStr">
        <is>
          <t>N/A</t>
        </is>
      </c>
      <c r="BT100" s="85" t="n"/>
      <c r="BU100" s="71" t="inlineStr">
        <is>
          <t>China International Capital Corporation Hong Kong Securities Limited; UBS Securities Hong Kong Limited; China Renaissance Securities (Hong Kong) Limited</t>
        </is>
      </c>
      <c r="BV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W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X100" s="71" t="n"/>
      <c r="BY100" s="87">
        <f>HYPERLINK("https://www1.hkexnews.hk/listedco/listconews/sehk/2022/0126/2022012600012.htm","allotment")</f>
        <v/>
      </c>
      <c r="BZ100" s="71" t="n"/>
      <c r="CA100" s="85" t="n"/>
      <c r="CB100" s="71"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101" ht="15" customHeight="1">
      <c r="A101" s="70" t="inlineStr">
        <is>
          <t>9878</t>
        </is>
      </c>
      <c r="B101" s="71" t="inlineStr">
        <is>
          <t>HUITONGDA NET</t>
        </is>
      </c>
      <c r="C101" s="71" t="inlineStr">
        <is>
          <t>匯通達網絡</t>
        </is>
      </c>
      <c r="D101" s="71" t="inlineStr">
        <is>
          <t>Tech/AI</t>
        </is>
      </c>
      <c r="E101" s="71" t="inlineStr">
        <is>
          <t>Internet platform / e-commerce</t>
        </is>
      </c>
      <c r="F101" s="71" t="inlineStr">
        <is>
          <t>e-Commerce &amp; Internet Services</t>
        </is>
      </c>
      <c r="G101" s="71" t="inlineStr">
        <is>
          <t>Standard</t>
        </is>
      </c>
      <c r="H101" s="72" t="n">
        <v>44610</v>
      </c>
      <c r="I101" s="73" t="n">
        <v>2219.1</v>
      </c>
      <c r="J101" s="71" t="inlineStr">
        <is>
          <t>gross (price x shares)</t>
        </is>
      </c>
      <c r="K101" s="74" t="n">
        <v>43</v>
      </c>
      <c r="L101" s="74" t="n">
        <v>48</v>
      </c>
      <c r="M101" s="74" t="n">
        <v>43</v>
      </c>
      <c r="N101" s="71" t="inlineStr">
        <is>
          <t>N</t>
        </is>
      </c>
      <c r="O101" s="75" t="n">
        <v>89.59999999999999</v>
      </c>
      <c r="P101" s="75" t="n">
        <v>0</v>
      </c>
      <c r="Q101" s="76" t="n">
        <v>21337.5</v>
      </c>
      <c r="R101" s="71" t="inlineStr">
        <is>
          <t>derived:deal size / offer % of enlarged capital</t>
        </is>
      </c>
      <c r="S101" s="77" t="n">
        <v>1.67</v>
      </c>
      <c r="T101" s="78" t="n">
        <v>2.05</v>
      </c>
      <c r="U101" s="79" t="n">
        <v>23</v>
      </c>
      <c r="V101" s="80" t="n">
        <v>58</v>
      </c>
      <c r="W101" s="75" t="n"/>
      <c r="X101" s="71" t="n"/>
      <c r="Y101" s="76" t="n">
        <v>1708.71</v>
      </c>
      <c r="Z101" s="76" t="n">
        <v>39736774</v>
      </c>
      <c r="AA101" s="75" t="n">
        <v>8.01</v>
      </c>
      <c r="AB101" s="71" t="inlineStr">
        <is>
          <t>Golden Feather Corporation; Greenwoods Asset Management Hong Kong Limited; Heilan Group Co., Limited; SensePower Management Limited; Skyworth Overseas Investment Holdings Limited; Windfall T&amp;L SPC</t>
        </is>
      </c>
      <c r="AC101" s="71" t="inlineStr">
        <is>
          <t>golden-feather;greenwoods;heilan;sensepower;skyworth;windfall</t>
        </is>
      </c>
      <c r="AD101" s="75" t="n">
        <v>10.4</v>
      </c>
      <c r="AE101" s="71" t="inlineStr">
        <is>
          <t>partial</t>
        </is>
      </c>
      <c r="AF101" s="71" t="inlineStr">
        <is>
          <t>2022-03-12</t>
        </is>
      </c>
      <c r="AG101" s="71" t="inlineStr">
        <is>
          <t>China International Capital Corporation Hong Kong Securities Limited</t>
        </is>
      </c>
      <c r="AH101" s="71" t="inlineStr">
        <is>
          <t>China International</t>
        </is>
      </c>
      <c r="AI101" s="81" t="n">
        <v>4.88</v>
      </c>
      <c r="AJ101" s="82" t="n">
        <v>4.88</v>
      </c>
      <c r="AK101" s="82" t="n">
        <v>1.28</v>
      </c>
      <c r="AL101" s="82" t="n">
        <v>3.55</v>
      </c>
      <c r="AM101" s="83" t="n"/>
      <c r="AN101" s="75" t="n">
        <v>5.74</v>
      </c>
      <c r="AO101" s="82" t="n">
        <v>0</v>
      </c>
      <c r="AP101" s="82" t="n">
        <v>-8.49</v>
      </c>
      <c r="AQ101" s="82" t="n">
        <v>3.02</v>
      </c>
      <c r="AR101" s="82" t="n">
        <v>-4.65</v>
      </c>
      <c r="AS101" s="82" t="n">
        <v>-12.75</v>
      </c>
      <c r="AT101" s="82" t="n">
        <v>-1.77</v>
      </c>
      <c r="AU101" s="82" t="n">
        <v>9.32</v>
      </c>
      <c r="AV101" s="82" t="n">
        <v>13.55</v>
      </c>
      <c r="AW101" s="82" t="n">
        <v>31.41</v>
      </c>
      <c r="AX101" s="82" t="n">
        <v>6.76</v>
      </c>
      <c r="AY101" s="82" t="n">
        <v>-22.04</v>
      </c>
      <c r="AZ101" s="82" t="n">
        <v>-19.51</v>
      </c>
      <c r="BA101" s="71" t="inlineStr">
        <is>
          <t>HSTECH (Hang Seng TECH ETF)</t>
        </is>
      </c>
      <c r="BB101" s="82" t="n">
        <v>-83.31</v>
      </c>
      <c r="BC101" s="72" t="inlineStr">
        <is>
          <t>2026-09-23</t>
        </is>
      </c>
      <c r="BD101" s="73" t="n">
        <v>54592</v>
      </c>
      <c r="BE101" s="76" t="n">
        <v>-308</v>
      </c>
      <c r="BF101" s="71" t="inlineStr">
        <is>
          <t>N</t>
        </is>
      </c>
      <c r="BG101" s="71" t="inlineStr">
        <is>
          <t>n/m</t>
        </is>
      </c>
      <c r="BH101" s="83" t="n"/>
      <c r="BI101" s="83" t="n">
        <v>14.5</v>
      </c>
      <c r="BJ101" s="83" t="n">
        <v>0.4</v>
      </c>
      <c r="BK101" s="84">
        <f>IF('BBG Verify'!S101="","not filed; run on terminal",'BBG Verify'!S101)</f>
        <v/>
      </c>
      <c r="BL101" s="85" t="inlineStr">
        <is>
          <t>N</t>
        </is>
      </c>
      <c r="BM101" s="86">
        <f>IF('BBG Verify'!K101="","not filed; run on terminal",'BBG Verify'!K101)</f>
        <v/>
      </c>
      <c r="BN101" s="71" t="inlineStr">
        <is>
          <t>N/A</t>
        </is>
      </c>
      <c r="BO101" s="71" t="inlineStr">
        <is>
          <t>N/A</t>
        </is>
      </c>
      <c r="BP101" s="71" t="inlineStr">
        <is>
          <t>N/A</t>
        </is>
      </c>
      <c r="BQ101" s="71" t="inlineStr">
        <is>
          <t>N/A</t>
        </is>
      </c>
      <c r="BR101" s="71" t="inlineStr">
        <is>
          <t>N/A</t>
        </is>
      </c>
      <c r="BS101" s="71" t="inlineStr">
        <is>
          <t>N/A</t>
        </is>
      </c>
      <c r="BT101" s="85" t="inlineStr">
        <is>
          <t>China International Capital Corporation Hong Kong Securities Limited; Citigroup Global Markets Asia Limited; China Renaissance Securities (Hong Kong) Limited</t>
        </is>
      </c>
      <c r="BU101" s="71" t="inlineStr">
        <is>
          <t>China International Capital Corporation Hong Kong Securities Limited; China Renaissance Securities (Hong Kong) Limited; Citigroup Global Markets Asia Limited</t>
        </is>
      </c>
      <c r="BV101" s="71"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W101" s="71"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X101" s="87">
        <f>HYPERLINK("https://www1.hkexnews.hk/listedco/listconews/sehk/2022/0131/2022013100005.pdf","prospectus")</f>
        <v/>
      </c>
      <c r="BY101" s="87">
        <f>HYPERLINK("https://www1.hkexnews.hk/listedco/listconews/sehk/2022/0217/2022021700014.htm","allotment")</f>
        <v/>
      </c>
      <c r="BZ101" s="87">
        <f>HYPERLINK("https://www1.hkexnews.hk/listedco/listconews/sehk/2022/0313/2022031300003.pdf","stabilisation")</f>
        <v/>
      </c>
      <c r="CA101" s="85" t="n"/>
      <c r="CB101" s="71" t="inlineStr">
        <is>
          <t>P/E: loss-making at IPO, use P/S;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02" ht="15" customHeight="1">
      <c r="A102" s="70" t="inlineStr">
        <is>
          <t>1406</t>
        </is>
      </c>
      <c r="B102" s="71" t="inlineStr">
        <is>
          <t>CLARITY MEDICAL</t>
        </is>
      </c>
      <c r="C102" s="71" t="inlineStr">
        <is>
          <t>清晰醫療</t>
        </is>
      </c>
      <c r="D102" s="71" t="inlineStr">
        <is>
          <t>Healthcare</t>
        </is>
      </c>
      <c r="E102" s="71" t="inlineStr">
        <is>
          <t>Hospitals / clinics</t>
        </is>
      </c>
      <c r="F102" s="71" t="inlineStr">
        <is>
          <t>Health Care Services</t>
        </is>
      </c>
      <c r="G102" s="71" t="inlineStr">
        <is>
          <t>Standard</t>
        </is>
      </c>
      <c r="H102" s="72" t="n">
        <v>44610</v>
      </c>
      <c r="I102" s="73" t="n">
        <v>217.6</v>
      </c>
      <c r="J102" s="71" t="inlineStr">
        <is>
          <t>gross (price x shares)</t>
        </is>
      </c>
      <c r="K102" s="74" t="n">
        <v>1.6</v>
      </c>
      <c r="L102" s="74" t="n">
        <v>3</v>
      </c>
      <c r="M102" s="74" t="n">
        <v>1.6</v>
      </c>
      <c r="N102" s="71" t="inlineStr">
        <is>
          <t>N</t>
        </is>
      </c>
      <c r="O102" s="75" t="n">
        <v>53.3</v>
      </c>
      <c r="P102" s="75" t="n">
        <v>0</v>
      </c>
      <c r="Q102" s="76" t="n">
        <v>1173.3</v>
      </c>
      <c r="R102" s="71" t="inlineStr">
        <is>
          <t>aastocks:上市市值 at the struck price</t>
        </is>
      </c>
      <c r="S102" s="77" t="n">
        <v>6.17</v>
      </c>
      <c r="T102" s="78" t="n">
        <v>1.13</v>
      </c>
      <c r="U102" s="79" t="n">
        <v>0</v>
      </c>
      <c r="V102" s="80" t="n">
        <v>187</v>
      </c>
      <c r="W102" s="75" t="n"/>
      <c r="X102" s="71" t="n"/>
      <c r="Y102" s="76" t="n">
        <v>217.6</v>
      </c>
      <c r="Z102" s="76" t="n">
        <v>136000000</v>
      </c>
      <c r="AA102" s="75" t="n">
        <v>18.55</v>
      </c>
      <c r="AB102" s="71" t="n"/>
      <c r="AC102" s="71" t="n"/>
      <c r="AD102" s="75" t="n">
        <v>5.63</v>
      </c>
      <c r="AE102" s="71" t="inlineStr">
        <is>
          <t>lapsed</t>
        </is>
      </c>
      <c r="AF102" s="71" t="inlineStr">
        <is>
          <t>2022-03-12</t>
        </is>
      </c>
      <c r="AG102" s="71" t="inlineStr">
        <is>
          <t>China Everbright Securities</t>
        </is>
      </c>
      <c r="AH102" s="71" t="inlineStr">
        <is>
          <t>China Everbright</t>
        </is>
      </c>
      <c r="AI102" s="81" t="n">
        <v>0</v>
      </c>
      <c r="AJ102" s="82" t="n">
        <v>-3.75</v>
      </c>
      <c r="AK102" s="82" t="n">
        <v>-0.62</v>
      </c>
      <c r="AL102" s="82" t="n">
        <v>-3.15</v>
      </c>
      <c r="AM102" s="83" t="n"/>
      <c r="AN102" s="75" t="n">
        <v>9.43</v>
      </c>
      <c r="AO102" s="82" t="n">
        <v>-10</v>
      </c>
      <c r="AP102" s="82" t="n">
        <v>-15</v>
      </c>
      <c r="AQ102" s="82" t="n">
        <v>-27.5</v>
      </c>
      <c r="AR102" s="82" t="n">
        <v>-6.49</v>
      </c>
      <c r="AS102" s="82" t="n">
        <v>-11.69</v>
      </c>
      <c r="AT102" s="82" t="n">
        <v>-24.68</v>
      </c>
      <c r="AU102" s="82" t="n">
        <v>-10.67</v>
      </c>
      <c r="AV102" s="82" t="n">
        <v>-11.11</v>
      </c>
      <c r="AW102" s="82" t="n">
        <v>-7.91</v>
      </c>
      <c r="AX102" s="82" t="n">
        <v>-7.46</v>
      </c>
      <c r="AY102" s="82" t="n">
        <v>-3.89</v>
      </c>
      <c r="AZ102" s="82" t="n">
        <v>-4.23</v>
      </c>
      <c r="BA102" s="71" t="inlineStr">
        <is>
          <t>China Biotech ETF (HS biotech proxy)</t>
        </is>
      </c>
      <c r="BB102" s="82" t="n">
        <v>-77.81</v>
      </c>
      <c r="BC102" s="72" t="inlineStr">
        <is>
          <t>2026-09-18</t>
        </is>
      </c>
      <c r="BD102" s="73" t="n">
        <v>222.4</v>
      </c>
      <c r="BE102" s="76" t="n">
        <v>30</v>
      </c>
      <c r="BF102" s="71" t="inlineStr">
        <is>
          <t>Y</t>
        </is>
      </c>
      <c r="BG102" s="83" t="n">
        <v>39.1</v>
      </c>
      <c r="BH102" s="83" t="n"/>
      <c r="BI102" s="83" t="n"/>
      <c r="BJ102" s="83" t="n">
        <v>5.3</v>
      </c>
      <c r="BK102" s="84">
        <f>IF('BBG Verify'!S102="","not filed; run on terminal",'BBG Verify'!S102)</f>
        <v/>
      </c>
      <c r="BL102" s="85" t="inlineStr">
        <is>
          <t>N</t>
        </is>
      </c>
      <c r="BM102" s="86">
        <f>IF('BBG Verify'!K102="","not filed; run on terminal",'BBG Verify'!K102)</f>
        <v/>
      </c>
      <c r="BN102" s="71" t="inlineStr">
        <is>
          <t>N/A</t>
        </is>
      </c>
      <c r="BO102" s="71" t="inlineStr">
        <is>
          <t>N/A</t>
        </is>
      </c>
      <c r="BP102" s="71" t="inlineStr">
        <is>
          <t>N/A</t>
        </is>
      </c>
      <c r="BQ102" s="71" t="inlineStr">
        <is>
          <t>N/A</t>
        </is>
      </c>
      <c r="BR102" s="71" t="inlineStr">
        <is>
          <t>N/A</t>
        </is>
      </c>
      <c r="BS102" s="71" t="inlineStr">
        <is>
          <t>N/A</t>
        </is>
      </c>
      <c r="BT102" s="85" t="inlineStr">
        <is>
          <t>China Everbright Capital Limited; China Eve rbright Securities (HK) Limited; Zhongtai International Securities Limited</t>
        </is>
      </c>
      <c r="BU102" s="71" t="inlineStr">
        <is>
          <t>China Everbright Capital Limited</t>
        </is>
      </c>
      <c r="BV102" s="71"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W102" s="71"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X102" s="87">
        <f>HYPERLINK("https://www1.hkexnews.hk/listedco/listconews/sehk/2022/0131/2022013100022.pdf","prospectus")</f>
        <v/>
      </c>
      <c r="BY102" s="87">
        <f>HYPERLINK("https://www1.hkexnews.hk/listedco/listconews/sehk/2022/0217/2022021700028.htm","allotment")</f>
        <v/>
      </c>
      <c r="BZ102" s="87">
        <f>HYPERLINK("https://www1.hkexnews.hk/listedco/listconews/sehk/2022/0314/2022031400039.pdf","stabilisation")</f>
        <v/>
      </c>
      <c r="CA102" s="85" t="n"/>
      <c r="CB102" s="71"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03" ht="15" customHeight="1">
      <c r="A103" s="70" t="inlineStr">
        <is>
          <t>2157</t>
        </is>
      </c>
      <c r="B103" s="71" t="inlineStr">
        <is>
          <t>LEPU BIO-B</t>
        </is>
      </c>
      <c r="C103" s="71" t="inlineStr">
        <is>
          <t>樂普生物</t>
        </is>
      </c>
      <c r="D103" s="71" t="inlineStr">
        <is>
          <t>Healthcare</t>
        </is>
      </c>
      <c r="E103" s="71" t="inlineStr">
        <is>
          <t>Biotech pre-revenue (18A)</t>
        </is>
      </c>
      <c r="F103" s="71" t="inlineStr">
        <is>
          <t>Biotechnology</t>
        </is>
      </c>
      <c r="G103" s="71" t="inlineStr">
        <is>
          <t>18A</t>
        </is>
      </c>
      <c r="H103" s="72" t="n">
        <v>44615</v>
      </c>
      <c r="I103" s="73" t="n">
        <v>904.6</v>
      </c>
      <c r="J103" s="71" t="inlineStr">
        <is>
          <t>gross (price x shares)</t>
        </is>
      </c>
      <c r="K103" s="74" t="n">
        <v>6.87</v>
      </c>
      <c r="L103" s="74" t="n">
        <v>7.38</v>
      </c>
      <c r="M103" s="74" t="n">
        <v>7.13</v>
      </c>
      <c r="N103" s="71" t="inlineStr">
        <is>
          <t>N</t>
        </is>
      </c>
      <c r="O103" s="75" t="n">
        <v>96.59999999999999</v>
      </c>
      <c r="P103" s="75" t="n">
        <v>51</v>
      </c>
      <c r="Q103" s="76" t="n">
        <v>11008</v>
      </c>
      <c r="R103" s="71" t="inlineStr">
        <is>
          <t>prospectus:stated market capitalisation, rescaled to the offer price</t>
        </is>
      </c>
      <c r="S103" s="77" t="n">
        <v>5.65</v>
      </c>
      <c r="T103" s="78" t="n">
        <v>1.53</v>
      </c>
      <c r="U103" s="79" t="n">
        <v>41.61</v>
      </c>
      <c r="V103" s="80" t="n">
        <v>132</v>
      </c>
      <c r="W103" s="75" t="n"/>
      <c r="X103" s="71" t="n"/>
      <c r="Y103" s="76" t="n">
        <v>528.2</v>
      </c>
      <c r="Z103" s="76" t="n">
        <v>74082896</v>
      </c>
      <c r="AA103" s="75" t="n">
        <v>4.8</v>
      </c>
      <c r="AB103" s="71" t="inlineStr">
        <is>
          <t>King Star; Vivo Capital</t>
        </is>
      </c>
      <c r="AC103" s="71" t="inlineStr">
        <is>
          <t>king;vivo</t>
        </is>
      </c>
      <c r="AD103" s="75" t="n">
        <v>8.699999999999999</v>
      </c>
      <c r="AE103" s="71" t="inlineStr">
        <is>
          <t>partial</t>
        </is>
      </c>
      <c r="AF103" s="71" t="inlineStr">
        <is>
          <t>2022-03-17</t>
        </is>
      </c>
      <c r="AG103" s="71" t="inlineStr">
        <is>
          <t>China International Capital Corporation Hong Kong Securities Limited</t>
        </is>
      </c>
      <c r="AH103" s="71" t="inlineStr">
        <is>
          <t>China International</t>
        </is>
      </c>
      <c r="AI103" s="81" t="n">
        <v>0.42</v>
      </c>
      <c r="AJ103" s="82" t="n">
        <v>0.14</v>
      </c>
      <c r="AK103" s="82" t="n">
        <v>0</v>
      </c>
      <c r="AL103" s="82" t="n">
        <v>0.14</v>
      </c>
      <c r="AM103" s="83" t="n"/>
      <c r="AN103" s="75" t="n">
        <v>8.98</v>
      </c>
      <c r="AO103" s="82" t="n">
        <v>0</v>
      </c>
      <c r="AP103" s="82" t="n">
        <v>-7.43</v>
      </c>
      <c r="AQ103" s="82" t="n">
        <v>-8.699999999999999</v>
      </c>
      <c r="AR103" s="82" t="n">
        <v>-0.14</v>
      </c>
      <c r="AS103" s="82" t="n">
        <v>-7.56</v>
      </c>
      <c r="AT103" s="82" t="n">
        <v>-8.83</v>
      </c>
      <c r="AU103" s="82" t="n">
        <v>-1.78</v>
      </c>
      <c r="AV103" s="82" t="n">
        <v>-11.67</v>
      </c>
      <c r="AW103" s="82" t="n">
        <v>8.51</v>
      </c>
      <c r="AX103" s="82" t="n">
        <v>-10.17</v>
      </c>
      <c r="AY103" s="82" t="n">
        <v>4.24</v>
      </c>
      <c r="AZ103" s="82" t="n">
        <v>2.61</v>
      </c>
      <c r="BA103" s="71" t="inlineStr">
        <is>
          <t>China Biotech ETF (HS biotech proxy)</t>
        </is>
      </c>
      <c r="BB103" s="82" t="n">
        <v>-43.9</v>
      </c>
      <c r="BC103" s="72" t="inlineStr">
        <is>
          <t>2026-09-23</t>
        </is>
      </c>
      <c r="BD103" s="73" t="n">
        <v>0</v>
      </c>
      <c r="BE103" s="76" t="n">
        <v>-674.7</v>
      </c>
      <c r="BF103" s="71" t="inlineStr">
        <is>
          <t>N</t>
        </is>
      </c>
      <c r="BG103" s="71" t="inlineStr">
        <is>
          <t>n/m</t>
        </is>
      </c>
      <c r="BH103" s="83" t="n"/>
      <c r="BI103" s="83" t="n">
        <v>27.2</v>
      </c>
      <c r="BJ103" s="71" t="inlineStr">
        <is>
          <t>pre-rev</t>
        </is>
      </c>
      <c r="BK103" s="84">
        <f>IF('BBG Verify'!S103="","not filed; run on terminal",'BBG Verify'!S103)</f>
        <v/>
      </c>
      <c r="BL103" s="85" t="inlineStr">
        <is>
          <t>N</t>
        </is>
      </c>
      <c r="BM103" s="86">
        <f>IF('BBG Verify'!K103="","not filed; run on terminal",'BBG Verify'!K103)</f>
        <v/>
      </c>
      <c r="BN103" s="71" t="inlineStr">
        <is>
          <t>N/A</t>
        </is>
      </c>
      <c r="BO103" s="71" t="inlineStr">
        <is>
          <t>N/A</t>
        </is>
      </c>
      <c r="BP103" s="71" t="inlineStr">
        <is>
          <t>N/A</t>
        </is>
      </c>
      <c r="BQ103" s="71" t="inlineStr">
        <is>
          <t>N/A</t>
        </is>
      </c>
      <c r="BR103" s="71" t="inlineStr">
        <is>
          <t>N/A</t>
        </is>
      </c>
      <c r="BS103" s="71" t="inlineStr">
        <is>
          <t>N/A</t>
        </is>
      </c>
      <c r="BT103" s="85" t="inlineStr">
        <is>
          <t>China International Capital Corporation Hong Kong Securities Limited; Morgan Stanley Asia Limited</t>
        </is>
      </c>
      <c r="BU103" s="71" t="inlineStr">
        <is>
          <t>China International Capital Corporation Hong Kong Securities Limited; Morgan Stanley Asia Limited</t>
        </is>
      </c>
      <c r="BV103" s="71"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W103" s="71"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X103" s="87">
        <f>HYPERLINK("https://www1.hkexnews.hk/listedco/listconews/sehk/2022/0210/2022021000013.pdf","prospectus")</f>
        <v/>
      </c>
      <c r="BY103" s="87">
        <f>HYPERLINK("https://www1.hkexnews.hk/listedco/listconews/sehk/2022/0222/2022022200012.htm","allotment")</f>
        <v/>
      </c>
      <c r="BZ103" s="87">
        <f>HYPERLINK("https://www1.hkexnews.hk/listedco/listconews/sehk/2022/0317/2022031702152.pdf","stabilisation")</f>
        <v/>
      </c>
      <c r="CA103" s="85" t="n"/>
      <c r="CB103" s="71" t="inlineStr">
        <is>
          <t>P/E: loss-making at IPO, use P/S; market cap: prospectus cap HK$11,394m at HK$7.38, rescaled to HK$7.13; P/S: pre-revenue issuer, no sales multiple; deal size: stated gross HK$36.2m rejected, below the net proceeds of HK$804.2m; allocation: allocation table not in this notice's format (older prose announcement); day-1 tape: volume on file; the retail multiple needs the final public split, which this notice does not state</t>
        </is>
      </c>
    </row>
    <row r="104" ht="15" customHeight="1">
      <c r="A104" s="70" t="inlineStr">
        <is>
          <t>6639</t>
        </is>
      </c>
      <c r="B104" s="71" t="inlineStr">
        <is>
          <t>ARRAIL GROUP</t>
        </is>
      </c>
      <c r="C104" s="71" t="inlineStr">
        <is>
          <t>瑞爾集團</t>
        </is>
      </c>
      <c r="D104" s="71" t="inlineStr">
        <is>
          <t>Healthcare</t>
        </is>
      </c>
      <c r="E104" s="71" t="inlineStr">
        <is>
          <t>Hospitals / clinics</t>
        </is>
      </c>
      <c r="F104" s="71" t="inlineStr">
        <is>
          <t>Health Care Services</t>
        </is>
      </c>
      <c r="G104" s="71" t="inlineStr">
        <is>
          <t>Standard</t>
        </is>
      </c>
      <c r="H104" s="72" t="n">
        <v>44642</v>
      </c>
      <c r="I104" s="73" t="n">
        <v>680.2</v>
      </c>
      <c r="J104" s="71" t="inlineStr">
        <is>
          <t>gross (price x shares)</t>
        </is>
      </c>
      <c r="K104" s="74" t="n"/>
      <c r="L104" s="74" t="n">
        <v>14.62</v>
      </c>
      <c r="M104" s="74" t="n">
        <v>14.62</v>
      </c>
      <c r="N104" s="71" t="inlineStr">
        <is>
          <t>Y</t>
        </is>
      </c>
      <c r="O104" s="75" t="n">
        <v>100</v>
      </c>
      <c r="P104" s="75" t="n"/>
      <c r="Q104" s="76" t="n">
        <v>7474.7</v>
      </c>
      <c r="R104" s="71" t="inlineStr">
        <is>
          <t>derived:deal size / offer % of enlarged capital</t>
        </is>
      </c>
      <c r="S104" s="77" t="n">
        <v>1.74</v>
      </c>
      <c r="T104" s="78" t="n">
        <v>1.62</v>
      </c>
      <c r="U104" s="79" t="n">
        <v>31.9</v>
      </c>
      <c r="V104" s="80" t="n">
        <v>121</v>
      </c>
      <c r="W104" s="75" t="n"/>
      <c r="X104" s="71" t="n"/>
      <c r="Y104" s="76" t="n">
        <v>463.22</v>
      </c>
      <c r="Z104" s="76" t="n">
        <v>31685228</v>
      </c>
      <c r="AA104" s="75" t="n">
        <v>6.2</v>
      </c>
      <c r="AB104" s="71" t="inlineStr">
        <is>
          <t>Abax Asian Structured Private Credit Fund III, LP; Harvest International Premium Value (Secondary Market) Fund SPC; Hudson Bay Master Fund Ltd; OrbiMed Genesis Master Fund, L.P; Top Vast (Hong Kong) Limited</t>
        </is>
      </c>
      <c r="AC104" s="71" t="inlineStr">
        <is>
          <t>abax;harvest;hudson;orbimed;top</t>
        </is>
      </c>
      <c r="AD104" s="75" t="n">
        <v>10.92</v>
      </c>
      <c r="AE104" s="71" t="inlineStr">
        <is>
          <t>lapsed</t>
        </is>
      </c>
      <c r="AF104" s="71" t="inlineStr">
        <is>
          <t>2022-04-13</t>
        </is>
      </c>
      <c r="AG104" s="71" t="inlineStr">
        <is>
          <t>Morgan Stanley Asia Limited</t>
        </is>
      </c>
      <c r="AH104" s="71" t="inlineStr">
        <is>
          <t>Morgan Stanley</t>
        </is>
      </c>
      <c r="AI104" s="81" t="n">
        <v>-5.34</v>
      </c>
      <c r="AJ104" s="82" t="n">
        <v>-5.61</v>
      </c>
      <c r="AK104" s="82" t="n">
        <v>-0.14</v>
      </c>
      <c r="AL104" s="82" t="n">
        <v>-5.48</v>
      </c>
      <c r="AM104" s="83" t="n"/>
      <c r="AN104" s="75" t="n">
        <v>11.1</v>
      </c>
      <c r="AO104" s="82" t="n">
        <v>-1.5</v>
      </c>
      <c r="AP104" s="82" t="n">
        <v>-20.52</v>
      </c>
      <c r="AQ104" s="82" t="n">
        <v>-19.56</v>
      </c>
      <c r="AR104" s="82" t="n">
        <v>4.35</v>
      </c>
      <c r="AS104" s="82" t="n">
        <v>-15.8</v>
      </c>
      <c r="AT104" s="82" t="n">
        <v>-14.78</v>
      </c>
      <c r="AU104" s="82" t="n">
        <v>-3.3</v>
      </c>
      <c r="AV104" s="82" t="n">
        <v>-5.59</v>
      </c>
      <c r="AW104" s="82" t="n">
        <v>-18.89</v>
      </c>
      <c r="AX104" s="82" t="n">
        <v>-1.56</v>
      </c>
      <c r="AY104" s="82" t="n">
        <v>-14.93</v>
      </c>
      <c r="AZ104" s="82" t="n">
        <v>-14.24</v>
      </c>
      <c r="BA104" s="71" t="inlineStr">
        <is>
          <t>China Biotech ETF (HS biotech proxy)</t>
        </is>
      </c>
      <c r="BB104" s="82" t="n">
        <v>-87.48</v>
      </c>
      <c r="BC104" s="72" t="inlineStr">
        <is>
          <t>2026-09-18</t>
        </is>
      </c>
      <c r="BD104" s="73" t="n">
        <v>1666.6</v>
      </c>
      <c r="BE104" s="76" t="n">
        <v>-657.5</v>
      </c>
      <c r="BF104" s="71" t="inlineStr">
        <is>
          <t>N</t>
        </is>
      </c>
      <c r="BG104" s="71" t="inlineStr">
        <is>
          <t>n/m</t>
        </is>
      </c>
      <c r="BH104" s="83" t="n"/>
      <c r="BI104" s="83" t="n">
        <v>25.6</v>
      </c>
      <c r="BJ104" s="83" t="n">
        <v>4.5</v>
      </c>
      <c r="BK104" s="84">
        <f>IF('BBG Verify'!S104="","not filed; run on terminal",'BBG Verify'!S104)</f>
        <v/>
      </c>
      <c r="BL104" s="85" t="inlineStr">
        <is>
          <t>N</t>
        </is>
      </c>
      <c r="BM104" s="86">
        <f>IF('BBG Verify'!K104="","not filed; run on terminal",'BBG Verify'!K104)</f>
        <v/>
      </c>
      <c r="BN104" s="71" t="inlineStr">
        <is>
          <t>N/A</t>
        </is>
      </c>
      <c r="BO104" s="71" t="inlineStr">
        <is>
          <t>N/A</t>
        </is>
      </c>
      <c r="BP104" s="71" t="inlineStr">
        <is>
          <t>N/A</t>
        </is>
      </c>
      <c r="BQ104" s="71" t="inlineStr">
        <is>
          <t>N/A</t>
        </is>
      </c>
      <c r="BR104" s="71" t="inlineStr">
        <is>
          <t>N/A</t>
        </is>
      </c>
      <c r="BS104" s="71" t="inlineStr">
        <is>
          <t>N/A</t>
        </is>
      </c>
      <c r="BT104" s="85" t="inlineStr">
        <is>
          <t>Morgan Stanley Asia Limited; UBS Securities Hong Kong Limited</t>
        </is>
      </c>
      <c r="BU104" s="71" t="inlineStr">
        <is>
          <t>Morgan Stanley Asia Limited; UBS Securities Hong Kong Limited</t>
        </is>
      </c>
      <c r="BV104" s="71" t="inlineStr">
        <is>
          <t>Morgan Stanley Asia Limited; UBS AG Hong Kong Branch; China International Capital Corporation Hong Kong Securities Limited; Haitong International Securities Company Limited</t>
        </is>
      </c>
      <c r="BW104" s="71"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X104" s="87">
        <f>HYPERLINK("https://www1.hkexnews.hk/listedco/listconews/sehk/2022/0309/2022030900091.pdf","prospectus")</f>
        <v/>
      </c>
      <c r="BY104" s="87">
        <f>HYPERLINK("https://www1.hkexnews.hk/listedco/listconews/sehk/2022/0321/2022032100094.htm","allotment")</f>
        <v/>
      </c>
      <c r="BZ104" s="87">
        <f>HYPERLINK("https://www1.hkexnews.hk/listedco/listconews/sehk/2022/0413/2022041301532.pdf","stabilisation")</f>
        <v/>
      </c>
      <c r="CA104" s="85" t="n"/>
      <c r="CB104" s="71" t="inlineStr">
        <is>
          <t>P/E: loss-making at IPO, use P/S; 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05" ht="15" customHeight="1">
      <c r="A105" s="70" t="inlineStr">
        <is>
          <t>9638</t>
        </is>
      </c>
      <c r="B105" s="71" t="inlineStr">
        <is>
          <t>FERRETTI</t>
        </is>
      </c>
      <c r="C105" s="71" t="inlineStr">
        <is>
          <t>法拉帝</t>
        </is>
      </c>
      <c r="D105" s="71" t="inlineStr">
        <is>
          <t>Consumer</t>
        </is>
      </c>
      <c r="E105" s="71" t="inlineStr">
        <is>
          <t>Apparel / luxury</t>
        </is>
      </c>
      <c r="F105" s="71" t="inlineStr">
        <is>
          <t>Leisure Products</t>
        </is>
      </c>
      <c r="G105" s="71" t="inlineStr">
        <is>
          <t>Standard</t>
        </is>
      </c>
      <c r="H105" s="72" t="n">
        <v>44651</v>
      </c>
      <c r="I105" s="73" t="n">
        <v>1912.3</v>
      </c>
      <c r="J105" s="71" t="inlineStr">
        <is>
          <t>gross (price x shares)</t>
        </is>
      </c>
      <c r="K105" s="74" t="n">
        <v>21.82</v>
      </c>
      <c r="L105" s="74" t="n">
        <v>28.24</v>
      </c>
      <c r="M105" s="74" t="n">
        <v>22.88</v>
      </c>
      <c r="N105" s="71" t="inlineStr">
        <is>
          <t>N</t>
        </is>
      </c>
      <c r="O105" s="75" t="n">
        <v>81</v>
      </c>
      <c r="P105" s="75" t="n">
        <v>16.5</v>
      </c>
      <c r="Q105" s="76" t="n">
        <v>9146.299999999999</v>
      </c>
      <c r="R105" s="71" t="inlineStr">
        <is>
          <t>aastocks:上市市值 at the struck price</t>
        </is>
      </c>
      <c r="S105" s="77" t="n">
        <v>1.07</v>
      </c>
      <c r="T105" s="78" t="n">
        <v>2.06</v>
      </c>
      <c r="U105" s="79" t="n">
        <v>53.02</v>
      </c>
      <c r="V105" s="80" t="n">
        <v>125</v>
      </c>
      <c r="W105" s="75" t="n"/>
      <c r="X105" s="71" t="n"/>
      <c r="Y105" s="76" t="n">
        <v>898.4</v>
      </c>
      <c r="Z105" s="76" t="n">
        <v>39265884</v>
      </c>
      <c r="AA105" s="75" t="n">
        <v>9.82</v>
      </c>
      <c r="AB105" s="71" t="inlineStr">
        <is>
          <t>Hainan Financial Holdings Co., Ltd; Hainan Free Trade Port Construction Investment Fund Co., Ltd; Qingdao Haifa Holding Development Co., Ltd; Sanya Development Holdings Co., Ltd; Sunshine Life Insurance Corporation Limited</t>
        </is>
      </c>
      <c r="AC105" s="71" t="inlineStr">
        <is>
          <t>hainan;qingdao;sanya;sunshine</t>
        </is>
      </c>
      <c r="AD105" s="75" t="n">
        <v>15</v>
      </c>
      <c r="AE105" s="71" t="inlineStr">
        <is>
          <t>partial</t>
        </is>
      </c>
      <c r="AF105" s="71" t="inlineStr">
        <is>
          <t>2022-04-24</t>
        </is>
      </c>
      <c r="AG105" s="71" t="n"/>
      <c r="AH105" s="71" t="n"/>
      <c r="AI105" s="81" t="n">
        <v>1.18</v>
      </c>
      <c r="AJ105" s="82" t="n">
        <v>-0.13</v>
      </c>
      <c r="AK105" s="82" t="n">
        <v>0.74</v>
      </c>
      <c r="AL105" s="82" t="n">
        <v>-0.86</v>
      </c>
      <c r="AM105" s="83" t="n"/>
      <c r="AN105" s="75" t="n">
        <v>3.9</v>
      </c>
      <c r="AO105" s="82" t="n">
        <v>-0.13</v>
      </c>
      <c r="AP105" s="82" t="n">
        <v>9.27</v>
      </c>
      <c r="AQ105" s="82" t="n">
        <v>-13.11</v>
      </c>
      <c r="AR105" s="82" t="n">
        <v>0</v>
      </c>
      <c r="AS105" s="82" t="n">
        <v>9.41</v>
      </c>
      <c r="AT105" s="82" t="n">
        <v>-13</v>
      </c>
      <c r="AU105" s="82" t="n">
        <v>4.09</v>
      </c>
      <c r="AV105" s="82" t="n">
        <v>16.35</v>
      </c>
      <c r="AW105" s="82" t="n">
        <v>-13.58</v>
      </c>
      <c r="AX105" s="82" t="n">
        <v>14.64</v>
      </c>
      <c r="AY105" s="82" t="n">
        <v>-7.08</v>
      </c>
      <c r="AZ105" s="82" t="n">
        <v>-5.23</v>
      </c>
      <c r="BA105" s="71" t="inlineStr">
        <is>
          <t>Hang Seng Commerce &amp; Industry sub-index</t>
        </is>
      </c>
      <c r="BB105" s="82" t="n">
        <v>57.34</v>
      </c>
      <c r="BC105" s="72" t="inlineStr">
        <is>
          <t>2026-09-18</t>
        </is>
      </c>
      <c r="BD105" s="73" t="n"/>
      <c r="BE105" s="76" t="n"/>
      <c r="BF105" s="71" t="n"/>
      <c r="BG105" s="83" t="n">
        <v>18</v>
      </c>
      <c r="BH105" s="83" t="n">
        <v>18</v>
      </c>
      <c r="BI105" s="83" t="n">
        <v>16</v>
      </c>
      <c r="BJ105" s="83" t="n"/>
      <c r="BK105" s="84">
        <f>IF('BBG Verify'!S105="","not filed; run on terminal",'BBG Verify'!S105)</f>
        <v/>
      </c>
      <c r="BL105" s="85" t="inlineStr">
        <is>
          <t>N</t>
        </is>
      </c>
      <c r="BM105" s="86">
        <f>IF('BBG Verify'!K105="","not filed; run on terminal",'BBG Verify'!K105)</f>
        <v/>
      </c>
      <c r="BN105" s="71" t="inlineStr">
        <is>
          <t>N/A</t>
        </is>
      </c>
      <c r="BO105" s="71" t="inlineStr">
        <is>
          <t>N/A</t>
        </is>
      </c>
      <c r="BP105" s="71" t="inlineStr">
        <is>
          <t>N/A</t>
        </is>
      </c>
      <c r="BQ105" s="71" t="inlineStr">
        <is>
          <t>N/A</t>
        </is>
      </c>
      <c r="BR105" s="71" t="inlineStr">
        <is>
          <t>N/A</t>
        </is>
      </c>
      <c r="BS105" s="71" t="inlineStr">
        <is>
          <t>N/A</t>
        </is>
      </c>
      <c r="BT105" s="85" t="inlineStr">
        <is>
          <t>China International Capital Corporation Hong Kong Securities Limited</t>
        </is>
      </c>
      <c r="BU105" s="71" t="inlineStr">
        <is>
          <t>China International Capital Corporation Hong Kong Securities Limited</t>
        </is>
      </c>
      <c r="BV105" s="71" t="inlineStr">
        <is>
          <t>China International Capital Corporation Hong Kong Securities Limited; BNP Paribas Securities (Asia) Limited; Zhongtai International Securities Limited</t>
        </is>
      </c>
      <c r="BW105" s="71" t="inlineStr">
        <is>
          <t>BNP Paribas Securities (Asia) Limited; China International Capital Corporation Hong Kong Securities Limited; Zhongtai International Securities Limited</t>
        </is>
      </c>
      <c r="BX105" s="87">
        <f>HYPERLINK("https://www1.hkexnews.hk/listedco/listconews/sehk/2022/0322/2022032200013.pdf","prospectus")</f>
        <v/>
      </c>
      <c r="BY105" s="87">
        <f>HYPERLINK("https://www1.hkexnews.hk/listedco/listconews/sehk/2022/0330/2022033000050.htm","allotment")</f>
        <v/>
      </c>
      <c r="BZ105" s="87">
        <f>HYPERLINK("https://www1.hkexnews.hk/listedco/listconews/sehk/2022/0424/2022042400017.pdf","stabilisation")</f>
        <v/>
      </c>
      <c r="CA105" s="85" t="n"/>
      <c r="CB105" s="71" t="inlineStr">
        <is>
          <t>P/E: Bloomberg trailing-12m basis (prospectus-year multiple not derivable); P/S: revenue not extractable; stabilising manager: not named in the allotment notice or prospectus glossary; financials: not extractable; pre-IPO year outside the AAStocks window; allocation: allocation table not in this notice's format (older prose announcement); day-1 tape: volume on file; the retail multiple needs the final public split, which this notice does not state</t>
        </is>
      </c>
    </row>
    <row r="106" ht="15" customHeight="1">
      <c r="A106" s="70" t="inlineStr">
        <is>
          <t>2179</t>
        </is>
      </c>
      <c r="B106" s="71" t="inlineStr">
        <is>
          <t>RECBIO-B</t>
        </is>
      </c>
      <c r="C106" s="71" t="inlineStr">
        <is>
          <t>瑞科生物－Ｂ</t>
        </is>
      </c>
      <c r="D106" s="71" t="inlineStr">
        <is>
          <t>Healthcare</t>
        </is>
      </c>
      <c r="E106" s="71" t="inlineStr">
        <is>
          <t>Biotech pre-revenue (18A)</t>
        </is>
      </c>
      <c r="F106" s="71" t="inlineStr">
        <is>
          <t>Biotechnology</t>
        </is>
      </c>
      <c r="G106" s="71" t="inlineStr">
        <is>
          <t>18A</t>
        </is>
      </c>
      <c r="H106" s="72" t="n">
        <v>44651</v>
      </c>
      <c r="I106" s="73" t="n">
        <v>672.4</v>
      </c>
      <c r="J106" s="71" t="inlineStr">
        <is>
          <t>net proceeds</t>
        </is>
      </c>
      <c r="K106" s="74" t="n"/>
      <c r="L106" s="74" t="n">
        <v>24.8</v>
      </c>
      <c r="M106" s="74" t="n">
        <v>24.8</v>
      </c>
      <c r="N106" s="71" t="inlineStr">
        <is>
          <t>Y</t>
        </is>
      </c>
      <c r="O106" s="75" t="n">
        <v>100</v>
      </c>
      <c r="P106" s="75" t="n"/>
      <c r="Q106" s="76" t="n">
        <v>9160.799999999999</v>
      </c>
      <c r="R106" s="71" t="inlineStr">
        <is>
          <t>derived:deal size / offer % of enlarged capital</t>
        </is>
      </c>
      <c r="S106" s="77" t="n">
        <v>10.65</v>
      </c>
      <c r="T106" s="78" t="n">
        <v>1.39</v>
      </c>
      <c r="U106" s="79" t="n">
        <v>18.62</v>
      </c>
      <c r="V106" s="80" t="n">
        <v>167</v>
      </c>
      <c r="W106" s="75" t="n"/>
      <c r="X106" s="71" t="n"/>
      <c r="Y106" s="76" t="n">
        <v>547.2</v>
      </c>
      <c r="Z106" s="76" t="n"/>
      <c r="AA106" s="75" t="n">
        <v>5.97</v>
      </c>
      <c r="AB106" s="71" t="inlineStr">
        <is>
          <t>Harvest High Yield SP; SCC Growth VI Holdco C (HK) Limited; SCHP Master Fund; Yangtze River (Hong Kong) Limited</t>
        </is>
      </c>
      <c r="AC106" s="71" t="inlineStr">
        <is>
          <t>harvest;scc;schp;yangtze</t>
        </is>
      </c>
      <c r="AD106" s="75" t="n">
        <v>6.44</v>
      </c>
      <c r="AE106" s="71" t="inlineStr">
        <is>
          <t>partial</t>
        </is>
      </c>
      <c r="AF106" s="71" t="inlineStr">
        <is>
          <t>2022-04-23</t>
        </is>
      </c>
      <c r="AG106" s="71" t="inlineStr">
        <is>
          <t>Morgan Stanley Asia Limited</t>
        </is>
      </c>
      <c r="AH106" s="71" t="inlineStr">
        <is>
          <t>Morgan Stanley</t>
        </is>
      </c>
      <c r="AI106" s="81" t="n">
        <v>2.82</v>
      </c>
      <c r="AJ106" s="82" t="n">
        <v>1.81</v>
      </c>
      <c r="AK106" s="82" t="n">
        <v>0.8100000000000001</v>
      </c>
      <c r="AL106" s="82" t="n">
        <v>0.99</v>
      </c>
      <c r="AM106" s="83" t="n"/>
      <c r="AN106" s="75" t="n">
        <v>5.2</v>
      </c>
      <c r="AO106" s="82" t="n">
        <v>10.08</v>
      </c>
      <c r="AP106" s="82" t="n">
        <v>0.2</v>
      </c>
      <c r="AQ106" s="82" t="n">
        <v>-8.67</v>
      </c>
      <c r="AR106" s="82" t="n">
        <v>8.119999999999999</v>
      </c>
      <c r="AS106" s="82" t="n">
        <v>-1.58</v>
      </c>
      <c r="AT106" s="82" t="n">
        <v>-10.29</v>
      </c>
      <c r="AU106" s="82" t="n">
        <v>15.66</v>
      </c>
      <c r="AV106" s="82" t="n">
        <v>16.05</v>
      </c>
      <c r="AW106" s="82" t="n">
        <v>-10.35</v>
      </c>
      <c r="AX106" s="82" t="n">
        <v>11.73</v>
      </c>
      <c r="AY106" s="82" t="n">
        <v>-15.85</v>
      </c>
      <c r="AZ106" s="82" t="n">
        <v>-13.31</v>
      </c>
      <c r="BA106" s="71" t="inlineStr">
        <is>
          <t>China Biotech ETF (HS biotech proxy)</t>
        </is>
      </c>
      <c r="BB106" s="82" t="n">
        <v>-80.31999999999999</v>
      </c>
      <c r="BC106" s="72" t="inlineStr">
        <is>
          <t>2026-09-18</t>
        </is>
      </c>
      <c r="BD106" s="73" t="n">
        <v>0</v>
      </c>
      <c r="BE106" s="76" t="n">
        <v>-723.4</v>
      </c>
      <c r="BF106" s="71" t="inlineStr">
        <is>
          <t>N</t>
        </is>
      </c>
      <c r="BG106" s="71" t="inlineStr">
        <is>
          <t>n/m</t>
        </is>
      </c>
      <c r="BH106" s="83" t="n"/>
      <c r="BI106" s="83" t="n"/>
      <c r="BJ106" s="71" t="inlineStr">
        <is>
          <t>pre-rev</t>
        </is>
      </c>
      <c r="BK106" s="84">
        <f>IF('BBG Verify'!S106="","not filed; run on terminal",'BBG Verify'!S106)</f>
        <v/>
      </c>
      <c r="BL106" s="85" t="inlineStr">
        <is>
          <t>N</t>
        </is>
      </c>
      <c r="BM106" s="86">
        <f>IF('BBG Verify'!K106="","not filed; run on terminal",'BBG Verify'!K106)</f>
        <v/>
      </c>
      <c r="BN106" s="71" t="inlineStr">
        <is>
          <t>N/A</t>
        </is>
      </c>
      <c r="BO106" s="71" t="inlineStr">
        <is>
          <t>N/A</t>
        </is>
      </c>
      <c r="BP106" s="71" t="inlineStr">
        <is>
          <t>N/A</t>
        </is>
      </c>
      <c r="BQ106" s="71" t="inlineStr">
        <is>
          <t>N/A</t>
        </is>
      </c>
      <c r="BR106" s="71" t="inlineStr">
        <is>
          <t>N/A</t>
        </is>
      </c>
      <c r="BS106" s="71" t="inlineStr">
        <is>
          <t>N/A</t>
        </is>
      </c>
      <c r="BT106" s="85" t="inlineStr">
        <is>
          <t>Morgan Stanley Asia Limited; CMB International Capital Limited; CLSA Capital Markets Limited; Morgan Stanley &amp; Co. International plc; London E14 4QA United Kingdom CMB International Capital Limited; CLSA Limited</t>
        </is>
      </c>
      <c r="BU106" s="71" t="inlineStr">
        <is>
          <t>Morgan Stanley Asia Limited; CLSA Capital Markets Limited; CMB International Capital Corporation Limited</t>
        </is>
      </c>
      <c r="BV106" s="71"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W106" s="71"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X106" s="87">
        <f>HYPERLINK("https://www1.hkexnews.hk/listedco/listconews/sehk/2022/0321/2022032100025.pdf","prospectus")</f>
        <v/>
      </c>
      <c r="BY106" s="87">
        <f>HYPERLINK("https://www1.hkexnews.hk/listedco/listconews/sehk/2022/0330/2022033000086.htm","allotment")</f>
        <v/>
      </c>
      <c r="BZ106" s="87">
        <f>HYPERLINK("https://www1.hkexnews.hk/listedco/listconews/sehk/2022/0424/2022042400203.pdf","stabilisation")</f>
        <v/>
      </c>
      <c r="CA106" s="85" t="n"/>
      <c r="CB106" s="71"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eff float shares: share count unavailable; the HK$m figure is exact; allocation: allocation table not in this notice's format (older prose announcement); day-1 tape: volume on file; the retail multiple needs the final public split, which this notice does not state</t>
        </is>
      </c>
    </row>
    <row r="107" ht="15" customHeight="1">
      <c r="A107" s="70" t="inlineStr">
        <is>
          <t>2370</t>
        </is>
      </c>
      <c r="B107" s="71" t="inlineStr">
        <is>
          <t>REDCO HEALTHY</t>
        </is>
      </c>
      <c r="C107" s="71" t="inlineStr">
        <is>
          <t>力高健康生活</t>
        </is>
      </c>
      <c r="D107" s="71" t="inlineStr">
        <is>
          <t>Real Estate</t>
        </is>
      </c>
      <c r="E107" s="71" t="inlineStr">
        <is>
          <t>Property management</t>
        </is>
      </c>
      <c r="F107" s="71" t="inlineStr">
        <is>
          <t>Property Service and Management</t>
        </is>
      </c>
      <c r="G107" s="71" t="inlineStr">
        <is>
          <t>Standard</t>
        </is>
      </c>
      <c r="H107" s="72" t="n">
        <v>44651</v>
      </c>
      <c r="I107" s="73" t="n">
        <v>205</v>
      </c>
      <c r="J107" s="71" t="inlineStr">
        <is>
          <t>gross (price x shares)</t>
        </is>
      </c>
      <c r="K107" s="74" t="n">
        <v>4.1</v>
      </c>
      <c r="L107" s="74" t="n">
        <v>5.1</v>
      </c>
      <c r="M107" s="74" t="n">
        <v>4.1</v>
      </c>
      <c r="N107" s="71" t="inlineStr">
        <is>
          <t>N</t>
        </is>
      </c>
      <c r="O107" s="75" t="n">
        <v>80.40000000000001</v>
      </c>
      <c r="P107" s="75" t="n">
        <v>0</v>
      </c>
      <c r="Q107" s="76" t="n">
        <v>980.8</v>
      </c>
      <c r="R107" s="71" t="inlineStr">
        <is>
          <t>aastocks:上市市值 at the struck price</t>
        </is>
      </c>
      <c r="S107" s="77" t="n">
        <v>1.99</v>
      </c>
      <c r="T107" s="78" t="n">
        <v>1.14</v>
      </c>
      <c r="U107" s="79" t="n">
        <v>0</v>
      </c>
      <c r="V107" s="80" t="n">
        <v>210</v>
      </c>
      <c r="W107" s="75" t="n"/>
      <c r="X107" s="71" t="n"/>
      <c r="Y107" s="76" t="n">
        <v>205</v>
      </c>
      <c r="Z107" s="76" t="n">
        <v>50000000</v>
      </c>
      <c r="AA107" s="75" t="n">
        <v>20.9</v>
      </c>
      <c r="AB107" s="71" t="n"/>
      <c r="AC107" s="71" t="n"/>
      <c r="AD107" s="75" t="n">
        <v>15</v>
      </c>
      <c r="AE107" s="71" t="inlineStr">
        <is>
          <t>lapsed (no over-allocation)</t>
        </is>
      </c>
      <c r="AF107" s="71" t="inlineStr">
        <is>
          <t>2022-04-24</t>
        </is>
      </c>
      <c r="AG107" s="71" t="inlineStr">
        <is>
          <t>ABCI Securities Company Limited</t>
        </is>
      </c>
      <c r="AH107" s="71" t="inlineStr">
        <is>
          <t>ABCI</t>
        </is>
      </c>
      <c r="AI107" s="81" t="n">
        <v>11.46</v>
      </c>
      <c r="AJ107" s="82" t="n">
        <v>26.34</v>
      </c>
      <c r="AK107" s="82" t="n">
        <v>10.98</v>
      </c>
      <c r="AL107" s="82" t="n">
        <v>13.84</v>
      </c>
      <c r="AM107" s="83" t="n"/>
      <c r="AN107" s="75" t="n">
        <v>44.84</v>
      </c>
      <c r="AO107" s="82" t="n">
        <v>101.22</v>
      </c>
      <c r="AP107" s="82" t="n">
        <v>103.66</v>
      </c>
      <c r="AQ107" s="82" t="n">
        <v>168.29</v>
      </c>
      <c r="AR107" s="82" t="n">
        <v>59.27</v>
      </c>
      <c r="AS107" s="82" t="n">
        <v>61.2</v>
      </c>
      <c r="AT107" s="82" t="n">
        <v>112.36</v>
      </c>
      <c r="AU107" s="82" t="n">
        <v>97.17</v>
      </c>
      <c r="AV107" s="82" t="n">
        <v>106.03</v>
      </c>
      <c r="AW107" s="82" t="n">
        <v>174.01</v>
      </c>
      <c r="AX107" s="82" t="n">
        <v>62.19</v>
      </c>
      <c r="AY107" s="82" t="n">
        <v>-2.37</v>
      </c>
      <c r="AZ107" s="82" t="n">
        <v>-0.99</v>
      </c>
      <c r="BA107" s="71" t="inlineStr">
        <is>
          <t>Hang Seng Properties sub-index</t>
        </is>
      </c>
      <c r="BB107" s="82" t="n">
        <v>-70.23999999999999</v>
      </c>
      <c r="BC107" s="72" t="inlineStr">
        <is>
          <t>2026-09-23</t>
        </is>
      </c>
      <c r="BD107" s="73" t="n">
        <v>243.8</v>
      </c>
      <c r="BE107" s="76" t="n">
        <v>32.8</v>
      </c>
      <c r="BF107" s="71" t="inlineStr">
        <is>
          <t>Y</t>
        </is>
      </c>
      <c r="BG107" s="83" t="n">
        <v>29.9</v>
      </c>
      <c r="BH107" s="83" t="n"/>
      <c r="BI107" s="83" t="n"/>
      <c r="BJ107" s="83" t="n">
        <v>4</v>
      </c>
      <c r="BK107" s="84">
        <f>IF('BBG Verify'!S107="","not filed; run on terminal",'BBG Verify'!S107)</f>
        <v/>
      </c>
      <c r="BL107" s="85" t="inlineStr">
        <is>
          <t>N</t>
        </is>
      </c>
      <c r="BM107" s="86">
        <f>IF('BBG Verify'!K107="","not filed; run on terminal",'BBG Verify'!K107)</f>
        <v/>
      </c>
      <c r="BN107" s="71" t="inlineStr">
        <is>
          <t>N/A</t>
        </is>
      </c>
      <c r="BO107" s="71" t="inlineStr">
        <is>
          <t>N/A</t>
        </is>
      </c>
      <c r="BP107" s="71" t="inlineStr">
        <is>
          <t>N/A</t>
        </is>
      </c>
      <c r="BQ107" s="71" t="inlineStr">
        <is>
          <t>N/A</t>
        </is>
      </c>
      <c r="BR107" s="71" t="inlineStr">
        <is>
          <t>N/A</t>
        </is>
      </c>
      <c r="BS107" s="71" t="inlineStr">
        <is>
          <t>N/A</t>
        </is>
      </c>
      <c r="BT107" s="85" t="inlineStr">
        <is>
          <t>ABCI Capital Limited</t>
        </is>
      </c>
      <c r="BU107" s="71" t="inlineStr">
        <is>
          <t>ABCI Capital Limited</t>
        </is>
      </c>
      <c r="BV107" s="71" t="inlineStr">
        <is>
          <t>ABCI Capital Limited; Valuable Capital Limited; Guotai Junan Securities (Hong Kong) Limited; CCB International Capital Limited; Zhongtai International Securities Limited</t>
        </is>
      </c>
      <c r="BW107" s="71"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X107" s="87">
        <f>HYPERLINK("https://www1.hkexnews.hk/listedco/listconews/sehk/2022/0322/2022032200231.pdf","prospectus")</f>
        <v/>
      </c>
      <c r="BY107" s="87">
        <f>HYPERLINK("https://www1.hkexnews.hk/listedco/listconews/sehk/2022/0330/2022033000152.htm","allotment")</f>
        <v/>
      </c>
      <c r="BZ107" s="87">
        <f>HYPERLINK("https://www1.hkexnews.hk/listedco/listconews/sehk/2022/0425/2022042500019.pdf","stabilisation")</f>
        <v/>
      </c>
      <c r="CA107" s="85" t="n"/>
      <c r="CB107" s="71" t="inlineStr">
        <is>
          <t>cornerstone list: no cornerstone tranche; allocation: allocation table not in this notice's format (older prose announcement); day-1 tape: volume on file; the retail multiple needs the final public split, which this notice does not state</t>
        </is>
      </c>
    </row>
    <row r="108" ht="15" customHeight="1">
      <c r="A108" s="70" t="inlineStr">
        <is>
          <t>2390</t>
        </is>
      </c>
      <c r="B108" s="71" t="inlineStr">
        <is>
          <t>ZHIHU-W</t>
        </is>
      </c>
      <c r="C108" s="71" t="inlineStr">
        <is>
          <t>知乎－Ｗ</t>
        </is>
      </c>
      <c r="D108" s="71" t="inlineStr">
        <is>
          <t>Tech/AI</t>
        </is>
      </c>
      <c r="E108" s="71" t="inlineStr">
        <is>
          <t>Internet platform / e-commerce</t>
        </is>
      </c>
      <c r="F108" s="71" t="inlineStr">
        <is>
          <t>e-Commerce &amp; Internet Services</t>
        </is>
      </c>
      <c r="G108" s="71" t="inlineStr">
        <is>
          <t>WVR</t>
        </is>
      </c>
      <c r="H108" s="72" t="n">
        <v>44673</v>
      </c>
      <c r="I108" s="73" t="n">
        <v>833.6</v>
      </c>
      <c r="J108" s="71" t="inlineStr">
        <is>
          <t>gross (price x shares)</t>
        </is>
      </c>
      <c r="K108" s="74" t="n"/>
      <c r="L108" s="74" t="n">
        <v>32.06</v>
      </c>
      <c r="M108" s="74" t="n">
        <v>32.06</v>
      </c>
      <c r="N108" s="71" t="inlineStr">
        <is>
          <t>Y</t>
        </is>
      </c>
      <c r="O108" s="75" t="n">
        <v>100</v>
      </c>
      <c r="P108" s="75" t="n"/>
      <c r="Q108" s="76" t="n">
        <v>16410</v>
      </c>
      <c r="R108" s="71" t="inlineStr">
        <is>
          <t>prospectus:stated market capitalisation</t>
        </is>
      </c>
      <c r="S108" s="77" t="n">
        <v>1</v>
      </c>
      <c r="T108" s="78" t="n">
        <v>4.37</v>
      </c>
      <c r="U108" s="79" t="n"/>
      <c r="V108" s="80" t="n">
        <v>114</v>
      </c>
      <c r="W108" s="75" t="n"/>
      <c r="X108" s="71" t="n"/>
      <c r="Y108" s="76" t="n">
        <v>833.6</v>
      </c>
      <c r="Z108" s="76" t="n">
        <v>26000000</v>
      </c>
      <c r="AA108" s="75" t="n">
        <v>5.08</v>
      </c>
      <c r="AB108" s="71" t="n"/>
      <c r="AC108" s="71" t="n"/>
      <c r="AD108" s="75" t="n">
        <v>8.199999999999999</v>
      </c>
      <c r="AE108" s="71" t="inlineStr">
        <is>
          <t>lapsed</t>
        </is>
      </c>
      <c r="AF108" s="71" t="inlineStr">
        <is>
          <t>2022-05-14</t>
        </is>
      </c>
      <c r="AG108" s="71" t="inlineStr">
        <is>
          <t>Credit Suisse</t>
        </is>
      </c>
      <c r="AH108" s="71" t="inlineStr">
        <is>
          <t>Credit Suisse</t>
        </is>
      </c>
      <c r="AI108" s="81" t="n">
        <v>-22.65</v>
      </c>
      <c r="AJ108" s="82" t="n">
        <v>-23.58</v>
      </c>
      <c r="AK108" s="82" t="n">
        <v>-22.18</v>
      </c>
      <c r="AL108" s="82" t="n">
        <v>-1.8</v>
      </c>
      <c r="AM108" s="83" t="n"/>
      <c r="AN108" s="75" t="n">
        <v>10.62</v>
      </c>
      <c r="AO108" s="82" t="n">
        <v>-15.78</v>
      </c>
      <c r="AP108" s="82" t="n">
        <v>-36.21</v>
      </c>
      <c r="AQ108" s="82" t="n">
        <v>-32.94</v>
      </c>
      <c r="AR108" s="82" t="n">
        <v>10.21</v>
      </c>
      <c r="AS108" s="82" t="n">
        <v>-16.53</v>
      </c>
      <c r="AT108" s="82" t="n">
        <v>-12.25</v>
      </c>
      <c r="AU108" s="82" t="n">
        <v>-27.89</v>
      </c>
      <c r="AV108" s="82" t="n">
        <v>-37.89</v>
      </c>
      <c r="AW108" s="82" t="n">
        <v>-48.56</v>
      </c>
      <c r="AX108" s="82" t="n">
        <v>-17.9</v>
      </c>
      <c r="AY108" s="82" t="n">
        <v>1.68</v>
      </c>
      <c r="AZ108" s="82" t="n">
        <v>1.37</v>
      </c>
      <c r="BA108" s="71" t="inlineStr">
        <is>
          <t>HSTECH (Hang Seng TECH ETF)</t>
        </is>
      </c>
      <c r="BB108" s="82" t="n">
        <v>-71.95999999999999</v>
      </c>
      <c r="BC108" s="72" t="inlineStr">
        <is>
          <t>2026-09-23</t>
        </is>
      </c>
      <c r="BD108" s="73" t="n"/>
      <c r="BE108" s="76" t="n"/>
      <c r="BF108" s="71" t="n"/>
      <c r="BG108" s="84">
        <f>IF('BBG Verify'!O108="","not filed; run on terminal",'BBG Verify'!O108)</f>
        <v/>
      </c>
      <c r="BH108" s="83" t="n"/>
      <c r="BI108" s="83" t="n"/>
      <c r="BJ108" s="83" t="n"/>
      <c r="BK108" s="84">
        <f>IF('BBG Verify'!S108="","not filed; run on terminal",'BBG Verify'!S108)</f>
        <v/>
      </c>
      <c r="BL108" s="85" t="inlineStr">
        <is>
          <t>N</t>
        </is>
      </c>
      <c r="BM108" s="86">
        <f>IF('BBG Verify'!K108="","not filed; run on terminal",'BBG Verify'!K108)</f>
        <v/>
      </c>
      <c r="BN108" s="71" t="inlineStr">
        <is>
          <t>N/A</t>
        </is>
      </c>
      <c r="BO108" s="71" t="inlineStr">
        <is>
          <t>N/A</t>
        </is>
      </c>
      <c r="BP108" s="71" t="inlineStr">
        <is>
          <t>N/A</t>
        </is>
      </c>
      <c r="BQ108" s="71" t="inlineStr">
        <is>
          <t>N/A</t>
        </is>
      </c>
      <c r="BR108" s="71" t="inlineStr">
        <is>
          <t>N/A</t>
        </is>
      </c>
      <c r="BS108" s="71" t="inlineStr">
        <is>
          <t>N/A</t>
        </is>
      </c>
      <c r="BT108" s="85" t="n"/>
      <c r="BU108" s="71" t="inlineStr">
        <is>
          <t>China International Capital Corporation Hong Kong Securities Limited; J.P. Morgan Securities (Far East) Limited; CMB International Capital Limited; Credit Suisse (Hong Kong) Limited</t>
        </is>
      </c>
      <c r="BV108" s="71"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W108" s="71"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X108" s="87">
        <f>HYPERLINK("https://www1.hkexnews.hk/listedco/listconews/sehk/2022/0411/2022041100022.htm","prospectus")</f>
        <v/>
      </c>
      <c r="BY108" s="87">
        <f>HYPERLINK("https://www1.hkexnews.hk/listedco/listconews/sehk/2022/0421/2022042100020.htm","allotment")</f>
        <v/>
      </c>
      <c r="BZ108" s="87">
        <f>HYPERLINK("https://www1.hkexnews.hk/listedco/listconews/sehk/2022/0515/2022051500043.pdf","stabilisation")</f>
        <v/>
      </c>
      <c r="CA108" s="85" t="n"/>
      <c r="CB108" s="71"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09" ht="15" customHeight="1">
      <c r="A109" s="70" t="inlineStr">
        <is>
          <t>2352</t>
        </is>
      </c>
      <c r="B109" s="71" t="inlineStr">
        <is>
          <t>DOWELL SERVICE</t>
        </is>
      </c>
      <c r="C109" s="71" t="inlineStr">
        <is>
          <t>東原仁知服務</t>
        </is>
      </c>
      <c r="D109" s="71" t="inlineStr">
        <is>
          <t>Real Estate</t>
        </is>
      </c>
      <c r="E109" s="71" t="inlineStr">
        <is>
          <t>Property management</t>
        </is>
      </c>
      <c r="F109" s="71" t="inlineStr">
        <is>
          <t>Property Service and Management</t>
        </is>
      </c>
      <c r="G109" s="71" t="inlineStr">
        <is>
          <t>Standard</t>
        </is>
      </c>
      <c r="H109" s="72" t="n">
        <v>44680</v>
      </c>
      <c r="I109" s="73" t="n">
        <v>198.3</v>
      </c>
      <c r="J109" s="71" t="inlineStr">
        <is>
          <t>gross (price x shares)</t>
        </is>
      </c>
      <c r="K109" s="74" t="n">
        <v>11.9</v>
      </c>
      <c r="L109" s="74" t="n">
        <v>15.4</v>
      </c>
      <c r="M109" s="74" t="n">
        <v>11.9</v>
      </c>
      <c r="N109" s="71" t="inlineStr">
        <is>
          <t>N</t>
        </is>
      </c>
      <c r="O109" s="75" t="n">
        <v>77.3</v>
      </c>
      <c r="P109" s="75" t="n">
        <v>0</v>
      </c>
      <c r="Q109" s="76" t="n">
        <v>793.2</v>
      </c>
      <c r="R109" s="71" t="inlineStr">
        <is>
          <t>derived:deal size / offer % of enlarged capital</t>
        </is>
      </c>
      <c r="S109" s="77" t="n">
        <v>4.35</v>
      </c>
      <c r="T109" s="78" t="n">
        <v>1.56</v>
      </c>
      <c r="U109" s="79" t="n">
        <v>0</v>
      </c>
      <c r="V109" s="80" t="n">
        <v>109</v>
      </c>
      <c r="W109" s="75" t="n"/>
      <c r="X109" s="71" t="n"/>
      <c r="Y109" s="76" t="n">
        <v>198.3</v>
      </c>
      <c r="Z109" s="76" t="n">
        <v>16666667</v>
      </c>
      <c r="AA109" s="75" t="n">
        <v>25</v>
      </c>
      <c r="AB109" s="71" t="n"/>
      <c r="AC109" s="71" t="n"/>
      <c r="AD109" s="75" t="n">
        <v>7.48</v>
      </c>
      <c r="AE109" s="71" t="inlineStr">
        <is>
          <t>partial</t>
        </is>
      </c>
      <c r="AF109" s="71" t="inlineStr">
        <is>
          <t>2022-05-22</t>
        </is>
      </c>
      <c r="AG109" s="71" t="inlineStr">
        <is>
          <t>Guotai Junan Securities</t>
        </is>
      </c>
      <c r="AH109" s="71" t="inlineStr">
        <is>
          <t>Guotai Junan</t>
        </is>
      </c>
      <c r="AI109" s="81" t="n">
        <v>3.03</v>
      </c>
      <c r="AJ109" s="82" t="n">
        <v>0</v>
      </c>
      <c r="AK109" s="82" t="n">
        <v>0</v>
      </c>
      <c r="AL109" s="82" t="n">
        <v>0</v>
      </c>
      <c r="AM109" s="83" t="n"/>
      <c r="AN109" s="75" t="n">
        <v>6.55</v>
      </c>
      <c r="AO109" s="82" t="n">
        <v>-4.2</v>
      </c>
      <c r="AP109" s="82" t="n">
        <v>-0</v>
      </c>
      <c r="AQ109" s="82" t="n">
        <v>-18.49</v>
      </c>
      <c r="AR109" s="82" t="n">
        <v>-4.2</v>
      </c>
      <c r="AS109" s="82" t="n">
        <v>0</v>
      </c>
      <c r="AT109" s="82" t="n">
        <v>-18.49</v>
      </c>
      <c r="AU109" s="82" t="n">
        <v>0.41</v>
      </c>
      <c r="AV109" s="82" t="n">
        <v>-0.61</v>
      </c>
      <c r="AW109" s="82" t="n">
        <v>-4.38</v>
      </c>
      <c r="AX109" s="82" t="n">
        <v>-0.17</v>
      </c>
      <c r="AY109" s="82" t="n">
        <v>0.61</v>
      </c>
      <c r="AZ109" s="82" t="n">
        <v>0.17</v>
      </c>
      <c r="BA109" s="71" t="inlineStr">
        <is>
          <t>Hang Seng Properties sub-index</t>
        </is>
      </c>
      <c r="BB109" s="82" t="n">
        <v>-66.39</v>
      </c>
      <c r="BC109" s="72" t="inlineStr">
        <is>
          <t>2026-09-22</t>
        </is>
      </c>
      <c r="BD109" s="73" t="n">
        <v>1312.8</v>
      </c>
      <c r="BE109" s="76" t="n">
        <v>143.4</v>
      </c>
      <c r="BF109" s="71" t="inlineStr">
        <is>
          <t>Y</t>
        </is>
      </c>
      <c r="BG109" s="83" t="n">
        <v>5.5</v>
      </c>
      <c r="BH109" s="83" t="n"/>
      <c r="BI109" s="83" t="n">
        <v>7.1</v>
      </c>
      <c r="BJ109" s="83" t="n">
        <v>0.6</v>
      </c>
      <c r="BK109" s="84">
        <f>IF('BBG Verify'!S109="","not filed; run on terminal",'BBG Verify'!S109)</f>
        <v/>
      </c>
      <c r="BL109" s="85" t="inlineStr">
        <is>
          <t>N</t>
        </is>
      </c>
      <c r="BM109" s="86">
        <f>IF('BBG Verify'!K109="","not filed; run on terminal",'BBG Verify'!K109)</f>
        <v/>
      </c>
      <c r="BN109" s="71" t="inlineStr">
        <is>
          <t>N/A</t>
        </is>
      </c>
      <c r="BO109" s="71" t="inlineStr">
        <is>
          <t>N/A</t>
        </is>
      </c>
      <c r="BP109" s="71" t="inlineStr">
        <is>
          <t>N/A</t>
        </is>
      </c>
      <c r="BQ109" s="71" t="inlineStr">
        <is>
          <t>N/A</t>
        </is>
      </c>
      <c r="BR109" s="71" t="inlineStr">
        <is>
          <t>N/A</t>
        </is>
      </c>
      <c r="BS109" s="71" t="inlineStr">
        <is>
          <t>N/A</t>
        </is>
      </c>
      <c r="BT109" s="85" t="inlineStr">
        <is>
          <t>Guotai Junan Capital Limited</t>
        </is>
      </c>
      <c r="BU109" s="71" t="inlineStr">
        <is>
          <t>Guotai Junan Capital Limited</t>
        </is>
      </c>
      <c r="BV109" s="71"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W109" s="71"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X109" s="87">
        <f>HYPERLINK("https://www1.hkexnews.hk/listedco/listconews/sehk/2022/0419/2022041900041.pdf","prospectus")</f>
        <v/>
      </c>
      <c r="BY109" s="87">
        <f>HYPERLINK("https://www1.hkexnews.hk/listedco/listconews/sehk/2022/0428/2022042800071.htm","allotment")</f>
        <v/>
      </c>
      <c r="BZ109" s="87">
        <f>HYPERLINK("https://www1.hkexnews.hk/listedco/listconews/sehk/2022/0523/2022052300039.pdf","stabilisation")</f>
        <v/>
      </c>
      <c r="CA109" s="85" t="n"/>
      <c r="CB109" s="71" t="inlineStr">
        <is>
          <t>cornerstone list: no cornerstone tranche; allocation: allocation table not in this notice's format (older prose announcement); day-1 tape: volume on file; the retail multiple needs the final public split, which this notice does not state</t>
        </is>
      </c>
    </row>
    <row r="110" ht="15" customHeight="1">
      <c r="A110" s="70" t="inlineStr">
        <is>
          <t>2325</t>
        </is>
      </c>
      <c r="B110" s="71" t="inlineStr">
        <is>
          <t>YUNKANG GROUP</t>
        </is>
      </c>
      <c r="C110" s="71" t="inlineStr">
        <is>
          <t>雲康集團</t>
        </is>
      </c>
      <c r="D110" s="71" t="inlineStr">
        <is>
          <t>Healthcare</t>
        </is>
      </c>
      <c r="E110" s="71" t="inlineStr">
        <is>
          <t>CXO / pharma services</t>
        </is>
      </c>
      <c r="F110" s="71" t="inlineStr">
        <is>
          <t>Health Care Services</t>
        </is>
      </c>
      <c r="G110" s="71" t="inlineStr">
        <is>
          <t>Standard</t>
        </is>
      </c>
      <c r="H110" s="72" t="n">
        <v>44699</v>
      </c>
      <c r="I110" s="73" t="n">
        <v>1090.3</v>
      </c>
      <c r="J110" s="71" t="inlineStr">
        <is>
          <t>gross (price x shares)</t>
        </is>
      </c>
      <c r="K110" s="74" t="n"/>
      <c r="L110" s="74" t="n">
        <v>7.89</v>
      </c>
      <c r="M110" s="74" t="n">
        <v>7.89</v>
      </c>
      <c r="N110" s="71" t="inlineStr">
        <is>
          <t>Y</t>
        </is>
      </c>
      <c r="O110" s="75" t="n">
        <v>100</v>
      </c>
      <c r="P110" s="75" t="n"/>
      <c r="Q110" s="76" t="n">
        <v>4343.8</v>
      </c>
      <c r="R110" s="71" t="inlineStr">
        <is>
          <t>derived:deal size / offer % of enlarged capital</t>
        </is>
      </c>
      <c r="S110" s="77" t="n">
        <v>1.35</v>
      </c>
      <c r="T110" s="78" t="n">
        <v>1.39</v>
      </c>
      <c r="U110" s="79" t="n">
        <v>30.2</v>
      </c>
      <c r="V110" s="80" t="n">
        <v>136</v>
      </c>
      <c r="W110" s="75" t="n"/>
      <c r="X110" s="71" t="n"/>
      <c r="Y110" s="76" t="n">
        <v>761.03</v>
      </c>
      <c r="Z110" s="76" t="n">
        <v>96455224</v>
      </c>
      <c r="AA110" s="75" t="n">
        <v>17.52</v>
      </c>
      <c r="AB110" s="71" t="inlineStr">
        <is>
          <t>Harvest International Premium Value (Secondary Market) Fund SPC; YHLO (Hong Kong) Limited</t>
        </is>
      </c>
      <c r="AC110" s="71" t="inlineStr">
        <is>
          <t>harvest;yhlo</t>
        </is>
      </c>
      <c r="AD110" s="75" t="n">
        <v>6.17</v>
      </c>
      <c r="AE110" s="71" t="inlineStr">
        <is>
          <t>partial</t>
        </is>
      </c>
      <c r="AF110" s="71" t="n"/>
      <c r="AG110" s="71" t="inlineStr">
        <is>
          <t>CMB International Securities Limited</t>
        </is>
      </c>
      <c r="AH110" s="71" t="inlineStr">
        <is>
          <t>CMB</t>
        </is>
      </c>
      <c r="AI110" s="81" t="n">
        <v>-3.8</v>
      </c>
      <c r="AJ110" s="82" t="n">
        <v>7.73</v>
      </c>
      <c r="AK110" s="82" t="n">
        <v>0</v>
      </c>
      <c r="AL110" s="82" t="n">
        <v>7.73</v>
      </c>
      <c r="AM110" s="83" t="n"/>
      <c r="AN110" s="75" t="n">
        <v>24.08</v>
      </c>
      <c r="AO110" s="82" t="n">
        <v>15.34</v>
      </c>
      <c r="AP110" s="82" t="n">
        <v>94.42</v>
      </c>
      <c r="AQ110" s="82" t="n">
        <v>129.4</v>
      </c>
      <c r="AR110" s="82" t="n">
        <v>7.06</v>
      </c>
      <c r="AS110" s="82" t="n">
        <v>80.47</v>
      </c>
      <c r="AT110" s="82" t="n">
        <v>112.94</v>
      </c>
      <c r="AU110" s="82" t="n">
        <v>17.68</v>
      </c>
      <c r="AV110" s="82" t="n">
        <v>88.43000000000001</v>
      </c>
      <c r="AW110" s="82" t="n">
        <v>119.58</v>
      </c>
      <c r="AX110" s="82" t="n">
        <v>73.54000000000001</v>
      </c>
      <c r="AY110" s="82" t="n">
        <v>5.99</v>
      </c>
      <c r="AZ110" s="82" t="n">
        <v>6.93</v>
      </c>
      <c r="BA110" s="71" t="inlineStr">
        <is>
          <t>China Biotech ETF (HS biotech proxy)</t>
        </is>
      </c>
      <c r="BB110" s="82" t="n">
        <v>-94.04000000000001</v>
      </c>
      <c r="BC110" s="72" t="inlineStr">
        <is>
          <t>2026-09-23</t>
        </is>
      </c>
      <c r="BD110" s="73" t="n">
        <v>1320.4</v>
      </c>
      <c r="BE110" s="76" t="n">
        <v>286.2</v>
      </c>
      <c r="BF110" s="71" t="inlineStr">
        <is>
          <t>Y</t>
        </is>
      </c>
      <c r="BG110" s="83" t="n">
        <v>15.2</v>
      </c>
      <c r="BH110" s="83" t="n"/>
      <c r="BI110" s="83" t="n">
        <v>58.6</v>
      </c>
      <c r="BJ110" s="83" t="n">
        <v>3.3</v>
      </c>
      <c r="BK110" s="84">
        <f>IF('BBG Verify'!S110="","not filed; run on terminal",'BBG Verify'!S110)</f>
        <v/>
      </c>
      <c r="BL110" s="85" t="inlineStr">
        <is>
          <t>N</t>
        </is>
      </c>
      <c r="BM110" s="86">
        <f>IF('BBG Verify'!K110="","not filed; run on terminal",'BBG Verify'!K110)</f>
        <v/>
      </c>
      <c r="BN110" s="71" t="inlineStr">
        <is>
          <t>N/A</t>
        </is>
      </c>
      <c r="BO110" s="71" t="inlineStr">
        <is>
          <t>N/A</t>
        </is>
      </c>
      <c r="BP110" s="71" t="inlineStr">
        <is>
          <t>N/A</t>
        </is>
      </c>
      <c r="BQ110" s="71" t="inlineStr">
        <is>
          <t>N/A</t>
        </is>
      </c>
      <c r="BR110" s="71" t="inlineStr">
        <is>
          <t>N/A</t>
        </is>
      </c>
      <c r="BS110" s="71" t="inlineStr">
        <is>
          <t>N/A</t>
        </is>
      </c>
      <c r="BT110" s="85" t="inlineStr">
        <is>
          <t>CMB International Capital Limited; SPDB International Capital Limited</t>
        </is>
      </c>
      <c r="BU110" s="71" t="inlineStr">
        <is>
          <t>CMB International Capital Limited; SPDB International Capital Limited</t>
        </is>
      </c>
      <c r="BV110" s="71" t="inlineStr">
        <is>
          <t>CMB International Capital Limited; SPDB International Capital Limited; China Merchants Securities (HK) Co., Limited; CCB International Capital Limited; CRIC Securities Company Limited; Futu Securities International (Hong Kong) Limited</t>
        </is>
      </c>
      <c r="BW110" s="71"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X110" s="87">
        <f>HYPERLINK("https://www1.hkexnews.hk/listedco/listconews/sehk/2022/0505/2022050500011.pdf","prospectus")</f>
        <v/>
      </c>
      <c r="BY110" s="87">
        <f>HYPERLINK("https://www1.hkexnews.hk/listedco/listconews/sehk/2022/0517/2022051700032.htm","allotment")</f>
        <v/>
      </c>
      <c r="BZ110" s="87">
        <f>HYPERLINK("https://www1.hkexnews.hk/listedco/listconews/sehk/2022/0610/2022061001076.pdf","stabilisation")</f>
        <v/>
      </c>
      <c r="CA110" s="85" t="n"/>
      <c r="CB110" s="71" t="inlineStr">
        <is>
          <t>greenshoe: outcome published; expiry date not in the notice; range low: maximum offer price only, no floor published; allocation: allocation table not in this notice's format (older prose announcement); day-1 tape: volume on file; the retail multiple needs the final public split, which this notice does not state</t>
        </is>
      </c>
    </row>
    <row r="111" ht="15" customHeight="1">
      <c r="A111" s="70" t="inlineStr">
        <is>
          <t>2347</t>
        </is>
      </c>
      <c r="B111" s="71" t="inlineStr">
        <is>
          <t>YOHO GROUP</t>
        </is>
      </c>
      <c r="C111" s="71" t="inlineStr">
        <is>
          <t>友和集團</t>
        </is>
      </c>
      <c r="D111" s="71" t="inlineStr">
        <is>
          <t>Consumer</t>
        </is>
      </c>
      <c r="E111" s="71" t="inlineStr">
        <is>
          <t>Retail / distribution</t>
        </is>
      </c>
      <c r="F111" s="71" t="inlineStr">
        <is>
          <t>Household Appliances Retail</t>
        </is>
      </c>
      <c r="G111" s="71" t="inlineStr">
        <is>
          <t>Standard</t>
        </is>
      </c>
      <c r="H111" s="72" t="n">
        <v>44722</v>
      </c>
      <c r="I111" s="73" t="n">
        <v>115.5</v>
      </c>
      <c r="J111" s="71" t="inlineStr">
        <is>
          <t>gross (price x shares)</t>
        </is>
      </c>
      <c r="K111" s="74" t="n">
        <v>2.1</v>
      </c>
      <c r="L111" s="74" t="n">
        <v>2.6</v>
      </c>
      <c r="M111" s="74" t="n">
        <v>2.1</v>
      </c>
      <c r="N111" s="71" t="inlineStr">
        <is>
          <t>N</t>
        </is>
      </c>
      <c r="O111" s="75" t="n">
        <v>80.8</v>
      </c>
      <c r="P111" s="75" t="n">
        <v>0</v>
      </c>
      <c r="Q111" s="76" t="n">
        <v>1251.9</v>
      </c>
      <c r="R111" s="71" t="inlineStr">
        <is>
          <t>aastocks:上市市值 at the struck price</t>
        </is>
      </c>
      <c r="S111" s="77" t="n">
        <v>8.369999999999999</v>
      </c>
      <c r="T111" s="78" t="n">
        <v>1.23</v>
      </c>
      <c r="U111" s="79" t="n">
        <v>0</v>
      </c>
      <c r="V111" s="80" t="n">
        <v>159</v>
      </c>
      <c r="W111" s="75" t="n"/>
      <c r="X111" s="71" t="n"/>
      <c r="Y111" s="76" t="n">
        <v>115.5</v>
      </c>
      <c r="Z111" s="76" t="n">
        <v>55000000</v>
      </c>
      <c r="AA111" s="75" t="n">
        <v>9.23</v>
      </c>
      <c r="AB111" s="71" t="n"/>
      <c r="AC111" s="71" t="n"/>
      <c r="AD111" s="75" t="n">
        <v>15</v>
      </c>
      <c r="AE111" s="71" t="inlineStr">
        <is>
          <t>lapsed</t>
        </is>
      </c>
      <c r="AF111" s="71" t="n"/>
      <c r="AG111" s="71" t="inlineStr">
        <is>
          <t>CMBC Securities Company Limited</t>
        </is>
      </c>
      <c r="AH111" s="71" t="inlineStr">
        <is>
          <t>CMBC</t>
        </is>
      </c>
      <c r="AI111" s="81" t="n">
        <v>2.38</v>
      </c>
      <c r="AJ111" s="82" t="n">
        <v>0</v>
      </c>
      <c r="AK111" s="82" t="n">
        <v>8.57</v>
      </c>
      <c r="AL111" s="82" t="n">
        <v>-7.89</v>
      </c>
      <c r="AM111" s="83" t="n"/>
      <c r="AN111" s="75" t="n">
        <v>19.74</v>
      </c>
      <c r="AO111" s="82" t="n">
        <v>-6.19</v>
      </c>
      <c r="AP111" s="82" t="n">
        <v>-28.1</v>
      </c>
      <c r="AQ111" s="82" t="n">
        <v>-35.24</v>
      </c>
      <c r="AR111" s="82" t="n">
        <v>-6.19</v>
      </c>
      <c r="AS111" s="82" t="n">
        <v>-28.1</v>
      </c>
      <c r="AT111" s="82" t="n">
        <v>-35.24</v>
      </c>
      <c r="AU111" s="82" t="n">
        <v>-1.68</v>
      </c>
      <c r="AV111" s="82" t="n">
        <v>-21.83</v>
      </c>
      <c r="AW111" s="82" t="n">
        <v>-20.29</v>
      </c>
      <c r="AX111" s="82" t="n">
        <v>-21.45</v>
      </c>
      <c r="AY111" s="82" t="n">
        <v>-6.27</v>
      </c>
      <c r="AZ111" s="82" t="n">
        <v>-6.65</v>
      </c>
      <c r="BA111" s="71" t="inlineStr">
        <is>
          <t>Hang Seng Commerce &amp; Industry sub-index</t>
        </is>
      </c>
      <c r="BB111" s="82" t="n">
        <v>-61.67</v>
      </c>
      <c r="BC111" s="72" t="inlineStr">
        <is>
          <t>2026-09-23</t>
        </is>
      </c>
      <c r="BD111" s="73" t="n">
        <v>523</v>
      </c>
      <c r="BE111" s="76" t="n">
        <v>33.7</v>
      </c>
      <c r="BF111" s="71" t="inlineStr">
        <is>
          <t>Y</t>
        </is>
      </c>
      <c r="BG111" s="83" t="n">
        <v>37.1</v>
      </c>
      <c r="BH111" s="83" t="n"/>
      <c r="BI111" s="83" t="n">
        <v>20.8</v>
      </c>
      <c r="BJ111" s="83" t="n">
        <v>2.4</v>
      </c>
      <c r="BK111" s="84">
        <f>IF('BBG Verify'!S111="","not filed; run on terminal",'BBG Verify'!S111)</f>
        <v/>
      </c>
      <c r="BL111" s="85" t="inlineStr">
        <is>
          <t>N</t>
        </is>
      </c>
      <c r="BM111" s="86">
        <f>IF('BBG Verify'!K111="","not filed; run on terminal",'BBG Verify'!K111)</f>
        <v/>
      </c>
      <c r="BN111" s="71" t="inlineStr">
        <is>
          <t>N/A</t>
        </is>
      </c>
      <c r="BO111" s="71" t="inlineStr">
        <is>
          <t>N/A</t>
        </is>
      </c>
      <c r="BP111" s="71" t="inlineStr">
        <is>
          <t>N/A</t>
        </is>
      </c>
      <c r="BQ111" s="71" t="inlineStr">
        <is>
          <t>N/A</t>
        </is>
      </c>
      <c r="BR111" s="71" t="inlineStr">
        <is>
          <t>N/A</t>
        </is>
      </c>
      <c r="BS111" s="71" t="inlineStr">
        <is>
          <t>N/A</t>
        </is>
      </c>
      <c r="BT111" s="85" t="inlineStr">
        <is>
          <t>CMBC International Capital Limited; Financial Adviser Note Wings Securities Limited</t>
        </is>
      </c>
      <c r="BU111" s="71" t="inlineStr">
        <is>
          <t>CMBC International Capital Limited</t>
        </is>
      </c>
      <c r="BV111" s="71"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W111" s="71"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X111" s="87">
        <f>HYPERLINK("https://www1.hkexnews.hk/listedco/listconews/sehk/2022/0526/2022052600069.pdf","prospectus")</f>
        <v/>
      </c>
      <c r="BY111" s="87">
        <f>HYPERLINK("https://www1.hkexnews.hk/listedco/listconews/sehk/2022/0609/2022060900032.htm","allotment")</f>
        <v/>
      </c>
      <c r="BZ111" s="87">
        <f>HYPERLINK("https://www1.hkexnews.hk/listedco/listconews/sehk/2022/0630/2022063000818.pdf","stabilisation")</f>
        <v/>
      </c>
      <c r="CA111" s="85" t="n"/>
      <c r="CB111" s="71" t="inlineStr">
        <is>
          <t>greenshoe: outcome published; expiry date not in the notice; 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12" ht="15" customHeight="1">
      <c r="A112" s="70" t="inlineStr">
        <is>
          <t>6667</t>
        </is>
      </c>
      <c r="B112" s="71" t="inlineStr">
        <is>
          <t>MEGA GENOMICS</t>
        </is>
      </c>
      <c r="C112" s="71" t="inlineStr">
        <is>
          <t>美因基因</t>
        </is>
      </c>
      <c r="D112" s="71" t="inlineStr">
        <is>
          <t>Healthcare</t>
        </is>
      </c>
      <c r="E112" s="71" t="inlineStr">
        <is>
          <t>CXO / pharma services</t>
        </is>
      </c>
      <c r="F112" s="71" t="inlineStr">
        <is>
          <t>Biotechnology - Supplies &amp; Services</t>
        </is>
      </c>
      <c r="G112" s="71" t="inlineStr">
        <is>
          <t>Standard</t>
        </is>
      </c>
      <c r="H112" s="72" t="n">
        <v>44734</v>
      </c>
      <c r="I112" s="73" t="n">
        <v>215.3</v>
      </c>
      <c r="J112" s="71" t="inlineStr">
        <is>
          <t>gross (price x shares)</t>
        </is>
      </c>
      <c r="K112" s="74" t="n">
        <v>18</v>
      </c>
      <c r="L112" s="74" t="n">
        <v>22</v>
      </c>
      <c r="M112" s="74" t="n">
        <v>18</v>
      </c>
      <c r="N112" s="71" t="inlineStr">
        <is>
          <t>N</t>
        </is>
      </c>
      <c r="O112" s="75" t="n">
        <v>81.8</v>
      </c>
      <c r="P112" s="75" t="n">
        <v>0</v>
      </c>
      <c r="Q112" s="76" t="n">
        <v>4306</v>
      </c>
      <c r="R112" s="71" t="inlineStr">
        <is>
          <t>derived:deal size / offer % of enlarged capital</t>
        </is>
      </c>
      <c r="S112" s="77" t="n">
        <v>9.619999999999999</v>
      </c>
      <c r="T112" s="78" t="n">
        <v>2.05</v>
      </c>
      <c r="U112" s="79" t="n">
        <v>75.90000000000001</v>
      </c>
      <c r="V112" s="80" t="n">
        <v>140</v>
      </c>
      <c r="W112" s="75" t="n"/>
      <c r="X112" s="71" t="n"/>
      <c r="Y112" s="76" t="n">
        <v>51.89</v>
      </c>
      <c r="Z112" s="76" t="n">
        <v>2882794</v>
      </c>
      <c r="AA112" s="75" t="n">
        <v>1.2</v>
      </c>
      <c r="AB112" s="71" t="inlineStr">
        <is>
          <t>Maccura Biotechnology Co., Ltd; Nanchang Financial Holdings Co., Ltd</t>
        </is>
      </c>
      <c r="AC112" s="71" t="inlineStr">
        <is>
          <t>maccura;nanchang</t>
        </is>
      </c>
      <c r="AD112" s="75" t="n">
        <v>15</v>
      </c>
      <c r="AE112" s="71" t="inlineStr">
        <is>
          <t>lapsed</t>
        </is>
      </c>
      <c r="AF112" s="71" t="inlineStr">
        <is>
          <t>2022-07-15</t>
        </is>
      </c>
      <c r="AG112" s="71" t="inlineStr">
        <is>
          <t>China Securities</t>
        </is>
      </c>
      <c r="AH112" s="71" t="inlineStr">
        <is>
          <t>China Securities</t>
        </is>
      </c>
      <c r="AI112" s="81" t="n">
        <v>8.56</v>
      </c>
      <c r="AJ112" s="82" t="n">
        <v>0</v>
      </c>
      <c r="AK112" s="82" t="n">
        <v>8.220000000000001</v>
      </c>
      <c r="AL112" s="82" t="n">
        <v>-7.6</v>
      </c>
      <c r="AM112" s="83" t="n"/>
      <c r="AN112" s="75" t="n">
        <v>15.4</v>
      </c>
      <c r="AO112" s="82" t="n">
        <v>-1.11</v>
      </c>
      <c r="AP112" s="82" t="n">
        <v>-1.22</v>
      </c>
      <c r="AQ112" s="82" t="n">
        <v>-24.22</v>
      </c>
      <c r="AR112" s="82" t="n">
        <v>-1.11</v>
      </c>
      <c r="AS112" s="82" t="n">
        <v>-1.22</v>
      </c>
      <c r="AT112" s="82" t="n">
        <v>-24.22</v>
      </c>
      <c r="AU112" s="82" t="n">
        <v>-4.87</v>
      </c>
      <c r="AV112" s="82" t="n">
        <v>-6.85</v>
      </c>
      <c r="AW112" s="82" t="n">
        <v>-9.83</v>
      </c>
      <c r="AX112" s="82" t="n">
        <v>-8.07</v>
      </c>
      <c r="AY112" s="82" t="n">
        <v>5.63</v>
      </c>
      <c r="AZ112" s="82" t="n">
        <v>6.85</v>
      </c>
      <c r="BA112" s="71" t="inlineStr">
        <is>
          <t>China Biotech ETF (HS biotech proxy)</t>
        </is>
      </c>
      <c r="BB112" s="82" t="n">
        <v>-60.86</v>
      </c>
      <c r="BC112" s="72" t="inlineStr">
        <is>
          <t>2026-09-23</t>
        </is>
      </c>
      <c r="BD112" s="73" t="n">
        <v>260.9</v>
      </c>
      <c r="BE112" s="76" t="n">
        <v>86.90000000000001</v>
      </c>
      <c r="BF112" s="71" t="inlineStr">
        <is>
          <t>Y</t>
        </is>
      </c>
      <c r="BG112" s="83" t="n">
        <v>49.6</v>
      </c>
      <c r="BH112" s="83" t="n">
        <v>24.8</v>
      </c>
      <c r="BI112" s="83" t="n">
        <v>43.5</v>
      </c>
      <c r="BJ112" s="83" t="n">
        <v>16.5</v>
      </c>
      <c r="BK112" s="84">
        <f>IF('BBG Verify'!S112="","not filed; run on terminal",'BBG Verify'!S112)</f>
        <v/>
      </c>
      <c r="BL112" s="85" t="inlineStr">
        <is>
          <t>N</t>
        </is>
      </c>
      <c r="BM112" s="86">
        <f>IF('BBG Verify'!K112="","not filed; run on terminal",'BBG Verify'!K112)</f>
        <v/>
      </c>
      <c r="BN112" s="71" t="inlineStr">
        <is>
          <t>N/A</t>
        </is>
      </c>
      <c r="BO112" s="71" t="inlineStr">
        <is>
          <t>N/A</t>
        </is>
      </c>
      <c r="BP112" s="71" t="inlineStr">
        <is>
          <t>N/A</t>
        </is>
      </c>
      <c r="BQ112" s="71" t="inlineStr">
        <is>
          <t>N/A</t>
        </is>
      </c>
      <c r="BR112" s="71" t="inlineStr">
        <is>
          <t>N/A</t>
        </is>
      </c>
      <c r="BS112" s="71" t="inlineStr">
        <is>
          <t>N/A</t>
        </is>
      </c>
      <c r="BT112" s="85" t="inlineStr">
        <is>
          <t>China Securities (International) Corporate Finance Company Limited</t>
        </is>
      </c>
      <c r="BU112" s="71" t="inlineStr">
        <is>
          <t>China Securities (International) Corporate Finance Company Limited</t>
        </is>
      </c>
      <c r="BV112" s="71" t="inlineStr">
        <is>
          <t>China Securities (International) Corporate Finance Company Limited; China Merchants Securities (HK) Co., Limited</t>
        </is>
      </c>
      <c r="BW112" s="71"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X112" s="87">
        <f>HYPERLINK("https://www1.hkexnews.hk/listedco/listconews/sehk/2022/0610/2022061000015.pdf","prospectus")</f>
        <v/>
      </c>
      <c r="BY112" s="87">
        <f>HYPERLINK("https://www1.hkexnews.hk/listedco/listconews/sehk/2022/0621/2022062100030.htm","allotment")</f>
        <v/>
      </c>
      <c r="BZ112" s="87">
        <f>HYPERLINK("https://www1.hkexnews.hk/listedco/listconews/sehk/2022/0715/2022071501424.pdf","stabilisation")</f>
        <v/>
      </c>
      <c r="CA112" s="85" t="n"/>
      <c r="CB112" s="71" t="inlineStr">
        <is>
          <t>cornerstone %: upper bound: AAStocks institutional total / deal size; allocation: allocation table not in this notice's format (older prose announcement); day-1 tape: volume on file; the retail multiple needs the final public split, which this notice does not state</t>
        </is>
      </c>
    </row>
    <row r="113" ht="15" customHeight="1">
      <c r="A113" s="70" t="inlineStr">
        <is>
          <t>2246</t>
        </is>
      </c>
      <c r="B113" s="71" t="inlineStr">
        <is>
          <t>GOGOX</t>
        </is>
      </c>
      <c r="C113" s="71" t="inlineStr">
        <is>
          <t>快狗打車</t>
        </is>
      </c>
      <c r="D113" s="71" t="inlineStr">
        <is>
          <t>Industrials</t>
        </is>
      </c>
      <c r="E113" s="71" t="inlineStr">
        <is>
          <t>Logistics</t>
        </is>
      </c>
      <c r="F113" s="71" t="inlineStr">
        <is>
          <t>Air Freight &amp; Logistics</t>
        </is>
      </c>
      <c r="G113" s="71" t="inlineStr">
        <is>
          <t>Standard</t>
        </is>
      </c>
      <c r="H113" s="72" t="n">
        <v>44736</v>
      </c>
      <c r="I113" s="73" t="n">
        <v>670.8</v>
      </c>
      <c r="J113" s="71" t="inlineStr">
        <is>
          <t>gross (price x shares)</t>
        </is>
      </c>
      <c r="K113" s="74" t="n"/>
      <c r="L113" s="74" t="n">
        <v>21.5</v>
      </c>
      <c r="M113" s="74" t="n">
        <v>21.5</v>
      </c>
      <c r="N113" s="71" t="inlineStr">
        <is>
          <t>Y</t>
        </is>
      </c>
      <c r="O113" s="75" t="n">
        <v>100</v>
      </c>
      <c r="P113" s="75" t="n"/>
      <c r="Q113" s="76" t="n">
        <v>13152.9</v>
      </c>
      <c r="R113" s="71" t="inlineStr">
        <is>
          <t>derived:deal size / offer % of enlarged capital</t>
        </is>
      </c>
      <c r="S113" s="77" t="n">
        <v>4.05</v>
      </c>
      <c r="T113" s="78" t="n">
        <v>1.4</v>
      </c>
      <c r="U113" s="79" t="n">
        <v>74.3</v>
      </c>
      <c r="V113" s="80" t="n">
        <v>126</v>
      </c>
      <c r="W113" s="75" t="n"/>
      <c r="X113" s="71" t="n"/>
      <c r="Y113" s="76" t="n">
        <v>172.4</v>
      </c>
      <c r="Z113" s="76" t="n">
        <v>8018400</v>
      </c>
      <c r="AA113" s="75" t="n">
        <v>1.31</v>
      </c>
      <c r="AB113" s="71" t="inlineStr">
        <is>
          <t>Chery Commercial Vehicle (Anhui) Company Limited; GF Global Capital Limited</t>
        </is>
      </c>
      <c r="AC113" s="71" t="inlineStr">
        <is>
          <t>chery;gf</t>
        </is>
      </c>
      <c r="AD113" s="75" t="n">
        <v>19.11</v>
      </c>
      <c r="AE113" s="71" t="inlineStr">
        <is>
          <t>lapsed</t>
        </is>
      </c>
      <c r="AF113" s="71" t="inlineStr">
        <is>
          <t>2022-07-17</t>
        </is>
      </c>
      <c r="AG113" s="71" t="inlineStr">
        <is>
          <t>UBS AG Hong Kong Branch</t>
        </is>
      </c>
      <c r="AH113" s="71" t="inlineStr">
        <is>
          <t>UBS</t>
        </is>
      </c>
      <c r="AI113" s="81" t="n">
        <v>-1.86</v>
      </c>
      <c r="AJ113" s="82" t="n">
        <v>-22.23</v>
      </c>
      <c r="AK113" s="82" t="n">
        <v>0</v>
      </c>
      <c r="AL113" s="82" t="n">
        <v>-22.23</v>
      </c>
      <c r="AM113" s="83" t="n"/>
      <c r="AN113" s="75" t="n">
        <v>29.91</v>
      </c>
      <c r="AO113" s="82" t="n">
        <v>-47.91</v>
      </c>
      <c r="AP113" s="82" t="n">
        <v>-68.33</v>
      </c>
      <c r="AQ113" s="82" t="n">
        <v>-76.73999999999999</v>
      </c>
      <c r="AR113" s="82" t="n">
        <v>-33.02</v>
      </c>
      <c r="AS113" s="82" t="n">
        <v>-59.28</v>
      </c>
      <c r="AT113" s="82" t="n">
        <v>-70.09</v>
      </c>
      <c r="AU113" s="82" t="n">
        <v>-51.25</v>
      </c>
      <c r="AV113" s="82" t="n">
        <v>-67.92</v>
      </c>
      <c r="AW113" s="82" t="n">
        <v>-59.72</v>
      </c>
      <c r="AX113" s="82" t="n">
        <v>-55.88</v>
      </c>
      <c r="AY113" s="82" t="n">
        <v>-0.41</v>
      </c>
      <c r="AZ113" s="82" t="n">
        <v>-3.4</v>
      </c>
      <c r="BA113" s="71" t="inlineStr">
        <is>
          <t>Hang Seng Commerce &amp; Industry sub-index</t>
        </is>
      </c>
      <c r="BB113" s="82" t="n">
        <v>-99.47</v>
      </c>
      <c r="BC113" s="72" t="inlineStr">
        <is>
          <t>2026-09-23</t>
        </is>
      </c>
      <c r="BD113" s="73" t="n">
        <v>583.4</v>
      </c>
      <c r="BE113" s="76" t="n">
        <v>-960.1</v>
      </c>
      <c r="BF113" s="71" t="inlineStr">
        <is>
          <t>N</t>
        </is>
      </c>
      <c r="BG113" s="71" t="inlineStr">
        <is>
          <t>n/m</t>
        </is>
      </c>
      <c r="BH113" s="83" t="n"/>
      <c r="BI113" s="83" t="n"/>
      <c r="BJ113" s="83" t="n">
        <v>22.5</v>
      </c>
      <c r="BK113" s="84">
        <f>IF('BBG Verify'!S113="","not filed; run on terminal",'BBG Verify'!S113)</f>
        <v/>
      </c>
      <c r="BL113" s="85" t="inlineStr">
        <is>
          <t>N</t>
        </is>
      </c>
      <c r="BM113" s="86">
        <f>IF('BBG Verify'!K113="","not filed; run on terminal",'BBG Verify'!K113)</f>
        <v/>
      </c>
      <c r="BN113" s="71" t="inlineStr">
        <is>
          <t>N/A</t>
        </is>
      </c>
      <c r="BO113" s="71" t="inlineStr">
        <is>
          <t>N/A</t>
        </is>
      </c>
      <c r="BP113" s="71" t="inlineStr">
        <is>
          <t>N/A</t>
        </is>
      </c>
      <c r="BQ113" s="71" t="inlineStr">
        <is>
          <t>N/A</t>
        </is>
      </c>
      <c r="BR113" s="71" t="inlineStr">
        <is>
          <t>N/A</t>
        </is>
      </c>
      <c r="BS113" s="71" t="inlineStr">
        <is>
          <t>N/A</t>
        </is>
      </c>
      <c r="BT113" s="85" t="inlineStr">
        <is>
          <t>UBS Securities Hong Kong Limited; China International Capital Corporation Hong Kong Securities Limited; BOCOM International (Asia) Limited; ABCI Capital Limited</t>
        </is>
      </c>
      <c r="BU113" s="71" t="inlineStr">
        <is>
          <t>China International Capital Corporation Hong Kong Securities Limited; UBS Securities Hong Kong Limited; BOCOM International (Asia) Limited; ABCI Capital Limited</t>
        </is>
      </c>
      <c r="BV113" s="71"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W113" s="71"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X113" s="87">
        <f>HYPERLINK("https://www1.hkexnews.hk/listedco/listconews/sehk/2022/0614/2022061400009.pdf","prospectus")</f>
        <v/>
      </c>
      <c r="BY113" s="87">
        <f>HYPERLINK("https://www1.hkexnews.hk/listedco/listconews/sehk/2022/0623/2022062300034.htm","allotment")</f>
        <v/>
      </c>
      <c r="BZ113" s="87">
        <f>HYPERLINK("https://www1.hkexnews.hk/listedco/listconews/sehk/2022/0718/2022071800093.pdf","stabilisation")</f>
        <v/>
      </c>
      <c r="CA113" s="85" t="n"/>
      <c r="CB113" s="71"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14" ht="15" customHeight="1">
      <c r="A114" s="70" t="inlineStr">
        <is>
          <t>2167</t>
        </is>
      </c>
      <c r="B114" s="71" t="inlineStr">
        <is>
          <t>TI CLOUD</t>
        </is>
      </c>
      <c r="C114" s="71" t="inlineStr">
        <is>
          <t>天潤雲</t>
        </is>
      </c>
      <c r="D114" s="71" t="inlineStr">
        <is>
          <t>Tech/AI</t>
        </is>
      </c>
      <c r="E114" s="71" t="inlineStr">
        <is>
          <t>SaaS / enterprise software</t>
        </is>
      </c>
      <c r="F114" s="71" t="inlineStr">
        <is>
          <t>Systems Software</t>
        </is>
      </c>
      <c r="G114" s="71" t="inlineStr">
        <is>
          <t>Standard</t>
        </is>
      </c>
      <c r="H114" s="72" t="n">
        <v>44742</v>
      </c>
      <c r="I114" s="73" t="n">
        <v>559.4</v>
      </c>
      <c r="J114" s="71" t="inlineStr">
        <is>
          <t>gross (price x shares)</t>
        </is>
      </c>
      <c r="K114" s="74" t="n">
        <v>12.85</v>
      </c>
      <c r="L114" s="74" t="n">
        <v>13.85</v>
      </c>
      <c r="M114" s="74" t="n">
        <v>12.85</v>
      </c>
      <c r="N114" s="71" t="inlineStr">
        <is>
          <t>N</t>
        </is>
      </c>
      <c r="O114" s="75" t="n">
        <v>92.8</v>
      </c>
      <c r="P114" s="75" t="n">
        <v>0</v>
      </c>
      <c r="Q114" s="76" t="n">
        <v>2237.6</v>
      </c>
      <c r="R114" s="71" t="inlineStr">
        <is>
          <t>derived:deal size / offer % of enlarged capital</t>
        </is>
      </c>
      <c r="S114" s="77" t="n">
        <v>1.17</v>
      </c>
      <c r="T114" s="78" t="n">
        <v>1.27</v>
      </c>
      <c r="U114" s="79" t="n">
        <v>23.4</v>
      </c>
      <c r="V114" s="80" t="n">
        <v>116</v>
      </c>
      <c r="W114" s="75" t="n"/>
      <c r="X114" s="71" t="n"/>
      <c r="Y114" s="76" t="n">
        <v>428.5</v>
      </c>
      <c r="Z114" s="76" t="n">
        <v>33343980</v>
      </c>
      <c r="AA114" s="75" t="n">
        <v>19.15</v>
      </c>
      <c r="AB114" s="71" t="inlineStr">
        <is>
          <t>Agora, Inc; Platinum Investment Management Limited</t>
        </is>
      </c>
      <c r="AC114" s="71" t="inlineStr">
        <is>
          <t>agora;platinum</t>
        </is>
      </c>
      <c r="AD114" s="75" t="n">
        <v>8.09</v>
      </c>
      <c r="AE114" s="71" t="inlineStr">
        <is>
          <t>partial</t>
        </is>
      </c>
      <c r="AF114" s="71" t="inlineStr">
        <is>
          <t>2022-07-24</t>
        </is>
      </c>
      <c r="AG114" s="71" t="inlineStr">
        <is>
          <t>China International Capital Corporation Hong Kong Securities Limited</t>
        </is>
      </c>
      <c r="AH114" s="71" t="inlineStr">
        <is>
          <t>China International</t>
        </is>
      </c>
      <c r="AI114" s="81" t="n">
        <v>-15.8</v>
      </c>
      <c r="AJ114" s="82" t="n">
        <v>-0.08</v>
      </c>
      <c r="AK114" s="82" t="n">
        <v>-0.08</v>
      </c>
      <c r="AL114" s="82" t="n">
        <v>0</v>
      </c>
      <c r="AM114" s="83" t="n"/>
      <c r="AN114" s="75" t="n">
        <v>0.16</v>
      </c>
      <c r="AO114" s="82" t="n">
        <v>2.72</v>
      </c>
      <c r="AP114" s="82" t="n">
        <v>-19.07</v>
      </c>
      <c r="AQ114" s="82" t="n">
        <v>-22.26</v>
      </c>
      <c r="AR114" s="82" t="n">
        <v>2.8</v>
      </c>
      <c r="AS114" s="82" t="n">
        <v>-19.01</v>
      </c>
      <c r="AT114" s="82" t="n">
        <v>-22.2</v>
      </c>
      <c r="AU114" s="82" t="n">
        <v>5.43</v>
      </c>
      <c r="AV114" s="82" t="n">
        <v>-6.78</v>
      </c>
      <c r="AW114" s="82" t="n">
        <v>7.17</v>
      </c>
      <c r="AX114" s="82" t="n">
        <v>-7.81</v>
      </c>
      <c r="AY114" s="82" t="n">
        <v>-12.29</v>
      </c>
      <c r="AZ114" s="82" t="n">
        <v>-11.2</v>
      </c>
      <c r="BA114" s="71" t="inlineStr">
        <is>
          <t>HSTECH (Hang Seng TECH ETF)</t>
        </is>
      </c>
      <c r="BB114" s="82" t="n">
        <v>-64.81999999999999</v>
      </c>
      <c r="BC114" s="72" t="inlineStr">
        <is>
          <t>2026-09-23</t>
        </is>
      </c>
      <c r="BD114" s="73" t="n">
        <v>442.1</v>
      </c>
      <c r="BE114" s="76" t="n">
        <v>19.6</v>
      </c>
      <c r="BF114" s="71" t="inlineStr">
        <is>
          <t>Y</t>
        </is>
      </c>
      <c r="BG114" s="83" t="n">
        <v>114.2</v>
      </c>
      <c r="BH114" s="83" t="n"/>
      <c r="BI114" s="83" t="n">
        <v>10.2</v>
      </c>
      <c r="BJ114" s="83" t="n">
        <v>5.1</v>
      </c>
      <c r="BK114" s="84">
        <f>IF('BBG Verify'!S114="","not filed; run on terminal",'BBG Verify'!S114)</f>
        <v/>
      </c>
      <c r="BL114" s="85" t="inlineStr">
        <is>
          <t>N</t>
        </is>
      </c>
      <c r="BM114" s="86">
        <f>IF('BBG Verify'!K114="","not filed; run on terminal",'BBG Verify'!K114)</f>
        <v/>
      </c>
      <c r="BN114" s="71" t="inlineStr">
        <is>
          <t>N/A</t>
        </is>
      </c>
      <c r="BO114" s="71" t="inlineStr">
        <is>
          <t>N/A</t>
        </is>
      </c>
      <c r="BP114" s="71" t="inlineStr">
        <is>
          <t>N/A</t>
        </is>
      </c>
      <c r="BQ114" s="71" t="inlineStr">
        <is>
          <t>N/A</t>
        </is>
      </c>
      <c r="BR114" s="71" t="inlineStr">
        <is>
          <t>N/A</t>
        </is>
      </c>
      <c r="BS114" s="71" t="inlineStr">
        <is>
          <t>N/A</t>
        </is>
      </c>
      <c r="BT114" s="85" t="inlineStr">
        <is>
          <t>China International Capital Corporation Hong Kong Securities Limited</t>
        </is>
      </c>
      <c r="BU114" s="71" t="inlineStr">
        <is>
          <t>China International Capital Corporation Hong Kong Securities Limited</t>
        </is>
      </c>
      <c r="BV114" s="71"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W114" s="71"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X114" s="87">
        <f>HYPERLINK("https://www1.hkexnews.hk/listedco/listconews/sehk/2022/0621/2022062100009.pdf","prospectus")</f>
        <v/>
      </c>
      <c r="BY114" s="87">
        <f>HYPERLINK("https://www1.hkexnews.hk/listedco/listconews/sehk/2022/0629/2022062900092.htm","allotment")</f>
        <v/>
      </c>
      <c r="BZ114" s="87">
        <f>HYPERLINK("https://www1.hkexnews.hk/listedco/listconews/sehk/2022/0724/2022072400037.pdf","stabilisation")</f>
        <v/>
      </c>
      <c r="CA114" s="85" t="n"/>
      <c r="CB114" s="71" t="inlineStr">
        <is>
          <t>allocation: allocation table not in this notice's format (older prose announcement); day-1 tape: volume on file; the retail multiple needs the final public split, which this notice does not state</t>
        </is>
      </c>
    </row>
    <row r="115" ht="15" customHeight="1">
      <c r="A115" s="70" t="inlineStr">
        <is>
          <t>2372</t>
        </is>
      </c>
      <c r="B115" s="71" t="inlineStr">
        <is>
          <t>WEILI HOLDINGS</t>
        </is>
      </c>
      <c r="C115" s="71" t="inlineStr">
        <is>
          <t>偉立控股</t>
        </is>
      </c>
      <c r="D115" s="71" t="inlineStr">
        <is>
          <t>Materials/Energy</t>
        </is>
      </c>
      <c r="E115" s="71" t="inlineStr">
        <is>
          <t>Chemicals</t>
        </is>
      </c>
      <c r="F115" s="71" t="inlineStr">
        <is>
          <t>Cigarette Products</t>
        </is>
      </c>
      <c r="G115" s="71" t="inlineStr">
        <is>
          <t>Standard</t>
        </is>
      </c>
      <c r="H115" s="72" t="n">
        <v>44742</v>
      </c>
      <c r="I115" s="73" t="n">
        <v>126</v>
      </c>
      <c r="J115" s="71" t="inlineStr">
        <is>
          <t>gross (price x shares)</t>
        </is>
      </c>
      <c r="K115" s="74" t="n">
        <v>0.63</v>
      </c>
      <c r="L115" s="74" t="n">
        <v>0.67</v>
      </c>
      <c r="M115" s="74" t="n">
        <v>0.63</v>
      </c>
      <c r="N115" s="71" t="inlineStr">
        <is>
          <t>N</t>
        </is>
      </c>
      <c r="O115" s="75" t="n">
        <v>94</v>
      </c>
      <c r="P115" s="75" t="n">
        <v>0</v>
      </c>
      <c r="Q115" s="76" t="n">
        <v>534.1</v>
      </c>
      <c r="R115" s="71" t="inlineStr">
        <is>
          <t>aastocks:上市市值 at the struck price</t>
        </is>
      </c>
      <c r="S115" s="77" t="n">
        <v>11.37</v>
      </c>
      <c r="T115" s="78" t="n">
        <v>1.29</v>
      </c>
      <c r="U115" s="79" t="n"/>
      <c r="V115" s="80" t="n">
        <v>171</v>
      </c>
      <c r="W115" s="75" t="n"/>
      <c r="X115" s="71" t="n"/>
      <c r="Y115" s="76" t="n">
        <v>126</v>
      </c>
      <c r="Z115" s="76" t="n">
        <v>200000000</v>
      </c>
      <c r="AA115" s="75" t="n">
        <v>23.59</v>
      </c>
      <c r="AB115" s="71" t="n"/>
      <c r="AC115" s="71" t="n"/>
      <c r="AD115" s="75" t="n"/>
      <c r="AE115" s="71" t="inlineStr">
        <is>
          <t>lapsed (no over-allocation)</t>
        </is>
      </c>
      <c r="AF115" s="71" t="n"/>
      <c r="AG115" s="71" t="n"/>
      <c r="AH115" s="71" t="n"/>
      <c r="AI115" s="81" t="n">
        <v>3.17</v>
      </c>
      <c r="AJ115" s="82" t="n">
        <v>0</v>
      </c>
      <c r="AK115" s="82" t="n">
        <v>11.11</v>
      </c>
      <c r="AL115" s="82" t="n">
        <v>-10</v>
      </c>
      <c r="AM115" s="83" t="n"/>
      <c r="AN115" s="75" t="n">
        <v>14.29</v>
      </c>
      <c r="AO115" s="82" t="n">
        <v>4.76</v>
      </c>
      <c r="AP115" s="82" t="n">
        <v>-30.16</v>
      </c>
      <c r="AQ115" s="82" t="n">
        <v>-30.16</v>
      </c>
      <c r="AR115" s="82" t="n">
        <v>4.76</v>
      </c>
      <c r="AS115" s="82" t="n">
        <v>-30.16</v>
      </c>
      <c r="AT115" s="82" t="n">
        <v>-30.16</v>
      </c>
      <c r="AU115" s="82" t="n">
        <v>4.94</v>
      </c>
      <c r="AV115" s="82" t="n">
        <v>-21.1</v>
      </c>
      <c r="AW115" s="82" t="n">
        <v>-8.720000000000001</v>
      </c>
      <c r="AX115" s="82" t="n">
        <v>-22.14</v>
      </c>
      <c r="AY115" s="82" t="n">
        <v>-9.06</v>
      </c>
      <c r="AZ115" s="82" t="n">
        <v>-8.02</v>
      </c>
      <c r="BA115" s="71" t="inlineStr">
        <is>
          <t>Hang Seng Commerce &amp; Industry sub-index</t>
        </is>
      </c>
      <c r="BB115" s="82" t="n">
        <v>47.62</v>
      </c>
      <c r="BC115" s="72" t="inlineStr">
        <is>
          <t>2026-09-23</t>
        </is>
      </c>
      <c r="BD115" s="73" t="n">
        <v>407.3</v>
      </c>
      <c r="BE115" s="76" t="n">
        <v>39.3</v>
      </c>
      <c r="BF115" s="71" t="inlineStr">
        <is>
          <t>Y</t>
        </is>
      </c>
      <c r="BG115" s="83" t="n">
        <v>13.6</v>
      </c>
      <c r="BH115" s="83" t="n"/>
      <c r="BI115" s="83" t="n"/>
      <c r="BJ115" s="83" t="n">
        <v>1.3</v>
      </c>
      <c r="BK115" s="84">
        <f>IF('BBG Verify'!S115="","not filed; run on terminal",'BBG Verify'!S115)</f>
        <v/>
      </c>
      <c r="BL115" s="85" t="inlineStr">
        <is>
          <t>N</t>
        </is>
      </c>
      <c r="BM115" s="86">
        <f>IF('BBG Verify'!K115="","not filed; run on terminal",'BBG Verify'!K115)</f>
        <v/>
      </c>
      <c r="BN115" s="71" t="inlineStr">
        <is>
          <t>N/A</t>
        </is>
      </c>
      <c r="BO115" s="71" t="inlineStr">
        <is>
          <t>N/A</t>
        </is>
      </c>
      <c r="BP115" s="71" t="inlineStr">
        <is>
          <t>N/A</t>
        </is>
      </c>
      <c r="BQ115" s="71" t="inlineStr">
        <is>
          <t>N/A</t>
        </is>
      </c>
      <c r="BR115" s="71" t="inlineStr">
        <is>
          <t>N/A</t>
        </is>
      </c>
      <c r="BS115" s="71" t="inlineStr">
        <is>
          <t>N/A</t>
        </is>
      </c>
      <c r="BT115" s="85" t="n"/>
      <c r="BU115" s="71" t="inlineStr">
        <is>
          <t>Grande Capital Limited</t>
        </is>
      </c>
      <c r="BV115" s="71" t="inlineStr">
        <is>
          <t>China Galaxy International Securities (Hong Kong) Company Limited; Cinda International Capital Limited; CRIC Securities Company Limited; First Shanghai Securities Limited; Kingsway Financial Services Group Limited; Livermore Holdings Limited</t>
        </is>
      </c>
      <c r="BW115" s="71"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X115" s="87">
        <f>HYPERLINK("https://www1.hkexnews.hk/listedco/listconews/sehk/2022/0617/2022061700066.htm","prospectus")</f>
        <v/>
      </c>
      <c r="BY115" s="87">
        <f>HYPERLINK("https://www1.hkexnews.hk/listedco/listconews/sehk/2022/0629/2022062900108.htm","allotment")</f>
        <v/>
      </c>
      <c r="BZ115" s="87">
        <f>HYPERLINK("https://www1.hkexnews.hk/listedco/listconews/sehk/2022/0722/2022072201214.pdf","stabilisation")</f>
        <v/>
      </c>
      <c r="CA115" s="85" t="n"/>
      <c r="CB115" s="71"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16" ht="15" customHeight="1">
      <c r="A116" s="70" t="inlineStr">
        <is>
          <t>2391</t>
        </is>
      </c>
      <c r="B116" s="71" t="inlineStr">
        <is>
          <t>TUYA-W</t>
        </is>
      </c>
      <c r="C116" s="71" t="inlineStr">
        <is>
          <t>塗鴉智能－Ｗ</t>
        </is>
      </c>
      <c r="D116" s="71" t="inlineStr">
        <is>
          <t>Tech/AI</t>
        </is>
      </c>
      <c r="E116" s="71" t="inlineStr">
        <is>
          <t>SaaS / enterprise software</t>
        </is>
      </c>
      <c r="F116" s="71" t="inlineStr">
        <is>
          <t>Systems Software</t>
        </is>
      </c>
      <c r="G116" s="71" t="inlineStr">
        <is>
          <t>WVR</t>
        </is>
      </c>
      <c r="H116" s="72" t="n">
        <v>44747</v>
      </c>
      <c r="I116" s="73" t="n">
        <v>140.9</v>
      </c>
      <c r="J116" s="71" t="inlineStr">
        <is>
          <t>gross (price x shares)</t>
        </is>
      </c>
      <c r="K116" s="74" t="n"/>
      <c r="L116" s="74" t="n">
        <v>22.8</v>
      </c>
      <c r="M116" s="74" t="n">
        <v>19.3</v>
      </c>
      <c r="N116" s="71" t="inlineStr">
        <is>
          <t>N</t>
        </is>
      </c>
      <c r="O116" s="75" t="n">
        <v>84.59999999999999</v>
      </c>
      <c r="P116" s="75" t="n"/>
      <c r="Q116" s="76" t="n">
        <v>13190.9</v>
      </c>
      <c r="R116" s="71" t="inlineStr">
        <is>
          <t>prospectus:stated market capitalisation</t>
        </is>
      </c>
      <c r="S116" s="77" t="n">
        <v>9.949999999999999</v>
      </c>
      <c r="T116" s="78" t="n">
        <v>1.3</v>
      </c>
      <c r="U116" s="79" t="n"/>
      <c r="V116" s="80" t="n">
        <v>103</v>
      </c>
      <c r="W116" s="75" t="n"/>
      <c r="X116" s="71" t="n"/>
      <c r="Y116" s="76" t="n">
        <v>140.9</v>
      </c>
      <c r="Z116" s="76" t="n">
        <v>7300000</v>
      </c>
      <c r="AA116" s="75" t="n">
        <v>1.07</v>
      </c>
      <c r="AB116" s="71" t="n"/>
      <c r="AC116" s="71" t="n"/>
      <c r="AD116" s="75" t="n">
        <v>10.33</v>
      </c>
      <c r="AE116" s="71" t="inlineStr">
        <is>
          <t>lapsed</t>
        </is>
      </c>
      <c r="AF116" s="71" t="n"/>
      <c r="AG116" s="71" t="inlineStr">
        <is>
          <t>Morgan Stanley Asia Limited</t>
        </is>
      </c>
      <c r="AH116" s="71" t="inlineStr">
        <is>
          <t>Morgan Stanley</t>
        </is>
      </c>
      <c r="AI116" s="81" t="n">
        <v>1.66</v>
      </c>
      <c r="AJ116" s="82" t="n">
        <v>0</v>
      </c>
      <c r="AK116" s="82" t="n">
        <v>1.35</v>
      </c>
      <c r="AL116" s="82" t="n">
        <v>-1.33</v>
      </c>
      <c r="AM116" s="83" t="n"/>
      <c r="AN116" s="75" t="n">
        <v>3.27</v>
      </c>
      <c r="AO116" s="82" t="n">
        <v>-2.07</v>
      </c>
      <c r="AP116" s="82" t="n">
        <v>-30.05</v>
      </c>
      <c r="AQ116" s="82" t="n">
        <v>-60.62</v>
      </c>
      <c r="AR116" s="82" t="n">
        <v>-2.07</v>
      </c>
      <c r="AS116" s="82" t="n">
        <v>-30.05</v>
      </c>
      <c r="AT116" s="82" t="n">
        <v>-60.62</v>
      </c>
      <c r="AU116" s="82" t="n">
        <v>5.15</v>
      </c>
      <c r="AV116" s="82" t="n">
        <v>-16.97</v>
      </c>
      <c r="AW116" s="82" t="n">
        <v>-30.77</v>
      </c>
      <c r="AX116" s="82" t="n">
        <v>-17.48</v>
      </c>
      <c r="AY116" s="82" t="n">
        <v>-13.08</v>
      </c>
      <c r="AZ116" s="82" t="n">
        <v>-12.57</v>
      </c>
      <c r="BA116" s="71" t="inlineStr">
        <is>
          <t>HSTECH (Hang Seng TECH ETF)</t>
        </is>
      </c>
      <c r="BB116" s="82" t="n">
        <v>-32.44</v>
      </c>
      <c r="BC116" s="72" t="inlineStr">
        <is>
          <t>2026-09-22</t>
        </is>
      </c>
      <c r="BD116" s="73" t="n">
        <v>2356.2</v>
      </c>
      <c r="BE116" s="76" t="n">
        <v>-1368.3</v>
      </c>
      <c r="BF116" s="71" t="inlineStr">
        <is>
          <t>N</t>
        </is>
      </c>
      <c r="BG116" s="71" t="inlineStr">
        <is>
          <t>n/m</t>
        </is>
      </c>
      <c r="BH116" s="83" t="n"/>
      <c r="BI116" s="83" t="n"/>
      <c r="BJ116" s="83" t="n">
        <v>5.6</v>
      </c>
      <c r="BK116" s="84">
        <f>IF('BBG Verify'!S116="","not filed; run on terminal",'BBG Verify'!S116)</f>
        <v/>
      </c>
      <c r="BL116" s="85" t="inlineStr">
        <is>
          <t>N</t>
        </is>
      </c>
      <c r="BM116" s="86">
        <f>IF('BBG Verify'!K116="","not filed; run on terminal",'BBG Verify'!K116)</f>
        <v/>
      </c>
      <c r="BN116" s="71" t="inlineStr">
        <is>
          <t>N/A</t>
        </is>
      </c>
      <c r="BO116" s="71" t="inlineStr">
        <is>
          <t>N/A</t>
        </is>
      </c>
      <c r="BP116" s="71" t="inlineStr">
        <is>
          <t>N/A</t>
        </is>
      </c>
      <c r="BQ116" s="71" t="inlineStr">
        <is>
          <t>N/A</t>
        </is>
      </c>
      <c r="BR116" s="71" t="inlineStr">
        <is>
          <t>N/A</t>
        </is>
      </c>
      <c r="BS116" s="71" t="inlineStr">
        <is>
          <t>N/A</t>
        </is>
      </c>
      <c r="BT116" s="85" t="inlineStr">
        <is>
          <t>China International Capital Corporation Hong Kong Securities Limited; Merrill Lynch (Asia Pacific) Limited; Morgan Stanley Asia Limited</t>
        </is>
      </c>
      <c r="BU116" s="71" t="inlineStr">
        <is>
          <t>China International Capital Corporation Hong Kong Securities Limited; Morgan Stanley Asia Limited; Merrill Lynch (Asia Pacific) Limited</t>
        </is>
      </c>
      <c r="BV116" s="71" t="inlineStr">
        <is>
          <t>China International Capital Corporation Hong Kong Securities Limited; Morgan Stanley Asia Limited; Merrill Lynch (Asia Pacific) Limited; CMB International Capital Limited; Tiger Brokers (HK) Global Limited</t>
        </is>
      </c>
      <c r="BW116" s="71" t="inlineStr">
        <is>
          <t>China International Capital Corporation Hong Kong Securities Limited; CMB International Capital Corporation Limited; Merrill Lynch (Asia Pacific) Limited; Morgan Stanley Asia Limited; Tiger Brokers (HK) Global Limited</t>
        </is>
      </c>
      <c r="BX116" s="87">
        <f>HYPERLINK("https://www1.hkexnews.hk/listedco/listconews/sehk/2022/0622/2022062200189.pdf","prospectus")</f>
        <v/>
      </c>
      <c r="BY116" s="87">
        <f>HYPERLINK("https://www1.hkexnews.hk/listedco/listconews/sehk/2022/0704/2022070400032.htm","allotment")</f>
        <v/>
      </c>
      <c r="BZ116" s="87">
        <f>HYPERLINK("https://www1.hkexnews.hk/listedco/listconews/sehk/2022/0727/2022072701192.pdf","stabilisation")</f>
        <v/>
      </c>
      <c r="CA116" s="85" t="n"/>
      <c r="CB116" s="71" t="inlineStr">
        <is>
          <t>P/E: loss-making at IPO, use P/S; greenshoe: outcome published; expiry date not in the notice; range low: maximum offer price only, no floor published; cornerstone list: names not extractable, see the prospectus; cornerstone %: aggregate not stated in the filing; allocation: allocation table not in this notice's format (older prose announcement); day-1 tape: volume on file; the retail multiple needs the final public split, which this notice does not state</t>
        </is>
      </c>
    </row>
    <row r="117" ht="15" customHeight="1">
      <c r="A117" s="70" t="inlineStr">
        <is>
          <t>9955</t>
        </is>
      </c>
      <c r="B117" s="71" t="inlineStr">
        <is>
          <t>CLOUDR</t>
        </is>
      </c>
      <c r="C117" s="71" t="inlineStr">
        <is>
          <t>智雲健康</t>
        </is>
      </c>
      <c r="D117" s="71" t="inlineStr">
        <is>
          <t>Healthcare</t>
        </is>
      </c>
      <c r="E117" s="71" t="inlineStr">
        <is>
          <t>Digital health</t>
        </is>
      </c>
      <c r="F117" s="71" t="inlineStr">
        <is>
          <t>Health Care Equipment</t>
        </is>
      </c>
      <c r="G117" s="71" t="inlineStr">
        <is>
          <t>Standard</t>
        </is>
      </c>
      <c r="H117" s="72" t="n">
        <v>44748</v>
      </c>
      <c r="I117" s="73" t="n">
        <v>579.5</v>
      </c>
      <c r="J117" s="71" t="inlineStr">
        <is>
          <t>gross (price x shares)</t>
        </is>
      </c>
      <c r="K117" s="74" t="n"/>
      <c r="L117" s="74" t="n">
        <v>30.5</v>
      </c>
      <c r="M117" s="74" t="n">
        <v>30.5</v>
      </c>
      <c r="N117" s="71" t="inlineStr">
        <is>
          <t>Y</t>
        </is>
      </c>
      <c r="O117" s="75" t="n">
        <v>100</v>
      </c>
      <c r="P117" s="75" t="n"/>
      <c r="Q117" s="76" t="n">
        <v>17896</v>
      </c>
      <c r="R117" s="71" t="inlineStr">
        <is>
          <t>press:sina/雷峰网 2022-07: 收28.2港元 市值165.54亿</t>
        </is>
      </c>
      <c r="S117" s="77" t="n">
        <v>7.89</v>
      </c>
      <c r="T117" s="78" t="n">
        <v>2.15</v>
      </c>
      <c r="U117" s="79" t="n">
        <v>60.96</v>
      </c>
      <c r="V117" s="80" t="n">
        <v>194</v>
      </c>
      <c r="W117" s="75" t="n"/>
      <c r="X117" s="71" t="n"/>
      <c r="Y117" s="76" t="n">
        <v>226.24</v>
      </c>
      <c r="Z117" s="76" t="n">
        <v>7417600</v>
      </c>
      <c r="AA117" s="75" t="n">
        <v>1.26</v>
      </c>
      <c r="AB117" s="71" t="inlineStr">
        <is>
          <t>Harvest International Premium Value (Secondary Market) Fund SPC; Sanofi Foreign Participations B.V; Tasly International Capital Limited; Yangtze River (Hong Kong) Limited</t>
        </is>
      </c>
      <c r="AC117" s="71" t="inlineStr">
        <is>
          <t>harvest;sanofi;tasly;yangtze</t>
        </is>
      </c>
      <c r="AD117" s="75" t="n">
        <v>15.23</v>
      </c>
      <c r="AE117" s="71" t="inlineStr">
        <is>
          <t>lapsed</t>
        </is>
      </c>
      <c r="AF117" s="71" t="inlineStr">
        <is>
          <t>2022-07-28</t>
        </is>
      </c>
      <c r="AG117" s="71" t="inlineStr">
        <is>
          <t>Morgan Stanley Asia Limited</t>
        </is>
      </c>
      <c r="AH117" s="71" t="inlineStr">
        <is>
          <t>Morgan Stanley</t>
        </is>
      </c>
      <c r="AI117" s="81" t="n">
        <v>-0.33</v>
      </c>
      <c r="AJ117" s="82" t="n">
        <v>-7.54</v>
      </c>
      <c r="AK117" s="82" t="n">
        <v>0</v>
      </c>
      <c r="AL117" s="82" t="n">
        <v>-7.54</v>
      </c>
      <c r="AM117" s="83" t="n"/>
      <c r="AN117" s="75" t="n">
        <v>20.82</v>
      </c>
      <c r="AO117" s="82" t="n">
        <v>-9.84</v>
      </c>
      <c r="AP117" s="82" t="n">
        <v>-33.77</v>
      </c>
      <c r="AQ117" s="82" t="n">
        <v>-54.43</v>
      </c>
      <c r="AR117" s="82" t="n">
        <v>-2.49</v>
      </c>
      <c r="AS117" s="82" t="n">
        <v>-28.37</v>
      </c>
      <c r="AT117" s="82" t="n">
        <v>-50.71</v>
      </c>
      <c r="AU117" s="82" t="n">
        <v>-2.59</v>
      </c>
      <c r="AV117" s="82" t="n">
        <v>-20.96</v>
      </c>
      <c r="AW117" s="82" t="n">
        <v>-30.06</v>
      </c>
      <c r="AX117" s="82" t="n">
        <v>-17.17</v>
      </c>
      <c r="AY117" s="82" t="n">
        <v>-12.81</v>
      </c>
      <c r="AZ117" s="82" t="n">
        <v>-11.2</v>
      </c>
      <c r="BA117" s="71" t="inlineStr">
        <is>
          <t>China Biotech ETF (HS biotech proxy)</t>
        </is>
      </c>
      <c r="BB117" s="82" t="n">
        <v>-98.48999999999999</v>
      </c>
      <c r="BC117" s="72" t="inlineStr">
        <is>
          <t>2026-09-23</t>
        </is>
      </c>
      <c r="BD117" s="73" t="n"/>
      <c r="BE117" s="76" t="n"/>
      <c r="BF117" s="71" t="n"/>
      <c r="BG117" s="84">
        <f>IF('BBG Verify'!O117="","not filed; run on terminal",'BBG Verify'!O117)</f>
        <v/>
      </c>
      <c r="BH117" s="83" t="n"/>
      <c r="BI117" s="83" t="n"/>
      <c r="BJ117" s="83" t="n"/>
      <c r="BK117" s="84">
        <f>IF('BBG Verify'!S117="","not filed; run on terminal",'BBG Verify'!S117)</f>
        <v/>
      </c>
      <c r="BL117" s="85" t="inlineStr">
        <is>
          <t>N</t>
        </is>
      </c>
      <c r="BM117" s="86">
        <f>IF('BBG Verify'!K117="","not filed; run on terminal",'BBG Verify'!K117)</f>
        <v/>
      </c>
      <c r="BN117" s="71" t="inlineStr">
        <is>
          <t>N/A</t>
        </is>
      </c>
      <c r="BO117" s="71" t="inlineStr">
        <is>
          <t>N/A</t>
        </is>
      </c>
      <c r="BP117" s="71" t="inlineStr">
        <is>
          <t>N/A</t>
        </is>
      </c>
      <c r="BQ117" s="71" t="inlineStr">
        <is>
          <t>N/A</t>
        </is>
      </c>
      <c r="BR117" s="71" t="inlineStr">
        <is>
          <t>N/A</t>
        </is>
      </c>
      <c r="BS117" s="71" t="inlineStr">
        <is>
          <t>N/A</t>
        </is>
      </c>
      <c r="BT117" s="85" t="n"/>
      <c r="BU117" s="71" t="inlineStr">
        <is>
          <t>Morgan Stanley Asia Limited; J.P. Morgan Securities (Far East) Limited</t>
        </is>
      </c>
      <c r="BV117" s="71" t="inlineStr">
        <is>
          <t>China International Capital Corporation Hong Kong Securities Limited; CMB International Capital Limited; J.P. Morgan Securities (Asia Pacific) Limited; Morgan Stanley Asia Limited; Valuable Capital Limited</t>
        </is>
      </c>
      <c r="BW117" s="71" t="inlineStr">
        <is>
          <t>China International Capital Corporation Hong Kong Securities Limited; CMB International Capital Limited; J.P. Morgan Securities (Asia Pacific) Limited; Morgan Stanley Asia Limited; Valuable Capital Limited</t>
        </is>
      </c>
      <c r="BX117" s="87">
        <f>HYPERLINK("https://www1.hkexnews.hk/listedco/listconews/sehk/2022/0623/2022062300064.htm","prospectus")</f>
        <v/>
      </c>
      <c r="BY117" s="87">
        <f>HYPERLINK("https://www1.hkexnews.hk/listedco/listconews/sehk/2022/0705/2022070500012.htm","allotment")</f>
        <v/>
      </c>
      <c r="BZ117" s="87">
        <f>HYPERLINK("https://www1.hkexnews.hk/listedco/listconews/sehk/2022/0728/2022072801570.pdf","stabilisation")</f>
        <v/>
      </c>
      <c r="CA117" s="85" t="n"/>
      <c r="CB117" s="71"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allocation: allocation table not in this notice's format (older prose announcement); day-1 tape: volume on file; the retail multiple needs the final public split, which this notice does not state</t>
        </is>
      </c>
    </row>
    <row r="118" ht="15" customHeight="1">
      <c r="A118" s="70" t="inlineStr">
        <is>
          <t>2376</t>
        </is>
      </c>
      <c r="B118" s="71" t="inlineStr">
        <is>
          <t>LUSHANGSERVICES</t>
        </is>
      </c>
      <c r="C118" s="71" t="inlineStr">
        <is>
          <t>魯商服務</t>
        </is>
      </c>
      <c r="D118" s="71" t="inlineStr">
        <is>
          <t>Real Estate</t>
        </is>
      </c>
      <c r="E118" s="71" t="inlineStr">
        <is>
          <t>Property management</t>
        </is>
      </c>
      <c r="F118" s="71" t="inlineStr">
        <is>
          <t>Property Service and Management</t>
        </is>
      </c>
      <c r="G118" s="71" t="inlineStr">
        <is>
          <t>Standard</t>
        </is>
      </c>
      <c r="H118" s="72" t="n">
        <v>44750</v>
      </c>
      <c r="I118" s="73" t="n">
        <v>197.4</v>
      </c>
      <c r="J118" s="71" t="inlineStr">
        <is>
          <t>gross (price x shares)</t>
        </is>
      </c>
      <c r="K118" s="74" t="n">
        <v>5.3</v>
      </c>
      <c r="L118" s="74" t="n">
        <v>7.92</v>
      </c>
      <c r="M118" s="74" t="n">
        <v>5.92</v>
      </c>
      <c r="N118" s="71" t="inlineStr">
        <is>
          <t>N</t>
        </is>
      </c>
      <c r="O118" s="75" t="n">
        <v>74.7</v>
      </c>
      <c r="P118" s="75" t="n">
        <v>23.7</v>
      </c>
      <c r="Q118" s="76" t="n">
        <v>967.9</v>
      </c>
      <c r="R118" s="71" t="inlineStr">
        <is>
          <t>aastocks:上市市值 at the struck price</t>
        </is>
      </c>
      <c r="S118" s="77" t="n">
        <v>7.39</v>
      </c>
      <c r="T118" s="78" t="n">
        <v>1.2</v>
      </c>
      <c r="U118" s="79" t="n">
        <v>0</v>
      </c>
      <c r="V118" s="80" t="n">
        <v>125</v>
      </c>
      <c r="W118" s="75" t="n"/>
      <c r="X118" s="71" t="n"/>
      <c r="Y118" s="76" t="n">
        <v>197.4</v>
      </c>
      <c r="Z118" s="76" t="n">
        <v>33340000</v>
      </c>
      <c r="AA118" s="75" t="n">
        <v>20.39</v>
      </c>
      <c r="AB118" s="71" t="n"/>
      <c r="AC118" s="71" t="n"/>
      <c r="AD118" s="75" t="n">
        <v>15</v>
      </c>
      <c r="AE118" s="71" t="inlineStr">
        <is>
          <t>lapsed</t>
        </is>
      </c>
      <c r="AF118" s="71" t="inlineStr">
        <is>
          <t>2022-07-30</t>
        </is>
      </c>
      <c r="AG118" s="71" t="inlineStr">
        <is>
          <t>ABCI Securities Company Limited</t>
        </is>
      </c>
      <c r="AH118" s="71" t="inlineStr">
        <is>
          <t>ABCI</t>
        </is>
      </c>
      <c r="AI118" s="81" t="n">
        <v>-4.73</v>
      </c>
      <c r="AJ118" s="82" t="n">
        <v>-25.17</v>
      </c>
      <c r="AK118" s="82" t="n">
        <v>-15.37</v>
      </c>
      <c r="AL118" s="82" t="n">
        <v>-11.58</v>
      </c>
      <c r="AM118" s="83" t="n"/>
      <c r="AN118" s="75" t="n">
        <v>20.56</v>
      </c>
      <c r="AO118" s="82" t="n">
        <v>-39.19</v>
      </c>
      <c r="AP118" s="82" t="n">
        <v>-57.43</v>
      </c>
      <c r="AQ118" s="82" t="n">
        <v>-60.3</v>
      </c>
      <c r="AR118" s="82" t="n">
        <v>-18.74</v>
      </c>
      <c r="AS118" s="82" t="n">
        <v>-43.11</v>
      </c>
      <c r="AT118" s="82" t="n">
        <v>-46.95</v>
      </c>
      <c r="AU118" s="82" t="n">
        <v>-31.5</v>
      </c>
      <c r="AV118" s="82" t="n">
        <v>-46.54</v>
      </c>
      <c r="AW118" s="82" t="n">
        <v>-41.93</v>
      </c>
      <c r="AX118" s="82" t="n">
        <v>-31.36</v>
      </c>
      <c r="AY118" s="82" t="n">
        <v>-10.89</v>
      </c>
      <c r="AZ118" s="82" t="n">
        <v>-11.75</v>
      </c>
      <c r="BA118" s="71" t="inlineStr">
        <is>
          <t>Hang Seng Properties sub-index</t>
        </is>
      </c>
      <c r="BB118" s="82" t="n">
        <v>-61.15</v>
      </c>
      <c r="BC118" s="72" t="inlineStr">
        <is>
          <t>2026-09-23</t>
        </is>
      </c>
      <c r="BD118" s="73" t="n">
        <v>641.1</v>
      </c>
      <c r="BE118" s="76" t="n">
        <v>84.7</v>
      </c>
      <c r="BF118" s="71" t="inlineStr">
        <is>
          <t>Y</t>
        </is>
      </c>
      <c r="BG118" s="83" t="n">
        <v>11.4</v>
      </c>
      <c r="BH118" s="83" t="n"/>
      <c r="BI118" s="83" t="n">
        <v>7.4</v>
      </c>
      <c r="BJ118" s="83" t="n">
        <v>1.5</v>
      </c>
      <c r="BK118" s="84">
        <f>IF('BBG Verify'!S118="","not filed; run on terminal",'BBG Verify'!S118)</f>
        <v/>
      </c>
      <c r="BL118" s="85" t="inlineStr">
        <is>
          <t>N</t>
        </is>
      </c>
      <c r="BM118" s="86">
        <f>IF('BBG Verify'!K118="","not filed; run on terminal",'BBG Verify'!K118)</f>
        <v/>
      </c>
      <c r="BN118" s="71" t="inlineStr">
        <is>
          <t>N/A</t>
        </is>
      </c>
      <c r="BO118" s="71" t="inlineStr">
        <is>
          <t>N/A</t>
        </is>
      </c>
      <c r="BP118" s="71" t="inlineStr">
        <is>
          <t>N/A</t>
        </is>
      </c>
      <c r="BQ118" s="71" t="inlineStr">
        <is>
          <t>N/A</t>
        </is>
      </c>
      <c r="BR118" s="71" t="inlineStr">
        <is>
          <t>N/A</t>
        </is>
      </c>
      <c r="BS118" s="71" t="inlineStr">
        <is>
          <t>N/A</t>
        </is>
      </c>
      <c r="BT118" s="85" t="inlineStr">
        <is>
          <t>ABCI Capital Limited</t>
        </is>
      </c>
      <c r="BU118" s="71" t="inlineStr">
        <is>
          <t>ABCI Capital Limited</t>
        </is>
      </c>
      <c r="BV118" s="71"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W118" s="71"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X118" s="87">
        <f>HYPERLINK("https://www1.hkexnews.hk/listedco/listconews/sehk/2022/0627/2022062700017.pdf","prospectus")</f>
        <v/>
      </c>
      <c r="BY118" s="87">
        <f>HYPERLINK("https://www1.hkexnews.hk/listedco/listconews/sehk/2022/0707/2022070700020.htm","allotment")</f>
        <v/>
      </c>
      <c r="BZ118" s="87">
        <f>HYPERLINK("https://www1.hkexnews.hk/listedco/listconews/sehk/2022/0801/2022080101943.pdf","stabilisation")</f>
        <v/>
      </c>
      <c r="CA118" s="85" t="n"/>
      <c r="CB118" s="71" t="inlineStr">
        <is>
          <t>cornerstone list: no cornerstone tranche; allocation: allocation table not in this notice's format (older prose announcement); day-1 tape: volume on file; the retail multiple needs the final public split, which this notice does not state</t>
        </is>
      </c>
    </row>
    <row r="119" ht="15" customHeight="1">
      <c r="A119" s="70" t="inlineStr">
        <is>
          <t>2392</t>
        </is>
      </c>
      <c r="B119" s="71" t="inlineStr">
        <is>
          <t>XUANWU CLOUD</t>
        </is>
      </c>
      <c r="C119" s="71" t="inlineStr">
        <is>
          <t>玄武雲</t>
        </is>
      </c>
      <c r="D119" s="71" t="inlineStr">
        <is>
          <t>Tech/AI</t>
        </is>
      </c>
      <c r="E119" s="71" t="inlineStr">
        <is>
          <t>SaaS / enterprise software</t>
        </is>
      </c>
      <c r="F119" s="71" t="inlineStr">
        <is>
          <t>Systems Software</t>
        </is>
      </c>
      <c r="G119" s="71" t="inlineStr">
        <is>
          <t>Standard</t>
        </is>
      </c>
      <c r="H119" s="72" t="n">
        <v>44750</v>
      </c>
      <c r="I119" s="73" t="n">
        <v>214.6</v>
      </c>
      <c r="J119" s="71" t="inlineStr">
        <is>
          <t>gross (price x shares)</t>
        </is>
      </c>
      <c r="K119" s="74" t="n">
        <v>4.93</v>
      </c>
      <c r="L119" s="74" t="n">
        <v>6.91</v>
      </c>
      <c r="M119" s="74" t="n">
        <v>6.24</v>
      </c>
      <c r="N119" s="71" t="inlineStr">
        <is>
          <t>N</t>
        </is>
      </c>
      <c r="O119" s="75" t="n">
        <v>90.3</v>
      </c>
      <c r="P119" s="75" t="n">
        <v>66.2</v>
      </c>
      <c r="Q119" s="76" t="n">
        <v>3871.8</v>
      </c>
      <c r="R119" s="71" t="inlineStr">
        <is>
          <t>aastocks:上市市值 at the struck price</t>
        </is>
      </c>
      <c r="S119" s="77" t="n">
        <v>42.13</v>
      </c>
      <c r="T119" s="78" t="n">
        <v>2.09</v>
      </c>
      <c r="U119" s="79" t="n">
        <v>27.2</v>
      </c>
      <c r="V119" s="80" t="n">
        <v>107</v>
      </c>
      <c r="W119" s="75" t="n">
        <v>30</v>
      </c>
      <c r="X119" s="71" t="inlineStr">
        <is>
          <t>YES</t>
        </is>
      </c>
      <c r="Y119" s="76" t="n">
        <v>156.23</v>
      </c>
      <c r="Z119" s="76" t="n">
        <v>25036284</v>
      </c>
      <c r="AA119" s="75" t="n">
        <v>4.04</v>
      </c>
      <c r="AB119" s="71" t="inlineStr">
        <is>
          <t>Colorful Cloud</t>
        </is>
      </c>
      <c r="AC119" s="71" t="inlineStr">
        <is>
          <t>colorful</t>
        </is>
      </c>
      <c r="AD119" s="75" t="n">
        <v>5.62</v>
      </c>
      <c r="AE119" s="71" t="inlineStr">
        <is>
          <t>lapsed</t>
        </is>
      </c>
      <c r="AF119" s="71" t="inlineStr">
        <is>
          <t>2022-07-30</t>
        </is>
      </c>
      <c r="AG119" s="71" t="inlineStr">
        <is>
          <t>CMB International Global Markets Limited</t>
        </is>
      </c>
      <c r="AH119" s="71" t="inlineStr">
        <is>
          <t>CMB</t>
        </is>
      </c>
      <c r="AI119" s="81" t="n">
        <v>-0.64</v>
      </c>
      <c r="AJ119" s="82" t="n">
        <v>0.64</v>
      </c>
      <c r="AK119" s="82" t="n">
        <v>0</v>
      </c>
      <c r="AL119" s="82" t="n">
        <v>0.64</v>
      </c>
      <c r="AM119" s="83" t="n">
        <v>1.15</v>
      </c>
      <c r="AN119" s="75" t="n">
        <v>10.26</v>
      </c>
      <c r="AO119" s="82" t="n">
        <v>-7.05</v>
      </c>
      <c r="AP119" s="82" t="n">
        <v>4.17</v>
      </c>
      <c r="AQ119" s="82" t="n">
        <v>-3.21</v>
      </c>
      <c r="AR119" s="82" t="n">
        <v>-7.64</v>
      </c>
      <c r="AS119" s="82" t="n">
        <v>3.51</v>
      </c>
      <c r="AT119" s="82" t="n">
        <v>-3.83</v>
      </c>
      <c r="AU119" s="82" t="n">
        <v>-0.33</v>
      </c>
      <c r="AV119" s="82" t="n">
        <v>12.94</v>
      </c>
      <c r="AW119" s="82" t="n">
        <v>22.36</v>
      </c>
      <c r="AX119" s="82" t="n">
        <v>12.93</v>
      </c>
      <c r="AY119" s="82" t="n">
        <v>-8.77</v>
      </c>
      <c r="AZ119" s="82" t="n">
        <v>-9.42</v>
      </c>
      <c r="BA119" s="71" t="inlineStr">
        <is>
          <t>HSTECH (Hang Seng TECH ETF)</t>
        </is>
      </c>
      <c r="BB119" s="82" t="n">
        <v>-83.81</v>
      </c>
      <c r="BC119" s="72" t="inlineStr">
        <is>
          <t>2026-09-22</t>
        </is>
      </c>
      <c r="BD119" s="73" t="n">
        <v>876.4</v>
      </c>
      <c r="BE119" s="76" t="n">
        <v>32.2</v>
      </c>
      <c r="BF119" s="71" t="inlineStr">
        <is>
          <t>Y</t>
        </is>
      </c>
      <c r="BG119" s="83" t="n">
        <v>120.2</v>
      </c>
      <c r="BH119" s="83" t="n"/>
      <c r="BI119" s="83" t="n"/>
      <c r="BJ119" s="83" t="n">
        <v>4.4</v>
      </c>
      <c r="BK119" s="84">
        <f>IF('BBG Verify'!S119="","not filed; run on terminal",'BBG Verify'!S119)</f>
        <v/>
      </c>
      <c r="BL119" s="85" t="inlineStr">
        <is>
          <t>N</t>
        </is>
      </c>
      <c r="BM119" s="86">
        <f>IF('BBG Verify'!K119="","not filed; run on terminal",'BBG Verify'!K119)</f>
        <v/>
      </c>
      <c r="BN119" s="71" t="inlineStr">
        <is>
          <t>N/A</t>
        </is>
      </c>
      <c r="BO119" s="71" t="inlineStr">
        <is>
          <t>N/A</t>
        </is>
      </c>
      <c r="BP119" s="71" t="inlineStr">
        <is>
          <t>N/A</t>
        </is>
      </c>
      <c r="BQ119" s="71" t="inlineStr">
        <is>
          <t>N/A</t>
        </is>
      </c>
      <c r="BR119" s="71" t="inlineStr">
        <is>
          <t>N/A</t>
        </is>
      </c>
      <c r="BS119" s="71" t="inlineStr">
        <is>
          <t>N/A</t>
        </is>
      </c>
      <c r="BT119" s="85" t="inlineStr">
        <is>
          <t>CMB International Capital Limited</t>
        </is>
      </c>
      <c r="BU119" s="71" t="inlineStr">
        <is>
          <t>CMB International Capital Corporation Limited</t>
        </is>
      </c>
      <c r="BV119" s="71" t="inlineStr">
        <is>
          <t>CMB International Capital Limited; Huatai Financial Holdings (Hong Kong) Limited; CLSA Limited; Guotai Junan Securities (Hong Kong) Limited; Citrus Securities Limited</t>
        </is>
      </c>
      <c r="BW119" s="71" t="inlineStr">
        <is>
          <t>Citrus Securities Limited; CLSA Limited; CMB International Capital Limited; Guotai Junan Securities (Hong Kong) Limited; Huatai Financial Holdings (Hong Kong) Limited; Livermore Holdings Limited</t>
        </is>
      </c>
      <c r="BX119" s="87">
        <f>HYPERLINK("https://www1.hkexnews.hk/listedco/listconews/sehk/2022/0624/2022062400033.pdf","prospectus")</f>
        <v/>
      </c>
      <c r="BY119" s="87">
        <f>HYPERLINK("https://www1.hkexnews.hk/listedco/listconews/sehk/2022/0707/2022070700032.htm","allotment")</f>
        <v/>
      </c>
      <c r="BZ119" s="87">
        <f>HYPERLINK("https://www1.hkexnews.hk/listedco/listconews/sehk/2022/0731/2022073100021.pdf","stabilisation")</f>
        <v/>
      </c>
      <c r="CA119" s="85" t="n"/>
      <c r="CB119" s="71" t="inlineStr">
        <is>
          <t>market cap: published listing cap used; the estimate from stated market capitalisation disagreed</t>
        </is>
      </c>
    </row>
    <row r="120" ht="15" customHeight="1">
      <c r="A120" s="70" t="inlineStr">
        <is>
          <t>2297</t>
        </is>
      </c>
      <c r="B120" s="71" t="inlineStr">
        <is>
          <t>RAINMED-B</t>
        </is>
      </c>
      <c r="C120" s="71" t="inlineStr">
        <is>
          <t>潤邁德－Ｂ</t>
        </is>
      </c>
      <c r="D120" s="71" t="inlineStr">
        <is>
          <t>Healthcare</t>
        </is>
      </c>
      <c r="E120" s="71" t="inlineStr">
        <is>
          <t>Medical devices</t>
        </is>
      </c>
      <c r="F120" s="71" t="inlineStr">
        <is>
          <t>Biotechnology - Medical Devices</t>
        </is>
      </c>
      <c r="G120" s="71" t="inlineStr">
        <is>
          <t>18A</t>
        </is>
      </c>
      <c r="H120" s="72" t="n">
        <v>44750</v>
      </c>
      <c r="I120" s="73" t="n">
        <v>145.7</v>
      </c>
      <c r="J120" s="71" t="inlineStr">
        <is>
          <t>gross (price x shares)</t>
        </is>
      </c>
      <c r="K120" s="74" t="n"/>
      <c r="L120" s="74" t="n">
        <v>6.24</v>
      </c>
      <c r="M120" s="74" t="n">
        <v>6.24</v>
      </c>
      <c r="N120" s="71" t="inlineStr">
        <is>
          <t>Y</t>
        </is>
      </c>
      <c r="O120" s="75" t="n">
        <v>100</v>
      </c>
      <c r="P120" s="75" t="n"/>
      <c r="Q120" s="76" t="n">
        <v>7287.1</v>
      </c>
      <c r="R120" s="71" t="inlineStr">
        <is>
          <t>aastocks:上市市值 at the struck price</t>
        </is>
      </c>
      <c r="S120" s="77" t="n">
        <v>6.35</v>
      </c>
      <c r="T120" s="78" t="n">
        <v>1.34</v>
      </c>
      <c r="U120" s="79" t="n">
        <v>0</v>
      </c>
      <c r="V120" s="80" t="n">
        <v>154</v>
      </c>
      <c r="W120" s="75" t="n"/>
      <c r="X120" s="71" t="n"/>
      <c r="Y120" s="76" t="n">
        <v>145.7</v>
      </c>
      <c r="Z120" s="76" t="n">
        <v>23348000</v>
      </c>
      <c r="AA120" s="75" t="n">
        <v>2</v>
      </c>
      <c r="AB120" s="71" t="n"/>
      <c r="AC120" s="71" t="n"/>
      <c r="AD120" s="75" t="n">
        <v>18.4</v>
      </c>
      <c r="AE120" s="71" t="inlineStr">
        <is>
          <t>partial</t>
        </is>
      </c>
      <c r="AF120" s="71" t="inlineStr">
        <is>
          <t>2022-07-30</t>
        </is>
      </c>
      <c r="AG120" s="71" t="inlineStr">
        <is>
          <t>Huatai Financial Holdings</t>
        </is>
      </c>
      <c r="AH120" s="71" t="inlineStr">
        <is>
          <t>Huatai</t>
        </is>
      </c>
      <c r="AI120" s="81" t="n">
        <v>-0.64</v>
      </c>
      <c r="AJ120" s="82" t="n">
        <v>-15.38</v>
      </c>
      <c r="AK120" s="82" t="n">
        <v>-10.26</v>
      </c>
      <c r="AL120" s="82" t="n">
        <v>-5.71</v>
      </c>
      <c r="AM120" s="83" t="n"/>
      <c r="AN120" s="75" t="n">
        <v>19.64</v>
      </c>
      <c r="AO120" s="82" t="n">
        <v>-18.11</v>
      </c>
      <c r="AP120" s="82" t="n">
        <v>-33.49</v>
      </c>
      <c r="AQ120" s="82" t="n">
        <v>-52.88</v>
      </c>
      <c r="AR120" s="82" t="n">
        <v>-3.23</v>
      </c>
      <c r="AS120" s="82" t="n">
        <v>-21.4</v>
      </c>
      <c r="AT120" s="82" t="n">
        <v>-44.32</v>
      </c>
      <c r="AU120" s="82" t="n">
        <v>-13.29</v>
      </c>
      <c r="AV120" s="82" t="n">
        <v>-25.89</v>
      </c>
      <c r="AW120" s="82" t="n">
        <v>-28.65</v>
      </c>
      <c r="AX120" s="82" t="n">
        <v>-14.39</v>
      </c>
      <c r="AY120" s="82" t="n">
        <v>-7.6</v>
      </c>
      <c r="AZ120" s="82" t="n">
        <v>-7.01</v>
      </c>
      <c r="BA120" s="71" t="inlineStr">
        <is>
          <t>China Biotech ETF (HS biotech proxy)</t>
        </is>
      </c>
      <c r="BB120" s="82" t="n">
        <v>-97.44</v>
      </c>
      <c r="BC120" s="72" t="inlineStr">
        <is>
          <t>2026-09-23</t>
        </is>
      </c>
      <c r="BD120" s="73" t="n">
        <v>89.3</v>
      </c>
      <c r="BE120" s="76" t="n">
        <v>-697</v>
      </c>
      <c r="BF120" s="71" t="inlineStr">
        <is>
          <t>N</t>
        </is>
      </c>
      <c r="BG120" s="71" t="inlineStr">
        <is>
          <t>n/m</t>
        </is>
      </c>
      <c r="BH120" s="83" t="n"/>
      <c r="BI120" s="83" t="n"/>
      <c r="BJ120" s="83" t="n">
        <v>81.59999999999999</v>
      </c>
      <c r="BK120" s="84">
        <f>IF('BBG Verify'!S120="","not filed; run on terminal",'BBG Verify'!S120)</f>
        <v/>
      </c>
      <c r="BL120" s="85" t="inlineStr">
        <is>
          <t>N</t>
        </is>
      </c>
      <c r="BM120" s="86">
        <f>IF('BBG Verify'!K120="","not filed; run on terminal",'BBG Verify'!K120)</f>
        <v/>
      </c>
      <c r="BN120" s="71" t="inlineStr">
        <is>
          <t>N/A</t>
        </is>
      </c>
      <c r="BO120" s="71" t="inlineStr">
        <is>
          <t>N/A</t>
        </is>
      </c>
      <c r="BP120" s="71" t="inlineStr">
        <is>
          <t>N/A</t>
        </is>
      </c>
      <c r="BQ120" s="71" t="inlineStr">
        <is>
          <t>N/A</t>
        </is>
      </c>
      <c r="BR120" s="71" t="inlineStr">
        <is>
          <t>N/A</t>
        </is>
      </c>
      <c r="BS120" s="71" t="inlineStr">
        <is>
          <t>N/A</t>
        </is>
      </c>
      <c r="BT120" s="85" t="inlineStr">
        <is>
          <t>Huatai Financial Holdings (Hong Kong) Limited</t>
        </is>
      </c>
      <c r="BU120" s="71" t="inlineStr">
        <is>
          <t>Huatai Financial Holdings (Hong Kong) Limited</t>
        </is>
      </c>
      <c r="BV120" s="71" t="inlineStr">
        <is>
          <t>Huatai Financial Holdings (Hong Kong) Limited; Zhongtai International Securities Limited; BOCOM International Securities Limited; Eddid Securities and Futures Limited</t>
        </is>
      </c>
      <c r="BW120" s="71" t="inlineStr">
        <is>
          <t>Beta International Securities Limited; Eddid Securities and Futures Limited; Huatai Financial Holdings (Hong Kong) Limited; Livermore Holdings Limited; Zhongtai International Securities Limited</t>
        </is>
      </c>
      <c r="BX120" s="87">
        <f>HYPERLINK("https://www1.hkexnews.hk/listedco/listconews/sehk/2022/0627/2022062700021.pdf","prospectus")</f>
        <v/>
      </c>
      <c r="BY120" s="87">
        <f>HYPERLINK("https://www1.hkexnews.hk/listedco/listconews/sehk/2022/0707/2022070700056.htm","allotment")</f>
        <v/>
      </c>
      <c r="BZ120" s="87">
        <f>HYPERLINK("https://www1.hkexnews.hk/listedco/listconews/sehk/2022/0801/2022080100005.pdf","stabilisation")</f>
        <v/>
      </c>
      <c r="CA120" s="85" t="n"/>
      <c r="CB120" s="71" t="inlineStr">
        <is>
          <t>P/E: loss-making at IPO, use P/S; range low: maximum offer price only, no floor published; market cap: published listing cap used; the estimate from stated market capitalisation disagreed; cornerstone list: no cornerstone tranche; allocation: allocation table not in this notice's format (older prose announcement); day-1 tape: volume on file; the retail multiple needs the final public split, which this notice does not state</t>
        </is>
      </c>
    </row>
    <row r="121" ht="15" customHeight="1">
      <c r="A121" s="70" t="inlineStr">
        <is>
          <t>2361</t>
        </is>
      </c>
      <c r="B121" s="71" t="inlineStr">
        <is>
          <t>SINOHEALTH HLDG</t>
        </is>
      </c>
      <c r="C121" s="71" t="inlineStr">
        <is>
          <t>中康科技控股</t>
        </is>
      </c>
      <c r="D121" s="71" t="inlineStr">
        <is>
          <t>Healthcare</t>
        </is>
      </c>
      <c r="E121" s="71" t="inlineStr">
        <is>
          <t>Digital health</t>
        </is>
      </c>
      <c r="F121" s="71" t="inlineStr">
        <is>
          <t>Health Care Services</t>
        </is>
      </c>
      <c r="G121" s="71" t="inlineStr">
        <is>
          <t>Standard</t>
        </is>
      </c>
      <c r="H121" s="72" t="n">
        <v>44754</v>
      </c>
      <c r="I121" s="73" t="n">
        <v>402</v>
      </c>
      <c r="J121" s="71" t="inlineStr">
        <is>
          <t>gross (price x shares)</t>
        </is>
      </c>
      <c r="K121" s="74" t="n">
        <v>5.36</v>
      </c>
      <c r="L121" s="74" t="n">
        <v>6.96</v>
      </c>
      <c r="M121" s="74" t="n">
        <v>5.36</v>
      </c>
      <c r="N121" s="71" t="inlineStr">
        <is>
          <t>N</t>
        </is>
      </c>
      <c r="O121" s="75" t="n">
        <v>77</v>
      </c>
      <c r="P121" s="75" t="n">
        <v>0</v>
      </c>
      <c r="Q121" s="76" t="n">
        <v>2978.1</v>
      </c>
      <c r="R121" s="71" t="inlineStr">
        <is>
          <t>aastocks:上市市值 at the struck price</t>
        </is>
      </c>
      <c r="S121" s="77" t="n">
        <v>2.21</v>
      </c>
      <c r="T121" s="78" t="n">
        <v>1.36</v>
      </c>
      <c r="U121" s="79" t="n">
        <v>13.8</v>
      </c>
      <c r="V121" s="80" t="n">
        <v>137</v>
      </c>
      <c r="W121" s="75" t="n"/>
      <c r="X121" s="71" t="n"/>
      <c r="Y121" s="76" t="n">
        <v>346.52</v>
      </c>
      <c r="Z121" s="76" t="n">
        <v>64650000</v>
      </c>
      <c r="AA121" s="75" t="n">
        <v>11.64</v>
      </c>
      <c r="AB121" s="71" t="inlineStr">
        <is>
          <t>Baheal Wellness Limited; Kangshi No.1 LP; Luns Family Holdings Limited; Zheng Jingjie</t>
        </is>
      </c>
      <c r="AC121" s="71" t="inlineStr">
        <is>
          <t>baheal;kangshi;luns;zheng-jingjie</t>
        </is>
      </c>
      <c r="AD121" s="75" t="n">
        <v>16.6667</v>
      </c>
      <c r="AE121" s="71" t="inlineStr">
        <is>
          <t>partial</t>
        </is>
      </c>
      <c r="AF121" s="71" t="n"/>
      <c r="AG121" s="71" t="inlineStr">
        <is>
          <t>BNP Paribas Securities</t>
        </is>
      </c>
      <c r="AH121" s="71" t="inlineStr">
        <is>
          <t>BNP Paribas</t>
        </is>
      </c>
      <c r="AI121" s="81" t="n">
        <v>-14.18</v>
      </c>
      <c r="AJ121" s="82" t="n">
        <v>0</v>
      </c>
      <c r="AK121" s="82" t="n">
        <v>-11.57</v>
      </c>
      <c r="AL121" s="82" t="n">
        <v>13.08</v>
      </c>
      <c r="AM121" s="83" t="n"/>
      <c r="AN121" s="75" t="n">
        <v>25.53</v>
      </c>
      <c r="AO121" s="82" t="n">
        <v>11.94</v>
      </c>
      <c r="AP121" s="82" t="n">
        <v>-1.49</v>
      </c>
      <c r="AQ121" s="82" t="n">
        <v>-38.06</v>
      </c>
      <c r="AR121" s="82" t="n">
        <v>11.94</v>
      </c>
      <c r="AS121" s="82" t="n">
        <v>-1.49</v>
      </c>
      <c r="AT121" s="82" t="n">
        <v>-38.06</v>
      </c>
      <c r="AU121" s="82" t="n">
        <v>15.54</v>
      </c>
      <c r="AV121" s="82" t="n">
        <v>7.56</v>
      </c>
      <c r="AW121" s="82" t="n">
        <v>-12.31</v>
      </c>
      <c r="AX121" s="82" t="n">
        <v>4.62</v>
      </c>
      <c r="AY121" s="82" t="n">
        <v>-9.050000000000001</v>
      </c>
      <c r="AZ121" s="82" t="n">
        <v>-6.11</v>
      </c>
      <c r="BA121" s="71" t="inlineStr">
        <is>
          <t>China Biotech ETF (HS biotech proxy)</t>
        </is>
      </c>
      <c r="BB121" s="82" t="n">
        <v>-25.09</v>
      </c>
      <c r="BC121" s="72" t="inlineStr">
        <is>
          <t>2026-09-23</t>
        </is>
      </c>
      <c r="BD121" s="73" t="n">
        <v>356.6</v>
      </c>
      <c r="BE121" s="76" t="n">
        <v>79.2</v>
      </c>
      <c r="BF121" s="71" t="inlineStr">
        <is>
          <t>Y</t>
        </is>
      </c>
      <c r="BG121" s="83" t="n">
        <v>37.6</v>
      </c>
      <c r="BH121" s="83" t="n"/>
      <c r="BI121" s="83" t="n">
        <v>22.1</v>
      </c>
      <c r="BJ121" s="83" t="n">
        <v>8.4</v>
      </c>
      <c r="BK121" s="84">
        <f>IF('BBG Verify'!S121="","not filed; run on terminal",'BBG Verify'!S121)</f>
        <v/>
      </c>
      <c r="BL121" s="85" t="inlineStr">
        <is>
          <t>N</t>
        </is>
      </c>
      <c r="BM121" s="86">
        <f>IF('BBG Verify'!K121="","not filed; run on terminal",'BBG Verify'!K121)</f>
        <v/>
      </c>
      <c r="BN121" s="71" t="inlineStr">
        <is>
          <t>N/A</t>
        </is>
      </c>
      <c r="BO121" s="71" t="inlineStr">
        <is>
          <t>N/A</t>
        </is>
      </c>
      <c r="BP121" s="71" t="inlineStr">
        <is>
          <t>N/A</t>
        </is>
      </c>
      <c r="BQ121" s="71" t="inlineStr">
        <is>
          <t>N/A</t>
        </is>
      </c>
      <c r="BR121" s="71" t="inlineStr">
        <is>
          <t>N/A</t>
        </is>
      </c>
      <c r="BS121" s="71" t="inlineStr">
        <is>
          <t>N/A</t>
        </is>
      </c>
      <c r="BT121" s="85" t="inlineStr">
        <is>
          <t>BNP Paribas Securities (Asia) Limited</t>
        </is>
      </c>
      <c r="BU121" s="71" t="inlineStr">
        <is>
          <t>BNP Paribas Securities (Asia) Limited</t>
        </is>
      </c>
      <c r="BV121" s="71" t="inlineStr">
        <is>
          <t>BNP Paribas Securities (Asia) Limited; CCB International Capital Limited; Orient Securities (Hong Kong) Limited</t>
        </is>
      </c>
      <c r="BW121" s="71"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X121" s="87">
        <f>HYPERLINK("https://www1.hkexnews.hk/listedco/listconews/sehk/2022/0628/2022062800038.pdf","prospectus")</f>
        <v/>
      </c>
      <c r="BY121" s="87">
        <f>HYPERLINK("https://www1.hkexnews.hk/listedco/listconews/sehk/2022/0711/2022071100010.htm","allotment")</f>
        <v/>
      </c>
      <c r="BZ121" s="87">
        <f>HYPERLINK("https://www1.hkexnews.hk/listedco/listconews/sehk/2022/0804/2022080401926.pdf","stabilisation")</f>
        <v/>
      </c>
      <c r="CA121" s="85" t="n"/>
      <c r="CB121" s="71" t="inlineStr">
        <is>
          <t>greenshoe: outcome published; expiry date not in the notice; allocation: allocation table not in this notice's format (older prose announcement); day-1 tape: volume on file; the retail multiple needs the final public split, which this notice does not state</t>
        </is>
      </c>
    </row>
    <row r="122" ht="15" customHeight="1">
      <c r="A122" s="70" t="inlineStr">
        <is>
          <t>2385</t>
        </is>
      </c>
      <c r="B122" s="71" t="inlineStr">
        <is>
          <t>READBOY</t>
        </is>
      </c>
      <c r="C122" s="71" t="inlineStr">
        <is>
          <t>讀書郎</t>
        </is>
      </c>
      <c r="D122" s="71" t="inlineStr">
        <is>
          <t>Tech/AI</t>
        </is>
      </c>
      <c r="E122" s="71" t="inlineStr">
        <is>
          <t>Smart hardware / consumer electronics</t>
        </is>
      </c>
      <c r="F122" s="71" t="inlineStr">
        <is>
          <t>Education Services</t>
        </is>
      </c>
      <c r="G122" s="71" t="inlineStr">
        <is>
          <t>Standard</t>
        </is>
      </c>
      <c r="H122" s="72" t="n">
        <v>44754</v>
      </c>
      <c r="I122" s="73" t="n">
        <v>395.2</v>
      </c>
      <c r="J122" s="71" t="inlineStr">
        <is>
          <t>gross (price x shares)</t>
        </is>
      </c>
      <c r="K122" s="74" t="n">
        <v>7.6</v>
      </c>
      <c r="L122" s="74" t="n">
        <v>10</v>
      </c>
      <c r="M122" s="74" t="n">
        <v>7.6</v>
      </c>
      <c r="N122" s="71" t="inlineStr">
        <is>
          <t>N</t>
        </is>
      </c>
      <c r="O122" s="75" t="n">
        <v>76</v>
      </c>
      <c r="P122" s="75" t="n">
        <v>0</v>
      </c>
      <c r="Q122" s="76" t="n">
        <v>3317.2</v>
      </c>
      <c r="R122" s="71" t="inlineStr">
        <is>
          <t>aastocks:上市市值 at the struck price</t>
        </is>
      </c>
      <c r="S122" s="77" t="n">
        <v>1.73</v>
      </c>
      <c r="T122" s="78" t="n">
        <v>1.62</v>
      </c>
      <c r="U122" s="79" t="n">
        <v>54.22</v>
      </c>
      <c r="V122" s="80" t="n">
        <v>133</v>
      </c>
      <c r="W122" s="75" t="n"/>
      <c r="X122" s="71" t="n"/>
      <c r="Y122" s="76" t="n">
        <v>180.92</v>
      </c>
      <c r="Z122" s="76" t="n">
        <v>23805600</v>
      </c>
      <c r="AA122" s="75" t="n">
        <v>5.45</v>
      </c>
      <c r="AB122" s="71" t="inlineStr">
        <is>
          <t>Azure Telecommunication; Eastland; Gold Synergy; Gui Chunfang; Jin Tao; Tower Lead; Yang Xiaojie; Zheng Changping</t>
        </is>
      </c>
      <c r="AC122" s="71" t="inlineStr">
        <is>
          <t>azure;eastland;gold;gui;jin-tao;tower;yang-xiaojie;zheng-changping</t>
        </is>
      </c>
      <c r="AD122" s="75" t="n">
        <v>15</v>
      </c>
      <c r="AE122" s="71" t="inlineStr">
        <is>
          <t>lapsed</t>
        </is>
      </c>
      <c r="AF122" s="71" t="inlineStr">
        <is>
          <t>2022-08-04</t>
        </is>
      </c>
      <c r="AG122" s="71" t="inlineStr">
        <is>
          <t>China Securities</t>
        </is>
      </c>
      <c r="AH122" s="71" t="inlineStr">
        <is>
          <t>China Securities</t>
        </is>
      </c>
      <c r="AI122" s="81" t="n">
        <v>-3.03</v>
      </c>
      <c r="AJ122" s="82" t="n">
        <v>-5.26</v>
      </c>
      <c r="AK122" s="82" t="n">
        <v>-28.95</v>
      </c>
      <c r="AL122" s="82" t="n">
        <v>33.34</v>
      </c>
      <c r="AM122" s="83" t="n"/>
      <c r="AN122" s="75" t="n">
        <v>37.96</v>
      </c>
      <c r="AO122" s="82" t="n">
        <v>-3.03</v>
      </c>
      <c r="AP122" s="82" t="n">
        <v>-7.89</v>
      </c>
      <c r="AQ122" s="82" t="n">
        <v>-6.32</v>
      </c>
      <c r="AR122" s="82" t="n">
        <v>2.35</v>
      </c>
      <c r="AS122" s="82" t="n">
        <v>-2.78</v>
      </c>
      <c r="AT122" s="82" t="n">
        <v>-1.12</v>
      </c>
      <c r="AU122" s="82" t="n">
        <v>-1.27</v>
      </c>
      <c r="AV122" s="82" t="n">
        <v>1.14</v>
      </c>
      <c r="AW122" s="82" t="n">
        <v>22.53</v>
      </c>
      <c r="AX122" s="82" t="n">
        <v>4.83</v>
      </c>
      <c r="AY122" s="82" t="n">
        <v>-9.029999999999999</v>
      </c>
      <c r="AZ122" s="82" t="n">
        <v>-7.61</v>
      </c>
      <c r="BA122" s="71" t="inlineStr">
        <is>
          <t>HSTECH (Hang Seng TECH ETF)</t>
        </is>
      </c>
      <c r="BB122" s="82" t="n">
        <v>-32.5</v>
      </c>
      <c r="BC122" s="72" t="inlineStr">
        <is>
          <t>2026-09-23</t>
        </is>
      </c>
      <c r="BD122" s="73" t="n">
        <v>894.5</v>
      </c>
      <c r="BE122" s="76" t="n">
        <v>90.40000000000001</v>
      </c>
      <c r="BF122" s="71" t="inlineStr">
        <is>
          <t>Y</t>
        </is>
      </c>
      <c r="BG122" s="83" t="n">
        <v>36.7</v>
      </c>
      <c r="BH122" s="83" t="n"/>
      <c r="BI122" s="83" t="n"/>
      <c r="BJ122" s="83" t="n">
        <v>3.7</v>
      </c>
      <c r="BK122" s="84">
        <f>IF('BBG Verify'!S122="","not filed; run on terminal",'BBG Verify'!S122)</f>
        <v/>
      </c>
      <c r="BL122" s="85" t="inlineStr">
        <is>
          <t>N</t>
        </is>
      </c>
      <c r="BM122" s="86">
        <f>IF('BBG Verify'!K122="","not filed; run on terminal",'BBG Verify'!K122)</f>
        <v/>
      </c>
      <c r="BN122" s="71" t="inlineStr">
        <is>
          <t>N/A</t>
        </is>
      </c>
      <c r="BO122" s="71" t="inlineStr">
        <is>
          <t>N/A</t>
        </is>
      </c>
      <c r="BP122" s="71" t="inlineStr">
        <is>
          <t>N/A</t>
        </is>
      </c>
      <c r="BQ122" s="71" t="inlineStr">
        <is>
          <t>N/A</t>
        </is>
      </c>
      <c r="BR122" s="71" t="inlineStr">
        <is>
          <t>N/A</t>
        </is>
      </c>
      <c r="BS122" s="71" t="inlineStr">
        <is>
          <t>N/A</t>
        </is>
      </c>
      <c r="BT122" s="85" t="inlineStr">
        <is>
          <t>China Securities (International) Corporate Finance Company Limited; Macquarie Capital Limited</t>
        </is>
      </c>
      <c r="BU122" s="71" t="inlineStr">
        <is>
          <t>China Securities (International) Corporate Finance Company Limited; Macquarie Capital Limited</t>
        </is>
      </c>
      <c r="BV122" s="71" t="inlineStr">
        <is>
          <t>China Securities (International) Corporate Finance Company Limited; Macquarie Capital Limited</t>
        </is>
      </c>
      <c r="BW122" s="71"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X122" s="87">
        <f>HYPERLINK("https://www1.hkexnews.hk/listedco/listconews/sehk/2022/0629/2022062900037.pdf","prospectus")</f>
        <v/>
      </c>
      <c r="BY122" s="87">
        <f>HYPERLINK("https://www1.hkexnews.hk/listedco/listconews/sehk/2022/0711/2022071100024.htm","allotment")</f>
        <v/>
      </c>
      <c r="BZ122" s="87">
        <f>HYPERLINK("https://www1.hkexnews.hk/listedco/listconews/sehk/2022/0804/2022080401924.pdf","stabilisation")</f>
        <v/>
      </c>
      <c r="CA122" s="85" t="n"/>
      <c r="CB122" s="71"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23" ht="15" customHeight="1">
      <c r="A123" s="70" t="inlineStr">
        <is>
          <t>9896</t>
        </is>
      </c>
      <c r="B123" s="71" t="inlineStr">
        <is>
          <t>MNSO</t>
        </is>
      </c>
      <c r="C123" s="71" t="inlineStr">
        <is>
          <t>名創優品</t>
        </is>
      </c>
      <c r="D123" s="71" t="inlineStr">
        <is>
          <t>Consumer</t>
        </is>
      </c>
      <c r="E123" s="71" t="inlineStr">
        <is>
          <t>Retail / distribution</t>
        </is>
      </c>
      <c r="F123" s="71" t="inlineStr">
        <is>
          <t>Hypermarkets, Supermarkets &amp; Convenience Stores</t>
        </is>
      </c>
      <c r="G123" s="71" t="inlineStr">
        <is>
          <t>Standard</t>
        </is>
      </c>
      <c r="H123" s="72" t="n">
        <v>44755</v>
      </c>
      <c r="I123" s="73" t="n">
        <v>475.7</v>
      </c>
      <c r="J123" s="71" t="inlineStr">
        <is>
          <t>net proceeds</t>
        </is>
      </c>
      <c r="K123" s="74" t="n"/>
      <c r="L123" s="74" t="n">
        <v>13.8</v>
      </c>
      <c r="M123" s="74" t="n">
        <v>13.8</v>
      </c>
      <c r="N123" s="71" t="inlineStr">
        <is>
          <t>Y</t>
        </is>
      </c>
      <c r="O123" s="75" t="n">
        <v>100</v>
      </c>
      <c r="P123" s="75" t="n"/>
      <c r="Q123" s="76" t="n">
        <v>12856.8</v>
      </c>
      <c r="R123" s="71" t="inlineStr">
        <is>
          <t>derived:deal size / offer % of enlarged capital</t>
        </is>
      </c>
      <c r="S123" s="77" t="n">
        <v>1.4</v>
      </c>
      <c r="T123" s="78" t="n">
        <v>4.84</v>
      </c>
      <c r="U123" s="79" t="n"/>
      <c r="V123" s="80" t="n">
        <v>123</v>
      </c>
      <c r="W123" s="75" t="n"/>
      <c r="X123" s="71" t="n"/>
      <c r="Y123" s="76" t="n">
        <v>475.7</v>
      </c>
      <c r="Z123" s="76" t="n"/>
      <c r="AA123" s="75" t="n">
        <v>3.7</v>
      </c>
      <c r="AB123" s="71" t="n"/>
      <c r="AC123" s="71" t="n"/>
      <c r="AD123" s="75" t="n">
        <v>5</v>
      </c>
      <c r="AE123" s="71" t="inlineStr">
        <is>
          <t>partial</t>
        </is>
      </c>
      <c r="AF123" s="71" t="n"/>
      <c r="AG123" s="71" t="inlineStr">
        <is>
          <t>Merrill Lynch International</t>
        </is>
      </c>
      <c r="AH123" s="71" t="inlineStr">
        <is>
          <t>Merrill Lynch</t>
        </is>
      </c>
      <c r="AI123" s="81" t="n">
        <v>-4.35</v>
      </c>
      <c r="AJ123" s="82" t="n">
        <v>-3.04</v>
      </c>
      <c r="AK123" s="82" t="n">
        <v>-4.35</v>
      </c>
      <c r="AL123" s="82" t="n">
        <v>1.37</v>
      </c>
      <c r="AM123" s="83" t="n"/>
      <c r="AN123" s="75" t="n">
        <v>4.09</v>
      </c>
      <c r="AO123" s="82" t="n">
        <v>3.77</v>
      </c>
      <c r="AP123" s="82" t="n">
        <v>-12.9</v>
      </c>
      <c r="AQ123" s="82" t="n">
        <v>-26.23</v>
      </c>
      <c r="AR123" s="82" t="n">
        <v>7.02</v>
      </c>
      <c r="AS123" s="82" t="n">
        <v>-10.17</v>
      </c>
      <c r="AT123" s="82" t="n">
        <v>-23.92</v>
      </c>
      <c r="AU123" s="82" t="n">
        <v>1.69</v>
      </c>
      <c r="AV123" s="82" t="n">
        <v>-9.449999999999999</v>
      </c>
      <c r="AW123" s="82" t="n">
        <v>-5.92</v>
      </c>
      <c r="AX123" s="82" t="n">
        <v>-6.55</v>
      </c>
      <c r="AY123" s="82" t="n">
        <v>-3.45</v>
      </c>
      <c r="AZ123" s="82" t="n">
        <v>-3.62</v>
      </c>
      <c r="BA123" s="71" t="inlineStr">
        <is>
          <t>Hang Seng Commerce &amp; Industry sub-index</t>
        </is>
      </c>
      <c r="BB123" s="82" t="n">
        <v>28.41</v>
      </c>
      <c r="BC123" s="72" t="inlineStr">
        <is>
          <t>2026-09-23</t>
        </is>
      </c>
      <c r="BD123" s="73" t="n">
        <v>11094.2</v>
      </c>
      <c r="BE123" s="76" t="n">
        <v>702</v>
      </c>
      <c r="BF123" s="71" t="inlineStr">
        <is>
          <t>Y</t>
        </is>
      </c>
      <c r="BG123" s="83" t="n">
        <v>18.3</v>
      </c>
      <c r="BH123" s="83" t="n"/>
      <c r="BI123" s="83" t="n"/>
      <c r="BJ123" s="83" t="n">
        <v>1.2</v>
      </c>
      <c r="BK123" s="84">
        <f>IF('BBG Verify'!S123="","not filed; run on terminal",'BBG Verify'!S123)</f>
        <v/>
      </c>
      <c r="BL123" s="85" t="inlineStr">
        <is>
          <t>N</t>
        </is>
      </c>
      <c r="BM123" s="86">
        <f>IF('BBG Verify'!K123="","not filed; run on terminal",'BBG Verify'!K123)</f>
        <v/>
      </c>
      <c r="BN123" s="71" t="inlineStr">
        <is>
          <t>N/A</t>
        </is>
      </c>
      <c r="BO123" s="71" t="inlineStr">
        <is>
          <t>N/A</t>
        </is>
      </c>
      <c r="BP123" s="71" t="inlineStr">
        <is>
          <t>N/A</t>
        </is>
      </c>
      <c r="BQ123" s="71" t="inlineStr">
        <is>
          <t>N/A</t>
        </is>
      </c>
      <c r="BR123" s="71" t="inlineStr">
        <is>
          <t>N/A</t>
        </is>
      </c>
      <c r="BS123" s="71" t="inlineStr">
        <is>
          <t>N/A</t>
        </is>
      </c>
      <c r="BT123" s="85" t="n"/>
      <c r="BU123" s="71" t="inlineStr">
        <is>
          <t>Haitong International Capital Limited; UBS Securities Hong Kong Limited; Merrill Lynch (Asia Pacific) Limited</t>
        </is>
      </c>
      <c r="BV123" s="71" t="inlineStr">
        <is>
          <t>Futu Securities International (Hong Kong) Limited; GF Securities (Hong Kong) Brokerage Limited; Haitong International Securities Company Limited; Merrill Lynch (Asia Pacific) Limited; UBS AG Hong Kong Branch</t>
        </is>
      </c>
      <c r="BW123" s="71" t="inlineStr">
        <is>
          <t>Futu Securities International (Hong Kong) Limited; GF Securities (Hong Kong) Brokerage Limited; Haitong International Securities Company Limited; Merrill Lynch (Asia Pacific) Limited; UBS AG Hong Kong Branch</t>
        </is>
      </c>
      <c r="BX123" s="87">
        <f>HYPERLINK("https://www1.hkexnews.hk/listedco/listconews/sehk/2022/0630/2022063000250.htm","prospectus")</f>
        <v/>
      </c>
      <c r="BY123" s="87">
        <f>HYPERLINK("https://www1.hkexnews.hk/listedco/listconews/sehk/2022/0712/2022071200016.htm","allotment")</f>
        <v/>
      </c>
      <c r="BZ123" s="87">
        <f>HYPERLINK("https://www1.hkexnews.hk/listedco/listconews/sehk/2022/0805/2022080501253.pdf","stabilisation")</f>
        <v/>
      </c>
      <c r="CA123" s="85" t="n"/>
      <c r="CB123"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eff float shares: share count unavailable; the HK$m figure is exact; allocation: allocation table not in this notice's format (older prose announcement); day-1 tape: volume on file; the retail multiple needs the final public split, which this notice does not state</t>
        </is>
      </c>
    </row>
    <row r="124" ht="15" customHeight="1">
      <c r="A124" s="70" t="inlineStr">
        <is>
          <t>6661</t>
        </is>
      </c>
      <c r="B124" s="71" t="inlineStr">
        <is>
          <t>HUZHOU GAS</t>
        </is>
      </c>
      <c r="C124" s="71" t="inlineStr">
        <is>
          <t>湖州燃氣</t>
        </is>
      </c>
      <c r="D124" s="71" t="inlineStr">
        <is>
          <t>Materials/Energy</t>
        </is>
      </c>
      <c r="E124" s="71" t="inlineStr">
        <is>
          <t>Oil &amp; gas / utilities</t>
        </is>
      </c>
      <c r="F124" s="71" t="inlineStr">
        <is>
          <t>Gas Utilities</t>
        </is>
      </c>
      <c r="G124" s="71" t="inlineStr">
        <is>
          <t>Standard</t>
        </is>
      </c>
      <c r="H124" s="72" t="n">
        <v>44755</v>
      </c>
      <c r="I124" s="73" t="n">
        <v>304</v>
      </c>
      <c r="J124" s="71" t="inlineStr">
        <is>
          <t>gross (price x shares)</t>
        </is>
      </c>
      <c r="K124" s="74" t="n"/>
      <c r="L124" s="74" t="n">
        <v>6.08</v>
      </c>
      <c r="M124" s="74" t="n">
        <v>6.08</v>
      </c>
      <c r="N124" s="71" t="inlineStr">
        <is>
          <t>Y</t>
        </is>
      </c>
      <c r="O124" s="75" t="n">
        <v>100</v>
      </c>
      <c r="P124" s="75" t="n"/>
      <c r="Q124" s="76" t="n">
        <v>1097.1</v>
      </c>
      <c r="R124" s="71" t="inlineStr">
        <is>
          <t>derived:deal size / offer % of enlarged capital</t>
        </is>
      </c>
      <c r="S124" s="77" t="n">
        <v>8.08</v>
      </c>
      <c r="T124" s="78" t="n">
        <v>1.18</v>
      </c>
      <c r="U124" s="79" t="n">
        <v>18.9</v>
      </c>
      <c r="V124" s="80" t="n">
        <v>119</v>
      </c>
      <c r="W124" s="75" t="n"/>
      <c r="X124" s="71" t="n"/>
      <c r="Y124" s="76" t="n">
        <v>246.54</v>
      </c>
      <c r="Z124" s="76" t="n">
        <v>40550000</v>
      </c>
      <c r="AA124" s="75" t="n">
        <v>22.47</v>
      </c>
      <c r="AB124" s="71" t="inlineStr">
        <is>
          <t>Huzhou Erqing Asset Operation Co., Ltd; Zhejiang Caixu Equity Investment Co., Ltd; Zhejiang Jiening Equity Investment Co., Ltd; Zhejiang Lichen Equity Investment Co., Ltd</t>
        </is>
      </c>
      <c r="AC124" s="71" t="inlineStr">
        <is>
          <t>huzhou;zhejiang</t>
        </is>
      </c>
      <c r="AD124" s="75" t="n">
        <v>14.6</v>
      </c>
      <c r="AE124" s="71" t="inlineStr">
        <is>
          <t>partial</t>
        </is>
      </c>
      <c r="AF124" s="71" t="inlineStr">
        <is>
          <t>2022-08-04</t>
        </is>
      </c>
      <c r="AG124" s="71" t="inlineStr">
        <is>
          <t>BOCOM International Securities</t>
        </is>
      </c>
      <c r="AH124" s="71" t="inlineStr">
        <is>
          <t>BOCOM</t>
        </is>
      </c>
      <c r="AI124" s="81" t="n">
        <v>-8.06</v>
      </c>
      <c r="AJ124" s="82" t="n">
        <v>-7.89</v>
      </c>
      <c r="AK124" s="82" t="n">
        <v>-1.64</v>
      </c>
      <c r="AL124" s="82" t="n">
        <v>-6.35</v>
      </c>
      <c r="AM124" s="83" t="n"/>
      <c r="AN124" s="75" t="n">
        <v>10.54</v>
      </c>
      <c r="AO124" s="82" t="n">
        <v>-1.32</v>
      </c>
      <c r="AP124" s="82" t="n">
        <v>-9.539999999999999</v>
      </c>
      <c r="AQ124" s="82" t="n">
        <v>-5.43</v>
      </c>
      <c r="AR124" s="82" t="n">
        <v>7.13</v>
      </c>
      <c r="AS124" s="82" t="n">
        <v>-1.79</v>
      </c>
      <c r="AT124" s="82" t="n">
        <v>2.67</v>
      </c>
      <c r="AU124" s="82" t="n">
        <v>-3.4</v>
      </c>
      <c r="AV124" s="82" t="n">
        <v>-6.09</v>
      </c>
      <c r="AW124" s="82" t="n">
        <v>14.88</v>
      </c>
      <c r="AX124" s="82" t="n">
        <v>1.83</v>
      </c>
      <c r="AY124" s="82" t="n">
        <v>-3.45</v>
      </c>
      <c r="AZ124" s="82" t="n">
        <v>-3.62</v>
      </c>
      <c r="BA124" s="71" t="inlineStr">
        <is>
          <t>Hang Seng Commerce &amp; Industry sub-index</t>
        </is>
      </c>
      <c r="BB124" s="82" t="n">
        <v>-18.67</v>
      </c>
      <c r="BC124" s="72" t="inlineStr">
        <is>
          <t>2026-09-18</t>
        </is>
      </c>
      <c r="BD124" s="73" t="n">
        <v>2044.6</v>
      </c>
      <c r="BE124" s="76" t="n">
        <v>183.4</v>
      </c>
      <c r="BF124" s="71" t="inlineStr">
        <is>
          <t>Y</t>
        </is>
      </c>
      <c r="BG124" s="83" t="n">
        <v>6</v>
      </c>
      <c r="BH124" s="83" t="n"/>
      <c r="BI124" s="83" t="n">
        <v>9.1</v>
      </c>
      <c r="BJ124" s="83" t="n">
        <v>0.5</v>
      </c>
      <c r="BK124" s="84">
        <f>IF('BBG Verify'!S124="","not filed; run on terminal",'BBG Verify'!S124)</f>
        <v/>
      </c>
      <c r="BL124" s="85" t="inlineStr">
        <is>
          <t>N</t>
        </is>
      </c>
      <c r="BM124" s="86">
        <f>IF('BBG Verify'!K124="","not filed; run on terminal",'BBG Verify'!K124)</f>
        <v/>
      </c>
      <c r="BN124" s="71" t="inlineStr">
        <is>
          <t>N/A</t>
        </is>
      </c>
      <c r="BO124" s="71" t="inlineStr">
        <is>
          <t>N/A</t>
        </is>
      </c>
      <c r="BP124" s="71" t="inlineStr">
        <is>
          <t>N/A</t>
        </is>
      </c>
      <c r="BQ124" s="71" t="inlineStr">
        <is>
          <t>N/A</t>
        </is>
      </c>
      <c r="BR124" s="71" t="inlineStr">
        <is>
          <t>N/A</t>
        </is>
      </c>
      <c r="BS124" s="71" t="inlineStr">
        <is>
          <t>N/A</t>
        </is>
      </c>
      <c r="BT124" s="85" t="inlineStr">
        <is>
          <t>BOCOM International (Asia) Limited</t>
        </is>
      </c>
      <c r="BU124" s="71" t="inlineStr">
        <is>
          <t>BOCOM International (Asia) Limited</t>
        </is>
      </c>
      <c r="BV124" s="71"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W124" s="71"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X124" s="87">
        <f>HYPERLINK("https://www1.hkexnews.hk/listedco/listconews/sehk/2022/0629/2022062900043.pdf","prospectus")</f>
        <v/>
      </c>
      <c r="BY124" s="87">
        <f>HYPERLINK("https://www1.hkexnews.hk/listedco/listconews/sehk/2022/0712/2022071200042.htm","allotment")</f>
        <v/>
      </c>
      <c r="BZ124" s="87">
        <f>HYPERLINK("https://www1.hkexnews.hk/listedco/listconews/sehk/2022/0805/2022080501239.pdf","stabilisation")</f>
        <v/>
      </c>
      <c r="CA124" s="85" t="n"/>
      <c r="CB124" s="71"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25" ht="15" customHeight="1">
      <c r="A125" s="70" t="inlineStr">
        <is>
          <t>6686</t>
        </is>
      </c>
      <c r="B125" s="71" t="inlineStr">
        <is>
          <t>NOAH HOLDINGS-S</t>
        </is>
      </c>
      <c r="C125" s="71" t="inlineStr">
        <is>
          <t>諾亞控股</t>
        </is>
      </c>
      <c r="D125" s="71" t="inlineStr">
        <is>
          <t>Financials</t>
        </is>
      </c>
      <c r="E125" s="71" t="inlineStr">
        <is>
          <t>Brokers / asset management</t>
        </is>
      </c>
      <c r="F125" s="71" t="inlineStr">
        <is>
          <t>Investment Holdings &amp; Assets Management</t>
        </is>
      </c>
      <c r="G125" s="71" t="inlineStr">
        <is>
          <t>Secondary</t>
        </is>
      </c>
      <c r="H125" s="72" t="n">
        <v>44755</v>
      </c>
      <c r="I125" s="73" t="n">
        <v>321.2</v>
      </c>
      <c r="J125" s="71" t="inlineStr">
        <is>
          <t>gross (price x shares)</t>
        </is>
      </c>
      <c r="K125" s="74" t="n"/>
      <c r="L125" s="74" t="n">
        <v>307</v>
      </c>
      <c r="M125" s="74" t="n">
        <v>292</v>
      </c>
      <c r="N125" s="71" t="inlineStr">
        <is>
          <t>N</t>
        </is>
      </c>
      <c r="O125" s="75" t="n">
        <v>95.09999999999999</v>
      </c>
      <c r="P125" s="75" t="n"/>
      <c r="Q125" s="76" t="n">
        <v>9575.1</v>
      </c>
      <c r="R125" s="71" t="inlineStr">
        <is>
          <t>prospectus:stated market capitalisation</t>
        </is>
      </c>
      <c r="S125" s="77" t="n">
        <v>3.26</v>
      </c>
      <c r="T125" s="78" t="n">
        <v>5.9</v>
      </c>
      <c r="U125" s="79" t="n">
        <v>0</v>
      </c>
      <c r="V125" s="80" t="n">
        <v>118</v>
      </c>
      <c r="W125" s="75" t="n"/>
      <c r="X125" s="71" t="n"/>
      <c r="Y125" s="76" t="n">
        <v>321.2</v>
      </c>
      <c r="Z125" s="76" t="n">
        <v>1100000</v>
      </c>
      <c r="AA125" s="75" t="n">
        <v>3.35</v>
      </c>
      <c r="AB125" s="71" t="n"/>
      <c r="AC125" s="71" t="n"/>
      <c r="AD125" s="75" t="n">
        <v>11.9</v>
      </c>
      <c r="AE125" s="71" t="inlineStr">
        <is>
          <t>partial</t>
        </is>
      </c>
      <c r="AF125" s="71" t="inlineStr">
        <is>
          <t>2022-08-05</t>
        </is>
      </c>
      <c r="AG125" s="71" t="inlineStr">
        <is>
          <t>Goldman Sachs</t>
        </is>
      </c>
      <c r="AH125" s="71" t="inlineStr">
        <is>
          <t>Goldman Sachs</t>
        </is>
      </c>
      <c r="AI125" s="81" t="n">
        <v>-5.82</v>
      </c>
      <c r="AJ125" s="82" t="n">
        <v>-4.45</v>
      </c>
      <c r="AK125" s="82" t="n">
        <v>-2.4</v>
      </c>
      <c r="AL125" s="82" t="n">
        <v>-2.1</v>
      </c>
      <c r="AM125" s="83" t="n"/>
      <c r="AN125" s="75" t="n">
        <v>5.54</v>
      </c>
      <c r="AO125" s="82" t="n">
        <v>-6.16</v>
      </c>
      <c r="AP125" s="82" t="n">
        <v>-10.62</v>
      </c>
      <c r="AQ125" s="82" t="n">
        <v>-27.12</v>
      </c>
      <c r="AR125" s="82" t="n">
        <v>-1.79</v>
      </c>
      <c r="AS125" s="82" t="n">
        <v>-6.46</v>
      </c>
      <c r="AT125" s="82" t="n">
        <v>-23.73</v>
      </c>
      <c r="AU125" s="82" t="n">
        <v>-4.66</v>
      </c>
      <c r="AV125" s="82" t="n">
        <v>-7.54</v>
      </c>
      <c r="AW125" s="82" t="n">
        <v>-8.26</v>
      </c>
      <c r="AX125" s="82" t="n">
        <v>-3.99</v>
      </c>
      <c r="AY125" s="82" t="n">
        <v>-3.08</v>
      </c>
      <c r="AZ125" s="82" t="n">
        <v>-2.47</v>
      </c>
      <c r="BA125" s="71" t="inlineStr">
        <is>
          <t>Hang Seng Finance sub-index</t>
        </is>
      </c>
      <c r="BB125" s="82" t="n">
        <v>-53.42</v>
      </c>
      <c r="BC125" s="72" t="inlineStr">
        <is>
          <t>2026-09-23</t>
        </is>
      </c>
      <c r="BD125" s="73" t="n">
        <v>4759.3</v>
      </c>
      <c r="BE125" s="76" t="n"/>
      <c r="BF125" s="71" t="inlineStr">
        <is>
          <t>Y</t>
        </is>
      </c>
      <c r="BG125" s="84">
        <f>IF('BBG Verify'!O125="","not filed; run on terminal",'BBG Verify'!O125)</f>
        <v/>
      </c>
      <c r="BH125" s="83" t="n"/>
      <c r="BI125" s="83" t="n"/>
      <c r="BJ125" s="83" t="n">
        <v>2</v>
      </c>
      <c r="BK125" s="84">
        <f>IF('BBG Verify'!S125="","not filed; run on terminal",'BBG Verify'!S125)</f>
        <v/>
      </c>
      <c r="BL125" s="85" t="inlineStr">
        <is>
          <t>N</t>
        </is>
      </c>
      <c r="BM125" s="86">
        <f>IF('BBG Verify'!K125="","not filed; run on terminal",'BBG Verify'!K125)</f>
        <v/>
      </c>
      <c r="BN125" s="71" t="inlineStr">
        <is>
          <t>N/A</t>
        </is>
      </c>
      <c r="BO125" s="71" t="inlineStr">
        <is>
          <t>N/A</t>
        </is>
      </c>
      <c r="BP125" s="71" t="inlineStr">
        <is>
          <t>N/A</t>
        </is>
      </c>
      <c r="BQ125" s="71" t="inlineStr">
        <is>
          <t>N/A</t>
        </is>
      </c>
      <c r="BR125" s="71" t="inlineStr">
        <is>
          <t>N/A</t>
        </is>
      </c>
      <c r="BS125" s="71" t="inlineStr">
        <is>
          <t>N/A</t>
        </is>
      </c>
      <c r="BT125" s="85" t="inlineStr">
        <is>
          <t>Goldman Sachs (Asia) L.L.C</t>
        </is>
      </c>
      <c r="BU125" s="71" t="inlineStr">
        <is>
          <t>Goldman Sachs (Asia) L.L.C.</t>
        </is>
      </c>
      <c r="BV125" s="71" t="inlineStr">
        <is>
          <t>Futu Securities International (Hong Kong) Limited</t>
        </is>
      </c>
      <c r="BW125" s="71" t="inlineStr">
        <is>
          <t>BOCI Asia Limited; DBS Asia Capital Limited; Futu Securities International (Hong Kong) Limited; Goldman Sachs (Asia) L.L.C.</t>
        </is>
      </c>
      <c r="BX125" s="87">
        <f>HYPERLINK("https://www1.hkexnews.hk/listedco/listconews/sehk/2022/0629/2022062902037.pdf","prospectus")</f>
        <v/>
      </c>
      <c r="BY125" s="87">
        <f>HYPERLINK("https://www1.hkexnews.hk/listedco/listconews/sehk/2022/0712/2022071200028.htm","allotment")</f>
        <v/>
      </c>
      <c r="BZ125" s="87">
        <f>HYPERLINK("https://www1.hkexnews.hk/listedco/listconews/sehk/2022/0805/2022080501393.pdf","stabilisation")</f>
        <v/>
      </c>
      <c r="CA125" s="85" t="n"/>
      <c r="CB125" s="71" t="inlineStr">
        <is>
          <t>P/E: withheld: 5,040x fails the 300x plausibility cap; extracted net income HK$1.9m suspect; range low: maximum offer price only, no floor published; cornerstone list: no cornerstone tranche; financials: not extractable; pre-IPO year outside the AAStocks window; allocation: allocation table not in this notice's format (older prose announcement); day-1 tape: volume on file; the retail multiple needs the final public split, which this notice does not state</t>
        </is>
      </c>
    </row>
    <row r="126" ht="15" customHeight="1">
      <c r="A126" s="70" t="inlineStr">
        <is>
          <t>9696</t>
        </is>
      </c>
      <c r="B126" s="71" t="inlineStr">
        <is>
          <t>TIANQI LITHIUM</t>
        </is>
      </c>
      <c r="C126" s="71" t="inlineStr">
        <is>
          <t>天齊鋰業</t>
        </is>
      </c>
      <c r="D126" s="71" t="inlineStr">
        <is>
          <t>Materials/Energy</t>
        </is>
      </c>
      <c r="E126" s="71" t="inlineStr">
        <is>
          <t>Mining / metals</t>
        </is>
      </c>
      <c r="F126" s="71" t="inlineStr">
        <is>
          <t>Diversified Metals &amp; Minerals</t>
        </is>
      </c>
      <c r="G126" s="71" t="inlineStr">
        <is>
          <t>Standard</t>
        </is>
      </c>
      <c r="H126" s="72" t="n">
        <v>44755</v>
      </c>
      <c r="I126" s="73" t="n">
        <v>13458</v>
      </c>
      <c r="J126" s="71" t="inlineStr">
        <is>
          <t>gross (price x shares)</t>
        </is>
      </c>
      <c r="K126" s="74" t="n"/>
      <c r="L126" s="74" t="n">
        <v>82</v>
      </c>
      <c r="M126" s="74" t="n">
        <v>82</v>
      </c>
      <c r="N126" s="71" t="inlineStr">
        <is>
          <t>Y</t>
        </is>
      </c>
      <c r="O126" s="75" t="n">
        <v>100</v>
      </c>
      <c r="P126" s="75" t="n"/>
      <c r="Q126" s="76" t="n">
        <v>123912.2</v>
      </c>
      <c r="R126" s="71" t="inlineStr">
        <is>
          <t>aastocks:上市市值 at the struck price</t>
        </is>
      </c>
      <c r="S126" s="77" t="n">
        <v>9.300000000000001</v>
      </c>
      <c r="T126" s="78" t="n">
        <v>5.2</v>
      </c>
      <c r="U126" s="79" t="n">
        <v>36.4</v>
      </c>
      <c r="V126" s="80" t="n">
        <v>251</v>
      </c>
      <c r="W126" s="75" t="n"/>
      <c r="X126" s="71" t="n"/>
      <c r="Y126" s="76" t="n">
        <v>8559.290000000001</v>
      </c>
      <c r="Z126" s="76" t="n">
        <v>104381719</v>
      </c>
      <c r="AA126" s="75" t="n">
        <v>6.91</v>
      </c>
      <c r="AB126" s="71" t="inlineStr">
        <is>
          <t>CALB Co., Ltd; CPIC Investment Management (H.K.) Company Limited; Gold Mountains (H.K.) International Mining Company Limited; LG Chem, Ltd; Pacific Asset Management Co., Limited; Shenzhen Dynanonic Company Limited; Sichuan Energy Investment (Hong Kong) Holdings Limited</t>
        </is>
      </c>
      <c r="AC126" s="71" t="inlineStr">
        <is>
          <t>calb;cpic;gold;lg;pacific-asset;shenzhen-dynanonic;sichuan</t>
        </is>
      </c>
      <c r="AD126" s="75" t="n"/>
      <c r="AE126" s="71" t="inlineStr">
        <is>
          <t>lapsed</t>
        </is>
      </c>
      <c r="AF126" s="71" t="inlineStr">
        <is>
          <t>2022-08-05</t>
        </is>
      </c>
      <c r="AG126" s="71" t="inlineStr">
        <is>
          <t>Morgan Stanley Asia Limited</t>
        </is>
      </c>
      <c r="AH126" s="71" t="inlineStr">
        <is>
          <t>Morgan Stanley</t>
        </is>
      </c>
      <c r="AI126" s="81" t="n">
        <v>-7.93</v>
      </c>
      <c r="AJ126" s="82" t="n">
        <v>0</v>
      </c>
      <c r="AK126" s="82" t="n">
        <v>-9.15</v>
      </c>
      <c r="AL126" s="82" t="n">
        <v>10.07</v>
      </c>
      <c r="AM126" s="83" t="n"/>
      <c r="AN126" s="75" t="n">
        <v>12.55</v>
      </c>
      <c r="AO126" s="82" t="n">
        <v>-3.84</v>
      </c>
      <c r="AP126" s="82" t="n">
        <v>4.33</v>
      </c>
      <c r="AQ126" s="82" t="n">
        <v>-21.22</v>
      </c>
      <c r="AR126" s="82" t="n">
        <v>-3.84</v>
      </c>
      <c r="AS126" s="82" t="n">
        <v>4.33</v>
      </c>
      <c r="AT126" s="82" t="n">
        <v>-21.22</v>
      </c>
      <c r="AU126" s="82" t="n">
        <v>-5.92</v>
      </c>
      <c r="AV126" s="82" t="n">
        <v>7.78</v>
      </c>
      <c r="AW126" s="82" t="n">
        <v>-0.91</v>
      </c>
      <c r="AX126" s="82" t="n">
        <v>7.95</v>
      </c>
      <c r="AY126" s="82" t="n">
        <v>-3.45</v>
      </c>
      <c r="AZ126" s="82" t="n">
        <v>-3.62</v>
      </c>
      <c r="BA126" s="71" t="inlineStr">
        <is>
          <t>Hang Seng Commerce &amp; Industry sub-index</t>
        </is>
      </c>
      <c r="BB126" s="82" t="n">
        <v>-62.68</v>
      </c>
      <c r="BC126" s="72" t="inlineStr">
        <is>
          <t>2026-09-23</t>
        </is>
      </c>
      <c r="BD126" s="73" t="n">
        <v>8357.700000000001</v>
      </c>
      <c r="BE126" s="76" t="n">
        <v>5258.7</v>
      </c>
      <c r="BF126" s="71" t="inlineStr">
        <is>
          <t>Y</t>
        </is>
      </c>
      <c r="BG126" s="83" t="n">
        <v>23.6</v>
      </c>
      <c r="BH126" s="83" t="n">
        <v>8.5</v>
      </c>
      <c r="BI126" s="83" t="n">
        <v>23.2</v>
      </c>
      <c r="BJ126" s="83" t="n">
        <v>14.8</v>
      </c>
      <c r="BK126" s="84">
        <f>IF('BBG Verify'!S126="","not filed; run on terminal",'BBG Verify'!S126)</f>
        <v/>
      </c>
      <c r="BL126" s="85" t="inlineStr">
        <is>
          <t>Y</t>
        </is>
      </c>
      <c r="BM126" s="71" t="inlineStr">
        <is>
          <t>002466.SZ</t>
        </is>
      </c>
      <c r="BN126" s="82" t="n">
        <v>82.11</v>
      </c>
      <c r="BO126" s="74" t="n">
        <v>149.3266</v>
      </c>
      <c r="BP126" s="89" t="n">
        <v>0.5985</v>
      </c>
      <c r="BQ126" s="76" t="n">
        <v>86879.2</v>
      </c>
      <c r="BR126" s="84">
        <f>IF('BBG Verify'!Q126="","run on terminal",'BBG Verify'!Q126)</f>
        <v/>
      </c>
      <c r="BS126" s="84">
        <f>IF('BBG Verify'!R126="","run on terminal",'BBG Verify'!R126)</f>
        <v/>
      </c>
      <c r="BT126" s="85" t="n"/>
      <c r="BU126" s="71" t="inlineStr">
        <is>
          <t>China International Capital Corporation Hong Kong Securities Limited; Morgan Stanley Asia Limited; CMB International Capital Corporation Limited</t>
        </is>
      </c>
      <c r="BV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W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X126" s="87">
        <f>HYPERLINK("https://www1.hkexnews.hk/listedco/listconews/sehk/2022/0630/2022063000146.htm","prospectus")</f>
        <v/>
      </c>
      <c r="BY126" s="87">
        <f>HYPERLINK("https://www1.hkexnews.hk/listedco/listconews/sehk/2022/0712/2022071200062.htm","allotment")</f>
        <v/>
      </c>
      <c r="BZ126" s="87">
        <f>HYPERLINK("https://www1.hkexnews.hk/listedco/listconews/sehk/2022/0805/2022080501243.pdf","stabilisation")</f>
        <v/>
      </c>
      <c r="CA126" s="85" t="n"/>
      <c r="CB126" s="71"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27" ht="15" customHeight="1">
      <c r="A127" s="70" t="inlineStr">
        <is>
          <t>2418</t>
        </is>
      </c>
      <c r="B127" s="71" t="inlineStr">
        <is>
          <t>DEEWIN</t>
        </is>
      </c>
      <c r="C127" s="71" t="inlineStr">
        <is>
          <t>德銀天下</t>
        </is>
      </c>
      <c r="D127" s="71" t="inlineStr">
        <is>
          <t>Industrials</t>
        </is>
      </c>
      <c r="E127" s="71" t="inlineStr">
        <is>
          <t>Logistics</t>
        </is>
      </c>
      <c r="F127" s="71" t="inlineStr">
        <is>
          <t>Automotive Retail</t>
        </is>
      </c>
      <c r="G127" s="71" t="inlineStr">
        <is>
          <t>Standard</t>
        </is>
      </c>
      <c r="H127" s="72" t="n">
        <v>44757</v>
      </c>
      <c r="I127" s="73" t="n">
        <v>977.4</v>
      </c>
      <c r="J127" s="71" t="inlineStr">
        <is>
          <t>gross (price x shares)</t>
        </is>
      </c>
      <c r="K127" s="74" t="n">
        <v>1.78</v>
      </c>
      <c r="L127" s="74" t="n">
        <v>2.13</v>
      </c>
      <c r="M127" s="74" t="n">
        <v>1.8</v>
      </c>
      <c r="N127" s="71" t="inlineStr">
        <is>
          <t>N</t>
        </is>
      </c>
      <c r="O127" s="75" t="n">
        <v>84.5</v>
      </c>
      <c r="P127" s="75" t="n">
        <v>5.7</v>
      </c>
      <c r="Q127" s="76" t="n">
        <v>3909.6</v>
      </c>
      <c r="R127" s="71" t="inlineStr">
        <is>
          <t>derived:deal size / offer % of enlarged capital</t>
        </is>
      </c>
      <c r="S127" s="77" t="n">
        <v>0.42</v>
      </c>
      <c r="T127" s="78" t="n">
        <v>1.41</v>
      </c>
      <c r="U127" s="79" t="n">
        <v>21.12</v>
      </c>
      <c r="V127" s="80" t="n">
        <v>140</v>
      </c>
      <c r="W127" s="75" t="n"/>
      <c r="X127" s="71" t="n"/>
      <c r="Y127" s="76" t="n">
        <v>770.97</v>
      </c>
      <c r="Z127" s="76" t="n">
        <v>428318400</v>
      </c>
      <c r="AA127" s="75" t="n">
        <v>19.72</v>
      </c>
      <c r="AB127" s="71" t="inlineStr">
        <is>
          <t>Shaanxi Tide Automobile Air Conditioning Co., Ltd; Streamax Electronics Limited; Xian Yuanda Electronic Equipment Co., Ltd</t>
        </is>
      </c>
      <c r="AC127" s="71" t="inlineStr">
        <is>
          <t>shaanxi;streamax;xian</t>
        </is>
      </c>
      <c r="AD127" s="75" t="n">
        <v>5.28</v>
      </c>
      <c r="AE127" s="71" t="inlineStr">
        <is>
          <t>partial</t>
        </is>
      </c>
      <c r="AF127" s="71" t="inlineStr">
        <is>
          <t>2022-08-07</t>
        </is>
      </c>
      <c r="AG127" s="71" t="inlineStr">
        <is>
          <t>China Securities</t>
        </is>
      </c>
      <c r="AH127" s="71" t="inlineStr">
        <is>
          <t>China Securities</t>
        </is>
      </c>
      <c r="AI127" s="81" t="n">
        <v>-5</v>
      </c>
      <c r="AJ127" s="82" t="n">
        <v>0</v>
      </c>
      <c r="AK127" s="82" t="n">
        <v>-2.78</v>
      </c>
      <c r="AL127" s="82" t="n">
        <v>2.86</v>
      </c>
      <c r="AM127" s="83" t="n"/>
      <c r="AN127" s="75" t="n">
        <v>12.57</v>
      </c>
      <c r="AO127" s="82" t="n">
        <v>-8.890000000000001</v>
      </c>
      <c r="AP127" s="82" t="n">
        <v>-31.67</v>
      </c>
      <c r="AQ127" s="82" t="n">
        <v>-46.11</v>
      </c>
      <c r="AR127" s="82" t="n">
        <v>-8.890000000000001</v>
      </c>
      <c r="AS127" s="82" t="n">
        <v>-31.67</v>
      </c>
      <c r="AT127" s="82" t="n">
        <v>-46.11</v>
      </c>
      <c r="AU127" s="82" t="n">
        <v>-9.18</v>
      </c>
      <c r="AV127" s="82" t="n">
        <v>-27.28</v>
      </c>
      <c r="AW127" s="82" t="n">
        <v>-24.25</v>
      </c>
      <c r="AX127" s="82" t="n">
        <v>-29.63</v>
      </c>
      <c r="AY127" s="82" t="n">
        <v>-4.39</v>
      </c>
      <c r="AZ127" s="82" t="n">
        <v>-2.04</v>
      </c>
      <c r="BA127" s="71" t="inlineStr">
        <is>
          <t>Hang Seng Commerce &amp; Industry sub-index</t>
        </is>
      </c>
      <c r="BB127" s="82" t="n">
        <v>58.33</v>
      </c>
      <c r="BC127" s="72" t="inlineStr">
        <is>
          <t>2026-09-23</t>
        </is>
      </c>
      <c r="BD127" s="73" t="n">
        <v>3439.5</v>
      </c>
      <c r="BE127" s="76" t="n">
        <v>405.6</v>
      </c>
      <c r="BF127" s="71" t="inlineStr">
        <is>
          <t>Y</t>
        </is>
      </c>
      <c r="BG127" s="83" t="n">
        <v>9.6</v>
      </c>
      <c r="BH127" s="83" t="n"/>
      <c r="BI127" s="83" t="n">
        <v>79.7</v>
      </c>
      <c r="BJ127" s="83" t="n">
        <v>1.1</v>
      </c>
      <c r="BK127" s="84">
        <f>IF('BBG Verify'!S127="","not filed; run on terminal",'BBG Verify'!S127)</f>
        <v/>
      </c>
      <c r="BL127" s="85" t="inlineStr">
        <is>
          <t>N</t>
        </is>
      </c>
      <c r="BM127" s="86">
        <f>IF('BBG Verify'!K127="","not filed; run on terminal",'BBG Verify'!K127)</f>
        <v/>
      </c>
      <c r="BN127" s="71" t="inlineStr">
        <is>
          <t>N/A</t>
        </is>
      </c>
      <c r="BO127" s="71" t="inlineStr">
        <is>
          <t>N/A</t>
        </is>
      </c>
      <c r="BP127" s="71" t="inlineStr">
        <is>
          <t>N/A</t>
        </is>
      </c>
      <c r="BQ127" s="71" t="inlineStr">
        <is>
          <t>N/A</t>
        </is>
      </c>
      <c r="BR127" s="71" t="inlineStr">
        <is>
          <t>N/A</t>
        </is>
      </c>
      <c r="BS127" s="71" t="inlineStr">
        <is>
          <t>N/A</t>
        </is>
      </c>
      <c r="BT127" s="85" t="n"/>
      <c r="BU127" s="71" t="inlineStr">
        <is>
          <t>China Securities (International) Corporate Finance Company Limited</t>
        </is>
      </c>
      <c r="BV127" s="71"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W127" s="71"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X127" s="87">
        <f>HYPERLINK("https://www1.hkexnews.hk/listedco/listconews/sehk/2022/0630/2022063000037.pdf","prospectus")</f>
        <v/>
      </c>
      <c r="BY127" s="87">
        <f>HYPERLINK("https://www1.hkexnews.hk/listedco/listconews/sehk/2022/0714/2022071400006.htm","allotment")</f>
        <v/>
      </c>
      <c r="BZ127" s="87">
        <f>HYPERLINK("https://www1.hkexnews.hk/listedco/listconews/sehk/2022/0808/2022080800065.pdf","stabilisation")</f>
        <v/>
      </c>
      <c r="CA127" s="85" t="n"/>
      <c r="CB127" s="71" t="inlineStr">
        <is>
          <t>sponsor: English name not in the filing; AAStocks 保薦人 shown; allocation: allocation table not in this notice's format (older prose announcement); day-1 tape: volume on file; the retail multiple needs the final public split, which this notice does not state</t>
        </is>
      </c>
    </row>
    <row r="128" ht="15" customHeight="1">
      <c r="A128" s="70" t="inlineStr">
        <is>
          <t>1204</t>
        </is>
      </c>
      <c r="B128" s="71" t="inlineStr">
        <is>
          <t>BOARDWARE INTEL</t>
        </is>
      </c>
      <c r="C128" s="71" t="inlineStr">
        <is>
          <t>博維智慧</t>
        </is>
      </c>
      <c r="D128" s="71" t="inlineStr">
        <is>
          <t>Tech/AI</t>
        </is>
      </c>
      <c r="E128" s="71" t="inlineStr">
        <is>
          <t>SaaS / enterprise software</t>
        </is>
      </c>
      <c r="F128" s="71" t="inlineStr">
        <is>
          <t>IT Consulting &amp; Other Services</t>
        </is>
      </c>
      <c r="G128" s="71" t="inlineStr">
        <is>
          <t>Standard</t>
        </is>
      </c>
      <c r="H128" s="72" t="n">
        <v>44757</v>
      </c>
      <c r="I128" s="73" t="n">
        <v>135</v>
      </c>
      <c r="J128" s="71" t="inlineStr">
        <is>
          <t>gross (price x shares)</t>
        </is>
      </c>
      <c r="K128" s="74" t="n"/>
      <c r="L128" s="74" t="n">
        <v>1.08</v>
      </c>
      <c r="M128" s="74" t="n">
        <v>1.08</v>
      </c>
      <c r="N128" s="71" t="inlineStr">
        <is>
          <t>Y</t>
        </is>
      </c>
      <c r="O128" s="75" t="n">
        <v>100</v>
      </c>
      <c r="P128" s="75" t="n"/>
      <c r="Q128" s="76" t="n">
        <v>585</v>
      </c>
      <c r="R128" s="71" t="inlineStr">
        <is>
          <t>aastocks:上市市值 at the struck price</t>
        </is>
      </c>
      <c r="S128" s="77" t="n">
        <v>10.69</v>
      </c>
      <c r="T128" s="78" t="n">
        <v>1.03</v>
      </c>
      <c r="U128" s="79" t="n">
        <v>22.2</v>
      </c>
      <c r="V128" s="80" t="n">
        <v>136</v>
      </c>
      <c r="W128" s="75" t="n"/>
      <c r="X128" s="71" t="n"/>
      <c r="Y128" s="76" t="n">
        <v>105.03</v>
      </c>
      <c r="Z128" s="76" t="n">
        <v>97250000</v>
      </c>
      <c r="AA128" s="75" t="n">
        <v>17.95</v>
      </c>
      <c r="AB128" s="71" t="inlineStr">
        <is>
          <t>Ung Choi Kun</t>
        </is>
      </c>
      <c r="AC128" s="71" t="inlineStr">
        <is>
          <t>ung</t>
        </is>
      </c>
      <c r="AD128" s="75" t="n"/>
      <c r="AE128" s="71" t="inlineStr">
        <is>
          <t>lapsed (no over-allocation)</t>
        </is>
      </c>
      <c r="AF128" s="71" t="n"/>
      <c r="AG128" s="71" t="inlineStr">
        <is>
          <t>China Tonghai Securities Limited</t>
        </is>
      </c>
      <c r="AH128" s="71" t="inlineStr">
        <is>
          <t>China Tonghai</t>
        </is>
      </c>
      <c r="AI128" s="81" t="n">
        <v>4.63</v>
      </c>
      <c r="AJ128" s="82" t="n">
        <v>12.96</v>
      </c>
      <c r="AK128" s="82" t="n">
        <v>5.56</v>
      </c>
      <c r="AL128" s="82" t="n">
        <v>7.01</v>
      </c>
      <c r="AM128" s="83" t="n"/>
      <c r="AN128" s="75" t="n">
        <v>23.68</v>
      </c>
      <c r="AO128" s="82" t="n">
        <v>12.96</v>
      </c>
      <c r="AP128" s="82" t="n">
        <v>10.19</v>
      </c>
      <c r="AQ128" s="82" t="n">
        <v>-3.7</v>
      </c>
      <c r="AR128" s="82" t="n">
        <v>0</v>
      </c>
      <c r="AS128" s="82" t="n">
        <v>-2.45</v>
      </c>
      <c r="AT128" s="82" t="n">
        <v>-14.75</v>
      </c>
      <c r="AU128" s="82" t="n">
        <v>12.56</v>
      </c>
      <c r="AV128" s="82" t="n">
        <v>15.77</v>
      </c>
      <c r="AW128" s="82" t="n">
        <v>26.3</v>
      </c>
      <c r="AX128" s="82" t="n">
        <v>0.33</v>
      </c>
      <c r="AY128" s="82" t="n">
        <v>-5.58</v>
      </c>
      <c r="AZ128" s="82" t="n">
        <v>-2.78</v>
      </c>
      <c r="BA128" s="71" t="inlineStr">
        <is>
          <t>HSTECH (Hang Seng TECH ETF)</t>
        </is>
      </c>
      <c r="BB128" s="82" t="n">
        <v>70.37</v>
      </c>
      <c r="BC128" s="72" t="inlineStr">
        <is>
          <t>2026-09-18</t>
        </is>
      </c>
      <c r="BD128" s="73" t="n">
        <v>534.3</v>
      </c>
      <c r="BE128" s="76" t="n">
        <v>24</v>
      </c>
      <c r="BF128" s="71" t="inlineStr">
        <is>
          <t>Y</t>
        </is>
      </c>
      <c r="BG128" s="83" t="n">
        <v>24.4</v>
      </c>
      <c r="BH128" s="83" t="n"/>
      <c r="BI128" s="83" t="n">
        <v>113.4</v>
      </c>
      <c r="BJ128" s="83" t="n">
        <v>1.1</v>
      </c>
      <c r="BK128" s="84">
        <f>IF('BBG Verify'!S128="","not filed; run on terminal",'BBG Verify'!S128)</f>
        <v/>
      </c>
      <c r="BL128" s="85" t="inlineStr">
        <is>
          <t>N</t>
        </is>
      </c>
      <c r="BM128" s="86">
        <f>IF('BBG Verify'!K128="","not filed; run on terminal",'BBG Verify'!K128)</f>
        <v/>
      </c>
      <c r="BN128" s="71" t="inlineStr">
        <is>
          <t>N/A</t>
        </is>
      </c>
      <c r="BO128" s="71" t="inlineStr">
        <is>
          <t>N/A</t>
        </is>
      </c>
      <c r="BP128" s="71" t="inlineStr">
        <is>
          <t>N/A</t>
        </is>
      </c>
      <c r="BQ128" s="71" t="inlineStr">
        <is>
          <t>N/A</t>
        </is>
      </c>
      <c r="BR128" s="71" t="inlineStr">
        <is>
          <t>N/A</t>
        </is>
      </c>
      <c r="BS128" s="71" t="inlineStr">
        <is>
          <t>N/A</t>
        </is>
      </c>
      <c r="BT128" s="85" t="n"/>
      <c r="BU128" s="71" t="inlineStr">
        <is>
          <t>China Tonghai Capital Limited</t>
        </is>
      </c>
      <c r="BV128" s="71" t="inlineStr">
        <is>
          <t>Beta International Securities Limited; Blackwell Global Securities Limited; CCB International Capital Limited; China Galaxy International Securities (Hong Kong) Company Limited; China Tonghai Securities Limited; CMBC Securities Company Limited</t>
        </is>
      </c>
      <c r="BW128" s="71"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X128" s="87">
        <f>HYPERLINK("https://www1.hkexnews.hk/listedco/listconews/sehk/2022/0629/2022062900148.htm","prospectus")</f>
        <v/>
      </c>
      <c r="BY128" s="87">
        <f>HYPERLINK("https://www1.hkexnews.hk/listedco/listconews/sehk/2022/0714/2022071400026.htm","allotment")</f>
        <v/>
      </c>
      <c r="BZ128" s="87">
        <f>HYPERLINK("https://www1.hkexnews.hk/listedco/listconews/sehk/2022/0805/2022080500015.pdf","stabilisation")</f>
        <v/>
      </c>
      <c r="CA128" s="85" t="n"/>
      <c r="CB128" s="71"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allocation: allocation table not in this notice's format (older prose announcement); day-1 tape: volume on file; the retail multiple needs the final public split, which this notice does not state</t>
        </is>
      </c>
    </row>
    <row r="129" ht="15" customHeight="1">
      <c r="A129" s="70" t="inlineStr">
        <is>
          <t>2172</t>
        </is>
      </c>
      <c r="B129" s="71" t="inlineStr">
        <is>
          <t>MICROPORT NEURO</t>
        </is>
      </c>
      <c r="C129" s="71" t="inlineStr">
        <is>
          <t>微創腦科學</t>
        </is>
      </c>
      <c r="D129" s="71" t="inlineStr">
        <is>
          <t>Healthcare</t>
        </is>
      </c>
      <c r="E129" s="71" t="inlineStr">
        <is>
          <t>Medical devices</t>
        </is>
      </c>
      <c r="F129" s="71" t="inlineStr">
        <is>
          <t>Health Care Equipment</t>
        </is>
      </c>
      <c r="G129" s="71" t="inlineStr">
        <is>
          <t>Standard</t>
        </is>
      </c>
      <c r="H129" s="72" t="n">
        <v>44757</v>
      </c>
      <c r="I129" s="73" t="n">
        <v>337.6</v>
      </c>
      <c r="J129" s="71" t="inlineStr">
        <is>
          <t>gross (price x shares)</t>
        </is>
      </c>
      <c r="K129" s="74" t="n"/>
      <c r="L129" s="74" t="n">
        <v>24.64</v>
      </c>
      <c r="M129" s="74" t="n">
        <v>24.64</v>
      </c>
      <c r="N129" s="71" t="inlineStr">
        <is>
          <t>Y</t>
        </is>
      </c>
      <c r="O129" s="75" t="n">
        <v>100</v>
      </c>
      <c r="P129" s="75" t="n"/>
      <c r="Q129" s="76" t="n">
        <v>14450</v>
      </c>
      <c r="R129" s="71" t="inlineStr">
        <is>
          <t>press:vbdata/动脉网: 上市总市值144.5亿</t>
        </is>
      </c>
      <c r="S129" s="77" t="n">
        <v>45.27</v>
      </c>
      <c r="T129" s="78" t="n">
        <v>2.14</v>
      </c>
      <c r="U129" s="79" t="n">
        <v>61.9</v>
      </c>
      <c r="V129" s="80" t="n">
        <v>110</v>
      </c>
      <c r="W129" s="75" t="n"/>
      <c r="X129" s="71" t="n"/>
      <c r="Y129" s="76" t="n">
        <v>128.63</v>
      </c>
      <c r="Z129" s="76" t="n">
        <v>5219700</v>
      </c>
      <c r="AA129" s="75" t="n">
        <v>0.89</v>
      </c>
      <c r="AB129" s="71" t="inlineStr">
        <is>
          <t>Harvest; Xinhuanet Co., Ltd</t>
        </is>
      </c>
      <c r="AC129" s="71" t="inlineStr">
        <is>
          <t>harvest;xinhuanet</t>
        </is>
      </c>
      <c r="AD129" s="75" t="n"/>
      <c r="AE129" s="71" t="inlineStr">
        <is>
          <t>lapsed</t>
        </is>
      </c>
      <c r="AF129" s="71" t="inlineStr">
        <is>
          <t>2022-08-07</t>
        </is>
      </c>
      <c r="AG129" s="71" t="inlineStr">
        <is>
          <t>China International Capital Corporation Hong Kong Securities Limited</t>
        </is>
      </c>
      <c r="AH129" s="71" t="inlineStr">
        <is>
          <t>China International</t>
        </is>
      </c>
      <c r="AI129" s="81" t="n">
        <v>-0.37</v>
      </c>
      <c r="AJ129" s="82" t="n">
        <v>-0.16</v>
      </c>
      <c r="AK129" s="82" t="n">
        <v>0.24</v>
      </c>
      <c r="AL129" s="82" t="n">
        <v>-0.4</v>
      </c>
      <c r="AM129" s="83" t="n"/>
      <c r="AN129" s="75" t="n">
        <v>4.25</v>
      </c>
      <c r="AO129" s="82" t="n">
        <v>-0.37</v>
      </c>
      <c r="AP129" s="82" t="n">
        <v>-0.97</v>
      </c>
      <c r="AQ129" s="82" t="n">
        <v>-0.37</v>
      </c>
      <c r="AR129" s="82" t="n">
        <v>-0.21</v>
      </c>
      <c r="AS129" s="82" t="n">
        <v>-0.8100000000000001</v>
      </c>
      <c r="AT129" s="82" t="n">
        <v>-0.21</v>
      </c>
      <c r="AU129" s="82" t="n">
        <v>2.56</v>
      </c>
      <c r="AV129" s="82" t="n">
        <v>5.44</v>
      </c>
      <c r="AW129" s="82" t="n">
        <v>17.36</v>
      </c>
      <c r="AX129" s="82" t="n">
        <v>3.15</v>
      </c>
      <c r="AY129" s="82" t="n">
        <v>-6.41</v>
      </c>
      <c r="AZ129" s="82" t="n">
        <v>-3.96</v>
      </c>
      <c r="BA129" s="71" t="inlineStr">
        <is>
          <t>China Biotech ETF (HS biotech proxy)</t>
        </is>
      </c>
      <c r="BB129" s="82" t="n">
        <v>-67.31</v>
      </c>
      <c r="BC129" s="72" t="inlineStr">
        <is>
          <t>2026-09-18</t>
        </is>
      </c>
      <c r="BD129" s="73" t="n">
        <v>421.1</v>
      </c>
      <c r="BE129" s="76" t="n"/>
      <c r="BF129" s="71" t="inlineStr">
        <is>
          <t>Y</t>
        </is>
      </c>
      <c r="BG129" s="84">
        <f>IF('BBG Verify'!O129="","not filed; run on terminal",'BBG Verify'!O129)</f>
        <v/>
      </c>
      <c r="BH129" s="83" t="n"/>
      <c r="BI129" s="83" t="n">
        <v>23.6</v>
      </c>
      <c r="BJ129" s="83" t="n">
        <v>34.3</v>
      </c>
      <c r="BK129" s="84">
        <f>IF('BBG Verify'!S129="","not filed; run on terminal",'BBG Verify'!S129)</f>
        <v/>
      </c>
      <c r="BL129" s="85" t="inlineStr">
        <is>
          <t>N</t>
        </is>
      </c>
      <c r="BM129" s="86">
        <f>IF('BBG Verify'!K129="","not filed; run on terminal",'BBG Verify'!K129)</f>
        <v/>
      </c>
      <c r="BN129" s="71" t="inlineStr">
        <is>
          <t>N/A</t>
        </is>
      </c>
      <c r="BO129" s="71" t="inlineStr">
        <is>
          <t>N/A</t>
        </is>
      </c>
      <c r="BP129" s="71" t="inlineStr">
        <is>
          <t>N/A</t>
        </is>
      </c>
      <c r="BQ129" s="71" t="inlineStr">
        <is>
          <t>N/A</t>
        </is>
      </c>
      <c r="BR129" s="71" t="inlineStr">
        <is>
          <t>N/A</t>
        </is>
      </c>
      <c r="BS129" s="71" t="inlineStr">
        <is>
          <t>N/A</t>
        </is>
      </c>
      <c r="BT129" s="85" t="n"/>
      <c r="BU129" s="71" t="inlineStr">
        <is>
          <t>China International Capital Corporation Hong Kong Securities Limited; J.P. Morgan Securities (Far East) Limited</t>
        </is>
      </c>
      <c r="BV129" s="71" t="inlineStr">
        <is>
          <t>China International Capital Corporation Hong Kong Securities Limited; Futu Securities International (Hong Kong) Limited; J.P. Morgan Securities (Asia Pacific) Limited; Livermore Holdings Limited</t>
        </is>
      </c>
      <c r="BW129" s="71" t="inlineStr">
        <is>
          <t>China International Capital Corporation Hong Kong Securities Limited; Futu Securities International (Hong Kong) Limited; J.P. Morgan Securities (Asia Pacific) Limited; Livermore Holdings Limited</t>
        </is>
      </c>
      <c r="BX129" s="87">
        <f>HYPERLINK("https://www1.hkexnews.hk/listedco/listconews/sehk/2022/0629/2022062900318.htm","prospectus")</f>
        <v/>
      </c>
      <c r="BY129" s="87">
        <f>HYPERLINK("https://www1.hkexnews.hk/listedco/listconews/sehk/2022/0714/2022071400060.htm","allotment")</f>
        <v/>
      </c>
      <c r="BZ129" s="87">
        <f>HYPERLINK("https://www1.hkexnews.hk/listedco/listconews/sehk/2022/0807/2022080700009.pdf","stabilisation")</f>
        <v/>
      </c>
      <c r="CA129" s="85" t="n"/>
      <c r="CB129" s="71"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allocation: allocation table not in this notice's format (older prose announcement); day-1 tape: volume on file; the retail multiple needs the final public split, which this notice does not state</t>
        </is>
      </c>
    </row>
    <row r="130" ht="15" customHeight="1">
      <c r="A130" s="70" t="inlineStr">
        <is>
          <t>2237</t>
        </is>
      </c>
      <c r="B130" s="71" t="inlineStr">
        <is>
          <t>CHINA GRAPHITE</t>
        </is>
      </c>
      <c r="C130" s="71" t="inlineStr">
        <is>
          <t>中國石墨</t>
        </is>
      </c>
      <c r="D130" s="71" t="inlineStr">
        <is>
          <t>Materials/Energy</t>
        </is>
      </c>
      <c r="E130" s="71" t="inlineStr">
        <is>
          <t>Mining / metals</t>
        </is>
      </c>
      <c r="F130" s="71" t="inlineStr">
        <is>
          <t>Diversified Metals &amp; Minerals</t>
        </is>
      </c>
      <c r="G130" s="71" t="inlineStr">
        <is>
          <t>Standard</t>
        </is>
      </c>
      <c r="H130" s="72" t="n">
        <v>44760</v>
      </c>
      <c r="I130" s="73" t="n">
        <v>130</v>
      </c>
      <c r="J130" s="71" t="inlineStr">
        <is>
          <t>gross (price x shares)</t>
        </is>
      </c>
      <c r="K130" s="74" t="n">
        <v>0.325</v>
      </c>
      <c r="L130" s="74" t="n">
        <v>0.375</v>
      </c>
      <c r="M130" s="74" t="n">
        <v>0.325</v>
      </c>
      <c r="N130" s="71" t="inlineStr">
        <is>
          <t>N</t>
        </is>
      </c>
      <c r="O130" s="75" t="n">
        <v>86.7</v>
      </c>
      <c r="P130" s="75" t="n">
        <v>0</v>
      </c>
      <c r="Q130" s="76" t="n">
        <v>520</v>
      </c>
      <c r="R130" s="71" t="inlineStr">
        <is>
          <t>derived:deal size / offer % of enlarged capital</t>
        </is>
      </c>
      <c r="S130" s="77" t="n">
        <v>26.51</v>
      </c>
      <c r="T130" s="78" t="n">
        <v>1.06</v>
      </c>
      <c r="U130" s="79" t="n"/>
      <c r="V130" s="80" t="n">
        <v>202</v>
      </c>
      <c r="W130" s="75" t="n"/>
      <c r="X130" s="71" t="n"/>
      <c r="Y130" s="76" t="n">
        <v>130</v>
      </c>
      <c r="Z130" s="76" t="n">
        <v>400000000</v>
      </c>
      <c r="AA130" s="75" t="n">
        <v>25</v>
      </c>
      <c r="AB130" s="71" t="n"/>
      <c r="AC130" s="71" t="n"/>
      <c r="AD130" s="75" t="n">
        <v>15</v>
      </c>
      <c r="AE130" s="71" t="inlineStr">
        <is>
          <t>lapsed (no over-allocation)</t>
        </is>
      </c>
      <c r="AF130" s="71" t="n"/>
      <c r="AG130" s="71" t="inlineStr">
        <is>
          <t>Lego Securities Lim ited</t>
        </is>
      </c>
      <c r="AH130" s="71" t="inlineStr">
        <is>
          <t>Lego</t>
        </is>
      </c>
      <c r="AI130" s="81" t="n">
        <v>15.38</v>
      </c>
      <c r="AJ130" s="82" t="n">
        <v>143.08</v>
      </c>
      <c r="AK130" s="82" t="n">
        <v>35.38</v>
      </c>
      <c r="AL130" s="82" t="n">
        <v>79.55</v>
      </c>
      <c r="AM130" s="83" t="n"/>
      <c r="AN130" s="75" t="n">
        <v>187.5</v>
      </c>
      <c r="AO130" s="82" t="n">
        <v>56.92</v>
      </c>
      <c r="AP130" s="82" t="n">
        <v>176.92</v>
      </c>
      <c r="AQ130" s="82" t="n">
        <v>183.08</v>
      </c>
      <c r="AR130" s="82" t="n">
        <v>-35.45</v>
      </c>
      <c r="AS130" s="82" t="n">
        <v>13.92</v>
      </c>
      <c r="AT130" s="82" t="n">
        <v>16.46</v>
      </c>
      <c r="AU130" s="82" t="n">
        <v>55.26</v>
      </c>
      <c r="AV130" s="82" t="n">
        <v>180.79</v>
      </c>
      <c r="AW130" s="82" t="n">
        <v>203.2</v>
      </c>
      <c r="AX130" s="82" t="n">
        <v>20.44</v>
      </c>
      <c r="AY130" s="82" t="n">
        <v>-3.87</v>
      </c>
      <c r="AZ130" s="82" t="n">
        <v>-6.52</v>
      </c>
      <c r="BA130" s="71" t="inlineStr">
        <is>
          <t>Hang Seng Commerce &amp; Industry sub-index</t>
        </is>
      </c>
      <c r="BB130" s="82" t="n">
        <v>-40.62</v>
      </c>
      <c r="BC130" s="72" t="inlineStr">
        <is>
          <t>2026-09-21</t>
        </is>
      </c>
      <c r="BD130" s="73" t="n">
        <v>218.2</v>
      </c>
      <c r="BE130" s="76" t="n">
        <v>58.7</v>
      </c>
      <c r="BF130" s="71" t="inlineStr">
        <is>
          <t>Y</t>
        </is>
      </c>
      <c r="BG130" s="83" t="n">
        <v>8.9</v>
      </c>
      <c r="BH130" s="83" t="n"/>
      <c r="BI130" s="83" t="n">
        <v>53.8</v>
      </c>
      <c r="BJ130" s="83" t="n">
        <v>2.4</v>
      </c>
      <c r="BK130" s="84">
        <f>IF('BBG Verify'!S130="","not filed; run on terminal",'BBG Verify'!S130)</f>
        <v/>
      </c>
      <c r="BL130" s="85" t="inlineStr">
        <is>
          <t>N</t>
        </is>
      </c>
      <c r="BM130" s="86">
        <f>IF('BBG Verify'!K130="","not filed; run on terminal",'BBG Verify'!K130)</f>
        <v/>
      </c>
      <c r="BN130" s="71" t="inlineStr">
        <is>
          <t>N/A</t>
        </is>
      </c>
      <c r="BO130" s="71" t="inlineStr">
        <is>
          <t>N/A</t>
        </is>
      </c>
      <c r="BP130" s="71" t="inlineStr">
        <is>
          <t>N/A</t>
        </is>
      </c>
      <c r="BQ130" s="71" t="inlineStr">
        <is>
          <t>N/A</t>
        </is>
      </c>
      <c r="BR130" s="71" t="inlineStr">
        <is>
          <t>N/A</t>
        </is>
      </c>
      <c r="BS130" s="71" t="inlineStr">
        <is>
          <t>N/A</t>
        </is>
      </c>
      <c r="BT130" s="85" t="inlineStr">
        <is>
          <t>Lego Corporate Finance Limited</t>
        </is>
      </c>
      <c r="BU130" s="71" t="inlineStr">
        <is>
          <t>Lego Corporate Finance Limited</t>
        </is>
      </c>
      <c r="BV130" s="71" t="inlineStr">
        <is>
          <t>China Galaxy Internati onal Securities (Hong Kong) Co., Limited; China Tonghai Securities Limited; Guotai Junan Securities (Hong Kong) Limited</t>
        </is>
      </c>
      <c r="BW130" s="71"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X130" s="87">
        <f>HYPERLINK("https://www1.hkexnews.hk/listedco/listconews/sehk/2022/0630/2022063000021.pdf","prospectus")</f>
        <v/>
      </c>
      <c r="BY130" s="87">
        <f>HYPERLINK("https://www1.hkexnews.hk/listedco/listconews/sehk/2022/0715/2022071500016.htm","allotment")</f>
        <v/>
      </c>
      <c r="BZ130" s="87">
        <f>HYPERLINK("https://www1.hkexnews.hk/listedco/listconews/sehk/2022/0808/2022080800011.pdf","stabilisation")</f>
        <v/>
      </c>
      <c r="CA130" s="85" t="n"/>
      <c r="CB130" s="71" t="inlineStr">
        <is>
          <t>greenshoe: outcome published; expiry date not in the notice; cornerstone list: names not extractable, see the prospectus; cornerstone %: aggregate not stated in the filing; allocation: allocation table not in this notice's format (older prose announcement); day-1 tape: volume on file; the retail multiple needs the final public split, which this notice does not state</t>
        </is>
      </c>
    </row>
    <row r="131" ht="15" customHeight="1">
      <c r="A131" s="70" t="inlineStr">
        <is>
          <t>9857</t>
        </is>
      </c>
      <c r="B131" s="71" t="inlineStr">
        <is>
          <t>LINMON MEDIA</t>
        </is>
      </c>
      <c r="C131" s="71" t="inlineStr">
        <is>
          <t>檸萌影視</t>
        </is>
      </c>
      <c r="D131" s="71" t="inlineStr">
        <is>
          <t>TMT-other</t>
        </is>
      </c>
      <c r="E131" s="71" t="inlineStr">
        <is>
          <t>Media / advertising</t>
        </is>
      </c>
      <c r="F131" s="71" t="inlineStr">
        <is>
          <t>Movies &amp; Entertainment</t>
        </is>
      </c>
      <c r="G131" s="71" t="inlineStr">
        <is>
          <t>Standard</t>
        </is>
      </c>
      <c r="H131" s="72" t="n">
        <v>44783</v>
      </c>
      <c r="I131" s="73" t="n">
        <v>420.1</v>
      </c>
      <c r="J131" s="71" t="inlineStr">
        <is>
          <t>gross (price x shares)</t>
        </is>
      </c>
      <c r="K131" s="74" t="n">
        <v>27.75</v>
      </c>
      <c r="L131" s="74" t="n">
        <v>33.3</v>
      </c>
      <c r="M131" s="74" t="n">
        <v>27.75</v>
      </c>
      <c r="N131" s="71" t="inlineStr">
        <is>
          <t>N</t>
        </is>
      </c>
      <c r="O131" s="75" t="n">
        <v>83.3</v>
      </c>
      <c r="P131" s="75" t="n">
        <v>0</v>
      </c>
      <c r="Q131" s="76" t="n">
        <v>11669.9</v>
      </c>
      <c r="R131" s="71" t="inlineStr">
        <is>
          <t>aastocks:上市市值 at the struck price</t>
        </is>
      </c>
      <c r="S131" s="77" t="n">
        <v>0.8100000000000001</v>
      </c>
      <c r="T131" s="78" t="n">
        <v>1.38</v>
      </c>
      <c r="U131" s="79" t="n">
        <v>46.7</v>
      </c>
      <c r="V131" s="80" t="n">
        <v>112</v>
      </c>
      <c r="W131" s="75" t="n">
        <v>8.07</v>
      </c>
      <c r="X131" s="71" t="inlineStr">
        <is>
          <t>NO</t>
        </is>
      </c>
      <c r="Y131" s="76" t="n">
        <v>223.91</v>
      </c>
      <c r="Z131" s="76" t="n">
        <v>8069247</v>
      </c>
      <c r="AA131" s="75" t="n">
        <v>1.92</v>
      </c>
      <c r="AB131" s="71" t="inlineStr">
        <is>
          <t>Harvest International Premium Value (Secondary Market) Fund SPC; Heilan Group Co., Limited</t>
        </is>
      </c>
      <c r="AC131" s="71" t="inlineStr">
        <is>
          <t>harvest;heilan</t>
        </is>
      </c>
      <c r="AD131" s="75" t="n">
        <v>20</v>
      </c>
      <c r="AE131" s="71" t="inlineStr">
        <is>
          <t>lapsed</t>
        </is>
      </c>
      <c r="AF131" s="71" t="inlineStr">
        <is>
          <t>2022-09-02</t>
        </is>
      </c>
      <c r="AG131" s="71" t="inlineStr">
        <is>
          <t>Morgan Stanley Asia Limited</t>
        </is>
      </c>
      <c r="AH131" s="71" t="inlineStr">
        <is>
          <t>Morgan Stanley</t>
        </is>
      </c>
      <c r="AI131" s="81" t="n">
        <v>-2.52</v>
      </c>
      <c r="AJ131" s="82" t="n">
        <v>-2.7</v>
      </c>
      <c r="AK131" s="82" t="n">
        <v>0</v>
      </c>
      <c r="AL131" s="82" t="n">
        <v>-2.7</v>
      </c>
      <c r="AM131" s="83" t="n">
        <v>1.37</v>
      </c>
      <c r="AN131" s="75" t="n">
        <v>4.32</v>
      </c>
      <c r="AO131" s="82" t="n">
        <v>0</v>
      </c>
      <c r="AP131" s="82" t="n">
        <v>-3.42</v>
      </c>
      <c r="AQ131" s="82" t="n">
        <v>-12.43</v>
      </c>
      <c r="AR131" s="82" t="n">
        <v>2.77</v>
      </c>
      <c r="AS131" s="82" t="n">
        <v>-0.74</v>
      </c>
      <c r="AT131" s="82" t="n">
        <v>-10</v>
      </c>
      <c r="AU131" s="82" t="n">
        <v>0.4</v>
      </c>
      <c r="AV131" s="82" t="n">
        <v>2.32</v>
      </c>
      <c r="AW131" s="82" t="n">
        <v>5.79</v>
      </c>
      <c r="AX131" s="82" t="n">
        <v>3.12</v>
      </c>
      <c r="AY131" s="82" t="n">
        <v>-5.74</v>
      </c>
      <c r="AZ131" s="82" t="n">
        <v>-3.86</v>
      </c>
      <c r="BA131" s="71" t="inlineStr">
        <is>
          <t>Hang Seng Index</t>
        </is>
      </c>
      <c r="BB131" s="82" t="n">
        <v>-89.91</v>
      </c>
      <c r="BC131" s="72" t="inlineStr">
        <is>
          <t>2026-09-22</t>
        </is>
      </c>
      <c r="BD131" s="73" t="n">
        <v>1373.9</v>
      </c>
      <c r="BE131" s="76" t="n">
        <v>67</v>
      </c>
      <c r="BF131" s="71" t="inlineStr">
        <is>
          <t>Y</t>
        </is>
      </c>
      <c r="BG131" s="83" t="n">
        <v>174.2</v>
      </c>
      <c r="BH131" s="83" t="n"/>
      <c r="BI131" s="83" t="n">
        <v>27.3</v>
      </c>
      <c r="BJ131" s="83" t="n">
        <v>8.5</v>
      </c>
      <c r="BK131" s="84">
        <f>IF('BBG Verify'!S131="","not filed; run on terminal",'BBG Verify'!S131)</f>
        <v/>
      </c>
      <c r="BL131" s="85" t="inlineStr">
        <is>
          <t>N</t>
        </is>
      </c>
      <c r="BM131" s="86">
        <f>IF('BBG Verify'!K131="","not filed; run on terminal",'BBG Verify'!K131)</f>
        <v/>
      </c>
      <c r="BN131" s="71" t="inlineStr">
        <is>
          <t>N/A</t>
        </is>
      </c>
      <c r="BO131" s="71" t="inlineStr">
        <is>
          <t>N/A</t>
        </is>
      </c>
      <c r="BP131" s="71" t="inlineStr">
        <is>
          <t>N/A</t>
        </is>
      </c>
      <c r="BQ131" s="71" t="inlineStr">
        <is>
          <t>N/A</t>
        </is>
      </c>
      <c r="BR131" s="71" t="inlineStr">
        <is>
          <t>N/A</t>
        </is>
      </c>
      <c r="BS131" s="71" t="inlineStr">
        <is>
          <t>N/A</t>
        </is>
      </c>
      <c r="BT131" s="85" t="inlineStr">
        <is>
          <t>Morgan Stanley Asia Limited; China International Capital Corporation Hong Kong Securities Limited</t>
        </is>
      </c>
      <c r="BU131" s="71" t="inlineStr">
        <is>
          <t>China International Capital Corporation Hong Kong Securities Limited; Morgan Stanley Asia Limited</t>
        </is>
      </c>
      <c r="BV131" s="71" t="inlineStr">
        <is>
          <t>Morgan Stanley Asia Limited; China International Capital Corporation Hong Kong Securities Limited; CMB International Capital Limited; Futu Securities International (Hong Kong) Limited</t>
        </is>
      </c>
      <c r="BW131" s="71" t="inlineStr">
        <is>
          <t>China International Capital Corporation Hong Kong Securities Limited; CMB International Capital Limited; Futu Securities International (Hong Kong) Limited; Livermore Holdings Limited; Morgan Stanley Asia Limited</t>
        </is>
      </c>
      <c r="BX131" s="87">
        <f>HYPERLINK("https://www1.hkexnews.hk/listedco/listconews/sehk/2022/0729/2022072900015.pdf","prospectus")</f>
        <v/>
      </c>
      <c r="BY131" s="87">
        <f>HYPERLINK("https://www1.hkexnews.hk/listedco/listconews/sehk/2022/0809/2022080900036.htm","allotment")</f>
        <v/>
      </c>
      <c r="BZ131" s="87">
        <f>HYPERLINK("https://www1.hkexnews.hk/listedco/listconews/sehk/2022/0902/2022090202423.pdf","stabilisation")</f>
        <v/>
      </c>
      <c r="CA131" s="85" t="n"/>
      <c r="CB131" s="71" t="inlineStr">
        <is>
          <t>market cap: published listing cap used; the estimate from stated market capitalisation, rescaled to the offer price disagreed</t>
        </is>
      </c>
    </row>
    <row r="132" ht="15" customHeight="1">
      <c r="A132" s="70" t="inlineStr">
        <is>
          <t>2321</t>
        </is>
      </c>
      <c r="B132" s="71" t="inlineStr">
        <is>
          <t>SWANGCHAICHUAN</t>
        </is>
      </c>
      <c r="C132" s="71" t="inlineStr">
        <is>
          <t>雙財莊</t>
        </is>
      </c>
      <c r="D132" s="71" t="inlineStr">
        <is>
          <t>Materials/Energy</t>
        </is>
      </c>
      <c r="E132" s="71" t="inlineStr">
        <is>
          <t>Oil &amp; gas / utilities</t>
        </is>
      </c>
      <c r="F132" s="71" t="inlineStr">
        <is>
          <t>Packaged Foods</t>
        </is>
      </c>
      <c r="G132" s="71" t="inlineStr">
        <is>
          <t>Standard</t>
        </is>
      </c>
      <c r="H132" s="72" t="n">
        <v>44792</v>
      </c>
      <c r="I132" s="73" t="n">
        <v>135</v>
      </c>
      <c r="J132" s="71" t="inlineStr">
        <is>
          <t>gross (price x shares)</t>
        </is>
      </c>
      <c r="K132" s="74" t="n">
        <v>0.52</v>
      </c>
      <c r="L132" s="74" t="n">
        <v>0.5600000000000001</v>
      </c>
      <c r="M132" s="74" t="n">
        <v>0.5600000000000001</v>
      </c>
      <c r="N132" s="71" t="inlineStr">
        <is>
          <t>Y</t>
        </is>
      </c>
      <c r="O132" s="75" t="n">
        <v>100</v>
      </c>
      <c r="P132" s="75" t="n">
        <v>100</v>
      </c>
      <c r="Q132" s="76" t="n">
        <v>487.4</v>
      </c>
      <c r="R132" s="71" t="inlineStr">
        <is>
          <t>derived:deal size / offer % of enlarged capital</t>
        </is>
      </c>
      <c r="S132" s="77" t="n">
        <v>19.2</v>
      </c>
      <c r="T132" s="78" t="n">
        <v>2.1</v>
      </c>
      <c r="U132" s="79" t="n">
        <v>38.4</v>
      </c>
      <c r="V132" s="80" t="n">
        <v>327</v>
      </c>
      <c r="W132" s="75" t="n">
        <v>30</v>
      </c>
      <c r="X132" s="71" t="inlineStr">
        <is>
          <t>YES</t>
        </is>
      </c>
      <c r="Y132" s="76" t="n">
        <v>83.16</v>
      </c>
      <c r="Z132" s="76" t="n">
        <v>148456000</v>
      </c>
      <c r="AA132" s="75" t="n">
        <v>17.06</v>
      </c>
      <c r="AB132" s="71" t="inlineStr">
        <is>
          <t>Dato Sri Ng Chong Keong; Dato Sri Pek Kok Sam; Huihuang Resources Limited; Mr. Tee Kian Heng</t>
        </is>
      </c>
      <c r="AC132" s="71" t="inlineStr">
        <is>
          <t>dato;huihuang;mr-tee</t>
        </is>
      </c>
      <c r="AD132" s="75" t="n">
        <v>15</v>
      </c>
      <c r="AE132" s="71" t="inlineStr">
        <is>
          <t>full</t>
        </is>
      </c>
      <c r="AF132" s="71" t="n"/>
      <c r="AG132" s="71" t="inlineStr">
        <is>
          <t>Elstone Securities Limited</t>
        </is>
      </c>
      <c r="AH132" s="71" t="inlineStr">
        <is>
          <t>Elstone</t>
        </is>
      </c>
      <c r="AI132" s="81" t="n">
        <v>53.57</v>
      </c>
      <c r="AJ132" s="82" t="n">
        <v>41.07</v>
      </c>
      <c r="AK132" s="82" t="n">
        <v>42.86</v>
      </c>
      <c r="AL132" s="82" t="n">
        <v>-1.25</v>
      </c>
      <c r="AM132" s="83" t="n">
        <v>2.99</v>
      </c>
      <c r="AN132" s="75" t="n">
        <v>45</v>
      </c>
      <c r="AO132" s="82" t="n">
        <v>62.5</v>
      </c>
      <c r="AP132" s="82" t="n">
        <v>96.43000000000001</v>
      </c>
      <c r="AQ132" s="82" t="n">
        <v>258.93</v>
      </c>
      <c r="AR132" s="82" t="n">
        <v>15.19</v>
      </c>
      <c r="AS132" s="82" t="n">
        <v>39.24</v>
      </c>
      <c r="AT132" s="82" t="n">
        <v>154.43</v>
      </c>
      <c r="AU132" s="82" t="n">
        <v>59.03</v>
      </c>
      <c r="AV132" s="82" t="n">
        <v>102.35</v>
      </c>
      <c r="AW132" s="82" t="n">
        <v>268.7</v>
      </c>
      <c r="AX132" s="82" t="n">
        <v>45.12</v>
      </c>
      <c r="AY132" s="82" t="n">
        <v>-5.92</v>
      </c>
      <c r="AZ132" s="82" t="n">
        <v>-5.88</v>
      </c>
      <c r="BA132" s="71" t="inlineStr">
        <is>
          <t>Hang Seng Commerce &amp; Industry sub-index</t>
        </is>
      </c>
      <c r="BB132" s="82" t="n">
        <v>-8.039999999999999</v>
      </c>
      <c r="BC132" s="72" t="inlineStr">
        <is>
          <t>2026-09-21</t>
        </is>
      </c>
      <c r="BD132" s="73" t="n">
        <v>668.7</v>
      </c>
      <c r="BE132" s="76" t="n">
        <v>23.6</v>
      </c>
      <c r="BF132" s="71" t="inlineStr">
        <is>
          <t>Y</t>
        </is>
      </c>
      <c r="BG132" s="83" t="n">
        <v>20.7</v>
      </c>
      <c r="BH132" s="83" t="n"/>
      <c r="BI132" s="83" t="n">
        <v>8.1</v>
      </c>
      <c r="BJ132" s="83" t="n">
        <v>0.7</v>
      </c>
      <c r="BK132" s="84">
        <f>IF('BBG Verify'!S132="","not filed; run on terminal",'BBG Verify'!S132)</f>
        <v/>
      </c>
      <c r="BL132" s="85" t="inlineStr">
        <is>
          <t>N</t>
        </is>
      </c>
      <c r="BM132" s="86">
        <f>IF('BBG Verify'!K132="","not filed; run on terminal",'BBG Verify'!K132)</f>
        <v/>
      </c>
      <c r="BN132" s="71" t="inlineStr">
        <is>
          <t>N/A</t>
        </is>
      </c>
      <c r="BO132" s="71" t="inlineStr">
        <is>
          <t>N/A</t>
        </is>
      </c>
      <c r="BP132" s="71" t="inlineStr">
        <is>
          <t>N/A</t>
        </is>
      </c>
      <c r="BQ132" s="71" t="inlineStr">
        <is>
          <t>N/A</t>
        </is>
      </c>
      <c r="BR132" s="71" t="inlineStr">
        <is>
          <t>N/A</t>
        </is>
      </c>
      <c r="BS132" s="71" t="inlineStr">
        <is>
          <t>N/A</t>
        </is>
      </c>
      <c r="BT132" s="85" t="inlineStr">
        <is>
          <t>Sunny Fortune Capital Limited</t>
        </is>
      </c>
      <c r="BU132" s="71" t="inlineStr">
        <is>
          <t>Sunny Fortune Capital Limited</t>
        </is>
      </c>
      <c r="BV132" s="71"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W132" s="71"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X132" s="87">
        <f>HYPERLINK("https://www1.hkexnews.hk/listedco/listconews/sehk/2022/0808/2022080800013.pdf","prospectus")</f>
        <v/>
      </c>
      <c r="BY132" s="87">
        <f>HYPERLINK("https://www1.hkexnews.hk/listedco/listconews/sehk/2022/0818/2022081800018.htm","allotment")</f>
        <v/>
      </c>
      <c r="BZ132" s="87">
        <f>HYPERLINK("https://www1.hkexnews.hk/listedco/listconews/sehk/2022/0913/2022091300161.pdf","stabilisation")</f>
        <v/>
      </c>
      <c r="CA132" s="85" t="n"/>
      <c r="CB132" s="71" t="inlineStr">
        <is>
          <t>greenshoe: outcome published; expiry date not in the notice</t>
        </is>
      </c>
    </row>
    <row r="133" ht="15" customHeight="1">
      <c r="A133" s="70" t="inlineStr">
        <is>
          <t>2152</t>
        </is>
      </c>
      <c r="B133" s="71" t="inlineStr">
        <is>
          <t>SUXIN SERVICES</t>
        </is>
      </c>
      <c r="C133" s="71" t="inlineStr">
        <is>
          <t>蘇新服務</t>
        </is>
      </c>
      <c r="D133" s="71" t="inlineStr">
        <is>
          <t>Real Estate</t>
        </is>
      </c>
      <c r="E133" s="71" t="inlineStr">
        <is>
          <t>Property management</t>
        </is>
      </c>
      <c r="F133" s="71" t="inlineStr">
        <is>
          <t>Property Service and Management</t>
        </is>
      </c>
      <c r="G133" s="71" t="inlineStr">
        <is>
          <t>Standard</t>
        </is>
      </c>
      <c r="H133" s="72" t="n">
        <v>44797</v>
      </c>
      <c r="I133" s="73" t="n">
        <v>215</v>
      </c>
      <c r="J133" s="71" t="inlineStr">
        <is>
          <t>gross (price x shares)</t>
        </is>
      </c>
      <c r="K133" s="74" t="n">
        <v>8.6</v>
      </c>
      <c r="L133" s="74" t="n">
        <v>9.6</v>
      </c>
      <c r="M133" s="74" t="n">
        <v>8.6</v>
      </c>
      <c r="N133" s="71" t="inlineStr">
        <is>
          <t>N</t>
        </is>
      </c>
      <c r="O133" s="75" t="n">
        <v>89.59999999999999</v>
      </c>
      <c r="P133" s="75" t="n">
        <v>0</v>
      </c>
      <c r="Q133" s="76" t="n">
        <v>959.6</v>
      </c>
      <c r="R133" s="71" t="inlineStr">
        <is>
          <t>aastocks:上市市值 at the struck price</t>
        </is>
      </c>
      <c r="S133" s="77" t="n">
        <v>0.71</v>
      </c>
      <c r="T133" s="78" t="n">
        <v>1.2</v>
      </c>
      <c r="U133" s="79" t="n">
        <v>20.2</v>
      </c>
      <c r="V133" s="80" t="n">
        <v>130</v>
      </c>
      <c r="W133" s="75" t="n">
        <v>7.07</v>
      </c>
      <c r="X133" s="71" t="inlineStr">
        <is>
          <t>NO</t>
        </is>
      </c>
      <c r="Y133" s="76" t="n">
        <v>171.57</v>
      </c>
      <c r="Z133" s="76" t="n">
        <v>19950000</v>
      </c>
      <c r="AA133" s="75" t="n">
        <v>17.88</v>
      </c>
      <c r="AB133" s="71" t="inlineStr">
        <is>
          <t>Chiyu International Capital Limited; Suzhou Guanglin Construction Company Limited; Suzhou Qianmo Village Development Construction Tourism Company Limited</t>
        </is>
      </c>
      <c r="AC133" s="71" t="inlineStr">
        <is>
          <t>chiyu;suzhou</t>
        </is>
      </c>
      <c r="AD133" s="75" t="n">
        <v>17.55</v>
      </c>
      <c r="AE133" s="71" t="inlineStr">
        <is>
          <t>partial</t>
        </is>
      </c>
      <c r="AF133" s="71" t="inlineStr">
        <is>
          <t>2022-09-15</t>
        </is>
      </c>
      <c r="AG133" s="71" t="inlineStr">
        <is>
          <t>BOCOM International Securities Limited</t>
        </is>
      </c>
      <c r="AH133" s="71" t="inlineStr">
        <is>
          <t>BOCOM</t>
        </is>
      </c>
      <c r="AI133" s="81" t="n">
        <v>-1.28</v>
      </c>
      <c r="AJ133" s="82" t="n">
        <v>-0.12</v>
      </c>
      <c r="AK133" s="82" t="n">
        <v>-4.65</v>
      </c>
      <c r="AL133" s="82" t="n">
        <v>4.75</v>
      </c>
      <c r="AM133" s="83" t="n">
        <v>0.6899999999999999</v>
      </c>
      <c r="AN133" s="75" t="n">
        <v>7.56</v>
      </c>
      <c r="AO133" s="82" t="n">
        <v>-0.12</v>
      </c>
      <c r="AP133" s="82" t="n">
        <v>-27.33</v>
      </c>
      <c r="AQ133" s="82" t="n">
        <v>-29.07</v>
      </c>
      <c r="AR133" s="82" t="n">
        <v>0</v>
      </c>
      <c r="AS133" s="82" t="n">
        <v>-27.24</v>
      </c>
      <c r="AT133" s="82" t="n">
        <v>-28.98</v>
      </c>
      <c r="AU133" s="82" t="n">
        <v>0.08</v>
      </c>
      <c r="AV133" s="82" t="n">
        <v>-26.23</v>
      </c>
      <c r="AW133" s="82" t="n">
        <v>-20.32</v>
      </c>
      <c r="AX133" s="82" t="n">
        <v>-27.51</v>
      </c>
      <c r="AY133" s="82" t="n">
        <v>-1.1</v>
      </c>
      <c r="AZ133" s="82" t="n">
        <v>0.27</v>
      </c>
      <c r="BA133" s="71" t="inlineStr">
        <is>
          <t>Hang Seng Properties sub-index</t>
        </is>
      </c>
      <c r="BB133" s="82" t="n">
        <v>-44.19</v>
      </c>
      <c r="BC133" s="72" t="inlineStr">
        <is>
          <t>2026-09-18</t>
        </is>
      </c>
      <c r="BD133" s="73" t="n">
        <v>508.2</v>
      </c>
      <c r="BE133" s="76" t="n">
        <v>62.2</v>
      </c>
      <c r="BF133" s="71" t="inlineStr">
        <is>
          <t>Y</t>
        </is>
      </c>
      <c r="BG133" s="83" t="n">
        <v>15.4</v>
      </c>
      <c r="BH133" s="83" t="n"/>
      <c r="BI133" s="83" t="n">
        <v>5.6</v>
      </c>
      <c r="BJ133" s="83" t="n">
        <v>1.9</v>
      </c>
      <c r="BK133" s="84">
        <f>IF('BBG Verify'!S133="","not filed; run on terminal",'BBG Verify'!S133)</f>
        <v/>
      </c>
      <c r="BL133" s="85" t="inlineStr">
        <is>
          <t>N</t>
        </is>
      </c>
      <c r="BM133" s="86">
        <f>IF('BBG Verify'!K133="","not filed; run on terminal",'BBG Verify'!K133)</f>
        <v/>
      </c>
      <c r="BN133" s="71" t="inlineStr">
        <is>
          <t>N/A</t>
        </is>
      </c>
      <c r="BO133" s="71" t="inlineStr">
        <is>
          <t>N/A</t>
        </is>
      </c>
      <c r="BP133" s="71" t="inlineStr">
        <is>
          <t>N/A</t>
        </is>
      </c>
      <c r="BQ133" s="71" t="inlineStr">
        <is>
          <t>N/A</t>
        </is>
      </c>
      <c r="BR133" s="71" t="inlineStr">
        <is>
          <t>N/A</t>
        </is>
      </c>
      <c r="BS133" s="71" t="inlineStr">
        <is>
          <t>N/A</t>
        </is>
      </c>
      <c r="BT133" s="85" t="inlineStr">
        <is>
          <t>BOCOM International (Asia) Limited; BOCOM International Securities Limited</t>
        </is>
      </c>
      <c r="BU133" s="71" t="inlineStr">
        <is>
          <t>BOCOM International (Asia) Limited</t>
        </is>
      </c>
      <c r="BV133" s="71" t="inlineStr">
        <is>
          <t>Haitong International Securities Company Limited; China Everbright Securities (HK) Limited; CEB International Capital Corporation Limited; CMBC Securities Company Limited; Essence International Securities (Hong Kong) Limited; ABCI Capital Limited</t>
        </is>
      </c>
      <c r="BW133" s="71"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X133" s="87">
        <f>HYPERLINK("https://www1.hkexnews.hk/listedco/listconews/sehk/2022/0811/2022081100025.pdf","prospectus")</f>
        <v/>
      </c>
      <c r="BY133" s="87">
        <f>HYPERLINK("https://www1.hkexnews.hk/listedco/listconews/sehk/2022/0823/2022082300018.htm","allotment")</f>
        <v/>
      </c>
      <c r="BZ133" s="87">
        <f>HYPERLINK("https://www1.hkexnews.hk/listedco/listconews/sehk/2022/0915/2022091501585.pdf","stabilisation")</f>
        <v/>
      </c>
      <c r="CA133" s="85" t="n"/>
      <c r="CB133" s="71" t="inlineStr">
        <is>
          <t>market cap: published listing cap used; the estimate from deal size / offer % of enlarged capital disagreed; cornerstone %: upper bound: AAStocks institutional total / deal size</t>
        </is>
      </c>
    </row>
    <row r="134" ht="15" customHeight="1">
      <c r="A134" s="70" t="inlineStr">
        <is>
          <t>1880</t>
        </is>
      </c>
      <c r="B134" s="71" t="inlineStr">
        <is>
          <t>CTG DUTY-FREE</t>
        </is>
      </c>
      <c r="C134" s="71" t="inlineStr">
        <is>
          <t>中國中免</t>
        </is>
      </c>
      <c r="D134" s="71" t="inlineStr">
        <is>
          <t>Consumer</t>
        </is>
      </c>
      <c r="E134" s="71" t="inlineStr">
        <is>
          <t>Retail / distribution</t>
        </is>
      </c>
      <c r="F134" s="71" t="inlineStr">
        <is>
          <t>Tourism</t>
        </is>
      </c>
      <c r="G134" s="71" t="inlineStr">
        <is>
          <t>Standard</t>
        </is>
      </c>
      <c r="H134" s="72" t="n">
        <v>44798</v>
      </c>
      <c r="I134" s="73" t="n">
        <v>16236.4</v>
      </c>
      <c r="J134" s="71" t="inlineStr">
        <is>
          <t>gross (price x shares)</t>
        </is>
      </c>
      <c r="K134" s="74" t="n"/>
      <c r="L134" s="74" t="n">
        <v>158</v>
      </c>
      <c r="M134" s="74" t="n">
        <v>158</v>
      </c>
      <c r="N134" s="71" t="inlineStr">
        <is>
          <t>Y</t>
        </is>
      </c>
      <c r="O134" s="75" t="n">
        <v>100</v>
      </c>
      <c r="P134" s="75" t="n"/>
      <c r="Q134" s="76" t="n">
        <v>319638.8</v>
      </c>
      <c r="R134" s="71" t="inlineStr">
        <is>
          <t>aastocks:上市市值 at the struck price</t>
        </is>
      </c>
      <c r="S134" s="77" t="n">
        <v>1.06</v>
      </c>
      <c r="T134" s="78" t="n">
        <v>4.7</v>
      </c>
      <c r="U134" s="79" t="n">
        <v>39.3</v>
      </c>
      <c r="V134" s="80" t="n">
        <v>140</v>
      </c>
      <c r="W134" s="75" t="n"/>
      <c r="X134" s="71" t="n"/>
      <c r="Y134" s="76" t="n">
        <v>9855.49</v>
      </c>
      <c r="Z134" s="76" t="n">
        <v>62376473</v>
      </c>
      <c r="AA134" s="75" t="n">
        <v>3.08</v>
      </c>
      <c r="AB134" s="71"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AC134" s="71" t="inlineStr">
        <is>
          <t>amorepacific;state-owned;structural;cosco;hainan;luzhou;rongshi;shanghai-airport;oaktree</t>
        </is>
      </c>
      <c r="AD134" s="75" t="n"/>
      <c r="AE134" s="71" t="n"/>
      <c r="AF134" s="71" t="inlineStr">
        <is>
          <t>2022-09-17</t>
        </is>
      </c>
      <c r="AG134" s="71" t="inlineStr">
        <is>
          <t>China International Capital Corporation Hong Kong Securities Limited</t>
        </is>
      </c>
      <c r="AH134" s="71" t="inlineStr">
        <is>
          <t>China International</t>
        </is>
      </c>
      <c r="AI134" s="81" t="n">
        <v>-4.75</v>
      </c>
      <c r="AJ134" s="82" t="n">
        <v>0</v>
      </c>
      <c r="AK134" s="82" t="n">
        <v>-24.05</v>
      </c>
      <c r="AL134" s="82" t="n">
        <v>31.67</v>
      </c>
      <c r="AM134" s="83" t="n"/>
      <c r="AN134" s="75" t="n">
        <v>32.75</v>
      </c>
      <c r="AO134" s="82" t="n">
        <v>8.23</v>
      </c>
      <c r="AP134" s="82" t="n">
        <v>17.09</v>
      </c>
      <c r="AQ134" s="82" t="n">
        <v>9.300000000000001</v>
      </c>
      <c r="AR134" s="82" t="n">
        <v>8.23</v>
      </c>
      <c r="AS134" s="82" t="n">
        <v>17.09</v>
      </c>
      <c r="AT134" s="82" t="n">
        <v>9.300000000000001</v>
      </c>
      <c r="AU134" s="82" t="n">
        <v>5.36</v>
      </c>
      <c r="AV134" s="82" t="n">
        <v>24.76</v>
      </c>
      <c r="AW134" s="82" t="n">
        <v>20.62</v>
      </c>
      <c r="AX134" s="82" t="n">
        <v>28.99</v>
      </c>
      <c r="AY134" s="82" t="n">
        <v>-7.67</v>
      </c>
      <c r="AZ134" s="82" t="n">
        <v>-11.9</v>
      </c>
      <c r="BA134" s="71" t="inlineStr">
        <is>
          <t>Hang Seng Commerce &amp; Industry sub-index</t>
        </is>
      </c>
      <c r="BB134" s="82" t="n">
        <v>-70.51000000000001</v>
      </c>
      <c r="BC134" s="72" t="inlineStr">
        <is>
          <t>2026-09-23</t>
        </is>
      </c>
      <c r="BD134" s="73" t="n">
        <v>74443.10000000001</v>
      </c>
      <c r="BE134" s="76" t="n">
        <v>10699.2</v>
      </c>
      <c r="BF134" s="71" t="inlineStr">
        <is>
          <t>Y</t>
        </is>
      </c>
      <c r="BG134" s="83" t="n">
        <v>29.9</v>
      </c>
      <c r="BH134" s="83" t="n">
        <v>32.6</v>
      </c>
      <c r="BI134" s="83" t="n">
        <v>22</v>
      </c>
      <c r="BJ134" s="83" t="n">
        <v>4.3</v>
      </c>
      <c r="BK134" s="84">
        <f>IF('BBG Verify'!S134="","not filed; run on terminal",'BBG Verify'!S134)</f>
        <v/>
      </c>
      <c r="BL134" s="85" t="inlineStr">
        <is>
          <t>Y</t>
        </is>
      </c>
      <c r="BM134" s="71" t="inlineStr">
        <is>
          <t>601888.SS</t>
        </is>
      </c>
      <c r="BN134" s="82" t="n">
        <v>37.93</v>
      </c>
      <c r="BO134" s="74" t="n">
        <v>217.934</v>
      </c>
      <c r="BP134" s="89" t="n">
        <v>0.3096</v>
      </c>
      <c r="BQ134" s="76" t="n">
        <v>127218</v>
      </c>
      <c r="BR134" s="84">
        <f>IF('BBG Verify'!Q134="","run on terminal",'BBG Verify'!Q134)</f>
        <v/>
      </c>
      <c r="BS134" s="84">
        <f>IF('BBG Verify'!R134="","run on terminal",'BBG Verify'!R134)</f>
        <v/>
      </c>
      <c r="BT134" s="85" t="inlineStr">
        <is>
          <t>CICC</t>
        </is>
      </c>
      <c r="BU134" s="71" t="inlineStr">
        <is>
          <t>China International Capital Corporation Hong Kong Securities Limited; UBS Securities Hong Kong Limited</t>
        </is>
      </c>
      <c r="BV134" s="71"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W134" s="71"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X134" s="71" t="n"/>
      <c r="BY134" s="87">
        <f>HYPERLINK("https://www1.hkexnews.hk/listedco/listconews/sehk/2022/0824/2022082400024.htm","allotment")</f>
        <v/>
      </c>
      <c r="BZ134" s="71" t="n"/>
      <c r="CA134" s="85" t="n"/>
      <c r="CB134" s="71"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135" ht="15" customHeight="1">
      <c r="A135" s="70" t="inlineStr">
        <is>
          <t>2315</t>
        </is>
      </c>
      <c r="B135" s="71" t="inlineStr">
        <is>
          <t>BIOCYTOGEN-B</t>
        </is>
      </c>
      <c r="C135" s="71" t="inlineStr">
        <is>
          <t>百奧賽圖－Ｂ</t>
        </is>
      </c>
      <c r="D135" s="71" t="inlineStr">
        <is>
          <t>Healthcare</t>
        </is>
      </c>
      <c r="E135" s="71" t="inlineStr">
        <is>
          <t>Biotech pre-revenue (18A)</t>
        </is>
      </c>
      <c r="F135" s="71" t="inlineStr">
        <is>
          <t>Biotechnology - Supplies &amp; Services</t>
        </is>
      </c>
      <c r="G135" s="71" t="inlineStr">
        <is>
          <t>18A</t>
        </is>
      </c>
      <c r="H135" s="72" t="n">
        <v>44805</v>
      </c>
      <c r="I135" s="73" t="n">
        <v>548.7</v>
      </c>
      <c r="J135" s="71" t="inlineStr">
        <is>
          <t>gross (price x shares)</t>
        </is>
      </c>
      <c r="K135" s="74" t="n"/>
      <c r="L135" s="74" t="n">
        <v>25.22</v>
      </c>
      <c r="M135" s="74" t="n">
        <v>25.22</v>
      </c>
      <c r="N135" s="71" t="inlineStr">
        <is>
          <t>Y</t>
        </is>
      </c>
      <c r="O135" s="75" t="n">
        <v>100</v>
      </c>
      <c r="P135" s="75" t="n"/>
      <c r="Q135" s="76" t="n">
        <v>10004.5</v>
      </c>
      <c r="R135" s="71" t="inlineStr">
        <is>
          <t>prospectus:stated market capitalisation</t>
        </is>
      </c>
      <c r="S135" s="77" t="n">
        <v>5.93</v>
      </c>
      <c r="T135" s="78" t="n">
        <v>1.6</v>
      </c>
      <c r="U135" s="79" t="n">
        <v>71.14</v>
      </c>
      <c r="V135" s="80" t="n">
        <v>127</v>
      </c>
      <c r="W135" s="75" t="n"/>
      <c r="X135" s="71" t="n"/>
      <c r="Y135" s="76" t="n">
        <v>158.35</v>
      </c>
      <c r="Z135" s="76" t="n">
        <v>6279503</v>
      </c>
      <c r="AA135" s="75" t="n">
        <v>1.58</v>
      </c>
      <c r="AB135" s="71" t="inlineStr">
        <is>
          <t>Beijing Xingxing Equity Investment Partnership (Limited Partnership); QuantumPharm Limited; RemeGen Co., Ltd; Sanjin International CO., LTD; VEKEN (HONGKONG) ECONOMIC AND TRADE CO., LIMITED</t>
        </is>
      </c>
      <c r="AC135" s="71" t="inlineStr">
        <is>
          <t>beijing-xingxing;quantumpharm;remegen;sanjin;veken</t>
        </is>
      </c>
      <c r="AD135" s="75" t="n">
        <v>14.1</v>
      </c>
      <c r="AE135" s="71" t="inlineStr">
        <is>
          <t>partial</t>
        </is>
      </c>
      <c r="AF135" s="71" t="inlineStr">
        <is>
          <t>2022-09-23</t>
        </is>
      </c>
      <c r="AG135" s="71" t="inlineStr">
        <is>
          <t>Goldman Sachs</t>
        </is>
      </c>
      <c r="AH135" s="71" t="inlineStr">
        <is>
          <t>Goldman Sachs</t>
        </is>
      </c>
      <c r="AI135" s="81" t="n">
        <v>5.08</v>
      </c>
      <c r="AJ135" s="82" t="n">
        <v>3.09</v>
      </c>
      <c r="AK135" s="82" t="n">
        <v>4.28</v>
      </c>
      <c r="AL135" s="82" t="n">
        <v>-1.14</v>
      </c>
      <c r="AM135" s="83" t="n"/>
      <c r="AN135" s="75" t="n">
        <v>12.74</v>
      </c>
      <c r="AO135" s="82" t="n">
        <v>0.71</v>
      </c>
      <c r="AP135" s="82" t="n">
        <v>5.47</v>
      </c>
      <c r="AQ135" s="82" t="n">
        <v>3.09</v>
      </c>
      <c r="AR135" s="82" t="n">
        <v>-2.31</v>
      </c>
      <c r="AS135" s="82" t="n">
        <v>2.31</v>
      </c>
      <c r="AT135" s="82" t="n">
        <v>0</v>
      </c>
      <c r="AU135" s="82" t="n">
        <v>5.94</v>
      </c>
      <c r="AV135" s="82" t="n">
        <v>19.05</v>
      </c>
      <c r="AW135" s="82" t="n">
        <v>3.95</v>
      </c>
      <c r="AX135" s="82" t="n">
        <v>15.36</v>
      </c>
      <c r="AY135" s="82" t="n">
        <v>-13.58</v>
      </c>
      <c r="AZ135" s="82" t="n">
        <v>-13.05</v>
      </c>
      <c r="BA135" s="71" t="inlineStr">
        <is>
          <t>China Biotech ETF (HS biotech proxy)</t>
        </is>
      </c>
      <c r="BB135" s="82" t="n">
        <v>178.75</v>
      </c>
      <c r="BC135" s="72" t="inlineStr">
        <is>
          <t>2026-09-23</t>
        </is>
      </c>
      <c r="BD135" s="73" t="n">
        <v>390</v>
      </c>
      <c r="BE135" s="76" t="n">
        <v>-600.1</v>
      </c>
      <c r="BF135" s="71" t="inlineStr">
        <is>
          <t>N</t>
        </is>
      </c>
      <c r="BG135" s="71" t="inlineStr">
        <is>
          <t>n/m</t>
        </is>
      </c>
      <c r="BH135" s="83" t="n"/>
      <c r="BI135" s="83" t="n">
        <v>127.3</v>
      </c>
      <c r="BJ135" s="83" t="n">
        <v>25.7</v>
      </c>
      <c r="BK135" s="84">
        <f>IF('BBG Verify'!S135="","not filed; run on terminal",'BBG Verify'!S135)</f>
        <v/>
      </c>
      <c r="BL135" s="85" t="inlineStr">
        <is>
          <t>Y</t>
        </is>
      </c>
      <c r="BM135" s="71" t="inlineStr">
        <is>
          <t>688796.SS</t>
        </is>
      </c>
      <c r="BN135" s="82" t="n"/>
      <c r="BO135" s="74" t="n"/>
      <c r="BP135" s="89" t="n">
        <v>1.3579</v>
      </c>
      <c r="BQ135" s="76" t="n">
        <v>72295.7</v>
      </c>
      <c r="BR135" s="84">
        <f>IF('BBG Verify'!Q135="","run on terminal",'BBG Verify'!Q135)</f>
        <v/>
      </c>
      <c r="BS135" s="84">
        <f>IF('BBG Verify'!R135="","run on terminal",'BBG Verify'!R135)</f>
        <v/>
      </c>
      <c r="BT135" s="85" t="inlineStr">
        <is>
          <t>Goldman Sachs (Asia) L.L.C; China International Capital Corporation Hong Kong Securities Limited</t>
        </is>
      </c>
      <c r="BU135" s="71" t="inlineStr">
        <is>
          <t>China International Capital Corporation Hong Kong Securities Limited; Goldman Sachs (Asia) L.L.C.</t>
        </is>
      </c>
      <c r="BV135" s="71"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W135" s="71"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X135" s="87">
        <f>HYPERLINK("https://www1.hkexnews.hk/listedco/listconews/sehk/2022/0819/2022081900021.pdf","prospectus")</f>
        <v/>
      </c>
      <c r="BY135" s="87">
        <f>HYPERLINK("https://www1.hkexnews.hk/listedco/listconews/sehk/2022/0831/2022083100060.htm","allotment")</f>
        <v/>
      </c>
      <c r="BZ135" s="87">
        <f>HYPERLINK("https://www1.hkexnews.hk/listedco/listconews/sehk/2022/0923/2022092301878.pdf","stabilisation")</f>
        <v/>
      </c>
      <c r="CA135" s="85" t="n"/>
      <c r="CB135" s="71" t="inlineStr">
        <is>
          <t>P/E: loss-making at IPO, use P/S; range low: maximum offer price only, no floor published; A/H: A-share 688796 listed after the H IPO, so there is no at-IPO premium; today's is live; deal size: stated gross HK$16.9m rejected, below the net proceeds of HK$471.1m; allocation: allocation table not in this notice's format (older prose announcement); day-1 tape: volume on file; the retail multiple needs the final public split, which this notice does not state</t>
        </is>
      </c>
    </row>
    <row r="136" ht="15" customHeight="1">
      <c r="A136" s="70" t="inlineStr">
        <is>
          <t>9886</t>
        </is>
      </c>
      <c r="B136" s="71" t="inlineStr">
        <is>
          <t>DINGDANG HEALTH</t>
        </is>
      </c>
      <c r="C136" s="71" t="inlineStr">
        <is>
          <t>叮噹健康</t>
        </is>
      </c>
      <c r="D136" s="71" t="inlineStr">
        <is>
          <t>Healthcare</t>
        </is>
      </c>
      <c r="E136" s="71" t="inlineStr">
        <is>
          <t>Digital health</t>
        </is>
      </c>
      <c r="F136" s="71" t="inlineStr">
        <is>
          <t>Health Care Services</t>
        </is>
      </c>
      <c r="G136" s="71" t="inlineStr">
        <is>
          <t>Standard</t>
        </is>
      </c>
      <c r="H136" s="72" t="n">
        <v>44818</v>
      </c>
      <c r="I136" s="73" t="n">
        <v>402.4</v>
      </c>
      <c r="J136" s="71" t="inlineStr">
        <is>
          <t>gross (price x shares)</t>
        </is>
      </c>
      <c r="K136" s="74" t="n"/>
      <c r="L136" s="74" t="n">
        <v>12</v>
      </c>
      <c r="M136" s="74" t="n">
        <v>12</v>
      </c>
      <c r="N136" s="71" t="inlineStr">
        <is>
          <t>Y</t>
        </is>
      </c>
      <c r="O136" s="75" t="n">
        <v>100</v>
      </c>
      <c r="P136" s="75" t="n"/>
      <c r="Q136" s="76" t="n">
        <v>16096</v>
      </c>
      <c r="R136" s="71" t="inlineStr">
        <is>
          <t>derived:deal size / offer % of enlarged capital</t>
        </is>
      </c>
      <c r="S136" s="77" t="n">
        <v>7.2</v>
      </c>
      <c r="T136" s="78" t="n">
        <v>1.7</v>
      </c>
      <c r="U136" s="79" t="n">
        <v>74.09</v>
      </c>
      <c r="V136" s="80" t="n">
        <v>131</v>
      </c>
      <c r="W136" s="75" t="n"/>
      <c r="X136" s="71" t="n"/>
      <c r="Y136" s="76" t="n">
        <v>104.26</v>
      </c>
      <c r="Z136" s="76" t="n">
        <v>8689437</v>
      </c>
      <c r="AA136" s="75" t="n">
        <v>0.65</v>
      </c>
      <c r="AB136" s="71" t="inlineStr">
        <is>
          <t>Harvest International Premium Value (Secondary Market) Fund SPC; Jumpcan International Co., Ltd; Sunshine Life Insurance Corporation Limited</t>
        </is>
      </c>
      <c r="AC136" s="71" t="inlineStr">
        <is>
          <t>harvest;jumpcan;sunshine</t>
        </is>
      </c>
      <c r="AD136" s="75" t="n">
        <v>10</v>
      </c>
      <c r="AE136" s="71" t="inlineStr">
        <is>
          <t>lapsed</t>
        </is>
      </c>
      <c r="AF136" s="71" t="inlineStr">
        <is>
          <t>2022-10-06</t>
        </is>
      </c>
      <c r="AG136" s="71" t="inlineStr">
        <is>
          <t>China International Capital Corporation Hong Kong Securities Limited</t>
        </is>
      </c>
      <c r="AH136" s="71" t="inlineStr">
        <is>
          <t>China International</t>
        </is>
      </c>
      <c r="AI136" s="81" t="n">
        <v>0.83</v>
      </c>
      <c r="AJ136" s="82" t="n">
        <v>0</v>
      </c>
      <c r="AK136" s="82" t="n">
        <v>2.83</v>
      </c>
      <c r="AL136" s="82" t="n">
        <v>-2.75</v>
      </c>
      <c r="AM136" s="83" t="n"/>
      <c r="AN136" s="75" t="n">
        <v>2.76</v>
      </c>
      <c r="AO136" s="82" t="n">
        <v>0.33</v>
      </c>
      <c r="AP136" s="82" t="n">
        <v>-1</v>
      </c>
      <c r="AQ136" s="82" t="n">
        <v>0</v>
      </c>
      <c r="AR136" s="82" t="n">
        <v>0.33</v>
      </c>
      <c r="AS136" s="82" t="n">
        <v>-1</v>
      </c>
      <c r="AT136" s="82" t="n">
        <v>0</v>
      </c>
      <c r="AU136" s="82" t="n">
        <v>8.640000000000001</v>
      </c>
      <c r="AV136" s="82" t="n">
        <v>3.13</v>
      </c>
      <c r="AW136" s="82" t="n">
        <v>-5.67</v>
      </c>
      <c r="AX136" s="82" t="n">
        <v>1.52</v>
      </c>
      <c r="AY136" s="82" t="n">
        <v>-4.13</v>
      </c>
      <c r="AZ136" s="82" t="n">
        <v>-2.52</v>
      </c>
      <c r="BA136" s="71" t="inlineStr">
        <is>
          <t>China Biotech ETF (HS biotech proxy)</t>
        </is>
      </c>
      <c r="BB136" s="82" t="n">
        <v>-93.33</v>
      </c>
      <c r="BC136" s="72" t="inlineStr">
        <is>
          <t>2026-09-23</t>
        </is>
      </c>
      <c r="BD136" s="73" t="n">
        <v>2451.4</v>
      </c>
      <c r="BE136" s="76" t="n">
        <v>-1.2</v>
      </c>
      <c r="BF136" s="71" t="inlineStr">
        <is>
          <t>N</t>
        </is>
      </c>
      <c r="BG136" s="71" t="inlineStr">
        <is>
          <t>n/m</t>
        </is>
      </c>
      <c r="BH136" s="83" t="n"/>
      <c r="BI136" s="83" t="n"/>
      <c r="BJ136" s="83" t="n">
        <v>6.6</v>
      </c>
      <c r="BK136" s="84">
        <f>IF('BBG Verify'!S136="","not filed; run on terminal",'BBG Verify'!S136)</f>
        <v/>
      </c>
      <c r="BL136" s="85" t="inlineStr">
        <is>
          <t>N</t>
        </is>
      </c>
      <c r="BM136" s="86">
        <f>IF('BBG Verify'!K136="","not filed; run on terminal",'BBG Verify'!K136)</f>
        <v/>
      </c>
      <c r="BN136" s="71" t="inlineStr">
        <is>
          <t>N/A</t>
        </is>
      </c>
      <c r="BO136" s="71" t="inlineStr">
        <is>
          <t>N/A</t>
        </is>
      </c>
      <c r="BP136" s="71" t="inlineStr">
        <is>
          <t>N/A</t>
        </is>
      </c>
      <c r="BQ136" s="71" t="inlineStr">
        <is>
          <t>N/A</t>
        </is>
      </c>
      <c r="BR136" s="71" t="inlineStr">
        <is>
          <t>N/A</t>
        </is>
      </c>
      <c r="BS136" s="71" t="inlineStr">
        <is>
          <t>N/A</t>
        </is>
      </c>
      <c r="BT136" s="85" t="inlineStr">
        <is>
          <t>CMB International Capital Limited</t>
        </is>
      </c>
      <c r="BU136" s="71" t="inlineStr">
        <is>
          <t>China International Capital Corporation Hong Kong Securities Limited; CMB International Capital Corporation Limited</t>
        </is>
      </c>
      <c r="BV136" s="71" t="inlineStr">
        <is>
          <t>CMB International Capital Limited; China International Capital Corporation Hong Kong Securities Limited; Futu Securities International (Hong Kong) Limited</t>
        </is>
      </c>
      <c r="BW136" s="71" t="inlineStr">
        <is>
          <t>China International Capital Corporation Hong Kong Securities Limited; CMB International Capital Corporation Limited; Futu Securities International (Hong Kong) Limited; Silverbricks Securities Company Limited</t>
        </is>
      </c>
      <c r="BX136" s="87">
        <f>HYPERLINK("https://www1.hkexnews.hk/listedco/listconews/sehk/2022/0901/2022090100013.pdf","prospectus")</f>
        <v/>
      </c>
      <c r="BY136" s="87">
        <f>HYPERLINK("https://www1.hkexnews.hk/listedco/listconews/sehk/2022/0913/2022091300006.htm","allotment")</f>
        <v/>
      </c>
      <c r="BZ136" s="87">
        <f>HYPERLINK("https://www1.hkexnews.hk/listedco/listconews/sehk/2022/1006/2022100601196.pdf","stabilisation")</f>
        <v/>
      </c>
      <c r="CA136" s="85" t="n"/>
      <c r="CB136" s="71"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37" ht="15" customHeight="1">
      <c r="A137" s="70" t="inlineStr">
        <is>
          <t>2350</t>
        </is>
      </c>
      <c r="B137" s="71" t="inlineStr">
        <is>
          <t>MTT GROUP</t>
        </is>
      </c>
      <c r="C137" s="71" t="inlineStr">
        <is>
          <t>數科集團</t>
        </is>
      </c>
      <c r="D137" s="71" t="inlineStr">
        <is>
          <t>Industrials</t>
        </is>
      </c>
      <c r="E137" s="71" t="inlineStr">
        <is>
          <t>Construction / engineering</t>
        </is>
      </c>
      <c r="F137" s="71" t="inlineStr">
        <is>
          <t>IT Products Distributors</t>
        </is>
      </c>
      <c r="G137" s="71" t="inlineStr">
        <is>
          <t>Standard</t>
        </is>
      </c>
      <c r="H137" s="72" t="n">
        <v>44830</v>
      </c>
      <c r="I137" s="73" t="n">
        <v>119.5</v>
      </c>
      <c r="J137" s="71" t="inlineStr">
        <is>
          <t>gross (price x shares)</t>
        </is>
      </c>
      <c r="K137" s="74" t="n"/>
      <c r="L137" s="74" t="n">
        <v>0.85</v>
      </c>
      <c r="M137" s="74" t="n">
        <v>0.85</v>
      </c>
      <c r="N137" s="71" t="inlineStr">
        <is>
          <t>Y</t>
        </is>
      </c>
      <c r="O137" s="75" t="n">
        <v>100</v>
      </c>
      <c r="P137" s="75" t="n"/>
      <c r="Q137" s="76" t="n">
        <v>518.8</v>
      </c>
      <c r="R137" s="71" t="inlineStr">
        <is>
          <t>aastocks:上市市值 at the struck price</t>
        </is>
      </c>
      <c r="S137" s="77" t="n">
        <v>151.3</v>
      </c>
      <c r="T137" s="78" t="n">
        <v>1.1</v>
      </c>
      <c r="U137" s="79" t="n">
        <v>27.6</v>
      </c>
      <c r="V137" s="80" t="n">
        <v>231</v>
      </c>
      <c r="W137" s="75" t="n"/>
      <c r="X137" s="71" t="n"/>
      <c r="Y137" s="76" t="n">
        <v>86.52</v>
      </c>
      <c r="Z137" s="76" t="n">
        <v>101812500</v>
      </c>
      <c r="AA137" s="75" t="n">
        <v>16.68</v>
      </c>
      <c r="AB137" s="71" t="inlineStr">
        <is>
          <t>ATNT Group Management Limited; EC InfoTech Limited; Mr. Cheng Wan Wai; Mr. Hung Kwong Yee; Wong Cheuk Tim, Timothy</t>
        </is>
      </c>
      <c r="AC137" s="71" t="inlineStr">
        <is>
          <t>atnt;ec;mr-cheng;mr-hung;wong</t>
        </is>
      </c>
      <c r="AD137" s="75" t="n"/>
      <c r="AE137" s="71" t="inlineStr">
        <is>
          <t>lapsed (no over-allocation)</t>
        </is>
      </c>
      <c r="AF137" s="71" t="n"/>
      <c r="AG137" s="71" t="inlineStr">
        <is>
          <t>Innovax Securities</t>
        </is>
      </c>
      <c r="AH137" s="71" t="inlineStr">
        <is>
          <t>Innovax</t>
        </is>
      </c>
      <c r="AI137" s="81" t="n">
        <v>3.53</v>
      </c>
      <c r="AJ137" s="82" t="n">
        <v>-27.06</v>
      </c>
      <c r="AK137" s="82" t="n">
        <v>5.88</v>
      </c>
      <c r="AL137" s="82" t="n">
        <v>-31.11</v>
      </c>
      <c r="AM137" s="83" t="n">
        <v>1.46</v>
      </c>
      <c r="AN137" s="75" t="n">
        <v>37.78</v>
      </c>
      <c r="AO137" s="82" t="n">
        <v>-34.12</v>
      </c>
      <c r="AP137" s="82" t="n">
        <v>-41.18</v>
      </c>
      <c r="AQ137" s="82" t="n">
        <v>-54.12</v>
      </c>
      <c r="AR137" s="82" t="n">
        <v>-9.68</v>
      </c>
      <c r="AS137" s="82" t="n">
        <v>-19.36</v>
      </c>
      <c r="AT137" s="82" t="n">
        <v>-37.1</v>
      </c>
      <c r="AU137" s="82" t="n">
        <v>-31.16</v>
      </c>
      <c r="AV137" s="82" t="n">
        <v>-25.58</v>
      </c>
      <c r="AW137" s="82" t="n">
        <v>-63.72</v>
      </c>
      <c r="AX137" s="82" t="n">
        <v>-2.79</v>
      </c>
      <c r="AY137" s="82" t="n">
        <v>-15.6</v>
      </c>
      <c r="AZ137" s="82" t="n">
        <v>-16.57</v>
      </c>
      <c r="BA137" s="71" t="inlineStr">
        <is>
          <t>Hang Seng Commerce &amp; Industry sub-index</t>
        </is>
      </c>
      <c r="BB137" s="82" t="n">
        <v>-14.12</v>
      </c>
      <c r="BC137" s="72" t="inlineStr">
        <is>
          <t>2026-09-23</t>
        </is>
      </c>
      <c r="BD137" s="73" t="n">
        <v>631.5</v>
      </c>
      <c r="BE137" s="76" t="n">
        <v>47.3</v>
      </c>
      <c r="BF137" s="71" t="inlineStr">
        <is>
          <t>Y</t>
        </is>
      </c>
      <c r="BG137" s="83" t="n">
        <v>11</v>
      </c>
      <c r="BH137" s="83" t="n"/>
      <c r="BI137" s="83" t="n"/>
      <c r="BJ137" s="83" t="n">
        <v>0.8</v>
      </c>
      <c r="BK137" s="84">
        <f>IF('BBG Verify'!S137="","not filed; run on terminal",'BBG Verify'!S137)</f>
        <v/>
      </c>
      <c r="BL137" s="85" t="inlineStr">
        <is>
          <t>N</t>
        </is>
      </c>
      <c r="BM137" s="86">
        <f>IF('BBG Verify'!K137="","not filed; run on terminal",'BBG Verify'!K137)</f>
        <v/>
      </c>
      <c r="BN137" s="71" t="inlineStr">
        <is>
          <t>N/A</t>
        </is>
      </c>
      <c r="BO137" s="71" t="inlineStr">
        <is>
          <t>N/A</t>
        </is>
      </c>
      <c r="BP137" s="71" t="inlineStr">
        <is>
          <t>N/A</t>
        </is>
      </c>
      <c r="BQ137" s="71" t="inlineStr">
        <is>
          <t>N/A</t>
        </is>
      </c>
      <c r="BR137" s="71" t="inlineStr">
        <is>
          <t>N/A</t>
        </is>
      </c>
      <c r="BS137" s="71" t="inlineStr">
        <is>
          <t>N/A</t>
        </is>
      </c>
      <c r="BT137" s="85" t="n"/>
      <c r="BU137" s="71" t="inlineStr">
        <is>
          <t>Innovax Capital Limited</t>
        </is>
      </c>
      <c r="BV137" s="71" t="inlineStr">
        <is>
          <t>Canfield Securities Company Limited; China PA Securities (Hong Kong) Company Limited; Innovax Securities Limited; Sinomax Securities Limited</t>
        </is>
      </c>
      <c r="BW137" s="71" t="inlineStr">
        <is>
          <t>Canfield Securities Company Limited; China PA Securities (Hong Kong) Company Limited; Innovax Securities Limited; Sinomax Securities Limited</t>
        </is>
      </c>
      <c r="BX137" s="87">
        <f>HYPERLINK("https://www1.hkexnews.hk/listedco/listconews/sehk/2022/0913/2022091300024.htm","prospectus")</f>
        <v/>
      </c>
      <c r="BY137" s="87">
        <f>HYPERLINK("https://www1.hkexnews.hk/listedco/listconews/sehk/2022/0923/2022092300212.htm","allotment")</f>
        <v/>
      </c>
      <c r="BZ137" s="87">
        <f>HYPERLINK("https://www1.hkexnews.hk/listedco/listconews/sehk/2022/1017/2022101700385.pdf","stabilisation")</f>
        <v/>
      </c>
      <c r="CA137" s="85" t="n"/>
      <c r="CB137" s="71"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allocation: allocation table not in this notice's format (older prose announcement)</t>
        </is>
      </c>
    </row>
    <row r="138" ht="15" customHeight="1">
      <c r="A138" s="70" t="inlineStr">
        <is>
          <t>9863</t>
        </is>
      </c>
      <c r="B138" s="71" t="inlineStr">
        <is>
          <t>LEAPMOTOR</t>
        </is>
      </c>
      <c r="C138" s="71" t="inlineStr">
        <is>
          <t>零跑汽車</t>
        </is>
      </c>
      <c r="D138" s="71" t="inlineStr">
        <is>
          <t>Consumer</t>
        </is>
      </c>
      <c r="E138" s="71" t="inlineStr">
        <is>
          <t>Autos (NEV OEM)</t>
        </is>
      </c>
      <c r="F138" s="71" t="inlineStr">
        <is>
          <t>Automobile Manufacturers</t>
        </is>
      </c>
      <c r="G138" s="71" t="inlineStr">
        <is>
          <t>Standard</t>
        </is>
      </c>
      <c r="H138" s="72" t="n">
        <v>44833</v>
      </c>
      <c r="I138" s="73" t="n">
        <v>6279.3</v>
      </c>
      <c r="J138" s="71" t="inlineStr">
        <is>
          <t>gross (price x shares)</t>
        </is>
      </c>
      <c r="K138" s="74" t="n">
        <v>48</v>
      </c>
      <c r="L138" s="74" t="n">
        <v>62</v>
      </c>
      <c r="M138" s="74" t="n">
        <v>48</v>
      </c>
      <c r="N138" s="71" t="inlineStr">
        <is>
          <t>N</t>
        </is>
      </c>
      <c r="O138" s="75" t="n">
        <v>77.40000000000001</v>
      </c>
      <c r="P138" s="75" t="n">
        <v>0</v>
      </c>
      <c r="Q138" s="76" t="n">
        <v>55081.6</v>
      </c>
      <c r="R138" s="71" t="inlineStr">
        <is>
          <t>derived:deal size / offer % of enlarged capital</t>
        </is>
      </c>
      <c r="S138" s="77" t="n">
        <v>0.16</v>
      </c>
      <c r="T138" s="78" t="n">
        <v>2.33</v>
      </c>
      <c r="U138" s="79" t="n">
        <v>29.6</v>
      </c>
      <c r="V138" s="80" t="n">
        <v>137</v>
      </c>
      <c r="W138" s="75" t="n"/>
      <c r="X138" s="71" t="n"/>
      <c r="Y138" s="76" t="n">
        <v>4420.63</v>
      </c>
      <c r="Z138" s="76" t="n">
        <v>92096646</v>
      </c>
      <c r="AA138" s="75" t="n">
        <v>8.029999999999999</v>
      </c>
      <c r="AB138" s="71" t="inlineStr">
        <is>
          <t>GF Fund Management Co., Ltd; Jinhua Industrial Fund Co., Ltd; Kwok Tai East International Group Limited; Zhejiang Industrial Fund</t>
        </is>
      </c>
      <c r="AC138" s="71" t="inlineStr">
        <is>
          <t>gf;jinhua;kwok;zhejiang</t>
        </is>
      </c>
      <c r="AD138" s="75" t="n">
        <v>14.6</v>
      </c>
      <c r="AE138" s="71" t="inlineStr">
        <is>
          <t>lapsed</t>
        </is>
      </c>
      <c r="AF138" s="71" t="inlineStr">
        <is>
          <t>2022-10-23</t>
        </is>
      </c>
      <c r="AG138" s="71" t="inlineStr">
        <is>
          <t>J.P. Morgan Securities</t>
        </is>
      </c>
      <c r="AH138" s="71" t="inlineStr">
        <is>
          <t>JP Morgan</t>
        </is>
      </c>
      <c r="AI138" s="81" t="n">
        <v>-14.58</v>
      </c>
      <c r="AJ138" s="82" t="n">
        <v>-33.54</v>
      </c>
      <c r="AK138" s="82" t="n">
        <v>-14.58</v>
      </c>
      <c r="AL138" s="82" t="n">
        <v>-22.2</v>
      </c>
      <c r="AM138" s="83" t="n"/>
      <c r="AN138" s="75" t="n">
        <v>31.59</v>
      </c>
      <c r="AO138" s="82" t="n">
        <v>-48.33</v>
      </c>
      <c r="AP138" s="82" t="n">
        <v>-62.21</v>
      </c>
      <c r="AQ138" s="82" t="n">
        <v>-37.08</v>
      </c>
      <c r="AR138" s="82" t="n">
        <v>-22.25</v>
      </c>
      <c r="AS138" s="82" t="n">
        <v>-43.14</v>
      </c>
      <c r="AT138" s="82" t="n">
        <v>-5.33</v>
      </c>
      <c r="AU138" s="82" t="n">
        <v>-50.82</v>
      </c>
      <c r="AV138" s="82" t="n">
        <v>-44.05</v>
      </c>
      <c r="AW138" s="82" t="n">
        <v>-48.68</v>
      </c>
      <c r="AX138" s="82" t="n">
        <v>-25.2</v>
      </c>
      <c r="AY138" s="82" t="n">
        <v>-18.16</v>
      </c>
      <c r="AZ138" s="82" t="n">
        <v>-17.94</v>
      </c>
      <c r="BA138" s="71" t="inlineStr">
        <is>
          <t>Hang Seng Commerce &amp; Industry sub-index</t>
        </is>
      </c>
      <c r="BB138" s="82" t="n">
        <v>-26.29</v>
      </c>
      <c r="BC138" s="72" t="inlineStr">
        <is>
          <t>2026-09-23</t>
        </is>
      </c>
      <c r="BD138" s="73" t="n">
        <v>694.4</v>
      </c>
      <c r="BE138" s="76" t="n">
        <v>-3130.4</v>
      </c>
      <c r="BF138" s="71" t="inlineStr">
        <is>
          <t>N</t>
        </is>
      </c>
      <c r="BG138" s="71" t="inlineStr">
        <is>
          <t>n/m</t>
        </is>
      </c>
      <c r="BH138" s="83" t="n"/>
      <c r="BI138" s="83" t="n">
        <v>95.59999999999999</v>
      </c>
      <c r="BJ138" s="83" t="n">
        <v>79.3</v>
      </c>
      <c r="BK138" s="84">
        <f>IF('BBG Verify'!S138="","not filed; run on terminal",'BBG Verify'!S138)</f>
        <v/>
      </c>
      <c r="BL138" s="85" t="inlineStr">
        <is>
          <t>N</t>
        </is>
      </c>
      <c r="BM138" s="86">
        <f>IF('BBG Verify'!K138="","not filed; run on terminal",'BBG Verify'!K138)</f>
        <v/>
      </c>
      <c r="BN138" s="71" t="inlineStr">
        <is>
          <t>N/A</t>
        </is>
      </c>
      <c r="BO138" s="71" t="inlineStr">
        <is>
          <t>N/A</t>
        </is>
      </c>
      <c r="BP138" s="71" t="inlineStr">
        <is>
          <t>N/A</t>
        </is>
      </c>
      <c r="BQ138" s="71" t="inlineStr">
        <is>
          <t>N/A</t>
        </is>
      </c>
      <c r="BR138" s="71" t="inlineStr">
        <is>
          <t>N/A</t>
        </is>
      </c>
      <c r="BS138" s="71" t="inlineStr">
        <is>
          <t>N/A</t>
        </is>
      </c>
      <c r="BT138" s="85" t="inlineStr">
        <is>
          <t>J.P . Morgan Securities (Far East) Limited; China International Capital Corporation Hong Kong Securities Limited; Citigroup Global Markets Asia Limited; CCB International Capital Limited</t>
        </is>
      </c>
      <c r="BU138" s="71" t="inlineStr">
        <is>
          <t>China International Capital Corporation Hong Kong Securities Limited; CCB International Capital Limited; J.P. Morgan Securities (Far East) Limited; Citigroup Global Markets Asia Limited</t>
        </is>
      </c>
      <c r="BV138" s="71"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W138" s="71"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X138" s="87">
        <f>HYPERLINK("https://www1.hkexnews.hk/listedco/listconews/sehk/2022/0920/2022092000023.pdf","prospectus")</f>
        <v/>
      </c>
      <c r="BY138" s="87">
        <f>HYPERLINK("https://www1.hkexnews.hk/listedco/listconews/sehk/2022/0928/2022092800020.htm","allotment")</f>
        <v/>
      </c>
      <c r="BZ138" s="87">
        <f>HYPERLINK("https://www1.hkexnews.hk/listedco/listconews/sehk/2022/1023/2022102300019.pdf","stabilisation")</f>
        <v/>
      </c>
      <c r="CA138" s="85" t="n"/>
      <c r="CB138" s="71" t="inlineStr">
        <is>
          <t>P/E: loss-making at IPO, use P/S; allocation: allocation table not in this notice's format (older prose announcement); day-1 tape: volume on file; the retail multiple needs the final public split, which this notice does not state</t>
        </is>
      </c>
    </row>
    <row r="139" ht="15" customHeight="1">
      <c r="A139" s="70" t="inlineStr">
        <is>
          <t>2602</t>
        </is>
      </c>
      <c r="B139" s="71" t="inlineStr">
        <is>
          <t>ONEWO</t>
        </is>
      </c>
      <c r="C139" s="71" t="inlineStr">
        <is>
          <t>萬物雲</t>
        </is>
      </c>
      <c r="D139" s="71" t="inlineStr">
        <is>
          <t>Real Estate</t>
        </is>
      </c>
      <c r="E139" s="71" t="inlineStr">
        <is>
          <t>Property management</t>
        </is>
      </c>
      <c r="F139" s="71" t="inlineStr">
        <is>
          <t>Property Service and Management</t>
        </is>
      </c>
      <c r="G139" s="71" t="inlineStr">
        <is>
          <t>Standard</t>
        </is>
      </c>
      <c r="H139" s="72" t="n">
        <v>44833</v>
      </c>
      <c r="I139" s="73" t="n">
        <v>5759.8</v>
      </c>
      <c r="J139" s="71" t="inlineStr">
        <is>
          <t>gross (price x shares)</t>
        </is>
      </c>
      <c r="K139" s="74" t="n">
        <v>47.1</v>
      </c>
      <c r="L139" s="74" t="n">
        <v>52.7</v>
      </c>
      <c r="M139" s="74" t="n">
        <v>49.35</v>
      </c>
      <c r="N139" s="71" t="inlineStr">
        <is>
          <t>N</t>
        </is>
      </c>
      <c r="O139" s="75" t="n">
        <v>93.59999999999999</v>
      </c>
      <c r="P139" s="75" t="n">
        <v>40.2</v>
      </c>
      <c r="Q139" s="76" t="n">
        <v>61685.8</v>
      </c>
      <c r="R139" s="71" t="inlineStr">
        <is>
          <t>aastocks:上市市值 at the struck price</t>
        </is>
      </c>
      <c r="S139" s="77" t="n">
        <v>0.82</v>
      </c>
      <c r="T139" s="78" t="n">
        <v>3.3</v>
      </c>
      <c r="U139" s="79" t="n">
        <v>37.56</v>
      </c>
      <c r="V139" s="80" t="n">
        <v>106</v>
      </c>
      <c r="W139" s="75" t="n">
        <v>8.17</v>
      </c>
      <c r="X139" s="71" t="inlineStr">
        <is>
          <t>NO</t>
        </is>
      </c>
      <c r="Y139" s="76" t="n">
        <v>3596.42</v>
      </c>
      <c r="Z139" s="76" t="n">
        <v>72876222</v>
      </c>
      <c r="AA139" s="75" t="n">
        <v>5.83</v>
      </c>
      <c r="AB139" s="71" t="inlineStr">
        <is>
          <t>Athos Asia Event Driven Master Fund; Cephei QFII China Total Return Fund Ltd; China Chengtong Investment Company Limited; HHLR Fund, L.P.; YHG Investment, L.P; The China State-owned Enterprise Mixed Ownership Reform Fund Co., Ltd; UBS Asset Management (Singapore) Ltd</t>
        </is>
      </c>
      <c r="AC139" s="71" t="inlineStr">
        <is>
          <t>athos;cephei;chengtong;hhlr;yhg;state-owned;ubs</t>
        </is>
      </c>
      <c r="AD139" s="75" t="n">
        <v>10</v>
      </c>
      <c r="AE139" s="71" t="inlineStr">
        <is>
          <t>partial</t>
        </is>
      </c>
      <c r="AF139" s="71" t="inlineStr">
        <is>
          <t>2022-10-22</t>
        </is>
      </c>
      <c r="AG139" s="71" t="inlineStr">
        <is>
          <t>Goldman Sachs</t>
        </is>
      </c>
      <c r="AH139" s="71" t="inlineStr">
        <is>
          <t>Goldman Sachs</t>
        </is>
      </c>
      <c r="AI139" s="81" t="n">
        <v>-8.210000000000001</v>
      </c>
      <c r="AJ139" s="82" t="n">
        <v>-6.79</v>
      </c>
      <c r="AK139" s="82" t="n">
        <v>-7.6</v>
      </c>
      <c r="AL139" s="82" t="n">
        <v>0.88</v>
      </c>
      <c r="AM139" s="83" t="n">
        <v>1.98</v>
      </c>
      <c r="AN139" s="75" t="n">
        <v>11.84</v>
      </c>
      <c r="AO139" s="82" t="n">
        <v>-11.65</v>
      </c>
      <c r="AP139" s="82" t="n">
        <v>-39.72</v>
      </c>
      <c r="AQ139" s="82" t="n">
        <v>-0.61</v>
      </c>
      <c r="AR139" s="82" t="n">
        <v>-5.21</v>
      </c>
      <c r="AS139" s="82" t="n">
        <v>-35.33</v>
      </c>
      <c r="AT139" s="82" t="n">
        <v>6.63</v>
      </c>
      <c r="AU139" s="82" t="n">
        <v>-12.68</v>
      </c>
      <c r="AV139" s="82" t="n">
        <v>-20.53</v>
      </c>
      <c r="AW139" s="82" t="n">
        <v>-13.61</v>
      </c>
      <c r="AX139" s="82" t="n">
        <v>-17.65</v>
      </c>
      <c r="AY139" s="82" t="n">
        <v>-19.19</v>
      </c>
      <c r="AZ139" s="82" t="n">
        <v>-17.68</v>
      </c>
      <c r="BA139" s="71" t="inlineStr">
        <is>
          <t>Hang Seng Properties sub-index</t>
        </is>
      </c>
      <c r="BB139" s="82" t="n">
        <v>-61.7</v>
      </c>
      <c r="BC139" s="72" t="inlineStr">
        <is>
          <t>2026-09-23</t>
        </is>
      </c>
      <c r="BD139" s="73" t="n">
        <v>26075</v>
      </c>
      <c r="BE139" s="76" t="n">
        <v>1885.7</v>
      </c>
      <c r="BF139" s="71" t="inlineStr">
        <is>
          <t>Y</t>
        </is>
      </c>
      <c r="BG139" s="83" t="n">
        <v>32.7</v>
      </c>
      <c r="BH139" s="83" t="n">
        <v>24.2</v>
      </c>
      <c r="BI139" s="83" t="n">
        <v>26</v>
      </c>
      <c r="BJ139" s="83" t="n">
        <v>2.4</v>
      </c>
      <c r="BK139" s="84">
        <f>IF('BBG Verify'!S139="","not filed; run on terminal",'BBG Verify'!S139)</f>
        <v/>
      </c>
      <c r="BL139" s="85" t="inlineStr">
        <is>
          <t>N</t>
        </is>
      </c>
      <c r="BM139" s="86">
        <f>IF('BBG Verify'!K139="","not filed; run on terminal",'BBG Verify'!K139)</f>
        <v/>
      </c>
      <c r="BN139" s="71" t="inlineStr">
        <is>
          <t>N/A</t>
        </is>
      </c>
      <c r="BO139" s="71" t="inlineStr">
        <is>
          <t>N/A</t>
        </is>
      </c>
      <c r="BP139" s="71" t="inlineStr">
        <is>
          <t>N/A</t>
        </is>
      </c>
      <c r="BQ139" s="71" t="inlineStr">
        <is>
          <t>N/A</t>
        </is>
      </c>
      <c r="BR139" s="71" t="inlineStr">
        <is>
          <t>N/A</t>
        </is>
      </c>
      <c r="BS139" s="71" t="inlineStr">
        <is>
          <t>N/A</t>
        </is>
      </c>
      <c r="BT139" s="85" t="inlineStr">
        <is>
          <t>CLSA Capital Markets Limited; Citigroup Global Markets Asia Limited; Goldman Sachs (Asia) L.L.C; CLSA Limited</t>
        </is>
      </c>
      <c r="BU139" s="71" t="inlineStr">
        <is>
          <t>Goldman Sachs (Asia) L.L.C.; CLSA Capital Markets Limited; Citigroup Global Markets Asia Limited</t>
        </is>
      </c>
      <c r="BV139" s="71"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W139" s="71"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X139" s="87">
        <f>HYPERLINK("https://www1.hkexnews.hk/listedco/listconews/sehk/2022/0919/2022091900009.pdf","prospectus")</f>
        <v/>
      </c>
      <c r="BY139" s="87">
        <f>HYPERLINK("https://www1.hkexnews.hk/listedco/listconews/sehk/2022/0928/2022092800042.htm","allotment")</f>
        <v/>
      </c>
      <c r="BZ139" s="87">
        <f>HYPERLINK("https://www1.hkexnews.hk/listedco/listconews/sehk/2022/1023/2022102300033.pdf","stabilisation")</f>
        <v/>
      </c>
      <c r="CA139" s="85" t="n"/>
      <c r="CB139" s="71" t="inlineStr">
        <is>
          <t>market cap: published listing cap used; the estimate from stated market capitalisation disagreed</t>
        </is>
      </c>
    </row>
    <row r="140" ht="15" customHeight="1">
      <c r="A140" s="70" t="inlineStr">
        <is>
          <t>6660</t>
        </is>
      </c>
      <c r="B140" s="71" t="inlineStr">
        <is>
          <t>AIM VACCINE</t>
        </is>
      </c>
      <c r="C140" s="71" t="inlineStr">
        <is>
          <t>艾美疫苗</t>
        </is>
      </c>
      <c r="D140" s="71" t="inlineStr">
        <is>
          <t>Healthcare</t>
        </is>
      </c>
      <c r="E140" s="71" t="inlineStr">
        <is>
          <t>Biopharma commercial</t>
        </is>
      </c>
      <c r="F140" s="71" t="inlineStr">
        <is>
          <t>Biotechnology - Pharmaceuticals</t>
        </is>
      </c>
      <c r="G140" s="71" t="inlineStr">
        <is>
          <t>Standard</t>
        </is>
      </c>
      <c r="H140" s="72" t="n">
        <v>44840</v>
      </c>
      <c r="I140" s="73" t="n">
        <v>157</v>
      </c>
      <c r="J140" s="71" t="inlineStr">
        <is>
          <t>gross (price x shares)</t>
        </is>
      </c>
      <c r="K140" s="74" t="n"/>
      <c r="L140" s="74" t="n">
        <v>16.16</v>
      </c>
      <c r="M140" s="74" t="n">
        <v>16.16</v>
      </c>
      <c r="N140" s="71" t="inlineStr">
        <is>
          <t>Y</t>
        </is>
      </c>
      <c r="O140" s="75" t="n">
        <v>100</v>
      </c>
      <c r="P140" s="75" t="n"/>
      <c r="Q140" s="76" t="n">
        <v>19549</v>
      </c>
      <c r="R140" s="71" t="inlineStr">
        <is>
          <t>prospectus:stated market capitalisation</t>
        </is>
      </c>
      <c r="S140" s="77" t="n">
        <v>3.15</v>
      </c>
      <c r="T140" s="78" t="n">
        <v>3.27</v>
      </c>
      <c r="U140" s="79" t="n">
        <v>0</v>
      </c>
      <c r="V140" s="80" t="n">
        <v>115</v>
      </c>
      <c r="W140" s="75" t="n"/>
      <c r="X140" s="71" t="n"/>
      <c r="Y140" s="76" t="n">
        <v>157</v>
      </c>
      <c r="Z140" s="76" t="n">
        <v>9714000</v>
      </c>
      <c r="AA140" s="75" t="n">
        <v>0.8</v>
      </c>
      <c r="AB140" s="71" t="n"/>
      <c r="AC140" s="71" t="n"/>
      <c r="AD140" s="75" t="n">
        <v>20</v>
      </c>
      <c r="AE140" s="71" t="inlineStr">
        <is>
          <t>partial</t>
        </is>
      </c>
      <c r="AF140" s="71" t="inlineStr">
        <is>
          <t>2022-10-28</t>
        </is>
      </c>
      <c r="AG140" s="71" t="inlineStr">
        <is>
          <t>Goldman Sachs</t>
        </is>
      </c>
      <c r="AH140" s="71" t="inlineStr">
        <is>
          <t>Goldman Sachs</t>
        </is>
      </c>
      <c r="AI140" s="81" t="n">
        <v>-1.11</v>
      </c>
      <c r="AJ140" s="82" t="n">
        <v>3.09</v>
      </c>
      <c r="AK140" s="82" t="n">
        <v>-7.18</v>
      </c>
      <c r="AL140" s="82" t="n">
        <v>11.06</v>
      </c>
      <c r="AM140" s="83" t="n"/>
      <c r="AN140" s="75" t="n">
        <v>11.47</v>
      </c>
      <c r="AO140" s="82" t="n">
        <v>3.71</v>
      </c>
      <c r="AP140" s="82" t="n">
        <v>77.59999999999999</v>
      </c>
      <c r="AQ140" s="82" t="n">
        <v>54.7</v>
      </c>
      <c r="AR140" s="82" t="n">
        <v>0.6</v>
      </c>
      <c r="AS140" s="82" t="n">
        <v>72.28</v>
      </c>
      <c r="AT140" s="82" t="n">
        <v>50.06</v>
      </c>
      <c r="AU140" s="82" t="n">
        <v>7.04</v>
      </c>
      <c r="AV140" s="82" t="n">
        <v>65.25</v>
      </c>
      <c r="AW140" s="82" t="n">
        <v>35.21</v>
      </c>
      <c r="AX140" s="82" t="n">
        <v>58.37</v>
      </c>
      <c r="AY140" s="82" t="n">
        <v>12.35</v>
      </c>
      <c r="AZ140" s="82" t="n">
        <v>13.91</v>
      </c>
      <c r="BA140" s="71" t="inlineStr">
        <is>
          <t>China Biotech ETF (HS biotech proxy)</t>
        </is>
      </c>
      <c r="BB140" s="82" t="n">
        <v>-89.59999999999999</v>
      </c>
      <c r="BC140" s="72" t="inlineStr">
        <is>
          <t>2026-09-23</t>
        </is>
      </c>
      <c r="BD140" s="73" t="n">
        <v>1727.1</v>
      </c>
      <c r="BE140" s="76" t="n">
        <v>-667.4</v>
      </c>
      <c r="BF140" s="71" t="inlineStr">
        <is>
          <t>N</t>
        </is>
      </c>
      <c r="BG140" s="71" t="inlineStr">
        <is>
          <t>n/m</t>
        </is>
      </c>
      <c r="BH140" s="83" t="n"/>
      <c r="BI140" s="83" t="n"/>
      <c r="BJ140" s="83" t="n">
        <v>11.3</v>
      </c>
      <c r="BK140" s="84">
        <f>IF('BBG Verify'!S140="","not filed; run on terminal",'BBG Verify'!S140)</f>
        <v/>
      </c>
      <c r="BL140" s="85" t="inlineStr">
        <is>
          <t>N</t>
        </is>
      </c>
      <c r="BM140" s="86">
        <f>IF('BBG Verify'!K140="","not filed; run on terminal",'BBG Verify'!K140)</f>
        <v/>
      </c>
      <c r="BN140" s="71" t="inlineStr">
        <is>
          <t>N/A</t>
        </is>
      </c>
      <c r="BO140" s="71" t="inlineStr">
        <is>
          <t>N/A</t>
        </is>
      </c>
      <c r="BP140" s="71" t="inlineStr">
        <is>
          <t>N/A</t>
        </is>
      </c>
      <c r="BQ140" s="71" t="inlineStr">
        <is>
          <t>N/A</t>
        </is>
      </c>
      <c r="BR140" s="71" t="inlineStr">
        <is>
          <t>N/A</t>
        </is>
      </c>
      <c r="BS140" s="71" t="inlineStr">
        <is>
          <t>N/A</t>
        </is>
      </c>
      <c r="BT140" s="85" t="inlineStr">
        <is>
          <t>Goldman Sachs (Asia) L.L.C; China International Capital Corporation Hong Kong Securities Limited; China Securities (International) Corporate Finance Company Limited; Macquarie Capital Limited</t>
        </is>
      </c>
      <c r="BU140" s="71" t="inlineStr">
        <is>
          <t>China International Capital Corporation Hong Kong Securities Limited; Goldman Sachs (Asia) L.L.C.; China Securities (International) Corporate Finance Company Limited; Macquarie Capital Limited</t>
        </is>
      </c>
      <c r="BV140" s="71"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W140" s="71"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X140" s="87">
        <f>HYPERLINK("https://www1.hkexnews.hk/listedco/listconews/sehk/2022/0923/2022092300031.pdf","prospectus")</f>
        <v/>
      </c>
      <c r="BY140" s="87">
        <f>HYPERLINK("https://www1.hkexnews.hk/listedco/listconews/sehk/2022/1005/2022100500006.htm","allotment")</f>
        <v/>
      </c>
      <c r="BZ140" s="87">
        <f>HYPERLINK("https://www1.hkexnews.hk/listedco/listconews/sehk/2022/1028/2022102802169.pdf","stabilisation")</f>
        <v/>
      </c>
      <c r="CA140" s="85" t="n"/>
      <c r="CB140" s="71" t="inlineStr">
        <is>
          <t>P/E: loss-making at IPO, use P/S; range low: maximum offer price only, no floor published; cornerstone list: no cornerstone tranche; allocation: allocation table not in this notice's format (older prose announcement); day-1 tape: volume on file; the retail multiple needs the final public split, which this notice does not state</t>
        </is>
      </c>
    </row>
    <row r="141" ht="15" customHeight="1">
      <c r="A141" s="70" t="inlineStr">
        <is>
          <t>3931</t>
        </is>
      </c>
      <c r="B141" s="71" t="inlineStr">
        <is>
          <t>CALB</t>
        </is>
      </c>
      <c r="C141" s="71" t="inlineStr">
        <is>
          <t>中創新航</t>
        </is>
      </c>
      <c r="D141" s="71" t="inlineStr">
        <is>
          <t>Industrials</t>
        </is>
      </c>
      <c r="E141" s="71" t="inlineStr">
        <is>
          <t>Batteries / energy storage</t>
        </is>
      </c>
      <c r="F141" s="71" t="inlineStr">
        <is>
          <t>Battery Products</t>
        </is>
      </c>
      <c r="G141" s="71" t="inlineStr">
        <is>
          <t>Standard</t>
        </is>
      </c>
      <c r="H141" s="72" t="n">
        <v>44840</v>
      </c>
      <c r="I141" s="73" t="n">
        <v>9863.9</v>
      </c>
      <c r="J141" s="71" t="inlineStr">
        <is>
          <t>net proceeds</t>
        </is>
      </c>
      <c r="K141" s="74" t="n">
        <v>38</v>
      </c>
      <c r="L141" s="74" t="n">
        <v>51</v>
      </c>
      <c r="M141" s="74" t="n">
        <v>38</v>
      </c>
      <c r="N141" s="71" t="inlineStr">
        <is>
          <t>N</t>
        </is>
      </c>
      <c r="O141" s="75" t="n">
        <v>74.5</v>
      </c>
      <c r="P141" s="75" t="n">
        <v>0</v>
      </c>
      <c r="Q141" s="76" t="n">
        <v>67347.5</v>
      </c>
      <c r="R141" s="71" t="inlineStr">
        <is>
          <t>prospectus:stated market capitalisation</t>
        </is>
      </c>
      <c r="S141" s="77" t="n">
        <v>0.21</v>
      </c>
      <c r="T141" s="78" t="n">
        <v>2.11</v>
      </c>
      <c r="U141" s="79" t="n">
        <v>58.7</v>
      </c>
      <c r="V141" s="80" t="n">
        <v>127</v>
      </c>
      <c r="W141" s="75" t="n">
        <v>1.06</v>
      </c>
      <c r="X141" s="71" t="inlineStr">
        <is>
          <t>NO</t>
        </is>
      </c>
      <c r="Y141" s="76" t="n">
        <v>4073.79</v>
      </c>
      <c r="Z141" s="76" t="n"/>
      <c r="AA141" s="75" t="n">
        <v>6.05</v>
      </c>
      <c r="AB141" s="71"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AC141" s="71" t="inlineStr">
        <is>
          <t>changzhou;cngr;hans;hefei;jiangmen;jiangsu;lv;tianqi;tibet;tma;wang-sing;xing;xpeng;zhenshi</t>
        </is>
      </c>
      <c r="AD141" s="75" t="n">
        <v>14.32</v>
      </c>
      <c r="AE141" s="71" t="inlineStr">
        <is>
          <t>lapsed</t>
        </is>
      </c>
      <c r="AF141" s="71" t="inlineStr">
        <is>
          <t>2022-10-28</t>
        </is>
      </c>
      <c r="AG141" s="71" t="inlineStr">
        <is>
          <t>Huatai Financial Holdings</t>
        </is>
      </c>
      <c r="AH141" s="71" t="inlineStr">
        <is>
          <t>Huatai</t>
        </is>
      </c>
      <c r="AI141" s="81" t="n">
        <v>0</v>
      </c>
      <c r="AJ141" s="82" t="n">
        <v>0</v>
      </c>
      <c r="AK141" s="82" t="n">
        <v>0</v>
      </c>
      <c r="AL141" s="82" t="n">
        <v>0</v>
      </c>
      <c r="AM141" s="83" t="n">
        <v>16.74</v>
      </c>
      <c r="AN141" s="75" t="n">
        <v>3.42</v>
      </c>
      <c r="AO141" s="82" t="n">
        <v>-2.63</v>
      </c>
      <c r="AP141" s="82" t="n">
        <v>-37.76</v>
      </c>
      <c r="AQ141" s="82" t="n">
        <v>-45.79</v>
      </c>
      <c r="AR141" s="82" t="n">
        <v>-2.63</v>
      </c>
      <c r="AS141" s="82" t="n">
        <v>-37.76</v>
      </c>
      <c r="AT141" s="82" t="n">
        <v>-45.79</v>
      </c>
      <c r="AU141" s="82" t="n">
        <v>8.5</v>
      </c>
      <c r="AV141" s="82" t="n">
        <v>-26.11</v>
      </c>
      <c r="AW141" s="82" t="n">
        <v>-60.24</v>
      </c>
      <c r="AX141" s="82" t="n">
        <v>-26.44</v>
      </c>
      <c r="AY141" s="82" t="n">
        <v>-11.65</v>
      </c>
      <c r="AZ141" s="82" t="n">
        <v>-11.32</v>
      </c>
      <c r="BA141" s="71" t="inlineStr">
        <is>
          <t>Hang Seng Commerce &amp; Industry sub-index</t>
        </is>
      </c>
      <c r="BB141" s="82" t="n">
        <v>-52.45</v>
      </c>
      <c r="BC141" s="72" t="inlineStr">
        <is>
          <t>2026-09-23</t>
        </is>
      </c>
      <c r="BD141" s="73" t="n">
        <v>7498.8</v>
      </c>
      <c r="BE141" s="76" t="n"/>
      <c r="BF141" s="71" t="inlineStr">
        <is>
          <t>Y</t>
        </is>
      </c>
      <c r="BG141" s="84">
        <f>IF('BBG Verify'!O141="","not filed; run on terminal",'BBG Verify'!O141)</f>
        <v/>
      </c>
      <c r="BH141" s="83" t="n"/>
      <c r="BI141" s="83" t="n">
        <v>20.7</v>
      </c>
      <c r="BJ141" s="83" t="n">
        <v>9</v>
      </c>
      <c r="BK141" s="84">
        <f>IF('BBG Verify'!S141="","not filed; run on terminal",'BBG Verify'!S141)</f>
        <v/>
      </c>
      <c r="BL141" s="85" t="inlineStr">
        <is>
          <t>N</t>
        </is>
      </c>
      <c r="BM141" s="86">
        <f>IF('BBG Verify'!K141="","not filed; run on terminal",'BBG Verify'!K141)</f>
        <v/>
      </c>
      <c r="BN141" s="71" t="inlineStr">
        <is>
          <t>N/A</t>
        </is>
      </c>
      <c r="BO141" s="71" t="inlineStr">
        <is>
          <t>N/A</t>
        </is>
      </c>
      <c r="BP141" s="71" t="inlineStr">
        <is>
          <t>N/A</t>
        </is>
      </c>
      <c r="BQ141" s="71" t="inlineStr">
        <is>
          <t>N/A</t>
        </is>
      </c>
      <c r="BR141" s="71" t="inlineStr">
        <is>
          <t>N/A</t>
        </is>
      </c>
      <c r="BS141" s="71" t="inlineStr">
        <is>
          <t>N/A</t>
        </is>
      </c>
      <c r="BT141" s="85" t="inlineStr">
        <is>
          <t>OC Huatai Financial Holdings (Hong Kong) Limited</t>
        </is>
      </c>
      <c r="BU141" s="71" t="inlineStr">
        <is>
          <t>Huatai Financial Holdings (Hong Kong) Limited</t>
        </is>
      </c>
      <c r="BV141" s="71" t="inlineStr">
        <is>
          <t>Huatai Financial Holdings (Hong Kong) Limited; J.P. Morgan Securities (Asia Pacific) Limited; Citigroup Global Markets Asia Limited</t>
        </is>
      </c>
      <c r="BW141" s="71" t="inlineStr">
        <is>
          <t>Citigroup Global Markets Asia Limited; Credit Suisse (Hong Kong) Limited; Futu Securities International (Hong Kong) Limited; Huatai Financial Holdings (Hong Kong) Limited; J.P. Morgan Securities (Asia Pacific) Limited</t>
        </is>
      </c>
      <c r="BX141" s="87">
        <f>HYPERLINK("https://www1.hkexnews.hk/listedco/listconews/sehk/2022/0923/2022092300035.pdf","prospectus")</f>
        <v/>
      </c>
      <c r="BY141" s="87">
        <f>HYPERLINK("https://www1.hkexnews.hk/listedco/listconews/sehk/2022/1005/2022100500028.htm","allotment")</f>
        <v/>
      </c>
      <c r="BZ141" s="87">
        <f>HYPERLINK("https://www1.hkexnews.hk/listedco/listconews/sehk/2022/1028/2022102801659.pdf","stabilisation")</f>
        <v/>
      </c>
      <c r="CA141" s="85" t="n"/>
      <c r="CB141" s="71" t="inlineStr">
        <is>
          <t>P/E: withheld: 549x fails the 300x plausibility cap; extracted net income HK$122.7m suspect; cornerstone: table parse 93% rejected (institutional total implies 58%); the filed aggregate-amount sentence used; financials: not extractable; pre-IPO year outside the AAStocks window; eff float shares: share count unavailable; the HK$m figure is exact</t>
        </is>
      </c>
    </row>
    <row r="142" ht="15" customHeight="1">
      <c r="A142" s="70" t="inlineStr">
        <is>
          <t>9877</t>
        </is>
      </c>
      <c r="B142" s="71" t="inlineStr">
        <is>
          <t>JENSCARE-B</t>
        </is>
      </c>
      <c r="C142" s="71" t="inlineStr">
        <is>
          <t>健世科技－Ｂ</t>
        </is>
      </c>
      <c r="D142" s="71" t="inlineStr">
        <is>
          <t>Healthcare</t>
        </is>
      </c>
      <c r="E142" s="71" t="inlineStr">
        <is>
          <t>Medical devices</t>
        </is>
      </c>
      <c r="F142" s="71" t="inlineStr">
        <is>
          <t>Biotechnology - Medical Devices</t>
        </is>
      </c>
      <c r="G142" s="71" t="inlineStr">
        <is>
          <t>18A</t>
        </is>
      </c>
      <c r="H142" s="72" t="n">
        <v>44844</v>
      </c>
      <c r="I142" s="73" t="n">
        <v>224.5</v>
      </c>
      <c r="J142" s="71" t="inlineStr">
        <is>
          <t>gross (price x shares)</t>
        </is>
      </c>
      <c r="K142" s="74" t="n">
        <v>26.7</v>
      </c>
      <c r="L142" s="74" t="n">
        <v>28.8</v>
      </c>
      <c r="M142" s="74" t="n">
        <v>27.8</v>
      </c>
      <c r="N142" s="71" t="inlineStr">
        <is>
          <t>N</t>
        </is>
      </c>
      <c r="O142" s="75" t="n">
        <v>96.5</v>
      </c>
      <c r="P142" s="75" t="n">
        <v>52.4</v>
      </c>
      <c r="Q142" s="76" t="n">
        <v>10751.6</v>
      </c>
      <c r="R142" s="71" t="inlineStr">
        <is>
          <t>prospectus:stated market capitalisation, rescaled to the offer price</t>
        </is>
      </c>
      <c r="S142" s="77" t="n">
        <v>1.52</v>
      </c>
      <c r="T142" s="78" t="n">
        <v>1.19</v>
      </c>
      <c r="U142" s="79" t="n">
        <v>77.7</v>
      </c>
      <c r="V142" s="80" t="n">
        <v>114</v>
      </c>
      <c r="W142" s="75" t="n"/>
      <c r="X142" s="71" t="n"/>
      <c r="Y142" s="76" t="n">
        <v>50.06</v>
      </c>
      <c r="Z142" s="76" t="n">
        <v>1801037</v>
      </c>
      <c r="AA142" s="75" t="n">
        <v>0.47</v>
      </c>
      <c r="AB142" s="71" t="inlineStr">
        <is>
          <t>LifeTech Scientific Corporation</t>
        </is>
      </c>
      <c r="AC142" s="71" t="inlineStr">
        <is>
          <t>lifetech</t>
        </is>
      </c>
      <c r="AD142" s="75" t="n">
        <v>17.32</v>
      </c>
      <c r="AE142" s="71" t="inlineStr">
        <is>
          <t>lapsed</t>
        </is>
      </c>
      <c r="AF142" s="71" t="inlineStr">
        <is>
          <t>2022-10-29</t>
        </is>
      </c>
      <c r="AG142" s="71" t="inlineStr">
        <is>
          <t>China International Capital Corporation Hong Kong Securities Limited</t>
        </is>
      </c>
      <c r="AH142" s="71" t="inlineStr">
        <is>
          <t>China International</t>
        </is>
      </c>
      <c r="AI142" s="81" t="n">
        <v>0.72</v>
      </c>
      <c r="AJ142" s="82" t="n">
        <v>1.62</v>
      </c>
      <c r="AK142" s="82" t="n">
        <v>0.72</v>
      </c>
      <c r="AL142" s="82" t="n">
        <v>0.89</v>
      </c>
      <c r="AM142" s="83" t="n"/>
      <c r="AN142" s="75" t="n">
        <v>9.640000000000001</v>
      </c>
      <c r="AO142" s="82" t="n">
        <v>0.54</v>
      </c>
      <c r="AP142" s="82" t="n">
        <v>11.51</v>
      </c>
      <c r="AQ142" s="82" t="n">
        <v>28.42</v>
      </c>
      <c r="AR142" s="82" t="n">
        <v>-1.06</v>
      </c>
      <c r="AS142" s="82" t="n">
        <v>9.73</v>
      </c>
      <c r="AT142" s="82" t="n">
        <v>26.37</v>
      </c>
      <c r="AU142" s="82" t="n">
        <v>-7.07</v>
      </c>
      <c r="AV142" s="82" t="n">
        <v>-4.32</v>
      </c>
      <c r="AW142" s="82" t="n">
        <v>4.05</v>
      </c>
      <c r="AX142" s="82" t="n">
        <v>-8.83</v>
      </c>
      <c r="AY142" s="82" t="n">
        <v>15.83</v>
      </c>
      <c r="AZ142" s="82" t="n">
        <v>18.56</v>
      </c>
      <c r="BA142" s="71" t="inlineStr">
        <is>
          <t>China Biotech ETF (HS biotech proxy)</t>
        </is>
      </c>
      <c r="BB142" s="82" t="n">
        <v>-74.09999999999999</v>
      </c>
      <c r="BC142" s="72" t="inlineStr">
        <is>
          <t>2026-09-23</t>
        </is>
      </c>
      <c r="BD142" s="73" t="n">
        <v>172.8</v>
      </c>
      <c r="BE142" s="76" t="n">
        <v>59.7</v>
      </c>
      <c r="BF142" s="71" t="inlineStr">
        <is>
          <t>Y</t>
        </is>
      </c>
      <c r="BG142" s="83" t="n">
        <v>180.1</v>
      </c>
      <c r="BH142" s="83" t="n"/>
      <c r="BI142" s="83" t="n"/>
      <c r="BJ142" s="83" t="n">
        <v>62.2</v>
      </c>
      <c r="BK142" s="84">
        <f>IF('BBG Verify'!S142="","not filed; run on terminal",'BBG Verify'!S142)</f>
        <v/>
      </c>
      <c r="BL142" s="85" t="inlineStr">
        <is>
          <t>N</t>
        </is>
      </c>
      <c r="BM142" s="86">
        <f>IF('BBG Verify'!K142="","not filed; run on terminal",'BBG Verify'!K142)</f>
        <v/>
      </c>
      <c r="BN142" s="71" t="inlineStr">
        <is>
          <t>N/A</t>
        </is>
      </c>
      <c r="BO142" s="71" t="inlineStr">
        <is>
          <t>N/A</t>
        </is>
      </c>
      <c r="BP142" s="71" t="inlineStr">
        <is>
          <t>N/A</t>
        </is>
      </c>
      <c r="BQ142" s="71" t="inlineStr">
        <is>
          <t>N/A</t>
        </is>
      </c>
      <c r="BR142" s="71" t="inlineStr">
        <is>
          <t>N/A</t>
        </is>
      </c>
      <c r="BS142" s="71" t="inlineStr">
        <is>
          <t>N/A</t>
        </is>
      </c>
      <c r="BT142" s="85" t="inlineStr">
        <is>
          <t>China International Capital Corporation Hong Kong Securities Limited; Citigroup Global Markets Asia Limited</t>
        </is>
      </c>
      <c r="BU142" s="71" t="inlineStr">
        <is>
          <t>China International Capital Corporation Hong Kong Securities Limited; Citigroup Global Markets Asia Limited</t>
        </is>
      </c>
      <c r="BV142" s="71"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W142" s="71"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X142" s="87">
        <f>HYPERLINK("https://www1.hkexnews.hk/listedco/listconews/sehk/2022/0923/2022092300017.pdf","prospectus")</f>
        <v/>
      </c>
      <c r="BY142" s="87">
        <f>HYPERLINK("https://www1.hkexnews.hk/listedco/listconews/sehk/2022/1007/2022100700012.htm","allotment")</f>
        <v/>
      </c>
      <c r="BZ142" s="87">
        <f>HYPERLINK("https://www1.hkexnews.hk/listedco/listconews/sehk/2022/1031/2022103100005.pdf","stabilisation")</f>
        <v/>
      </c>
      <c r="CA142" s="85" t="n"/>
      <c r="CB142" s="71" t="inlineStr">
        <is>
          <t>market cap: prospectus cap HK$11,138m at HK$28.80, rescaled to HK$27.80; deal size: stated gross HK$32.2m rejected; 8,076,400 offer shares at HK$27.80 = HK$224.5m; allocation: allocation table not in this notice's format (older prose announcement); day-1 tape: volume on file; the retail multiple needs the final public split, which this notice does not state</t>
        </is>
      </c>
    </row>
    <row r="143" ht="15" customHeight="1">
      <c r="A143" s="70" t="inlineStr">
        <is>
          <t>1489</t>
        </is>
      </c>
      <c r="B143" s="71" t="inlineStr">
        <is>
          <t>GC CONSTRUCTION</t>
        </is>
      </c>
      <c r="C143" s="71" t="inlineStr">
        <is>
          <t>GC CONSTRUCTION</t>
        </is>
      </c>
      <c r="D143" s="71" t="inlineStr">
        <is>
          <t>Industrials</t>
        </is>
      </c>
      <c r="E143" s="71" t="inlineStr">
        <is>
          <t>Construction / engineering</t>
        </is>
      </c>
      <c r="F143" s="71" t="inlineStr">
        <is>
          <t>Building Construction</t>
        </is>
      </c>
      <c r="G143" s="71" t="inlineStr">
        <is>
          <t>Standard</t>
        </is>
      </c>
      <c r="H143" s="72" t="n">
        <v>44844</v>
      </c>
      <c r="I143" s="73" t="n">
        <v>125</v>
      </c>
      <c r="J143" s="71" t="inlineStr">
        <is>
          <t>gross (price x shares)</t>
        </is>
      </c>
      <c r="K143" s="74" t="n"/>
      <c r="L143" s="74" t="n">
        <v>0.54</v>
      </c>
      <c r="M143" s="74" t="n">
        <v>0.5</v>
      </c>
      <c r="N143" s="71" t="inlineStr">
        <is>
          <t>N</t>
        </is>
      </c>
      <c r="O143" s="75" t="n">
        <v>92.59999999999999</v>
      </c>
      <c r="P143" s="75" t="n"/>
      <c r="Q143" s="76" t="n">
        <v>537</v>
      </c>
      <c r="R143" s="71" t="inlineStr">
        <is>
          <t>aastocks:上市市值 at the struck price</t>
        </is>
      </c>
      <c r="S143" s="77" t="n">
        <v>7.58</v>
      </c>
      <c r="T143" s="78" t="n">
        <v>1.04</v>
      </c>
      <c r="U143" s="79" t="n">
        <v>16</v>
      </c>
      <c r="V143" s="80" t="n">
        <v>133</v>
      </c>
      <c r="W143" s="75" t="n"/>
      <c r="X143" s="71" t="n"/>
      <c r="Y143" s="76" t="n">
        <v>105</v>
      </c>
      <c r="Z143" s="76" t="n">
        <v>210000000</v>
      </c>
      <c r="AA143" s="75" t="n">
        <v>19.55</v>
      </c>
      <c r="AB143" s="71" t="inlineStr">
        <is>
          <t>Chu Kin Lan; Infinitus Wealth Limited</t>
        </is>
      </c>
      <c r="AC143" s="71" t="inlineStr">
        <is>
          <t>chu;infinitus</t>
        </is>
      </c>
      <c r="AD143" s="75" t="n"/>
      <c r="AE143" s="71" t="n"/>
      <c r="AF143" s="71" t="n"/>
      <c r="AG143" s="71" t="inlineStr">
        <is>
          <t>China Tonghai Securities Limited</t>
        </is>
      </c>
      <c r="AH143" s="71" t="inlineStr">
        <is>
          <t>China Tonghai</t>
        </is>
      </c>
      <c r="AI143" s="81" t="n">
        <v>24</v>
      </c>
      <c r="AJ143" s="82" t="n">
        <v>10</v>
      </c>
      <c r="AK143" s="82" t="n">
        <v>24</v>
      </c>
      <c r="AL143" s="82" t="n">
        <v>-11.29</v>
      </c>
      <c r="AM143" s="83" t="n"/>
      <c r="AN143" s="75" t="n">
        <v>24.19</v>
      </c>
      <c r="AO143" s="82" t="n">
        <v>2</v>
      </c>
      <c r="AP143" s="82" t="n">
        <v>8</v>
      </c>
      <c r="AQ143" s="82" t="n">
        <v>0</v>
      </c>
      <c r="AR143" s="82" t="n">
        <v>-7.27</v>
      </c>
      <c r="AS143" s="82" t="n">
        <v>-1.82</v>
      </c>
      <c r="AT143" s="82" t="n">
        <v>-9.09</v>
      </c>
      <c r="AU143" s="82" t="n">
        <v>10.1</v>
      </c>
      <c r="AV143" s="82" t="n">
        <v>16.15</v>
      </c>
      <c r="AW143" s="82" t="n">
        <v>-20.19</v>
      </c>
      <c r="AX143" s="82" t="n">
        <v>2.81</v>
      </c>
      <c r="AY143" s="82" t="n">
        <v>-8.15</v>
      </c>
      <c r="AZ143" s="82" t="n">
        <v>-4.63</v>
      </c>
      <c r="BA143" s="71" t="inlineStr">
        <is>
          <t>Hang Seng Commerce &amp; Industry sub-index</t>
        </is>
      </c>
      <c r="BB143" s="82" t="n">
        <v>496</v>
      </c>
      <c r="BC143" s="72" t="inlineStr">
        <is>
          <t>2026-09-23</t>
        </is>
      </c>
      <c r="BD143" s="73" t="n">
        <v>440.4</v>
      </c>
      <c r="BE143" s="76" t="n">
        <v>46</v>
      </c>
      <c r="BF143" s="71" t="inlineStr">
        <is>
          <t>Y</t>
        </is>
      </c>
      <c r="BG143" s="83" t="n">
        <v>11.7</v>
      </c>
      <c r="BH143" s="83" t="n"/>
      <c r="BI143" s="83" t="n"/>
      <c r="BJ143" s="83" t="n">
        <v>1.2</v>
      </c>
      <c r="BK143" s="84">
        <f>IF('BBG Verify'!S143="","not filed; run on terminal",'BBG Verify'!S143)</f>
        <v/>
      </c>
      <c r="BL143" s="85" t="inlineStr">
        <is>
          <t>N</t>
        </is>
      </c>
      <c r="BM143" s="86">
        <f>IF('BBG Verify'!K143="","not filed; run on terminal",'BBG Verify'!K143)</f>
        <v/>
      </c>
      <c r="BN143" s="71" t="inlineStr">
        <is>
          <t>N/A</t>
        </is>
      </c>
      <c r="BO143" s="71" t="inlineStr">
        <is>
          <t>N/A</t>
        </is>
      </c>
      <c r="BP143" s="71" t="inlineStr">
        <is>
          <t>N/A</t>
        </is>
      </c>
      <c r="BQ143" s="71" t="inlineStr">
        <is>
          <t>N/A</t>
        </is>
      </c>
      <c r="BR143" s="71" t="inlineStr">
        <is>
          <t>N/A</t>
        </is>
      </c>
      <c r="BS143" s="71" t="inlineStr">
        <is>
          <t>N/A</t>
        </is>
      </c>
      <c r="BT143" s="85" t="n"/>
      <c r="BU143" s="71" t="inlineStr">
        <is>
          <t>Grande Capital Limited</t>
        </is>
      </c>
      <c r="BV143" s="71" t="inlineStr">
        <is>
          <t>China Tonghai Securities Limited; CSFG International Securities Limited; Chief Securities Limited; Realord Asia Pacific Securities Limited; Sinomax Securities Limited</t>
        </is>
      </c>
      <c r="BW143" s="71" t="inlineStr">
        <is>
          <t>China Tonghai Securities Limited; CSFG International Securities Limited; Chief Securities Limited; Realord Asia Pacific Securities Limited; Sinomax Securities Limited</t>
        </is>
      </c>
      <c r="BX143" s="87">
        <f>HYPERLINK("https://www1.hkexnews.hk/listedco/listconews/sehk/2022/0923/2022092300044.htm","prospectus")</f>
        <v/>
      </c>
      <c r="BY143" s="87">
        <f>HYPERLINK("https://www1.hkexnews.hk/listedco/listconews/sehk/2022/1007/2022100700042.htm","allotment")</f>
        <v/>
      </c>
      <c r="BZ143" s="71" t="n"/>
      <c r="CA143" s="85" t="n"/>
      <c r="CB143" s="71" t="inlineStr">
        <is>
          <t>greenshoe: no over-allotment option; range low: maximum offer price only, no floor published;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44" ht="15" customHeight="1">
      <c r="A144" s="70" t="inlineStr">
        <is>
          <t>2422</t>
        </is>
      </c>
      <c r="B144" s="71" t="inlineStr">
        <is>
          <t>REGO INTERACT</t>
        </is>
      </c>
      <c r="C144" s="71" t="inlineStr">
        <is>
          <t>潤歌互動</t>
        </is>
      </c>
      <c r="D144" s="71" t="inlineStr">
        <is>
          <t>TMT-other</t>
        </is>
      </c>
      <c r="E144" s="71" t="inlineStr">
        <is>
          <t>Media / advertising</t>
        </is>
      </c>
      <c r="F144" s="71" t="inlineStr">
        <is>
          <t>Advertising</t>
        </is>
      </c>
      <c r="G144" s="71" t="inlineStr">
        <is>
          <t>Standard</t>
        </is>
      </c>
      <c r="H144" s="72" t="n">
        <v>44851</v>
      </c>
      <c r="I144" s="73" t="n">
        <v>160</v>
      </c>
      <c r="J144" s="71" t="inlineStr">
        <is>
          <t>gross (price x shares)</t>
        </is>
      </c>
      <c r="K144" s="74" t="n">
        <v>0.64</v>
      </c>
      <c r="L144" s="74" t="n">
        <v>0.8</v>
      </c>
      <c r="M144" s="74" t="n">
        <v>0.64</v>
      </c>
      <c r="N144" s="71" t="inlineStr">
        <is>
          <t>N</t>
        </is>
      </c>
      <c r="O144" s="75" t="n">
        <v>80</v>
      </c>
      <c r="P144" s="75" t="n">
        <v>0</v>
      </c>
      <c r="Q144" s="76" t="n">
        <v>577.4</v>
      </c>
      <c r="R144" s="71" t="inlineStr">
        <is>
          <t>derived:deal size / offer % of enlarged capital</t>
        </is>
      </c>
      <c r="S144" s="77" t="n">
        <v>14.1</v>
      </c>
      <c r="T144" s="78" t="n">
        <v>1.37</v>
      </c>
      <c r="U144" s="79" t="n">
        <v>9.4</v>
      </c>
      <c r="V144" s="80" t="n">
        <v>141</v>
      </c>
      <c r="W144" s="75" t="n"/>
      <c r="X144" s="71" t="n"/>
      <c r="Y144" s="76" t="n">
        <v>144.96</v>
      </c>
      <c r="Z144" s="76" t="n">
        <v>226500000</v>
      </c>
      <c r="AA144" s="75" t="n">
        <v>25.11</v>
      </c>
      <c r="AB144" s="71" t="inlineStr">
        <is>
          <t>Fighton Asia Master Fund Limited</t>
        </is>
      </c>
      <c r="AC144" s="71" t="inlineStr">
        <is>
          <t>fighton</t>
        </is>
      </c>
      <c r="AD144" s="75" t="n">
        <v>10</v>
      </c>
      <c r="AE144" s="71" t="inlineStr">
        <is>
          <t>lapsed (no over-allocation)</t>
        </is>
      </c>
      <c r="AF144" s="71" t="n"/>
      <c r="AG144" s="71" t="inlineStr">
        <is>
          <t>CMBC Securities Company Limited</t>
        </is>
      </c>
      <c r="AH144" s="71" t="inlineStr">
        <is>
          <t>CMBC</t>
        </is>
      </c>
      <c r="AI144" s="81" t="n">
        <v>53.12</v>
      </c>
      <c r="AJ144" s="82" t="n">
        <v>110.94</v>
      </c>
      <c r="AK144" s="82" t="n">
        <v>103.12</v>
      </c>
      <c r="AL144" s="82" t="n">
        <v>3.85</v>
      </c>
      <c r="AM144" s="83" t="n"/>
      <c r="AN144" s="75" t="n">
        <v>44.62</v>
      </c>
      <c r="AO144" s="82" t="n">
        <v>218.75</v>
      </c>
      <c r="AP144" s="82" t="n">
        <v>314.06</v>
      </c>
      <c r="AQ144" s="82" t="n">
        <v>284.38</v>
      </c>
      <c r="AR144" s="82" t="n">
        <v>51.11</v>
      </c>
      <c r="AS144" s="82" t="n">
        <v>96.29000000000001</v>
      </c>
      <c r="AT144" s="82" t="n">
        <v>82.22</v>
      </c>
      <c r="AU144" s="82" t="n">
        <v>227.23</v>
      </c>
      <c r="AV144" s="82" t="n">
        <v>303.48</v>
      </c>
      <c r="AW144" s="82" t="n">
        <v>254.3</v>
      </c>
      <c r="AX144" s="82" t="n">
        <v>85.88</v>
      </c>
      <c r="AY144" s="82" t="n">
        <v>10.58</v>
      </c>
      <c r="AZ144" s="82" t="n">
        <v>10.41</v>
      </c>
      <c r="BA144" s="71" t="inlineStr">
        <is>
          <t>Hang Seng Index</t>
        </is>
      </c>
      <c r="BB144" s="82" t="n">
        <v>226.56</v>
      </c>
      <c r="BC144" s="72" t="inlineStr">
        <is>
          <t>2026-09-23</t>
        </is>
      </c>
      <c r="BD144" s="73" t="n">
        <v>241.5</v>
      </c>
      <c r="BE144" s="76" t="n">
        <v>55</v>
      </c>
      <c r="BF144" s="71" t="inlineStr">
        <is>
          <t>Y</t>
        </is>
      </c>
      <c r="BG144" s="83" t="n">
        <v>10.5</v>
      </c>
      <c r="BH144" s="83" t="n"/>
      <c r="BI144" s="83" t="n"/>
      <c r="BJ144" s="83" t="n">
        <v>2.4</v>
      </c>
      <c r="BK144" s="84">
        <f>IF('BBG Verify'!S144="","not filed; run on terminal",'BBG Verify'!S144)</f>
        <v/>
      </c>
      <c r="BL144" s="85" t="inlineStr">
        <is>
          <t>N</t>
        </is>
      </c>
      <c r="BM144" s="86">
        <f>IF('BBG Verify'!K144="","not filed; run on terminal",'BBG Verify'!K144)</f>
        <v/>
      </c>
      <c r="BN144" s="71" t="inlineStr">
        <is>
          <t>N/A</t>
        </is>
      </c>
      <c r="BO144" s="71" t="inlineStr">
        <is>
          <t>N/A</t>
        </is>
      </c>
      <c r="BP144" s="71" t="inlineStr">
        <is>
          <t>N/A</t>
        </is>
      </c>
      <c r="BQ144" s="71" t="inlineStr">
        <is>
          <t>N/A</t>
        </is>
      </c>
      <c r="BR144" s="71" t="inlineStr">
        <is>
          <t>N/A</t>
        </is>
      </c>
      <c r="BS144" s="71" t="inlineStr">
        <is>
          <t>N/A</t>
        </is>
      </c>
      <c r="BT144" s="85" t="inlineStr">
        <is>
          <t>CMBC International Capital Limited</t>
        </is>
      </c>
      <c r="BU144" s="71" t="inlineStr">
        <is>
          <t>CMBC International Capital Limited</t>
        </is>
      </c>
      <c r="BV144" s="71"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W144" s="71"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X144" s="87">
        <f>HYPERLINK("https://www1.hkexnews.hk/listedco/listconews/sehk/2022/0930/2022093000075.pdf","prospectus")</f>
        <v/>
      </c>
      <c r="BY144" s="87">
        <f>HYPERLINK("https://www1.hkexnews.hk/listedco/listconews/sehk/2022/1014/2022101400042.htm","allotment")</f>
        <v/>
      </c>
      <c r="BZ144" s="87">
        <f>HYPERLINK("https://www1.hkexnews.hk/listedco/listconews/sehk/2022/1106/2022110600015.pdf","stabilisation")</f>
        <v/>
      </c>
      <c r="CA144" s="85" t="n"/>
      <c r="CB144" s="71" t="inlineStr">
        <is>
          <t>greenshoe: outcome published; expiry date not in the notice; returns: returns exclude the entitlement value of 2022-11 UNVERIFIED entitlement-class adjustment; Bloomberg back-adjusts by x1.194; allocation: allocation table not in this notice's format (older prose announcement); day-1 tape: volume on file; the retail multiple needs the final public split, which this notice does not state</t>
        </is>
      </c>
    </row>
    <row r="145" ht="15" customHeight="1">
      <c r="A145" s="70" t="inlineStr">
        <is>
          <t>6610</t>
        </is>
      </c>
      <c r="B145" s="71" t="inlineStr">
        <is>
          <t>FLOWING CLOUD</t>
        </is>
      </c>
      <c r="C145" s="71" t="inlineStr">
        <is>
          <t>飛天雲動</t>
        </is>
      </c>
      <c r="D145" s="71" t="inlineStr">
        <is>
          <t>TMT-other</t>
        </is>
      </c>
      <c r="E145" s="71" t="inlineStr">
        <is>
          <t>Media / advertising</t>
        </is>
      </c>
      <c r="F145" s="71" t="inlineStr">
        <is>
          <t>Systems Software</t>
        </is>
      </c>
      <c r="G145" s="71" t="inlineStr">
        <is>
          <t>Standard</t>
        </is>
      </c>
      <c r="H145" s="72" t="n">
        <v>44852</v>
      </c>
      <c r="I145" s="73" t="n">
        <v>600</v>
      </c>
      <c r="J145" s="71" t="inlineStr">
        <is>
          <t>gross (price x shares)</t>
        </is>
      </c>
      <c r="K145" s="74" t="n">
        <v>2.21</v>
      </c>
      <c r="L145" s="74" t="n">
        <v>2.88</v>
      </c>
      <c r="M145" s="74" t="n">
        <v>2.21</v>
      </c>
      <c r="N145" s="71" t="inlineStr">
        <is>
          <t>N</t>
        </is>
      </c>
      <c r="O145" s="75" t="n">
        <v>76.7</v>
      </c>
      <c r="P145" s="75" t="n">
        <v>0</v>
      </c>
      <c r="Q145" s="76" t="n">
        <v>4930.7</v>
      </c>
      <c r="R145" s="71" t="inlineStr">
        <is>
          <t>aastocks:上市市值 at the struck price</t>
        </is>
      </c>
      <c r="S145" s="77" t="n">
        <v>1.05</v>
      </c>
      <c r="T145" s="78" t="n">
        <v>1.07</v>
      </c>
      <c r="U145" s="79" t="n">
        <v>14.7</v>
      </c>
      <c r="V145" s="80" t="n">
        <v>138</v>
      </c>
      <c r="W145" s="75" t="n"/>
      <c r="X145" s="71" t="n"/>
      <c r="Y145" s="76" t="n">
        <v>511.8</v>
      </c>
      <c r="Z145" s="76" t="n">
        <v>231589500</v>
      </c>
      <c r="AA145" s="75" t="n">
        <v>10.38</v>
      </c>
      <c r="AB145" s="71" t="inlineStr">
        <is>
          <t>Anji Guorong Construction Co., Ltd; Anji Qicai Lingfeng Rural Tourism Investment Co., Ltd; SensePower Management Limited; TradeGo FinTech Limited; Zhejiang Tianzihu Industry Investment Co., Ltd</t>
        </is>
      </c>
      <c r="AC145" s="71" t="inlineStr">
        <is>
          <t>anji;sensepower;tradego;zhejiang</t>
        </is>
      </c>
      <c r="AD145" s="75" t="n">
        <v>16.87</v>
      </c>
      <c r="AE145" s="71" t="inlineStr">
        <is>
          <t>lapsed</t>
        </is>
      </c>
      <c r="AF145" s="71" t="inlineStr">
        <is>
          <t>2022-11-06</t>
        </is>
      </c>
      <c r="AG145" s="71" t="inlineStr">
        <is>
          <t>Shenwan Hongyuan Securities</t>
        </is>
      </c>
      <c r="AH145" s="71" t="inlineStr">
        <is>
          <t>Shenwan Hongyuan</t>
        </is>
      </c>
      <c r="AI145" s="81" t="n">
        <v>-4.52</v>
      </c>
      <c r="AJ145" s="82" t="n">
        <v>-4.07</v>
      </c>
      <c r="AK145" s="82" t="n">
        <v>0</v>
      </c>
      <c r="AL145" s="82" t="n">
        <v>-4.07</v>
      </c>
      <c r="AM145" s="83" t="n"/>
      <c r="AN145" s="75" t="n">
        <v>15.84</v>
      </c>
      <c r="AO145" s="82" t="n">
        <v>3.62</v>
      </c>
      <c r="AP145" s="82" t="n">
        <v>47.96</v>
      </c>
      <c r="AQ145" s="82" t="n">
        <v>89.59</v>
      </c>
      <c r="AR145" s="82" t="n">
        <v>8.02</v>
      </c>
      <c r="AS145" s="82" t="n">
        <v>54.24</v>
      </c>
      <c r="AT145" s="82" t="n">
        <v>97.63</v>
      </c>
      <c r="AU145" s="82" t="n">
        <v>12.33</v>
      </c>
      <c r="AV145" s="82" t="n">
        <v>38.07</v>
      </c>
      <c r="AW145" s="82" t="n">
        <v>59.1</v>
      </c>
      <c r="AX145" s="82" t="n">
        <v>46.31</v>
      </c>
      <c r="AY145" s="82" t="n">
        <v>9.890000000000001</v>
      </c>
      <c r="AZ145" s="82" t="n">
        <v>7.93</v>
      </c>
      <c r="BA145" s="71" t="inlineStr">
        <is>
          <t>Hang Seng Index</t>
        </is>
      </c>
      <c r="BB145" s="82" t="n">
        <v>-98.26000000000001</v>
      </c>
      <c r="BC145" s="72" t="inlineStr">
        <is>
          <t>2026-09-23</t>
        </is>
      </c>
      <c r="BD145" s="73" t="n">
        <v>654.8</v>
      </c>
      <c r="BE145" s="76" t="n">
        <v>78.90000000000001</v>
      </c>
      <c r="BF145" s="71" t="inlineStr">
        <is>
          <t>Y</t>
        </is>
      </c>
      <c r="BG145" s="83" t="n">
        <v>62.5</v>
      </c>
      <c r="BH145" s="83" t="n"/>
      <c r="BI145" s="83" t="n"/>
      <c r="BJ145" s="83" t="n">
        <v>7.5</v>
      </c>
      <c r="BK145" s="84">
        <f>IF('BBG Verify'!S145="","not filed; run on terminal",'BBG Verify'!S145)</f>
        <v/>
      </c>
      <c r="BL145" s="85" t="inlineStr">
        <is>
          <t>N</t>
        </is>
      </c>
      <c r="BM145" s="86">
        <f>IF('BBG Verify'!K145="","not filed; run on terminal",'BBG Verify'!K145)</f>
        <v/>
      </c>
      <c r="BN145" s="71" t="inlineStr">
        <is>
          <t>N/A</t>
        </is>
      </c>
      <c r="BO145" s="71" t="inlineStr">
        <is>
          <t>N/A</t>
        </is>
      </c>
      <c r="BP145" s="71" t="inlineStr">
        <is>
          <t>N/A</t>
        </is>
      </c>
      <c r="BQ145" s="71" t="inlineStr">
        <is>
          <t>N/A</t>
        </is>
      </c>
      <c r="BR145" s="71" t="inlineStr">
        <is>
          <t>N/A</t>
        </is>
      </c>
      <c r="BS145" s="71" t="inlineStr">
        <is>
          <t>N/A</t>
        </is>
      </c>
      <c r="BT145" s="85" t="inlineStr">
        <is>
          <t>Shenwan Hongyuan Capital (H.K.) Limited</t>
        </is>
      </c>
      <c r="BU145" s="71" t="inlineStr">
        <is>
          <t>Shenwan Hongyuan Capital (H.K.) Limited</t>
        </is>
      </c>
      <c r="BV145" s="71"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W145" s="71"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X145" s="87">
        <f>HYPERLINK("https://www1.hkexnews.hk/listedco/listconews/sehk/2022/0929/2022092900133.pdf","prospectus")</f>
        <v/>
      </c>
      <c r="BY145" s="87">
        <f>HYPERLINK("https://www1.hkexnews.hk/listedco/listconews/sehk/2022/1017/2022101700012.htm","allotment")</f>
        <v/>
      </c>
      <c r="BZ145" s="87">
        <f>HYPERLINK("https://www1.hkexnews.hk/listedco/listconews/sehk/2022/1107/2022110700440.pdf","stabilisation")</f>
        <v/>
      </c>
      <c r="CA145" s="85" t="n"/>
      <c r="CB145" s="71" t="inlineStr">
        <is>
          <t>market cap: published listing cap used; the estimate from deal size / offer % of enlarged capital disagreed; allocation: allocation table not in this notice's format (older prose announcement); day-1 tape: volume on file; the retail multiple needs the final public split, which this notice does not state</t>
        </is>
      </c>
    </row>
    <row r="146" ht="15" customHeight="1">
      <c r="A146" s="70" t="inlineStr">
        <is>
          <t>2367</t>
        </is>
      </c>
      <c r="B146" s="71" t="inlineStr">
        <is>
          <t>GIANT BIOGENE</t>
        </is>
      </c>
      <c r="C146" s="71" t="inlineStr">
        <is>
          <t>巨子生物</t>
        </is>
      </c>
      <c r="D146" s="71" t="inlineStr">
        <is>
          <t>Consumer</t>
        </is>
      </c>
      <c r="E146" s="71" t="inlineStr">
        <is>
          <t>Beauty / personal care</t>
        </is>
      </c>
      <c r="F146" s="71" t="inlineStr">
        <is>
          <t>Beauty &amp; Toiletries Products and Services</t>
        </is>
      </c>
      <c r="G146" s="71" t="inlineStr">
        <is>
          <t>Standard</t>
        </is>
      </c>
      <c r="H146" s="72" t="n">
        <v>44869</v>
      </c>
      <c r="I146" s="73" t="n">
        <v>549.4</v>
      </c>
      <c r="J146" s="71" t="inlineStr">
        <is>
          <t>gross (price x shares)</t>
        </is>
      </c>
      <c r="K146" s="74" t="n">
        <v>24.3</v>
      </c>
      <c r="L146" s="74" t="n">
        <v>27.7</v>
      </c>
      <c r="M146" s="74" t="n">
        <v>24.3</v>
      </c>
      <c r="N146" s="71" t="inlineStr">
        <is>
          <t>N</t>
        </is>
      </c>
      <c r="O146" s="75" t="n">
        <v>87.7</v>
      </c>
      <c r="P146" s="75" t="n">
        <v>0</v>
      </c>
      <c r="Q146" s="76" t="n">
        <v>21138.4</v>
      </c>
      <c r="R146" s="71" t="inlineStr">
        <is>
          <t>prospectus:stated market capitalisation, rescaled to the offer price</t>
        </is>
      </c>
      <c r="S146" s="77" t="n">
        <v>2.08</v>
      </c>
      <c r="T146" s="78" t="n">
        <v>4.22</v>
      </c>
      <c r="U146" s="79" t="n">
        <v>0</v>
      </c>
      <c r="V146" s="80" t="n">
        <v>117</v>
      </c>
      <c r="W146" s="75" t="n"/>
      <c r="X146" s="71" t="n"/>
      <c r="Y146" s="76" t="n">
        <v>549.4</v>
      </c>
      <c r="Z146" s="76" t="n">
        <v>22608800</v>
      </c>
      <c r="AA146" s="75" t="n">
        <v>2.6</v>
      </c>
      <c r="AB146" s="71" t="n"/>
      <c r="AC146" s="71" t="n"/>
      <c r="AD146" s="75" t="n">
        <v>10</v>
      </c>
      <c r="AE146" s="71" t="inlineStr">
        <is>
          <t>full</t>
        </is>
      </c>
      <c r="AF146" s="71" t="inlineStr">
        <is>
          <t>2022-11-27</t>
        </is>
      </c>
      <c r="AG146" s="71" t="inlineStr">
        <is>
          <t>Goldman Sachs</t>
        </is>
      </c>
      <c r="AH146" s="71" t="inlineStr">
        <is>
          <t>Goldman Sachs</t>
        </is>
      </c>
      <c r="AI146" s="81" t="n">
        <v>5.97</v>
      </c>
      <c r="AJ146" s="82" t="n">
        <v>9.880000000000001</v>
      </c>
      <c r="AK146" s="82" t="n">
        <v>7</v>
      </c>
      <c r="AL146" s="82" t="n">
        <v>2.69</v>
      </c>
      <c r="AM146" s="83" t="n"/>
      <c r="AN146" s="75" t="n">
        <v>19.62</v>
      </c>
      <c r="AO146" s="82" t="n">
        <v>37.45</v>
      </c>
      <c r="AP146" s="82" t="n">
        <v>24.28</v>
      </c>
      <c r="AQ146" s="82" t="n">
        <v>106.38</v>
      </c>
      <c r="AR146" s="82" t="n">
        <v>25.09</v>
      </c>
      <c r="AS146" s="82" t="n">
        <v>13.11</v>
      </c>
      <c r="AT146" s="82" t="n">
        <v>87.81999999999999</v>
      </c>
      <c r="AU146" s="82" t="n">
        <v>24.53</v>
      </c>
      <c r="AV146" s="82" t="n">
        <v>-4.9</v>
      </c>
      <c r="AW146" s="82" t="n">
        <v>62.73</v>
      </c>
      <c r="AX146" s="82" t="n">
        <v>-8.210000000000001</v>
      </c>
      <c r="AY146" s="82" t="n">
        <v>29.18</v>
      </c>
      <c r="AZ146" s="82" t="n">
        <v>21.32</v>
      </c>
      <c r="BA146" s="71" t="inlineStr">
        <is>
          <t>Hang Seng Commerce &amp; Industry sub-index</t>
        </is>
      </c>
      <c r="BB146" s="82" t="n">
        <v>0.16</v>
      </c>
      <c r="BC146" s="72" t="inlineStr">
        <is>
          <t>2026-09-23</t>
        </is>
      </c>
      <c r="BD146" s="73" t="n">
        <v>1707.7</v>
      </c>
      <c r="BE146" s="76" t="n">
        <v>910.9</v>
      </c>
      <c r="BF146" s="71" t="inlineStr">
        <is>
          <t>Y</t>
        </is>
      </c>
      <c r="BG146" s="83" t="n">
        <v>23.2</v>
      </c>
      <c r="BH146" s="83" t="n"/>
      <c r="BI146" s="83" t="n">
        <v>14</v>
      </c>
      <c r="BJ146" s="83" t="n">
        <v>12.4</v>
      </c>
      <c r="BK146" s="84">
        <f>IF('BBG Verify'!S146="","not filed; run on terminal",'BBG Verify'!S146)</f>
        <v/>
      </c>
      <c r="BL146" s="85" t="inlineStr">
        <is>
          <t>N</t>
        </is>
      </c>
      <c r="BM146" s="86">
        <f>IF('BBG Verify'!K146="","not filed; run on terminal",'BBG Verify'!K146)</f>
        <v/>
      </c>
      <c r="BN146" s="71" t="inlineStr">
        <is>
          <t>N/A</t>
        </is>
      </c>
      <c r="BO146" s="71" t="inlineStr">
        <is>
          <t>N/A</t>
        </is>
      </c>
      <c r="BP146" s="71" t="inlineStr">
        <is>
          <t>N/A</t>
        </is>
      </c>
      <c r="BQ146" s="71" t="inlineStr">
        <is>
          <t>N/A</t>
        </is>
      </c>
      <c r="BR146" s="71" t="inlineStr">
        <is>
          <t>N/A</t>
        </is>
      </c>
      <c r="BS146" s="71" t="inlineStr">
        <is>
          <t>N/A</t>
        </is>
      </c>
      <c r="BT146" s="85" t="n"/>
      <c r="BU146" s="71" t="inlineStr">
        <is>
          <t>China International Capital Corporation Hong Kong Securities Limited; Goldman Sachs (Asia) L.L.C.</t>
        </is>
      </c>
      <c r="BV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X146" s="87">
        <f>HYPERLINK("https://www1.hkexnews.hk/listedco/listconews/sehk/2022/1025/2022102500007.pdf","prospectus")</f>
        <v/>
      </c>
      <c r="BY146" s="87">
        <f>HYPERLINK("https://www1.hkexnews.hk/listedco/listconews/sehk/2022/1103/2022110300024.htm","allotment")</f>
        <v/>
      </c>
      <c r="BZ146" s="87">
        <f>HYPERLINK("https://www1.hkexnews.hk/listedco/listconews/sehk/2022/1127/2022112700063.pdf","stabilisation")</f>
        <v/>
      </c>
      <c r="CA146" s="85" t="n"/>
      <c r="CB146" s="71" t="inlineStr">
        <is>
          <t>sponsor: English name not in the filing; AAStocks 保薦人 shown; market cap: prospectus cap HK$24,096m at HK$27.70, rescaled to HK$24.30; cornerstone list: no cornerstone tranche; allocation: allocation table not in this notice's format (older prose announcement); day-1 tape: volume on file; the retail multiple needs the final public split, which this notice does not state</t>
        </is>
      </c>
    </row>
    <row r="147" ht="15" customHeight="1">
      <c r="A147" s="70" t="inlineStr">
        <is>
          <t>2291</t>
        </is>
      </c>
      <c r="B147" s="71" t="inlineStr">
        <is>
          <t>SCIENTECH</t>
        </is>
      </c>
      <c r="C147" s="71" t="inlineStr">
        <is>
          <t>心泰醫療</t>
        </is>
      </c>
      <c r="D147" s="71" t="inlineStr">
        <is>
          <t>Healthcare</t>
        </is>
      </c>
      <c r="E147" s="71" t="inlineStr">
        <is>
          <t>Medical devices</t>
        </is>
      </c>
      <c r="F147" s="71" t="inlineStr">
        <is>
          <t>Health Care Equipment</t>
        </is>
      </c>
      <c r="G147" s="71" t="inlineStr">
        <is>
          <t>Standard</t>
        </is>
      </c>
      <c r="H147" s="72" t="n">
        <v>44873</v>
      </c>
      <c r="I147" s="73" t="n">
        <v>654.6</v>
      </c>
      <c r="J147" s="71" t="inlineStr">
        <is>
          <t>gross (price x shares)</t>
        </is>
      </c>
      <c r="K147" s="74" t="n">
        <v>29.15</v>
      </c>
      <c r="L147" s="74" t="n">
        <v>31.45</v>
      </c>
      <c r="M147" s="74" t="n">
        <v>29.15</v>
      </c>
      <c r="N147" s="71" t="inlineStr">
        <is>
          <t>N</t>
        </is>
      </c>
      <c r="O147" s="75" t="n">
        <v>92.7</v>
      </c>
      <c r="P147" s="75" t="n">
        <v>0</v>
      </c>
      <c r="Q147" s="76" t="n">
        <v>10847</v>
      </c>
      <c r="R147" s="71" t="inlineStr">
        <is>
          <t>aastocks:上市市值 at the struck price</t>
        </is>
      </c>
      <c r="S147" s="77" t="n">
        <v>2.11</v>
      </c>
      <c r="T147" s="78" t="n">
        <v>1.38</v>
      </c>
      <c r="U147" s="79" t="n">
        <v>29.6</v>
      </c>
      <c r="V147" s="80" t="n">
        <v>157</v>
      </c>
      <c r="W147" s="75" t="n"/>
      <c r="X147" s="71" t="n"/>
      <c r="Y147" s="76" t="n">
        <v>460.84</v>
      </c>
      <c r="Z147" s="76" t="n">
        <v>15808320</v>
      </c>
      <c r="AA147" s="75" t="n">
        <v>4.25</v>
      </c>
      <c r="AB147" s="71" t="inlineStr">
        <is>
          <t>Harvest International Premium Value (Secondary Market) Fund SPC; Jointown International Group Company Limited</t>
        </is>
      </c>
      <c r="AC147" s="71" t="inlineStr">
        <is>
          <t>harvest;jointown</t>
        </is>
      </c>
      <c r="AD147" s="75" t="n">
        <v>8.52</v>
      </c>
      <c r="AE147" s="71" t="inlineStr">
        <is>
          <t>lapsed</t>
        </is>
      </c>
      <c r="AF147" s="71" t="inlineStr">
        <is>
          <t>2022-12-01</t>
        </is>
      </c>
      <c r="AG147" s="71" t="inlineStr">
        <is>
          <t>China International Capital Corporation Hong Kong Securities Limited</t>
        </is>
      </c>
      <c r="AH147" s="71" t="inlineStr">
        <is>
          <t>China International</t>
        </is>
      </c>
      <c r="AI147" s="81" t="n">
        <v>0.34</v>
      </c>
      <c r="AJ147" s="82" t="n">
        <v>0</v>
      </c>
      <c r="AK147" s="82" t="n">
        <v>2.23</v>
      </c>
      <c r="AL147" s="82" t="n">
        <v>-2.18</v>
      </c>
      <c r="AM147" s="83" t="n"/>
      <c r="AN147" s="75" t="n">
        <v>5.2</v>
      </c>
      <c r="AO147" s="82" t="n">
        <v>-5.49</v>
      </c>
      <c r="AP147" s="82" t="n">
        <v>-0.17</v>
      </c>
      <c r="AQ147" s="82" t="n">
        <v>-0.51</v>
      </c>
      <c r="AR147" s="82" t="n">
        <v>-5.49</v>
      </c>
      <c r="AS147" s="82" t="n">
        <v>-0.17</v>
      </c>
      <c r="AT147" s="82" t="n">
        <v>-0.51</v>
      </c>
      <c r="AU147" s="82" t="n">
        <v>-8.24</v>
      </c>
      <c r="AV147" s="82" t="n">
        <v>3.51</v>
      </c>
      <c r="AW147" s="82" t="n">
        <v>-7.17</v>
      </c>
      <c r="AX147" s="82" t="n">
        <v>2.2</v>
      </c>
      <c r="AY147" s="82" t="n">
        <v>-3.68</v>
      </c>
      <c r="AZ147" s="82" t="n">
        <v>-2.37</v>
      </c>
      <c r="BA147" s="71" t="inlineStr">
        <is>
          <t>China Biotech ETF (HS biotech proxy)</t>
        </is>
      </c>
      <c r="BB147" s="82" t="n">
        <v>-59.52</v>
      </c>
      <c r="BC147" s="72" t="inlineStr">
        <is>
          <t>2026-09-23</t>
        </is>
      </c>
      <c r="BD147" s="73" t="n">
        <v>244.8</v>
      </c>
      <c r="BE147" s="76" t="n">
        <v>64.59999999999999</v>
      </c>
      <c r="BF147" s="71" t="inlineStr">
        <is>
          <t>Y</t>
        </is>
      </c>
      <c r="BG147" s="83" t="n">
        <v>167.9</v>
      </c>
      <c r="BH147" s="83" t="n"/>
      <c r="BI147" s="83" t="n">
        <v>14</v>
      </c>
      <c r="BJ147" s="83" t="n">
        <v>44.3</v>
      </c>
      <c r="BK147" s="84">
        <f>IF('BBG Verify'!S147="","not filed; run on terminal",'BBG Verify'!S147)</f>
        <v/>
      </c>
      <c r="BL147" s="85" t="inlineStr">
        <is>
          <t>N</t>
        </is>
      </c>
      <c r="BM147" s="86">
        <f>IF('BBG Verify'!K147="","not filed; run on terminal",'BBG Verify'!K147)</f>
        <v/>
      </c>
      <c r="BN147" s="71" t="inlineStr">
        <is>
          <t>N/A</t>
        </is>
      </c>
      <c r="BO147" s="71" t="inlineStr">
        <is>
          <t>N/A</t>
        </is>
      </c>
      <c r="BP147" s="71" t="inlineStr">
        <is>
          <t>N/A</t>
        </is>
      </c>
      <c r="BQ147" s="71" t="inlineStr">
        <is>
          <t>N/A</t>
        </is>
      </c>
      <c r="BR147" s="71" t="inlineStr">
        <is>
          <t>N/A</t>
        </is>
      </c>
      <c r="BS147" s="71" t="inlineStr">
        <is>
          <t>N/A</t>
        </is>
      </c>
      <c r="BT147" s="85" t="n"/>
      <c r="BU147" s="71" t="inlineStr">
        <is>
          <t>China International Capital Corporation Hong Kong Securities Limited</t>
        </is>
      </c>
      <c r="BV147" s="71" t="inlineStr">
        <is>
          <t>China International Capital Corporation Hong Kong Securities Limited; CLSA Limited; China Galaxy International Securities (Hong Kong) Co., Limited; Huatai Financial Holdings (Hong Kong) Limited; V aluable Capital Limited</t>
        </is>
      </c>
      <c r="BW147" s="71" t="inlineStr">
        <is>
          <t>China Galaxy International Securities (Hong Kong) Company Limited; China International Capital Corporation Hong Kong Securities Limited; CLSA Limited; Huatai Financial Holdings (Hong Kong) Limited; Valuable Capital Limited</t>
        </is>
      </c>
      <c r="BX147" s="87">
        <f>HYPERLINK("https://www1.hkexnews.hk/listedco/listconews/sehk/2022/1027/2022102700013.pdf","prospectus")</f>
        <v/>
      </c>
      <c r="BY147" s="87">
        <f>HYPERLINK("https://www1.hkexnews.hk/listedco/listconews/sehk/2022/1107/2022110700010.htm","allotment")</f>
        <v/>
      </c>
      <c r="BZ147" s="87">
        <f>HYPERLINK("https://www1.hkexnews.hk/listedco/listconews/sehk/2022/1201/2022120103355.pdf","stabilisation")</f>
        <v/>
      </c>
      <c r="CA147" s="85" t="n"/>
      <c r="CB147" s="71" t="inlineStr">
        <is>
          <t>sponsor: English name not in the filing; AAStocks 保薦人 shown; market cap: prospectus 'market capitalisation' line is the listing-rule threshold, not the issuer's figure; rejected; allocation: allocation table not in this notice's format (older prose announcement); day-1 tape: volume on file; the retail multiple needs the final public split, which this notice does not state</t>
        </is>
      </c>
    </row>
    <row r="148" ht="15" customHeight="1">
      <c r="A148" s="70" t="inlineStr">
        <is>
          <t>6696</t>
        </is>
      </c>
      <c r="B148" s="71" t="inlineStr">
        <is>
          <t>MANY IDEA CLOUD</t>
        </is>
      </c>
      <c r="C148" s="71" t="inlineStr">
        <is>
          <t>多想雲</t>
        </is>
      </c>
      <c r="D148" s="71" t="inlineStr">
        <is>
          <t>TMT-other</t>
        </is>
      </c>
      <c r="E148" s="71" t="inlineStr">
        <is>
          <t>Media / advertising</t>
        </is>
      </c>
      <c r="F148" s="71" t="inlineStr">
        <is>
          <t>Advertising</t>
        </is>
      </c>
      <c r="G148" s="71" t="inlineStr">
        <is>
          <t>Standard</t>
        </is>
      </c>
      <c r="H148" s="72" t="n">
        <v>44874</v>
      </c>
      <c r="I148" s="73" t="n">
        <v>313.6</v>
      </c>
      <c r="J148" s="71" t="inlineStr">
        <is>
          <t>gross (price x shares)</t>
        </is>
      </c>
      <c r="K148" s="74" t="n">
        <v>1.88</v>
      </c>
      <c r="L148" s="74" t="n">
        <v>2.38</v>
      </c>
      <c r="M148" s="74" t="n">
        <v>1.96</v>
      </c>
      <c r="N148" s="71" t="inlineStr">
        <is>
          <t>N</t>
        </is>
      </c>
      <c r="O148" s="75" t="n">
        <v>82.40000000000001</v>
      </c>
      <c r="P148" s="75" t="n">
        <v>16</v>
      </c>
      <c r="Q148" s="76" t="n">
        <v>1833.4</v>
      </c>
      <c r="R148" s="71" t="inlineStr">
        <is>
          <t>aastocks:上市市值 at the struck price</t>
        </is>
      </c>
      <c r="S148" s="77" t="n">
        <v>2.81</v>
      </c>
      <c r="T148" s="78" t="n">
        <v>1.01</v>
      </c>
      <c r="U148" s="79" t="n">
        <v>3.32</v>
      </c>
      <c r="V148" s="80" t="n">
        <v>170</v>
      </c>
      <c r="W148" s="75" t="n"/>
      <c r="X148" s="71" t="n"/>
      <c r="Y148" s="76" t="n">
        <v>303.19</v>
      </c>
      <c r="Z148" s="76" t="n">
        <v>154688000</v>
      </c>
      <c r="AA148" s="75" t="n">
        <v>16.54</v>
      </c>
      <c r="AB148" s="71" t="inlineStr">
        <is>
          <t>Lai Shixian</t>
        </is>
      </c>
      <c r="AC148" s="71" t="inlineStr">
        <is>
          <t>lai</t>
        </is>
      </c>
      <c r="AD148" s="75" t="n">
        <v>15</v>
      </c>
      <c r="AE148" s="71" t="inlineStr">
        <is>
          <t>lapsed (no over-allocation)</t>
        </is>
      </c>
      <c r="AF148" s="71" t="n"/>
      <c r="AG148" s="71" t="inlineStr">
        <is>
          <t>Zhongtai International Securities Limited</t>
        </is>
      </c>
      <c r="AH148" s="71" t="inlineStr">
        <is>
          <t>Zhongtai</t>
        </is>
      </c>
      <c r="AI148" s="81" t="n">
        <v>42.86</v>
      </c>
      <c r="AJ148" s="82" t="n">
        <v>2.04</v>
      </c>
      <c r="AK148" s="82" t="n">
        <v>48.47</v>
      </c>
      <c r="AL148" s="82" t="n">
        <v>-31.27</v>
      </c>
      <c r="AM148" s="83" t="n"/>
      <c r="AN148" s="75" t="n">
        <v>56.7</v>
      </c>
      <c r="AO148" s="82" t="n">
        <v>-15.82</v>
      </c>
      <c r="AP148" s="82" t="n">
        <v>-64.29000000000001</v>
      </c>
      <c r="AQ148" s="82" t="n">
        <v>-70.92</v>
      </c>
      <c r="AR148" s="82" t="n">
        <v>-17.5</v>
      </c>
      <c r="AS148" s="82" t="n">
        <v>-65</v>
      </c>
      <c r="AT148" s="82" t="n">
        <v>-71.5</v>
      </c>
      <c r="AU148" s="82" t="n">
        <v>-26.08</v>
      </c>
      <c r="AV148" s="82" t="n">
        <v>-81.76000000000001</v>
      </c>
      <c r="AW148" s="82" t="n">
        <v>-98.44</v>
      </c>
      <c r="AX148" s="82" t="n">
        <v>-83.90000000000001</v>
      </c>
      <c r="AY148" s="82" t="n">
        <v>17.47</v>
      </c>
      <c r="AZ148" s="82" t="n">
        <v>18.9</v>
      </c>
      <c r="BA148" s="71" t="inlineStr">
        <is>
          <t>Hang Seng Index</t>
        </is>
      </c>
      <c r="BB148" s="82" t="n">
        <v>-92.5</v>
      </c>
      <c r="BC148" s="72" t="inlineStr">
        <is>
          <t>2026-03-30</t>
        </is>
      </c>
      <c r="BD148" s="73" t="n">
        <v>388.6</v>
      </c>
      <c r="BE148" s="76" t="n">
        <v>71.2</v>
      </c>
      <c r="BF148" s="71" t="inlineStr">
        <is>
          <t>Y</t>
        </is>
      </c>
      <c r="BG148" s="83" t="n">
        <v>25.8</v>
      </c>
      <c r="BH148" s="83" t="n"/>
      <c r="BI148" s="83" t="n"/>
      <c r="BJ148" s="83" t="n">
        <v>4.7</v>
      </c>
      <c r="BK148" s="84">
        <f>IF('BBG Verify'!S148="","not filed; run on terminal",'BBG Verify'!S148)</f>
        <v/>
      </c>
      <c r="BL148" s="85" t="inlineStr">
        <is>
          <t>N</t>
        </is>
      </c>
      <c r="BM148" s="86">
        <f>IF('BBG Verify'!K148="","not filed; run on terminal",'BBG Verify'!K148)</f>
        <v/>
      </c>
      <c r="BN148" s="71" t="inlineStr">
        <is>
          <t>N/A</t>
        </is>
      </c>
      <c r="BO148" s="71" t="inlineStr">
        <is>
          <t>N/A</t>
        </is>
      </c>
      <c r="BP148" s="71" t="inlineStr">
        <is>
          <t>N/A</t>
        </is>
      </c>
      <c r="BQ148" s="71" t="inlineStr">
        <is>
          <t>N/A</t>
        </is>
      </c>
      <c r="BR148" s="71" t="inlineStr">
        <is>
          <t>N/A</t>
        </is>
      </c>
      <c r="BS148" s="71" t="inlineStr">
        <is>
          <t>N/A</t>
        </is>
      </c>
      <c r="BT148" s="85" t="inlineStr">
        <is>
          <t>Zhongtai International Capital Limited</t>
        </is>
      </c>
      <c r="BU148" s="71" t="inlineStr">
        <is>
          <t>Zhongtai International Capital Limited</t>
        </is>
      </c>
      <c r="BV148" s="71"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W148" s="71"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X148" s="87">
        <f>HYPERLINK("https://www1.hkexnews.hk/listedco/listconews/sehk/2022/1028/2022102800015.pdf","prospectus")</f>
        <v/>
      </c>
      <c r="BY148" s="87">
        <f>HYPERLINK("https://www1.hkexnews.hk/listedco/listconews/sehk/2022/1108/2022110800012.htm","allotment")</f>
        <v/>
      </c>
      <c r="BZ148" s="87">
        <f>HYPERLINK("https://www1.hkexnews.hk/listedco/listconews/sehk/2022/1202/2022120200787.pdf","stabilisation")</f>
        <v/>
      </c>
      <c r="CA148" s="85" t="n"/>
      <c r="CB148" s="71"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allocation: allocation table not in this notice's format (older prose announcement); day-1 tape: volume on file; the retail multiple needs the final public split, which this notice does not state</t>
        </is>
      </c>
    </row>
    <row r="149" ht="15" customHeight="1">
      <c r="A149" s="70" t="inlineStr">
        <is>
          <t>2420</t>
        </is>
      </c>
      <c r="B149" s="71" t="inlineStr">
        <is>
          <t>ZIBUYU</t>
        </is>
      </c>
      <c r="C149" s="71" t="inlineStr">
        <is>
          <t>子不語</t>
        </is>
      </c>
      <c r="D149" s="71" t="inlineStr">
        <is>
          <t>Tech/AI</t>
        </is>
      </c>
      <c r="E149" s="71" t="inlineStr">
        <is>
          <t>Internet platform / e-commerce</t>
        </is>
      </c>
      <c r="F149" s="71" t="inlineStr">
        <is>
          <t>e-Commerce &amp; Internet Services</t>
        </is>
      </c>
      <c r="G149" s="71" t="inlineStr">
        <is>
          <t>Standard</t>
        </is>
      </c>
      <c r="H149" s="72" t="n">
        <v>44876</v>
      </c>
      <c r="I149" s="73" t="n">
        <v>229.9</v>
      </c>
      <c r="J149" s="71" t="inlineStr">
        <is>
          <t>gross (price x shares)</t>
        </is>
      </c>
      <c r="K149" s="74" t="n">
        <v>7.86</v>
      </c>
      <c r="L149" s="74" t="n">
        <v>9.42</v>
      </c>
      <c r="M149" s="74" t="n">
        <v>7.86</v>
      </c>
      <c r="N149" s="71" t="inlineStr">
        <is>
          <t>N</t>
        </is>
      </c>
      <c r="O149" s="75" t="n">
        <v>83.40000000000001</v>
      </c>
      <c r="P149" s="75" t="n">
        <v>0</v>
      </c>
      <c r="Q149" s="76" t="n">
        <v>4580.8</v>
      </c>
      <c r="R149" s="71" t="inlineStr">
        <is>
          <t>aastocks:上市市值 at the struck price</t>
        </is>
      </c>
      <c r="S149" s="77" t="n">
        <v>1.91</v>
      </c>
      <c r="T149" s="78" t="n">
        <v>1.56</v>
      </c>
      <c r="U149" s="79" t="n">
        <v>37.9</v>
      </c>
      <c r="V149" s="80" t="n">
        <v>127</v>
      </c>
      <c r="W149" s="75" t="n"/>
      <c r="X149" s="71" t="n"/>
      <c r="Y149" s="76" t="n">
        <v>142.77</v>
      </c>
      <c r="Z149" s="76" t="n">
        <v>18164250</v>
      </c>
      <c r="AA149" s="75" t="n">
        <v>3.12</v>
      </c>
      <c r="AB149" s="71" t="inlineStr">
        <is>
          <t>De Well Group Singapore Pte. Ltd; GF Fund Management Co., Ltd; Zhejiang Eifini Industrial Co., Ltd</t>
        </is>
      </c>
      <c r="AC149" s="71" t="inlineStr">
        <is>
          <t>de;gf;zhejiang</t>
        </is>
      </c>
      <c r="AD149" s="75" t="n"/>
      <c r="AE149" s="71" t="n"/>
      <c r="AF149" s="71" t="n"/>
      <c r="AG149" s="71" t="n"/>
      <c r="AH149" s="71" t="n"/>
      <c r="AI149" s="81" t="n">
        <v>8.140000000000001</v>
      </c>
      <c r="AJ149" s="82" t="n">
        <v>5.47</v>
      </c>
      <c r="AK149" s="82" t="n">
        <v>6.36</v>
      </c>
      <c r="AL149" s="82" t="n">
        <v>-0.84</v>
      </c>
      <c r="AM149" s="83" t="n"/>
      <c r="AN149" s="75" t="n">
        <v>38.28</v>
      </c>
      <c r="AO149" s="82" t="n">
        <v>-16.41</v>
      </c>
      <c r="AP149" s="82" t="n">
        <v>-20.87</v>
      </c>
      <c r="AQ149" s="82" t="n">
        <v>-33.84</v>
      </c>
      <c r="AR149" s="82" t="n">
        <v>-20.75</v>
      </c>
      <c r="AS149" s="82" t="n">
        <v>-24.97</v>
      </c>
      <c r="AT149" s="82" t="n">
        <v>-37.27</v>
      </c>
      <c r="AU149" s="82" t="n">
        <v>-34.21</v>
      </c>
      <c r="AV149" s="82" t="n">
        <v>-52.69</v>
      </c>
      <c r="AW149" s="82" t="n">
        <v>-71.23</v>
      </c>
      <c r="AX149" s="82" t="n">
        <v>-44.55</v>
      </c>
      <c r="AY149" s="82" t="n">
        <v>31.82</v>
      </c>
      <c r="AZ149" s="82" t="n">
        <v>19.58</v>
      </c>
      <c r="BA149" s="71" t="inlineStr">
        <is>
          <t>HSTECH (Hang Seng TECH ETF)</t>
        </is>
      </c>
      <c r="BB149" s="82" t="n">
        <v>-29.45</v>
      </c>
      <c r="BC149" s="72" t="inlineStr">
        <is>
          <t>2026-09-23</t>
        </is>
      </c>
      <c r="BD149" s="73" t="n">
        <v>2581.2</v>
      </c>
      <c r="BE149" s="76" t="n">
        <v>89.2</v>
      </c>
      <c r="BF149" s="71" t="inlineStr">
        <is>
          <t>Y</t>
        </is>
      </c>
      <c r="BG149" s="83" t="n">
        <v>51.4</v>
      </c>
      <c r="BH149" s="83" t="n"/>
      <c r="BI149" s="83" t="n">
        <v>5.9</v>
      </c>
      <c r="BJ149" s="83" t="n">
        <v>1.8</v>
      </c>
      <c r="BK149" s="84">
        <f>IF('BBG Verify'!S149="","not filed; run on terminal",'BBG Verify'!S149)</f>
        <v/>
      </c>
      <c r="BL149" s="85" t="inlineStr">
        <is>
          <t>N</t>
        </is>
      </c>
      <c r="BM149" s="86">
        <f>IF('BBG Verify'!K149="","not filed; run on terminal",'BBG Verify'!K149)</f>
        <v/>
      </c>
      <c r="BN149" s="71" t="inlineStr">
        <is>
          <t>N/A</t>
        </is>
      </c>
      <c r="BO149" s="71" t="inlineStr">
        <is>
          <t>N/A</t>
        </is>
      </c>
      <c r="BP149" s="71" t="inlineStr">
        <is>
          <t>N/A</t>
        </is>
      </c>
      <c r="BQ149" s="71" t="inlineStr">
        <is>
          <t>N/A</t>
        </is>
      </c>
      <c r="BR149" s="71" t="inlineStr">
        <is>
          <t>N/A</t>
        </is>
      </c>
      <c r="BS149" s="71" t="inlineStr">
        <is>
          <t>N/A</t>
        </is>
      </c>
      <c r="BT149" s="85" t="inlineStr">
        <is>
          <t>and Sponsor-OC Huatai Financial Holdings (Hong Kong) Limited; ABCI Capital Limited</t>
        </is>
      </c>
      <c r="BU149" s="71" t="inlineStr">
        <is>
          <t>Huatai Financial Holdings (Hong Kong) Limited; ABCI Capital Limited</t>
        </is>
      </c>
      <c r="BV149" s="71" t="inlineStr">
        <is>
          <t>Huatai Financial Holdings (Hong Kong) Limited; ABCI Capital Limited; Shenwan Hongyuan Securities (H.K.) Limited; BOCOM International Securities Limited</t>
        </is>
      </c>
      <c r="BW149" s="71"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X149" s="87">
        <f>HYPERLINK("https://www1.hkexnews.hk/listedco/listconews/sehk/2022/1031/2022103100013.pdf","prospectus")</f>
        <v/>
      </c>
      <c r="BY149" s="87">
        <f>HYPERLINK("https://www1.hkexnews.hk/listedco/listconews/sehk/2022/1110/2022111000034.htm","allotment")</f>
        <v/>
      </c>
      <c r="BZ149" s="71" t="n"/>
      <c r="CA149" s="85" t="n"/>
      <c r="CB149" s="71"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50" ht="15" customHeight="1">
      <c r="A150" s="70" t="inlineStr">
        <is>
          <t>1407</t>
        </is>
      </c>
      <c r="B150" s="71" t="inlineStr">
        <is>
          <t>JY GAS</t>
        </is>
      </c>
      <c r="C150" s="71" t="inlineStr">
        <is>
          <t>交運燃氣</t>
        </is>
      </c>
      <c r="D150" s="71" t="inlineStr">
        <is>
          <t>Materials/Energy</t>
        </is>
      </c>
      <c r="E150" s="71" t="inlineStr">
        <is>
          <t>Oil &amp; gas / utilities</t>
        </is>
      </c>
      <c r="F150" s="71" t="inlineStr">
        <is>
          <t>Gas Utilities</t>
        </is>
      </c>
      <c r="G150" s="71" t="inlineStr">
        <is>
          <t>Standard</t>
        </is>
      </c>
      <c r="H150" s="72" t="n">
        <v>44881</v>
      </c>
      <c r="I150" s="73" t="n">
        <v>156.2</v>
      </c>
      <c r="J150" s="71" t="inlineStr">
        <is>
          <t>gross (price x shares)</t>
        </is>
      </c>
      <c r="K150" s="74" t="n">
        <v>1.42</v>
      </c>
      <c r="L150" s="74" t="n">
        <v>1.62</v>
      </c>
      <c r="M150" s="74" t="n">
        <v>1.42</v>
      </c>
      <c r="N150" s="71" t="inlineStr">
        <is>
          <t>N</t>
        </is>
      </c>
      <c r="O150" s="75" t="n">
        <v>87.7</v>
      </c>
      <c r="P150" s="75" t="n">
        <v>0</v>
      </c>
      <c r="Q150" s="76" t="n">
        <v>701.9</v>
      </c>
      <c r="R150" s="71" t="inlineStr">
        <is>
          <t>aastocks:上市市值 at the struck price</t>
        </is>
      </c>
      <c r="S150" s="77" t="n">
        <v>7.15</v>
      </c>
      <c r="T150" s="78" t="n">
        <v>1.17</v>
      </c>
      <c r="U150" s="79" t="n">
        <v>0</v>
      </c>
      <c r="V150" s="80" t="n">
        <v>131</v>
      </c>
      <c r="W150" s="75" t="n"/>
      <c r="X150" s="71" t="n"/>
      <c r="Y150" s="76" t="n">
        <v>156.2</v>
      </c>
      <c r="Z150" s="76" t="n">
        <v>110000000</v>
      </c>
      <c r="AA150" s="75" t="n">
        <v>22.25</v>
      </c>
      <c r="AB150" s="71" t="n"/>
      <c r="AC150" s="71" t="n"/>
      <c r="AD150" s="75" t="n">
        <v>10</v>
      </c>
      <c r="AE150" s="71" t="inlineStr">
        <is>
          <t>lapsed (no over-allocation)</t>
        </is>
      </c>
      <c r="AF150" s="71" t="inlineStr">
        <is>
          <t>2022-12-07</t>
        </is>
      </c>
      <c r="AG150" s="71" t="inlineStr">
        <is>
          <t>China Industrial Securities International Capital Limited</t>
        </is>
      </c>
      <c r="AH150" s="71" t="inlineStr">
        <is>
          <t>China Industrial</t>
        </is>
      </c>
      <c r="AI150" s="81" t="n">
        <v>28.17</v>
      </c>
      <c r="AJ150" s="82" t="n">
        <v>0</v>
      </c>
      <c r="AK150" s="82" t="n">
        <v>7.04</v>
      </c>
      <c r="AL150" s="82" t="n">
        <v>-6.58</v>
      </c>
      <c r="AM150" s="83" t="n"/>
      <c r="AN150" s="75" t="n">
        <v>23.03</v>
      </c>
      <c r="AO150" s="82" t="n">
        <v>-5.63</v>
      </c>
      <c r="AP150" s="82" t="n">
        <v>-25.35</v>
      </c>
      <c r="AQ150" s="82" t="n">
        <v>-47.89</v>
      </c>
      <c r="AR150" s="82" t="n">
        <v>-5.63</v>
      </c>
      <c r="AS150" s="82" t="n">
        <v>-25.35</v>
      </c>
      <c r="AT150" s="82" t="n">
        <v>-47.89</v>
      </c>
      <c r="AU150" s="82" t="n">
        <v>0.57</v>
      </c>
      <c r="AV150" s="82" t="n">
        <v>-30.25</v>
      </c>
      <c r="AW150" s="82" t="n">
        <v>-58.57</v>
      </c>
      <c r="AX150" s="82" t="n">
        <v>-30.56</v>
      </c>
      <c r="AY150" s="82" t="n">
        <v>4.9</v>
      </c>
      <c r="AZ150" s="82" t="n">
        <v>5.21</v>
      </c>
      <c r="BA150" s="71" t="inlineStr">
        <is>
          <t>Hang Seng Commerce &amp; Industry sub-index</t>
        </is>
      </c>
      <c r="BB150" s="82" t="n">
        <v>-48.94</v>
      </c>
      <c r="BC150" s="72" t="inlineStr">
        <is>
          <t>2026-09-23</t>
        </is>
      </c>
      <c r="BD150" s="73" t="n">
        <v>485</v>
      </c>
      <c r="BE150" s="76" t="n">
        <v>75.2</v>
      </c>
      <c r="BF150" s="71" t="inlineStr">
        <is>
          <t>Y</t>
        </is>
      </c>
      <c r="BG150" s="83" t="n">
        <v>9.300000000000001</v>
      </c>
      <c r="BH150" s="83" t="n"/>
      <c r="BI150" s="83" t="n">
        <v>8.1</v>
      </c>
      <c r="BJ150" s="83" t="n">
        <v>1.4</v>
      </c>
      <c r="BK150" s="84">
        <f>IF('BBG Verify'!S150="","not filed; run on terminal",'BBG Verify'!S150)</f>
        <v/>
      </c>
      <c r="BL150" s="85" t="inlineStr">
        <is>
          <t>N</t>
        </is>
      </c>
      <c r="BM150" s="86">
        <f>IF('BBG Verify'!K150="","not filed; run on terminal",'BBG Verify'!K150)</f>
        <v/>
      </c>
      <c r="BN150" s="71" t="inlineStr">
        <is>
          <t>N/A</t>
        </is>
      </c>
      <c r="BO150" s="71" t="inlineStr">
        <is>
          <t>N/A</t>
        </is>
      </c>
      <c r="BP150" s="71" t="inlineStr">
        <is>
          <t>N/A</t>
        </is>
      </c>
      <c r="BQ150" s="71" t="inlineStr">
        <is>
          <t>N/A</t>
        </is>
      </c>
      <c r="BR150" s="71" t="inlineStr">
        <is>
          <t>N/A</t>
        </is>
      </c>
      <c r="BS150" s="71" t="inlineStr">
        <is>
          <t>N/A</t>
        </is>
      </c>
      <c r="BT150" s="85" t="inlineStr">
        <is>
          <t>China Industrial Securities International Capital Limited</t>
        </is>
      </c>
      <c r="BU150" s="71" t="inlineStr">
        <is>
          <t>China Industrial Securities International Capital Limited</t>
        </is>
      </c>
      <c r="BV150" s="71"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W150" s="71"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X150" s="87">
        <f>HYPERLINK("https://www1.hkexnews.hk/listedco/listconews/sehk/2022/1031/2022103100007.pdf","prospectus")</f>
        <v/>
      </c>
      <c r="BY150" s="87">
        <f>HYPERLINK("https://www1.hkexnews.hk/listedco/listconews/sehk/2022/1115/2022111500160.htm","allotment")</f>
        <v/>
      </c>
      <c r="BZ150" s="87">
        <f>HYPERLINK("https://www1.hkexnews.hk/listedco/listconews/sehk/2022/1208/2022120800587.pdf","stabilisation")</f>
        <v/>
      </c>
      <c r="CA150" s="85" t="n"/>
      <c r="CB150" s="71" t="inlineStr">
        <is>
          <t>market cap: published listing cap used; the estimate from deal size / offer % of enlarged capital disagreed; cornerstone list: no cornerstone tranche; allocation: allocation table not in this notice's format (older prose announcement); day-1 tape: volume on file; the retail multiple needs the final public split, which this notice does not state</t>
        </is>
      </c>
    </row>
    <row r="151" ht="15" customHeight="1">
      <c r="A151" s="70" t="inlineStr">
        <is>
          <t>2436</t>
        </is>
      </c>
      <c r="B151" s="71" t="inlineStr">
        <is>
          <t>LX TECHNOLOGY</t>
        </is>
      </c>
      <c r="C151" s="71" t="inlineStr">
        <is>
          <t>凌雄科技</t>
        </is>
      </c>
      <c r="D151" s="71" t="inlineStr">
        <is>
          <t>Tech/AI</t>
        </is>
      </c>
      <c r="E151" s="71" t="inlineStr">
        <is>
          <t>SaaS / enterprise software</t>
        </is>
      </c>
      <c r="F151" s="71" t="inlineStr">
        <is>
          <t>Computer Storage &amp; Peripherals</t>
        </is>
      </c>
      <c r="G151" s="71" t="inlineStr">
        <is>
          <t>Standard</t>
        </is>
      </c>
      <c r="H151" s="72" t="n">
        <v>44889</v>
      </c>
      <c r="I151" s="73" t="n">
        <v>404.8</v>
      </c>
      <c r="J151" s="71" t="inlineStr">
        <is>
          <t>gross (price x shares)</t>
        </is>
      </c>
      <c r="K151" s="74" t="n">
        <v>7.6</v>
      </c>
      <c r="L151" s="74" t="n">
        <v>8.74</v>
      </c>
      <c r="M151" s="74" t="n">
        <v>7.6</v>
      </c>
      <c r="N151" s="71" t="inlineStr">
        <is>
          <t>N</t>
        </is>
      </c>
      <c r="O151" s="75" t="n">
        <v>87</v>
      </c>
      <c r="P151" s="75" t="n">
        <v>0</v>
      </c>
      <c r="Q151" s="76" t="n">
        <v>2684.4</v>
      </c>
      <c r="R151" s="71" t="inlineStr">
        <is>
          <t>derived:deal size / offer % of enlarged capital</t>
        </is>
      </c>
      <c r="S151" s="77" t="n">
        <v>15</v>
      </c>
      <c r="T151" s="78" t="n">
        <v>1.12</v>
      </c>
      <c r="U151" s="79" t="n">
        <v>0</v>
      </c>
      <c r="V151" s="80" t="n">
        <v>107</v>
      </c>
      <c r="W151" s="75" t="n"/>
      <c r="X151" s="71" t="n"/>
      <c r="Y151" s="76" t="n">
        <v>404.8</v>
      </c>
      <c r="Z151" s="76" t="n">
        <v>53259000</v>
      </c>
      <c r="AA151" s="75" t="n">
        <v>15.08</v>
      </c>
      <c r="AB151" s="71" t="n"/>
      <c r="AC151" s="71" t="n"/>
      <c r="AD151" s="75" t="n">
        <v>5.06</v>
      </c>
      <c r="AE151" s="71" t="n"/>
      <c r="AF151" s="71" t="inlineStr">
        <is>
          <t>2022-12-17</t>
        </is>
      </c>
      <c r="AG151" s="71" t="inlineStr">
        <is>
          <t>Haitong International Securities Company Limited</t>
        </is>
      </c>
      <c r="AH151" s="71" t="inlineStr">
        <is>
          <t>Haitong</t>
        </is>
      </c>
      <c r="AI151" s="81" t="n">
        <v>3.95</v>
      </c>
      <c r="AJ151" s="82" t="n">
        <v>2.63</v>
      </c>
      <c r="AK151" s="82" t="n">
        <v>3.95</v>
      </c>
      <c r="AL151" s="82" t="n">
        <v>-1.27</v>
      </c>
      <c r="AM151" s="83" t="n"/>
      <c r="AN151" s="75" t="n">
        <v>12.53</v>
      </c>
      <c r="AO151" s="82" t="n">
        <v>18.29</v>
      </c>
      <c r="AP151" s="82" t="n">
        <v>43.42</v>
      </c>
      <c r="AQ151" s="82" t="n">
        <v>77.37</v>
      </c>
      <c r="AR151" s="82" t="n">
        <v>15.26</v>
      </c>
      <c r="AS151" s="82" t="n">
        <v>39.74</v>
      </c>
      <c r="AT151" s="82" t="n">
        <v>72.81999999999999</v>
      </c>
      <c r="AU151" s="82" t="n">
        <v>10.48</v>
      </c>
      <c r="AV151" s="82" t="n">
        <v>27.34</v>
      </c>
      <c r="AW151" s="82" t="n">
        <v>59.87</v>
      </c>
      <c r="AX151" s="82" t="n">
        <v>24.58</v>
      </c>
      <c r="AY151" s="82" t="n">
        <v>16.08</v>
      </c>
      <c r="AZ151" s="82" t="n">
        <v>15.16</v>
      </c>
      <c r="BA151" s="71" t="inlineStr">
        <is>
          <t>HSTECH (Hang Seng TECH ETF)</t>
        </is>
      </c>
      <c r="BB151" s="82" t="n">
        <v>175</v>
      </c>
      <c r="BC151" s="72" t="inlineStr">
        <is>
          <t>2026-09-23</t>
        </is>
      </c>
      <c r="BD151" s="73" t="n">
        <v>1463.4</v>
      </c>
      <c r="BE151" s="76" t="n">
        <v>-493.6</v>
      </c>
      <c r="BF151" s="71" t="inlineStr">
        <is>
          <t>N</t>
        </is>
      </c>
      <c r="BG151" s="71" t="inlineStr">
        <is>
          <t>n/m</t>
        </is>
      </c>
      <c r="BH151" s="83" t="n"/>
      <c r="BI151" s="83" t="n">
        <v>360.2</v>
      </c>
      <c r="BJ151" s="83" t="n">
        <v>1.8</v>
      </c>
      <c r="BK151" s="84">
        <f>IF('BBG Verify'!S151="","not filed; run on terminal",'BBG Verify'!S151)</f>
        <v/>
      </c>
      <c r="BL151" s="85" t="inlineStr">
        <is>
          <t>N</t>
        </is>
      </c>
      <c r="BM151" s="86">
        <f>IF('BBG Verify'!K151="","not filed; run on terminal",'BBG Verify'!K151)</f>
        <v/>
      </c>
      <c r="BN151" s="71" t="inlineStr">
        <is>
          <t>N/A</t>
        </is>
      </c>
      <c r="BO151" s="71" t="inlineStr">
        <is>
          <t>N/A</t>
        </is>
      </c>
      <c r="BP151" s="71" t="inlineStr">
        <is>
          <t>N/A</t>
        </is>
      </c>
      <c r="BQ151" s="71" t="inlineStr">
        <is>
          <t>N/A</t>
        </is>
      </c>
      <c r="BR151" s="71" t="inlineStr">
        <is>
          <t>N/A</t>
        </is>
      </c>
      <c r="BS151" s="71" t="inlineStr">
        <is>
          <t>N/A</t>
        </is>
      </c>
      <c r="BT151" s="85" t="inlineStr">
        <is>
          <t>Haitong International Capital Limited</t>
        </is>
      </c>
      <c r="BU151" s="71" t="inlineStr">
        <is>
          <t>Haitong International Capital Limited</t>
        </is>
      </c>
      <c r="BV151" s="71" t="inlineStr">
        <is>
          <t>Haitong International Securities Company Limited; Futu Securities International (Hong Kong) Limited; Tiger Brokers (HK) Global Limited; Dragonstone Capital Management Limited</t>
        </is>
      </c>
      <c r="BW151" s="71"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X151" s="87">
        <f>HYPERLINK("https://www1.hkexnews.hk/listedco/listconews/sehk/2022/1114/2022111400005.pdf","prospectus")</f>
        <v/>
      </c>
      <c r="BY151" s="87">
        <f>HYPERLINK("https://www1.hkexnews.hk/listedco/listconews/sehk/2022/1123/2022112300038.htm","allotment")</f>
        <v/>
      </c>
      <c r="BZ151" s="71" t="n"/>
      <c r="CA151" s="85" t="n"/>
      <c r="CB151" s="71" t="inlineStr">
        <is>
          <t>P/E: loss-making at IPO, use P/S; greenshoe: end-of-stabilisation notice not found; cornerstone list: no cornerstone tranche; allocation: allocation table not in this notice's format (older prose announcement); day-1 tape: volume on file; the retail multiple needs the final public split, which this notice does not state</t>
        </is>
      </c>
    </row>
    <row r="152" ht="15" customHeight="1">
      <c r="A152" s="70" t="inlineStr">
        <is>
          <t>3660</t>
        </is>
      </c>
      <c r="B152" s="71" t="inlineStr">
        <is>
          <t>360 DIGITECH-S</t>
        </is>
      </c>
      <c r="C152" s="71" t="inlineStr">
        <is>
          <t>奇富科技－Ｓ</t>
        </is>
      </c>
      <c r="D152" s="71" t="inlineStr">
        <is>
          <t>Tech/AI</t>
        </is>
      </c>
      <c r="E152" s="71" t="inlineStr">
        <is>
          <t>Fintech platform</t>
        </is>
      </c>
      <c r="F152" s="71" t="inlineStr">
        <is>
          <t>Other Diversified Financial Services</t>
        </is>
      </c>
      <c r="G152" s="71" t="inlineStr">
        <is>
          <t>Secondary</t>
        </is>
      </c>
      <c r="H152" s="72" t="n">
        <v>44894</v>
      </c>
      <c r="I152" s="73" t="n">
        <v>277.2</v>
      </c>
      <c r="J152" s="71" t="inlineStr">
        <is>
          <t>gross (price x shares)</t>
        </is>
      </c>
      <c r="K152" s="74" t="n"/>
      <c r="L152" s="74" t="n">
        <v>50.03</v>
      </c>
      <c r="M152" s="74" t="n">
        <v>50.03</v>
      </c>
      <c r="N152" s="71" t="inlineStr">
        <is>
          <t>Y</t>
        </is>
      </c>
      <c r="O152" s="75" t="n">
        <v>100</v>
      </c>
      <c r="P152" s="75" t="n"/>
      <c r="Q152" s="76" t="n">
        <v>28200</v>
      </c>
      <c r="R152" s="71" t="inlineStr">
        <is>
          <t>prospectus:stated market capitalisation</t>
        </is>
      </c>
      <c r="S152" s="77" t="n">
        <v>2.46</v>
      </c>
      <c r="T152" s="78" t="n">
        <v>5.3</v>
      </c>
      <c r="U152" s="79" t="n"/>
      <c r="V152" s="80" t="n">
        <v>102</v>
      </c>
      <c r="W152" s="75" t="n"/>
      <c r="X152" s="71" t="n"/>
      <c r="Y152" s="76" t="n">
        <v>277.2</v>
      </c>
      <c r="Z152" s="76" t="n">
        <v>5540000</v>
      </c>
      <c r="AA152" s="75" t="n">
        <v>0.98</v>
      </c>
      <c r="AB152" s="71" t="n"/>
      <c r="AC152" s="71" t="n"/>
      <c r="AD152" s="75" t="n">
        <v>10</v>
      </c>
      <c r="AE152" s="71" t="n"/>
      <c r="AF152" s="71" t="inlineStr">
        <is>
          <t>2022-12-23</t>
        </is>
      </c>
      <c r="AG152" s="71" t="inlineStr">
        <is>
          <t>Citigroup Global Markets Asia Limited</t>
        </is>
      </c>
      <c r="AH152" s="71" t="inlineStr">
        <is>
          <t>Citigroup</t>
        </is>
      </c>
      <c r="AI152" s="81" t="n">
        <v>0.84</v>
      </c>
      <c r="AJ152" s="82" t="n">
        <v>3.44</v>
      </c>
      <c r="AK152" s="82" t="n">
        <v>1.14</v>
      </c>
      <c r="AL152" s="82" t="n">
        <v>2.27</v>
      </c>
      <c r="AM152" s="83" t="n"/>
      <c r="AN152" s="75" t="n">
        <v>3.85</v>
      </c>
      <c r="AO152" s="82" t="n">
        <v>33.82</v>
      </c>
      <c r="AP152" s="82" t="n">
        <v>57.31</v>
      </c>
      <c r="AQ152" s="82" t="n">
        <v>67.90000000000001</v>
      </c>
      <c r="AR152" s="82" t="n">
        <v>29.37</v>
      </c>
      <c r="AS152" s="82" t="n">
        <v>52.08</v>
      </c>
      <c r="AT152" s="82" t="n">
        <v>62.32</v>
      </c>
      <c r="AU152" s="82" t="n">
        <v>12.92</v>
      </c>
      <c r="AV152" s="82" t="n">
        <v>37.06</v>
      </c>
      <c r="AW152" s="82" t="n">
        <v>46.65</v>
      </c>
      <c r="AX152" s="82" t="n">
        <v>40.83</v>
      </c>
      <c r="AY152" s="82" t="n">
        <v>20.25</v>
      </c>
      <c r="AZ152" s="82" t="n">
        <v>11.25</v>
      </c>
      <c r="BA152" s="71" t="inlineStr">
        <is>
          <t>HSTECH (Hang Seng TECH ETF)</t>
        </is>
      </c>
      <c r="BB152" s="82" t="n">
        <v>-37.92</v>
      </c>
      <c r="BC152" s="72" t="inlineStr">
        <is>
          <t>2026-09-23</t>
        </is>
      </c>
      <c r="BD152" s="73" t="n">
        <v>18299.2</v>
      </c>
      <c r="BE152" s="76" t="n">
        <v>6359.9</v>
      </c>
      <c r="BF152" s="71" t="inlineStr">
        <is>
          <t>Y</t>
        </is>
      </c>
      <c r="BG152" s="83" t="n">
        <v>4.4</v>
      </c>
      <c r="BH152" s="83" t="n"/>
      <c r="BI152" s="83" t="n"/>
      <c r="BJ152" s="83" t="n">
        <v>1.5</v>
      </c>
      <c r="BK152" s="84">
        <f>IF('BBG Verify'!S152="","not filed; run on terminal",'BBG Verify'!S152)</f>
        <v/>
      </c>
      <c r="BL152" s="85" t="inlineStr">
        <is>
          <t>N</t>
        </is>
      </c>
      <c r="BM152" s="86">
        <f>IF('BBG Verify'!K152="","not filed; run on terminal",'BBG Verify'!K152)</f>
        <v/>
      </c>
      <c r="BN152" s="71" t="inlineStr">
        <is>
          <t>N/A</t>
        </is>
      </c>
      <c r="BO152" s="71" t="inlineStr">
        <is>
          <t>N/A</t>
        </is>
      </c>
      <c r="BP152" s="71" t="inlineStr">
        <is>
          <t>N/A</t>
        </is>
      </c>
      <c r="BQ152" s="71" t="inlineStr">
        <is>
          <t>N/A</t>
        </is>
      </c>
      <c r="BR152" s="71" t="inlineStr">
        <is>
          <t>N/A</t>
        </is>
      </c>
      <c r="BS152" s="71" t="inlineStr">
        <is>
          <t>N/A</t>
        </is>
      </c>
      <c r="BT152" s="85" t="n"/>
      <c r="BU152" s="71" t="inlineStr">
        <is>
          <t>China International Capital Corporation Hong Kong Securities Limited; Citigroup Global Markets Asia Limited</t>
        </is>
      </c>
      <c r="BV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X152" s="87">
        <f>HYPERLINK("https://www1.hkexnews.hk/listedco/listconews/sehk/2022/1118/2022111800030.htm","prospectus")</f>
        <v/>
      </c>
      <c r="BY152" s="87">
        <f>HYPERLINK("https://www1.hkexnews.hk/listedco/listconews/sehk/2022/1128/2022112800016.htm","allotment")</f>
        <v/>
      </c>
      <c r="BZ152" s="87">
        <f>HYPERLINK("https://www1.hkexnews.hk/listedco/listconews/sehk/2022/1223/2022122300416.pdf","stabilisation")</f>
        <v/>
      </c>
      <c r="CA152" s="85" t="n"/>
      <c r="CB152"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153" ht="15" customHeight="1">
      <c r="A153" s="70" t="inlineStr">
        <is>
          <t>2245</t>
        </is>
      </c>
      <c r="B153" s="71" t="inlineStr">
        <is>
          <t>LYGEND RESOURCE</t>
        </is>
      </c>
      <c r="C153" s="71" t="inlineStr">
        <is>
          <t>力勤資源</t>
        </is>
      </c>
      <c r="D153" s="71" t="inlineStr">
        <is>
          <t>Materials/Energy</t>
        </is>
      </c>
      <c r="E153" s="71" t="inlineStr">
        <is>
          <t>Mining / metals</t>
        </is>
      </c>
      <c r="F153" s="71" t="inlineStr">
        <is>
          <t>Diversified Metals &amp; Minerals</t>
        </is>
      </c>
      <c r="G153" s="71" t="inlineStr">
        <is>
          <t>Standard</t>
        </is>
      </c>
      <c r="H153" s="72" t="n">
        <v>44896</v>
      </c>
      <c r="I153" s="73" t="n">
        <v>3674.3</v>
      </c>
      <c r="J153" s="71" t="inlineStr">
        <is>
          <t>gross (price x shares)</t>
        </is>
      </c>
      <c r="K153" s="74" t="n"/>
      <c r="L153" s="74" t="n">
        <v>15.8</v>
      </c>
      <c r="M153" s="74" t="n">
        <v>15.8</v>
      </c>
      <c r="N153" s="71" t="inlineStr">
        <is>
          <t>Y</t>
        </is>
      </c>
      <c r="O153" s="75" t="n">
        <v>100</v>
      </c>
      <c r="P153" s="75" t="n"/>
      <c r="Q153" s="76" t="n">
        <v>27664.5</v>
      </c>
      <c r="R153" s="71" t="inlineStr">
        <is>
          <t>aastocks:上市市值 at the struck price</t>
        </is>
      </c>
      <c r="S153" s="77" t="n">
        <v>1.47</v>
      </c>
      <c r="T153" s="78" t="n">
        <v>1.4</v>
      </c>
      <c r="U153" s="79" t="n">
        <v>69.40000000000001</v>
      </c>
      <c r="V153" s="80" t="n">
        <v>124</v>
      </c>
      <c r="W153" s="75" t="n"/>
      <c r="X153" s="71" t="n"/>
      <c r="Y153" s="76" t="n">
        <v>1124.34</v>
      </c>
      <c r="Z153" s="76" t="n">
        <v>71159566</v>
      </c>
      <c r="AA153" s="75" t="n">
        <v>4.06</v>
      </c>
      <c r="AB153" s="71"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AC153" s="71" t="inlineStr">
        <is>
          <t>state-owned;gem;hongkong;hubei;ningbo</t>
        </is>
      </c>
      <c r="AD153" s="75" t="n"/>
      <c r="AE153" s="71" t="inlineStr">
        <is>
          <t>partial</t>
        </is>
      </c>
      <c r="AF153" s="71" t="inlineStr">
        <is>
          <t>2022-12-24</t>
        </is>
      </c>
      <c r="AG153" s="71" t="inlineStr">
        <is>
          <t>China International Capital Corporation Hong Kong Securities Limited</t>
        </is>
      </c>
      <c r="AH153" s="71" t="inlineStr">
        <is>
          <t>China International</t>
        </is>
      </c>
      <c r="AI153" s="81" t="n">
        <v>-1.9</v>
      </c>
      <c r="AJ153" s="82" t="n">
        <v>0</v>
      </c>
      <c r="AK153" s="82" t="n">
        <v>0</v>
      </c>
      <c r="AL153" s="82" t="n">
        <v>0</v>
      </c>
      <c r="AM153" s="83" t="n"/>
      <c r="AN153" s="75" t="n">
        <v>1.39</v>
      </c>
      <c r="AO153" s="82" t="n">
        <v>-3.67</v>
      </c>
      <c r="AP153" s="82" t="n">
        <v>1.14</v>
      </c>
      <c r="AQ153" s="82" t="n">
        <v>-19.37</v>
      </c>
      <c r="AR153" s="82" t="n">
        <v>-3.67</v>
      </c>
      <c r="AS153" s="82" t="n">
        <v>1.14</v>
      </c>
      <c r="AT153" s="82" t="n">
        <v>-19.37</v>
      </c>
      <c r="AU153" s="82" t="n">
        <v>-10.02</v>
      </c>
      <c r="AV153" s="82" t="n">
        <v>-11.5</v>
      </c>
      <c r="AW153" s="82" t="n">
        <v>-25.92</v>
      </c>
      <c r="AX153" s="82" t="n">
        <v>-10.42</v>
      </c>
      <c r="AY153" s="82" t="n">
        <v>12.64</v>
      </c>
      <c r="AZ153" s="82" t="n">
        <v>11.56</v>
      </c>
      <c r="BA153" s="71" t="inlineStr">
        <is>
          <t>Hang Seng Commerce &amp; Industry sub-index</t>
        </is>
      </c>
      <c r="BB153" s="82" t="n">
        <v>25.38</v>
      </c>
      <c r="BC153" s="72" t="inlineStr">
        <is>
          <t>2026-09-23</t>
        </is>
      </c>
      <c r="BD153" s="73" t="n">
        <v>13694.2</v>
      </c>
      <c r="BE153" s="76" t="n">
        <v>1386</v>
      </c>
      <c r="BF153" s="71" t="inlineStr">
        <is>
          <t>Y</t>
        </is>
      </c>
      <c r="BG153" s="83" t="n">
        <v>20</v>
      </c>
      <c r="BH153" s="83" t="n">
        <v>3.4</v>
      </c>
      <c r="BI153" s="83" t="n">
        <v>7.2</v>
      </c>
      <c r="BJ153" s="83" t="n">
        <v>2</v>
      </c>
      <c r="BK153" s="84">
        <f>IF('BBG Verify'!S153="","not filed; run on terminal",'BBG Verify'!S153)</f>
        <v/>
      </c>
      <c r="BL153" s="85" t="inlineStr">
        <is>
          <t>N</t>
        </is>
      </c>
      <c r="BM153" s="86">
        <f>IF('BBG Verify'!K153="","not filed; run on terminal",'BBG Verify'!K153)</f>
        <v/>
      </c>
      <c r="BN153" s="71" t="inlineStr">
        <is>
          <t>N/A</t>
        </is>
      </c>
      <c r="BO153" s="71" t="inlineStr">
        <is>
          <t>N/A</t>
        </is>
      </c>
      <c r="BP153" s="71" t="inlineStr">
        <is>
          <t>N/A</t>
        </is>
      </c>
      <c r="BQ153" s="71" t="inlineStr">
        <is>
          <t>N/A</t>
        </is>
      </c>
      <c r="BR153" s="71" t="inlineStr">
        <is>
          <t>N/A</t>
        </is>
      </c>
      <c r="BS153" s="71" t="inlineStr">
        <is>
          <t>N/A</t>
        </is>
      </c>
      <c r="BT153" s="85" t="n"/>
      <c r="BU153" s="71" t="inlineStr">
        <is>
          <t>China International Capital Corporation Hong Kong Securities Limited; CMB International Capital Limited</t>
        </is>
      </c>
      <c r="BV153" s="71" t="inlineStr">
        <is>
          <t>ABCI Securities Company Limited; BNP Paribas Securities (Asia) Limited; BOCI Asia Limited; China International Capital Corporation Hong Kong Securities Limited; CMB International Capital Limited; DBS Asia Capital Limited</t>
        </is>
      </c>
      <c r="BW153" s="71"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X153" s="87">
        <f>HYPERLINK("https://www1.hkexnews.hk/listedco/listconews/sehk/2022/1121/2022112100023.htm","prospectus")</f>
        <v/>
      </c>
      <c r="BY153" s="87">
        <f>HYPERLINK("https://www1.hkexnews.hk/listedco/listconews/sehk/2022/1130/2022113000304.htm","allotment")</f>
        <v/>
      </c>
      <c r="BZ153" s="87">
        <f>HYPERLINK("https://www1.hkexnews.hk/listedco/listconews/sehk/2022/1228/2022122801241.pdf","stabilisation")</f>
        <v/>
      </c>
      <c r="CA153" s="85" t="n"/>
      <c r="CB153" s="71"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allocation: allocation table not in this notice's format (older prose announcement); day-1 tape: volume on file; the retail multiple needs the final public split, which this notice does not state</t>
        </is>
      </c>
    </row>
    <row r="154" ht="15" customHeight="1">
      <c r="A154" s="70" t="inlineStr">
        <is>
          <t>6963</t>
        </is>
      </c>
      <c r="B154" s="71" t="inlineStr">
        <is>
          <t>SUNSHINE INS</t>
        </is>
      </c>
      <c r="C154" s="71" t="inlineStr">
        <is>
          <t>陽光保險</t>
        </is>
      </c>
      <c r="D154" s="71" t="inlineStr">
        <is>
          <t>Financials</t>
        </is>
      </c>
      <c r="E154" s="71" t="inlineStr">
        <is>
          <t>Insurance</t>
        </is>
      </c>
      <c r="F154" s="71" t="inlineStr">
        <is>
          <t>Life &amp; Health Insurance</t>
        </is>
      </c>
      <c r="G154" s="71" t="inlineStr">
        <is>
          <t>Standard</t>
        </is>
      </c>
      <c r="H154" s="72" t="n">
        <v>44904</v>
      </c>
      <c r="I154" s="73" t="n">
        <v>6705.4</v>
      </c>
      <c r="J154" s="71" t="inlineStr">
        <is>
          <t>gross (price x shares)</t>
        </is>
      </c>
      <c r="K154" s="74" t="n"/>
      <c r="L154" s="74" t="n">
        <v>6.45</v>
      </c>
      <c r="M154" s="74" t="n">
        <v>5.83</v>
      </c>
      <c r="N154" s="71" t="inlineStr">
        <is>
          <t>N</t>
        </is>
      </c>
      <c r="O154" s="75" t="n">
        <v>90.40000000000001</v>
      </c>
      <c r="P154" s="75" t="n"/>
      <c r="Q154" s="76" t="n">
        <v>59182.7</v>
      </c>
      <c r="R154" s="71" t="inlineStr">
        <is>
          <t>derived:deal size / offer % of enlarged capital</t>
        </is>
      </c>
      <c r="S154" s="77" t="n">
        <v>0.13</v>
      </c>
      <c r="T154" s="78" t="n">
        <v>1.34</v>
      </c>
      <c r="U154" s="79" t="n"/>
      <c r="V154" s="80" t="n">
        <v>53</v>
      </c>
      <c r="W154" s="75" t="n">
        <v>1.26</v>
      </c>
      <c r="X154" s="71" t="inlineStr">
        <is>
          <t>NO</t>
        </is>
      </c>
      <c r="Y154" s="76" t="n">
        <v>6705.4</v>
      </c>
      <c r="Z154" s="76" t="n">
        <v>1150152500</v>
      </c>
      <c r="AA154" s="75" t="n">
        <v>11.33</v>
      </c>
      <c r="AB154" s="71" t="n"/>
      <c r="AC154" s="71" t="n"/>
      <c r="AD154" s="75" t="n">
        <v>10</v>
      </c>
      <c r="AE154" s="71" t="inlineStr">
        <is>
          <t>lapsed</t>
        </is>
      </c>
      <c r="AF154" s="71" t="inlineStr">
        <is>
          <t>2023-01-04</t>
        </is>
      </c>
      <c r="AG154" s="71" t="inlineStr">
        <is>
          <t>Huatai Financial Holdings</t>
        </is>
      </c>
      <c r="AH154" s="71" t="inlineStr">
        <is>
          <t>Huatai</t>
        </is>
      </c>
      <c r="AI154" s="81" t="n">
        <v>-0.17</v>
      </c>
      <c r="AJ154" s="82" t="n">
        <v>0</v>
      </c>
      <c r="AK154" s="82" t="n">
        <v>0</v>
      </c>
      <c r="AL154" s="82" t="n">
        <v>0</v>
      </c>
      <c r="AM154" s="83" t="n">
        <v>4.09</v>
      </c>
      <c r="AN154" s="75" t="n">
        <v>5.49</v>
      </c>
      <c r="AO154" s="82" t="n">
        <v>-27.27</v>
      </c>
      <c r="AP154" s="82" t="n">
        <v>-12.86</v>
      </c>
      <c r="AQ154" s="82" t="n">
        <v>-30.02</v>
      </c>
      <c r="AR154" s="82" t="n">
        <v>-27.27</v>
      </c>
      <c r="AS154" s="82" t="n">
        <v>-12.86</v>
      </c>
      <c r="AT154" s="82" t="n">
        <v>-30.02</v>
      </c>
      <c r="AU154" s="82" t="n">
        <v>-27.83</v>
      </c>
      <c r="AV154" s="82" t="n">
        <v>-23.24</v>
      </c>
      <c r="AW154" s="82" t="n">
        <v>-33.01</v>
      </c>
      <c r="AX154" s="82" t="n">
        <v>-21.54</v>
      </c>
      <c r="AY154" s="82" t="n">
        <v>10.38</v>
      </c>
      <c r="AZ154" s="82" t="n">
        <v>8.68</v>
      </c>
      <c r="BA154" s="71" t="inlineStr">
        <is>
          <t>Hang Seng Finance sub-index</t>
        </is>
      </c>
      <c r="BB154" s="82" t="n">
        <v>-37.05</v>
      </c>
      <c r="BC154" s="72" t="inlineStr">
        <is>
          <t>2026-09-23</t>
        </is>
      </c>
      <c r="BD154" s="73" t="n">
        <v>108190.5</v>
      </c>
      <c r="BE154" s="76" t="n">
        <v>6471.3</v>
      </c>
      <c r="BF154" s="71" t="inlineStr">
        <is>
          <t>Y</t>
        </is>
      </c>
      <c r="BG154" s="83" t="n">
        <v>9.1</v>
      </c>
      <c r="BH154" s="83" t="n">
        <v>7.9</v>
      </c>
      <c r="BI154" s="83" t="n">
        <v>5.4</v>
      </c>
      <c r="BJ154" s="83" t="n">
        <v>0.5</v>
      </c>
      <c r="BK154" s="84">
        <f>IF('BBG Verify'!S154="","not filed; run on terminal",'BBG Verify'!S154)</f>
        <v/>
      </c>
      <c r="BL154" s="85" t="inlineStr">
        <is>
          <t>N</t>
        </is>
      </c>
      <c r="BM154" s="86">
        <f>IF('BBG Verify'!K154="","not filed; run on terminal",'BBG Verify'!K154)</f>
        <v/>
      </c>
      <c r="BN154" s="71" t="inlineStr">
        <is>
          <t>N/A</t>
        </is>
      </c>
      <c r="BO154" s="71" t="inlineStr">
        <is>
          <t>N/A</t>
        </is>
      </c>
      <c r="BP154" s="71" t="inlineStr">
        <is>
          <t>N/A</t>
        </is>
      </c>
      <c r="BQ154" s="71" t="inlineStr">
        <is>
          <t>N/A</t>
        </is>
      </c>
      <c r="BR154" s="71" t="inlineStr">
        <is>
          <t>N/A</t>
        </is>
      </c>
      <c r="BS154" s="71" t="inlineStr">
        <is>
          <t>N/A</t>
        </is>
      </c>
      <c r="BT154" s="85" t="inlineStr">
        <is>
          <t>Huatai Financial Holdings (Hong Kong) Limited; China International Capital Corporation Hong Kong Securities Limited; UBS Securities Hong Kong Limited; CCB International Capital Limited</t>
        </is>
      </c>
      <c r="BU154" s="71" t="inlineStr">
        <is>
          <t>China International Capital Corporation Hong Kong Securities Limited; CCB International Capital Limited; UBS Securities Hong Kong Limited; Huatai Financial Holdings (Hong Kong) Limited</t>
        </is>
      </c>
      <c r="BV154" s="71"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W154" s="71"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X154" s="87">
        <f>HYPERLINK("https://www1.hkexnews.hk/listedco/listconews/sehk/2022/1130/2022113000027.pdf","prospectus")</f>
        <v/>
      </c>
      <c r="BY154" s="87">
        <f>HYPERLINK("https://www1.hkexnews.hk/listedco/listconews/sehk/2022/1208/2022120800048.htm","allotment")</f>
        <v/>
      </c>
      <c r="BZ154" s="87">
        <f>HYPERLINK("https://www1.hkexnews.hk/listedco/listconews/sehk/2023/0105/2023010500005.pdf","stabilisation")</f>
        <v/>
      </c>
      <c r="CA154" s="85" t="n"/>
      <c r="CB154" s="71" t="inlineStr">
        <is>
          <t>range low: maximum offer price only, no floor published; cornerstone list: names not extractable, see the prospectus; cornerstone %: aggregate not stated in the filing</t>
        </is>
      </c>
    </row>
    <row r="155" ht="15" customHeight="1">
      <c r="A155" s="70" t="inlineStr">
        <is>
          <t>2407</t>
        </is>
      </c>
      <c r="B155" s="71" t="inlineStr">
        <is>
          <t>GAUSH MEDITECH</t>
        </is>
      </c>
      <c r="C155" s="71" t="inlineStr">
        <is>
          <t>高視醫療</t>
        </is>
      </c>
      <c r="D155" s="71" t="inlineStr">
        <is>
          <t>Healthcare</t>
        </is>
      </c>
      <c r="E155" s="71" t="inlineStr">
        <is>
          <t>Medical devices</t>
        </is>
      </c>
      <c r="F155" s="71" t="inlineStr">
        <is>
          <t>Health Care Equipment</t>
        </is>
      </c>
      <c r="G155" s="71" t="inlineStr">
        <is>
          <t>Standard</t>
        </is>
      </c>
      <c r="H155" s="72" t="n">
        <v>44907</v>
      </c>
      <c r="I155" s="73" t="n">
        <v>283.1</v>
      </c>
      <c r="J155" s="71" t="inlineStr">
        <is>
          <t>net proceeds</t>
        </is>
      </c>
      <c r="K155" s="74" t="n"/>
      <c r="L155" s="74" t="n">
        <v>51.4</v>
      </c>
      <c r="M155" s="74" t="n">
        <v>51.4</v>
      </c>
      <c r="N155" s="71" t="inlineStr">
        <is>
          <t>Y</t>
        </is>
      </c>
      <c r="O155" s="75" t="n">
        <v>100</v>
      </c>
      <c r="P155" s="75" t="n"/>
      <c r="Q155" s="76" t="n">
        <v>2822.5</v>
      </c>
      <c r="R155" s="71" t="inlineStr">
        <is>
          <t>derived:deal size / offer % of enlarged capital</t>
        </is>
      </c>
      <c r="S155" s="77" t="n">
        <v>1.52</v>
      </c>
      <c r="T155" s="78" t="n">
        <v>1.04</v>
      </c>
      <c r="U155" s="79" t="n">
        <v>94.52</v>
      </c>
      <c r="V155" s="80" t="n">
        <v>102</v>
      </c>
      <c r="W155" s="75" t="n"/>
      <c r="X155" s="71" t="n"/>
      <c r="Y155" s="76" t="n">
        <v>15.51</v>
      </c>
      <c r="Z155" s="76" t="n"/>
      <c r="AA155" s="75" t="n">
        <v>0.55</v>
      </c>
      <c r="AB155" s="71" t="inlineStr">
        <is>
          <t>CL Kiwi Holding Ltd; Jiangsu Sino-German Services Trade Industry Investment Fund L.P; Wuxi Gaoshi Venture Capital L.P; Wuxi Shigao Equity Investment L.P</t>
        </is>
      </c>
      <c r="AC155" s="71" t="inlineStr">
        <is>
          <t>cl;jiangsu;wuxi</t>
        </is>
      </c>
      <c r="AD155" s="75" t="n">
        <v>8.83</v>
      </c>
      <c r="AE155" s="71" t="inlineStr">
        <is>
          <t>partial</t>
        </is>
      </c>
      <c r="AF155" s="71" t="inlineStr">
        <is>
          <t>2023-01-04</t>
        </is>
      </c>
      <c r="AG155" s="71" t="n"/>
      <c r="AH155" s="71" t="n"/>
      <c r="AI155" s="81" t="n">
        <v>-3.5</v>
      </c>
      <c r="AJ155" s="82" t="n">
        <v>0</v>
      </c>
      <c r="AK155" s="82" t="n">
        <v>-0.39</v>
      </c>
      <c r="AL155" s="82" t="n">
        <v>0.39</v>
      </c>
      <c r="AM155" s="83" t="n"/>
      <c r="AN155" s="75" t="n">
        <v>6.84</v>
      </c>
      <c r="AO155" s="82" t="n">
        <v>0</v>
      </c>
      <c r="AP155" s="82" t="n">
        <v>-2.72</v>
      </c>
      <c r="AQ155" s="82" t="n">
        <v>-4.28</v>
      </c>
      <c r="AR155" s="82" t="n">
        <v>0</v>
      </c>
      <c r="AS155" s="82" t="n">
        <v>-2.72</v>
      </c>
      <c r="AT155" s="82" t="n">
        <v>-4.28</v>
      </c>
      <c r="AU155" s="82" t="n">
        <v>5.08</v>
      </c>
      <c r="AV155" s="82" t="n">
        <v>-13.03</v>
      </c>
      <c r="AW155" s="82" t="n">
        <v>-1.41</v>
      </c>
      <c r="AX155" s="82" t="n">
        <v>-12.83</v>
      </c>
      <c r="AY155" s="82" t="n">
        <v>10.31</v>
      </c>
      <c r="AZ155" s="82" t="n">
        <v>10.11</v>
      </c>
      <c r="BA155" s="71" t="inlineStr">
        <is>
          <t>China Biotech ETF (HS biotech proxy)</t>
        </is>
      </c>
      <c r="BB155" s="82" t="n">
        <v>-91.28</v>
      </c>
      <c r="BC155" s="72" t="inlineStr">
        <is>
          <t>2026-09-23</t>
        </is>
      </c>
      <c r="BD155" s="73" t="n">
        <v>1428</v>
      </c>
      <c r="BE155" s="76" t="n">
        <v>-151.8</v>
      </c>
      <c r="BF155" s="71" t="inlineStr">
        <is>
          <t>N</t>
        </is>
      </c>
      <c r="BG155" s="71" t="inlineStr">
        <is>
          <t>n/m</t>
        </is>
      </c>
      <c r="BH155" s="83" t="n"/>
      <c r="BI155" s="83" t="n">
        <v>6</v>
      </c>
      <c r="BJ155" s="83" t="n">
        <v>2</v>
      </c>
      <c r="BK155" s="84">
        <f>IF('BBG Verify'!S155="","not filed; run on terminal",'BBG Verify'!S155)</f>
        <v/>
      </c>
      <c r="BL155" s="85" t="inlineStr">
        <is>
          <t>N</t>
        </is>
      </c>
      <c r="BM155" s="86">
        <f>IF('BBG Verify'!K155="","not filed; run on terminal",'BBG Verify'!K155)</f>
        <v/>
      </c>
      <c r="BN155" s="71" t="inlineStr">
        <is>
          <t>N/A</t>
        </is>
      </c>
      <c r="BO155" s="71" t="inlineStr">
        <is>
          <t>N/A</t>
        </is>
      </c>
      <c r="BP155" s="71" t="inlineStr">
        <is>
          <t>N/A</t>
        </is>
      </c>
      <c r="BQ155" s="71" t="inlineStr">
        <is>
          <t>N/A</t>
        </is>
      </c>
      <c r="BR155" s="71" t="inlineStr">
        <is>
          <t>N/A</t>
        </is>
      </c>
      <c r="BS155" s="71" t="inlineStr">
        <is>
          <t>N/A</t>
        </is>
      </c>
      <c r="BT155" s="85" t="inlineStr">
        <is>
          <t>Morgan Stanley Asia Limited; Haitong International Capital Limited</t>
        </is>
      </c>
      <c r="BU155" s="71" t="inlineStr">
        <is>
          <t>Morgan Stanley Asia Limited; Haitong International Capital Limited</t>
        </is>
      </c>
      <c r="BV155" s="71" t="inlineStr">
        <is>
          <t>Morgan Stanley Asia Limited; Haitong International Securities Company Limited</t>
        </is>
      </c>
      <c r="BW155" s="71" t="inlineStr">
        <is>
          <t>Daiwa Capital Markets Hong Kong Limited; Futu Securities International (Hong Kong) Limited; Haitong International Securities Company Limited; Maxa Capital Limited; Morgan Stanley Asia Limited; Sinomax Securities Limited; Tiger Brokers (HK) Global Limited</t>
        </is>
      </c>
      <c r="BX155" s="87">
        <f>HYPERLINK("https://www1.hkexnews.hk/listedco/listconews/sehk/2022/1130/2022113000167.pdf","prospectus")</f>
        <v/>
      </c>
      <c r="BY155" s="87">
        <f>HYPERLINK("https://www1.hkexnews.hk/listedco/listconews/sehk/2022/1209/2022120900012.htm","allotment")</f>
        <v/>
      </c>
      <c r="BZ155" s="87">
        <f>HYPERLINK("https://www1.hkexnews.hk/listedco/listconews/sehk/2023/0104/2023010402177.pdf","stabilisation")</f>
        <v/>
      </c>
      <c r="CA155" s="85" t="n"/>
      <c r="CB155" s="71" t="inlineStr">
        <is>
          <t>P/E: loss-making at IPO, use P/S; range low: maximum offer price only, no floor published;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156" ht="15" customHeight="1">
      <c r="A156" s="70" t="inlineStr">
        <is>
          <t>2440</t>
        </is>
      </c>
      <c r="B156" s="71" t="inlineStr">
        <is>
          <t>HOWKINGTECH</t>
        </is>
      </c>
      <c r="C156" s="71" t="inlineStr">
        <is>
          <t>迷策略</t>
        </is>
      </c>
      <c r="D156" s="71" t="inlineStr">
        <is>
          <t>Tech/AI</t>
        </is>
      </c>
      <c r="E156" s="71" t="inlineStr">
        <is>
          <t>SaaS / enterprise software</t>
        </is>
      </c>
      <c r="F156" s="71" t="inlineStr">
        <is>
          <t>Telecommunications &amp; Networking Equipment</t>
        </is>
      </c>
      <c r="G156" s="71" t="inlineStr">
        <is>
          <t>Standard</t>
        </is>
      </c>
      <c r="H156" s="72" t="n">
        <v>44907</v>
      </c>
      <c r="I156" s="73" t="n">
        <v>98.3</v>
      </c>
      <c r="J156" s="71" t="inlineStr">
        <is>
          <t>gross (price x shares)</t>
        </is>
      </c>
      <c r="K156" s="74" t="n">
        <v>2.73</v>
      </c>
      <c r="L156" s="74" t="n">
        <v>3.28</v>
      </c>
      <c r="M156" s="74" t="n">
        <v>2.73</v>
      </c>
      <c r="N156" s="71" t="inlineStr">
        <is>
          <t>N</t>
        </is>
      </c>
      <c r="O156" s="75" t="n">
        <v>83.2</v>
      </c>
      <c r="P156" s="75" t="n">
        <v>0</v>
      </c>
      <c r="Q156" s="76" t="n">
        <v>614.4</v>
      </c>
      <c r="R156" s="71" t="inlineStr">
        <is>
          <t>derived:deal size / offer % of enlarged capital</t>
        </is>
      </c>
      <c r="S156" s="77" t="n">
        <v>96.73</v>
      </c>
      <c r="T156" s="78" t="n">
        <v>1.1</v>
      </c>
      <c r="U156" s="79" t="n">
        <v>58.333</v>
      </c>
      <c r="V156" s="80" t="n">
        <v>157</v>
      </c>
      <c r="W156" s="75" t="n">
        <v>40</v>
      </c>
      <c r="X156" s="71" t="inlineStr">
        <is>
          <t>YES</t>
        </is>
      </c>
      <c r="Y156" s="76" t="n">
        <v>40.96</v>
      </c>
      <c r="Z156" s="76" t="n">
        <v>15000120</v>
      </c>
      <c r="AA156" s="75" t="n">
        <v>6.67</v>
      </c>
      <c r="AB156" s="71" t="inlineStr">
        <is>
          <t>Anji Jize LLP; Anji Kaize LLP</t>
        </is>
      </c>
      <c r="AC156" s="71" t="inlineStr">
        <is>
          <t>anji</t>
        </is>
      </c>
      <c r="AD156" s="75" t="n">
        <v>9.333</v>
      </c>
      <c r="AE156" s="71" t="n"/>
      <c r="AF156" s="71" t="n"/>
      <c r="AG156" s="71" t="inlineStr">
        <is>
          <t>China PA Securities</t>
        </is>
      </c>
      <c r="AH156" s="71" t="inlineStr">
        <is>
          <t>China PA</t>
        </is>
      </c>
      <c r="AI156" s="81" t="n">
        <v>-16.12</v>
      </c>
      <c r="AJ156" s="82" t="n">
        <v>-26.74</v>
      </c>
      <c r="AK156" s="82" t="n">
        <v>-18.68</v>
      </c>
      <c r="AL156" s="82" t="n">
        <v>-9.91</v>
      </c>
      <c r="AM156" s="83" t="n">
        <v>1.09</v>
      </c>
      <c r="AN156" s="75" t="n">
        <v>17.12</v>
      </c>
      <c r="AO156" s="82" t="n">
        <v>-41.76</v>
      </c>
      <c r="AP156" s="82" t="n">
        <v>-47.25</v>
      </c>
      <c r="AQ156" s="82" t="n">
        <v>-44.69</v>
      </c>
      <c r="AR156" s="82" t="n">
        <v>-20.5</v>
      </c>
      <c r="AS156" s="82" t="n">
        <v>-28</v>
      </c>
      <c r="AT156" s="82" t="n">
        <v>-24.5</v>
      </c>
      <c r="AU156" s="82" t="n">
        <v>-35.87</v>
      </c>
      <c r="AV156" s="82" t="n">
        <v>-51.43</v>
      </c>
      <c r="AW156" s="82" t="n">
        <v>-35.55</v>
      </c>
      <c r="AX156" s="82" t="n">
        <v>-37.03</v>
      </c>
      <c r="AY156" s="82" t="n">
        <v>4.18</v>
      </c>
      <c r="AZ156" s="82" t="n">
        <v>9.029999999999999</v>
      </c>
      <c r="BA156" s="71" t="inlineStr">
        <is>
          <t>HSTECH (Hang Seng TECH ETF)</t>
        </is>
      </c>
      <c r="BB156" s="82" t="n">
        <v>-64.65000000000001</v>
      </c>
      <c r="BC156" s="72" t="inlineStr">
        <is>
          <t>2026-09-23</t>
        </is>
      </c>
      <c r="BD156" s="73" t="n">
        <v>208.5</v>
      </c>
      <c r="BE156" s="76" t="n">
        <v>37.8</v>
      </c>
      <c r="BF156" s="71" t="inlineStr">
        <is>
          <t>Y</t>
        </is>
      </c>
      <c r="BG156" s="83" t="n">
        <v>16.3</v>
      </c>
      <c r="BH156" s="83" t="n"/>
      <c r="BI156" s="83" t="n"/>
      <c r="BJ156" s="83" t="n">
        <v>2.9</v>
      </c>
      <c r="BK156" s="84">
        <f>IF('BBG Verify'!S156="","not filed; run on terminal",'BBG Verify'!S156)</f>
        <v/>
      </c>
      <c r="BL156" s="85" t="inlineStr">
        <is>
          <t>N</t>
        </is>
      </c>
      <c r="BM156" s="86">
        <f>IF('BBG Verify'!K156="","not filed; run on terminal",'BBG Verify'!K156)</f>
        <v/>
      </c>
      <c r="BN156" s="71" t="inlineStr">
        <is>
          <t>N/A</t>
        </is>
      </c>
      <c r="BO156" s="71" t="inlineStr">
        <is>
          <t>N/A</t>
        </is>
      </c>
      <c r="BP156" s="71" t="inlineStr">
        <is>
          <t>N/A</t>
        </is>
      </c>
      <c r="BQ156" s="71" t="inlineStr">
        <is>
          <t>N/A</t>
        </is>
      </c>
      <c r="BR156" s="71" t="inlineStr">
        <is>
          <t>N/A</t>
        </is>
      </c>
      <c r="BS156" s="71" t="inlineStr">
        <is>
          <t>N/A</t>
        </is>
      </c>
      <c r="BT156" s="85" t="inlineStr">
        <is>
          <t>Ping An of China Capital (Hong Kong) Company Limited</t>
        </is>
      </c>
      <c r="BU156" s="71" t="inlineStr">
        <is>
          <t>Ping An of China Capital (Hong Kong) Company Limited</t>
        </is>
      </c>
      <c r="BV156" s="71" t="inlineStr">
        <is>
          <t>China PA Securities (Hong Kong) Company Limited; Innovax Securities Limited; CMBC Securities Company Limited; Valuable Capital Limited</t>
        </is>
      </c>
      <c r="BW156" s="71" t="inlineStr">
        <is>
          <t>Central China International Capital Limited; CMBC Securities Company Limited; China PA Securities (Hong Kong) Company Limited; Innovax Securities Limited; Lego Securities Limited; Tiger Brokers (HK) Global Limited; Valuable Capital Limited</t>
        </is>
      </c>
      <c r="BX156" s="87">
        <f>HYPERLINK("https://www1.hkexnews.hk/listedco/listconews/sehk/2022/1130/2022113000131.pdf","prospectus")</f>
        <v/>
      </c>
      <c r="BY156" s="87">
        <f>HYPERLINK("https://www1.hkexnews.hk/listedco/listconews/sehk/2022/1209/2022120900148.htm","allotment")</f>
        <v/>
      </c>
      <c r="BZ156" s="71" t="n"/>
      <c r="CA156" s="85" t="n"/>
      <c r="CB156" s="71" t="inlineStr">
        <is>
          <t>greenshoe: end-of-stabilisation notice not found; returns: returns exclude the entitlement value of 2025-06-24 rights 1-for-2 @ HK$1.262 (now MemeStrategy); Bloomberg back-adjusts by x1.224</t>
        </is>
      </c>
    </row>
    <row r="157" ht="15" customHeight="1">
      <c r="A157" s="70" t="inlineStr">
        <is>
          <t>1947</t>
        </is>
      </c>
      <c r="B157" s="71" t="inlineStr">
        <is>
          <t>MEIHAO GROUP</t>
        </is>
      </c>
      <c r="C157" s="71" t="inlineStr">
        <is>
          <t>美皓集團</t>
        </is>
      </c>
      <c r="D157" s="71" t="inlineStr">
        <is>
          <t>Healthcare</t>
        </is>
      </c>
      <c r="E157" s="71" t="inlineStr">
        <is>
          <t>Hospitals / clinics</t>
        </is>
      </c>
      <c r="F157" s="71" t="inlineStr">
        <is>
          <t>Health Care Services</t>
        </is>
      </c>
      <c r="G157" s="71" t="inlineStr">
        <is>
          <t>Standard</t>
        </is>
      </c>
      <c r="H157" s="72" t="n">
        <v>44909</v>
      </c>
      <c r="I157" s="73" t="n">
        <v>126</v>
      </c>
      <c r="J157" s="71" t="inlineStr">
        <is>
          <t>gross (price x shares)</t>
        </is>
      </c>
      <c r="K157" s="74" t="n">
        <v>0.84</v>
      </c>
      <c r="L157" s="74" t="n">
        <v>1</v>
      </c>
      <c r="M157" s="74" t="n">
        <v>0.84</v>
      </c>
      <c r="N157" s="71" t="inlineStr">
        <is>
          <t>N</t>
        </is>
      </c>
      <c r="O157" s="75" t="n">
        <v>84</v>
      </c>
      <c r="P157" s="75" t="n">
        <v>0</v>
      </c>
      <c r="Q157" s="76" t="n">
        <v>560</v>
      </c>
      <c r="R157" s="71" t="inlineStr">
        <is>
          <t>derived:deal size / offer % of enlarged capital</t>
        </is>
      </c>
      <c r="S157" s="77" t="n">
        <v>41.31</v>
      </c>
      <c r="T157" s="78" t="n">
        <v>1.37</v>
      </c>
      <c r="U157" s="79" t="n">
        <v>0</v>
      </c>
      <c r="V157" s="80" t="n">
        <v>136</v>
      </c>
      <c r="W157" s="75" t="n">
        <v>30</v>
      </c>
      <c r="X157" s="71" t="inlineStr">
        <is>
          <t>YES</t>
        </is>
      </c>
      <c r="Y157" s="76" t="n">
        <v>126</v>
      </c>
      <c r="Z157" s="76" t="n">
        <v>150000000</v>
      </c>
      <c r="AA157" s="75" t="n">
        <v>22.5</v>
      </c>
      <c r="AB157" s="71" t="n"/>
      <c r="AC157" s="71" t="n"/>
      <c r="AD157" s="75" t="n">
        <v>10</v>
      </c>
      <c r="AE157" s="71" t="inlineStr">
        <is>
          <t>lapsed (no over-allocation)</t>
        </is>
      </c>
      <c r="AF157" s="71" t="inlineStr">
        <is>
          <t>2023-01-05</t>
        </is>
      </c>
      <c r="AG157" s="71" t="inlineStr">
        <is>
          <t>Innovax Securities Limited</t>
        </is>
      </c>
      <c r="AH157" s="71" t="inlineStr">
        <is>
          <t>Innovax</t>
        </is>
      </c>
      <c r="AI157" s="81" t="n">
        <v>-3.57</v>
      </c>
      <c r="AJ157" s="82" t="n">
        <v>-14.29</v>
      </c>
      <c r="AK157" s="82" t="n">
        <v>-9.52</v>
      </c>
      <c r="AL157" s="82" t="n">
        <v>-5.27</v>
      </c>
      <c r="AM157" s="83" t="n">
        <v>1.5</v>
      </c>
      <c r="AN157" s="75" t="n">
        <v>17.11</v>
      </c>
      <c r="AO157" s="82" t="n">
        <v>-39.29</v>
      </c>
      <c r="AP157" s="82" t="n">
        <v>-36.9</v>
      </c>
      <c r="AQ157" s="82" t="n">
        <v>-40.48</v>
      </c>
      <c r="AR157" s="82" t="n">
        <v>-29.17</v>
      </c>
      <c r="AS157" s="82" t="n">
        <v>-26.38</v>
      </c>
      <c r="AT157" s="82" t="n">
        <v>-30.56</v>
      </c>
      <c r="AU157" s="82" t="n">
        <v>-33.66</v>
      </c>
      <c r="AV157" s="82" t="n">
        <v>-46.59</v>
      </c>
      <c r="AW157" s="82" t="n">
        <v>-37.97</v>
      </c>
      <c r="AX157" s="82" t="n">
        <v>-36.39</v>
      </c>
      <c r="AY157" s="82" t="n">
        <v>9.69</v>
      </c>
      <c r="AZ157" s="82" t="n">
        <v>10.01</v>
      </c>
      <c r="BA157" s="71" t="inlineStr">
        <is>
          <t>China Biotech ETF (HS biotech proxy)</t>
        </is>
      </c>
      <c r="BB157" s="82" t="n">
        <v>-35.12</v>
      </c>
      <c r="BC157" s="72" t="inlineStr">
        <is>
          <t>2026-09-21</t>
        </is>
      </c>
      <c r="BD157" s="73" t="n">
        <v>115.8</v>
      </c>
      <c r="BE157" s="76" t="n">
        <v>35.4</v>
      </c>
      <c r="BF157" s="71" t="inlineStr">
        <is>
          <t>Y</t>
        </is>
      </c>
      <c r="BG157" s="83" t="n">
        <v>15.8</v>
      </c>
      <c r="BH157" s="83" t="n"/>
      <c r="BI157" s="83" t="n"/>
      <c r="BJ157" s="83" t="n">
        <v>4.8</v>
      </c>
      <c r="BK157" s="84">
        <f>IF('BBG Verify'!S157="","not filed; run on terminal",'BBG Verify'!S157)</f>
        <v/>
      </c>
      <c r="BL157" s="85" t="inlineStr">
        <is>
          <t>N</t>
        </is>
      </c>
      <c r="BM157" s="86">
        <f>IF('BBG Verify'!K157="","not filed; run on terminal",'BBG Verify'!K157)</f>
        <v/>
      </c>
      <c r="BN157" s="71" t="inlineStr">
        <is>
          <t>N/A</t>
        </is>
      </c>
      <c r="BO157" s="71" t="inlineStr">
        <is>
          <t>N/A</t>
        </is>
      </c>
      <c r="BP157" s="71" t="inlineStr">
        <is>
          <t>N/A</t>
        </is>
      </c>
      <c r="BQ157" s="71" t="inlineStr">
        <is>
          <t>N/A</t>
        </is>
      </c>
      <c r="BR157" s="71" t="inlineStr">
        <is>
          <t>N/A</t>
        </is>
      </c>
      <c r="BS157" s="71" t="inlineStr">
        <is>
          <t>N/A</t>
        </is>
      </c>
      <c r="BT157" s="85" t="inlineStr">
        <is>
          <t>Innovax Capital Limited; Sinolink Securities (Hong Kong) Company Limited</t>
        </is>
      </c>
      <c r="BU157" s="71" t="inlineStr">
        <is>
          <t>Innovax Capital Limited; Sinolink Securities (Hong Kong) Company Limited</t>
        </is>
      </c>
      <c r="BV157" s="71"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W157" s="71"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X157" s="87">
        <f>HYPERLINK("https://www1.hkexnews.hk/listedco/listconews/sehk/2022/1130/2022113000017.pdf","prospectus")</f>
        <v/>
      </c>
      <c r="BY157" s="87">
        <f>HYPERLINK("https://www1.hkexnews.hk/listedco/listconews/sehk/2022/1213/2022121300028.htm","allotment")</f>
        <v/>
      </c>
      <c r="BZ157" s="87">
        <f>HYPERLINK("https://www1.hkexnews.hk/listedco/listconews/sehk/2023/0105/2023010501561.pdf","stabilisation")</f>
        <v/>
      </c>
      <c r="CA157" s="85" t="n"/>
      <c r="CB157" s="71" t="inlineStr">
        <is>
          <t>cornerstone list: no cornerstone tranche</t>
        </is>
      </c>
    </row>
    <row r="158" ht="15" customHeight="1">
      <c r="A158" s="70" t="inlineStr">
        <is>
          <t>1244</t>
        </is>
      </c>
      <c r="B158" s="71" t="inlineStr">
        <is>
          <t>3D MEDICINES-B</t>
        </is>
      </c>
      <c r="C158" s="71" t="inlineStr">
        <is>
          <t>思路迪醫藥股份</t>
        </is>
      </c>
      <c r="D158" s="71" t="inlineStr">
        <is>
          <t>Healthcare</t>
        </is>
      </c>
      <c r="E158" s="71" t="inlineStr">
        <is>
          <t>Biotech pre-revenue (18A)</t>
        </is>
      </c>
      <c r="F158" s="71" t="inlineStr">
        <is>
          <t>Biotechnology - Supplies &amp; Services</t>
        </is>
      </c>
      <c r="G158" s="71" t="inlineStr">
        <is>
          <t>18A</t>
        </is>
      </c>
      <c r="H158" s="72" t="n">
        <v>44910</v>
      </c>
      <c r="I158" s="73" t="n">
        <v>251.1</v>
      </c>
      <c r="J158" s="71" t="inlineStr">
        <is>
          <t>net proceeds</t>
        </is>
      </c>
      <c r="K158" s="74" t="n">
        <v>22.96</v>
      </c>
      <c r="L158" s="74" t="n">
        <v>26.24</v>
      </c>
      <c r="M158" s="74" t="n">
        <v>24.98</v>
      </c>
      <c r="N158" s="71" t="inlineStr">
        <is>
          <t>N</t>
        </is>
      </c>
      <c r="O158" s="75" t="n">
        <v>95.2</v>
      </c>
      <c r="P158" s="75" t="n">
        <v>61.6</v>
      </c>
      <c r="Q158" s="76" t="n">
        <v>6678.6</v>
      </c>
      <c r="R158" s="71" t="inlineStr">
        <is>
          <t>aastocks:上市市值 at the struck price</t>
        </is>
      </c>
      <c r="S158" s="77" t="n">
        <v>5.97</v>
      </c>
      <c r="T158" s="78" t="n">
        <v>1.26</v>
      </c>
      <c r="U158" s="79" t="n">
        <v>62.49</v>
      </c>
      <c r="V158" s="80" t="n">
        <v>109</v>
      </c>
      <c r="W158" s="75" t="n"/>
      <c r="X158" s="71" t="n"/>
      <c r="Y158" s="76" t="n">
        <v>94.19</v>
      </c>
      <c r="Z158" s="76" t="n"/>
      <c r="AA158" s="75" t="n">
        <v>1.41</v>
      </c>
      <c r="AB158" s="71" t="inlineStr">
        <is>
          <t>Harvest International Premium Value (Secondary Market) Fund SPC; Mobilewise Limited; TradArt Investment SP</t>
        </is>
      </c>
      <c r="AC158" s="71" t="inlineStr">
        <is>
          <t>harvest;mobilewise;tradart</t>
        </is>
      </c>
      <c r="AD158" s="75" t="n">
        <v>7.29</v>
      </c>
      <c r="AE158" s="71" t="inlineStr">
        <is>
          <t>partial</t>
        </is>
      </c>
      <c r="AF158" s="71" t="inlineStr">
        <is>
          <t>2023-01-06</t>
        </is>
      </c>
      <c r="AG158" s="71" t="inlineStr">
        <is>
          <t>China Securities</t>
        </is>
      </c>
      <c r="AH158" s="71" t="inlineStr">
        <is>
          <t>China Securities</t>
        </is>
      </c>
      <c r="AI158" s="81" t="n">
        <v>15.89</v>
      </c>
      <c r="AJ158" s="82" t="n">
        <v>25.9</v>
      </c>
      <c r="AK158" s="82" t="n">
        <v>16.09</v>
      </c>
      <c r="AL158" s="82" t="n">
        <v>8.449999999999999</v>
      </c>
      <c r="AM158" s="83" t="n"/>
      <c r="AN158" s="75" t="n">
        <v>15.86</v>
      </c>
      <c r="AO158" s="82" t="n">
        <v>66.13</v>
      </c>
      <c r="AP158" s="82" t="n">
        <v>139.39</v>
      </c>
      <c r="AQ158" s="82" t="n">
        <v>167.21</v>
      </c>
      <c r="AR158" s="82" t="n">
        <v>31.95</v>
      </c>
      <c r="AS158" s="82" t="n">
        <v>90.14</v>
      </c>
      <c r="AT158" s="82" t="n">
        <v>112.24</v>
      </c>
      <c r="AU158" s="82" t="n">
        <v>70.7</v>
      </c>
      <c r="AV158" s="82" t="n">
        <v>129.95</v>
      </c>
      <c r="AW158" s="82" t="n">
        <v>169.24</v>
      </c>
      <c r="AX158" s="82" t="n">
        <v>78.67</v>
      </c>
      <c r="AY158" s="82" t="n">
        <v>9.44</v>
      </c>
      <c r="AZ158" s="82" t="n">
        <v>11.47</v>
      </c>
      <c r="BA158" s="71" t="inlineStr">
        <is>
          <t>China Biotech ETF (HS biotech proxy)</t>
        </is>
      </c>
      <c r="BB158" s="82" t="n">
        <v>-89.19</v>
      </c>
      <c r="BC158" s="72" t="inlineStr">
        <is>
          <t>2026-09-23</t>
        </is>
      </c>
      <c r="BD158" s="73" t="n">
        <v>177.2</v>
      </c>
      <c r="BE158" s="76" t="n">
        <v>-1577.5</v>
      </c>
      <c r="BF158" s="71" t="inlineStr">
        <is>
          <t>N</t>
        </is>
      </c>
      <c r="BG158" s="71" t="inlineStr">
        <is>
          <t>n/m</t>
        </is>
      </c>
      <c r="BH158" s="83" t="n"/>
      <c r="BI158" s="83" t="n"/>
      <c r="BJ158" s="83" t="n">
        <v>37.7</v>
      </c>
      <c r="BK158" s="84">
        <f>IF('BBG Verify'!S158="","not filed; run on terminal",'BBG Verify'!S158)</f>
        <v/>
      </c>
      <c r="BL158" s="85" t="inlineStr">
        <is>
          <t>N</t>
        </is>
      </c>
      <c r="BM158" s="86">
        <f>IF('BBG Verify'!K158="","not filed; run on terminal",'BBG Verify'!K158)</f>
        <v/>
      </c>
      <c r="BN158" s="71" t="inlineStr">
        <is>
          <t>N/A</t>
        </is>
      </c>
      <c r="BO158" s="71" t="inlineStr">
        <is>
          <t>N/A</t>
        </is>
      </c>
      <c r="BP158" s="71" t="inlineStr">
        <is>
          <t>N/A</t>
        </is>
      </c>
      <c r="BQ158" s="71" t="inlineStr">
        <is>
          <t>N/A</t>
        </is>
      </c>
      <c r="BR158" s="71" t="inlineStr">
        <is>
          <t>N/A</t>
        </is>
      </c>
      <c r="BS158" s="71" t="inlineStr">
        <is>
          <t>N/A</t>
        </is>
      </c>
      <c r="BT158" s="85" t="inlineStr">
        <is>
          <t>China International Capital Corporation Hong Kong Securities Limited; China Securities (International) Corporate Finance Company Limited</t>
        </is>
      </c>
      <c r="BU158" s="71" t="inlineStr">
        <is>
          <t>China International Capital Corporation Hong Kong Securities Limited; China Securities (International) Corporate Finance Company Limited</t>
        </is>
      </c>
      <c r="BV158" s="71"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W158" s="71"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X158" s="87">
        <f>HYPERLINK("https://www1.hkexnews.hk/listedco/listconews/sehk/2022/1129/2022112900013.pdf","prospectus")</f>
        <v/>
      </c>
      <c r="BY158" s="87">
        <f>HYPERLINK("https://www1.hkexnews.hk/listedco/listconews/sehk/2022/1214/2022121400036.htm","allotment")</f>
        <v/>
      </c>
      <c r="BZ158" s="87">
        <f>HYPERLINK("https://www1.hkexnews.hk/listedco/listconews/sehk/2023/0109/2023010900027.pdf","stabilisation")</f>
        <v/>
      </c>
      <c r="CA158" s="85" t="n"/>
      <c r="CB158" s="71" t="inlineStr">
        <is>
          <t>P/E: loss-making at IPO, use P/S; market cap: published listing cap used; the estimate from deal size / offer % of enlarged capital disagreed;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59" ht="15" customHeight="1">
      <c r="A159" s="70" t="inlineStr">
        <is>
          <t>9985</t>
        </is>
      </c>
      <c r="B159" s="71" t="inlineStr">
        <is>
          <t>WEILONG</t>
        </is>
      </c>
      <c r="C159" s="71" t="inlineStr">
        <is>
          <t>衛龍美味</t>
        </is>
      </c>
      <c r="D159" s="71" t="inlineStr">
        <is>
          <t>Consumer</t>
        </is>
      </c>
      <c r="E159" s="71" t="inlineStr">
        <is>
          <t>Beverages / packaged food</t>
        </is>
      </c>
      <c r="F159" s="71" t="inlineStr">
        <is>
          <t>Packaged Foods</t>
        </is>
      </c>
      <c r="G159" s="71" t="inlineStr">
        <is>
          <t>Standard</t>
        </is>
      </c>
      <c r="H159" s="72" t="n">
        <v>44910</v>
      </c>
      <c r="I159" s="73" t="n">
        <v>1018</v>
      </c>
      <c r="J159" s="71" t="inlineStr">
        <is>
          <t>gross (price x shares)</t>
        </is>
      </c>
      <c r="K159" s="74" t="n">
        <v>10.4</v>
      </c>
      <c r="L159" s="74" t="n">
        <v>11.4</v>
      </c>
      <c r="M159" s="74" t="n">
        <v>10.56</v>
      </c>
      <c r="N159" s="71" t="inlineStr">
        <is>
          <t>N</t>
        </is>
      </c>
      <c r="O159" s="75" t="n">
        <v>92.59999999999999</v>
      </c>
      <c r="P159" s="75" t="n">
        <v>16</v>
      </c>
      <c r="Q159" s="76" t="n">
        <v>24829.3</v>
      </c>
      <c r="R159" s="71" t="inlineStr">
        <is>
          <t>derived:deal size / offer % of enlarged capital</t>
        </is>
      </c>
      <c r="S159" s="77" t="n">
        <v>15.3</v>
      </c>
      <c r="T159" s="78" t="n">
        <v>2.6</v>
      </c>
      <c r="U159" s="79" t="n">
        <v>57.46</v>
      </c>
      <c r="V159" s="80" t="n">
        <v>133</v>
      </c>
      <c r="W159" s="75" t="n">
        <v>30</v>
      </c>
      <c r="X159" s="71" t="inlineStr">
        <is>
          <t>YES</t>
        </is>
      </c>
      <c r="Y159" s="76" t="n">
        <v>433.06</v>
      </c>
      <c r="Z159" s="76" t="n">
        <v>41007284</v>
      </c>
      <c r="AA159" s="75" t="n">
        <v>1.74</v>
      </c>
      <c r="AB159" s="71" t="inlineStr">
        <is>
          <t>Media Global Management Limited; Prospect Bridge Value L.P; Sunshine Life Insurance Corporation Limited</t>
        </is>
      </c>
      <c r="AC159" s="71" t="inlineStr">
        <is>
          <t>media;prospect;sunshine</t>
        </is>
      </c>
      <c r="AD159" s="75" t="n">
        <v>17.06</v>
      </c>
      <c r="AE159" s="71" t="inlineStr">
        <is>
          <t>lapsed</t>
        </is>
      </c>
      <c r="AF159" s="71" t="inlineStr">
        <is>
          <t>2023-01-07</t>
        </is>
      </c>
      <c r="AG159" s="71" t="inlineStr">
        <is>
          <t>Morgan Stanley Asia Limited</t>
        </is>
      </c>
      <c r="AH159" s="71" t="inlineStr">
        <is>
          <t>Morgan Stanley</t>
        </is>
      </c>
      <c r="AI159" s="81" t="n">
        <v>-2.08</v>
      </c>
      <c r="AJ159" s="82" t="n">
        <v>-5.11</v>
      </c>
      <c r="AK159" s="82" t="n">
        <v>-3.41</v>
      </c>
      <c r="AL159" s="82" t="n">
        <v>-1.76</v>
      </c>
      <c r="AM159" s="83" t="n">
        <v>0.72</v>
      </c>
      <c r="AN159" s="75" t="n">
        <v>7.45</v>
      </c>
      <c r="AO159" s="82" t="n">
        <v>-12.12</v>
      </c>
      <c r="AP159" s="82" t="n">
        <v>-0.57</v>
      </c>
      <c r="AQ159" s="82" t="n">
        <v>7.95</v>
      </c>
      <c r="AR159" s="82" t="n">
        <v>-7.39</v>
      </c>
      <c r="AS159" s="82" t="n">
        <v>4.78</v>
      </c>
      <c r="AT159" s="82" t="n">
        <v>13.76</v>
      </c>
      <c r="AU159" s="82" t="n">
        <v>-12.16</v>
      </c>
      <c r="AV159" s="82" t="n">
        <v>-11.74</v>
      </c>
      <c r="AW159" s="82" t="n">
        <v>10.29</v>
      </c>
      <c r="AX159" s="82" t="n">
        <v>-8.859999999999999</v>
      </c>
      <c r="AY159" s="82" t="n">
        <v>11.17</v>
      </c>
      <c r="AZ159" s="82" t="n">
        <v>13.64</v>
      </c>
      <c r="BA159" s="71" t="inlineStr">
        <is>
          <t>Hang Seng Commerce &amp; Industry sub-index</t>
        </is>
      </c>
      <c r="BB159" s="82" t="n">
        <v>-36.17</v>
      </c>
      <c r="BC159" s="72" t="inlineStr">
        <is>
          <t>2026-09-23</t>
        </is>
      </c>
      <c r="BD159" s="73" t="n">
        <v>5280.2</v>
      </c>
      <c r="BE159" s="76" t="n">
        <v>1206.3</v>
      </c>
      <c r="BF159" s="71" t="inlineStr">
        <is>
          <t>Y</t>
        </is>
      </c>
      <c r="BG159" s="83" t="n">
        <v>20.6</v>
      </c>
      <c r="BH159" s="83" t="n"/>
      <c r="BI159" s="83" t="n">
        <v>12.1</v>
      </c>
      <c r="BJ159" s="83" t="n">
        <v>4.7</v>
      </c>
      <c r="BK159" s="84">
        <f>IF('BBG Verify'!S159="","not filed; run on terminal",'BBG Verify'!S159)</f>
        <v/>
      </c>
      <c r="BL159" s="85" t="inlineStr">
        <is>
          <t>N</t>
        </is>
      </c>
      <c r="BM159" s="86">
        <f>IF('BBG Verify'!K159="","not filed; run on terminal",'BBG Verify'!K159)</f>
        <v/>
      </c>
      <c r="BN159" s="71" t="inlineStr">
        <is>
          <t>N/A</t>
        </is>
      </c>
      <c r="BO159" s="71" t="inlineStr">
        <is>
          <t>N/A</t>
        </is>
      </c>
      <c r="BP159" s="71" t="inlineStr">
        <is>
          <t>N/A</t>
        </is>
      </c>
      <c r="BQ159" s="71" t="inlineStr">
        <is>
          <t>N/A</t>
        </is>
      </c>
      <c r="BR159" s="71" t="inlineStr">
        <is>
          <t>N/A</t>
        </is>
      </c>
      <c r="BS159" s="71" t="inlineStr">
        <is>
          <t>N/A</t>
        </is>
      </c>
      <c r="BT159" s="85" t="inlineStr">
        <is>
          <t>Morgan Stanley Asia Limited; China International Capital Corporation Hong Kong Securities Limited</t>
        </is>
      </c>
      <c r="BU159" s="71" t="inlineStr">
        <is>
          <t>China International Capital Corporation Hong Kong Securities Limited; Morgan Stanley Asia Limited; UBS Securities Hong Kong Limited</t>
        </is>
      </c>
      <c r="BV159" s="71" t="inlineStr">
        <is>
          <t>UBS AG Hong Kong Branch; Morgan Stanley Asia Limited; China International Capital Corporation Hong Kong Securities Limited; Futu Securities International (Hong Kong) Limited</t>
        </is>
      </c>
      <c r="BW159" s="71"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X159" s="87">
        <f>HYPERLINK("https://www1.hkexnews.hk/listedco/listconews/sehk/2022/1205/2022120500015.pdf","prospectus")</f>
        <v/>
      </c>
      <c r="BY159" s="87">
        <f>HYPERLINK("https://www1.hkexnews.hk/listedco/listconews/sehk/2022/1214/2022121400094.htm","allotment")</f>
        <v/>
      </c>
      <c r="BZ159" s="87">
        <f>HYPERLINK("https://www1.hkexnews.hk/listedco/listconews/sehk/2023/0109/2023010900033.pdf","stabilisation")</f>
        <v/>
      </c>
      <c r="CA159" s="85" t="n"/>
      <c r="CB159" s="71" t="inlineStr"/>
    </row>
    <row r="160" ht="15" customHeight="1">
      <c r="A160" s="70" t="inlineStr">
        <is>
          <t>2457</t>
        </is>
      </c>
      <c r="B160" s="71" t="inlineStr">
        <is>
          <t>BUYANG INTL</t>
        </is>
      </c>
      <c r="C160" s="71" t="inlineStr">
        <is>
          <t>步陽國際</t>
        </is>
      </c>
      <c r="D160" s="71" t="inlineStr">
        <is>
          <t>Consumer</t>
        </is>
      </c>
      <c r="E160" s="71" t="inlineStr">
        <is>
          <t>Auto parts / supply chain</t>
        </is>
      </c>
      <c r="F160" s="71" t="inlineStr">
        <is>
          <t>Tires &amp; Rubber</t>
        </is>
      </c>
      <c r="G160" s="71" t="inlineStr">
        <is>
          <t>Standard</t>
        </is>
      </c>
      <c r="H160" s="72" t="n">
        <v>44910</v>
      </c>
      <c r="I160" s="73" t="n">
        <v>125</v>
      </c>
      <c r="J160" s="71" t="inlineStr">
        <is>
          <t>gross (price x shares)</t>
        </is>
      </c>
      <c r="K160" s="74" t="n"/>
      <c r="L160" s="74" t="n">
        <v>0.5</v>
      </c>
      <c r="M160" s="74" t="n">
        <v>0.5</v>
      </c>
      <c r="N160" s="71" t="inlineStr">
        <is>
          <t>Y</t>
        </is>
      </c>
      <c r="O160" s="75" t="n">
        <v>100</v>
      </c>
      <c r="P160" s="75" t="n"/>
      <c r="Q160" s="76" t="n">
        <v>600</v>
      </c>
      <c r="R160" s="71" t="inlineStr">
        <is>
          <t>aastocks:上市市值 at the struck price</t>
        </is>
      </c>
      <c r="S160" s="77" t="n">
        <v>51.22</v>
      </c>
      <c r="T160" s="78" t="n">
        <v>1.19</v>
      </c>
      <c r="U160" s="79" t="n">
        <v>24</v>
      </c>
      <c r="V160" s="80" t="n">
        <v>136</v>
      </c>
      <c r="W160" s="75" t="n">
        <v>40</v>
      </c>
      <c r="X160" s="71" t="inlineStr">
        <is>
          <t>YES</t>
        </is>
      </c>
      <c r="Y160" s="76" t="n">
        <v>95</v>
      </c>
      <c r="Z160" s="76" t="n">
        <v>190000000</v>
      </c>
      <c r="AA160" s="75" t="n">
        <v>15.83</v>
      </c>
      <c r="AB160" s="71" t="inlineStr">
        <is>
          <t>Arda (HK) Investment Co., Limited</t>
        </is>
      </c>
      <c r="AC160" s="71" t="inlineStr">
        <is>
          <t>arda</t>
        </is>
      </c>
      <c r="AD160" s="75" t="n"/>
      <c r="AE160" s="71" t="inlineStr">
        <is>
          <t>lapsed (no over-allocation)</t>
        </is>
      </c>
      <c r="AF160" s="71" t="n"/>
      <c r="AG160" s="71" t="inlineStr">
        <is>
          <t>Zhongtai International Securities Limited</t>
        </is>
      </c>
      <c r="AH160" s="71" t="inlineStr">
        <is>
          <t>Zhongtai</t>
        </is>
      </c>
      <c r="AI160" s="81" t="n">
        <v>-20</v>
      </c>
      <c r="AJ160" s="82" t="n">
        <v>-40</v>
      </c>
      <c r="AK160" s="82" t="n">
        <v>-29</v>
      </c>
      <c r="AL160" s="82" t="n">
        <v>-15.49</v>
      </c>
      <c r="AM160" s="83" t="n">
        <v>2.2</v>
      </c>
      <c r="AN160" s="75" t="n">
        <v>36.62</v>
      </c>
      <c r="AO160" s="82" t="n">
        <v>-25</v>
      </c>
      <c r="AP160" s="82" t="n">
        <v>-15</v>
      </c>
      <c r="AQ160" s="82" t="n">
        <v>-31</v>
      </c>
      <c r="AR160" s="82" t="n">
        <v>25</v>
      </c>
      <c r="AS160" s="82" t="n">
        <v>41.67</v>
      </c>
      <c r="AT160" s="82" t="n">
        <v>15</v>
      </c>
      <c r="AU160" s="82" t="n">
        <v>-25.04</v>
      </c>
      <c r="AV160" s="82" t="n">
        <v>-26.17</v>
      </c>
      <c r="AW160" s="82" t="n">
        <v>-28.66</v>
      </c>
      <c r="AX160" s="82" t="n">
        <v>28.03</v>
      </c>
      <c r="AY160" s="82" t="n">
        <v>11.17</v>
      </c>
      <c r="AZ160" s="82" t="n">
        <v>13.64</v>
      </c>
      <c r="BA160" s="71" t="inlineStr">
        <is>
          <t>Hang Seng Commerce &amp; Industry sub-index</t>
        </is>
      </c>
      <c r="BB160" s="82" t="n">
        <v>3</v>
      </c>
      <c r="BC160" s="72" t="inlineStr">
        <is>
          <t>2026-09-23</t>
        </is>
      </c>
      <c r="BD160" s="73" t="n">
        <v>484.4</v>
      </c>
      <c r="BE160" s="76" t="n">
        <v>41.4</v>
      </c>
      <c r="BF160" s="71" t="inlineStr">
        <is>
          <t>Y</t>
        </is>
      </c>
      <c r="BG160" s="83" t="n">
        <v>14.5</v>
      </c>
      <c r="BH160" s="83" t="n"/>
      <c r="BI160" s="83" t="n">
        <v>28.6</v>
      </c>
      <c r="BJ160" s="83" t="n">
        <v>1.2</v>
      </c>
      <c r="BK160" s="84">
        <f>IF('BBG Verify'!S160="","not filed; run on terminal",'BBG Verify'!S160)</f>
        <v/>
      </c>
      <c r="BL160" s="85" t="inlineStr">
        <is>
          <t>N</t>
        </is>
      </c>
      <c r="BM160" s="86">
        <f>IF('BBG Verify'!K160="","not filed; run on terminal",'BBG Verify'!K160)</f>
        <v/>
      </c>
      <c r="BN160" s="71" t="inlineStr">
        <is>
          <t>N/A</t>
        </is>
      </c>
      <c r="BO160" s="71" t="inlineStr">
        <is>
          <t>N/A</t>
        </is>
      </c>
      <c r="BP160" s="71" t="inlineStr">
        <is>
          <t>N/A</t>
        </is>
      </c>
      <c r="BQ160" s="71" t="inlineStr">
        <is>
          <t>N/A</t>
        </is>
      </c>
      <c r="BR160" s="71" t="inlineStr">
        <is>
          <t>N/A</t>
        </is>
      </c>
      <c r="BS160" s="71" t="inlineStr">
        <is>
          <t>N/A</t>
        </is>
      </c>
      <c r="BT160" s="85" t="n"/>
      <c r="BU160" s="71" t="inlineStr">
        <is>
          <t>Zhongtai International Capital Limited</t>
        </is>
      </c>
      <c r="BV160" s="71" t="inlineStr">
        <is>
          <t>Beta International Securities Limited; CEB International Capital Corporation Limited; China Tonghai Securities Limited; China PA Securities (Hong Kong) Company Limited; First Shanghai Securities Limited; GF Securities (Hong Kong) Brokerage Limited</t>
        </is>
      </c>
      <c r="BW160" s="71"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X160" s="87">
        <f>HYPERLINK("https://www1.hkexnews.hk/listedco/listconews/sehk/2022/1129/2022112900024.htm","prospectus")</f>
        <v/>
      </c>
      <c r="BY160" s="87">
        <f>HYPERLINK("https://www1.hkexnews.hk/listedco/listconews/sehk/2022/1214/2022121400106.htm","allotment")</f>
        <v/>
      </c>
      <c r="BZ160" s="87">
        <f>HYPERLINK("https://www1.hkexnews.hk/listedco/listconews/sehk/2023/0106/2023010600817.pdf","stabilisation")</f>
        <v/>
      </c>
      <c r="CA160" s="85" t="n"/>
      <c r="CB160" s="71"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t>
        </is>
      </c>
    </row>
    <row r="161" ht="15" customHeight="1">
      <c r="A161" s="70" t="inlineStr">
        <is>
          <t>2145</t>
        </is>
      </c>
      <c r="B161" s="71" t="inlineStr">
        <is>
          <t>CHICMAX</t>
        </is>
      </c>
      <c r="C161" s="71" t="inlineStr">
        <is>
          <t>上美股份</t>
        </is>
      </c>
      <c r="D161" s="71" t="inlineStr">
        <is>
          <t>Consumer</t>
        </is>
      </c>
      <c r="E161" s="71" t="inlineStr">
        <is>
          <t>Beauty / personal care</t>
        </is>
      </c>
      <c r="F161" s="71" t="inlineStr">
        <is>
          <t>Beauty &amp; Toiletries Products and Services</t>
        </is>
      </c>
      <c r="G161" s="71" t="inlineStr">
        <is>
          <t>Standard</t>
        </is>
      </c>
      <c r="H161" s="72" t="n">
        <v>44917</v>
      </c>
      <c r="I161" s="73" t="n">
        <v>931.3</v>
      </c>
      <c r="J161" s="71" t="inlineStr">
        <is>
          <t>gross (price x shares)</t>
        </is>
      </c>
      <c r="K161" s="74" t="n">
        <v>25.2</v>
      </c>
      <c r="L161" s="74" t="n">
        <v>29.8</v>
      </c>
      <c r="M161" s="74" t="n">
        <v>25.2</v>
      </c>
      <c r="N161" s="71" t="inlineStr">
        <is>
          <t>N</t>
        </is>
      </c>
      <c r="O161" s="75" t="n">
        <v>84.59999999999999</v>
      </c>
      <c r="P161" s="75" t="n">
        <v>0</v>
      </c>
      <c r="Q161" s="76" t="n">
        <v>8785.799999999999</v>
      </c>
      <c r="R161" s="71" t="inlineStr">
        <is>
          <t>derived:deal size / offer % of enlarged capital</t>
        </is>
      </c>
      <c r="S161" s="77" t="n">
        <v>0.48</v>
      </c>
      <c r="T161" s="78" t="n">
        <v>1.42</v>
      </c>
      <c r="U161" s="79" t="n">
        <v>0</v>
      </c>
      <c r="V161" s="80" t="n">
        <v>141</v>
      </c>
      <c r="W161" s="75" t="n"/>
      <c r="X161" s="71" t="n"/>
      <c r="Y161" s="76" t="n">
        <v>931.3</v>
      </c>
      <c r="Z161" s="76" t="n">
        <v>36958000</v>
      </c>
      <c r="AA161" s="75" t="n">
        <v>10.6</v>
      </c>
      <c r="AB161" s="71" t="n"/>
      <c r="AC161" s="71" t="n"/>
      <c r="AD161" s="75" t="n">
        <v>10.6</v>
      </c>
      <c r="AE161" s="71" t="inlineStr">
        <is>
          <t>partial</t>
        </is>
      </c>
      <c r="AF161" s="71" t="inlineStr">
        <is>
          <t>2023-01-14</t>
        </is>
      </c>
      <c r="AG161" s="71" t="inlineStr">
        <is>
          <t>China International Capital Corporation Hong Kong Securities Limited</t>
        </is>
      </c>
      <c r="AH161" s="71" t="inlineStr">
        <is>
          <t>China International</t>
        </is>
      </c>
      <c r="AI161" s="81" t="n">
        <v>-1.39</v>
      </c>
      <c r="AJ161" s="82" t="n">
        <v>0</v>
      </c>
      <c r="AK161" s="82" t="n">
        <v>0</v>
      </c>
      <c r="AL161" s="82" t="n">
        <v>0</v>
      </c>
      <c r="AM161" s="83" t="n"/>
      <c r="AN161" s="75" t="n">
        <v>7.14</v>
      </c>
      <c r="AO161" s="82" t="n">
        <v>19.05</v>
      </c>
      <c r="AP161" s="82" t="n">
        <v>20.63</v>
      </c>
      <c r="AQ161" s="82" t="n">
        <v>0.79</v>
      </c>
      <c r="AR161" s="82" t="n">
        <v>19.05</v>
      </c>
      <c r="AS161" s="82" t="n">
        <v>20.63</v>
      </c>
      <c r="AT161" s="82" t="n">
        <v>0.79</v>
      </c>
      <c r="AU161" s="82" t="n">
        <v>13.54</v>
      </c>
      <c r="AV161" s="82" t="n">
        <v>3.49</v>
      </c>
      <c r="AW161" s="82" t="n">
        <v>-5.67</v>
      </c>
      <c r="AX161" s="82" t="n">
        <v>7.85</v>
      </c>
      <c r="AY161" s="82" t="n">
        <v>17.14</v>
      </c>
      <c r="AZ161" s="82" t="n">
        <v>12.78</v>
      </c>
      <c r="BA161" s="71" t="inlineStr">
        <is>
          <t>Hang Seng Commerce &amp; Industry sub-index</t>
        </is>
      </c>
      <c r="BB161" s="82" t="n">
        <v>-16.67</v>
      </c>
      <c r="BC161" s="72" t="inlineStr">
        <is>
          <t>2026-09-23</t>
        </is>
      </c>
      <c r="BD161" s="73" t="n">
        <v>3980.8</v>
      </c>
      <c r="BE161" s="76" t="n">
        <v>372.7</v>
      </c>
      <c r="BF161" s="71" t="inlineStr">
        <is>
          <t>Y</t>
        </is>
      </c>
      <c r="BG161" s="83" t="n">
        <v>23.6</v>
      </c>
      <c r="BH161" s="83" t="n"/>
      <c r="BI161" s="83" t="n">
        <v>9</v>
      </c>
      <c r="BJ161" s="83" t="n">
        <v>2.2</v>
      </c>
      <c r="BK161" s="84">
        <f>IF('BBG Verify'!S161="","not filed; run on terminal",'BBG Verify'!S161)</f>
        <v/>
      </c>
      <c r="BL161" s="85" t="inlineStr">
        <is>
          <t>N</t>
        </is>
      </c>
      <c r="BM161" s="86">
        <f>IF('BBG Verify'!K161="","not filed; run on terminal",'BBG Verify'!K161)</f>
        <v/>
      </c>
      <c r="BN161" s="71" t="inlineStr">
        <is>
          <t>N/A</t>
        </is>
      </c>
      <c r="BO161" s="71" t="inlineStr">
        <is>
          <t>N/A</t>
        </is>
      </c>
      <c r="BP161" s="71" t="inlineStr">
        <is>
          <t>N/A</t>
        </is>
      </c>
      <c r="BQ161" s="71" t="inlineStr">
        <is>
          <t>N/A</t>
        </is>
      </c>
      <c r="BR161" s="71" t="inlineStr">
        <is>
          <t>N/A</t>
        </is>
      </c>
      <c r="BS161" s="71" t="inlineStr">
        <is>
          <t>N/A</t>
        </is>
      </c>
      <c r="BT161" s="85" t="inlineStr">
        <is>
          <t>J.P. Morgan Securities (Far East) Limited; China International Capital Corporation Hong Kong Securities Limited; CLSA Capital Markets Limited</t>
        </is>
      </c>
      <c r="BU161" s="71" t="inlineStr">
        <is>
          <t>China International Capital Corporation Hong Kong Securities Limited; J.P. Morgan Securities (Far East) Limited; CLSA Capital Markets Limited</t>
        </is>
      </c>
      <c r="BV161" s="71"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W161" s="71"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X161" s="87">
        <f>HYPERLINK("https://www1.hkexnews.hk/listedco/listconews/sehk/2022/1212/2022121200011.pdf","prospectus")</f>
        <v/>
      </c>
      <c r="BY161" s="87">
        <f>HYPERLINK("https://www1.hkexnews.hk/listedco/listconews/sehk/2022/1221/2022122100048.htm","allotment")</f>
        <v/>
      </c>
      <c r="BZ161" s="87">
        <f>HYPERLINK("https://www1.hkexnews.hk/listedco/listconews/sehk/2023/0116/2023011600073.pdf","stabilisation")</f>
        <v/>
      </c>
      <c r="CA161" s="85" t="n"/>
      <c r="CB161" s="71" t="inlineStr">
        <is>
          <t>cornerstone list: no cornerstone tranche; allocation: allocation table not in this notice's format (older prose announcement); day-1 tape: volume on file; the retail multiple needs the final public split, which this notice does not state</t>
        </is>
      </c>
    </row>
    <row r="162" ht="15" customHeight="1">
      <c r="A162" s="70" t="inlineStr">
        <is>
          <t>0314</t>
        </is>
      </c>
      <c r="B162" s="71" t="inlineStr">
        <is>
          <t>SIPAI HEALTH</t>
        </is>
      </c>
      <c r="C162" s="71" t="inlineStr">
        <is>
          <t>思派健康</t>
        </is>
      </c>
      <c r="D162" s="71" t="inlineStr">
        <is>
          <t>Healthcare</t>
        </is>
      </c>
      <c r="E162" s="71" t="inlineStr">
        <is>
          <t>Digital health</t>
        </is>
      </c>
      <c r="F162" s="71" t="inlineStr">
        <is>
          <t>Health Care Supplies</t>
        </is>
      </c>
      <c r="G162" s="71" t="inlineStr">
        <is>
          <t>Standard</t>
        </is>
      </c>
      <c r="H162" s="72" t="n">
        <v>44918</v>
      </c>
      <c r="I162" s="73" t="n">
        <v>184.5</v>
      </c>
      <c r="J162" s="71" t="inlineStr">
        <is>
          <t>gross (price x shares)</t>
        </is>
      </c>
      <c r="K162" s="74" t="n"/>
      <c r="L162" s="74" t="n">
        <v>18.6</v>
      </c>
      <c r="M162" s="74" t="n">
        <v>18.6</v>
      </c>
      <c r="N162" s="71" t="inlineStr">
        <is>
          <t>Y</t>
        </is>
      </c>
      <c r="O162" s="75" t="n">
        <v>100</v>
      </c>
      <c r="P162" s="75" t="n"/>
      <c r="Q162" s="90">
        <f>IF('BBG Verify'!M162="","not filed; run on terminal",'BBG Verify'!M162)</f>
        <v/>
      </c>
      <c r="R162" s="71" t="n"/>
      <c r="S162" s="77" t="n">
        <v>8.27</v>
      </c>
      <c r="T162" s="78" t="n">
        <v>1.41</v>
      </c>
      <c r="U162" s="79" t="n"/>
      <c r="V162" s="80" t="n">
        <v>124</v>
      </c>
      <c r="W162" s="75" t="n"/>
      <c r="X162" s="71" t="n"/>
      <c r="Y162" s="76" t="n">
        <v>184.5</v>
      </c>
      <c r="Z162" s="76" t="n">
        <v>9919400</v>
      </c>
      <c r="AA162" s="75" t="n"/>
      <c r="AB162" s="71" t="n"/>
      <c r="AC162" s="71" t="n"/>
      <c r="AD162" s="75" t="n"/>
      <c r="AE162" s="71" t="inlineStr">
        <is>
          <t>lapsed</t>
        </is>
      </c>
      <c r="AF162" s="71" t="inlineStr">
        <is>
          <t>2023-01-14</t>
        </is>
      </c>
      <c r="AG162" s="71" t="inlineStr">
        <is>
          <t>Morgan Stanley Asia Limited</t>
        </is>
      </c>
      <c r="AH162" s="71" t="inlineStr">
        <is>
          <t>Morgan Stanley</t>
        </is>
      </c>
      <c r="AI162" s="81" t="n"/>
      <c r="AJ162" s="82" t="n">
        <v>34.41</v>
      </c>
      <c r="AK162" s="82" t="n">
        <v>27.42</v>
      </c>
      <c r="AL162" s="82" t="n">
        <v>5.49</v>
      </c>
      <c r="AM162" s="83" t="n"/>
      <c r="AN162" s="75" t="n">
        <v>19.41</v>
      </c>
      <c r="AO162" s="82" t="n">
        <v>0</v>
      </c>
      <c r="AP162" s="82" t="n">
        <v>7.42</v>
      </c>
      <c r="AQ162" s="82" t="n">
        <v>97.84999999999999</v>
      </c>
      <c r="AR162" s="82" t="n">
        <v>-25.6</v>
      </c>
      <c r="AS162" s="82" t="n">
        <v>-20.08</v>
      </c>
      <c r="AT162" s="82" t="n">
        <v>47.2</v>
      </c>
      <c r="AU162" s="82" t="n">
        <v>-8.31</v>
      </c>
      <c r="AV162" s="82" t="n">
        <v>-5.25</v>
      </c>
      <c r="AW162" s="82" t="n">
        <v>97.47</v>
      </c>
      <c r="AX162" s="82" t="n">
        <v>-32.06</v>
      </c>
      <c r="AY162" s="82" t="n">
        <v>12.67</v>
      </c>
      <c r="AZ162" s="82" t="n">
        <v>11.98</v>
      </c>
      <c r="BA162" s="71" t="inlineStr">
        <is>
          <t>China Biotech ETF (HS biotech proxy)</t>
        </is>
      </c>
      <c r="BB162" s="82" t="n">
        <v>-91.72</v>
      </c>
      <c r="BC162" s="72" t="inlineStr">
        <is>
          <t>2026-09-23</t>
        </is>
      </c>
      <c r="BD162" s="73" t="n">
        <v>3821.3</v>
      </c>
      <c r="BE162" s="76" t="n">
        <v>-4114.5</v>
      </c>
      <c r="BF162" s="71" t="inlineStr">
        <is>
          <t>N</t>
        </is>
      </c>
      <c r="BG162" s="71" t="inlineStr">
        <is>
          <t>n/m</t>
        </is>
      </c>
      <c r="BH162" s="83" t="n"/>
      <c r="BI162" s="83" t="n"/>
      <c r="BJ162" s="83" t="n"/>
      <c r="BK162" s="84">
        <f>IF('BBG Verify'!S162="","not filed; run on terminal",'BBG Verify'!S162)</f>
        <v/>
      </c>
      <c r="BL162" s="85" t="inlineStr">
        <is>
          <t>N</t>
        </is>
      </c>
      <c r="BM162" s="86">
        <f>IF('BBG Verify'!K162="","not filed; run on terminal",'BBG Verify'!K162)</f>
        <v/>
      </c>
      <c r="BN162" s="71" t="inlineStr">
        <is>
          <t>N/A</t>
        </is>
      </c>
      <c r="BO162" s="71" t="inlineStr">
        <is>
          <t>N/A</t>
        </is>
      </c>
      <c r="BP162" s="71" t="inlineStr">
        <is>
          <t>N/A</t>
        </is>
      </c>
      <c r="BQ162" s="71" t="inlineStr">
        <is>
          <t>N/A</t>
        </is>
      </c>
      <c r="BR162" s="71" t="inlineStr">
        <is>
          <t>N/A</t>
        </is>
      </c>
      <c r="BS162" s="71" t="inlineStr">
        <is>
          <t>N/A</t>
        </is>
      </c>
      <c r="BT162" s="85" t="n"/>
      <c r="BU162" s="71" t="inlineStr">
        <is>
          <t>Morgan Stanley Asia Limited; Haitong International Capital Limited</t>
        </is>
      </c>
      <c r="BV162" s="71" t="inlineStr">
        <is>
          <t>Futu Securities International (Hong Kong) Limited; Haitong International Securities Company Limited; I Win Securities Limited; Maxa Capital Limited; Morgan Stanley Asia Limited</t>
        </is>
      </c>
      <c r="BW162" s="71" t="inlineStr">
        <is>
          <t>Futu Securities International (Hong Kong) Limited; Haitong International Securities Company Limited; I Win Securities Limited; Maxa Capital Limited; Morgan Stanley Asia Limited</t>
        </is>
      </c>
      <c r="BX162" s="87">
        <f>HYPERLINK("https://www1.hkexnews.hk/listedco/listconews/sehk/2022/1212/2022121200024.htm","prospectus")</f>
        <v/>
      </c>
      <c r="BY162" s="87">
        <f>HYPERLINK("https://www1.hkexnews.hk/listedco/listconews/sehk/2022/1222/2022122200018.htm","allotment")</f>
        <v/>
      </c>
      <c r="BZ162" s="87">
        <f>HYPERLINK("https://www1.hkexnews.hk/listedco/listconews/sehk/2023/0115/2023011500007.pdf","stabilisation")</f>
        <v/>
      </c>
      <c r="CA162" s="85" t="n"/>
      <c r="CB162" s="71"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etnet's story of the session gave only the Phillip mid-session quote (20.8, +11.8% vs offer) on 2022-12-22; no close was published; eff free float: % of cap not computable: market cap not derivable; allocation: allocation table not in this notice's format (older prose announcement); day-1 tape: volume on file; the retail multiple needs the final public split, which this notice does not state</t>
        </is>
      </c>
    </row>
    <row r="163" ht="15" customHeight="1">
      <c r="A163" s="70" t="inlineStr">
        <is>
          <t>6929</t>
        </is>
      </c>
      <c r="B163" s="71" t="inlineStr">
        <is>
          <t>ORBUSNEICH</t>
        </is>
      </c>
      <c r="C163" s="71" t="inlineStr">
        <is>
          <t>業聚醫療</t>
        </is>
      </c>
      <c r="D163" s="71" t="inlineStr">
        <is>
          <t>Healthcare</t>
        </is>
      </c>
      <c r="E163" s="71" t="inlineStr">
        <is>
          <t>Medical devices</t>
        </is>
      </c>
      <c r="F163" s="71" t="inlineStr">
        <is>
          <t>Health Care Equipment</t>
        </is>
      </c>
      <c r="G163" s="71" t="inlineStr">
        <is>
          <t>Standard</t>
        </is>
      </c>
      <c r="H163" s="72" t="n">
        <v>44918</v>
      </c>
      <c r="I163" s="73" t="n">
        <v>480.8</v>
      </c>
      <c r="J163" s="71" t="inlineStr">
        <is>
          <t>gross (price x shares)</t>
        </is>
      </c>
      <c r="K163" s="74" t="n"/>
      <c r="L163" s="74" t="n">
        <v>8.800000000000001</v>
      </c>
      <c r="M163" s="74" t="n">
        <v>8.800000000000001</v>
      </c>
      <c r="N163" s="71" t="inlineStr">
        <is>
          <t>Y</t>
        </is>
      </c>
      <c r="O163" s="75" t="n">
        <v>100</v>
      </c>
      <c r="P163" s="75" t="n"/>
      <c r="Q163" s="76" t="n">
        <v>7284</v>
      </c>
      <c r="R163" s="71" t="inlineStr">
        <is>
          <t>prospectus:stated market capitalisation</t>
        </is>
      </c>
      <c r="S163" s="77" t="n">
        <v>2.01</v>
      </c>
      <c r="T163" s="78" t="n">
        <v>1.09</v>
      </c>
      <c r="U163" s="79" t="n">
        <v>72.59999999999999</v>
      </c>
      <c r="V163" s="80" t="n">
        <v>115</v>
      </c>
      <c r="W163" s="75" t="n"/>
      <c r="X163" s="71" t="n"/>
      <c r="Y163" s="76" t="n">
        <v>131.74</v>
      </c>
      <c r="Z163" s="76" t="n">
        <v>14969442</v>
      </c>
      <c r="AA163" s="75" t="n">
        <v>1.81</v>
      </c>
      <c r="AB163" s="71" t="inlineStr">
        <is>
          <t>Hangzhou Fuyang Industrial Fund Investment Management Co., Ltd</t>
        </is>
      </c>
      <c r="AC163" s="71" t="inlineStr">
        <is>
          <t>hangzhou-fuyang</t>
        </is>
      </c>
      <c r="AD163" s="75" t="n"/>
      <c r="AE163" s="71" t="n"/>
      <c r="AF163" s="71" t="n"/>
      <c r="AG163" s="71" t="n"/>
      <c r="AH163" s="71" t="n"/>
      <c r="AI163" s="81" t="n"/>
      <c r="AJ163" s="82" t="n">
        <v>3.98</v>
      </c>
      <c r="AK163" s="82" t="n">
        <v>0</v>
      </c>
      <c r="AL163" s="82" t="n">
        <v>3.98</v>
      </c>
      <c r="AM163" s="83" t="n"/>
      <c r="AN163" s="75" t="n">
        <v>12.5</v>
      </c>
      <c r="AO163" s="82" t="n">
        <v>-5.11</v>
      </c>
      <c r="AP163" s="82" t="n">
        <v>-6.25</v>
      </c>
      <c r="AQ163" s="82" t="n">
        <v>45.68</v>
      </c>
      <c r="AR163" s="82" t="n">
        <v>-8.74</v>
      </c>
      <c r="AS163" s="82" t="n">
        <v>-9.84</v>
      </c>
      <c r="AT163" s="82" t="n">
        <v>40.1</v>
      </c>
      <c r="AU163" s="82" t="n">
        <v>-13.42</v>
      </c>
      <c r="AV163" s="82" t="n">
        <v>-18.92</v>
      </c>
      <c r="AW163" s="82" t="n">
        <v>45.3</v>
      </c>
      <c r="AX163" s="82" t="n">
        <v>-21.82</v>
      </c>
      <c r="AY163" s="82" t="n">
        <v>12.67</v>
      </c>
      <c r="AZ163" s="82" t="n">
        <v>11.98</v>
      </c>
      <c r="BA163" s="71" t="inlineStr">
        <is>
          <t>China Biotech ETF (HS biotech proxy)</t>
        </is>
      </c>
      <c r="BB163" s="82" t="n">
        <v>-57.27</v>
      </c>
      <c r="BC163" s="72" t="inlineStr">
        <is>
          <t>2026-09-22</t>
        </is>
      </c>
      <c r="BD163" s="73" t="n">
        <v>908.4</v>
      </c>
      <c r="BE163" s="76" t="n">
        <v>-10.3</v>
      </c>
      <c r="BF163" s="71" t="inlineStr">
        <is>
          <t>N</t>
        </is>
      </c>
      <c r="BG163" s="71" t="inlineStr">
        <is>
          <t>n/m</t>
        </is>
      </c>
      <c r="BH163" s="83" t="n"/>
      <c r="BI163" s="83" t="n">
        <v>9.699999999999999</v>
      </c>
      <c r="BJ163" s="83" t="n">
        <v>8</v>
      </c>
      <c r="BK163" s="84">
        <f>IF('BBG Verify'!S163="","not filed; run on terminal",'BBG Verify'!S163)</f>
        <v/>
      </c>
      <c r="BL163" s="85" t="inlineStr">
        <is>
          <t>N</t>
        </is>
      </c>
      <c r="BM163" s="86">
        <f>IF('BBG Verify'!K163="","not filed; run on terminal",'BBG Verify'!K163)</f>
        <v/>
      </c>
      <c r="BN163" s="71" t="inlineStr">
        <is>
          <t>N/A</t>
        </is>
      </c>
      <c r="BO163" s="71" t="inlineStr">
        <is>
          <t>N/A</t>
        </is>
      </c>
      <c r="BP163" s="71" t="inlineStr">
        <is>
          <t>N/A</t>
        </is>
      </c>
      <c r="BQ163" s="71" t="inlineStr">
        <is>
          <t>N/A</t>
        </is>
      </c>
      <c r="BR163" s="71" t="inlineStr">
        <is>
          <t>N/A</t>
        </is>
      </c>
      <c r="BS163" s="71" t="inlineStr">
        <is>
          <t>N/A</t>
        </is>
      </c>
      <c r="BT163" s="85" t="inlineStr">
        <is>
          <t>China International Capital Corporation Hong Kong Securities Limited; CCB International Capital Limited</t>
        </is>
      </c>
      <c r="BU163" s="71" t="inlineStr">
        <is>
          <t>CCB International Capital Limited; China International Capital Corporation (HK) Ltd</t>
        </is>
      </c>
      <c r="BV163" s="71"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W163" s="71"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X163" s="87">
        <f>HYPERLINK("https://www1.hkexnews.hk/listedco/listconews/sehk/2022/1213/2022121300009.pdf","prospectus")</f>
        <v/>
      </c>
      <c r="BY163" s="87">
        <f>HYPERLINK("https://www1.hkexnews.hk/listedco/listconews/sehk/2022/1222/2022122200034.htm","allotment")</f>
        <v/>
      </c>
      <c r="BZ163" s="71" t="n"/>
      <c r="CA163" s="85" t="n"/>
      <c r="CB163" s="71" t="inlineStr">
        <is>
          <t>P/E: loss-making at IPO, use P/S; greenshoe: no over-allotment option; range low: maximum offer price only, no floor published; greenshoe size: no over-allotment option; stabilising manager: no over-allotment option, so none appointed; grey market: etnet's story of the session gave only the Phillip mid-session quote (8.4, -4.5% vs offer) on 2022-12-22; no close was published; allocation: allocation table not in this notice's format (older prose announcement); day-1 tape: volume on file; the retail multiple needs the final public split, which this notice does not state</t>
        </is>
      </c>
    </row>
    <row r="164" ht="15" customHeight="1">
      <c r="A164" s="70" t="inlineStr">
        <is>
          <t>2427</t>
        </is>
      </c>
      <c r="B164" s="71" t="inlineStr">
        <is>
          <t>GUANZE MEDICAL</t>
        </is>
      </c>
      <c r="C164" s="71" t="inlineStr">
        <is>
          <t>GUANZE MEDICAL</t>
        </is>
      </c>
      <c r="D164" s="71" t="inlineStr">
        <is>
          <t>Healthcare</t>
        </is>
      </c>
      <c r="E164" s="71" t="inlineStr">
        <is>
          <t>Medical devices</t>
        </is>
      </c>
      <c r="F164" s="71" t="inlineStr">
        <is>
          <t>Health Care Services</t>
        </is>
      </c>
      <c r="G164" s="71" t="inlineStr">
        <is>
          <t>Standard</t>
        </is>
      </c>
      <c r="H164" s="72" t="n">
        <v>44924</v>
      </c>
      <c r="I164" s="73" t="n">
        <v>102.2</v>
      </c>
      <c r="J164" s="71" t="inlineStr">
        <is>
          <t>gross (price x shares)</t>
        </is>
      </c>
      <c r="K164" s="74" t="n">
        <v>0.53</v>
      </c>
      <c r="L164" s="74" t="n">
        <v>0.63</v>
      </c>
      <c r="M164" s="74" t="n">
        <v>0.53</v>
      </c>
      <c r="N164" s="71" t="inlineStr">
        <is>
          <t>N</t>
        </is>
      </c>
      <c r="O164" s="75" t="n">
        <v>84.09999999999999</v>
      </c>
      <c r="P164" s="75" t="n">
        <v>0</v>
      </c>
      <c r="Q164" s="76" t="n">
        <v>551</v>
      </c>
      <c r="R164" s="71" t="inlineStr">
        <is>
          <t>aastocks:上市市值 at the struck price</t>
        </is>
      </c>
      <c r="S164" s="77" t="n">
        <v>14.23</v>
      </c>
      <c r="T164" s="78" t="n">
        <v>1.2</v>
      </c>
      <c r="U164" s="79" t="n">
        <v>24</v>
      </c>
      <c r="V164" s="80" t="n">
        <v>147</v>
      </c>
      <c r="W164" s="75" t="n"/>
      <c r="X164" s="71" t="n"/>
      <c r="Y164" s="76" t="n">
        <v>77.67</v>
      </c>
      <c r="Z164" s="76" t="n">
        <v>146566000</v>
      </c>
      <c r="AA164" s="75" t="n">
        <v>14.1</v>
      </c>
      <c r="AB164" s="71" t="inlineStr">
        <is>
          <t>Carsonlin Investment Ltd; Mu Min; Yang Xinyun</t>
        </is>
      </c>
      <c r="AC164" s="71" t="inlineStr">
        <is>
          <t>carsonlin;mu;yang-xinyun</t>
        </is>
      </c>
      <c r="AD164" s="75" t="n">
        <v>10</v>
      </c>
      <c r="AE164" s="71" t="inlineStr">
        <is>
          <t>lapsed (no over-allocation)</t>
        </is>
      </c>
      <c r="AF164" s="71" t="n"/>
      <c r="AG164" s="71" t="n"/>
      <c r="AH164" s="71" t="n"/>
      <c r="AI164" s="81" t="n">
        <v>160.38</v>
      </c>
      <c r="AJ164" s="82" t="n">
        <v>230.19</v>
      </c>
      <c r="AK164" s="82" t="n">
        <v>126.42</v>
      </c>
      <c r="AL164" s="82" t="n">
        <v>45.83</v>
      </c>
      <c r="AM164" s="83" t="n"/>
      <c r="AN164" s="75" t="n">
        <v>62.5</v>
      </c>
      <c r="AO164" s="82" t="n">
        <v>281.13</v>
      </c>
      <c r="AP164" s="82" t="n">
        <v>196.23</v>
      </c>
      <c r="AQ164" s="82" t="n">
        <v>696.23</v>
      </c>
      <c r="AR164" s="82" t="n">
        <v>15.43</v>
      </c>
      <c r="AS164" s="82" t="n">
        <v>-10.28</v>
      </c>
      <c r="AT164" s="82" t="n">
        <v>141.14</v>
      </c>
      <c r="AU164" s="82" t="n">
        <v>273.69</v>
      </c>
      <c r="AV164" s="82" t="n">
        <v>182.72</v>
      </c>
      <c r="AW164" s="82" t="n">
        <v>699.04</v>
      </c>
      <c r="AX164" s="82" t="n">
        <v>-20.57</v>
      </c>
      <c r="AY164" s="82" t="n">
        <v>13.51</v>
      </c>
      <c r="AZ164" s="82" t="n">
        <v>10.29</v>
      </c>
      <c r="BA164" s="71" t="inlineStr">
        <is>
          <t>China Biotech ETF (HS biotech proxy)</t>
        </is>
      </c>
      <c r="BB164" s="82" t="n">
        <v>390.57</v>
      </c>
      <c r="BC164" s="72" t="inlineStr">
        <is>
          <t>2026-09-23</t>
        </is>
      </c>
      <c r="BD164" s="73" t="n">
        <v>232.1</v>
      </c>
      <c r="BE164" s="76" t="n">
        <v>25.4</v>
      </c>
      <c r="BF164" s="71" t="inlineStr">
        <is>
          <t>Y</t>
        </is>
      </c>
      <c r="BG164" s="83" t="n">
        <v>21.7</v>
      </c>
      <c r="BH164" s="83" t="n"/>
      <c r="BI164" s="83" t="n"/>
      <c r="BJ164" s="83" t="n">
        <v>2.4</v>
      </c>
      <c r="BK164" s="84">
        <f>IF('BBG Verify'!S164="","not filed; run on terminal",'BBG Verify'!S164)</f>
        <v/>
      </c>
      <c r="BL164" s="85" t="inlineStr">
        <is>
          <t>N</t>
        </is>
      </c>
      <c r="BM164" s="86">
        <f>IF('BBG Verify'!K164="","not filed; run on terminal",'BBG Verify'!K164)</f>
        <v/>
      </c>
      <c r="BN164" s="71" t="inlineStr">
        <is>
          <t>N/A</t>
        </is>
      </c>
      <c r="BO164" s="71" t="inlineStr">
        <is>
          <t>N/A</t>
        </is>
      </c>
      <c r="BP164" s="71" t="inlineStr">
        <is>
          <t>N/A</t>
        </is>
      </c>
      <c r="BQ164" s="71" t="inlineStr">
        <is>
          <t>N/A</t>
        </is>
      </c>
      <c r="BR164" s="71" t="inlineStr">
        <is>
          <t>N/A</t>
        </is>
      </c>
      <c r="BS164" s="71" t="inlineStr">
        <is>
          <t>N/A</t>
        </is>
      </c>
      <c r="BT164" s="85" t="inlineStr">
        <is>
          <t>Southwest Securities (HK) Capital Limited</t>
        </is>
      </c>
      <c r="BU164" s="71" t="inlineStr">
        <is>
          <t>Southwest Securities (HK) Capital Limited</t>
        </is>
      </c>
      <c r="BV164" s="71"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W164" s="71"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X164" s="87">
        <f>HYPERLINK("https://www1.hkexnews.hk/listedco/listconews/sehk/2022/1215/2022121500017.pdf","prospectus")</f>
        <v/>
      </c>
      <c r="BY164" s="87">
        <f>HYPERLINK("https://www1.hkexnews.hk/listedco/listconews/sehk/2022/1228/2022122800004.htm","allotment")</f>
        <v/>
      </c>
      <c r="BZ164" s="87">
        <f>HYPERLINK("https://www1.hkexnews.hk/listedco/listconews/sehk/2023/0119/2023011900669.pdf","stabilisation")</f>
        <v/>
      </c>
      <c r="CA164" s="85" t="n"/>
      <c r="CB164" s="71" t="inlineStr">
        <is>
          <t>greenshoe: outcome published; expiry date not in the notice; market cap: published listing cap used; the estimate from deal size / offer % of enlarged capital disagreed;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165" ht="15" customHeight="1">
      <c r="A165" s="70" t="inlineStr">
        <is>
          <t>6698</t>
        </is>
      </c>
      <c r="B165" s="71" t="inlineStr">
        <is>
          <t>STAR CM</t>
        </is>
      </c>
      <c r="C165" s="71" t="inlineStr">
        <is>
          <t>星空華文</t>
        </is>
      </c>
      <c r="D165" s="71" t="inlineStr">
        <is>
          <t>TMT-other</t>
        </is>
      </c>
      <c r="E165" s="71" t="inlineStr">
        <is>
          <t>Media / advertising</t>
        </is>
      </c>
      <c r="F165" s="71" t="inlineStr">
        <is>
          <t>Movies &amp; Entertainment</t>
        </is>
      </c>
      <c r="G165" s="71" t="inlineStr">
        <is>
          <t>Standard</t>
        </is>
      </c>
      <c r="H165" s="72" t="n">
        <v>44924</v>
      </c>
      <c r="I165" s="73" t="n">
        <v>390.4</v>
      </c>
      <c r="J165" s="71" t="inlineStr">
        <is>
          <t>gross (price x shares)</t>
        </is>
      </c>
      <c r="K165" s="74" t="n">
        <v>25.5</v>
      </c>
      <c r="L165" s="74" t="n">
        <v>32.5</v>
      </c>
      <c r="M165" s="74" t="n">
        <v>26.5</v>
      </c>
      <c r="N165" s="71" t="inlineStr">
        <is>
          <t>N</t>
        </is>
      </c>
      <c r="O165" s="75" t="n">
        <v>81.5</v>
      </c>
      <c r="P165" s="75" t="n">
        <v>14.3</v>
      </c>
      <c r="Q165" s="76" t="n">
        <v>10551.4</v>
      </c>
      <c r="R165" s="71" t="inlineStr">
        <is>
          <t>derived:deal size / offer % of enlarged capital</t>
        </is>
      </c>
      <c r="S165" s="77" t="n">
        <v>5.12</v>
      </c>
      <c r="T165" s="78" t="n">
        <v>1.47</v>
      </c>
      <c r="U165" s="79" t="n">
        <v>10</v>
      </c>
      <c r="V165" s="80" t="n">
        <v>122</v>
      </c>
      <c r="W165" s="75" t="n"/>
      <c r="X165" s="71" t="n"/>
      <c r="Y165" s="76" t="n">
        <v>351.36</v>
      </c>
      <c r="Z165" s="76" t="n">
        <v>13258440</v>
      </c>
      <c r="AA165" s="75" t="n">
        <v>3.33</v>
      </c>
      <c r="AB165" s="71" t="inlineStr">
        <is>
          <t>TradArt Investment SP</t>
        </is>
      </c>
      <c r="AC165" s="71" t="inlineStr">
        <is>
          <t>tradart</t>
        </is>
      </c>
      <c r="AD165" s="75" t="n">
        <v>15</v>
      </c>
      <c r="AE165" s="71" t="inlineStr">
        <is>
          <t>partial</t>
        </is>
      </c>
      <c r="AF165" s="71" t="inlineStr">
        <is>
          <t>2023-01-19</t>
        </is>
      </c>
      <c r="AG165" s="71" t="inlineStr">
        <is>
          <t>China Securities</t>
        </is>
      </c>
      <c r="AH165" s="71" t="inlineStr">
        <is>
          <t>China Securities</t>
        </is>
      </c>
      <c r="AI165" s="81" t="n">
        <v>37.36</v>
      </c>
      <c r="AJ165" s="82" t="n">
        <v>70.56999999999999</v>
      </c>
      <c r="AK165" s="82" t="n">
        <v>22.83</v>
      </c>
      <c r="AL165" s="82" t="n">
        <v>38.87</v>
      </c>
      <c r="AM165" s="83" t="n"/>
      <c r="AN165" s="75" t="n">
        <v>52.07</v>
      </c>
      <c r="AO165" s="82" t="n">
        <v>76.59999999999999</v>
      </c>
      <c r="AP165" s="82" t="n">
        <v>198.3</v>
      </c>
      <c r="AQ165" s="82" t="n">
        <v>277.36</v>
      </c>
      <c r="AR165" s="82" t="n">
        <v>3.54</v>
      </c>
      <c r="AS165" s="82" t="n">
        <v>74.88</v>
      </c>
      <c r="AT165" s="82" t="n">
        <v>121.23</v>
      </c>
      <c r="AU165" s="82" t="n">
        <v>71.11</v>
      </c>
      <c r="AV165" s="82" t="n">
        <v>187.95</v>
      </c>
      <c r="AW165" s="82" t="n">
        <v>274.8</v>
      </c>
      <c r="AX165" s="82" t="n">
        <v>63.65</v>
      </c>
      <c r="AY165" s="82" t="n">
        <v>10.35</v>
      </c>
      <c r="AZ165" s="82" t="n">
        <v>11.23</v>
      </c>
      <c r="BA165" s="71" t="inlineStr">
        <is>
          <t>Hang Seng Index</t>
        </is>
      </c>
      <c r="BB165" s="82" t="n">
        <v>-96.95999999999999</v>
      </c>
      <c r="BC165" s="72" t="inlineStr">
        <is>
          <t>2026-09-23</t>
        </is>
      </c>
      <c r="BD165" s="73" t="n">
        <v>960.8</v>
      </c>
      <c r="BE165" s="76" t="n">
        <v>95.59999999999999</v>
      </c>
      <c r="BF165" s="71" t="inlineStr">
        <is>
          <t>Y</t>
        </is>
      </c>
      <c r="BG165" s="83" t="n">
        <v>110.4</v>
      </c>
      <c r="BH165" s="83" t="n"/>
      <c r="BI165" s="83" t="n"/>
      <c r="BJ165" s="83" t="n">
        <v>11</v>
      </c>
      <c r="BK165" s="84">
        <f>IF('BBG Verify'!S165="","not filed; run on terminal",'BBG Verify'!S165)</f>
        <v/>
      </c>
      <c r="BL165" s="85" t="inlineStr">
        <is>
          <t>N</t>
        </is>
      </c>
      <c r="BM165" s="86">
        <f>IF('BBG Verify'!K165="","not filed; run on terminal",'BBG Verify'!K165)</f>
        <v/>
      </c>
      <c r="BN165" s="71" t="inlineStr">
        <is>
          <t>N/A</t>
        </is>
      </c>
      <c r="BO165" s="71" t="inlineStr">
        <is>
          <t>N/A</t>
        </is>
      </c>
      <c r="BP165" s="71" t="inlineStr">
        <is>
          <t>N/A</t>
        </is>
      </c>
      <c r="BQ165" s="71" t="inlineStr">
        <is>
          <t>N/A</t>
        </is>
      </c>
      <c r="BR165" s="71" t="inlineStr">
        <is>
          <t>N/A</t>
        </is>
      </c>
      <c r="BS165" s="71" t="inlineStr">
        <is>
          <t>N/A</t>
        </is>
      </c>
      <c r="BT165" s="85" t="inlineStr">
        <is>
          <t>China International Capital Corporation Hong Kong Securities Limited; China Securities (International) Corporate Finance Company Limited</t>
        </is>
      </c>
      <c r="BU165" s="71" t="inlineStr">
        <is>
          <t>China International Capital Corporation Hong Kong Securities Limited; China Securities (International) Corporate Finance Company Limited</t>
        </is>
      </c>
      <c r="BV165" s="71"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W165" s="71"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X165" s="87">
        <f>HYPERLINK("https://www1.hkexnews.hk/listedco/listconews/sehk/2022/1215/2022121500027.pdf","prospectus")</f>
        <v/>
      </c>
      <c r="BY165" s="87">
        <f>HYPERLINK("https://www1.hkexnews.hk/listedco/listconews/sehk/2022/1228/2022122800022.htm","allotment")</f>
        <v/>
      </c>
      <c r="BZ165" s="87">
        <f>HYPERLINK("https://www1.hkexnews.hk/listedco/listconews/sehk/2023/0119/2023011901155.pdf","stabilisation")</f>
        <v/>
      </c>
      <c r="CA165" s="85" t="n"/>
      <c r="CB165" s="71" t="inlineStr">
        <is>
          <t>cornerstone: table parse 97% rejected (institutional total implies 10%); the filed aggregate-amount sentence used; allocation: allocation table not in this notice's format (older prose announcement); day-1 tape: volume on file; the retail multiple needs the final public split, which this notice does not state</t>
        </is>
      </c>
    </row>
    <row r="166" ht="15" customHeight="1">
      <c r="A166" s="70" t="inlineStr">
        <is>
          <t>2425</t>
        </is>
      </c>
      <c r="B166" s="71" t="inlineStr">
        <is>
          <t>AUSTASIA GROUP</t>
        </is>
      </c>
      <c r="C166" s="71" t="inlineStr">
        <is>
          <t>澳亞集團</t>
        </is>
      </c>
      <c r="D166" s="71" t="inlineStr">
        <is>
          <t>Consumer</t>
        </is>
      </c>
      <c r="E166" s="71" t="inlineStr">
        <is>
          <t>Beverages / packaged food</t>
        </is>
      </c>
      <c r="F166" s="71" t="inlineStr">
        <is>
          <t>Dairy Products</t>
        </is>
      </c>
      <c r="G166" s="71" t="inlineStr">
        <is>
          <t>Standard</t>
        </is>
      </c>
      <c r="H166" s="72" t="n">
        <v>44925</v>
      </c>
      <c r="I166" s="73" t="n">
        <v>196.1</v>
      </c>
      <c r="J166" s="71" t="inlineStr">
        <is>
          <t>gross (price x shares)</t>
        </is>
      </c>
      <c r="K166" s="74" t="n"/>
      <c r="L166" s="74" t="n">
        <v>7</v>
      </c>
      <c r="M166" s="74" t="n">
        <v>6.4</v>
      </c>
      <c r="N166" s="71" t="inlineStr">
        <is>
          <t>N</t>
        </is>
      </c>
      <c r="O166" s="75" t="n">
        <v>91.40000000000001</v>
      </c>
      <c r="P166" s="75" t="n"/>
      <c r="Q166" s="76" t="n">
        <v>4830.6</v>
      </c>
      <c r="R166" s="71" t="inlineStr">
        <is>
          <t>aastocks:上市市值 at the struck price</t>
        </is>
      </c>
      <c r="S166" s="77" t="n">
        <v>2.08</v>
      </c>
      <c r="T166" s="78" t="n">
        <v>1.16</v>
      </c>
      <c r="U166" s="79" t="n">
        <v>44.1</v>
      </c>
      <c r="V166" s="80" t="n">
        <v>107</v>
      </c>
      <c r="W166" s="75" t="n"/>
      <c r="X166" s="71" t="n"/>
      <c r="Y166" s="76" t="n">
        <v>109.62</v>
      </c>
      <c r="Z166" s="76" t="n">
        <v>17127760</v>
      </c>
      <c r="AA166" s="75" t="n">
        <v>2.27</v>
      </c>
      <c r="AB166" s="71" t="inlineStr">
        <is>
          <t>Proterra Asia Food Fund 3 VCC; Well Alliance Investment Holdings Limited</t>
        </is>
      </c>
      <c r="AC166" s="71" t="inlineStr">
        <is>
          <t>proterra;well</t>
        </is>
      </c>
      <c r="AD166" s="75" t="n">
        <v>15</v>
      </c>
      <c r="AE166" s="71" t="inlineStr">
        <is>
          <t>partial</t>
        </is>
      </c>
      <c r="AF166" s="71" t="inlineStr">
        <is>
          <t>2023-01-20</t>
        </is>
      </c>
      <c r="AG166" s="71" t="inlineStr">
        <is>
          <t>China International Capital Corporation Hong Kong Securities Limited</t>
        </is>
      </c>
      <c r="AH166" s="71" t="inlineStr">
        <is>
          <t>China International</t>
        </is>
      </c>
      <c r="AI166" s="81" t="n">
        <v>-0.9399999999999999</v>
      </c>
      <c r="AJ166" s="82" t="n">
        <v>-0.47</v>
      </c>
      <c r="AK166" s="82" t="n">
        <v>-4.69</v>
      </c>
      <c r="AL166" s="82" t="n">
        <v>4.43</v>
      </c>
      <c r="AM166" s="83" t="n"/>
      <c r="AN166" s="75" t="n">
        <v>15.74</v>
      </c>
      <c r="AO166" s="82" t="n">
        <v>-5.78</v>
      </c>
      <c r="AP166" s="82" t="n">
        <v>-22.97</v>
      </c>
      <c r="AQ166" s="82" t="n">
        <v>-47.81</v>
      </c>
      <c r="AR166" s="82" t="n">
        <v>-5.34</v>
      </c>
      <c r="AS166" s="82" t="n">
        <v>-22.61</v>
      </c>
      <c r="AT166" s="82" t="n">
        <v>-47.56</v>
      </c>
      <c r="AU166" s="82" t="n">
        <v>-15.78</v>
      </c>
      <c r="AV166" s="82" t="n">
        <v>-35.62</v>
      </c>
      <c r="AW166" s="82" t="n">
        <v>-51.22</v>
      </c>
      <c r="AX166" s="82" t="n">
        <v>-35.63</v>
      </c>
      <c r="AY166" s="82" t="n">
        <v>12.65</v>
      </c>
      <c r="AZ166" s="82" t="n">
        <v>13.02</v>
      </c>
      <c r="BA166" s="71" t="inlineStr">
        <is>
          <t>Hang Seng Commerce &amp; Industry sub-index</t>
        </is>
      </c>
      <c r="BB166" s="82" t="n">
        <v>-72.5</v>
      </c>
      <c r="BC166" s="72" t="inlineStr">
        <is>
          <t>2026-09-21</t>
        </is>
      </c>
      <c r="BD166" s="73" t="n">
        <v>4183.2</v>
      </c>
      <c r="BE166" s="76" t="n">
        <v>173.9</v>
      </c>
      <c r="BF166" s="71" t="inlineStr">
        <is>
          <t>Y</t>
        </is>
      </c>
      <c r="BG166" s="83" t="n">
        <v>27.8</v>
      </c>
      <c r="BH166" s="83" t="n">
        <v>5</v>
      </c>
      <c r="BI166" s="83" t="n"/>
      <c r="BJ166" s="83" t="n">
        <v>1.2</v>
      </c>
      <c r="BK166" s="84">
        <f>IF('BBG Verify'!S166="","not filed; run on terminal",'BBG Verify'!S166)</f>
        <v/>
      </c>
      <c r="BL166" s="85" t="inlineStr">
        <is>
          <t>N</t>
        </is>
      </c>
      <c r="BM166" s="86">
        <f>IF('BBG Verify'!K166="","not filed; run on terminal",'BBG Verify'!K166)</f>
        <v/>
      </c>
      <c r="BN166" s="71" t="inlineStr">
        <is>
          <t>N/A</t>
        </is>
      </c>
      <c r="BO166" s="71" t="inlineStr">
        <is>
          <t>N/A</t>
        </is>
      </c>
      <c r="BP166" s="71" t="inlineStr">
        <is>
          <t>N/A</t>
        </is>
      </c>
      <c r="BQ166" s="71" t="inlineStr">
        <is>
          <t>N/A</t>
        </is>
      </c>
      <c r="BR166" s="71" t="inlineStr">
        <is>
          <t>N/A</t>
        </is>
      </c>
      <c r="BS166" s="71" t="inlineStr">
        <is>
          <t>N/A</t>
        </is>
      </c>
      <c r="BT166" s="85" t="inlineStr">
        <is>
          <t>China International Capital Corporation Hong Kong Securities Limited; DBS Asia Capital Limited</t>
        </is>
      </c>
      <c r="BU166" s="71" t="inlineStr">
        <is>
          <t>China International Capital Corporation Hong Kong Securities Limited; DBS Asia Capital Limited</t>
        </is>
      </c>
      <c r="BV166" s="71" t="inlineStr">
        <is>
          <t>China International Capital Corporation Hong Kong Securities Limited; DBS Asia Capital Limited; Daiwa Capital Markets Hong Kong Limited; ABCI Capital Limited; BOCOM International Securities Limited; Futu Securities International (Hong Kong) Limited</t>
        </is>
      </c>
      <c r="BW166" s="71"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X166" s="87">
        <f>HYPERLINK("https://www1.hkexnews.hk/listedco/listconews/sehk/2022/1216/2022121600017.pdf","prospectus")</f>
        <v/>
      </c>
      <c r="BY166" s="87">
        <f>HYPERLINK("https://www1.hkexnews.hk/listedco/listconews/sehk/2022/1229/2022122900092.htm","allotment")</f>
        <v/>
      </c>
      <c r="BZ166" s="87">
        <f>HYPERLINK("https://www1.hkexnews.hk/listedco/listconews/sehk/2023/0120/2023012001115.pdf","stabilisation")</f>
        <v/>
      </c>
      <c r="CA166" s="85" t="n"/>
      <c r="CB166" s="71" t="inlineStr">
        <is>
          <t>range low: maximum offer price only, no floor published; market cap: prospectus 'market capitalisation' line is the listing-rule threshold, not the issuer's figure; rejected;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67" ht="15" customHeight="1">
      <c r="A167" s="70" t="inlineStr">
        <is>
          <t>6922</t>
        </is>
      </c>
      <c r="B167" s="71" t="inlineStr">
        <is>
          <t>CRYOFOCUS-B</t>
        </is>
      </c>
      <c r="C167" s="71" t="inlineStr">
        <is>
          <t>康灃生物－Ｂ</t>
        </is>
      </c>
      <c r="D167" s="71" t="inlineStr">
        <is>
          <t>Healthcare</t>
        </is>
      </c>
      <c r="E167" s="71" t="inlineStr">
        <is>
          <t>Medical devices</t>
        </is>
      </c>
      <c r="F167" s="71" t="inlineStr">
        <is>
          <t>Biotechnology - Medical Devices</t>
        </is>
      </c>
      <c r="G167" s="71" t="inlineStr">
        <is>
          <t>18A</t>
        </is>
      </c>
      <c r="H167" s="72" t="n">
        <v>44925</v>
      </c>
      <c r="I167" s="73" t="n">
        <v>210</v>
      </c>
      <c r="J167" s="71" t="inlineStr">
        <is>
          <t>gross (price x shares)</t>
        </is>
      </c>
      <c r="K167" s="74" t="n"/>
      <c r="L167" s="74" t="n">
        <v>18.9</v>
      </c>
      <c r="M167" s="74" t="n">
        <v>18.9</v>
      </c>
      <c r="N167" s="71" t="inlineStr">
        <is>
          <t>Y</t>
        </is>
      </c>
      <c r="O167" s="75" t="n">
        <v>100</v>
      </c>
      <c r="P167" s="75" t="n"/>
      <c r="Q167" s="76" t="n">
        <v>4516.1</v>
      </c>
      <c r="R167" s="71" t="inlineStr">
        <is>
          <t>derived:deal size / offer % of enlarged capital</t>
        </is>
      </c>
      <c r="S167" s="77" t="n">
        <v>1.95</v>
      </c>
      <c r="T167" s="78" t="n">
        <v>1.28</v>
      </c>
      <c r="U167" s="79" t="n"/>
      <c r="V167" s="80" t="n">
        <v>31</v>
      </c>
      <c r="W167" s="75" t="n"/>
      <c r="X167" s="71" t="n"/>
      <c r="Y167" s="76" t="n">
        <v>210</v>
      </c>
      <c r="Z167" s="76" t="n">
        <v>11110000</v>
      </c>
      <c r="AA167" s="75" t="n">
        <v>4.65</v>
      </c>
      <c r="AB167" s="71" t="n"/>
      <c r="AC167" s="71" t="n"/>
      <c r="AD167" s="75" t="n"/>
      <c r="AE167" s="71" t="n"/>
      <c r="AF167" s="71" t="n"/>
      <c r="AG167" s="71" t="n"/>
      <c r="AH167" s="71" t="n"/>
      <c r="AI167" s="81" t="n">
        <v>-4.55</v>
      </c>
      <c r="AJ167" s="82" t="n">
        <v>-6.56</v>
      </c>
      <c r="AK167" s="82" t="n">
        <v>-2.12</v>
      </c>
      <c r="AL167" s="82" t="n">
        <v>-4.54</v>
      </c>
      <c r="AM167" s="83" t="n"/>
      <c r="AN167" s="75" t="n">
        <v>10.27</v>
      </c>
      <c r="AO167" s="82" t="n">
        <v>-9.84</v>
      </c>
      <c r="AP167" s="82" t="n">
        <v>-19.05</v>
      </c>
      <c r="AQ167" s="82" t="n">
        <v>-12.7</v>
      </c>
      <c r="AR167" s="82" t="n">
        <v>-3.51</v>
      </c>
      <c r="AS167" s="82" t="n">
        <v>-13.37</v>
      </c>
      <c r="AT167" s="82" t="n">
        <v>-6.57</v>
      </c>
      <c r="AU167" s="82" t="n">
        <v>-15.15</v>
      </c>
      <c r="AV167" s="82" t="n">
        <v>-28.32</v>
      </c>
      <c r="AW167" s="82" t="n">
        <v>-7.74</v>
      </c>
      <c r="AX167" s="82" t="n">
        <v>-23.17</v>
      </c>
      <c r="AY167" s="82" t="n">
        <v>9.27</v>
      </c>
      <c r="AZ167" s="82" t="n">
        <v>9.800000000000001</v>
      </c>
      <c r="BA167" s="71" t="inlineStr">
        <is>
          <t>China Biotech ETF (HS biotech proxy)</t>
        </is>
      </c>
      <c r="BB167" s="82" t="n">
        <v>-86.43000000000001</v>
      </c>
      <c r="BC167" s="72" t="inlineStr">
        <is>
          <t>2026-09-23</t>
        </is>
      </c>
      <c r="BD167" s="73" t="n">
        <v>13.3</v>
      </c>
      <c r="BE167" s="76" t="n">
        <v>-101.7</v>
      </c>
      <c r="BF167" s="71" t="inlineStr">
        <is>
          <t>N</t>
        </is>
      </c>
      <c r="BG167" s="71" t="inlineStr">
        <is>
          <t>n/m</t>
        </is>
      </c>
      <c r="BH167" s="83" t="n"/>
      <c r="BI167" s="83" t="n"/>
      <c r="BJ167" s="83" t="n">
        <v>339.6</v>
      </c>
      <c r="BK167" s="84">
        <f>IF('BBG Verify'!S167="","not filed; run on terminal",'BBG Verify'!S167)</f>
        <v/>
      </c>
      <c r="BL167" s="85" t="inlineStr">
        <is>
          <t>N</t>
        </is>
      </c>
      <c r="BM167" s="86">
        <f>IF('BBG Verify'!K167="","not filed; run on terminal",'BBG Verify'!K167)</f>
        <v/>
      </c>
      <c r="BN167" s="71" t="inlineStr">
        <is>
          <t>N/A</t>
        </is>
      </c>
      <c r="BO167" s="71" t="inlineStr">
        <is>
          <t>N/A</t>
        </is>
      </c>
      <c r="BP167" s="71" t="inlineStr">
        <is>
          <t>N/A</t>
        </is>
      </c>
      <c r="BQ167" s="71" t="inlineStr">
        <is>
          <t>N/A</t>
        </is>
      </c>
      <c r="BR167" s="71" t="inlineStr">
        <is>
          <t>N/A</t>
        </is>
      </c>
      <c r="BS167" s="71" t="inlineStr">
        <is>
          <t>N/A</t>
        </is>
      </c>
      <c r="BT167" s="85" t="inlineStr">
        <is>
          <t>Citigroup Global Markets Asia Limited; Huatai Financial Holdings (Hong Kong) Limited</t>
        </is>
      </c>
      <c r="BU167" s="71" t="inlineStr">
        <is>
          <t>Huatai Financial Holdings (Hong Kong) Limited; Citigroup Global Markets Asia Limited</t>
        </is>
      </c>
      <c r="BV167" s="71"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W167" s="71"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X167" s="87">
        <f>HYPERLINK("https://www1.hkexnews.hk/listedco/listconews/sehk/2022/1216/2022121600015.pdf","prospectus")</f>
        <v/>
      </c>
      <c r="BY167" s="87">
        <f>HYPERLINK("https://www1.hkexnews.hk/listedco/listconews/sehk/2022/1229/2022122900114.htm","allotment")</f>
        <v/>
      </c>
      <c r="BZ167" s="71" t="n"/>
      <c r="CA167" s="85" t="n"/>
      <c r="CB16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68" ht="15" customHeight="1">
      <c r="A168" s="70" t="inlineStr">
        <is>
          <t>6955</t>
        </is>
      </c>
      <c r="B168" s="71" t="inlineStr">
        <is>
          <t>BOAN BIOTECH-B</t>
        </is>
      </c>
      <c r="C168" s="71" t="inlineStr">
        <is>
          <t>博安生物</t>
        </is>
      </c>
      <c r="D168" s="71" t="inlineStr">
        <is>
          <t>Healthcare</t>
        </is>
      </c>
      <c r="E168" s="71" t="inlineStr">
        <is>
          <t>Biotech pre-revenue (18A)</t>
        </is>
      </c>
      <c r="F168" s="71" t="inlineStr">
        <is>
          <t>Biotechnology - Pharmaceuticals</t>
        </is>
      </c>
      <c r="G168" s="71" t="inlineStr">
        <is>
          <t>18A</t>
        </is>
      </c>
      <c r="H168" s="72" t="n">
        <v>44925</v>
      </c>
      <c r="I168" s="73" t="n">
        <v>211.8</v>
      </c>
      <c r="J168" s="71" t="inlineStr">
        <is>
          <t>gross (price x shares)</t>
        </is>
      </c>
      <c r="K168" s="74" t="n"/>
      <c r="L168" s="74" t="n">
        <v>19.8</v>
      </c>
      <c r="M168" s="74" t="n">
        <v>19.8</v>
      </c>
      <c r="N168" s="71" t="inlineStr">
        <is>
          <t>Y</t>
        </is>
      </c>
      <c r="O168" s="75" t="n">
        <v>100</v>
      </c>
      <c r="P168" s="75" t="n"/>
      <c r="Q168" s="76" t="n">
        <v>8825</v>
      </c>
      <c r="R168" s="71" t="inlineStr">
        <is>
          <t>derived:deal size / offer % of enlarged capital</t>
        </is>
      </c>
      <c r="S168" s="77" t="n">
        <v>2.12</v>
      </c>
      <c r="T168" s="78" t="n">
        <v>1.52</v>
      </c>
      <c r="U168" s="79" t="n">
        <v>71.01000000000001</v>
      </c>
      <c r="V168" s="80" t="n">
        <v>220</v>
      </c>
      <c r="W168" s="75" t="n"/>
      <c r="X168" s="71" t="n"/>
      <c r="Y168" s="76" t="n">
        <v>61.4</v>
      </c>
      <c r="Z168" s="76" t="n">
        <v>3100423</v>
      </c>
      <c r="AA168" s="75" t="n">
        <v>0.7</v>
      </c>
      <c r="AB168" s="71" t="inlineStr">
        <is>
          <t>Fu Heliang; Harvest Great Bay Investment SP; Sino Biopharmaceutical Limited</t>
        </is>
      </c>
      <c r="AC168" s="71" t="inlineStr">
        <is>
          <t>fu;harvest;sino-biopharmaceutical</t>
        </is>
      </c>
      <c r="AD168" s="75" t="n">
        <v>18.14</v>
      </c>
      <c r="AE168" s="71" t="inlineStr">
        <is>
          <t>lapsed</t>
        </is>
      </c>
      <c r="AF168" s="71" t="inlineStr">
        <is>
          <t>2023-01-21</t>
        </is>
      </c>
      <c r="AG168" s="71" t="inlineStr">
        <is>
          <t>UBS AG Hong Kong Branch</t>
        </is>
      </c>
      <c r="AH168" s="71" t="inlineStr">
        <is>
          <t>UBS</t>
        </is>
      </c>
      <c r="AI168" s="81" t="n">
        <v>-1.52</v>
      </c>
      <c r="AJ168" s="82" t="n">
        <v>0</v>
      </c>
      <c r="AK168" s="82" t="n">
        <v>0.51</v>
      </c>
      <c r="AL168" s="82" t="n">
        <v>-0.51</v>
      </c>
      <c r="AM168" s="83" t="n"/>
      <c r="AN168" s="75" t="n">
        <v>7.84</v>
      </c>
      <c r="AO168" s="82" t="n">
        <v>-17.17</v>
      </c>
      <c r="AP168" s="82" t="n">
        <v>-22.02</v>
      </c>
      <c r="AQ168" s="82" t="n">
        <v>-2.32</v>
      </c>
      <c r="AR168" s="82" t="n">
        <v>-17.17</v>
      </c>
      <c r="AS168" s="82" t="n">
        <v>-22.02</v>
      </c>
      <c r="AT168" s="82" t="n">
        <v>-2.32</v>
      </c>
      <c r="AU168" s="82" t="n">
        <v>-22.48</v>
      </c>
      <c r="AV168" s="82" t="n">
        <v>-31.29</v>
      </c>
      <c r="AW168" s="82" t="n">
        <v>2.64</v>
      </c>
      <c r="AX168" s="82" t="n">
        <v>-31.82</v>
      </c>
      <c r="AY168" s="82" t="n">
        <v>9.27</v>
      </c>
      <c r="AZ168" s="82" t="n">
        <v>9.800000000000001</v>
      </c>
      <c r="BA168" s="71" t="inlineStr">
        <is>
          <t>China Biotech ETF (HS biotech proxy)</t>
        </is>
      </c>
      <c r="BB168" s="82" t="n">
        <v>-86.16</v>
      </c>
      <c r="BC168" s="72" t="inlineStr">
        <is>
          <t>2026-09-23</t>
        </is>
      </c>
      <c r="BD168" s="73" t="n">
        <v>242.8</v>
      </c>
      <c r="BE168" s="76" t="n">
        <v>-364.9</v>
      </c>
      <c r="BF168" s="71" t="inlineStr">
        <is>
          <t>N</t>
        </is>
      </c>
      <c r="BG168" s="71" t="inlineStr">
        <is>
          <t>n/m</t>
        </is>
      </c>
      <c r="BH168" s="83" t="n"/>
      <c r="BI168" s="83" t="n">
        <v>196.1</v>
      </c>
      <c r="BJ168" s="83" t="n">
        <v>36.3</v>
      </c>
      <c r="BK168" s="84">
        <f>IF('BBG Verify'!S168="","not filed; run on terminal",'BBG Verify'!S168)</f>
        <v/>
      </c>
      <c r="BL168" s="85" t="inlineStr">
        <is>
          <t>N</t>
        </is>
      </c>
      <c r="BM168" s="86">
        <f>IF('BBG Verify'!K168="","not filed; run on terminal",'BBG Verify'!K168)</f>
        <v/>
      </c>
      <c r="BN168" s="71" t="inlineStr">
        <is>
          <t>N/A</t>
        </is>
      </c>
      <c r="BO168" s="71" t="inlineStr">
        <is>
          <t>N/A</t>
        </is>
      </c>
      <c r="BP168" s="71" t="inlineStr">
        <is>
          <t>N/A</t>
        </is>
      </c>
      <c r="BQ168" s="71" t="inlineStr">
        <is>
          <t>N/A</t>
        </is>
      </c>
      <c r="BR168" s="71" t="inlineStr">
        <is>
          <t>N/A</t>
        </is>
      </c>
      <c r="BS168" s="71" t="inlineStr">
        <is>
          <t>N/A</t>
        </is>
      </c>
      <c r="BT168" s="85" t="inlineStr">
        <is>
          <t>UBS Securities Hong Kong Limited; Essence Corporate Finance (Hong Kong) Limited</t>
        </is>
      </c>
      <c r="BU168" s="71" t="inlineStr">
        <is>
          <t>UBS Securities Hong Kong Limited; Essence Corporate Finance (Hong Kong) Limited</t>
        </is>
      </c>
      <c r="BV168" s="71" t="inlineStr">
        <is>
          <t>UBS AG Hong Kong Branch; Essence International Securities (Hong Kong) Limited</t>
        </is>
      </c>
      <c r="BW168" s="71" t="inlineStr">
        <is>
          <t>Essence International Securities (Hong Kong) Limited; Futu Securities International (Hong Kong) Limited; Livermore Holdings Limited; Silverbricks Securities Company Limited; UBS AG Hong Kong Branch</t>
        </is>
      </c>
      <c r="BX168" s="87">
        <f>HYPERLINK("https://www1.hkexnews.hk/listedco/listconews/sehk/2022/1219/2022121900009.pdf","prospectus")</f>
        <v/>
      </c>
      <c r="BY168" s="87">
        <f>HYPERLINK("https://www1.hkexnews.hk/listedco/listconews/sehk/2022/1229/2022122900320.htm","allotment")</f>
        <v/>
      </c>
      <c r="BZ168" s="87">
        <f>HYPERLINK("https://www1.hkexnews.hk/listedco/listconews/sehk/2023/0125/2023012500003.pdf","stabilisation")</f>
        <v/>
      </c>
      <c r="CA168" s="85" t="n"/>
      <c r="CB168" s="71" t="inlineStr">
        <is>
          <t>P/E: loss-making at IPO, use P/S; range low: maximum offer price only, no floor published; allocation: allocation table not in this notice's format (older prose announcement); day-1 tape: volume on file; the retail multiple needs the final public split, which this notice does not state</t>
        </is>
      </c>
    </row>
    <row r="169" ht="15" customHeight="1">
      <c r="A169" s="70" t="inlineStr">
        <is>
          <t>2469</t>
        </is>
      </c>
      <c r="B169" s="71" t="inlineStr">
        <is>
          <t>FENBI</t>
        </is>
      </c>
      <c r="C169" s="71" t="inlineStr">
        <is>
          <t>粉筆</t>
        </is>
      </c>
      <c r="D169" s="71" t="inlineStr">
        <is>
          <t>Consumer</t>
        </is>
      </c>
      <c r="E169" s="71" t="inlineStr">
        <is>
          <t>Consumer services / education</t>
        </is>
      </c>
      <c r="F169" s="71" t="inlineStr">
        <is>
          <t>Education Services</t>
        </is>
      </c>
      <c r="G169" s="71" t="inlineStr">
        <is>
          <t>Standard</t>
        </is>
      </c>
      <c r="H169" s="72" t="n">
        <v>44935</v>
      </c>
      <c r="I169" s="73" t="n">
        <v>198</v>
      </c>
      <c r="J169" s="71" t="inlineStr">
        <is>
          <t>gross (price x shares)</t>
        </is>
      </c>
      <c r="K169" s="74" t="n">
        <v>9.5</v>
      </c>
      <c r="L169" s="74" t="n">
        <v>9.9</v>
      </c>
      <c r="M169" s="74" t="n">
        <v>9.9</v>
      </c>
      <c r="N169" s="71" t="inlineStr">
        <is>
          <t>Y</t>
        </is>
      </c>
      <c r="O169" s="75" t="n">
        <v>100</v>
      </c>
      <c r="P169" s="75" t="n">
        <v>100</v>
      </c>
      <c r="Q169" s="76" t="n">
        <v>20763.3</v>
      </c>
      <c r="R169" s="71" t="inlineStr">
        <is>
          <t>aastocks:上市市值 at the struck price</t>
        </is>
      </c>
      <c r="S169" s="77" t="n">
        <v>33.8</v>
      </c>
      <c r="T169" s="78" t="n">
        <v>2.32</v>
      </c>
      <c r="U169" s="79" t="n">
        <v>0</v>
      </c>
      <c r="V169" s="80" t="n">
        <v>204</v>
      </c>
      <c r="W169" s="75" t="n">
        <v>30</v>
      </c>
      <c r="X169" s="71" t="inlineStr">
        <is>
          <t>YES</t>
        </is>
      </c>
      <c r="Y169" s="76" t="n">
        <v>198</v>
      </c>
      <c r="Z169" s="76" t="n">
        <v>20000000</v>
      </c>
      <c r="AA169" s="75" t="n">
        <v>0.95</v>
      </c>
      <c r="AB169" s="71" t="n"/>
      <c r="AC169" s="71" t="n"/>
      <c r="AD169" s="75" t="n">
        <v>10.42</v>
      </c>
      <c r="AE169" s="71" t="inlineStr">
        <is>
          <t>lapsed</t>
        </is>
      </c>
      <c r="AF169" s="71" t="inlineStr">
        <is>
          <t>2023-01-29</t>
        </is>
      </c>
      <c r="AG169" s="71" t="inlineStr">
        <is>
          <t>China International Capital Corporation Hong Kong Securities Limited</t>
        </is>
      </c>
      <c r="AH169" s="71" t="inlineStr">
        <is>
          <t>China International</t>
        </is>
      </c>
      <c r="AI169" s="81" t="n">
        <v>5.05</v>
      </c>
      <c r="AJ169" s="82" t="n">
        <v>12.12</v>
      </c>
      <c r="AK169" s="82" t="n">
        <v>6.06</v>
      </c>
      <c r="AL169" s="82" t="n">
        <v>5.71</v>
      </c>
      <c r="AM169" s="83" t="n">
        <v>1.97</v>
      </c>
      <c r="AN169" s="75" t="n">
        <v>17.52</v>
      </c>
      <c r="AO169" s="82" t="n">
        <v>5.05</v>
      </c>
      <c r="AP169" s="82" t="n">
        <v>24.65</v>
      </c>
      <c r="AQ169" s="82" t="n">
        <v>22.83</v>
      </c>
      <c r="AR169" s="82" t="n">
        <v>-6.31</v>
      </c>
      <c r="AS169" s="82" t="n">
        <v>11.18</v>
      </c>
      <c r="AT169" s="82" t="n">
        <v>9.550000000000001</v>
      </c>
      <c r="AU169" s="82" t="n">
        <v>0.8</v>
      </c>
      <c r="AV169" s="82" t="n">
        <v>23.48</v>
      </c>
      <c r="AW169" s="82" t="n">
        <v>26.53</v>
      </c>
      <c r="AX169" s="82" t="n">
        <v>12.68</v>
      </c>
      <c r="AY169" s="82" t="n">
        <v>1.17</v>
      </c>
      <c r="AZ169" s="82" t="n">
        <v>-1.5</v>
      </c>
      <c r="BA169" s="71" t="inlineStr">
        <is>
          <t>Hang Seng Commerce &amp; Industry sub-index</t>
        </is>
      </c>
      <c r="BB169" s="82" t="n">
        <v>-96.77</v>
      </c>
      <c r="BC169" s="72" t="inlineStr">
        <is>
          <t>2026-09-23</t>
        </is>
      </c>
      <c r="BD169" s="73" t="n">
        <v>3771.4</v>
      </c>
      <c r="BE169" s="76" t="n">
        <v>-2263.7</v>
      </c>
      <c r="BF169" s="71" t="inlineStr">
        <is>
          <t>N</t>
        </is>
      </c>
      <c r="BG169" s="71" t="inlineStr">
        <is>
          <t>n/m</t>
        </is>
      </c>
      <c r="BH169" s="83" t="n"/>
      <c r="BI169" s="83" t="n">
        <v>3.2</v>
      </c>
      <c r="BJ169" s="83" t="n">
        <v>5.5</v>
      </c>
      <c r="BK169" s="84">
        <f>IF('BBG Verify'!S169="","not filed; run on terminal",'BBG Verify'!S169)</f>
        <v/>
      </c>
      <c r="BL169" s="85" t="inlineStr">
        <is>
          <t>N</t>
        </is>
      </c>
      <c r="BM169" s="86">
        <f>IF('BBG Verify'!K169="","not filed; run on terminal",'BBG Verify'!K169)</f>
        <v/>
      </c>
      <c r="BN169" s="71" t="inlineStr">
        <is>
          <t>N/A</t>
        </is>
      </c>
      <c r="BO169" s="71" t="inlineStr">
        <is>
          <t>N/A</t>
        </is>
      </c>
      <c r="BP169" s="71" t="inlineStr">
        <is>
          <t>N/A</t>
        </is>
      </c>
      <c r="BQ169" s="71" t="inlineStr">
        <is>
          <t>N/A</t>
        </is>
      </c>
      <c r="BR169" s="71" t="inlineStr">
        <is>
          <t>N/A</t>
        </is>
      </c>
      <c r="BS169" s="71" t="inlineStr">
        <is>
          <t>N/A</t>
        </is>
      </c>
      <c r="BT169" s="85" t="n"/>
      <c r="BU169" s="71" t="inlineStr">
        <is>
          <t>China International Capital Corporation Hong Kong Securities Limited; Merrill Lynch (Asia Pacific) Limited; Citigroup Global Markets Asia Limited</t>
        </is>
      </c>
      <c r="BV169" s="71" t="inlineStr">
        <is>
          <t>(in no particular order) Citigroup Global Markets Asia Limited; China International Capital Corporation Hong Kong Securities Limited; Merrill Lynch (Asia Pacific) Limited; Haitong International Securities Company Limited; ICBC International Securities Limited</t>
        </is>
      </c>
      <c r="BW169" s="71"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X169" s="87">
        <f>HYPERLINK("https://www1.hkexnews.hk/listedco/listconews/sehk/2022/1223/2022122300005.pdf","prospectus")</f>
        <v/>
      </c>
      <c r="BY169" s="87">
        <f>HYPERLINK("https://www1.hkexnews.hk/listedco/listconews/sehk/2023/0106/2023010600010.htm","allotment")</f>
        <v/>
      </c>
      <c r="BZ169" s="87">
        <f>HYPERLINK("https://www1.hkexnews.hk/listedco/listconews/sehk/2023/0129/2023012900007.pdf","stabilisation")</f>
        <v/>
      </c>
      <c r="CA169" s="85" t="n"/>
      <c r="CB169" s="71" t="inlineStr">
        <is>
          <t>P/E: loss-making at IPO, use P/S; sponsor: English name not in the filing; AAStocks 保薦人 shown; cornerstone list: no cornerstone tranche</t>
        </is>
      </c>
    </row>
    <row r="170" ht="15" customHeight="1">
      <c r="A170" s="70" t="inlineStr">
        <is>
          <t>2402</t>
        </is>
      </c>
      <c r="B170" s="71" t="inlineStr">
        <is>
          <t>SINOHYTEC</t>
        </is>
      </c>
      <c r="C170" s="71" t="inlineStr">
        <is>
          <t>億華通</t>
        </is>
      </c>
      <c r="D170" s="71" t="inlineStr">
        <is>
          <t>Industrials</t>
        </is>
      </c>
      <c r="E170" s="71" t="inlineStr">
        <is>
          <t>Batteries / energy storage</t>
        </is>
      </c>
      <c r="F170" s="71" t="inlineStr">
        <is>
          <t>Battery Products</t>
        </is>
      </c>
      <c r="G170" s="71" t="inlineStr">
        <is>
          <t>Standard</t>
        </is>
      </c>
      <c r="H170" s="72" t="n">
        <v>44938</v>
      </c>
      <c r="I170" s="73" t="n">
        <v>1057.7</v>
      </c>
      <c r="J170" s="71" t="inlineStr">
        <is>
          <t>gross (price x shares)</t>
        </is>
      </c>
      <c r="K170" s="74" t="n">
        <v>60</v>
      </c>
      <c r="L170" s="74" t="n">
        <v>76</v>
      </c>
      <c r="M170" s="74" t="n">
        <v>60</v>
      </c>
      <c r="N170" s="71" t="inlineStr">
        <is>
          <t>N</t>
        </is>
      </c>
      <c r="O170" s="75" t="n">
        <v>78.90000000000001</v>
      </c>
      <c r="P170" s="75" t="n">
        <v>0</v>
      </c>
      <c r="Q170" s="76" t="n">
        <v>7051.3</v>
      </c>
      <c r="R170" s="71" t="inlineStr">
        <is>
          <t>derived:deal size / offer % of enlarged capital</t>
        </is>
      </c>
      <c r="S170" s="77" t="n">
        <v>0.29</v>
      </c>
      <c r="T170" s="78" t="n">
        <v>1.84</v>
      </c>
      <c r="U170" s="79" t="n">
        <v>36.6</v>
      </c>
      <c r="V170" s="80" t="n">
        <v>80</v>
      </c>
      <c r="W170" s="75" t="n">
        <v>2.88</v>
      </c>
      <c r="X170" s="71" t="inlineStr">
        <is>
          <t>NO</t>
        </is>
      </c>
      <c r="Y170" s="76" t="n">
        <v>670.58</v>
      </c>
      <c r="Z170" s="76" t="n">
        <v>11176152</v>
      </c>
      <c r="AA170" s="75" t="n">
        <v>9.51</v>
      </c>
      <c r="AB170" s="71" t="inlineStr">
        <is>
          <t>Astonish Investment Pte. Ltd; Harvest International Premium Value (Secondary Market) Fund SPC</t>
        </is>
      </c>
      <c r="AC170" s="71" t="inlineStr">
        <is>
          <t>astonish;harvest</t>
        </is>
      </c>
      <c r="AD170" s="75" t="n">
        <v>15.8</v>
      </c>
      <c r="AE170" s="71" t="inlineStr">
        <is>
          <t>partial</t>
        </is>
      </c>
      <c r="AF170" s="71" t="inlineStr">
        <is>
          <t>2023-02-04</t>
        </is>
      </c>
      <c r="AG170" s="71" t="inlineStr">
        <is>
          <t>Guotai Juna n Securities</t>
        </is>
      </c>
      <c r="AH170" s="71" t="inlineStr">
        <is>
          <t>Guotai Juna</t>
        </is>
      </c>
      <c r="AI170" s="81" t="n">
        <v>0.08</v>
      </c>
      <c r="AJ170" s="82" t="n">
        <v>0</v>
      </c>
      <c r="AK170" s="82" t="n">
        <v>0</v>
      </c>
      <c r="AL170" s="82" t="n">
        <v>0</v>
      </c>
      <c r="AM170" s="83" t="n">
        <v>3.58</v>
      </c>
      <c r="AN170" s="75" t="n">
        <v>3.42</v>
      </c>
      <c r="AO170" s="82" t="n">
        <v>0</v>
      </c>
      <c r="AP170" s="82" t="n">
        <v>8.25</v>
      </c>
      <c r="AQ170" s="82" t="n">
        <v>-0.5</v>
      </c>
      <c r="AR170" s="82" t="n">
        <v>0</v>
      </c>
      <c r="AS170" s="82" t="n">
        <v>8.25</v>
      </c>
      <c r="AT170" s="82" t="n">
        <v>-0.5</v>
      </c>
      <c r="AU170" s="82" t="n">
        <v>-0.09</v>
      </c>
      <c r="AV170" s="82" t="n">
        <v>12.29</v>
      </c>
      <c r="AW170" s="82" t="n">
        <v>7.22</v>
      </c>
      <c r="AX170" s="82" t="n">
        <v>12</v>
      </c>
      <c r="AY170" s="82" t="n">
        <v>-4.04</v>
      </c>
      <c r="AZ170" s="82" t="n">
        <v>-3.75</v>
      </c>
      <c r="BA170" s="71" t="inlineStr">
        <is>
          <t>Hang Seng Commerce &amp; Industry sub-index</t>
        </is>
      </c>
      <c r="BB170" s="82" t="n">
        <v>-65.95999999999999</v>
      </c>
      <c r="BC170" s="72" t="inlineStr">
        <is>
          <t>2026-09-23</t>
        </is>
      </c>
      <c r="BD170" s="73" t="n">
        <v>692.3</v>
      </c>
      <c r="BE170" s="76" t="n">
        <v>-203.9</v>
      </c>
      <c r="BF170" s="71" t="inlineStr">
        <is>
          <t>N</t>
        </is>
      </c>
      <c r="BG170" s="71" t="inlineStr">
        <is>
          <t>n/m</t>
        </is>
      </c>
      <c r="BH170" s="83" t="n"/>
      <c r="BI170" s="83" t="n"/>
      <c r="BJ170" s="83" t="n">
        <v>10.2</v>
      </c>
      <c r="BK170" s="84">
        <f>IF('BBG Verify'!S170="","not filed; run on terminal",'BBG Verify'!S170)</f>
        <v/>
      </c>
      <c r="BL170" s="85" t="inlineStr">
        <is>
          <t>Y</t>
        </is>
      </c>
      <c r="BM170" s="71" t="inlineStr">
        <is>
          <t>688339.SS</t>
        </is>
      </c>
      <c r="BN170" s="82" t="n">
        <v>54.15</v>
      </c>
      <c r="BO170" s="74" t="n">
        <v>92.48820000000001</v>
      </c>
      <c r="BP170" s="89" t="n">
        <v>0.9227</v>
      </c>
      <c r="BQ170" s="76" t="n">
        <v>4818.2</v>
      </c>
      <c r="BR170" s="84">
        <f>IF('BBG Verify'!Q170="","run on terminal",'BBG Verify'!Q170)</f>
        <v/>
      </c>
      <c r="BS170" s="84">
        <f>IF('BBG Verify'!R170="","run on terminal",'BBG Verify'!R170)</f>
        <v/>
      </c>
      <c r="BT170" s="85" t="inlineStr">
        <is>
          <t>Guotai Junan Capital Limited; Giraffe Capital Limited</t>
        </is>
      </c>
      <c r="BU170" s="71" t="inlineStr">
        <is>
          <t>Guotai Junan Capital Limited; Giraffe Capital Limited</t>
        </is>
      </c>
      <c r="BV170" s="71"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W170" s="71"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X170" s="87">
        <f>HYPERLINK("https://www1.hkexnews.hk/listedco/listconews/sehk/2022/1229/2022122900013.pdf","prospectus")</f>
        <v/>
      </c>
      <c r="BY170" s="87">
        <f>HYPERLINK("https://www1.hkexnews.hk/listedco/listconews/sehk/2023/0111/2023011100006.htm","allotment")</f>
        <v/>
      </c>
      <c r="BZ170" s="87">
        <f>HYPERLINK("https://www1.hkexnews.hk/listedco/listconews/sehk/2023/0206/2023020600005.pdf","stabilisation")</f>
        <v/>
      </c>
      <c r="CA170" s="85" t="n"/>
      <c r="CB170" s="71" t="inlineStr">
        <is>
          <t>P/E: loss-making at IPO, use P/S; A/H: H listed Jan 2023 (hydrogen fuel cells); A+H on STAR; cornerstone %: upper bound: AAStocks institutional total / deal size</t>
        </is>
      </c>
    </row>
    <row r="171" ht="15" customHeight="1">
      <c r="A171" s="70" t="inlineStr">
        <is>
          <t>2147</t>
        </is>
      </c>
      <c r="B171" s="71" t="inlineStr">
        <is>
          <t>ZHENGWEI GROUP</t>
        </is>
      </c>
      <c r="C171" s="71" t="inlineStr">
        <is>
          <t>正味集團</t>
        </is>
      </c>
      <c r="D171" s="71" t="inlineStr">
        <is>
          <t>Consumer</t>
        </is>
      </c>
      <c r="E171" s="71" t="inlineStr">
        <is>
          <t>Beverages / packaged food</t>
        </is>
      </c>
      <c r="F171" s="71" t="inlineStr">
        <is>
          <t>Packaged Foods</t>
        </is>
      </c>
      <c r="G171" s="71" t="inlineStr">
        <is>
          <t>Standard</t>
        </is>
      </c>
      <c r="H171" s="72" t="n">
        <v>44939</v>
      </c>
      <c r="I171" s="73" t="n">
        <v>97.3</v>
      </c>
      <c r="J171" s="71" t="inlineStr">
        <is>
          <t>net proceeds</t>
        </is>
      </c>
      <c r="K171" s="74" t="n"/>
      <c r="L171" s="74" t="n">
        <v>0.68</v>
      </c>
      <c r="M171" s="74" t="n">
        <v>0.68</v>
      </c>
      <c r="N171" s="71" t="inlineStr">
        <is>
          <t>Y</t>
        </is>
      </c>
      <c r="O171" s="75" t="n">
        <v>100</v>
      </c>
      <c r="P171" s="75" t="n"/>
      <c r="Q171" s="76" t="n">
        <v>600</v>
      </c>
      <c r="R171" s="71" t="inlineStr">
        <is>
          <t>aastocks:上市市值 at the struck price</t>
        </is>
      </c>
      <c r="S171" s="77" t="n">
        <v>18.28</v>
      </c>
      <c r="T171" s="78" t="n">
        <v>1.33</v>
      </c>
      <c r="U171" s="79" t="n"/>
      <c r="V171" s="80" t="n">
        <v>184</v>
      </c>
      <c r="W171" s="75" t="n">
        <v>30</v>
      </c>
      <c r="X171" s="71" t="inlineStr">
        <is>
          <t>YES</t>
        </is>
      </c>
      <c r="Y171" s="76" t="n">
        <v>97.3</v>
      </c>
      <c r="Z171" s="76" t="n"/>
      <c r="AA171" s="75" t="n">
        <v>16.22</v>
      </c>
      <c r="AB171" s="71" t="n"/>
      <c r="AC171" s="71" t="n"/>
      <c r="AD171" s="75" t="n"/>
      <c r="AE171" s="71" t="inlineStr">
        <is>
          <t>lapsed (no over-allocation)</t>
        </is>
      </c>
      <c r="AF171" s="71" t="n"/>
      <c r="AG171" s="71" t="inlineStr">
        <is>
          <t>Grand Moore Capital</t>
        </is>
      </c>
      <c r="AH171" s="71" t="inlineStr">
        <is>
          <t>Grand Moore</t>
        </is>
      </c>
      <c r="AI171" s="81" t="n">
        <v>2.94</v>
      </c>
      <c r="AJ171" s="82" t="n">
        <v>-17.65</v>
      </c>
      <c r="AK171" s="82" t="n">
        <v>8.82</v>
      </c>
      <c r="AL171" s="82" t="n">
        <v>-24.32</v>
      </c>
      <c r="AM171" s="83" t="n">
        <v>3.27</v>
      </c>
      <c r="AN171" s="75" t="n">
        <v>28.38</v>
      </c>
      <c r="AO171" s="82" t="n">
        <v>-29.41</v>
      </c>
      <c r="AP171" s="82" t="n">
        <v>-30.88</v>
      </c>
      <c r="AQ171" s="82" t="n">
        <v>-1.47</v>
      </c>
      <c r="AR171" s="82" t="n">
        <v>-14.28</v>
      </c>
      <c r="AS171" s="82" t="n">
        <v>-16.07</v>
      </c>
      <c r="AT171" s="82" t="n">
        <v>19.65</v>
      </c>
      <c r="AU171" s="82" t="n">
        <v>-32.28</v>
      </c>
      <c r="AV171" s="82" t="n">
        <v>-28.04</v>
      </c>
      <c r="AW171" s="82" t="n">
        <v>5.72</v>
      </c>
      <c r="AX171" s="82" t="n">
        <v>-12.04</v>
      </c>
      <c r="AY171" s="82" t="n">
        <v>-2.84</v>
      </c>
      <c r="AZ171" s="82" t="n">
        <v>-4.03</v>
      </c>
      <c r="BA171" s="71" t="inlineStr">
        <is>
          <t>Hang Seng Commerce &amp; Industry sub-index</t>
        </is>
      </c>
      <c r="BB171" s="82" t="n">
        <v>-96.18000000000001</v>
      </c>
      <c r="BC171" s="72" t="inlineStr">
        <is>
          <t>2026-09-23</t>
        </is>
      </c>
      <c r="BD171" s="73" t="n">
        <v>376.2</v>
      </c>
      <c r="BE171" s="76" t="n">
        <v>53.1</v>
      </c>
      <c r="BF171" s="71" t="inlineStr">
        <is>
          <t>Y</t>
        </is>
      </c>
      <c r="BG171" s="83" t="n">
        <v>11.3</v>
      </c>
      <c r="BH171" s="83" t="n">
        <v>6</v>
      </c>
      <c r="BI171" s="83" t="n"/>
      <c r="BJ171" s="83" t="n">
        <v>1.6</v>
      </c>
      <c r="BK171" s="84">
        <f>IF('BBG Verify'!S171="","not filed; run on terminal",'BBG Verify'!S171)</f>
        <v/>
      </c>
      <c r="BL171" s="85" t="inlineStr">
        <is>
          <t>N</t>
        </is>
      </c>
      <c r="BM171" s="86">
        <f>IF('BBG Verify'!K171="","not filed; run on terminal",'BBG Verify'!K171)</f>
        <v/>
      </c>
      <c r="BN171" s="71" t="inlineStr">
        <is>
          <t>N/A</t>
        </is>
      </c>
      <c r="BO171" s="71" t="inlineStr">
        <is>
          <t>N/A</t>
        </is>
      </c>
      <c r="BP171" s="71" t="inlineStr">
        <is>
          <t>N/A</t>
        </is>
      </c>
      <c r="BQ171" s="71" t="inlineStr">
        <is>
          <t>N/A</t>
        </is>
      </c>
      <c r="BR171" s="71" t="inlineStr">
        <is>
          <t>N/A</t>
        </is>
      </c>
      <c r="BS171" s="71" t="inlineStr">
        <is>
          <t>N/A</t>
        </is>
      </c>
      <c r="BT171" s="85" t="n"/>
      <c r="BU171" s="71" t="inlineStr">
        <is>
          <t>Grand Moore Capital Limited</t>
        </is>
      </c>
      <c r="BV171" s="71" t="inlineStr">
        <is>
          <t>Cinda International Capital Limited; China PA Securities (Hong Kong) Company Limited; Fortune (HK) Securities Limited; Guotai Junan Securities (Hong Kong) Limited; Grand Moore Capital Limited; Valuable Capital Limited</t>
        </is>
      </c>
      <c r="BW171" s="71" t="inlineStr">
        <is>
          <t>Cinda International Capital Limited; China PA Securities (Hong Kong) Company Limited; Fortune (HK) Securities Limited; Guotai Junan Securities (Hong Kong) Limited; Grand Moore Capital Limited; Valuable Capital Limited; Zhong Yang Securities Limited</t>
        </is>
      </c>
      <c r="BX171" s="87">
        <f>HYPERLINK("https://www1.hkexnews.hk/listedco/listconews/sehk/2022/1230/2022123000080.htm","prospectus")</f>
        <v/>
      </c>
      <c r="BY171" s="87">
        <f>HYPERLINK("https://www1.hkexnews.hk/listedco/listconews/sehk/2023/0112/2023011200014.htm","allotment")</f>
        <v/>
      </c>
      <c r="BZ171" s="87">
        <f>HYPERLINK("https://www1.hkexnews.hk/listedco/listconews/sehk/2023/0210/2023021001132.pdf","stabilisation")</f>
        <v/>
      </c>
      <c r="CA171" s="85" t="n"/>
      <c r="CB171"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eff float shares: share count unavailable; the HK$m figure is exact</t>
        </is>
      </c>
    </row>
    <row r="172" ht="15" customHeight="1">
      <c r="A172" s="70" t="inlineStr">
        <is>
          <t>2411</t>
        </is>
      </c>
      <c r="B172" s="71" t="inlineStr">
        <is>
          <t>PAGODA GP</t>
        </is>
      </c>
      <c r="C172" s="71" t="inlineStr">
        <is>
          <t>百果園集團</t>
        </is>
      </c>
      <c r="D172" s="71" t="inlineStr">
        <is>
          <t>Consumer</t>
        </is>
      </c>
      <c r="E172" s="71" t="inlineStr">
        <is>
          <t>Retail / distribution</t>
        </is>
      </c>
      <c r="F172" s="71" t="inlineStr">
        <is>
          <t>Agricultural Products</t>
        </is>
      </c>
      <c r="G172" s="71" t="inlineStr">
        <is>
          <t>Standard</t>
        </is>
      </c>
      <c r="H172" s="72" t="n">
        <v>44942</v>
      </c>
      <c r="I172" s="73" t="n">
        <v>442.1</v>
      </c>
      <c r="J172" s="71" t="inlineStr">
        <is>
          <t>gross (price x shares)</t>
        </is>
      </c>
      <c r="K172" s="74" t="n"/>
      <c r="L172" s="74" t="n">
        <v>5.6</v>
      </c>
      <c r="M172" s="74" t="n">
        <v>5.6</v>
      </c>
      <c r="N172" s="71" t="inlineStr">
        <is>
          <t>Y</t>
        </is>
      </c>
      <c r="O172" s="75" t="n">
        <v>100</v>
      </c>
      <c r="P172" s="75" t="n"/>
      <c r="Q172" s="76" t="n">
        <v>8895.9</v>
      </c>
      <c r="R172" s="71" t="inlineStr">
        <is>
          <t>aastocks:上市市值 at the struck price</t>
        </is>
      </c>
      <c r="S172" s="77" t="n">
        <v>12.2</v>
      </c>
      <c r="T172" s="78" t="n">
        <v>2.8</v>
      </c>
      <c r="U172" s="79" t="n">
        <v>5.32</v>
      </c>
      <c r="V172" s="80" t="n">
        <v>174</v>
      </c>
      <c r="W172" s="75" t="n"/>
      <c r="X172" s="71" t="n"/>
      <c r="Y172" s="76" t="n">
        <v>418.58</v>
      </c>
      <c r="Z172" s="76" t="n">
        <v>74747493</v>
      </c>
      <c r="AA172" s="75" t="n">
        <v>4.71</v>
      </c>
      <c r="AB172" s="71" t="inlineStr">
        <is>
          <t>HONG KONG BAIJIADA NEW MATERIAL LIMITED; Nantong Douson Drilling and Production Equipment Co., Ltd; Yip Wing Kui</t>
        </is>
      </c>
      <c r="AC172" s="71" t="inlineStr">
        <is>
          <t>baijiada;nantong;yip</t>
        </is>
      </c>
      <c r="AD172" s="75" t="n">
        <v>15</v>
      </c>
      <c r="AE172" s="71" t="inlineStr">
        <is>
          <t>partial</t>
        </is>
      </c>
      <c r="AF172" s="71" t="inlineStr">
        <is>
          <t>2023-02-08</t>
        </is>
      </c>
      <c r="AG172" s="71" t="inlineStr">
        <is>
          <t>Morgan Stanley Asia Limited</t>
        </is>
      </c>
      <c r="AH172" s="71" t="inlineStr">
        <is>
          <t>Morgan Stanley</t>
        </is>
      </c>
      <c r="AI172" s="81" t="n">
        <v>16.43</v>
      </c>
      <c r="AJ172" s="82" t="n">
        <v>7.14</v>
      </c>
      <c r="AK172" s="82" t="n">
        <v>16.43</v>
      </c>
      <c r="AL172" s="82" t="n">
        <v>-7.98</v>
      </c>
      <c r="AM172" s="83" t="n"/>
      <c r="AN172" s="75" t="n">
        <v>17.18</v>
      </c>
      <c r="AO172" s="82" t="n">
        <v>1.07</v>
      </c>
      <c r="AP172" s="82" t="n">
        <v>0.71</v>
      </c>
      <c r="AQ172" s="82" t="n">
        <v>5.54</v>
      </c>
      <c r="AR172" s="82" t="n">
        <v>-5.67</v>
      </c>
      <c r="AS172" s="82" t="n">
        <v>-6</v>
      </c>
      <c r="AT172" s="82" t="n">
        <v>-1.49</v>
      </c>
      <c r="AU172" s="82" t="n">
        <v>-3.18</v>
      </c>
      <c r="AV172" s="82" t="n">
        <v>6.37</v>
      </c>
      <c r="AW172" s="82" t="n">
        <v>15.72</v>
      </c>
      <c r="AX172" s="82" t="n">
        <v>-0.58</v>
      </c>
      <c r="AY172" s="82" t="n">
        <v>-5.66</v>
      </c>
      <c r="AZ172" s="82" t="n">
        <v>-5.42</v>
      </c>
      <c r="BA172" s="71" t="inlineStr">
        <is>
          <t>Hang Seng Commerce &amp; Industry sub-index</t>
        </is>
      </c>
      <c r="BB172" s="82" t="n">
        <v>-72.31999999999999</v>
      </c>
      <c r="BC172" s="72" t="inlineStr">
        <is>
          <t>2026-09-23</t>
        </is>
      </c>
      <c r="BD172" s="73" t="n">
        <v>11318.3</v>
      </c>
      <c r="BE172" s="76" t="n">
        <v>243.5</v>
      </c>
      <c r="BF172" s="71" t="inlineStr">
        <is>
          <t>Y</t>
        </is>
      </c>
      <c r="BG172" s="83" t="n">
        <v>36.5</v>
      </c>
      <c r="BH172" s="83" t="n"/>
      <c r="BI172" s="83" t="n"/>
      <c r="BJ172" s="83" t="n">
        <v>0.8</v>
      </c>
      <c r="BK172" s="84">
        <f>IF('BBG Verify'!S172="","not filed; run on terminal",'BBG Verify'!S172)</f>
        <v/>
      </c>
      <c r="BL172" s="85" t="inlineStr">
        <is>
          <t>N</t>
        </is>
      </c>
      <c r="BM172" s="86">
        <f>IF('BBG Verify'!K172="","not filed; run on terminal",'BBG Verify'!K172)</f>
        <v/>
      </c>
      <c r="BN172" s="71" t="inlineStr">
        <is>
          <t>N/A</t>
        </is>
      </c>
      <c r="BO172" s="71" t="inlineStr">
        <is>
          <t>N/A</t>
        </is>
      </c>
      <c r="BP172" s="71" t="inlineStr">
        <is>
          <t>N/A</t>
        </is>
      </c>
      <c r="BQ172" s="71" t="inlineStr">
        <is>
          <t>N/A</t>
        </is>
      </c>
      <c r="BR172" s="71" t="inlineStr">
        <is>
          <t>N/A</t>
        </is>
      </c>
      <c r="BS172" s="71" t="inlineStr">
        <is>
          <t>N/A</t>
        </is>
      </c>
      <c r="BT172" s="85" t="n"/>
      <c r="BU172" s="71" t="inlineStr">
        <is>
          <t>Morgan Stanley Asia Limited</t>
        </is>
      </c>
      <c r="BV172" s="71" t="inlineStr">
        <is>
          <t>CMB International Capital Limited; First Shanghai Securities Limited; Fosun Hani Securities Limited; Futu Securities International (Hong Kong) Limited; Morgan Stanley Asia Limited; Tiger Brokers (HK) Global Limited</t>
        </is>
      </c>
      <c r="BW172" s="71" t="inlineStr">
        <is>
          <t>CMB International Capital Limited; First Shanghai Securities Limited; Fosun Hani Securities Limited; Futu Securities International (Hong Kong) Limited; Morgan Stanley Asia Limited; Tiger Brokers (HK) Global Limited</t>
        </is>
      </c>
      <c r="BX172" s="87">
        <f>HYPERLINK("https://www1.hkexnews.hk/listedco/listconews/sehk/2022/1229/2022122900158.htm","prospectus")</f>
        <v/>
      </c>
      <c r="BY172" s="87">
        <f>HYPERLINK("https://www1.hkexnews.hk/listedco/listconews/sehk/2023/0113/2023011300018.htm","allotment")</f>
        <v/>
      </c>
      <c r="BZ172" s="87">
        <f>HYPERLINK("https://www1.hkexnews.hk/listedco/listconews/sehk/2023/0208/2023020800810.pdf","stabilisation")</f>
        <v/>
      </c>
      <c r="CA172" s="85" t="n"/>
      <c r="CB172" s="71" t="inlineStr">
        <is>
          <t>price range: fixed-price offering (no indicative range); range low: maximum offer price only, no floor published; sponsor: English name not in the filing; AAStocks 保薦人 shown;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3" ht="15" customHeight="1">
      <c r="A173" s="70" t="inlineStr">
        <is>
          <t>2373</t>
        </is>
      </c>
      <c r="B173" s="71" t="inlineStr">
        <is>
          <t>BEAUTYFARM MED</t>
        </is>
      </c>
      <c r="C173" s="71" t="inlineStr">
        <is>
          <t>美麗田園醫療健康</t>
        </is>
      </c>
      <c r="D173" s="71" t="inlineStr">
        <is>
          <t>Consumer</t>
        </is>
      </c>
      <c r="E173" s="71" t="inlineStr">
        <is>
          <t>Beauty / personal care</t>
        </is>
      </c>
      <c r="F173" s="71" t="inlineStr">
        <is>
          <t>Health Care Services</t>
        </is>
      </c>
      <c r="G173" s="71" t="inlineStr">
        <is>
          <t>Standard</t>
        </is>
      </c>
      <c r="H173" s="72" t="n">
        <v>44942</v>
      </c>
      <c r="I173" s="73" t="n">
        <v>783.2</v>
      </c>
      <c r="J173" s="71" t="inlineStr">
        <is>
          <t>gross (price x shares)</t>
        </is>
      </c>
      <c r="K173" s="74" t="n"/>
      <c r="L173" s="74" t="n">
        <v>19.32</v>
      </c>
      <c r="M173" s="74" t="n">
        <v>19.32</v>
      </c>
      <c r="N173" s="71" t="inlineStr">
        <is>
          <t>Y</t>
        </is>
      </c>
      <c r="O173" s="75" t="n">
        <v>100</v>
      </c>
      <c r="P173" s="75" t="n"/>
      <c r="Q173" s="76" t="n">
        <v>4454.8</v>
      </c>
      <c r="R173" s="71" t="inlineStr">
        <is>
          <t>prospectus:stated market capitalisation</t>
        </is>
      </c>
      <c r="S173" s="77" t="n">
        <v>22.12</v>
      </c>
      <c r="T173" s="78" t="n">
        <v>4.7</v>
      </c>
      <c r="U173" s="79" t="n">
        <v>28.4</v>
      </c>
      <c r="V173" s="80" t="n">
        <v>47</v>
      </c>
      <c r="W173" s="75" t="n"/>
      <c r="X173" s="71" t="n"/>
      <c r="Y173" s="76" t="n">
        <v>560.77</v>
      </c>
      <c r="Z173" s="76" t="n">
        <v>29024134</v>
      </c>
      <c r="AA173" s="75" t="n">
        <v>12.59</v>
      </c>
      <c r="AB173" s="71" t="inlineStr">
        <is>
          <t>Harvest International Premium Value (Secondary Market) Fund SPC; Juzi Holding Co., Ltd; Kunming Botanee Bio-technology Sales Co., Ltd; TruMed Healthcare Master Fund and TruMed Health Innovation Fund LP</t>
        </is>
      </c>
      <c r="AC173" s="71" t="inlineStr">
        <is>
          <t>harvest;juzi;kunming;trumed</t>
        </is>
      </c>
      <c r="AD173" s="75" t="n">
        <v>7</v>
      </c>
      <c r="AE173" s="71" t="inlineStr">
        <is>
          <t>full</t>
        </is>
      </c>
      <c r="AF173" s="71" t="inlineStr">
        <is>
          <t>2023-02-05</t>
        </is>
      </c>
      <c r="AG173" s="71" t="inlineStr">
        <is>
          <t>Morgan Stanley Asia Limited</t>
        </is>
      </c>
      <c r="AH173" s="71" t="inlineStr">
        <is>
          <t>Morgan Stanley</t>
        </is>
      </c>
      <c r="AI173" s="81" t="n">
        <v>48.29</v>
      </c>
      <c r="AJ173" s="82" t="n">
        <v>53.47</v>
      </c>
      <c r="AK173" s="82" t="n">
        <v>57.87</v>
      </c>
      <c r="AL173" s="82" t="n">
        <v>-2.79</v>
      </c>
      <c r="AM173" s="83" t="n"/>
      <c r="AN173" s="75" t="n">
        <v>15.9</v>
      </c>
      <c r="AO173" s="82" t="n">
        <v>56.31</v>
      </c>
      <c r="AP173" s="82" t="n">
        <v>45.96</v>
      </c>
      <c r="AQ173" s="82" t="n">
        <v>58.64</v>
      </c>
      <c r="AR173" s="82" t="n">
        <v>1.85</v>
      </c>
      <c r="AS173" s="82" t="n">
        <v>-4.89</v>
      </c>
      <c r="AT173" s="82" t="n">
        <v>3.37</v>
      </c>
      <c r="AU173" s="82" t="n">
        <v>52.06</v>
      </c>
      <c r="AV173" s="82" t="n">
        <v>51.62</v>
      </c>
      <c r="AW173" s="82" t="n">
        <v>68.81999999999999</v>
      </c>
      <c r="AX173" s="82" t="n">
        <v>0.53</v>
      </c>
      <c r="AY173" s="82" t="n">
        <v>-5.66</v>
      </c>
      <c r="AZ173" s="82" t="n">
        <v>-5.42</v>
      </c>
      <c r="BA173" s="71" t="inlineStr">
        <is>
          <t>Hang Seng Commerce &amp; Industry sub-index</t>
        </is>
      </c>
      <c r="BB173" s="82" t="n">
        <v>-3.57</v>
      </c>
      <c r="BC173" s="72" t="inlineStr">
        <is>
          <t>2026-09-23</t>
        </is>
      </c>
      <c r="BD173" s="73" t="n">
        <v>1958.8</v>
      </c>
      <c r="BE173" s="76" t="n">
        <v>229.2</v>
      </c>
      <c r="BF173" s="71" t="inlineStr">
        <is>
          <t>Y</t>
        </is>
      </c>
      <c r="BG173" s="83" t="n">
        <v>19.4</v>
      </c>
      <c r="BH173" s="83" t="n"/>
      <c r="BI173" s="83" t="n">
        <v>11.9</v>
      </c>
      <c r="BJ173" s="83" t="n">
        <v>2.3</v>
      </c>
      <c r="BK173" s="84">
        <f>IF('BBG Verify'!S173="","not filed; run on terminal",'BBG Verify'!S173)</f>
        <v/>
      </c>
      <c r="BL173" s="85" t="inlineStr">
        <is>
          <t>N</t>
        </is>
      </c>
      <c r="BM173" s="86">
        <f>IF('BBG Verify'!K173="","not filed; run on terminal",'BBG Verify'!K173)</f>
        <v/>
      </c>
      <c r="BN173" s="71" t="inlineStr">
        <is>
          <t>N/A</t>
        </is>
      </c>
      <c r="BO173" s="71" t="inlineStr">
        <is>
          <t>N/A</t>
        </is>
      </c>
      <c r="BP173" s="71" t="inlineStr">
        <is>
          <t>N/A</t>
        </is>
      </c>
      <c r="BQ173" s="71" t="inlineStr">
        <is>
          <t>N/A</t>
        </is>
      </c>
      <c r="BR173" s="71" t="inlineStr">
        <is>
          <t>N/A</t>
        </is>
      </c>
      <c r="BS173" s="71" t="inlineStr">
        <is>
          <t>N/A</t>
        </is>
      </c>
      <c r="BT173" s="85" t="inlineStr">
        <is>
          <t>Morgan Stanley Asia Limited; Haitong International Capital Limited; Huatai Financial Holdings (Hong Kong) Limited</t>
        </is>
      </c>
      <c r="BU173" s="71" t="inlineStr">
        <is>
          <t>Morgan Stanley Asia Limited; Haitong International Capital Limited; Huatai Financial Holdings (Hong Kong) Limited</t>
        </is>
      </c>
      <c r="BV173" s="71" t="inlineStr">
        <is>
          <t>Morgan Stanley Asia Limited; Haitong International Securities Company Limited; Huatai Financial Holdings (Hong Kong) Limited; CLSA Limited; ICBC International Capital Limited</t>
        </is>
      </c>
      <c r="BW173" s="71"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X173" s="87">
        <f>HYPERLINK("https://www1.hkexnews.hk/listedco/listconews/sehk/2022/1230/2022123000067.pdf","prospectus")</f>
        <v/>
      </c>
      <c r="BY173" s="87">
        <f>HYPERLINK("https://www1.hkexnews.hk/listedco/listconews/sehk/2023/0113/2023011300032.htm","allotment")</f>
        <v/>
      </c>
      <c r="BZ173" s="87">
        <f>HYPERLINK("https://www1.hkexnews.hk/listedco/listconews/sehk/2023/0205/2023020500007.pdf","stabilisation")</f>
        <v/>
      </c>
      <c r="CA173" s="85" t="n"/>
      <c r="CB173" s="71" t="inlineStr">
        <is>
          <t>range low: maximum offer price only, no floor published;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74" ht="15" customHeight="1">
      <c r="A174" s="70" t="inlineStr">
        <is>
          <t>2458</t>
        </is>
      </c>
      <c r="B174" s="71" t="inlineStr">
        <is>
          <t>GALA TECH HOLD</t>
        </is>
      </c>
      <c r="C174" s="71" t="inlineStr">
        <is>
          <t>望塵科技控股</t>
        </is>
      </c>
      <c r="D174" s="71" t="inlineStr">
        <is>
          <t>Tech/AI</t>
        </is>
      </c>
      <c r="E174" s="71" t="inlineStr">
        <is>
          <t>Fintech platform</t>
        </is>
      </c>
      <c r="F174" s="71" t="inlineStr">
        <is>
          <t>Gaming Software</t>
        </is>
      </c>
      <c r="G174" s="71" t="inlineStr">
        <is>
          <t>Standard</t>
        </is>
      </c>
      <c r="H174" s="72" t="n">
        <v>44942</v>
      </c>
      <c r="I174" s="73" t="n">
        <v>11</v>
      </c>
      <c r="J174" s="71" t="inlineStr">
        <is>
          <t>net proceeds</t>
        </is>
      </c>
      <c r="K174" s="74" t="n">
        <v>5.7</v>
      </c>
      <c r="L174" s="74" t="n">
        <v>7.16</v>
      </c>
      <c r="M174" s="74" t="n">
        <v>6.5</v>
      </c>
      <c r="N174" s="71" t="inlineStr">
        <is>
          <t>N</t>
        </is>
      </c>
      <c r="O174" s="75" t="n">
        <v>90.8</v>
      </c>
      <c r="P174" s="75" t="n">
        <v>54.8</v>
      </c>
      <c r="Q174" s="76" t="n">
        <v>969.5</v>
      </c>
      <c r="R174" s="71" t="inlineStr">
        <is>
          <t>aastocks:上市市值 at the struck price</t>
        </is>
      </c>
      <c r="S174" s="77" t="n">
        <v>3.4</v>
      </c>
      <c r="T174" s="78" t="n">
        <v>1.7</v>
      </c>
      <c r="U174" s="79" t="n">
        <v>0</v>
      </c>
      <c r="V174" s="80" t="n">
        <v>132</v>
      </c>
      <c r="W174" s="75" t="n"/>
      <c r="X174" s="71" t="n"/>
      <c r="Y174" s="76" t="n">
        <v>11</v>
      </c>
      <c r="Z174" s="76" t="n"/>
      <c r="AA174" s="75" t="n">
        <v>1.13</v>
      </c>
      <c r="AB174" s="71" t="n"/>
      <c r="AC174" s="71" t="n"/>
      <c r="AD174" s="75" t="n"/>
      <c r="AE174" s="71" t="n"/>
      <c r="AF174" s="71" t="n"/>
      <c r="AG174" s="71" t="n"/>
      <c r="AH174" s="71" t="n"/>
      <c r="AI174" s="81" t="n">
        <v>-13.69</v>
      </c>
      <c r="AJ174" s="82" t="n">
        <v>-11.54</v>
      </c>
      <c r="AK174" s="82" t="n">
        <v>-23.08</v>
      </c>
      <c r="AL174" s="82" t="n">
        <v>15</v>
      </c>
      <c r="AM174" s="83" t="n"/>
      <c r="AN174" s="75" t="n">
        <v>23</v>
      </c>
      <c r="AO174" s="82" t="n">
        <v>-20.92</v>
      </c>
      <c r="AP174" s="82" t="n">
        <v>4.46</v>
      </c>
      <c r="AQ174" s="82" t="n">
        <v>-20.31</v>
      </c>
      <c r="AR174" s="82" t="n">
        <v>-10.6</v>
      </c>
      <c r="AS174" s="82" t="n">
        <v>18.09</v>
      </c>
      <c r="AT174" s="82" t="n">
        <v>-9.91</v>
      </c>
      <c r="AU174" s="82" t="n">
        <v>-25.11</v>
      </c>
      <c r="AV174" s="82" t="n">
        <v>10.92</v>
      </c>
      <c r="AW174" s="82" t="n">
        <v>-7.35</v>
      </c>
      <c r="AX174" s="82" t="n">
        <v>23.33</v>
      </c>
      <c r="AY174" s="82" t="n">
        <v>-6.46</v>
      </c>
      <c r="AZ174" s="82" t="n">
        <v>-5.24</v>
      </c>
      <c r="BA174" s="71" t="inlineStr">
        <is>
          <t>HSTECH (Hang Seng TECH ETF)</t>
        </is>
      </c>
      <c r="BB174" s="82" t="n">
        <v>0</v>
      </c>
      <c r="BC174" s="72" t="inlineStr">
        <is>
          <t>2026-09-22</t>
        </is>
      </c>
      <c r="BD174" s="73" t="n">
        <v>505.8</v>
      </c>
      <c r="BE174" s="76" t="n">
        <v>-1</v>
      </c>
      <c r="BF174" s="71" t="inlineStr">
        <is>
          <t>N</t>
        </is>
      </c>
      <c r="BG174" s="71" t="inlineStr">
        <is>
          <t>n/m</t>
        </is>
      </c>
      <c r="BH174" s="83" t="n"/>
      <c r="BI174" s="83" t="n">
        <v>7.8</v>
      </c>
      <c r="BJ174" s="83" t="n">
        <v>1.9</v>
      </c>
      <c r="BK174" s="84">
        <f>IF('BBG Verify'!S174="","not filed; run on terminal",'BBG Verify'!S174)</f>
        <v/>
      </c>
      <c r="BL174" s="85" t="inlineStr">
        <is>
          <t>N</t>
        </is>
      </c>
      <c r="BM174" s="86">
        <f>IF('BBG Verify'!K174="","not filed; run on terminal",'BBG Verify'!K174)</f>
        <v/>
      </c>
      <c r="BN174" s="71" t="inlineStr">
        <is>
          <t>N/A</t>
        </is>
      </c>
      <c r="BO174" s="71" t="inlineStr">
        <is>
          <t>N/A</t>
        </is>
      </c>
      <c r="BP174" s="71" t="inlineStr">
        <is>
          <t>N/A</t>
        </is>
      </c>
      <c r="BQ174" s="71" t="inlineStr">
        <is>
          <t>N/A</t>
        </is>
      </c>
      <c r="BR174" s="71" t="inlineStr">
        <is>
          <t>N/A</t>
        </is>
      </c>
      <c r="BS174" s="71" t="inlineStr">
        <is>
          <t>N/A</t>
        </is>
      </c>
      <c r="BT174" s="85" t="inlineStr">
        <is>
          <t>UOB Kay Hian (Hong Kong) Limited</t>
        </is>
      </c>
      <c r="BU174" s="71" t="inlineStr">
        <is>
          <t>UOB Kay Hian (Hong Kong) Limited</t>
        </is>
      </c>
      <c r="BV174" s="71" t="inlineStr">
        <is>
          <t>UOB Kay Hian (Hong Kong) Limited</t>
        </is>
      </c>
      <c r="BW174" s="71" t="inlineStr">
        <is>
          <t>Futu Securities International (Hong Kong) Limited; Haitong International Securities Company Limited; Maxa Capital Limited; Tiger Brokers (HK) Global Limited; UOB Kay Hian (Hong Kong) Limited</t>
        </is>
      </c>
      <c r="BX174" s="87">
        <f>HYPERLINK("https://www1.hkexnews.hk/listedco/listconews/sehk/2022/1230/2022123000207.pdf","prospectus")</f>
        <v/>
      </c>
      <c r="BY174" s="87">
        <f>HYPERLINK("https://www1.hkexnews.hk/listedco/listconews/sehk/2023/0113/2023011300078.htm","allotment")</f>
        <v/>
      </c>
      <c r="BZ174" s="71" t="n"/>
      <c r="CA174" s="85" t="n"/>
      <c r="CB174" s="71"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eff float shares: share count unavailable; the HK$m figure is exact; allocation: allocation table not in this notice's format (older prose announcement); day-1 tape: volume on file; the retail multiple needs the final public split, which this notice does not state</t>
        </is>
      </c>
    </row>
    <row r="175" ht="15" customHeight="1">
      <c r="A175" s="70" t="inlineStr">
        <is>
          <t>2459</t>
        </is>
      </c>
      <c r="B175" s="71" t="inlineStr">
        <is>
          <t>SANERGY GROUP</t>
        </is>
      </c>
      <c r="C175" s="71" t="inlineStr">
        <is>
          <t>昇能集團</t>
        </is>
      </c>
      <c r="D175" s="71" t="inlineStr">
        <is>
          <t>Materials/Energy</t>
        </is>
      </c>
      <c r="E175" s="71" t="inlineStr">
        <is>
          <t>Chemicals</t>
        </is>
      </c>
      <c r="F175" s="71" t="inlineStr">
        <is>
          <t>Electrical Components &amp; Equipment</t>
        </is>
      </c>
      <c r="G175" s="71" t="inlineStr">
        <is>
          <t>Standard</t>
        </is>
      </c>
      <c r="H175" s="72" t="n">
        <v>44943</v>
      </c>
      <c r="I175" s="73" t="n">
        <v>275.8</v>
      </c>
      <c r="J175" s="71" t="inlineStr">
        <is>
          <t>gross (price x shares)</t>
        </is>
      </c>
      <c r="K175" s="74" t="n"/>
      <c r="L175" s="74" t="n">
        <v>2.2</v>
      </c>
      <c r="M175" s="74" t="n">
        <v>1.6</v>
      </c>
      <c r="N175" s="71" t="inlineStr">
        <is>
          <t>N</t>
        </is>
      </c>
      <c r="O175" s="75" t="n">
        <v>72.7</v>
      </c>
      <c r="P175" s="75" t="n"/>
      <c r="Q175" s="76" t="n">
        <v>1779.4</v>
      </c>
      <c r="R175" s="71" t="inlineStr">
        <is>
          <t>derived:deal size / offer % of enlarged capital</t>
        </is>
      </c>
      <c r="S175" s="77" t="n">
        <v>9.880000000000001</v>
      </c>
      <c r="T175" s="78" t="n">
        <v>1.2</v>
      </c>
      <c r="U175" s="79" t="n">
        <v>0</v>
      </c>
      <c r="V175" s="80" t="n">
        <v>122</v>
      </c>
      <c r="W175" s="75" t="n"/>
      <c r="X175" s="71" t="n"/>
      <c r="Y175" s="76" t="n">
        <v>275.8</v>
      </c>
      <c r="Z175" s="76" t="n">
        <v>172400000</v>
      </c>
      <c r="AA175" s="75" t="n">
        <v>15.5</v>
      </c>
      <c r="AB175" s="71" t="n"/>
      <c r="AC175" s="71" t="n"/>
      <c r="AD175" s="75" t="n">
        <v>15</v>
      </c>
      <c r="AE175" s="71" t="inlineStr">
        <is>
          <t>lapsed (no over-allocation)</t>
        </is>
      </c>
      <c r="AF175" s="71" t="n"/>
      <c r="AG175" s="71" t="inlineStr">
        <is>
          <t>Yue Xiu Securities Company Limited</t>
        </is>
      </c>
      <c r="AH175" s="71" t="inlineStr">
        <is>
          <t>Yue Xiu</t>
        </is>
      </c>
      <c r="AI175" s="81" t="n">
        <v>3.12</v>
      </c>
      <c r="AJ175" s="82" t="n">
        <v>11.25</v>
      </c>
      <c r="AK175" s="82" t="n">
        <v>5</v>
      </c>
      <c r="AL175" s="82" t="n">
        <v>5.95</v>
      </c>
      <c r="AM175" s="83" t="n"/>
      <c r="AN175" s="75" t="n">
        <v>17.26</v>
      </c>
      <c r="AO175" s="82" t="n">
        <v>3.12</v>
      </c>
      <c r="AP175" s="82" t="n">
        <v>51.25</v>
      </c>
      <c r="AQ175" s="82" t="n">
        <v>10</v>
      </c>
      <c r="AR175" s="82" t="n">
        <v>-7.31</v>
      </c>
      <c r="AS175" s="82" t="n">
        <v>35.96</v>
      </c>
      <c r="AT175" s="82" t="n">
        <v>-1.12</v>
      </c>
      <c r="AU175" s="82" t="n">
        <v>-2.34</v>
      </c>
      <c r="AV175" s="82" t="n">
        <v>55.97</v>
      </c>
      <c r="AW175" s="82" t="n">
        <v>20.52</v>
      </c>
      <c r="AX175" s="82" t="n">
        <v>40.1</v>
      </c>
      <c r="AY175" s="82" t="n">
        <v>-4.72</v>
      </c>
      <c r="AZ175" s="82" t="n">
        <v>-4.14</v>
      </c>
      <c r="BA175" s="71" t="inlineStr">
        <is>
          <t>Hang Seng Commerce &amp; Industry sub-index</t>
        </is>
      </c>
      <c r="BB175" s="82" t="n">
        <v>-96.22</v>
      </c>
      <c r="BC175" s="72" t="inlineStr">
        <is>
          <t>2026-09-23</t>
        </is>
      </c>
      <c r="BD175" s="73" t="n">
        <v>846.6</v>
      </c>
      <c r="BE175" s="76" t="n">
        <v>32.7</v>
      </c>
      <c r="BF175" s="71" t="inlineStr">
        <is>
          <t>Y</t>
        </is>
      </c>
      <c r="BG175" s="83" t="n">
        <v>54.4</v>
      </c>
      <c r="BH175" s="83" t="n"/>
      <c r="BI175" s="83" t="n"/>
      <c r="BJ175" s="83" t="n">
        <v>2.1</v>
      </c>
      <c r="BK175" s="84">
        <f>IF('BBG Verify'!S175="","not filed; run on terminal",'BBG Verify'!S175)</f>
        <v/>
      </c>
      <c r="BL175" s="85" t="inlineStr">
        <is>
          <t>N</t>
        </is>
      </c>
      <c r="BM175" s="86">
        <f>IF('BBG Verify'!K175="","not filed; run on terminal",'BBG Verify'!K175)</f>
        <v/>
      </c>
      <c r="BN175" s="71" t="inlineStr">
        <is>
          <t>N/A</t>
        </is>
      </c>
      <c r="BO175" s="71" t="inlineStr">
        <is>
          <t>N/A</t>
        </is>
      </c>
      <c r="BP175" s="71" t="inlineStr">
        <is>
          <t>N/A</t>
        </is>
      </c>
      <c r="BQ175" s="71" t="inlineStr">
        <is>
          <t>N/A</t>
        </is>
      </c>
      <c r="BR175" s="71" t="inlineStr">
        <is>
          <t>N/A</t>
        </is>
      </c>
      <c r="BS175" s="71" t="inlineStr">
        <is>
          <t>N/A</t>
        </is>
      </c>
      <c r="BT175" s="85" t="inlineStr">
        <is>
          <t>Southwest Securities (HK) Capital Limited</t>
        </is>
      </c>
      <c r="BU175" s="71" t="inlineStr">
        <is>
          <t>Southwest Securities (HK) Capital Limited</t>
        </is>
      </c>
      <c r="BV175" s="71" t="inlineStr">
        <is>
          <t>Southwest Securities (HK) Brokerage Limited; Yue Xiu Securities Company Limited; First Capital Securities Limited; Sheng Yuan Securities Limited; BOCI Asia Limited; ABCI Capital Limited; JMC Capital International Limited; Valuable Capital Limited</t>
        </is>
      </c>
      <c r="BW175" s="71"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X175" s="87">
        <f>HYPERLINK("https://www1.hkexnews.hk/listedco/listconews/sehk/2022/1230/2022123000059.pdf","prospectus")</f>
        <v/>
      </c>
      <c r="BY175" s="87">
        <f>HYPERLINK("https://www1.hkexnews.hk/listedco/listconews/sehk/2023/0116/2023011600008.htm","allotment")</f>
        <v/>
      </c>
      <c r="BZ175" s="87">
        <f>HYPERLINK("https://www1.hkexnews.hk/listedco/listconews/sehk/2023/0209/2023020900283.pdf","stabilisation")</f>
        <v/>
      </c>
      <c r="CA175" s="85" t="n"/>
      <c r="CB175" s="71"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allocation: allocation table not in this notice's format (older prose announcement); day-1 tape: volume on file; the retail multiple needs the final public split, which this notice does not state</t>
        </is>
      </c>
    </row>
    <row r="176" ht="15" customHeight="1">
      <c r="A176" s="70" t="inlineStr">
        <is>
          <t>2455</t>
        </is>
      </c>
      <c r="B176" s="71" t="inlineStr">
        <is>
          <t>RUNHUA SERVICE</t>
        </is>
      </c>
      <c r="C176" s="71" t="inlineStr">
        <is>
          <t>潤華服務</t>
        </is>
      </c>
      <c r="D176" s="71" t="inlineStr">
        <is>
          <t>Real Estate</t>
        </is>
      </c>
      <c r="E176" s="71" t="inlineStr">
        <is>
          <t>Property management</t>
        </is>
      </c>
      <c r="F176" s="71" t="inlineStr">
        <is>
          <t>Property Service and Management</t>
        </is>
      </c>
      <c r="G176" s="71" t="inlineStr">
        <is>
          <t>Standard</t>
        </is>
      </c>
      <c r="H176" s="72" t="n">
        <v>44943</v>
      </c>
      <c r="I176" s="73" t="n">
        <v>127.5</v>
      </c>
      <c r="J176" s="71" t="inlineStr">
        <is>
          <t>gross (price x shares)</t>
        </is>
      </c>
      <c r="K176" s="74" t="n">
        <v>1.7</v>
      </c>
      <c r="L176" s="74" t="n">
        <v>2</v>
      </c>
      <c r="M176" s="74" t="n">
        <v>1.7</v>
      </c>
      <c r="N176" s="71" t="inlineStr">
        <is>
          <t>N</t>
        </is>
      </c>
      <c r="O176" s="75" t="n">
        <v>85</v>
      </c>
      <c r="P176" s="75" t="n">
        <v>0</v>
      </c>
      <c r="Q176" s="76" t="n">
        <v>510</v>
      </c>
      <c r="R176" s="71" t="inlineStr">
        <is>
          <t>derived:deal size / offer % of enlarged capital</t>
        </is>
      </c>
      <c r="S176" s="77" t="n">
        <v>8.74</v>
      </c>
      <c r="T176" s="78" t="n">
        <v>1.29</v>
      </c>
      <c r="U176" s="79" t="n">
        <v>34.9</v>
      </c>
      <c r="V176" s="80" t="n">
        <v>144</v>
      </c>
      <c r="W176" s="75" t="n"/>
      <c r="X176" s="71" t="n"/>
      <c r="Y176" s="76" t="n">
        <v>83</v>
      </c>
      <c r="Z176" s="76" t="n">
        <v>48825000</v>
      </c>
      <c r="AA176" s="75" t="n">
        <v>16.27</v>
      </c>
      <c r="AB176" s="71" t="inlineStr">
        <is>
          <t>Jinan Huaiyin Urban Construction Investment Group Co., Ltd</t>
        </is>
      </c>
      <c r="AC176" s="71" t="inlineStr">
        <is>
          <t>jinan</t>
        </is>
      </c>
      <c r="AD176" s="75" t="n">
        <v>8.699999999999999</v>
      </c>
      <c r="AE176" s="71" t="inlineStr">
        <is>
          <t>lapsed (no over-allocation)</t>
        </is>
      </c>
      <c r="AF176" s="71" t="n"/>
      <c r="AG176" s="71" t="inlineStr">
        <is>
          <t>Zhongtai International Securities Limited</t>
        </is>
      </c>
      <c r="AH176" s="71" t="inlineStr">
        <is>
          <t>Zhongtai</t>
        </is>
      </c>
      <c r="AI176" s="81" t="n">
        <v>-23.53</v>
      </c>
      <c r="AJ176" s="82" t="n">
        <v>-25.88</v>
      </c>
      <c r="AK176" s="82" t="n">
        <v>-18.82</v>
      </c>
      <c r="AL176" s="82" t="n">
        <v>-8.699999999999999</v>
      </c>
      <c r="AM176" s="83" t="n"/>
      <c r="AN176" s="75" t="n">
        <v>10.14</v>
      </c>
      <c r="AO176" s="82" t="n">
        <v>-23.53</v>
      </c>
      <c r="AP176" s="82" t="n">
        <v>-25.88</v>
      </c>
      <c r="AQ176" s="82" t="n">
        <v>-20</v>
      </c>
      <c r="AR176" s="82" t="n">
        <v>3.17</v>
      </c>
      <c r="AS176" s="82" t="n">
        <v>0</v>
      </c>
      <c r="AT176" s="82" t="n">
        <v>7.93</v>
      </c>
      <c r="AU176" s="82" t="n">
        <v>-28.37</v>
      </c>
      <c r="AV176" s="82" t="n">
        <v>-21.46</v>
      </c>
      <c r="AW176" s="82" t="n">
        <v>-10.74</v>
      </c>
      <c r="AX176" s="82" t="n">
        <v>4.13</v>
      </c>
      <c r="AY176" s="82" t="n">
        <v>-4.42</v>
      </c>
      <c r="AZ176" s="82" t="n">
        <v>-4.13</v>
      </c>
      <c r="BA176" s="71" t="inlineStr">
        <is>
          <t>Hang Seng Properties sub-index</t>
        </is>
      </c>
      <c r="BB176" s="82" t="n">
        <v>-58.82</v>
      </c>
      <c r="BC176" s="72" t="inlineStr">
        <is>
          <t>2026-09-23</t>
        </is>
      </c>
      <c r="BD176" s="73" t="n">
        <v>661.4</v>
      </c>
      <c r="BE176" s="76" t="n">
        <v>44.2</v>
      </c>
      <c r="BF176" s="71" t="inlineStr">
        <is>
          <t>Y</t>
        </is>
      </c>
      <c r="BG176" s="83" t="n">
        <v>11.5</v>
      </c>
      <c r="BH176" s="83" t="n"/>
      <c r="BI176" s="83" t="n">
        <v>3.8</v>
      </c>
      <c r="BJ176" s="83" t="n">
        <v>0.8</v>
      </c>
      <c r="BK176" s="84">
        <f>IF('BBG Verify'!S176="","not filed; run on terminal",'BBG Verify'!S176)</f>
        <v/>
      </c>
      <c r="BL176" s="85" t="inlineStr">
        <is>
          <t>N</t>
        </is>
      </c>
      <c r="BM176" s="86">
        <f>IF('BBG Verify'!K176="","not filed; run on terminal",'BBG Verify'!K176)</f>
        <v/>
      </c>
      <c r="BN176" s="71" t="inlineStr">
        <is>
          <t>N/A</t>
        </is>
      </c>
      <c r="BO176" s="71" t="inlineStr">
        <is>
          <t>N/A</t>
        </is>
      </c>
      <c r="BP176" s="71" t="inlineStr">
        <is>
          <t>N/A</t>
        </is>
      </c>
      <c r="BQ176" s="71" t="inlineStr">
        <is>
          <t>N/A</t>
        </is>
      </c>
      <c r="BR176" s="71" t="inlineStr">
        <is>
          <t>N/A</t>
        </is>
      </c>
      <c r="BS176" s="71" t="inlineStr">
        <is>
          <t>N/A</t>
        </is>
      </c>
      <c r="BT176" s="85" t="inlineStr">
        <is>
          <t>Zhongtai International Capital Limited; OC Zhongtai International Securities Limited</t>
        </is>
      </c>
      <c r="BU176" s="71" t="inlineStr">
        <is>
          <t>Zhongtai International Capital Limited</t>
        </is>
      </c>
      <c r="BV176" s="71"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W176" s="71"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X176" s="87">
        <f>HYPERLINK("https://www1.hkexnews.hk/listedco/listconews/sehk/2022/1230/2022123000035.pdf","prospectus")</f>
        <v/>
      </c>
      <c r="BY176" s="87">
        <f>HYPERLINK("https://www1.hkexnews.hk/listedco/listconews/sehk/2023/0116/2023011600024.htm","allotment")</f>
        <v/>
      </c>
      <c r="BZ176" s="87">
        <f>HYPERLINK("https://www1.hkexnews.hk/listedco/listconews/sehk/2023/0208/2023020800031.pdf","stabilisation")</f>
        <v/>
      </c>
      <c r="CA176" s="85" t="n"/>
      <c r="CB176" s="71" t="inlineStr">
        <is>
          <t>greenshoe: outcome published; expiry date not in the notice; allocation: allocation table not in this notice's format (older prose announcement); day-1 tape: volume on file; the retail multiple needs the final public split, which this notice does not state</t>
        </is>
      </c>
    </row>
    <row r="177" ht="15" customHeight="1">
      <c r="A177" s="70" t="inlineStr">
        <is>
          <t>2306</t>
        </is>
      </c>
      <c r="B177" s="71" t="inlineStr">
        <is>
          <t>YH ENT</t>
        </is>
      </c>
      <c r="C177" s="71" t="inlineStr">
        <is>
          <t>樂華娛樂</t>
        </is>
      </c>
      <c r="D177" s="71" t="inlineStr">
        <is>
          <t>TMT-other</t>
        </is>
      </c>
      <c r="E177" s="71" t="inlineStr">
        <is>
          <t>Media / advertising</t>
        </is>
      </c>
      <c r="F177" s="71" t="inlineStr">
        <is>
          <t>Movies &amp; Entertainment</t>
        </is>
      </c>
      <c r="G177" s="71" t="inlineStr">
        <is>
          <t>Standard</t>
        </is>
      </c>
      <c r="H177" s="72" t="n">
        <v>44945</v>
      </c>
      <c r="I177" s="73" t="n">
        <v>489.8</v>
      </c>
      <c r="J177" s="71" t="inlineStr">
        <is>
          <t>gross (price x shares)</t>
        </is>
      </c>
      <c r="K177" s="74" t="n">
        <v>3.91</v>
      </c>
      <c r="L177" s="74" t="n">
        <v>5.06</v>
      </c>
      <c r="M177" s="74" t="n">
        <v>4.08</v>
      </c>
      <c r="N177" s="71" t="inlineStr">
        <is>
          <t>N</t>
        </is>
      </c>
      <c r="O177" s="75" t="n">
        <v>80.59999999999999</v>
      </c>
      <c r="P177" s="75" t="n">
        <v>14.8</v>
      </c>
      <c r="Q177" s="76" t="n">
        <v>4217.5</v>
      </c>
      <c r="R177" s="71" t="inlineStr">
        <is>
          <t>aastocks:上市市值 at the struck price</t>
        </is>
      </c>
      <c r="S177" s="77" t="n">
        <v>28.68</v>
      </c>
      <c r="T177" s="78" t="n">
        <v>1.29</v>
      </c>
      <c r="U177" s="79" t="n">
        <v>17.9</v>
      </c>
      <c r="V177" s="80" t="n">
        <v>112</v>
      </c>
      <c r="W177" s="75" t="n">
        <v>30</v>
      </c>
      <c r="X177" s="71" t="inlineStr">
        <is>
          <t>YES</t>
        </is>
      </c>
      <c r="Y177" s="76" t="n">
        <v>402.13</v>
      </c>
      <c r="Z177" s="76" t="n">
        <v>98569260</v>
      </c>
      <c r="AA177" s="75" t="n">
        <v>9.529999999999999</v>
      </c>
      <c r="AB177" s="71" t="inlineStr">
        <is>
          <t>Ding Shijia; Maoyan Entertainment (HK) Limited; Sun Mass Energy Development Limited; TradArt Asset Management Co., Limited</t>
        </is>
      </c>
      <c r="AC177" s="71" t="inlineStr">
        <is>
          <t>ding-shijia;maoyan;sun-mass;tradart</t>
        </is>
      </c>
      <c r="AD177" s="75" t="n">
        <v>12.28</v>
      </c>
      <c r="AE177" s="71" t="inlineStr">
        <is>
          <t>partial</t>
        </is>
      </c>
      <c r="AF177" s="71" t="n"/>
      <c r="AG177" s="71" t="inlineStr">
        <is>
          <t>China Securities</t>
        </is>
      </c>
      <c r="AH177" s="71" t="inlineStr">
        <is>
          <t>China Securities</t>
        </is>
      </c>
      <c r="AI177" s="81" t="n">
        <v>42.65</v>
      </c>
      <c r="AJ177" s="82" t="n">
        <v>47.79</v>
      </c>
      <c r="AK177" s="82" t="n">
        <v>37.25</v>
      </c>
      <c r="AL177" s="82" t="n">
        <v>7.68</v>
      </c>
      <c r="AM177" s="83" t="n">
        <v>1.46</v>
      </c>
      <c r="AN177" s="75" t="n">
        <v>21.07</v>
      </c>
      <c r="AO177" s="82" t="n">
        <v>17.16</v>
      </c>
      <c r="AP177" s="82" t="n">
        <v>6.86</v>
      </c>
      <c r="AQ177" s="82" t="n">
        <v>-1.23</v>
      </c>
      <c r="AR177" s="82" t="n">
        <v>-20.73</v>
      </c>
      <c r="AS177" s="82" t="n">
        <v>-27.69</v>
      </c>
      <c r="AT177" s="82" t="n">
        <v>-33.17</v>
      </c>
      <c r="AU177" s="82" t="n">
        <v>16.4</v>
      </c>
      <c r="AV177" s="82" t="n">
        <v>12.65</v>
      </c>
      <c r="AW177" s="82" t="n">
        <v>7.63</v>
      </c>
      <c r="AX177" s="82" t="n">
        <v>-22.01</v>
      </c>
      <c r="AY177" s="82" t="n">
        <v>-5.79</v>
      </c>
      <c r="AZ177" s="82" t="n">
        <v>-5.68</v>
      </c>
      <c r="BA177" s="71" t="inlineStr">
        <is>
          <t>Hang Seng Index</t>
        </is>
      </c>
      <c r="BB177" s="82" t="n">
        <v>-52.7</v>
      </c>
      <c r="BC177" s="72" t="inlineStr">
        <is>
          <t>2026-09-22</t>
        </is>
      </c>
      <c r="BD177" s="73" t="n">
        <v>1419.5</v>
      </c>
      <c r="BE177" s="76" t="n">
        <v>368.9</v>
      </c>
      <c r="BF177" s="71" t="inlineStr">
        <is>
          <t>Y</t>
        </is>
      </c>
      <c r="BG177" s="83" t="n">
        <v>11.4</v>
      </c>
      <c r="BH177" s="83" t="n"/>
      <c r="BI177" s="83" t="n">
        <v>22.1</v>
      </c>
      <c r="BJ177" s="83" t="n">
        <v>3</v>
      </c>
      <c r="BK177" s="84">
        <f>IF('BBG Verify'!S177="","not filed; run on terminal",'BBG Verify'!S177)</f>
        <v/>
      </c>
      <c r="BL177" s="85" t="inlineStr">
        <is>
          <t>N</t>
        </is>
      </c>
      <c r="BM177" s="86">
        <f>IF('BBG Verify'!K177="","not filed; run on terminal",'BBG Verify'!K177)</f>
        <v/>
      </c>
      <c r="BN177" s="71" t="inlineStr">
        <is>
          <t>N/A</t>
        </is>
      </c>
      <c r="BO177" s="71" t="inlineStr">
        <is>
          <t>N/A</t>
        </is>
      </c>
      <c r="BP177" s="71" t="inlineStr">
        <is>
          <t>N/A</t>
        </is>
      </c>
      <c r="BQ177" s="71" t="inlineStr">
        <is>
          <t>N/A</t>
        </is>
      </c>
      <c r="BR177" s="71" t="inlineStr">
        <is>
          <t>N/A</t>
        </is>
      </c>
      <c r="BS177" s="71" t="inlineStr">
        <is>
          <t>N/A</t>
        </is>
      </c>
      <c r="BT177" s="85" t="inlineStr">
        <is>
          <t>China Merchants Securities (HK) Co., Limited</t>
        </is>
      </c>
      <c r="BU177" s="71" t="inlineStr">
        <is>
          <t>China Securities (International) Corporate Finance Company Limited; China Merchants Securities (HK) Company Limited</t>
        </is>
      </c>
      <c r="BV177" s="71"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W177" s="71"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X177" s="87">
        <f>HYPERLINK("https://www1.hkexnews.hk/listedco/listconews/sehk/2022/1230/2022123000047.pdf","prospectus")</f>
        <v/>
      </c>
      <c r="BY177" s="87">
        <f>HYPERLINK("https://www1.hkexnews.hk/listedco/listconews/sehk/2023/0118/2023011800042.htm","allotment")</f>
        <v/>
      </c>
      <c r="BZ177" s="87">
        <f>HYPERLINK("https://www1.hkexnews.hk/listedco/listconews/sehk/2023/0212/2023021200017.pdf","stabilisation")</f>
        <v/>
      </c>
      <c r="CA177" s="85" t="n"/>
      <c r="CB177" s="71" t="inlineStr">
        <is>
          <t>greenshoe: outcome published; expiry date not in the notice</t>
        </is>
      </c>
    </row>
    <row r="178" ht="15" customHeight="1">
      <c r="A178" s="70" t="inlineStr">
        <is>
          <t>2450</t>
        </is>
      </c>
      <c r="B178" s="71" t="inlineStr">
        <is>
          <t>HUAIBEI GD CO</t>
        </is>
      </c>
      <c r="C178" s="71" t="inlineStr">
        <is>
          <t>淮北綠金股份</t>
        </is>
      </c>
      <c r="D178" s="71" t="inlineStr">
        <is>
          <t>Materials/Energy</t>
        </is>
      </c>
      <c r="E178" s="71" t="inlineStr">
        <is>
          <t>Chemicals</t>
        </is>
      </c>
      <c r="F178" s="71" t="inlineStr">
        <is>
          <t>Construction Materials</t>
        </is>
      </c>
      <c r="G178" s="71" t="inlineStr">
        <is>
          <t>Standard</t>
        </is>
      </c>
      <c r="H178" s="72" t="n">
        <v>44946</v>
      </c>
      <c r="I178" s="73" t="n">
        <v>126.1</v>
      </c>
      <c r="J178" s="71" t="inlineStr">
        <is>
          <t>gross (price x shares)</t>
        </is>
      </c>
      <c r="K178" s="74" t="n">
        <v>1.91</v>
      </c>
      <c r="L178" s="74" t="n">
        <v>2.31</v>
      </c>
      <c r="M178" s="74" t="n">
        <v>1.91</v>
      </c>
      <c r="N178" s="71" t="inlineStr">
        <is>
          <t>N</t>
        </is>
      </c>
      <c r="O178" s="75" t="n">
        <v>82.7</v>
      </c>
      <c r="P178" s="75" t="n">
        <v>0</v>
      </c>
      <c r="Q178" s="76" t="n">
        <v>504.3</v>
      </c>
      <c r="R178" s="71" t="inlineStr">
        <is>
          <t>prospectus:stated market capitalisation</t>
        </is>
      </c>
      <c r="S178" s="77" t="n">
        <v>12.26</v>
      </c>
      <c r="T178" s="78" t="n">
        <v>0.95</v>
      </c>
      <c r="U178" s="79" t="n">
        <v>0</v>
      </c>
      <c r="V178" s="80" t="n">
        <v>137</v>
      </c>
      <c r="W178" s="75" t="n">
        <v>20</v>
      </c>
      <c r="X178" s="71" t="n"/>
      <c r="Y178" s="76" t="n">
        <v>126.1</v>
      </c>
      <c r="Z178" s="76" t="n">
        <v>66000000</v>
      </c>
      <c r="AA178" s="75" t="n">
        <v>25</v>
      </c>
      <c r="AB178" s="71" t="n"/>
      <c r="AC178" s="71" t="n"/>
      <c r="AD178" s="75" t="n">
        <v>20</v>
      </c>
      <c r="AE178" s="71" t="inlineStr">
        <is>
          <t>lapsed (no over-allocation)</t>
        </is>
      </c>
      <c r="AF178" s="71" t="inlineStr">
        <is>
          <t>2023-02-12</t>
        </is>
      </c>
      <c r="AG178" s="71" t="inlineStr">
        <is>
          <t>China Everbright Securities</t>
        </is>
      </c>
      <c r="AH178" s="71" t="inlineStr">
        <is>
          <t>China Everbright</t>
        </is>
      </c>
      <c r="AI178" s="81" t="n">
        <v>-38.74</v>
      </c>
      <c r="AJ178" s="82" t="n">
        <v>-44.5</v>
      </c>
      <c r="AK178" s="82" t="n">
        <v>-36.65</v>
      </c>
      <c r="AL178" s="82" t="n">
        <v>-12.39</v>
      </c>
      <c r="AM178" s="83" t="n">
        <v>3.56</v>
      </c>
      <c r="AN178" s="75" t="n">
        <v>17.36</v>
      </c>
      <c r="AO178" s="82" t="n">
        <v>-47.64</v>
      </c>
      <c r="AP178" s="82" t="n">
        <v>-57.59</v>
      </c>
      <c r="AQ178" s="82" t="n">
        <v>-63.87</v>
      </c>
      <c r="AR178" s="82" t="n">
        <v>-5.66</v>
      </c>
      <c r="AS178" s="82" t="n">
        <v>-23.59</v>
      </c>
      <c r="AT178" s="82" t="n">
        <v>-34.9</v>
      </c>
      <c r="AU178" s="82" t="n">
        <v>-50.94</v>
      </c>
      <c r="AV178" s="82" t="n">
        <v>-49.69</v>
      </c>
      <c r="AW178" s="82" t="n">
        <v>-52.12</v>
      </c>
      <c r="AX178" s="82" t="n">
        <v>-13.47</v>
      </c>
      <c r="AY178" s="82" t="n">
        <v>-7.9</v>
      </c>
      <c r="AZ178" s="82" t="n">
        <v>-10.12</v>
      </c>
      <c r="BA178" s="71" t="inlineStr">
        <is>
          <t>Hang Seng Commerce &amp; Industry sub-index</t>
        </is>
      </c>
      <c r="BB178" s="82" t="n">
        <v>434.03</v>
      </c>
      <c r="BC178" s="72" t="inlineStr">
        <is>
          <t>2026-09-23</t>
        </is>
      </c>
      <c r="BD178" s="73" t="n">
        <v>407.4</v>
      </c>
      <c r="BE178" s="76" t="n">
        <v>108.8</v>
      </c>
      <c r="BF178" s="71" t="inlineStr">
        <is>
          <t>Y</t>
        </is>
      </c>
      <c r="BG178" s="83" t="n">
        <v>4.6</v>
      </c>
      <c r="BH178" s="83" t="n"/>
      <c r="BI178" s="83" t="n"/>
      <c r="BJ178" s="83" t="n">
        <v>1.2</v>
      </c>
      <c r="BK178" s="84">
        <f>IF('BBG Verify'!S178="","not filed; run on terminal",'BBG Verify'!S178)</f>
        <v/>
      </c>
      <c r="BL178" s="85" t="inlineStr">
        <is>
          <t>N</t>
        </is>
      </c>
      <c r="BM178" s="86">
        <f>IF('BBG Verify'!K178="","not filed; run on terminal",'BBG Verify'!K178)</f>
        <v/>
      </c>
      <c r="BN178" s="71" t="inlineStr">
        <is>
          <t>N/A</t>
        </is>
      </c>
      <c r="BO178" s="71" t="inlineStr">
        <is>
          <t>N/A</t>
        </is>
      </c>
      <c r="BP178" s="71" t="inlineStr">
        <is>
          <t>N/A</t>
        </is>
      </c>
      <c r="BQ178" s="71" t="inlineStr">
        <is>
          <t>N/A</t>
        </is>
      </c>
      <c r="BR178" s="71" t="inlineStr">
        <is>
          <t>N/A</t>
        </is>
      </c>
      <c r="BS178" s="71" t="inlineStr">
        <is>
          <t>N/A</t>
        </is>
      </c>
      <c r="BT178" s="85" t="inlineStr">
        <is>
          <t>China Everbright Capital Limited</t>
        </is>
      </c>
      <c r="BU178" s="71" t="inlineStr">
        <is>
          <t>China Everbright Capital Limited</t>
        </is>
      </c>
      <c r="BV178" s="71"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W178" s="71"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X178" s="87">
        <f>HYPERLINK("https://www1.hkexnews.hk/listedco/listconews/sehk/2022/1230/2022123000043.pdf","prospectus")</f>
        <v/>
      </c>
      <c r="BY178" s="87">
        <f>HYPERLINK("https://www1.hkexnews.hk/listedco/listconews/sehk/2023/0119/2023011900018.htm","allotment")</f>
        <v/>
      </c>
      <c r="BZ178" s="87">
        <f>HYPERLINK("https://www1.hkexnews.hk/listedco/listconews/sehk/2023/0212/2023021200031.pdf","stabilisation")</f>
        <v/>
      </c>
      <c r="CA178" s="85" t="n"/>
      <c r="CB178" s="71" t="inlineStr">
        <is>
          <t>cornerstone list: no cornerstone tranche; allocation: clawback line not in this notice; a 12-28% split is consistent with either a tier-1 clawback or a placing shortfall</t>
        </is>
      </c>
    </row>
    <row r="179" ht="15" customHeight="1">
      <c r="A179" s="70" t="inlineStr">
        <is>
          <t>2482</t>
        </is>
      </c>
      <c r="B179" s="71" t="inlineStr">
        <is>
          <t>LOGORY</t>
        </is>
      </c>
      <c r="C179" s="71" t="inlineStr">
        <is>
          <t>維天運通</t>
        </is>
      </c>
      <c r="D179" s="71" t="inlineStr">
        <is>
          <t>Industrials</t>
        </is>
      </c>
      <c r="E179" s="71" t="inlineStr">
        <is>
          <t>Logistics</t>
        </is>
      </c>
      <c r="F179" s="71" t="inlineStr">
        <is>
          <t>Air Freight &amp; Logistics</t>
        </is>
      </c>
      <c r="G179" s="71" t="inlineStr">
        <is>
          <t>Standard</t>
        </is>
      </c>
      <c r="H179" s="72" t="n">
        <v>44994</v>
      </c>
      <c r="I179" s="73" t="n">
        <v>125.3</v>
      </c>
      <c r="J179" s="71" t="inlineStr">
        <is>
          <t>gross (price x shares)</t>
        </is>
      </c>
      <c r="K179" s="74" t="n">
        <v>2.9</v>
      </c>
      <c r="L179" s="74" t="n">
        <v>3.5</v>
      </c>
      <c r="M179" s="74" t="n">
        <v>2.9</v>
      </c>
      <c r="N179" s="71" t="inlineStr">
        <is>
          <t>N</t>
        </is>
      </c>
      <c r="O179" s="75" t="n">
        <v>82.90000000000001</v>
      </c>
      <c r="P179" s="75" t="n">
        <v>0</v>
      </c>
      <c r="Q179" s="76" t="n">
        <v>4735.2</v>
      </c>
      <c r="R179" s="71" t="inlineStr">
        <is>
          <t>aastocks:上市市值 at the struck price</t>
        </is>
      </c>
      <c r="S179" s="77" t="n">
        <v>23.09</v>
      </c>
      <c r="T179" s="78" t="n">
        <v>1.43</v>
      </c>
      <c r="U179" s="79" t="n">
        <v>65.2</v>
      </c>
      <c r="V179" s="80" t="n">
        <v>100</v>
      </c>
      <c r="W179" s="75" t="n"/>
      <c r="X179" s="71" t="n"/>
      <c r="Y179" s="76" t="n">
        <v>43.6</v>
      </c>
      <c r="Z179" s="76" t="n">
        <v>15037428</v>
      </c>
      <c r="AA179" s="75" t="n">
        <v>0.92</v>
      </c>
      <c r="AB179" s="71" t="inlineStr">
        <is>
          <t>Hefei Gaoxin Development &amp; Investment Group Co., Ltd; XINGTAI HOLDING COMPANY (HONG KONG) LIMITED</t>
        </is>
      </c>
      <c r="AC179" s="71" t="inlineStr">
        <is>
          <t>hefei;xingtai</t>
        </is>
      </c>
      <c r="AD179" s="75" t="n">
        <v>19.62</v>
      </c>
      <c r="AE179" s="71" t="inlineStr">
        <is>
          <t>lapsed (no over-allocation)</t>
        </is>
      </c>
      <c r="AF179" s="71" t="n"/>
      <c r="AG179" s="71" t="inlineStr">
        <is>
          <t>Haitong International Securities Company Limited</t>
        </is>
      </c>
      <c r="AH179" s="71" t="inlineStr">
        <is>
          <t>Haitong</t>
        </is>
      </c>
      <c r="AI179" s="81" t="n">
        <v>0.34</v>
      </c>
      <c r="AJ179" s="82" t="n">
        <v>-2.07</v>
      </c>
      <c r="AK179" s="82" t="n">
        <v>-3.1</v>
      </c>
      <c r="AL179" s="82" t="n">
        <v>1.06</v>
      </c>
      <c r="AM179" s="83" t="n"/>
      <c r="AN179" s="75" t="n">
        <v>7.12</v>
      </c>
      <c r="AO179" s="82" t="n">
        <v>-1.38</v>
      </c>
      <c r="AP179" s="82" t="n">
        <v>-4.48</v>
      </c>
      <c r="AQ179" s="82" t="n">
        <v>-6.9</v>
      </c>
      <c r="AR179" s="82" t="n">
        <v>0.7</v>
      </c>
      <c r="AS179" s="82" t="n">
        <v>-2.46</v>
      </c>
      <c r="AT179" s="82" t="n">
        <v>-4.93</v>
      </c>
      <c r="AU179" s="82" t="n">
        <v>2.92</v>
      </c>
      <c r="AV179" s="82" t="n">
        <v>-6.85</v>
      </c>
      <c r="AW179" s="82" t="n">
        <v>-3.69</v>
      </c>
      <c r="AX179" s="82" t="n">
        <v>-5.71</v>
      </c>
      <c r="AY179" s="82" t="n">
        <v>2.37</v>
      </c>
      <c r="AZ179" s="82" t="n">
        <v>3.25</v>
      </c>
      <c r="BA179" s="71" t="inlineStr">
        <is>
          <t>Hang Seng Commerce &amp; Industry sub-index</t>
        </is>
      </c>
      <c r="BB179" s="82" t="n">
        <v>-90.34</v>
      </c>
      <c r="BC179" s="72" t="inlineStr">
        <is>
          <t>2026-09-18</t>
        </is>
      </c>
      <c r="BD179" s="73" t="n">
        <v>6927</v>
      </c>
      <c r="BE179" s="76" t="n"/>
      <c r="BF179" s="71" t="inlineStr">
        <is>
          <t>Y</t>
        </is>
      </c>
      <c r="BG179" s="84">
        <f>IF('BBG Verify'!O179="","not filed; run on terminal",'BBG Verify'!O179)</f>
        <v/>
      </c>
      <c r="BH179" s="83" t="n"/>
      <c r="BI179" s="83" t="n">
        <v>8.4</v>
      </c>
      <c r="BJ179" s="83" t="n">
        <v>0.7</v>
      </c>
      <c r="BK179" s="84">
        <f>IF('BBG Verify'!S179="","not filed; run on terminal",'BBG Verify'!S179)</f>
        <v/>
      </c>
      <c r="BL179" s="85" t="inlineStr">
        <is>
          <t>N</t>
        </is>
      </c>
      <c r="BM179" s="86">
        <f>IF('BBG Verify'!K179="","not filed; run on terminal",'BBG Verify'!K179)</f>
        <v/>
      </c>
      <c r="BN179" s="71" t="inlineStr">
        <is>
          <t>N/A</t>
        </is>
      </c>
      <c r="BO179" s="71" t="inlineStr">
        <is>
          <t>N/A</t>
        </is>
      </c>
      <c r="BP179" s="71" t="inlineStr">
        <is>
          <t>N/A</t>
        </is>
      </c>
      <c r="BQ179" s="71" t="inlineStr">
        <is>
          <t>N/A</t>
        </is>
      </c>
      <c r="BR179" s="71" t="inlineStr">
        <is>
          <t>N/A</t>
        </is>
      </c>
      <c r="BS179" s="71" t="inlineStr">
        <is>
          <t>N/A</t>
        </is>
      </c>
      <c r="BT179" s="85" t="inlineStr">
        <is>
          <t>Haitong International Capital Limited; Haitong International Securities Company Limited</t>
        </is>
      </c>
      <c r="BU179" s="71" t="inlineStr">
        <is>
          <t>Haitong International Capital Limited</t>
        </is>
      </c>
      <c r="BV179" s="71" t="inlineStr">
        <is>
          <t>Haitong International Securities Company Limited; CLSA Limited</t>
        </is>
      </c>
      <c r="BW179" s="71" t="inlineStr">
        <is>
          <t>CLSA Limited; Haitong International Securities Company Limited; SDHG International Securities Limited; Sinomax Securities Limited; Valuable Capital Limited</t>
        </is>
      </c>
      <c r="BX179" s="87">
        <f>HYPERLINK("https://www1.hkexnews.hk/listedco/listconews/sehk/2023/0227/2023022700005.pdf","prospectus")</f>
        <v/>
      </c>
      <c r="BY179" s="87">
        <f>HYPERLINK("https://www1.hkexnews.hk/listedco/listconews/sehk/2023/0308/2023030800008.htm","allotment")</f>
        <v/>
      </c>
      <c r="BZ179" s="87">
        <f>HYPERLINK("https://www1.hkexnews.hk/listedco/listconews/sehk/2023/0403/2023040300095.pdf","stabilisation")</f>
        <v/>
      </c>
      <c r="CA179" s="85" t="n"/>
      <c r="CB179" s="71"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allocation: allocation table not in this notice's format (older prose announcement); day-1 tape: volume on file; the retail multiple needs the final public split, which this notice does not state</t>
        </is>
      </c>
    </row>
    <row r="180" ht="15" customHeight="1">
      <c r="A180" s="70" t="inlineStr">
        <is>
          <t>9636</t>
        </is>
      </c>
      <c r="B180" s="71" t="inlineStr">
        <is>
          <t>JF WEALTH</t>
        </is>
      </c>
      <c r="C180" s="71" t="inlineStr">
        <is>
          <t>九方智投控股</t>
        </is>
      </c>
      <c r="D180" s="71" t="inlineStr">
        <is>
          <t>Financials</t>
        </is>
      </c>
      <c r="E180" s="71" t="inlineStr">
        <is>
          <t>Brokers / asset management</t>
        </is>
      </c>
      <c r="F180" s="71" t="inlineStr">
        <is>
          <t>Education Services</t>
        </is>
      </c>
      <c r="G180" s="71" t="inlineStr">
        <is>
          <t>Standard</t>
        </is>
      </c>
      <c r="H180" s="72" t="n">
        <v>44995</v>
      </c>
      <c r="I180" s="73" t="n">
        <v>1013.5</v>
      </c>
      <c r="J180" s="71" t="inlineStr">
        <is>
          <t>gross (price x shares)</t>
        </is>
      </c>
      <c r="K180" s="74" t="n">
        <v>16.98</v>
      </c>
      <c r="L180" s="74" t="n">
        <v>18.78</v>
      </c>
      <c r="M180" s="74" t="n">
        <v>17</v>
      </c>
      <c r="N180" s="71" t="inlineStr">
        <is>
          <t>N</t>
        </is>
      </c>
      <c r="O180" s="75" t="n">
        <v>90.5</v>
      </c>
      <c r="P180" s="75" t="n">
        <v>1.1</v>
      </c>
      <c r="Q180" s="76" t="n">
        <v>7908.8</v>
      </c>
      <c r="R180" s="71" t="inlineStr">
        <is>
          <t>prospectus:stated market capitalisation</t>
        </is>
      </c>
      <c r="S180" s="77" t="n">
        <v>2.59</v>
      </c>
      <c r="T180" s="78" t="n">
        <v>1.85</v>
      </c>
      <c r="U180" s="79" t="n">
        <v>7.75</v>
      </c>
      <c r="V180" s="80" t="n">
        <v>160</v>
      </c>
      <c r="W180" s="75" t="n"/>
      <c r="X180" s="71" t="n"/>
      <c r="Y180" s="76" t="n">
        <v>934.95</v>
      </c>
      <c r="Z180" s="76" t="n">
        <v>54998066</v>
      </c>
      <c r="AA180" s="75" t="n">
        <v>11.82</v>
      </c>
      <c r="AB180" s="71" t="inlineStr">
        <is>
          <t>Duke King Holdings Limited; Garland Glory Holdings Limited; New China Asset Management (Hong Kong) Limited; Orchid Asia V Co-Investment, Limited; Sichuan Hebang Investment Group Co., Ltd</t>
        </is>
      </c>
      <c r="AC180" s="71" t="inlineStr">
        <is>
          <t>duke;garland;new;orchid;sichuan</t>
        </is>
      </c>
      <c r="AD180" s="75" t="n">
        <v>10</v>
      </c>
      <c r="AE180" s="71" t="inlineStr">
        <is>
          <t>partial</t>
        </is>
      </c>
      <c r="AF180" s="71" t="inlineStr">
        <is>
          <t>2023-04-02</t>
        </is>
      </c>
      <c r="AG180" s="71" t="inlineStr">
        <is>
          <t>China International Capital Corporation Hong Kong Securities Limited</t>
        </is>
      </c>
      <c r="AH180" s="71" t="inlineStr">
        <is>
          <t>China International</t>
        </is>
      </c>
      <c r="AI180" s="81" t="n">
        <v>4.12</v>
      </c>
      <c r="AJ180" s="82" t="n">
        <v>0.82</v>
      </c>
      <c r="AK180" s="82" t="n">
        <v>0.12</v>
      </c>
      <c r="AL180" s="82" t="n">
        <v>0.7</v>
      </c>
      <c r="AM180" s="83" t="n"/>
      <c r="AN180" s="75" t="n">
        <v>3.41</v>
      </c>
      <c r="AO180" s="82" t="n">
        <v>-0.82</v>
      </c>
      <c r="AP180" s="82" t="n">
        <v>-7.65</v>
      </c>
      <c r="AQ180" s="82" t="n">
        <v>-4.82</v>
      </c>
      <c r="AR180" s="82" t="n">
        <v>-1.63</v>
      </c>
      <c r="AS180" s="82" t="n">
        <v>-8.4</v>
      </c>
      <c r="AT180" s="82" t="n">
        <v>-5.59</v>
      </c>
      <c r="AU180" s="82" t="n">
        <v>2.29</v>
      </c>
      <c r="AV180" s="82" t="n">
        <v>-7.31</v>
      </c>
      <c r="AW180" s="82" t="n">
        <v>-3.67</v>
      </c>
      <c r="AX180" s="82" t="n">
        <v>-10.95</v>
      </c>
      <c r="AY180" s="82" t="n">
        <v>-0.34</v>
      </c>
      <c r="AZ180" s="82" t="n">
        <v>2.55</v>
      </c>
      <c r="BA180" s="71" t="inlineStr">
        <is>
          <t>Hang Seng Finance sub-index</t>
        </is>
      </c>
      <c r="BB180" s="82" t="n">
        <v>68.59</v>
      </c>
      <c r="BC180" s="72" t="inlineStr">
        <is>
          <t>2026-09-23</t>
        </is>
      </c>
      <c r="BD180" s="73" t="n">
        <v>1597.1</v>
      </c>
      <c r="BE180" s="76" t="n">
        <v>255.6</v>
      </c>
      <c r="BF180" s="71" t="inlineStr">
        <is>
          <t>Y</t>
        </is>
      </c>
      <c r="BG180" s="83" t="n">
        <v>30.9</v>
      </c>
      <c r="BH180" s="83" t="n">
        <v>12.4</v>
      </c>
      <c r="BI180" s="83" t="n">
        <v>11.4</v>
      </c>
      <c r="BJ180" s="83" t="n">
        <v>5</v>
      </c>
      <c r="BK180" s="84">
        <f>IF('BBG Verify'!S180="","not filed; run on terminal",'BBG Verify'!S180)</f>
        <v/>
      </c>
      <c r="BL180" s="85" t="inlineStr">
        <is>
          <t>N</t>
        </is>
      </c>
      <c r="BM180" s="86">
        <f>IF('BBG Verify'!K180="","not filed; run on terminal",'BBG Verify'!K180)</f>
        <v/>
      </c>
      <c r="BN180" s="71" t="inlineStr">
        <is>
          <t>N/A</t>
        </is>
      </c>
      <c r="BO180" s="71" t="inlineStr">
        <is>
          <t>N/A</t>
        </is>
      </c>
      <c r="BP180" s="71" t="inlineStr">
        <is>
          <t>N/A</t>
        </is>
      </c>
      <c r="BQ180" s="71" t="inlineStr">
        <is>
          <t>N/A</t>
        </is>
      </c>
      <c r="BR180" s="71" t="inlineStr">
        <is>
          <t>N/A</t>
        </is>
      </c>
      <c r="BS180" s="71" t="inlineStr">
        <is>
          <t>N/A</t>
        </is>
      </c>
      <c r="BT180" s="85" t="n"/>
      <c r="BU180" s="71" t="inlineStr">
        <is>
          <t>China International Capital Corporation Hong Kong Securities Limited</t>
        </is>
      </c>
      <c r="BV180" s="71"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W180" s="71"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X180" s="87">
        <f>HYPERLINK("https://www1.hkexnews.hk/listedco/listconews/sehk/2023/0228/2023022800011.pdf","prospectus")</f>
        <v/>
      </c>
      <c r="BY180" s="87">
        <f>HYPERLINK("https://www1.hkexnews.hk/listedco/listconews/sehk/2023/0309/2023030900008.htm","allotment")</f>
        <v/>
      </c>
      <c r="BZ180" s="87">
        <f>HYPERLINK("https://www1.hkexnews.hk/listedco/listconews/sehk/2023/0402/2023040200127.pdf","stabilisation")</f>
        <v/>
      </c>
      <c r="CA180" s="85" t="n"/>
      <c r="CB180" s="71" t="inlineStr">
        <is>
          <t>sponsor: English name not in the filing; AAStocks 保薦人 shown;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181" ht="15" customHeight="1">
      <c r="A181" s="70" t="inlineStr">
        <is>
          <t>1405</t>
        </is>
      </c>
      <c r="B181" s="71" t="inlineStr">
        <is>
          <t>DPC DASH</t>
        </is>
      </c>
      <c r="C181" s="71" t="inlineStr">
        <is>
          <t>達勢股份</t>
        </is>
      </c>
      <c r="D181" s="71" t="inlineStr">
        <is>
          <t>Consumer</t>
        </is>
      </c>
      <c r="E181" s="71" t="inlineStr">
        <is>
          <t>F&amp;B chains / restaurants</t>
        </is>
      </c>
      <c r="F181" s="71" t="inlineStr">
        <is>
          <t>Restaurants</t>
        </is>
      </c>
      <c r="G181" s="71" t="inlineStr">
        <is>
          <t>Standard</t>
        </is>
      </c>
      <c r="H181" s="72" t="n">
        <v>45013</v>
      </c>
      <c r="I181" s="73" t="n">
        <v>588.8</v>
      </c>
      <c r="J181" s="71" t="inlineStr">
        <is>
          <t>gross (price x shares)</t>
        </is>
      </c>
      <c r="K181" s="74" t="n"/>
      <c r="L181" s="74" t="n">
        <v>46</v>
      </c>
      <c r="M181" s="74" t="n">
        <v>46</v>
      </c>
      <c r="N181" s="71" t="inlineStr">
        <is>
          <t>Y</t>
        </is>
      </c>
      <c r="O181" s="75" t="n">
        <v>100</v>
      </c>
      <c r="P181" s="75" t="n"/>
      <c r="Q181" s="76" t="n">
        <v>6539.9</v>
      </c>
      <c r="R181" s="71" t="inlineStr">
        <is>
          <t>aastocks:上市市值 at the struck price</t>
        </is>
      </c>
      <c r="S181" s="77" t="n">
        <v>0.45</v>
      </c>
      <c r="T181" s="78" t="n">
        <v>1.9</v>
      </c>
      <c r="U181" s="79" t="n"/>
      <c r="V181" s="80" t="n">
        <v>111</v>
      </c>
      <c r="W181" s="75" t="n"/>
      <c r="X181" s="71" t="n"/>
      <c r="Y181" s="76" t="n">
        <v>588.8</v>
      </c>
      <c r="Z181" s="76" t="n">
        <v>12799000</v>
      </c>
      <c r="AA181" s="75" t="n">
        <v>9</v>
      </c>
      <c r="AB181" s="71" t="n"/>
      <c r="AC181" s="71" t="n"/>
      <c r="AD181" s="75" t="n">
        <v>9.949999999999999</v>
      </c>
      <c r="AE181" s="71" t="inlineStr">
        <is>
          <t>partial</t>
        </is>
      </c>
      <c r="AF181" s="71" t="inlineStr">
        <is>
          <t>2023-04-20</t>
        </is>
      </c>
      <c r="AG181" s="71" t="inlineStr">
        <is>
          <t>Merrill Lynch</t>
        </is>
      </c>
      <c r="AH181" s="71" t="inlineStr">
        <is>
          <t>Merrill Lynch</t>
        </is>
      </c>
      <c r="AI181" s="81" t="n">
        <v>-1.41</v>
      </c>
      <c r="AJ181" s="82" t="n">
        <v>-0.11</v>
      </c>
      <c r="AK181" s="82" t="n">
        <v>0</v>
      </c>
      <c r="AL181" s="82" t="n">
        <v>-0.11</v>
      </c>
      <c r="AM181" s="83" t="n"/>
      <c r="AN181" s="75" t="n">
        <v>1.41</v>
      </c>
      <c r="AO181" s="82" t="n">
        <v>22.83</v>
      </c>
      <c r="AP181" s="82" t="n">
        <v>17.72</v>
      </c>
      <c r="AQ181" s="82" t="n">
        <v>13.8</v>
      </c>
      <c r="AR181" s="82" t="n">
        <v>22.97</v>
      </c>
      <c r="AS181" s="82" t="n">
        <v>17.85</v>
      </c>
      <c r="AT181" s="82" t="n">
        <v>13.93</v>
      </c>
      <c r="AU181" s="82" t="n">
        <v>18.4</v>
      </c>
      <c r="AV181" s="82" t="n">
        <v>18.4</v>
      </c>
      <c r="AW181" s="82" t="n">
        <v>17.59</v>
      </c>
      <c r="AX181" s="82" t="n">
        <v>19.51</v>
      </c>
      <c r="AY181" s="82" t="n">
        <v>-0.68</v>
      </c>
      <c r="AZ181" s="82" t="n">
        <v>-1.66</v>
      </c>
      <c r="BA181" s="71" t="inlineStr">
        <is>
          <t>Hang Seng Commerce &amp; Industry sub-index</t>
        </is>
      </c>
      <c r="BB181" s="82" t="n">
        <v>-38.57</v>
      </c>
      <c r="BC181" s="72" t="inlineStr">
        <is>
          <t>2026-09-23</t>
        </is>
      </c>
      <c r="BD181" s="73" t="n">
        <v>2222.9</v>
      </c>
      <c r="BE181" s="76" t="n">
        <v>-244.9</v>
      </c>
      <c r="BF181" s="71" t="inlineStr">
        <is>
          <t>N</t>
        </is>
      </c>
      <c r="BG181" s="71" t="inlineStr">
        <is>
          <t>n/m</t>
        </is>
      </c>
      <c r="BH181" s="83" t="n"/>
      <c r="BI181" s="83" t="n">
        <v>30.1</v>
      </c>
      <c r="BJ181" s="83" t="n">
        <v>2.9</v>
      </c>
      <c r="BK181" s="84">
        <f>IF('BBG Verify'!S181="","not filed; run on terminal",'BBG Verify'!S181)</f>
        <v/>
      </c>
      <c r="BL181" s="85" t="inlineStr">
        <is>
          <t>N</t>
        </is>
      </c>
      <c r="BM181" s="86">
        <f>IF('BBG Verify'!K181="","not filed; run on terminal",'BBG Verify'!K181)</f>
        <v/>
      </c>
      <c r="BN181" s="71" t="inlineStr">
        <is>
          <t>N/A</t>
        </is>
      </c>
      <c r="BO181" s="71" t="inlineStr">
        <is>
          <t>N/A</t>
        </is>
      </c>
      <c r="BP181" s="71" t="inlineStr">
        <is>
          <t>N/A</t>
        </is>
      </c>
      <c r="BQ181" s="71" t="inlineStr">
        <is>
          <t>N/A</t>
        </is>
      </c>
      <c r="BR181" s="71" t="inlineStr">
        <is>
          <t>N/A</t>
        </is>
      </c>
      <c r="BS181" s="71" t="inlineStr">
        <is>
          <t>N/A</t>
        </is>
      </c>
      <c r="BT181" s="85" t="n"/>
      <c r="BU181" s="71" t="inlineStr">
        <is>
          <t>Merrill Lynch (Asia Pacific) Limited</t>
        </is>
      </c>
      <c r="BV181" s="71" t="inlineStr">
        <is>
          <t>DBS Asia Capital Limited; Merrill Lynch (Asia Pacific) Limited</t>
        </is>
      </c>
      <c r="BW181" s="71" t="inlineStr">
        <is>
          <t>DBS Asia Capital Limited; Merrill Lynch (Asia Pacific) Limited</t>
        </is>
      </c>
      <c r="BX181" s="87">
        <f>HYPERLINK("https://www1.hkexnews.hk/listedco/listconews/sehk/2023/0316/2023031600034.htm","prospectus")</f>
        <v/>
      </c>
      <c r="BY181" s="87">
        <f>HYPERLINK("https://www1.hkexnews.hk/listedco/listconews/sehk/2023/0327/2023032700030.htm","allotment")</f>
        <v/>
      </c>
      <c r="BZ181" s="87">
        <f>HYPERLINK("https://www1.hkexnews.hk/listedco/listconews/sehk/2023/0420/2023042000559.pdf","stabilisation")</f>
        <v/>
      </c>
      <c r="CA181" s="85" t="n"/>
      <c r="CB181" s="71"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allocation: allocation table not in this notice's format (older prose announcement); day-1 tape: volume on file; the retail multiple needs the final public split, which this notice does not state</t>
        </is>
      </c>
    </row>
    <row r="182" ht="15" customHeight="1">
      <c r="A182" s="70" t="inlineStr">
        <is>
          <t>2409</t>
        </is>
      </c>
      <c r="B182" s="71" t="inlineStr">
        <is>
          <t>SEACON</t>
        </is>
      </c>
      <c r="C182" s="71" t="inlineStr">
        <is>
          <t>洲際船務</t>
        </is>
      </c>
      <c r="D182" s="71" t="inlineStr">
        <is>
          <t>Industrials</t>
        </is>
      </c>
      <c r="E182" s="71" t="inlineStr">
        <is>
          <t>Logistics</t>
        </is>
      </c>
      <c r="F182" s="71" t="inlineStr">
        <is>
          <t>Marine Ports &amp; Services</t>
        </is>
      </c>
      <c r="G182" s="71" t="inlineStr">
        <is>
          <t>Standard</t>
        </is>
      </c>
      <c r="H182" s="72" t="n">
        <v>45014</v>
      </c>
      <c r="I182" s="73" t="n">
        <v>408.8</v>
      </c>
      <c r="J182" s="71" t="inlineStr">
        <is>
          <t>gross (price x shares)</t>
        </is>
      </c>
      <c r="K182" s="74" t="n">
        <v>3.27</v>
      </c>
      <c r="L182" s="74" t="n">
        <v>3.91</v>
      </c>
      <c r="M182" s="74" t="n">
        <v>3.27</v>
      </c>
      <c r="N182" s="71" t="inlineStr">
        <is>
          <t>N</t>
        </is>
      </c>
      <c r="O182" s="75" t="n">
        <v>83.59999999999999</v>
      </c>
      <c r="P182" s="75" t="n">
        <v>0</v>
      </c>
      <c r="Q182" s="76" t="n">
        <v>1635.2</v>
      </c>
      <c r="R182" s="71" t="inlineStr">
        <is>
          <t>derived:deal size / offer % of enlarged capital</t>
        </is>
      </c>
      <c r="S182" s="77" t="n">
        <v>1.14</v>
      </c>
      <c r="T182" s="78" t="n">
        <v>1.09</v>
      </c>
      <c r="U182" s="79" t="n">
        <v>19.96</v>
      </c>
      <c r="V182" s="80" t="n">
        <v>127</v>
      </c>
      <c r="W182" s="75" t="n"/>
      <c r="X182" s="71" t="n"/>
      <c r="Y182" s="76" t="n">
        <v>327.2</v>
      </c>
      <c r="Z182" s="76" t="n">
        <v>100050000</v>
      </c>
      <c r="AA182" s="75" t="n">
        <v>20.01</v>
      </c>
      <c r="AB182" s="71" t="inlineStr">
        <is>
          <t>Danube Bridge Shipping Limited; Guodian Shipping (Hong Kong) Company Limited; Huzhou Wuxing Tourism Development Co., Ltd</t>
        </is>
      </c>
      <c r="AC182" s="71" t="inlineStr">
        <is>
          <t>danube;guodian;huzhou</t>
        </is>
      </c>
      <c r="AD182" s="75" t="n">
        <v>15</v>
      </c>
      <c r="AE182" s="71" t="inlineStr">
        <is>
          <t>lapsed</t>
        </is>
      </c>
      <c r="AF182" s="71" t="inlineStr">
        <is>
          <t>2023-04-16</t>
        </is>
      </c>
      <c r="AG182" s="71" t="inlineStr">
        <is>
          <t>Zhongtai International Securities Limited</t>
        </is>
      </c>
      <c r="AH182" s="71" t="inlineStr">
        <is>
          <t>Zhongtai</t>
        </is>
      </c>
      <c r="AI182" s="81" t="n">
        <v>0.31</v>
      </c>
      <c r="AJ182" s="82" t="n">
        <v>-21.1</v>
      </c>
      <c r="AK182" s="82" t="n">
        <v>0.31</v>
      </c>
      <c r="AL182" s="82" t="n">
        <v>-21.34</v>
      </c>
      <c r="AM182" s="83" t="n"/>
      <c r="AN182" s="75" t="n">
        <v>22.26</v>
      </c>
      <c r="AO182" s="82" t="n">
        <v>-7.65</v>
      </c>
      <c r="AP182" s="82" t="n">
        <v>-13.76</v>
      </c>
      <c r="AQ182" s="82" t="n">
        <v>-5.81</v>
      </c>
      <c r="AR182" s="82" t="n">
        <v>17.05</v>
      </c>
      <c r="AS182" s="82" t="n">
        <v>9.300000000000001</v>
      </c>
      <c r="AT182" s="82" t="n">
        <v>19.38</v>
      </c>
      <c r="AU182" s="82" t="n">
        <v>-11.46</v>
      </c>
      <c r="AV182" s="82" t="n">
        <v>-10.65</v>
      </c>
      <c r="AW182" s="82" t="n">
        <v>-1.93</v>
      </c>
      <c r="AX182" s="82" t="n">
        <v>15.1</v>
      </c>
      <c r="AY182" s="82" t="n">
        <v>-3.11</v>
      </c>
      <c r="AZ182" s="82" t="n">
        <v>-5.8</v>
      </c>
      <c r="BA182" s="71" t="inlineStr">
        <is>
          <t>Hang Seng Commerce &amp; Industry sub-index</t>
        </is>
      </c>
      <c r="BB182" s="82" t="n">
        <v>37.77</v>
      </c>
      <c r="BC182" s="72" t="inlineStr">
        <is>
          <t>2026-09-23</t>
        </is>
      </c>
      <c r="BD182" s="73" t="n">
        <v>2907.4</v>
      </c>
      <c r="BE182" s="76" t="n">
        <v>312</v>
      </c>
      <c r="BF182" s="71" t="inlineStr">
        <is>
          <t>Y</t>
        </is>
      </c>
      <c r="BG182" s="83" t="n">
        <v>5.2</v>
      </c>
      <c r="BH182" s="83" t="n">
        <v>2.2</v>
      </c>
      <c r="BI182" s="83" t="n">
        <v>7.5</v>
      </c>
      <c r="BJ182" s="83" t="n">
        <v>0.6</v>
      </c>
      <c r="BK182" s="84">
        <f>IF('BBG Verify'!S182="","not filed; run on terminal",'BBG Verify'!S182)</f>
        <v/>
      </c>
      <c r="BL182" s="85" t="inlineStr">
        <is>
          <t>N</t>
        </is>
      </c>
      <c r="BM182" s="86">
        <f>IF('BBG Verify'!K182="","not filed; run on terminal",'BBG Verify'!K182)</f>
        <v/>
      </c>
      <c r="BN182" s="71" t="inlineStr">
        <is>
          <t>N/A</t>
        </is>
      </c>
      <c r="BO182" s="71" t="inlineStr">
        <is>
          <t>N/A</t>
        </is>
      </c>
      <c r="BP182" s="71" t="inlineStr">
        <is>
          <t>N/A</t>
        </is>
      </c>
      <c r="BQ182" s="71" t="inlineStr">
        <is>
          <t>N/A</t>
        </is>
      </c>
      <c r="BR182" s="71" t="inlineStr">
        <is>
          <t>N/A</t>
        </is>
      </c>
      <c r="BS182" s="71" t="inlineStr">
        <is>
          <t>N/A</t>
        </is>
      </c>
      <c r="BT182" s="85" t="inlineStr">
        <is>
          <t>Zhongtai International Capital Limited</t>
        </is>
      </c>
      <c r="BU182" s="71" t="inlineStr">
        <is>
          <t>Zhongtai International Capital Limited</t>
        </is>
      </c>
      <c r="BV182" s="71" t="inlineStr">
        <is>
          <t>Zhongtai International Securities Limited; Shenwan Hongyuan Securities (H.K.) Limited; Citrus Securities Limited; BOCOM International Securities Limited</t>
        </is>
      </c>
      <c r="BW182" s="71" t="inlineStr">
        <is>
          <t>Beta International Securities Limited; Citrus Securities Limited; CMBC Securities Company Limited; Futu Securities International (Hong Kong) Limited; Shenwan Hongyuan Capital (H.K.) Limited; Valuable Capital Limited; Zhongtai International Securities Limited</t>
        </is>
      </c>
      <c r="BX182" s="87">
        <f>HYPERLINK("https://www1.hkexnews.hk/listedco/listconews/sehk/2023/0314/2023031400009.pdf","prospectus")</f>
        <v/>
      </c>
      <c r="BY182" s="87">
        <f>HYPERLINK("https://www1.hkexnews.hk/listedco/listconews/sehk/2023/0328/2023032800038.htm","allotment")</f>
        <v/>
      </c>
      <c r="BZ182" s="87">
        <f>HYPERLINK("https://www1.hkexnews.hk/listedco/listconews/sehk/2023/0416/2023041600007.pdf","stabilisation")</f>
        <v/>
      </c>
      <c r="CA182" s="85" t="n"/>
      <c r="CB182" s="71" t="inlineStr">
        <is>
          <t>allocation: allocation table not in this notice's format (older prose announcement); day-1 tape: volume on file; the retail multiple needs the final public split, which this notice does not state</t>
        </is>
      </c>
    </row>
    <row r="183" ht="15" customHeight="1">
      <c r="A183" s="70" t="inlineStr">
        <is>
          <t>2433</t>
        </is>
      </c>
      <c r="B183" s="71" t="inlineStr">
        <is>
          <t>ZT HN GROUP</t>
        </is>
      </c>
      <c r="C183" s="71" t="inlineStr">
        <is>
          <t>中天湖南集團</t>
        </is>
      </c>
      <c r="D183" s="71" t="inlineStr">
        <is>
          <t>Industrials</t>
        </is>
      </c>
      <c r="E183" s="71" t="inlineStr">
        <is>
          <t>Construction / engineering</t>
        </is>
      </c>
      <c r="F183" s="71" t="inlineStr">
        <is>
          <t>Building Construction</t>
        </is>
      </c>
      <c r="G183" s="71" t="inlineStr">
        <is>
          <t>Standard</t>
        </is>
      </c>
      <c r="H183" s="72" t="n">
        <v>45015</v>
      </c>
      <c r="I183" s="73" t="n">
        <v>141.6</v>
      </c>
      <c r="J183" s="71" t="inlineStr">
        <is>
          <t>gross (price x shares)</t>
        </is>
      </c>
      <c r="K183" s="74" t="n"/>
      <c r="L183" s="74" t="n">
        <v>1.18</v>
      </c>
      <c r="M183" s="74" t="n">
        <v>1.18</v>
      </c>
      <c r="N183" s="71" t="inlineStr">
        <is>
          <t>Y</t>
        </is>
      </c>
      <c r="O183" s="75" t="n">
        <v>100</v>
      </c>
      <c r="P183" s="75" t="n"/>
      <c r="Q183" s="76" t="n">
        <v>566.4</v>
      </c>
      <c r="R183" s="71" t="inlineStr">
        <is>
          <t>aastocks:上市市值 at the struck price</t>
        </is>
      </c>
      <c r="S183" s="77" t="n">
        <v>10.62</v>
      </c>
      <c r="T183" s="78" t="n">
        <v>1.01</v>
      </c>
      <c r="U183" s="79" t="n"/>
      <c r="V183" s="80" t="n">
        <v>145</v>
      </c>
      <c r="W183" s="75" t="n"/>
      <c r="X183" s="71" t="n"/>
      <c r="Y183" s="76" t="n">
        <v>141.6</v>
      </c>
      <c r="Z183" s="76" t="n">
        <v>120000000</v>
      </c>
      <c r="AA183" s="75" t="n">
        <v>25</v>
      </c>
      <c r="AB183" s="71" t="n"/>
      <c r="AC183" s="71" t="n"/>
      <c r="AD183" s="75" t="n"/>
      <c r="AE183" s="71" t="inlineStr">
        <is>
          <t>lapsed (no over-allocation)</t>
        </is>
      </c>
      <c r="AF183" s="71" t="n"/>
      <c r="AG183" s="71" t="inlineStr">
        <is>
          <t>CMBC Securities</t>
        </is>
      </c>
      <c r="AH183" s="71" t="inlineStr">
        <is>
          <t>CMBC</t>
        </is>
      </c>
      <c r="AI183" s="81" t="n">
        <v>127.97</v>
      </c>
      <c r="AJ183" s="82" t="n">
        <v>126.27</v>
      </c>
      <c r="AK183" s="82" t="n">
        <v>147.46</v>
      </c>
      <c r="AL183" s="82" t="n">
        <v>-8.56</v>
      </c>
      <c r="AM183" s="83" t="n"/>
      <c r="AN183" s="75" t="n">
        <v>23.63</v>
      </c>
      <c r="AO183" s="82" t="n">
        <v>77.12</v>
      </c>
      <c r="AP183" s="82" t="n">
        <v>22.03</v>
      </c>
      <c r="AQ183" s="82" t="n">
        <v>-62.29</v>
      </c>
      <c r="AR183" s="82" t="n">
        <v>-21.72</v>
      </c>
      <c r="AS183" s="82" t="n">
        <v>-46.07</v>
      </c>
      <c r="AT183" s="82" t="n">
        <v>-83.33</v>
      </c>
      <c r="AU183" s="82" t="n">
        <v>75.79000000000001</v>
      </c>
      <c r="AV183" s="82" t="n">
        <v>27.11</v>
      </c>
      <c r="AW183" s="82" t="n">
        <v>-54.32</v>
      </c>
      <c r="AX183" s="82" t="n">
        <v>-40.11</v>
      </c>
      <c r="AY183" s="82" t="n">
        <v>-5.08</v>
      </c>
      <c r="AZ183" s="82" t="n">
        <v>-5.96</v>
      </c>
      <c r="BA183" s="71" t="inlineStr">
        <is>
          <t>Hang Seng Commerce &amp; Industry sub-index</t>
        </is>
      </c>
      <c r="BB183" s="82" t="n">
        <v>-94.23999999999999</v>
      </c>
      <c r="BC183" s="72" t="inlineStr">
        <is>
          <t>2026-09-23</t>
        </is>
      </c>
      <c r="BD183" s="73" t="n"/>
      <c r="BE183" s="76" t="n"/>
      <c r="BF183" s="71" t="inlineStr">
        <is>
          <t>Y</t>
        </is>
      </c>
      <c r="BG183" s="84">
        <f>IF('BBG Verify'!O183="","not filed; run on terminal",'BBG Verify'!O183)</f>
        <v/>
      </c>
      <c r="BH183" s="83" t="n"/>
      <c r="BI183" s="83" t="n"/>
      <c r="BJ183" s="83" t="n"/>
      <c r="BK183" s="84">
        <f>IF('BBG Verify'!S183="","not filed; run on terminal",'BBG Verify'!S183)</f>
        <v/>
      </c>
      <c r="BL183" s="85" t="inlineStr">
        <is>
          <t>N</t>
        </is>
      </c>
      <c r="BM183" s="86">
        <f>IF('BBG Verify'!K183="","not filed; run on terminal",'BBG Verify'!K183)</f>
        <v/>
      </c>
      <c r="BN183" s="71" t="inlineStr">
        <is>
          <t>N/A</t>
        </is>
      </c>
      <c r="BO183" s="71" t="inlineStr">
        <is>
          <t>N/A</t>
        </is>
      </c>
      <c r="BP183" s="71" t="inlineStr">
        <is>
          <t>N/A</t>
        </is>
      </c>
      <c r="BQ183" s="71" t="inlineStr">
        <is>
          <t>N/A</t>
        </is>
      </c>
      <c r="BR183" s="71" t="inlineStr">
        <is>
          <t>N/A</t>
        </is>
      </c>
      <c r="BS183" s="71" t="inlineStr">
        <is>
          <t>N/A</t>
        </is>
      </c>
      <c r="BT183" s="85" t="n"/>
      <c r="BU183" s="71" t="inlineStr">
        <is>
          <t>Grande Capital Limited</t>
        </is>
      </c>
      <c r="BV183" s="71" t="inlineStr">
        <is>
          <t>Alliance Capital Partners Limited; Beta International Securities Limited; China Everbright Securities (HK) Limited; ChaoShang Securities Limited; CMBC Securities Company Limited; Eddid Securities and Futures Limited</t>
        </is>
      </c>
      <c r="BW183" s="71"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X183" s="87">
        <f>HYPERLINK("https://www1.hkexnews.hk/listedco/listconews/sehk/2023/0320/2023032000008.htm","prospectus")</f>
        <v/>
      </c>
      <c r="BY183" s="87">
        <f>HYPERLINK("https://www1.hkexnews.hk/listedco/listconews/sehk/2023/0329/2023032900042.htm","allotment")</f>
        <v/>
      </c>
      <c r="BZ183" s="87">
        <f>HYPERLINK("https://www1.hkexnews.hk/listedco/listconews/sehk/2023/0424/2023042400020.pdf","stabilisation")</f>
        <v/>
      </c>
      <c r="CA183" s="85" t="n"/>
      <c r="CB183"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allocation: allocation table not in this notice's format (older prose announcement); day-1 tape: volume on file; the retail multiple needs the final public split, which this notice does not state</t>
        </is>
      </c>
    </row>
    <row r="184" ht="15" customHeight="1">
      <c r="A184" s="70" t="inlineStr">
        <is>
          <t>2405</t>
        </is>
      </c>
      <c r="B184" s="71" t="inlineStr">
        <is>
          <t>POWERWIN TECH</t>
        </is>
      </c>
      <c r="C184" s="71" t="inlineStr">
        <is>
          <t>力盟科技</t>
        </is>
      </c>
      <c r="D184" s="71" t="inlineStr">
        <is>
          <t>TMT-other</t>
        </is>
      </c>
      <c r="E184" s="71" t="inlineStr">
        <is>
          <t>Media / advertising</t>
        </is>
      </c>
      <c r="F184" s="71" t="inlineStr">
        <is>
          <t>Advertising</t>
        </is>
      </c>
      <c r="G184" s="71" t="inlineStr">
        <is>
          <t>Standard</t>
        </is>
      </c>
      <c r="H184" s="72" t="n">
        <v>45016</v>
      </c>
      <c r="I184" s="73" t="n">
        <v>140</v>
      </c>
      <c r="J184" s="71" t="inlineStr">
        <is>
          <t>gross (price x shares)</t>
        </is>
      </c>
      <c r="K184" s="74" t="n"/>
      <c r="L184" s="74" t="n">
        <v>0.75</v>
      </c>
      <c r="M184" s="74" t="n">
        <v>0.7</v>
      </c>
      <c r="N184" s="71" t="inlineStr">
        <is>
          <t>N</t>
        </is>
      </c>
      <c r="O184" s="75" t="n">
        <v>93.3</v>
      </c>
      <c r="P184" s="75" t="n"/>
      <c r="Q184" s="76" t="n">
        <v>520</v>
      </c>
      <c r="R184" s="71" t="inlineStr">
        <is>
          <t>prospectus:stated market capitalisation</t>
        </is>
      </c>
      <c r="S184" s="77" t="n">
        <v>13.47</v>
      </c>
      <c r="T184" s="78" t="n">
        <v>1.45</v>
      </c>
      <c r="U184" s="79" t="n"/>
      <c r="V184" s="80" t="n">
        <v>82</v>
      </c>
      <c r="W184" s="75" t="n"/>
      <c r="X184" s="71" t="n"/>
      <c r="Y184" s="76" t="n">
        <v>140</v>
      </c>
      <c r="Z184" s="76" t="n">
        <v>200000000</v>
      </c>
      <c r="AA184" s="75" t="n">
        <v>26.92</v>
      </c>
      <c r="AB184" s="71" t="n"/>
      <c r="AC184" s="71" t="n"/>
      <c r="AD184" s="75" t="n">
        <v>20</v>
      </c>
      <c r="AE184" s="71" t="inlineStr">
        <is>
          <t>lapsed (no over-allocation)</t>
        </is>
      </c>
      <c r="AF184" s="71" t="inlineStr">
        <is>
          <t>2023-04-23</t>
        </is>
      </c>
      <c r="AG184" s="71" t="inlineStr">
        <is>
          <t>GF Securities</t>
        </is>
      </c>
      <c r="AH184" s="71" t="inlineStr">
        <is>
          <t>GF</t>
        </is>
      </c>
      <c r="AI184" s="81" t="n">
        <v>15.71</v>
      </c>
      <c r="AJ184" s="82" t="n">
        <v>20</v>
      </c>
      <c r="AK184" s="82" t="n">
        <v>8.57</v>
      </c>
      <c r="AL184" s="82" t="n">
        <v>10.53</v>
      </c>
      <c r="AM184" s="83" t="n"/>
      <c r="AN184" s="75" t="n">
        <v>35.53</v>
      </c>
      <c r="AO184" s="82" t="n">
        <v>50</v>
      </c>
      <c r="AP184" s="82" t="n">
        <v>128.57</v>
      </c>
      <c r="AQ184" s="82" t="n">
        <v>385.71</v>
      </c>
      <c r="AR184" s="82" t="n">
        <v>25</v>
      </c>
      <c r="AS184" s="82" t="n">
        <v>90.47</v>
      </c>
      <c r="AT184" s="82" t="n">
        <v>304.76</v>
      </c>
      <c r="AU184" s="82" t="n">
        <v>50</v>
      </c>
      <c r="AV184" s="82" t="n">
        <v>129.85</v>
      </c>
      <c r="AW184" s="82" t="n">
        <v>394.46</v>
      </c>
      <c r="AX184" s="82" t="n">
        <v>92.19</v>
      </c>
      <c r="AY184" s="82" t="n">
        <v>-1.28</v>
      </c>
      <c r="AZ184" s="82" t="n">
        <v>-1.72</v>
      </c>
      <c r="BA184" s="71" t="inlineStr">
        <is>
          <t>Hang Seng Index</t>
        </is>
      </c>
      <c r="BB184" s="82" t="n">
        <v>-55</v>
      </c>
      <c r="BC184" s="72" t="inlineStr">
        <is>
          <t>2026-09-22</t>
        </is>
      </c>
      <c r="BD184" s="73" t="n">
        <v>111.9</v>
      </c>
      <c r="BE184" s="76" t="n">
        <v>45</v>
      </c>
      <c r="BF184" s="71" t="inlineStr">
        <is>
          <t>Y</t>
        </is>
      </c>
      <c r="BG184" s="83" t="n">
        <v>11.6</v>
      </c>
      <c r="BH184" s="83" t="n"/>
      <c r="BI184" s="83" t="n"/>
      <c r="BJ184" s="83" t="n">
        <v>4.6</v>
      </c>
      <c r="BK184" s="84">
        <f>IF('BBG Verify'!S184="","not filed; run on terminal",'BBG Verify'!S184)</f>
        <v/>
      </c>
      <c r="BL184" s="85" t="inlineStr">
        <is>
          <t>N</t>
        </is>
      </c>
      <c r="BM184" s="86">
        <f>IF('BBG Verify'!K184="","not filed; run on terminal",'BBG Verify'!K184)</f>
        <v/>
      </c>
      <c r="BN184" s="71" t="inlineStr">
        <is>
          <t>N/A</t>
        </is>
      </c>
      <c r="BO184" s="71" t="inlineStr">
        <is>
          <t>N/A</t>
        </is>
      </c>
      <c r="BP184" s="71" t="inlineStr">
        <is>
          <t>N/A</t>
        </is>
      </c>
      <c r="BQ184" s="71" t="inlineStr">
        <is>
          <t>N/A</t>
        </is>
      </c>
      <c r="BR184" s="71" t="inlineStr">
        <is>
          <t>N/A</t>
        </is>
      </c>
      <c r="BS184" s="71" t="inlineStr">
        <is>
          <t>N/A</t>
        </is>
      </c>
      <c r="BT184" s="85" t="inlineStr">
        <is>
          <t>GF Capital (Hong Kong) Limited</t>
        </is>
      </c>
      <c r="BU184" s="71" t="inlineStr">
        <is>
          <t>GF Capital (Hong Kong) Limited</t>
        </is>
      </c>
      <c r="BV184" s="71" t="inlineStr">
        <is>
          <t>GF Securities (Hong Kong) Brokerage Limited; First Capital Securities Limited; Maxa Capital Limited; China Everbright Securities (HK) Limited</t>
        </is>
      </c>
      <c r="BW184" s="71" t="inlineStr">
        <is>
          <t>China Everbright Securities (HK) Limited; First Capital Securities Limited; GF Securities (Hong Kong) Brokerage Limited; Maxa Capital Limited</t>
        </is>
      </c>
      <c r="BX184" s="87">
        <f>HYPERLINK("https://www1.hkexnews.hk/listedco/listconews/sehk/2023/0321/2023032100009.pdf","prospectus")</f>
        <v/>
      </c>
      <c r="BY184" s="87">
        <f>HYPERLINK("https://www1.hkexnews.hk/listedco/listconews/sehk/2023/0330/2023033000098.htm","allotment")</f>
        <v/>
      </c>
      <c r="BZ184" s="87">
        <f>HYPERLINK("https://www1.hkexnews.hk/listedco/listconews/sehk/2023/0423/2023042300029.pdf","stabilisation")</f>
        <v/>
      </c>
      <c r="CA184" s="85" t="n"/>
      <c r="CB184" s="71" t="inlineStr">
        <is>
          <t>range low: maximum offer price only, no floor published; cornerstone list: names not extractable, see the prospectus; cornerstone %: aggregate not stated in the filing; allocation: allocation table not in this notice's format (older prose announcement); day-1 tape: volume on file; the retail multiple needs the final public split, which this notice does not state</t>
        </is>
      </c>
    </row>
    <row r="185" ht="15" customHeight="1">
      <c r="A185" s="70" t="inlineStr">
        <is>
          <t>2439</t>
        </is>
      </c>
      <c r="B185" s="71" t="inlineStr">
        <is>
          <t>CH TREASURES NM</t>
        </is>
      </c>
      <c r="C185" s="71" t="inlineStr">
        <is>
          <t>中寶新材</t>
        </is>
      </c>
      <c r="D185" s="71" t="inlineStr">
        <is>
          <t>Materials/Energy</t>
        </is>
      </c>
      <c r="E185" s="71" t="inlineStr">
        <is>
          <t>Chemicals</t>
        </is>
      </c>
      <c r="F185" s="71" t="inlineStr">
        <is>
          <t>Environmental Goods</t>
        </is>
      </c>
      <c r="G185" s="71" t="inlineStr">
        <is>
          <t>Standard</t>
        </is>
      </c>
      <c r="H185" s="72" t="n">
        <v>45016</v>
      </c>
      <c r="I185" s="73" t="n">
        <v>262.5</v>
      </c>
      <c r="J185" s="71" t="inlineStr">
        <is>
          <t>gross (price x shares)</t>
        </is>
      </c>
      <c r="K185" s="74" t="n"/>
      <c r="L185" s="74" t="n">
        <v>1.05</v>
      </c>
      <c r="M185" s="74" t="n">
        <v>1.05</v>
      </c>
      <c r="N185" s="71" t="inlineStr">
        <is>
          <t>Y</t>
        </is>
      </c>
      <c r="O185" s="75" t="n">
        <v>100</v>
      </c>
      <c r="P185" s="75" t="n"/>
      <c r="Q185" s="76" t="n">
        <v>1200</v>
      </c>
      <c r="R185" s="71" t="inlineStr">
        <is>
          <t>aastocks:上市市值 at the struck price</t>
        </is>
      </c>
      <c r="S185" s="77" t="n">
        <v>6.33</v>
      </c>
      <c r="T185" s="78" t="n">
        <v>6.33</v>
      </c>
      <c r="U185" s="79" t="n">
        <v>48.7</v>
      </c>
      <c r="V185" s="80" t="n">
        <v>158</v>
      </c>
      <c r="W185" s="75" t="n">
        <v>20</v>
      </c>
      <c r="X185" s="71" t="n"/>
      <c r="Y185" s="76" t="n">
        <v>134.66</v>
      </c>
      <c r="Z185" s="76" t="n">
        <v>128250000</v>
      </c>
      <c r="AA185" s="75" t="n">
        <v>11.22</v>
      </c>
      <c r="AB185" s="71" t="inlineStr">
        <is>
          <t>ZhongBaoNew materials. Ltd</t>
        </is>
      </c>
      <c r="AC185" s="71" t="inlineStr">
        <is>
          <t>zhongbaonew</t>
        </is>
      </c>
      <c r="AD185" s="75" t="n">
        <v>7.8097</v>
      </c>
      <c r="AE185" s="71" t="inlineStr">
        <is>
          <t>lapsed (no over-allocation)</t>
        </is>
      </c>
      <c r="AF185" s="71" t="n"/>
      <c r="AG185" s="71" t="inlineStr">
        <is>
          <t>Wealth Link Securities Limited</t>
        </is>
      </c>
      <c r="AH185" s="71" t="inlineStr">
        <is>
          <t>Wealth Link</t>
        </is>
      </c>
      <c r="AI185" s="81" t="n">
        <v>-40.95</v>
      </c>
      <c r="AJ185" s="82" t="n">
        <v>-35.24</v>
      </c>
      <c r="AK185" s="82" t="n">
        <v>-38.1</v>
      </c>
      <c r="AL185" s="82" t="n">
        <v>4.62</v>
      </c>
      <c r="AM185" s="83" t="n">
        <v>2.23</v>
      </c>
      <c r="AN185" s="75" t="n">
        <v>20</v>
      </c>
      <c r="AO185" s="82" t="n">
        <v>-36.19</v>
      </c>
      <c r="AP185" s="82" t="n">
        <v>-39.05</v>
      </c>
      <c r="AQ185" s="82" t="n">
        <v>-50.48</v>
      </c>
      <c r="AR185" s="82" t="n">
        <v>-1.47</v>
      </c>
      <c r="AS185" s="82" t="n">
        <v>-5.88</v>
      </c>
      <c r="AT185" s="82" t="n">
        <v>-23.53</v>
      </c>
      <c r="AU185" s="82" t="n">
        <v>-34.63</v>
      </c>
      <c r="AV185" s="82" t="n">
        <v>-33.87</v>
      </c>
      <c r="AW185" s="82" t="n">
        <v>-39.78</v>
      </c>
      <c r="AX185" s="82" t="n">
        <v>0.29</v>
      </c>
      <c r="AY185" s="82" t="n">
        <v>-5.18</v>
      </c>
      <c r="AZ185" s="82" t="n">
        <v>-6.17</v>
      </c>
      <c r="BA185" s="71" t="inlineStr">
        <is>
          <t>Hang Seng Commerce &amp; Industry sub-index</t>
        </is>
      </c>
      <c r="BB185" s="82" t="n">
        <v>-79.33</v>
      </c>
      <c r="BC185" s="72" t="inlineStr">
        <is>
          <t>2026-09-23</t>
        </is>
      </c>
      <c r="BD185" s="73" t="n">
        <v>282.4</v>
      </c>
      <c r="BE185" s="76" t="n"/>
      <c r="BF185" s="71" t="n"/>
      <c r="BG185" s="84">
        <f>IF('BBG Verify'!O185="","not filed; run on terminal",'BBG Verify'!O185)</f>
        <v/>
      </c>
      <c r="BH185" s="83" t="n"/>
      <c r="BI185" s="83" t="n">
        <v>8</v>
      </c>
      <c r="BJ185" s="83" t="n">
        <v>4.2</v>
      </c>
      <c r="BK185" s="84">
        <f>IF('BBG Verify'!S185="","not filed; run on terminal",'BBG Verify'!S185)</f>
        <v/>
      </c>
      <c r="BL185" s="85" t="inlineStr">
        <is>
          <t>N</t>
        </is>
      </c>
      <c r="BM185" s="86">
        <f>IF('BBG Verify'!K185="","not filed; run on terminal",'BBG Verify'!K185)</f>
        <v/>
      </c>
      <c r="BN185" s="71" t="inlineStr">
        <is>
          <t>N/A</t>
        </is>
      </c>
      <c r="BO185" s="71" t="inlineStr">
        <is>
          <t>N/A</t>
        </is>
      </c>
      <c r="BP185" s="71" t="inlineStr">
        <is>
          <t>N/A</t>
        </is>
      </c>
      <c r="BQ185" s="71" t="inlineStr">
        <is>
          <t>N/A</t>
        </is>
      </c>
      <c r="BR185" s="71" t="inlineStr">
        <is>
          <t>N/A</t>
        </is>
      </c>
      <c r="BS185" s="71" t="inlineStr">
        <is>
          <t>N/A</t>
        </is>
      </c>
      <c r="BT185" s="85" t="n"/>
      <c r="BU185" s="71" t="inlineStr">
        <is>
          <t>Soochow Securities International Capital Limited</t>
        </is>
      </c>
      <c r="BV185" s="71" t="inlineStr">
        <is>
          <t>China Galaxy International Securities (Hong Kong) Company Limited; Elstone Securities Limited; Eddid Securities and Futures Limited; Fosun International Securities Limited; First Shanghai Securities Limited; Futu Securities International (Hong Kong) Limited</t>
        </is>
      </c>
      <c r="BW185" s="71"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X185" s="87">
        <f>HYPERLINK("https://www1.hkexnews.hk/listedco/listconews/sehk/2023/0321/2023032100050.htm","prospectus")</f>
        <v/>
      </c>
      <c r="BY185" s="87">
        <f>HYPERLINK("https://www1.hkexnews.hk/listedco/listconews/sehk/2023/0330/2023033000220.htm","allotment")</f>
        <v/>
      </c>
      <c r="BZ185" s="87">
        <f>HYPERLINK("https://www1.hkexnews.hk/listedco/listconews/sehk/2023/0424/2023042400062.pdf","stabilisation")</f>
        <v/>
      </c>
      <c r="CA185" s="85" t="n"/>
      <c r="CB185" s="71"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allocation: clawback line not in this notice; a 12-28% split is consistent with either a tier-1 clawback or a placing shortfall</t>
        </is>
      </c>
    </row>
    <row r="186" ht="15" customHeight="1">
      <c r="A186" s="70" t="inlineStr">
        <is>
          <t>9669</t>
        </is>
      </c>
      <c r="B186" s="71" t="inlineStr">
        <is>
          <t>BEISEN HOLDING</t>
        </is>
      </c>
      <c r="C186" s="71" t="inlineStr">
        <is>
          <t>北森控股</t>
        </is>
      </c>
      <c r="D186" s="71" t="inlineStr">
        <is>
          <t>Tech/AI</t>
        </is>
      </c>
      <c r="E186" s="71" t="inlineStr">
        <is>
          <t>SaaS / enterprise software</t>
        </is>
      </c>
      <c r="F186" s="71" t="inlineStr">
        <is>
          <t>Commercial &amp; Professional Services</t>
        </is>
      </c>
      <c r="G186" s="71" t="inlineStr">
        <is>
          <t>Standard</t>
        </is>
      </c>
      <c r="H186" s="72" t="n">
        <v>45029</v>
      </c>
      <c r="I186" s="73" t="n">
        <v>238.9</v>
      </c>
      <c r="J186" s="71" t="inlineStr">
        <is>
          <t>gross (price x shares)</t>
        </is>
      </c>
      <c r="K186" s="74" t="n"/>
      <c r="L186" s="74" t="n">
        <v>29.7</v>
      </c>
      <c r="M186" s="74" t="n">
        <v>29.7</v>
      </c>
      <c r="N186" s="71" t="inlineStr">
        <is>
          <t>Y</t>
        </is>
      </c>
      <c r="O186" s="75" t="n">
        <v>100</v>
      </c>
      <c r="P186" s="75" t="n"/>
      <c r="Q186" s="76" t="n">
        <v>21718.2</v>
      </c>
      <c r="R186" s="71" t="inlineStr">
        <is>
          <t>derived:deal size / offer % of enlarged capital</t>
        </is>
      </c>
      <c r="S186" s="77" t="n">
        <v>16.57</v>
      </c>
      <c r="T186" s="78" t="n">
        <v>1.51</v>
      </c>
      <c r="U186" s="79" t="n"/>
      <c r="V186" s="80" t="n">
        <v>108</v>
      </c>
      <c r="W186" s="75" t="n">
        <v>30</v>
      </c>
      <c r="X186" s="71" t="inlineStr">
        <is>
          <t>YES</t>
        </is>
      </c>
      <c r="Y186" s="76" t="n">
        <v>238.9</v>
      </c>
      <c r="Z186" s="76" t="n">
        <v>8044000</v>
      </c>
      <c r="AA186" s="75" t="n">
        <v>1.1</v>
      </c>
      <c r="AB186" s="71" t="n"/>
      <c r="AC186" s="71" t="n"/>
      <c r="AD186" s="75" t="n"/>
      <c r="AE186" s="71" t="inlineStr">
        <is>
          <t>lapsed</t>
        </is>
      </c>
      <c r="AF186" s="71" t="inlineStr">
        <is>
          <t>2023-05-04</t>
        </is>
      </c>
      <c r="AG186" s="71" t="inlineStr">
        <is>
          <t>Morgan Stanley Asia Limited</t>
        </is>
      </c>
      <c r="AH186" s="71" t="inlineStr">
        <is>
          <t>Morgan Stanley</t>
        </is>
      </c>
      <c r="AI186" s="81" t="n">
        <v>0.17</v>
      </c>
      <c r="AJ186" s="82" t="n">
        <v>-12.12</v>
      </c>
      <c r="AK186" s="82" t="n">
        <v>-0.34</v>
      </c>
      <c r="AL186" s="82" t="n">
        <v>-11.82</v>
      </c>
      <c r="AM186" s="83" t="n">
        <v>3.01</v>
      </c>
      <c r="AN186" s="75" t="n">
        <v>36.42</v>
      </c>
      <c r="AO186" s="82" t="n">
        <v>-52.53</v>
      </c>
      <c r="AP186" s="82" t="n">
        <v>-69.19</v>
      </c>
      <c r="AQ186" s="82" t="n">
        <v>-71.08</v>
      </c>
      <c r="AR186" s="82" t="n">
        <v>-45.98</v>
      </c>
      <c r="AS186" s="82" t="n">
        <v>-64.94</v>
      </c>
      <c r="AT186" s="82" t="n">
        <v>-67.09</v>
      </c>
      <c r="AU186" s="82" t="n">
        <v>-50.87</v>
      </c>
      <c r="AV186" s="82" t="n">
        <v>-63.52</v>
      </c>
      <c r="AW186" s="82" t="n">
        <v>-72.45</v>
      </c>
      <c r="AX186" s="82" t="n">
        <v>-59.32</v>
      </c>
      <c r="AY186" s="82" t="n">
        <v>-5.67</v>
      </c>
      <c r="AZ186" s="82" t="n">
        <v>-5.62</v>
      </c>
      <c r="BA186" s="71" t="inlineStr">
        <is>
          <t>HSTECH (Hang Seng TECH ETF)</t>
        </is>
      </c>
      <c r="BB186" s="82" t="n">
        <v>-89.41</v>
      </c>
      <c r="BC186" s="72" t="inlineStr">
        <is>
          <t>2026-09-23</t>
        </is>
      </c>
      <c r="BD186" s="73" t="n">
        <v>612</v>
      </c>
      <c r="BE186" s="76" t="n">
        <v>-1034.2</v>
      </c>
      <c r="BF186" s="71" t="inlineStr">
        <is>
          <t>N</t>
        </is>
      </c>
      <c r="BG186" s="71" t="inlineStr">
        <is>
          <t>n/m</t>
        </is>
      </c>
      <c r="BH186" s="83" t="n"/>
      <c r="BI186" s="83" t="n"/>
      <c r="BJ186" s="83" t="n">
        <v>35.5</v>
      </c>
      <c r="BK186" s="84">
        <f>IF('BBG Verify'!S186="","not filed; run on terminal",'BBG Verify'!S186)</f>
        <v/>
      </c>
      <c r="BL186" s="85" t="inlineStr">
        <is>
          <t>N</t>
        </is>
      </c>
      <c r="BM186" s="86">
        <f>IF('BBG Verify'!K186="","not filed; run on terminal",'BBG Verify'!K186)</f>
        <v/>
      </c>
      <c r="BN186" s="71" t="inlineStr">
        <is>
          <t>N/A</t>
        </is>
      </c>
      <c r="BO186" s="71" t="inlineStr">
        <is>
          <t>N/A</t>
        </is>
      </c>
      <c r="BP186" s="71" t="inlineStr">
        <is>
          <t>N/A</t>
        </is>
      </c>
      <c r="BQ186" s="71" t="inlineStr">
        <is>
          <t>N/A</t>
        </is>
      </c>
      <c r="BR186" s="71" t="inlineStr">
        <is>
          <t>N/A</t>
        </is>
      </c>
      <c r="BS186" s="71" t="inlineStr">
        <is>
          <t>N/A</t>
        </is>
      </c>
      <c r="BT186" s="85" t="n"/>
      <c r="BU186" s="71" t="inlineStr">
        <is>
          <t>China International Capital Corporation Hong Kong Securities Limited; Morgan Stanley Asia Limited</t>
        </is>
      </c>
      <c r="BV186" s="71" t="inlineStr">
        <is>
          <t>China International Capital Corporation Hong Kong Securities Limited; Futu Securities International (Hong Kong) Limited; Morgan Stanley Asia Limited; Silverbricks Securities Company Limited; Tiger Brokers (HK) Global Limited</t>
        </is>
      </c>
      <c r="BW186" s="71" t="inlineStr">
        <is>
          <t>China International Capital Corporation Hong Kong Securities Limited; Futu Securities International (Hong Kong) Limited; Morgan Stanley Asia Limited; Silverbricks Securities Company Limited; Tiger Brokers (HK) Global Limited</t>
        </is>
      </c>
      <c r="BX186" s="87">
        <f>HYPERLINK("https://www1.hkexnews.hk/listedco/listconews/sehk/2023/0330/2023033000324.htm","prospectus")</f>
        <v/>
      </c>
      <c r="BY186" s="87">
        <f>HYPERLINK("https://www1.hkexnews.hk/listedco/listconews/sehk/2023/0412/2023041200010.htm","allotment")</f>
        <v/>
      </c>
      <c r="BZ186" s="87">
        <f>HYPERLINK("https://www1.hkexnews.hk/listedco/listconews/sehk/2023/0504/2023050401929.pdf","stabilisation")</f>
        <v/>
      </c>
      <c r="CA186" s="85" t="n"/>
      <c r="CB186" s="71"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t>
        </is>
      </c>
    </row>
    <row r="187" ht="15" customHeight="1">
      <c r="A187" s="70" t="inlineStr">
        <is>
          <t>6979</t>
        </is>
      </c>
      <c r="B187" s="71" t="inlineStr">
        <is>
          <t>ZJLD</t>
        </is>
      </c>
      <c r="C187" s="71" t="inlineStr">
        <is>
          <t>珍酒李渡</t>
        </is>
      </c>
      <c r="D187" s="71" t="inlineStr">
        <is>
          <t>Consumer</t>
        </is>
      </c>
      <c r="E187" s="71" t="inlineStr">
        <is>
          <t>Beverages / packaged food</t>
        </is>
      </c>
      <c r="F187" s="71" t="inlineStr">
        <is>
          <t>Beverages (Alcoholic)</t>
        </is>
      </c>
      <c r="G187" s="71" t="inlineStr">
        <is>
          <t>Standard</t>
        </is>
      </c>
      <c r="H187" s="72" t="n">
        <v>45043</v>
      </c>
      <c r="I187" s="73" t="n">
        <v>5309.4</v>
      </c>
      <c r="J187" s="71" t="inlineStr">
        <is>
          <t>gross (price x shares)</t>
        </is>
      </c>
      <c r="K187" s="74" t="n"/>
      <c r="L187" s="74" t="n">
        <v>10.82</v>
      </c>
      <c r="M187" s="74" t="n">
        <v>10.82</v>
      </c>
      <c r="N187" s="71" t="inlineStr">
        <is>
          <t>Y</t>
        </is>
      </c>
      <c r="O187" s="75" t="n">
        <v>100</v>
      </c>
      <c r="P187" s="75" t="n"/>
      <c r="Q187" s="76" t="n">
        <v>38863.4</v>
      </c>
      <c r="R187" s="71" t="inlineStr">
        <is>
          <t>aastocks:上市市值 at the struck price</t>
        </is>
      </c>
      <c r="S187" s="77" t="n">
        <v>1.94</v>
      </c>
      <c r="T187" s="78" t="n">
        <v>3.9</v>
      </c>
      <c r="U187" s="79" t="n"/>
      <c r="V187" s="80" t="n">
        <v>109</v>
      </c>
      <c r="W187" s="75" t="n"/>
      <c r="X187" s="71" t="n"/>
      <c r="Y187" s="76" t="n">
        <v>5309.4</v>
      </c>
      <c r="Z187" s="76" t="n">
        <v>490699800</v>
      </c>
      <c r="AA187" s="75" t="n">
        <v>13.66</v>
      </c>
      <c r="AB187" s="71" t="n"/>
      <c r="AC187" s="71" t="n"/>
      <c r="AD187" s="75" t="n">
        <v>5.3</v>
      </c>
      <c r="AE187" s="71" t="inlineStr">
        <is>
          <t>lapsed</t>
        </is>
      </c>
      <c r="AF187" s="71" t="inlineStr">
        <is>
          <t>2023-05-20</t>
        </is>
      </c>
      <c r="AG187" s="71" t="inlineStr">
        <is>
          <t>Goldman Sachs</t>
        </is>
      </c>
      <c r="AH187" s="71" t="inlineStr">
        <is>
          <t>Goldman Sachs</t>
        </is>
      </c>
      <c r="AI187" s="81" t="n">
        <v>-4.99</v>
      </c>
      <c r="AJ187" s="82" t="n">
        <v>-17.93</v>
      </c>
      <c r="AK187" s="82" t="n">
        <v>-16.82</v>
      </c>
      <c r="AL187" s="82" t="n">
        <v>-1.33</v>
      </c>
      <c r="AM187" s="83" t="n"/>
      <c r="AN187" s="75" t="n">
        <v>12.78</v>
      </c>
      <c r="AO187" s="82" t="n">
        <v>-15.9</v>
      </c>
      <c r="AP187" s="82" t="n">
        <v>-34.1</v>
      </c>
      <c r="AQ187" s="82" t="n">
        <v>-12.38</v>
      </c>
      <c r="AR187" s="82" t="n">
        <v>2.47</v>
      </c>
      <c r="AS187" s="82" t="n">
        <v>-19.7</v>
      </c>
      <c r="AT187" s="82" t="n">
        <v>6.76</v>
      </c>
      <c r="AU187" s="82" t="n">
        <v>-16.15</v>
      </c>
      <c r="AV187" s="82" t="n">
        <v>-26.77</v>
      </c>
      <c r="AW187" s="82" t="n">
        <v>-16.74</v>
      </c>
      <c r="AX187" s="82" t="n">
        <v>-12.63</v>
      </c>
      <c r="AY187" s="82" t="n">
        <v>-7.33</v>
      </c>
      <c r="AZ187" s="82" t="n">
        <v>-7.07</v>
      </c>
      <c r="BA187" s="71" t="inlineStr">
        <is>
          <t>Hang Seng Commerce &amp; Industry sub-index</t>
        </is>
      </c>
      <c r="BB187" s="82" t="n">
        <v>-26.76</v>
      </c>
      <c r="BC187" s="72" t="inlineStr">
        <is>
          <t>2026-09-23</t>
        </is>
      </c>
      <c r="BD187" s="73" t="n">
        <v>6441.5</v>
      </c>
      <c r="BE187" s="76" t="n"/>
      <c r="BF187" s="71" t="n"/>
      <c r="BG187" s="83" t="n">
        <v>17.5</v>
      </c>
      <c r="BH187" s="83" t="n">
        <v>17.5</v>
      </c>
      <c r="BI187" s="83" t="n">
        <v>42.9</v>
      </c>
      <c r="BJ187" s="83" t="n">
        <v>6</v>
      </c>
      <c r="BK187" s="84">
        <f>IF('BBG Verify'!S187="","not filed; run on terminal",'BBG Verify'!S187)</f>
        <v/>
      </c>
      <c r="BL187" s="85" t="inlineStr">
        <is>
          <t>N</t>
        </is>
      </c>
      <c r="BM187" s="86">
        <f>IF('BBG Verify'!K187="","not filed; run on terminal",'BBG Verify'!K187)</f>
        <v/>
      </c>
      <c r="BN187" s="71" t="inlineStr">
        <is>
          <t>N/A</t>
        </is>
      </c>
      <c r="BO187" s="71" t="inlineStr">
        <is>
          <t>N/A</t>
        </is>
      </c>
      <c r="BP187" s="71" t="inlineStr">
        <is>
          <t>N/A</t>
        </is>
      </c>
      <c r="BQ187" s="71" t="inlineStr">
        <is>
          <t>N/A</t>
        </is>
      </c>
      <c r="BR187" s="71" t="inlineStr">
        <is>
          <t>N/A</t>
        </is>
      </c>
      <c r="BS187" s="71" t="inlineStr">
        <is>
          <t>N/A</t>
        </is>
      </c>
      <c r="BT187" s="85" t="n"/>
      <c r="BU187" s="71" t="inlineStr">
        <is>
          <t>Goldman Sachs (Asia) L.L.C.; China Securities (International) Corporate Finance Company Limited</t>
        </is>
      </c>
      <c r="BV187" s="71" t="inlineStr">
        <is>
          <t>China International Capital Corporation Hong Kong Securities Limited; China Securities (International) Corporate Finance Company Limited; Goldman Sachs (Asia) L.L.C.</t>
        </is>
      </c>
      <c r="BW187" s="71" t="inlineStr">
        <is>
          <t>China International Capital Corporation Hong Kong Securities Limited; China Securities (International) Corporate Finance Company Limited; Goldman Sachs (Asia) L.L.C.</t>
        </is>
      </c>
      <c r="BX187" s="87">
        <f>HYPERLINK("https://www1.hkexnews.hk/listedco/listconews/sehk/2023/0417/2023041700044.htm","prospectus")</f>
        <v/>
      </c>
      <c r="BY187" s="87">
        <f>HYPERLINK("https://www1.hkexnews.hk/listedco/listconews/sehk/2023/0426/2023042600060.htm","allotment")</f>
        <v/>
      </c>
      <c r="BZ187" s="87">
        <f>HYPERLINK("https://www1.hkexnews.hk/listedco/listconews/sehk/2023/0525/2023052500386.pdf","stabilisation")</f>
        <v/>
      </c>
      <c r="CA187" s="85" t="n"/>
      <c r="CB187" s="71"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allocation: allocation table not in this notice's format (older prose announcement); day-1 tape: volume on file; the retail multiple needs the final public split, which this notice does not state</t>
        </is>
      </c>
    </row>
    <row r="188" ht="15" customHeight="1">
      <c r="A188" s="70" t="inlineStr">
        <is>
          <t>2415</t>
        </is>
      </c>
      <c r="B188" s="71" t="inlineStr">
        <is>
          <t>MEDSCI</t>
        </is>
      </c>
      <c r="C188" s="71" t="inlineStr">
        <is>
          <t>梅斯健康</t>
        </is>
      </c>
      <c r="D188" s="71" t="inlineStr">
        <is>
          <t>Healthcare</t>
        </is>
      </c>
      <c r="E188" s="71" t="inlineStr">
        <is>
          <t>CXO / pharma services</t>
        </is>
      </c>
      <c r="F188" s="71" t="inlineStr">
        <is>
          <t>Health Care Services</t>
        </is>
      </c>
      <c r="G188" s="71" t="inlineStr">
        <is>
          <t>Standard</t>
        </is>
      </c>
      <c r="H188" s="72" t="n">
        <v>45043</v>
      </c>
      <c r="I188" s="73" t="n">
        <v>607.8</v>
      </c>
      <c r="J188" s="71" t="inlineStr">
        <is>
          <t>gross (price x shares)</t>
        </is>
      </c>
      <c r="K188" s="74" t="n">
        <v>9.1</v>
      </c>
      <c r="L188" s="74" t="n">
        <v>10.16</v>
      </c>
      <c r="M188" s="74" t="n">
        <v>9.1</v>
      </c>
      <c r="N188" s="71" t="inlineStr">
        <is>
          <t>N</t>
        </is>
      </c>
      <c r="O188" s="75" t="n">
        <v>89.59999999999999</v>
      </c>
      <c r="P188" s="75" t="n">
        <v>0</v>
      </c>
      <c r="Q188" s="76" t="n">
        <v>6101.8</v>
      </c>
      <c r="R188" s="71" t="inlineStr">
        <is>
          <t>aastocks:上市市值 at the struck price</t>
        </is>
      </c>
      <c r="S188" s="77" t="n">
        <v>9.85</v>
      </c>
      <c r="T188" s="78" t="n">
        <v>1.47</v>
      </c>
      <c r="U188" s="79" t="n">
        <v>20.1</v>
      </c>
      <c r="V188" s="80" t="n">
        <v>116</v>
      </c>
      <c r="W188" s="75" t="n"/>
      <c r="X188" s="71" t="n"/>
      <c r="Y188" s="76" t="n">
        <v>485.63</v>
      </c>
      <c r="Z188" s="76" t="n">
        <v>53364411</v>
      </c>
      <c r="AA188" s="75" t="n">
        <v>7.96</v>
      </c>
      <c r="AB188" s="71" t="inlineStr">
        <is>
          <t>Anji Guorong Construction Co., Ltd; Anji Guorong Venture Capital Co., Ltd; Anji Jiaotou Industrial Development Co., Ltd; Anji Qicai Lingfeng Rural Tourism Investment Co., Ltd; GF Global Capital Limited; Harvest International Premium Value (Secondary Market) Fund SPC</t>
        </is>
      </c>
      <c r="AC188" s="71" t="inlineStr">
        <is>
          <t>anji;gf;harvest</t>
        </is>
      </c>
      <c r="AD188" s="75" t="n">
        <v>10.82</v>
      </c>
      <c r="AE188" s="71" t="n"/>
      <c r="AF188" s="71" t="inlineStr">
        <is>
          <t>2023-05-20</t>
        </is>
      </c>
      <c r="AG188" s="71" t="inlineStr">
        <is>
          <t>Chin a International Capital Corporation Hong Kong Securities Limited</t>
        </is>
      </c>
      <c r="AH188" s="71" t="inlineStr">
        <is>
          <t>Chin a</t>
        </is>
      </c>
      <c r="AI188" s="81" t="n">
        <v>-2.75</v>
      </c>
      <c r="AJ188" s="82" t="n">
        <v>1.1</v>
      </c>
      <c r="AK188" s="82" t="n">
        <v>-2.75</v>
      </c>
      <c r="AL188" s="82" t="n">
        <v>3.96</v>
      </c>
      <c r="AM188" s="83" t="n"/>
      <c r="AN188" s="75" t="n">
        <v>9.83</v>
      </c>
      <c r="AO188" s="82" t="n">
        <v>-5.49</v>
      </c>
      <c r="AP188" s="82" t="n">
        <v>2.64</v>
      </c>
      <c r="AQ188" s="82" t="n">
        <v>-15.16</v>
      </c>
      <c r="AR188" s="82" t="n">
        <v>-6.52</v>
      </c>
      <c r="AS188" s="82" t="n">
        <v>1.52</v>
      </c>
      <c r="AT188" s="82" t="n">
        <v>-16.08</v>
      </c>
      <c r="AU188" s="82" t="n">
        <v>-5.78</v>
      </c>
      <c r="AV188" s="82" t="n">
        <v>8.73</v>
      </c>
      <c r="AW188" s="82" t="n">
        <v>-8.449999999999999</v>
      </c>
      <c r="AX188" s="82" t="n">
        <v>8.359999999999999</v>
      </c>
      <c r="AY188" s="82" t="n">
        <v>-6.09</v>
      </c>
      <c r="AZ188" s="82" t="n">
        <v>-6.84</v>
      </c>
      <c r="BA188" s="71" t="inlineStr">
        <is>
          <t>China Biotech ETF (HS biotech proxy)</t>
        </is>
      </c>
      <c r="BB188" s="82" t="n">
        <v>-91.31999999999999</v>
      </c>
      <c r="BC188" s="72" t="inlineStr">
        <is>
          <t>2026-09-23</t>
        </is>
      </c>
      <c r="BD188" s="73" t="n">
        <v>383.8</v>
      </c>
      <c r="BE188" s="76" t="n">
        <v>-109.9</v>
      </c>
      <c r="BF188" s="71" t="inlineStr">
        <is>
          <t>N</t>
        </is>
      </c>
      <c r="BG188" s="71" t="inlineStr">
        <is>
          <t>n/m</t>
        </is>
      </c>
      <c r="BH188" s="83" t="n"/>
      <c r="BI188" s="83" t="n">
        <v>19.5</v>
      </c>
      <c r="BJ188" s="83" t="n">
        <v>15.9</v>
      </c>
      <c r="BK188" s="84">
        <f>IF('BBG Verify'!S188="","not filed; run on terminal",'BBG Verify'!S188)</f>
        <v/>
      </c>
      <c r="BL188" s="85" t="inlineStr">
        <is>
          <t>N</t>
        </is>
      </c>
      <c r="BM188" s="86">
        <f>IF('BBG Verify'!K188="","not filed; run on terminal",'BBG Verify'!K188)</f>
        <v/>
      </c>
      <c r="BN188" s="71" t="inlineStr">
        <is>
          <t>N/A</t>
        </is>
      </c>
      <c r="BO188" s="71" t="inlineStr">
        <is>
          <t>N/A</t>
        </is>
      </c>
      <c r="BP188" s="71" t="inlineStr">
        <is>
          <t>N/A</t>
        </is>
      </c>
      <c r="BQ188" s="71" t="inlineStr">
        <is>
          <t>N/A</t>
        </is>
      </c>
      <c r="BR188" s="71" t="inlineStr">
        <is>
          <t>N/A</t>
        </is>
      </c>
      <c r="BS188" s="71" t="inlineStr">
        <is>
          <t>N/A</t>
        </is>
      </c>
      <c r="BT188" s="85" t="inlineStr">
        <is>
          <t>China International Capital Corporation Hong Kong Securities Limited; Macquarie Capital Limited</t>
        </is>
      </c>
      <c r="BU188" s="71" t="inlineStr">
        <is>
          <t>China International Capital Corporation Hong Kong Securities Limited; Macquarie Capital Limited</t>
        </is>
      </c>
      <c r="BV188" s="71"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W188" s="71"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X188" s="87">
        <f>HYPERLINK("https://www1.hkexnews.hk/listedco/listconews/sehk/2023/0417/2023041700009.pdf","prospectus")</f>
        <v/>
      </c>
      <c r="BY188" s="87">
        <f>HYPERLINK("https://www1.hkexnews.hk/listedco/listconews/sehk/2023/0426/2023042600046.htm","allotment")</f>
        <v/>
      </c>
      <c r="BZ188" s="71" t="n"/>
      <c r="CA188" s="85" t="n"/>
      <c r="CB188" s="71" t="inlineStr">
        <is>
          <t>P/E: loss-making at IPO, use P/S; greenshoe: end-of-stabilisation notice not found; cornerstone: % from the prospectus; AAStocks table includes non-cornerstone orders; deal size: stated gross HK$18.2m rejected, below the net proceeds of HK$538.2m; allocation: allocation table not in this notice's format (older prose announcement); day-1 tape: volume on file; the retail multiple needs the final public split, which this notice does not state</t>
        </is>
      </c>
    </row>
    <row r="189" ht="15" customHeight="1">
      <c r="A189" s="70" t="inlineStr">
        <is>
          <t>2480</t>
        </is>
      </c>
      <c r="B189" s="71" t="inlineStr">
        <is>
          <t>LUZHU BIOTECH-B</t>
        </is>
      </c>
      <c r="C189" s="71" t="inlineStr">
        <is>
          <t>綠竹生物－Ｂ</t>
        </is>
      </c>
      <c r="D189" s="71" t="inlineStr">
        <is>
          <t>Healthcare</t>
        </is>
      </c>
      <c r="E189" s="71" t="inlineStr">
        <is>
          <t>Biotech pre-revenue (18A)</t>
        </is>
      </c>
      <c r="F189" s="71" t="inlineStr">
        <is>
          <t>Biotechnology - Pharmaceuticals</t>
        </is>
      </c>
      <c r="G189" s="71" t="inlineStr">
        <is>
          <t>18A</t>
        </is>
      </c>
      <c r="H189" s="72" t="n">
        <v>45054</v>
      </c>
      <c r="I189" s="73" t="n">
        <v>340.7</v>
      </c>
      <c r="J189" s="71" t="inlineStr">
        <is>
          <t>gross (price x shares)</t>
        </is>
      </c>
      <c r="K189" s="74" t="n">
        <v>32.8</v>
      </c>
      <c r="L189" s="74" t="n">
        <v>41.65</v>
      </c>
      <c r="M189" s="74" t="n">
        <v>32.8</v>
      </c>
      <c r="N189" s="71" t="inlineStr">
        <is>
          <t>N</t>
        </is>
      </c>
      <c r="O189" s="75" t="n">
        <v>78.8</v>
      </c>
      <c r="P189" s="75" t="n">
        <v>0</v>
      </c>
      <c r="Q189" s="76" t="n">
        <v>8051.3</v>
      </c>
      <c r="R189" s="71" t="inlineStr">
        <is>
          <t>aastocks:上市市值 at the struck price</t>
        </is>
      </c>
      <c r="S189" s="77" t="n">
        <v>3.25</v>
      </c>
      <c r="T189" s="78" t="n">
        <v>1.33</v>
      </c>
      <c r="U189" s="79" t="n">
        <v>46.1</v>
      </c>
      <c r="V189" s="80" t="n">
        <v>168</v>
      </c>
      <c r="W189" s="75" t="n"/>
      <c r="X189" s="71" t="n"/>
      <c r="Y189" s="76" t="n">
        <v>183.64</v>
      </c>
      <c r="Z189" s="76" t="n">
        <v>5598054</v>
      </c>
      <c r="AA189" s="75" t="n">
        <v>2.28</v>
      </c>
      <c r="AB189" s="71" t="inlineStr">
        <is>
          <t>Harvest International Premium Value (Secondary Market) Fund SPC</t>
        </is>
      </c>
      <c r="AC189" s="71" t="inlineStr">
        <is>
          <t>harvest</t>
        </is>
      </c>
      <c r="AD189" s="75" t="n">
        <v>11.2</v>
      </c>
      <c r="AE189" s="71" t="inlineStr">
        <is>
          <t>lapsed</t>
        </is>
      </c>
      <c r="AF189" s="71" t="inlineStr">
        <is>
          <t>2023-05-28</t>
        </is>
      </c>
      <c r="AG189" s="71" t="inlineStr">
        <is>
          <t>China International Capital Corporation Hong Kong Securities Limited</t>
        </is>
      </c>
      <c r="AH189" s="71" t="inlineStr">
        <is>
          <t>China International</t>
        </is>
      </c>
      <c r="AI189" s="81" t="n">
        <v>-4.12</v>
      </c>
      <c r="AJ189" s="82" t="n">
        <v>-32.93</v>
      </c>
      <c r="AK189" s="82" t="n">
        <v>-3.96</v>
      </c>
      <c r="AL189" s="82" t="n">
        <v>-30.16</v>
      </c>
      <c r="AM189" s="83" t="n"/>
      <c r="AN189" s="75" t="n">
        <v>30.48</v>
      </c>
      <c r="AO189" s="82" t="n">
        <v>-30.95</v>
      </c>
      <c r="AP189" s="82" t="n">
        <v>1.98</v>
      </c>
      <c r="AQ189" s="82" t="n">
        <v>-3.51</v>
      </c>
      <c r="AR189" s="82" t="n">
        <v>2.95</v>
      </c>
      <c r="AS189" s="82" t="n">
        <v>52.05</v>
      </c>
      <c r="AT189" s="82" t="n">
        <v>43.86</v>
      </c>
      <c r="AU189" s="82" t="n">
        <v>-29.01</v>
      </c>
      <c r="AV189" s="82" t="n">
        <v>10.5</v>
      </c>
      <c r="AW189" s="82" t="n">
        <v>9.609999999999999</v>
      </c>
      <c r="AX189" s="82" t="n">
        <v>60.28</v>
      </c>
      <c r="AY189" s="82" t="n">
        <v>-8.52</v>
      </c>
      <c r="AZ189" s="82" t="n">
        <v>-8.23</v>
      </c>
      <c r="BA189" s="71" t="inlineStr">
        <is>
          <t>China Biotech ETF (HS biotech proxy)</t>
        </is>
      </c>
      <c r="BB189" s="82" t="n">
        <v>-57.62</v>
      </c>
      <c r="BC189" s="72" t="inlineStr">
        <is>
          <t>2026-09-23</t>
        </is>
      </c>
      <c r="BD189" s="73" t="n">
        <v>0</v>
      </c>
      <c r="BE189" s="76" t="n">
        <v>-797.7</v>
      </c>
      <c r="BF189" s="71" t="inlineStr">
        <is>
          <t>N</t>
        </is>
      </c>
      <c r="BG189" s="71" t="inlineStr">
        <is>
          <t>n/m</t>
        </is>
      </c>
      <c r="BH189" s="83" t="n"/>
      <c r="BI189" s="83" t="n"/>
      <c r="BJ189" s="71" t="inlineStr">
        <is>
          <t>pre-rev</t>
        </is>
      </c>
      <c r="BK189" s="84">
        <f>IF('BBG Verify'!S189="","not filed; run on terminal",'BBG Verify'!S189)</f>
        <v/>
      </c>
      <c r="BL189" s="85" t="inlineStr">
        <is>
          <t>N</t>
        </is>
      </c>
      <c r="BM189" s="86">
        <f>IF('BBG Verify'!K189="","not filed; run on terminal",'BBG Verify'!K189)</f>
        <v/>
      </c>
      <c r="BN189" s="71" t="inlineStr">
        <is>
          <t>N/A</t>
        </is>
      </c>
      <c r="BO189" s="71" t="inlineStr">
        <is>
          <t>N/A</t>
        </is>
      </c>
      <c r="BP189" s="71" t="inlineStr">
        <is>
          <t>N/A</t>
        </is>
      </c>
      <c r="BQ189" s="71" t="inlineStr">
        <is>
          <t>N/A</t>
        </is>
      </c>
      <c r="BR189" s="71" t="inlineStr">
        <is>
          <t>N/A</t>
        </is>
      </c>
      <c r="BS189" s="71" t="inlineStr">
        <is>
          <t>N/A</t>
        </is>
      </c>
      <c r="BT189" s="85" t="inlineStr">
        <is>
          <t>China International Capital Corporation Hong Kong Securities Limited</t>
        </is>
      </c>
      <c r="BU189" s="71" t="inlineStr">
        <is>
          <t>China International Capital Corporation Hong Kong Securities Limited</t>
        </is>
      </c>
      <c r="BV189" s="71"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W189" s="71"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X189" s="87">
        <f>HYPERLINK("https://www1.hkexnews.hk/listedco/listconews/sehk/2023/0425/2023042500039.pdf","prospectus")</f>
        <v/>
      </c>
      <c r="BY189" s="87">
        <f>HYPERLINK("https://www1.hkexnews.hk/listedco/listconews/sehk/2023/0505/2023050500008.htm","allotment")</f>
        <v/>
      </c>
      <c r="BZ189" s="87">
        <f>HYPERLINK("https://www1.hkexnews.hk/listedco/listconews/sehk/2023/0528/2023052800097.pdf","stabilisation")</f>
        <v/>
      </c>
      <c r="CA189" s="85" t="n"/>
      <c r="CB189" s="71" t="inlineStr">
        <is>
          <t>P/E: loss-making at IPO, use P/S; market cap: published listing cap used; the estimate from deal size / offer % of enlarged capital disagreed; P/S: pre-revenue issuer, no sales multiple; deal size: stated gross HK$35.0m rejected; 10,386,000 offer shares at HK$32.80 = HK$340.7m; allocation: allocation table not in this notice's format (older prose announcement); day-1 tape: volume on file; the retail multiple needs the final public split, which this notice does not state</t>
        </is>
      </c>
    </row>
    <row r="190" ht="15" customHeight="1">
      <c r="A190" s="70" t="inlineStr">
        <is>
          <t>2442</t>
        </is>
      </c>
      <c r="B190" s="71" t="inlineStr">
        <is>
          <t>EASY SMART GP</t>
        </is>
      </c>
      <c r="C190" s="71" t="inlineStr">
        <is>
          <t>怡俊集團控股</t>
        </is>
      </c>
      <c r="D190" s="71" t="inlineStr">
        <is>
          <t>Industrials</t>
        </is>
      </c>
      <c r="E190" s="71" t="inlineStr">
        <is>
          <t>Construction / engineering</t>
        </is>
      </c>
      <c r="F190" s="71" t="inlineStr">
        <is>
          <t>Security &amp; Alarm Services</t>
        </is>
      </c>
      <c r="G190" s="71" t="inlineStr">
        <is>
          <t>Standard</t>
        </is>
      </c>
      <c r="H190" s="72" t="n">
        <v>45055</v>
      </c>
      <c r="I190" s="73" t="n">
        <v>130.6</v>
      </c>
      <c r="J190" s="71" t="inlineStr">
        <is>
          <t>gross (price x shares)</t>
        </is>
      </c>
      <c r="K190" s="74" t="n">
        <v>1.28</v>
      </c>
      <c r="L190" s="74" t="n">
        <v>1.38</v>
      </c>
      <c r="M190" s="74" t="n">
        <v>1.28</v>
      </c>
      <c r="N190" s="71" t="inlineStr">
        <is>
          <t>N</t>
        </is>
      </c>
      <c r="O190" s="75" t="n">
        <v>92.8</v>
      </c>
      <c r="P190" s="75" t="n">
        <v>0</v>
      </c>
      <c r="Q190" s="76" t="n">
        <v>560</v>
      </c>
      <c r="R190" s="71" t="inlineStr">
        <is>
          <t>aastocks:上市市值 at the struck price</t>
        </is>
      </c>
      <c r="S190" s="77" t="n">
        <v>17.27</v>
      </c>
      <c r="T190" s="78" t="n">
        <v>1.05</v>
      </c>
      <c r="U190" s="79" t="n">
        <v>0</v>
      </c>
      <c r="V190" s="80" t="n">
        <v>142</v>
      </c>
      <c r="W190" s="75" t="n">
        <v>30</v>
      </c>
      <c r="X190" s="71" t="inlineStr">
        <is>
          <t>YES</t>
        </is>
      </c>
      <c r="Y190" s="76" t="n">
        <v>130.6</v>
      </c>
      <c r="Z190" s="76" t="n">
        <v>102000000</v>
      </c>
      <c r="AA190" s="75" t="n">
        <v>23.32</v>
      </c>
      <c r="AB190" s="71" t="n"/>
      <c r="AC190" s="71" t="n"/>
      <c r="AD190" s="75" t="n">
        <v>15</v>
      </c>
      <c r="AE190" s="71" t="inlineStr">
        <is>
          <t>lapsed (no over-allocation)</t>
        </is>
      </c>
      <c r="AF190" s="71" t="n"/>
      <c r="AG190" s="71" t="inlineStr">
        <is>
          <t>Head &amp; Shoulders Securities Limited</t>
        </is>
      </c>
      <c r="AH190" s="71" t="inlineStr">
        <is>
          <t>Head &amp;</t>
        </is>
      </c>
      <c r="AI190" s="81" t="n">
        <v>-29.69</v>
      </c>
      <c r="AJ190" s="82" t="n">
        <v>-23.44</v>
      </c>
      <c r="AK190" s="82" t="n">
        <v>-32.03</v>
      </c>
      <c r="AL190" s="82" t="n">
        <v>12.64</v>
      </c>
      <c r="AM190" s="83" t="n">
        <v>1.57</v>
      </c>
      <c r="AN190" s="75" t="n">
        <v>25.29</v>
      </c>
      <c r="AO190" s="82" t="n">
        <v>20.31</v>
      </c>
      <c r="AP190" s="82" t="n">
        <v>26.56</v>
      </c>
      <c r="AQ190" s="82" t="n">
        <v>-21.09</v>
      </c>
      <c r="AR190" s="82" t="n">
        <v>57.14</v>
      </c>
      <c r="AS190" s="82" t="n">
        <v>65.31</v>
      </c>
      <c r="AT190" s="82" t="n">
        <v>3.07</v>
      </c>
      <c r="AU190" s="82" t="n">
        <v>20.66</v>
      </c>
      <c r="AV190" s="82" t="n">
        <v>30.9</v>
      </c>
      <c r="AW190" s="82" t="n">
        <v>-21.01</v>
      </c>
      <c r="AX190" s="82" t="n">
        <v>67.06</v>
      </c>
      <c r="AY190" s="82" t="n">
        <v>-4.34</v>
      </c>
      <c r="AZ190" s="82" t="n">
        <v>-1.75</v>
      </c>
      <c r="BA190" s="71" t="inlineStr">
        <is>
          <t>Hang Seng Commerce &amp; Industry sub-index</t>
        </is>
      </c>
      <c r="BB190" s="82" t="n">
        <v>5317.97</v>
      </c>
      <c r="BC190" s="72" t="inlineStr">
        <is>
          <t>2026-09-23</t>
        </is>
      </c>
      <c r="BD190" s="73" t="n">
        <v>240.5</v>
      </c>
      <c r="BE190" s="76" t="n">
        <v>28.8</v>
      </c>
      <c r="BF190" s="71" t="inlineStr">
        <is>
          <t>Y</t>
        </is>
      </c>
      <c r="BG190" s="83" t="n">
        <v>19.4</v>
      </c>
      <c r="BH190" s="83" t="n"/>
      <c r="BI190" s="83" t="n"/>
      <c r="BJ190" s="83" t="n">
        <v>2.3</v>
      </c>
      <c r="BK190" s="84">
        <f>IF('BBG Verify'!S190="","not filed; run on terminal",'BBG Verify'!S190)</f>
        <v/>
      </c>
      <c r="BL190" s="85" t="inlineStr">
        <is>
          <t>N</t>
        </is>
      </c>
      <c r="BM190" s="86">
        <f>IF('BBG Verify'!K190="","not filed; run on terminal",'BBG Verify'!K190)</f>
        <v/>
      </c>
      <c r="BN190" s="71" t="inlineStr">
        <is>
          <t>N/A</t>
        </is>
      </c>
      <c r="BO190" s="71" t="inlineStr">
        <is>
          <t>N/A</t>
        </is>
      </c>
      <c r="BP190" s="71" t="inlineStr">
        <is>
          <t>N/A</t>
        </is>
      </c>
      <c r="BQ190" s="71" t="inlineStr">
        <is>
          <t>N/A</t>
        </is>
      </c>
      <c r="BR190" s="71" t="inlineStr">
        <is>
          <t>N/A</t>
        </is>
      </c>
      <c r="BS190" s="71" t="inlineStr">
        <is>
          <t>N/A</t>
        </is>
      </c>
      <c r="BT190" s="85" t="n"/>
      <c r="BU190" s="71" t="inlineStr">
        <is>
          <t>Grande Capital Limited</t>
        </is>
      </c>
      <c r="BV190" s="71" t="inlineStr">
        <is>
          <t>Astrum Capital Management Limited; Beta International Securities Limited; CMBC Securities Company Limited; Eddid Securities and Futures Limited; Grande Capital Limited; Head &amp; Shoulders Securities Limited</t>
        </is>
      </c>
      <c r="BW190" s="71" t="inlineStr">
        <is>
          <t>Astrum Capital Management Limited; Beta International Securities Limited; CMBC Securities Company Limited; Eddid Securities and Futures Limited; Grande Capital Limited; Head &amp; Shoulders Securities Limited; Maxa Capital Limited</t>
        </is>
      </c>
      <c r="BX190" s="87">
        <f>HYPERLINK("https://www1.hkexnews.hk/listedco/listconews/sehk/2023/0425/2023042500029.pdf","prospectus")</f>
        <v/>
      </c>
      <c r="BY190" s="87">
        <f>HYPERLINK("https://www1.hkexnews.hk/listedco/listconews/sehk/2023/0508/2023050800004.htm","allotment")</f>
        <v/>
      </c>
      <c r="BZ190" s="87">
        <f>HYPERLINK("https://www1.hkexnews.hk/listedco/listconews/sehk/2023/0529/2023052900093.pdf","stabilisation")</f>
        <v/>
      </c>
      <c r="CA190" s="85" t="n"/>
      <c r="CB190" s="71"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t>
        </is>
      </c>
    </row>
    <row r="191" ht="15" customHeight="1">
      <c r="A191" s="70" t="inlineStr">
        <is>
          <t>2486</t>
        </is>
      </c>
      <c r="B191" s="71" t="inlineStr">
        <is>
          <t>PLUS GP HOLDING</t>
        </is>
      </c>
      <c r="C191" s="71" t="inlineStr">
        <is>
          <t>普樂師集團控股</t>
        </is>
      </c>
      <c r="D191" s="71" t="inlineStr">
        <is>
          <t>TMT-other</t>
        </is>
      </c>
      <c r="E191" s="71" t="inlineStr">
        <is>
          <t>Media / advertising</t>
        </is>
      </c>
      <c r="F191" s="71" t="inlineStr">
        <is>
          <t>Advertising</t>
        </is>
      </c>
      <c r="G191" s="71" t="inlineStr">
        <is>
          <t>Standard</t>
        </is>
      </c>
      <c r="H191" s="72" t="n">
        <v>45057</v>
      </c>
      <c r="I191" s="73" t="n">
        <v>265</v>
      </c>
      <c r="J191" s="71" t="inlineStr">
        <is>
          <t>gross (price x shares)</t>
        </is>
      </c>
      <c r="K191" s="74" t="n">
        <v>10.6</v>
      </c>
      <c r="L191" s="74" t="n">
        <v>11.8</v>
      </c>
      <c r="M191" s="74" t="n">
        <v>10.6</v>
      </c>
      <c r="N191" s="71" t="inlineStr">
        <is>
          <t>N</t>
        </is>
      </c>
      <c r="O191" s="75" t="n">
        <v>89.8</v>
      </c>
      <c r="P191" s="75" t="n">
        <v>0</v>
      </c>
      <c r="Q191" s="76" t="n">
        <v>1192.1</v>
      </c>
      <c r="R191" s="71" t="inlineStr">
        <is>
          <t>prospectus:stated market capitalisation, rescaled to the offer price</t>
        </is>
      </c>
      <c r="S191" s="77" t="n">
        <v>2.2</v>
      </c>
      <c r="T191" s="78" t="n">
        <v>1.2</v>
      </c>
      <c r="U191" s="79" t="n">
        <v>0</v>
      </c>
      <c r="V191" s="80" t="n">
        <v>112</v>
      </c>
      <c r="W191" s="75" t="n"/>
      <c r="X191" s="71" t="n"/>
      <c r="Y191" s="76" t="n">
        <v>265</v>
      </c>
      <c r="Z191" s="76" t="n">
        <v>25000000</v>
      </c>
      <c r="AA191" s="75" t="n">
        <v>22.23</v>
      </c>
      <c r="AB191" s="71" t="n"/>
      <c r="AC191" s="71" t="n"/>
      <c r="AD191" s="75" t="n">
        <v>11.98</v>
      </c>
      <c r="AE191" s="71" t="inlineStr">
        <is>
          <t>lapsed</t>
        </is>
      </c>
      <c r="AF191" s="71" t="inlineStr">
        <is>
          <t>2023-06-03</t>
        </is>
      </c>
      <c r="AG191" s="71" t="inlineStr">
        <is>
          <t>Jefferies Hong Kong Limited</t>
        </is>
      </c>
      <c r="AH191" s="71" t="inlineStr">
        <is>
          <t>Jefferies</t>
        </is>
      </c>
      <c r="AI191" s="81" t="n">
        <v>-3.77</v>
      </c>
      <c r="AJ191" s="82" t="n">
        <v>-24.62</v>
      </c>
      <c r="AK191" s="82" t="n">
        <v>-1.89</v>
      </c>
      <c r="AL191" s="82" t="n">
        <v>-23.17</v>
      </c>
      <c r="AM191" s="83" t="n"/>
      <c r="AN191" s="75" t="n">
        <v>34.62</v>
      </c>
      <c r="AO191" s="82" t="n">
        <v>-29.25</v>
      </c>
      <c r="AP191" s="82" t="n">
        <v>-43.68</v>
      </c>
      <c r="AQ191" s="82" t="n">
        <v>-50</v>
      </c>
      <c r="AR191" s="82" t="n">
        <v>-6.14</v>
      </c>
      <c r="AS191" s="82" t="n">
        <v>-25.29</v>
      </c>
      <c r="AT191" s="82" t="n">
        <v>-33.67</v>
      </c>
      <c r="AU191" s="82" t="n">
        <v>-29.07</v>
      </c>
      <c r="AV191" s="82" t="n">
        <v>-41.87</v>
      </c>
      <c r="AW191" s="82" t="n">
        <v>-46.52</v>
      </c>
      <c r="AX191" s="82" t="n">
        <v>-23.57</v>
      </c>
      <c r="AY191" s="82" t="n">
        <v>-1.81</v>
      </c>
      <c r="AZ191" s="82" t="n">
        <v>-1.72</v>
      </c>
      <c r="BA191" s="71" t="inlineStr">
        <is>
          <t>Hang Seng Index</t>
        </is>
      </c>
      <c r="BB191" s="82" t="n">
        <v>-67.17</v>
      </c>
      <c r="BC191" s="72" t="inlineStr">
        <is>
          <t>2026-09-23</t>
        </is>
      </c>
      <c r="BD191" s="73" t="n">
        <v>679.9</v>
      </c>
      <c r="BE191" s="76" t="n">
        <v>58</v>
      </c>
      <c r="BF191" s="71" t="inlineStr">
        <is>
          <t>Y</t>
        </is>
      </c>
      <c r="BG191" s="83" t="n">
        <v>20.6</v>
      </c>
      <c r="BH191" s="83" t="n"/>
      <c r="BI191" s="83" t="n">
        <v>19.6</v>
      </c>
      <c r="BJ191" s="83" t="n">
        <v>1.8</v>
      </c>
      <c r="BK191" s="84">
        <f>IF('BBG Verify'!S191="","not filed; run on terminal",'BBG Verify'!S191)</f>
        <v/>
      </c>
      <c r="BL191" s="85" t="inlineStr">
        <is>
          <t>N</t>
        </is>
      </c>
      <c r="BM191" s="86">
        <f>IF('BBG Verify'!K191="","not filed; run on terminal",'BBG Verify'!K191)</f>
        <v/>
      </c>
      <c r="BN191" s="71" t="inlineStr">
        <is>
          <t>N/A</t>
        </is>
      </c>
      <c r="BO191" s="71" t="inlineStr">
        <is>
          <t>N/A</t>
        </is>
      </c>
      <c r="BP191" s="71" t="inlineStr">
        <is>
          <t>N/A</t>
        </is>
      </c>
      <c r="BQ191" s="71" t="inlineStr">
        <is>
          <t>N/A</t>
        </is>
      </c>
      <c r="BR191" s="71" t="inlineStr">
        <is>
          <t>N/A</t>
        </is>
      </c>
      <c r="BS191" s="71" t="inlineStr">
        <is>
          <t>N/A</t>
        </is>
      </c>
      <c r="BT191" s="85" t="inlineStr">
        <is>
          <t>Jefferies Hong Kong Limited; Guotai Junan Capital Limited</t>
        </is>
      </c>
      <c r="BU191" s="71" t="inlineStr">
        <is>
          <t>Jefferies Hong Kong Limited; Guotai Junan Capital Limited</t>
        </is>
      </c>
      <c r="BV191" s="71" t="inlineStr">
        <is>
          <t>Jefferies Hong Kong Limited; Guotai Junan Securities (Hong Kong) Limited; CCB International Capital Limited; CMB Int ernational Capital Limited; ABCI Capital Limited; SPDB International Capital Limited</t>
        </is>
      </c>
      <c r="BW191" s="71"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X191" s="87">
        <f>HYPERLINK("https://www1.hkexnews.hk/listedco/listconews/sehk/2023/0428/2023042800147.pdf","prospectus")</f>
        <v/>
      </c>
      <c r="BY191" s="87">
        <f>HYPERLINK("https://www1.hkexnews.hk/listedco/listconews/sehk/2023/0510/2023051000024.htm","allotment")</f>
        <v/>
      </c>
      <c r="BZ191" s="87">
        <f>HYPERLINK("https://www1.hkexnews.hk/listedco/listconews/sehk/2023/0604/2023060400005.pdf","stabilisation")</f>
        <v/>
      </c>
      <c r="CA191" s="85" t="n"/>
      <c r="CB191" s="71" t="inlineStr">
        <is>
          <t>market cap: prospectus cap HK$1,327m at HK$11.80, rescaled to HK$10.60; cornerstone list: no cornerstone tranche; allocation: allocation table not in this notice's format (older prose announcement); day-1 tape: volume on file; the retail multiple needs the final public split, which this notice does not state</t>
        </is>
      </c>
    </row>
    <row r="192" ht="15" customHeight="1">
      <c r="A192" s="70" t="inlineStr">
        <is>
          <t>9930</t>
        </is>
      </c>
      <c r="B192" s="71" t="inlineStr">
        <is>
          <t>HORIZON CD</t>
        </is>
      </c>
      <c r="C192" s="71" t="inlineStr">
        <is>
          <t>宏信建發</t>
        </is>
      </c>
      <c r="D192" s="71" t="inlineStr">
        <is>
          <t>Industrials</t>
        </is>
      </c>
      <c r="E192" s="71" t="inlineStr">
        <is>
          <t>Capital goods / machinery</t>
        </is>
      </c>
      <c r="F192" s="71" t="inlineStr">
        <is>
          <t>Construction &amp; Farm Machinery &amp; Heavy Trucks</t>
        </is>
      </c>
      <c r="G192" s="71" t="inlineStr">
        <is>
          <t>Standard</t>
        </is>
      </c>
      <c r="H192" s="72" t="n">
        <v>45071</v>
      </c>
      <c r="I192" s="73" t="n">
        <v>1648.4</v>
      </c>
      <c r="J192" s="71" t="inlineStr">
        <is>
          <t>gross (price x shares)</t>
        </is>
      </c>
      <c r="K192" s="74" t="n">
        <v>4.52</v>
      </c>
      <c r="L192" s="74" t="n">
        <v>4.8</v>
      </c>
      <c r="M192" s="74" t="n">
        <v>4.52</v>
      </c>
      <c r="N192" s="71" t="inlineStr">
        <is>
          <t>N</t>
        </is>
      </c>
      <c r="O192" s="75" t="n">
        <v>94.2</v>
      </c>
      <c r="P192" s="75" t="n">
        <v>0</v>
      </c>
      <c r="Q192" s="76" t="n">
        <v>12778.3</v>
      </c>
      <c r="R192" s="71" t="inlineStr">
        <is>
          <t>derived:deal size / offer % of enlarged capital</t>
        </is>
      </c>
      <c r="S192" s="77" t="n">
        <v>0.12</v>
      </c>
      <c r="T192" s="78" t="n">
        <v>1.47</v>
      </c>
      <c r="U192" s="79" t="n">
        <v>23.7</v>
      </c>
      <c r="V192" s="80" t="n">
        <v>122</v>
      </c>
      <c r="W192" s="75" t="n">
        <v>1.23</v>
      </c>
      <c r="X192" s="71" t="inlineStr">
        <is>
          <t>NO</t>
        </is>
      </c>
      <c r="Y192" s="76" t="n">
        <v>1257.73</v>
      </c>
      <c r="Z192" s="76" t="n">
        <v>278261522</v>
      </c>
      <c r="AA192" s="75" t="n">
        <v>9.84</v>
      </c>
      <c r="AB192" s="71"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AC192" s="71" t="inlineStr">
        <is>
          <t>dongbin;lgmg;shanghai-gold;shanghai-putuo;xinheng;zhejiang;zoomlion</t>
        </is>
      </c>
      <c r="AD192" s="75" t="n">
        <v>5.52</v>
      </c>
      <c r="AE192" s="71" t="inlineStr">
        <is>
          <t>lapsed (no over-allocation)</t>
        </is>
      </c>
      <c r="AF192" s="71" t="n"/>
      <c r="AG192" s="71" t="inlineStr">
        <is>
          <t>Huatai Financial Holdings</t>
        </is>
      </c>
      <c r="AH192" s="71" t="inlineStr">
        <is>
          <t>Huatai</t>
        </is>
      </c>
      <c r="AI192" s="81" t="n">
        <v>-20.35</v>
      </c>
      <c r="AJ192" s="82" t="n">
        <v>-28.98</v>
      </c>
      <c r="AK192" s="82" t="n">
        <v>-27.88</v>
      </c>
      <c r="AL192" s="82" t="n">
        <v>-1.53</v>
      </c>
      <c r="AM192" s="83" t="n">
        <v>0.79</v>
      </c>
      <c r="AN192" s="75" t="n">
        <v>18.71</v>
      </c>
      <c r="AO192" s="82" t="n">
        <v>-41.37</v>
      </c>
      <c r="AP192" s="82" t="n">
        <v>-44.69</v>
      </c>
      <c r="AQ192" s="82" t="n">
        <v>-36.95</v>
      </c>
      <c r="AR192" s="82" t="n">
        <v>-17.45</v>
      </c>
      <c r="AS192" s="82" t="n">
        <v>-22.12</v>
      </c>
      <c r="AT192" s="82" t="n">
        <v>-11.22</v>
      </c>
      <c r="AU192" s="82" t="n">
        <v>-40.72</v>
      </c>
      <c r="AV192" s="82" t="n">
        <v>-45.27</v>
      </c>
      <c r="AW192" s="82" t="n">
        <v>-35.49</v>
      </c>
      <c r="AX192" s="82" t="n">
        <v>-25.1</v>
      </c>
      <c r="AY192" s="82" t="n">
        <v>0.58</v>
      </c>
      <c r="AZ192" s="82" t="n">
        <v>2.98</v>
      </c>
      <c r="BA192" s="71" t="inlineStr">
        <is>
          <t>Hang Seng Commerce &amp; Industry sub-index</t>
        </is>
      </c>
      <c r="BB192" s="82" t="n">
        <v>-84.51000000000001</v>
      </c>
      <c r="BC192" s="72" t="inlineStr">
        <is>
          <t>2026-09-23</t>
        </is>
      </c>
      <c r="BD192" s="73" t="n">
        <v>8665.4</v>
      </c>
      <c r="BE192" s="76" t="n">
        <v>733.2</v>
      </c>
      <c r="BF192" s="71" t="inlineStr">
        <is>
          <t>Y</t>
        </is>
      </c>
      <c r="BG192" s="83" t="n">
        <v>17.4</v>
      </c>
      <c r="BH192" s="83" t="n">
        <v>12.4</v>
      </c>
      <c r="BI192" s="83" t="n">
        <v>14.7</v>
      </c>
      <c r="BJ192" s="83" t="n">
        <v>1.5</v>
      </c>
      <c r="BK192" s="84">
        <f>IF('BBG Verify'!S192="","not filed; run on terminal",'BBG Verify'!S192)</f>
        <v/>
      </c>
      <c r="BL192" s="85" t="inlineStr">
        <is>
          <t>N</t>
        </is>
      </c>
      <c r="BM192" s="86">
        <f>IF('BBG Verify'!K192="","not filed; run on terminal",'BBG Verify'!K192)</f>
        <v/>
      </c>
      <c r="BN192" s="71" t="inlineStr">
        <is>
          <t>N/A</t>
        </is>
      </c>
      <c r="BO192" s="71" t="inlineStr">
        <is>
          <t>N/A</t>
        </is>
      </c>
      <c r="BP192" s="71" t="inlineStr">
        <is>
          <t>N/A</t>
        </is>
      </c>
      <c r="BQ192" s="71" t="inlineStr">
        <is>
          <t>N/A</t>
        </is>
      </c>
      <c r="BR192" s="71" t="inlineStr">
        <is>
          <t>N/A</t>
        </is>
      </c>
      <c r="BS192" s="71" t="inlineStr">
        <is>
          <t>N/A</t>
        </is>
      </c>
      <c r="BT192" s="85" t="inlineStr">
        <is>
          <t>and Sponsor-OCs Huatai Financial Holdings (Hong Kong) Limited; Citigroup Global Markets Asia Limited; CMB International Capital Limited; DBS Asia Capital Limited</t>
        </is>
      </c>
      <c r="BU192" s="71" t="inlineStr">
        <is>
          <t>Huatai Financial Holdings (Hong Kong) Limited; CMB International Capital Limited; Citigroup Global Markets Asia Limited; DBS Asia Capital Limited</t>
        </is>
      </c>
      <c r="BV192" s="71"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W192" s="71"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X192" s="87">
        <f>HYPERLINK("https://www1.hkexnews.hk/listedco/listconews/sehk/2023/0512/2023051200007.pdf","prospectus")</f>
        <v/>
      </c>
      <c r="BY192" s="87">
        <f>HYPERLINK("https://www1.hkexnews.hk/listedco/listconews/sehk/2023/0524/2023052400046.htm","allotment")</f>
        <v/>
      </c>
      <c r="BZ192" s="87">
        <f>HYPERLINK("https://www1.hkexnews.hk/listedco/listconews/sehk/2023/0619/2023061900189.pdf","stabilisation")</f>
        <v/>
      </c>
      <c r="CA192" s="85" t="n"/>
      <c r="CB192" s="71" t="inlineStr">
        <is>
          <t>greenshoe: outcome published; expiry date not in the notice; cornerstone: % from the prospectus; AAStocks table includes non-cornerstone orders</t>
        </is>
      </c>
    </row>
    <row r="193" ht="15" customHeight="1">
      <c r="A193" s="70" t="inlineStr">
        <is>
          <t>2416</t>
        </is>
      </c>
      <c r="B193" s="71" t="inlineStr">
        <is>
          <t>EDIANYUN</t>
        </is>
      </c>
      <c r="C193" s="71" t="inlineStr">
        <is>
          <t>易點雲</t>
        </is>
      </c>
      <c r="D193" s="71" t="inlineStr">
        <is>
          <t>Tech/AI</t>
        </is>
      </c>
      <c r="E193" s="71" t="inlineStr">
        <is>
          <t>SaaS / enterprise software</t>
        </is>
      </c>
      <c r="F193" s="71" t="inlineStr">
        <is>
          <t>IT Consulting &amp; Other Services</t>
        </is>
      </c>
      <c r="G193" s="71" t="inlineStr">
        <is>
          <t>Standard</t>
        </is>
      </c>
      <c r="H193" s="72" t="n">
        <v>45071</v>
      </c>
      <c r="I193" s="73" t="n">
        <v>596.9</v>
      </c>
      <c r="J193" s="71" t="inlineStr">
        <is>
          <t>gross (price x shares)</t>
        </is>
      </c>
      <c r="K193" s="74" t="n">
        <v>10</v>
      </c>
      <c r="L193" s="74" t="n">
        <v>12</v>
      </c>
      <c r="M193" s="74" t="n">
        <v>10.19</v>
      </c>
      <c r="N193" s="71" t="inlineStr">
        <is>
          <t>N</t>
        </is>
      </c>
      <c r="O193" s="75" t="n">
        <v>84.90000000000001</v>
      </c>
      <c r="P193" s="75" t="n">
        <v>9.5</v>
      </c>
      <c r="Q193" s="76" t="n">
        <v>6717.9</v>
      </c>
      <c r="R193" s="71" t="inlineStr">
        <is>
          <t>aastocks:上市市值 at the struck price</t>
        </is>
      </c>
      <c r="S193" s="77" t="n">
        <v>0.35</v>
      </c>
      <c r="T193" s="78" t="n">
        <v>1.2</v>
      </c>
      <c r="U193" s="79" t="n">
        <v>26.76</v>
      </c>
      <c r="V193" s="80" t="n">
        <v>102</v>
      </c>
      <c r="W193" s="75" t="n"/>
      <c r="X193" s="71" t="n"/>
      <c r="Y193" s="76" t="n">
        <v>437.17</v>
      </c>
      <c r="Z193" s="76" t="n">
        <v>42900330</v>
      </c>
      <c r="AA193" s="75" t="n">
        <v>6.51</v>
      </c>
      <c r="AB193" s="71" t="inlineStr">
        <is>
          <t>Orinno Investment</t>
        </is>
      </c>
      <c r="AC193" s="71" t="inlineStr">
        <is>
          <t>orinno</t>
        </is>
      </c>
      <c r="AD193" s="75" t="n">
        <v>5.34</v>
      </c>
      <c r="AE193" s="71" t="inlineStr">
        <is>
          <t>lapsed (no over-allocation)</t>
        </is>
      </c>
      <c r="AF193" s="71" t="inlineStr">
        <is>
          <t>2023-06-17</t>
        </is>
      </c>
      <c r="AG193" s="71" t="inlineStr">
        <is>
          <t>China International Capital Corporation Hong Kong Securities Limited</t>
        </is>
      </c>
      <c r="AH193" s="71" t="inlineStr">
        <is>
          <t>China International</t>
        </is>
      </c>
      <c r="AI193" s="81" t="n">
        <v>-4.02</v>
      </c>
      <c r="AJ193" s="82" t="n">
        <v>-3.04</v>
      </c>
      <c r="AK193" s="82" t="n">
        <v>-7.16</v>
      </c>
      <c r="AL193" s="82" t="n">
        <v>4.44</v>
      </c>
      <c r="AM193" s="83" t="n"/>
      <c r="AN193" s="75" t="n">
        <v>8.67</v>
      </c>
      <c r="AO193" s="82" t="n">
        <v>7.95</v>
      </c>
      <c r="AP193" s="82" t="n">
        <v>2.65</v>
      </c>
      <c r="AQ193" s="82" t="n">
        <v>-36.11</v>
      </c>
      <c r="AR193" s="82" t="n">
        <v>11.33</v>
      </c>
      <c r="AS193" s="82" t="n">
        <v>5.87</v>
      </c>
      <c r="AT193" s="82" t="n">
        <v>-34.11</v>
      </c>
      <c r="AU193" s="82" t="n">
        <v>6.38</v>
      </c>
      <c r="AV193" s="82" t="n">
        <v>-2.7</v>
      </c>
      <c r="AW193" s="82" t="n">
        <v>-44.05</v>
      </c>
      <c r="AX193" s="82" t="n">
        <v>-1.39</v>
      </c>
      <c r="AY193" s="82" t="n">
        <v>5.35</v>
      </c>
      <c r="AZ193" s="82" t="n">
        <v>7.26</v>
      </c>
      <c r="BA193" s="71" t="inlineStr">
        <is>
          <t>HSTECH (Hang Seng TECH ETF)</t>
        </is>
      </c>
      <c r="BB193" s="82" t="n">
        <v>-72.91</v>
      </c>
      <c r="BC193" s="72" t="inlineStr">
        <is>
          <t>2026-09-23</t>
        </is>
      </c>
      <c r="BD193" s="73" t="n">
        <v>1509.1</v>
      </c>
      <c r="BE193" s="76" t="n">
        <v>-672.8</v>
      </c>
      <c r="BF193" s="71" t="inlineStr">
        <is>
          <t>N</t>
        </is>
      </c>
      <c r="BG193" s="71" t="inlineStr">
        <is>
          <t>n/m</t>
        </is>
      </c>
      <c r="BH193" s="83" t="n"/>
      <c r="BI193" s="83" t="n">
        <v>12.7</v>
      </c>
      <c r="BJ193" s="83" t="n">
        <v>4.5</v>
      </c>
      <c r="BK193" s="84">
        <f>IF('BBG Verify'!S193="","not filed; run on terminal",'BBG Verify'!S193)</f>
        <v/>
      </c>
      <c r="BL193" s="85" t="inlineStr">
        <is>
          <t>N</t>
        </is>
      </c>
      <c r="BM193" s="86">
        <f>IF('BBG Verify'!K193="","not filed; run on terminal",'BBG Verify'!K193)</f>
        <v/>
      </c>
      <c r="BN193" s="71" t="inlineStr">
        <is>
          <t>N/A</t>
        </is>
      </c>
      <c r="BO193" s="71" t="inlineStr">
        <is>
          <t>N/A</t>
        </is>
      </c>
      <c r="BP193" s="71" t="inlineStr">
        <is>
          <t>N/A</t>
        </is>
      </c>
      <c r="BQ193" s="71" t="inlineStr">
        <is>
          <t>N/A</t>
        </is>
      </c>
      <c r="BR193" s="71" t="inlineStr">
        <is>
          <t>N/A</t>
        </is>
      </c>
      <c r="BS193" s="71" t="inlineStr">
        <is>
          <t>N/A</t>
        </is>
      </c>
      <c r="BT193" s="85" t="n"/>
      <c r="BU193" s="71" t="inlineStr">
        <is>
          <t>China International Capital Corporation Hong Kong Securities Limited</t>
        </is>
      </c>
      <c r="BV193" s="71" t="inlineStr">
        <is>
          <t>China International Capital Corporation Hong Kong Securities Limited; Credit Suisse (Hong Kong) Limited; CLSA Limited</t>
        </is>
      </c>
      <c r="BW193" s="71"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X193" s="87">
        <f>HYPERLINK("https://www1.hkexnews.hk/listedco/listconews/sehk/2023/0515/2023051500005.pdf","prospectus")</f>
        <v/>
      </c>
      <c r="BY193" s="87">
        <f>HYPERLINK("https://www1.hkexnews.hk/listedco/listconews/sehk/2023/0524/2023052400060.htm","allotment")</f>
        <v/>
      </c>
      <c r="BZ193" s="87">
        <f>HYPERLINK("https://www1.hkexnews.hk/listedco/listconews/sehk/2023/0618/2023061800019.pdf","stabilisation")</f>
        <v/>
      </c>
      <c r="CA193" s="85" t="n"/>
      <c r="CB193" s="71" t="inlineStr">
        <is>
          <t>P/E: loss-making at IPO, use P/S; sponsor: English name not in the filing; AAStocks 保薦人 shown; market cap: published listing cap used; the estimate from stated market capitalisation, rescaled to the offer price disagreed; allocation: allocation table not in this notice's format (older prose announcement); day-1 tape: volume on file; the retail multiple needs the final public split, which this notice does not state</t>
        </is>
      </c>
    </row>
    <row r="194" ht="15" customHeight="1">
      <c r="A194" s="70" t="inlineStr">
        <is>
          <t>2487</t>
        </is>
      </c>
      <c r="B194" s="71" t="inlineStr">
        <is>
          <t>CUTIA-B</t>
        </is>
      </c>
      <c r="C194" s="71" t="inlineStr">
        <is>
          <t>科笛－Ｂ</t>
        </is>
      </c>
      <c r="D194" s="71" t="inlineStr">
        <is>
          <t>Healthcare</t>
        </is>
      </c>
      <c r="E194" s="71" t="inlineStr">
        <is>
          <t>Biotech pre-revenue (18A)</t>
        </is>
      </c>
      <c r="F194" s="71" t="inlineStr">
        <is>
          <t>Biotechnology - Pharmaceuticals</t>
        </is>
      </c>
      <c r="G194" s="71" t="inlineStr">
        <is>
          <t>18A</t>
        </is>
      </c>
      <c r="H194" s="72" t="n">
        <v>45089</v>
      </c>
      <c r="I194" s="73" t="n">
        <v>465</v>
      </c>
      <c r="J194" s="71" t="inlineStr">
        <is>
          <t>gross (price x shares)</t>
        </is>
      </c>
      <c r="K194" s="74" t="n"/>
      <c r="L194" s="74" t="n">
        <v>21.85</v>
      </c>
      <c r="M194" s="74" t="n">
        <v>21.85</v>
      </c>
      <c r="N194" s="71" t="inlineStr">
        <is>
          <t>Y</t>
        </is>
      </c>
      <c r="O194" s="75" t="n">
        <v>100</v>
      </c>
      <c r="P194" s="75" t="n"/>
      <c r="Q194" s="76" t="n">
        <v>6278</v>
      </c>
      <c r="R194" s="71" t="inlineStr">
        <is>
          <t>prospectus:stated market capitalisation</t>
        </is>
      </c>
      <c r="S194" s="77" t="n">
        <v>1.41</v>
      </c>
      <c r="T194" s="78" t="n">
        <v>1.07</v>
      </c>
      <c r="U194" s="79" t="n">
        <v>38.9</v>
      </c>
      <c r="V194" s="80" t="n">
        <v>112</v>
      </c>
      <c r="W194" s="75" t="n"/>
      <c r="X194" s="71" t="n"/>
      <c r="Y194" s="76" t="n">
        <v>284.12</v>
      </c>
      <c r="Z194" s="76" t="n">
        <v>13003180</v>
      </c>
      <c r="AA194" s="75" t="n">
        <v>4.53</v>
      </c>
      <c r="AB194" s="71" t="inlineStr">
        <is>
          <t>Harvest Great Bay Investment SP; So-Young Hong Kong Limited; Wuxi Xinhongdi Venture Capital Partnership (Limited Partnership)</t>
        </is>
      </c>
      <c r="AC194" s="71" t="inlineStr">
        <is>
          <t>harvest;so;wuxi</t>
        </is>
      </c>
      <c r="AD194" s="75" t="n">
        <v>18.67</v>
      </c>
      <c r="AE194" s="71" t="inlineStr">
        <is>
          <t>lapsed</t>
        </is>
      </c>
      <c r="AF194" s="71" t="inlineStr">
        <is>
          <t>2023-07-05</t>
        </is>
      </c>
      <c r="AG194" s="71" t="inlineStr">
        <is>
          <t>China International Capital Corporation Hong Kong Securities Limited</t>
        </is>
      </c>
      <c r="AH194" s="71" t="inlineStr">
        <is>
          <t>China International</t>
        </is>
      </c>
      <c r="AI194" s="81" t="n">
        <v>-1.6</v>
      </c>
      <c r="AJ194" s="82" t="n">
        <v>0.46</v>
      </c>
      <c r="AK194" s="82" t="n">
        <v>-0.23</v>
      </c>
      <c r="AL194" s="82" t="n">
        <v>0.6899999999999999</v>
      </c>
      <c r="AM194" s="83" t="n"/>
      <c r="AN194" s="75" t="n">
        <v>13.99</v>
      </c>
      <c r="AO194" s="82" t="n">
        <v>38.67</v>
      </c>
      <c r="AP194" s="82" t="n">
        <v>-1.6</v>
      </c>
      <c r="AQ194" s="82" t="n">
        <v>1.37</v>
      </c>
      <c r="AR194" s="82" t="n">
        <v>38.04</v>
      </c>
      <c r="AS194" s="82" t="n">
        <v>-2.05</v>
      </c>
      <c r="AT194" s="82" t="n">
        <v>0.91</v>
      </c>
      <c r="AU194" s="82" t="n">
        <v>36.95</v>
      </c>
      <c r="AV194" s="82" t="n">
        <v>2.24</v>
      </c>
      <c r="AW194" s="82" t="n">
        <v>7.31</v>
      </c>
      <c r="AX194" s="82" t="n">
        <v>0.76</v>
      </c>
      <c r="AY194" s="82" t="n">
        <v>-3.84</v>
      </c>
      <c r="AZ194" s="82" t="n">
        <v>-2.81</v>
      </c>
      <c r="BA194" s="71" t="inlineStr">
        <is>
          <t>China Biotech ETF (HS biotech proxy)</t>
        </is>
      </c>
      <c r="BB194" s="82" t="n">
        <v>-95.15000000000001</v>
      </c>
      <c r="BC194" s="72" t="inlineStr">
        <is>
          <t>2026-09-23</t>
        </is>
      </c>
      <c r="BD194" s="73" t="n">
        <v>12.5</v>
      </c>
      <c r="BE194" s="76" t="n">
        <v>-611.4</v>
      </c>
      <c r="BF194" s="71" t="inlineStr">
        <is>
          <t>N</t>
        </is>
      </c>
      <c r="BG194" s="71" t="inlineStr">
        <is>
          <t>n/m</t>
        </is>
      </c>
      <c r="BH194" s="83" t="n"/>
      <c r="BI194" s="83" t="n"/>
      <c r="BJ194" s="83" t="n">
        <v>502.2</v>
      </c>
      <c r="BK194" s="84">
        <f>IF('BBG Verify'!S194="","not filed; run on terminal",'BBG Verify'!S194)</f>
        <v/>
      </c>
      <c r="BL194" s="85" t="inlineStr">
        <is>
          <t>N</t>
        </is>
      </c>
      <c r="BM194" s="86">
        <f>IF('BBG Verify'!K194="","not filed; run on terminal",'BBG Verify'!K194)</f>
        <v/>
      </c>
      <c r="BN194" s="71" t="inlineStr">
        <is>
          <t>N/A</t>
        </is>
      </c>
      <c r="BO194" s="71" t="inlineStr">
        <is>
          <t>N/A</t>
        </is>
      </c>
      <c r="BP194" s="71" t="inlineStr">
        <is>
          <t>N/A</t>
        </is>
      </c>
      <c r="BQ194" s="71" t="inlineStr">
        <is>
          <t>N/A</t>
        </is>
      </c>
      <c r="BR194" s="71" t="inlineStr">
        <is>
          <t>N/A</t>
        </is>
      </c>
      <c r="BS194" s="71" t="inlineStr">
        <is>
          <t>N/A</t>
        </is>
      </c>
      <c r="BT194" s="85" t="n"/>
      <c r="BU194" s="71" t="inlineStr">
        <is>
          <t>China International Capital Corporation Hong Kong Securities Limited</t>
        </is>
      </c>
      <c r="BV194" s="71" t="inlineStr">
        <is>
          <t>BOCI Asia Limited; China International Capital Corporation Hong Kong Securities Limited; CLSA Limited; CMB International Capital Limited; Deutsche Bank AG, Hong Kong Branch; Futu Securities International (Hong Kong) Limited</t>
        </is>
      </c>
      <c r="BW194" s="71"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X194" s="87">
        <f>HYPERLINK("https://www1.hkexnews.hk/listedco/listconews/sehk/2023/0531/2023053100174.htm","prospectus")</f>
        <v/>
      </c>
      <c r="BY194" s="87">
        <f>HYPERLINK("https://www1.hkexnews.hk/listedco/listconews/sehk/2023/0609/2023060900016.htm","allotment")</f>
        <v/>
      </c>
      <c r="BZ194" s="87">
        <f>HYPERLINK("https://www1.hkexnews.hk/listedco/listconews/sehk/2023/0705/2023070500577.pdf","stabilisation")</f>
        <v/>
      </c>
      <c r="CA194" s="85" t="n"/>
      <c r="CB194"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allocation: allocation table not in this notice's format (older prose announcement); day-1 tape: volume on file; the retail multiple needs the final public split, which this notice does not state</t>
        </is>
      </c>
    </row>
    <row r="195" ht="15" customHeight="1">
      <c r="A195" s="70" t="inlineStr">
        <is>
          <t>9885</t>
        </is>
      </c>
      <c r="B195" s="71" t="inlineStr">
        <is>
          <t>YSB</t>
        </is>
      </c>
      <c r="C195" s="71" t="inlineStr">
        <is>
          <t>藥師幫</t>
        </is>
      </c>
      <c r="D195" s="71" t="inlineStr">
        <is>
          <t>Healthcare</t>
        </is>
      </c>
      <c r="E195" s="71" t="inlineStr">
        <is>
          <t>Digital health</t>
        </is>
      </c>
      <c r="F195" s="71" t="inlineStr">
        <is>
          <t>Pharmaceuticals</t>
        </is>
      </c>
      <c r="G195" s="71" t="inlineStr">
        <is>
          <t>Standard</t>
        </is>
      </c>
      <c r="H195" s="72" t="n">
        <v>45105</v>
      </c>
      <c r="I195" s="73" t="n">
        <v>316.2</v>
      </c>
      <c r="J195" s="71" t="inlineStr">
        <is>
          <t>gross (price x shares)</t>
        </is>
      </c>
      <c r="K195" s="74" t="n"/>
      <c r="L195" s="74" t="n">
        <v>20</v>
      </c>
      <c r="M195" s="74" t="n">
        <v>20</v>
      </c>
      <c r="N195" s="71" t="inlineStr">
        <is>
          <t>Y</t>
        </is>
      </c>
      <c r="O195" s="75" t="n">
        <v>100</v>
      </c>
      <c r="P195" s="75" t="n"/>
      <c r="Q195" s="76" t="n">
        <v>13309.3</v>
      </c>
      <c r="R195" s="71" t="inlineStr">
        <is>
          <t>aastocks:上市市值 at the struck price</t>
        </is>
      </c>
      <c r="S195" s="77" t="n">
        <v>5.6</v>
      </c>
      <c r="T195" s="78" t="n">
        <v>2.08</v>
      </c>
      <c r="U195" s="79" t="n">
        <v>42.4</v>
      </c>
      <c r="V195" s="80" t="n">
        <v>126</v>
      </c>
      <c r="W195" s="75" t="n"/>
      <c r="X195" s="71" t="n"/>
      <c r="Y195" s="76" t="n">
        <v>182.13</v>
      </c>
      <c r="Z195" s="76" t="n">
        <v>9105869</v>
      </c>
      <c r="AA195" s="75" t="n">
        <v>1.37</v>
      </c>
      <c r="AB195" s="71" t="inlineStr">
        <is>
          <t>ZGC International Limited</t>
        </is>
      </c>
      <c r="AC195" s="71" t="inlineStr">
        <is>
          <t>zgc</t>
        </is>
      </c>
      <c r="AD195" s="75" t="n"/>
      <c r="AE195" s="71" t="inlineStr">
        <is>
          <t>partial</t>
        </is>
      </c>
      <c r="AF195" s="71" t="inlineStr">
        <is>
          <t>2023-07-20</t>
        </is>
      </c>
      <c r="AG195" s="71" t="inlineStr">
        <is>
          <t>China International Capital Corporation Hong Kong Securities Limited</t>
        </is>
      </c>
      <c r="AH195" s="71" t="inlineStr">
        <is>
          <t>China International</t>
        </is>
      </c>
      <c r="AI195" s="81" t="n">
        <v>30</v>
      </c>
      <c r="AJ195" s="82" t="n">
        <v>5.5</v>
      </c>
      <c r="AK195" s="82" t="n">
        <v>15.25</v>
      </c>
      <c r="AL195" s="82" t="n">
        <v>-8.460000000000001</v>
      </c>
      <c r="AM195" s="83" t="n"/>
      <c r="AN195" s="75" t="n">
        <v>11.93</v>
      </c>
      <c r="AO195" s="82" t="n">
        <v>22.5</v>
      </c>
      <c r="AP195" s="82" t="n">
        <v>147.5</v>
      </c>
      <c r="AQ195" s="82" t="n">
        <v>154.5</v>
      </c>
      <c r="AR195" s="82" t="n">
        <v>16.11</v>
      </c>
      <c r="AS195" s="82" t="n">
        <v>134.6</v>
      </c>
      <c r="AT195" s="82" t="n">
        <v>141.23</v>
      </c>
      <c r="AU195" s="82" t="n">
        <v>19.59</v>
      </c>
      <c r="AV195" s="82" t="n">
        <v>140.71</v>
      </c>
      <c r="AW195" s="82" t="n">
        <v>151.87</v>
      </c>
      <c r="AX195" s="82" t="n">
        <v>127.14</v>
      </c>
      <c r="AY195" s="82" t="n">
        <v>6.79</v>
      </c>
      <c r="AZ195" s="82" t="n">
        <v>7.46</v>
      </c>
      <c r="BA195" s="71" t="inlineStr">
        <is>
          <t>China Biotech ETF (HS biotech proxy)</t>
        </is>
      </c>
      <c r="BB195" s="82" t="n">
        <v>-82.78</v>
      </c>
      <c r="BC195" s="72" t="inlineStr">
        <is>
          <t>2026-09-23</t>
        </is>
      </c>
      <c r="BD195" s="73" t="n">
        <v>15702.3</v>
      </c>
      <c r="BE195" s="76" t="n">
        <v>-1650</v>
      </c>
      <c r="BF195" s="71" t="inlineStr">
        <is>
          <t>N</t>
        </is>
      </c>
      <c r="BG195" s="71" t="inlineStr">
        <is>
          <t>n/m</t>
        </is>
      </c>
      <c r="BH195" s="83" t="n"/>
      <c r="BI195" s="83" t="n">
        <v>13.5</v>
      </c>
      <c r="BJ195" s="83" t="n">
        <v>0.8</v>
      </c>
      <c r="BK195" s="84">
        <f>IF('BBG Verify'!S195="","not filed; run on terminal",'BBG Verify'!S195)</f>
        <v/>
      </c>
      <c r="BL195" s="85" t="inlineStr">
        <is>
          <t>N</t>
        </is>
      </c>
      <c r="BM195" s="86">
        <f>IF('BBG Verify'!K195="","not filed; run on terminal",'BBG Verify'!K195)</f>
        <v/>
      </c>
      <c r="BN195" s="71" t="inlineStr">
        <is>
          <t>N/A</t>
        </is>
      </c>
      <c r="BO195" s="71" t="inlineStr">
        <is>
          <t>N/A</t>
        </is>
      </c>
      <c r="BP195" s="71" t="inlineStr">
        <is>
          <t>N/A</t>
        </is>
      </c>
      <c r="BQ195" s="71" t="inlineStr">
        <is>
          <t>N/A</t>
        </is>
      </c>
      <c r="BR195" s="71" t="inlineStr">
        <is>
          <t>N/A</t>
        </is>
      </c>
      <c r="BS195" s="71" t="inlineStr">
        <is>
          <t>N/A</t>
        </is>
      </c>
      <c r="BT195" s="85" t="n"/>
      <c r="BU195" s="71" t="inlineStr">
        <is>
          <t>China International Capital Corporation Hong Kong Securities Limited</t>
        </is>
      </c>
      <c r="BV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W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X195" s="87">
        <f>HYPERLINK("https://www1.hkexnews.hk/listedco/listconews/sehk/2023/0615/2023061500046.htm","prospectus")</f>
        <v/>
      </c>
      <c r="BY195" s="87">
        <f>HYPERLINK("https://www1.hkexnews.hk/listedco/listconews/sehk/2023/0627/2023062700054.htm","allotment")</f>
        <v/>
      </c>
      <c r="BZ195" s="87">
        <f>HYPERLINK("https://www1.hkexnews.hk/listedco/listconews/sehk/2023/0720/2023072001211.pdf","stabilisation")</f>
        <v/>
      </c>
      <c r="CA195" s="85" t="n"/>
      <c r="CB195"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196" ht="15" customHeight="1">
      <c r="A196" s="70" t="inlineStr">
        <is>
          <t>2105</t>
        </is>
      </c>
      <c r="B196" s="71" t="inlineStr">
        <is>
          <t>LAEKNA-B</t>
        </is>
      </c>
      <c r="C196" s="71" t="inlineStr">
        <is>
          <t>來凱醫藥－Ｂ</t>
        </is>
      </c>
      <c r="D196" s="71" t="inlineStr">
        <is>
          <t>Healthcare</t>
        </is>
      </c>
      <c r="E196" s="71" t="inlineStr">
        <is>
          <t>Biotech pre-revenue (18A)</t>
        </is>
      </c>
      <c r="F196" s="71" t="inlineStr">
        <is>
          <t>Health Care Services</t>
        </is>
      </c>
      <c r="G196" s="71" t="inlineStr">
        <is>
          <t>18A</t>
        </is>
      </c>
      <c r="H196" s="72" t="n">
        <v>45106</v>
      </c>
      <c r="I196" s="73" t="n">
        <v>790.9</v>
      </c>
      <c r="J196" s="71" t="inlineStr">
        <is>
          <t>gross (price x shares)</t>
        </is>
      </c>
      <c r="K196" s="74" t="n"/>
      <c r="L196" s="74" t="n">
        <v>12.41</v>
      </c>
      <c r="M196" s="74" t="n">
        <v>12.41</v>
      </c>
      <c r="N196" s="71" t="inlineStr">
        <is>
          <t>Y</t>
        </is>
      </c>
      <c r="O196" s="75" t="n">
        <v>100</v>
      </c>
      <c r="P196" s="75" t="n"/>
      <c r="Q196" s="76" t="n">
        <v>4841.1</v>
      </c>
      <c r="R196" s="71" t="inlineStr">
        <is>
          <t>prospectus:stated market capitalisation</t>
        </is>
      </c>
      <c r="S196" s="77" t="n">
        <v>5.81</v>
      </c>
      <c r="T196" s="78" t="n">
        <v>1.09</v>
      </c>
      <c r="U196" s="79" t="n">
        <v>86</v>
      </c>
      <c r="V196" s="80" t="n">
        <v>117</v>
      </c>
      <c r="W196" s="75" t="n"/>
      <c r="X196" s="71" t="n"/>
      <c r="Y196" s="76" t="n">
        <v>110.73</v>
      </c>
      <c r="Z196" s="76" t="n">
        <v>8921920</v>
      </c>
      <c r="AA196" s="75" t="n">
        <v>2.29</v>
      </c>
      <c r="AB196" s="71" t="inlineStr">
        <is>
          <t>Future Industry Investment Fund II; Ningbo Yaoshang Yanchuang Chenkai Venture Capital Partnership; OrbiMed Asia Partners III, L.P; Yuyao Yangming Equity Investment Fund Co., Ltd</t>
        </is>
      </c>
      <c r="AC196" s="71" t="inlineStr">
        <is>
          <t>future;ningbo;orbimed;yuyao</t>
        </is>
      </c>
      <c r="AD196" s="75" t="n"/>
      <c r="AE196" s="71" t="n"/>
      <c r="AF196" s="71" t="n"/>
      <c r="AG196" s="71" t="n"/>
      <c r="AH196" s="71" t="n"/>
      <c r="AI196" s="81" t="n">
        <v>5.88</v>
      </c>
      <c r="AJ196" s="82" t="n">
        <v>20.87</v>
      </c>
      <c r="AK196" s="82" t="n">
        <v>0.24</v>
      </c>
      <c r="AL196" s="82" t="n">
        <v>20.58</v>
      </c>
      <c r="AM196" s="83" t="n"/>
      <c r="AN196" s="75" t="n">
        <v>23.95</v>
      </c>
      <c r="AO196" s="82" t="n">
        <v>22.32</v>
      </c>
      <c r="AP196" s="82" t="n">
        <v>16.52</v>
      </c>
      <c r="AQ196" s="82" t="n">
        <v>10.39</v>
      </c>
      <c r="AR196" s="82" t="n">
        <v>1.2</v>
      </c>
      <c r="AS196" s="82" t="n">
        <v>-3.6</v>
      </c>
      <c r="AT196" s="82" t="n">
        <v>-8.67</v>
      </c>
      <c r="AU196" s="82" t="n">
        <v>20.87</v>
      </c>
      <c r="AV196" s="82" t="n">
        <v>11.37</v>
      </c>
      <c r="AW196" s="82" t="n">
        <v>7.29</v>
      </c>
      <c r="AX196" s="82" t="n">
        <v>-9.16</v>
      </c>
      <c r="AY196" s="82" t="n">
        <v>5.15</v>
      </c>
      <c r="AZ196" s="82" t="n">
        <v>5.56</v>
      </c>
      <c r="BA196" s="71" t="inlineStr">
        <is>
          <t>China Biotech ETF (HS biotech proxy)</t>
        </is>
      </c>
      <c r="BB196" s="82" t="n">
        <v>-41.94</v>
      </c>
      <c r="BC196" s="72" t="inlineStr">
        <is>
          <t>2026-09-23</t>
        </is>
      </c>
      <c r="BD196" s="73" t="n">
        <v>0</v>
      </c>
      <c r="BE196" s="76" t="n">
        <v>-859.8</v>
      </c>
      <c r="BF196" s="71" t="inlineStr">
        <is>
          <t>N</t>
        </is>
      </c>
      <c r="BG196" s="71" t="inlineStr">
        <is>
          <t>n/m</t>
        </is>
      </c>
      <c r="BH196" s="83" t="n"/>
      <c r="BI196" s="83" t="n"/>
      <c r="BJ196" s="71" t="inlineStr">
        <is>
          <t>pre-rev</t>
        </is>
      </c>
      <c r="BK196" s="84">
        <f>IF('BBG Verify'!S196="","not filed; run on terminal",'BBG Verify'!S196)</f>
        <v/>
      </c>
      <c r="BL196" s="85" t="inlineStr">
        <is>
          <t>N</t>
        </is>
      </c>
      <c r="BM196" s="86">
        <f>IF('BBG Verify'!K196="","not filed; run on terminal",'BBG Verify'!K196)</f>
        <v/>
      </c>
      <c r="BN196" s="71" t="inlineStr">
        <is>
          <t>N/A</t>
        </is>
      </c>
      <c r="BO196" s="71" t="inlineStr">
        <is>
          <t>N/A</t>
        </is>
      </c>
      <c r="BP196" s="71" t="inlineStr">
        <is>
          <t>N/A</t>
        </is>
      </c>
      <c r="BQ196" s="71" t="inlineStr">
        <is>
          <t>N/A</t>
        </is>
      </c>
      <c r="BR196" s="71" t="inlineStr">
        <is>
          <t>N/A</t>
        </is>
      </c>
      <c r="BS196" s="71" t="inlineStr">
        <is>
          <t>N/A</t>
        </is>
      </c>
      <c r="BT196" s="85" t="inlineStr">
        <is>
          <t>China International Capital Corporation Hong Kong Securities Limited</t>
        </is>
      </c>
      <c r="BU196" s="71" t="inlineStr">
        <is>
          <t>China International Capital Corporation Hong Kong Securities Limited</t>
        </is>
      </c>
      <c r="BV196" s="71" t="inlineStr">
        <is>
          <t>China International Capital Corporation Hong Kong Securities Limited; Haitong International Securities Company Limited; ICBC International Securities Limited; ABCI Capital Limited</t>
        </is>
      </c>
      <c r="BW196" s="71"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X196" s="87">
        <f>HYPERLINK("https://www1.hkexnews.hk/listedco/listconews/sehk/2023/0616/2023061600013.pdf","prospectus")</f>
        <v/>
      </c>
      <c r="BY196" s="87">
        <f>HYPERLINK("https://www1.hkexnews.hk/listedco/listconews/sehk/2023/0628/2023062800052.htm","allotment")</f>
        <v/>
      </c>
      <c r="BZ196" s="71" t="n"/>
      <c r="CA196" s="85" t="n"/>
      <c r="CB196" s="71"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197" ht="15" customHeight="1">
      <c r="A197" s="70" t="inlineStr">
        <is>
          <t>9860</t>
        </is>
      </c>
      <c r="B197" s="71" t="inlineStr">
        <is>
          <t>ADICON HOLDINGS</t>
        </is>
      </c>
      <c r="C197" s="71" t="inlineStr">
        <is>
          <t>艾迪康控股</t>
        </is>
      </c>
      <c r="D197" s="71" t="inlineStr">
        <is>
          <t>Healthcare</t>
        </is>
      </c>
      <c r="E197" s="71" t="inlineStr">
        <is>
          <t>CXO / pharma services</t>
        </is>
      </c>
      <c r="F197" s="71" t="inlineStr">
        <is>
          <t>Health Care Services</t>
        </is>
      </c>
      <c r="G197" s="71" t="inlineStr">
        <is>
          <t>Standard</t>
        </is>
      </c>
      <c r="H197" s="72" t="n">
        <v>45107</v>
      </c>
      <c r="I197" s="73" t="n">
        <v>83.90000000000001</v>
      </c>
      <c r="J197" s="71" t="inlineStr">
        <is>
          <t>net proceeds</t>
        </is>
      </c>
      <c r="K197" s="74" t="n"/>
      <c r="L197" s="74" t="n">
        <v>12.32</v>
      </c>
      <c r="M197" s="74" t="n">
        <v>12.32</v>
      </c>
      <c r="N197" s="71" t="inlineStr">
        <is>
          <t>Y</t>
        </is>
      </c>
      <c r="O197" s="75" t="n">
        <v>100</v>
      </c>
      <c r="P197" s="75" t="n"/>
      <c r="Q197" s="76" t="n">
        <v>8913</v>
      </c>
      <c r="R197" s="71" t="inlineStr">
        <is>
          <t>press:sohu/stockstar: 总市值89.13亿 at HK$12.32</t>
        </is>
      </c>
      <c r="S197" s="77" t="n">
        <v>1.06</v>
      </c>
      <c r="T197" s="78" t="n">
        <v>1.8</v>
      </c>
      <c r="U197" s="79" t="n">
        <v>31.9</v>
      </c>
      <c r="V197" s="80" t="n">
        <v>108</v>
      </c>
      <c r="W197" s="75" t="n"/>
      <c r="X197" s="71" t="n"/>
      <c r="Y197" s="76" t="n">
        <v>57.14</v>
      </c>
      <c r="Z197" s="76" t="n"/>
      <c r="AA197" s="75" t="n">
        <v>0.64</v>
      </c>
      <c r="AB197" s="71" t="inlineStr">
        <is>
          <t>Corelink Group Limited; Fosun Diagnostics (Shanghai) Co., Ltd; MR Global (HK) Limited; Snibe Diagnostic (Hong Kong) Company Limited; Timestar Elite Limited</t>
        </is>
      </c>
      <c r="AC197" s="71" t="inlineStr">
        <is>
          <t>corelink;fosun;mr;snibe;timestar</t>
        </is>
      </c>
      <c r="AD197" s="75" t="n">
        <v>12.45</v>
      </c>
      <c r="AE197" s="71" t="inlineStr">
        <is>
          <t>partial</t>
        </is>
      </c>
      <c r="AF197" s="71" t="inlineStr">
        <is>
          <t>2023-07-23</t>
        </is>
      </c>
      <c r="AG197" s="71" t="inlineStr">
        <is>
          <t>Morgan Stanley Asia Limited</t>
        </is>
      </c>
      <c r="AH197" s="71" t="inlineStr">
        <is>
          <t>Morgan Stanley</t>
        </is>
      </c>
      <c r="AI197" s="81" t="n">
        <v>1.14</v>
      </c>
      <c r="AJ197" s="82" t="n">
        <v>12.01</v>
      </c>
      <c r="AK197" s="82" t="n">
        <v>0</v>
      </c>
      <c r="AL197" s="82" t="n">
        <v>12.01</v>
      </c>
      <c r="AM197" s="83" t="n"/>
      <c r="AN197" s="75" t="n">
        <v>14.45</v>
      </c>
      <c r="AO197" s="82" t="n">
        <v>1.62</v>
      </c>
      <c r="AP197" s="82" t="n">
        <v>0.65</v>
      </c>
      <c r="AQ197" s="82" t="n">
        <v>19.97</v>
      </c>
      <c r="AR197" s="82" t="n">
        <v>-9.279999999999999</v>
      </c>
      <c r="AS197" s="82" t="n">
        <v>-10.14</v>
      </c>
      <c r="AT197" s="82" t="n">
        <v>7.11</v>
      </c>
      <c r="AU197" s="82" t="n">
        <v>0.34</v>
      </c>
      <c r="AV197" s="82" t="n">
        <v>-5.38</v>
      </c>
      <c r="AW197" s="82" t="n">
        <v>17.55</v>
      </c>
      <c r="AX197" s="82" t="n">
        <v>-14.42</v>
      </c>
      <c r="AY197" s="82" t="n">
        <v>6.03</v>
      </c>
      <c r="AZ197" s="82" t="n">
        <v>4.28</v>
      </c>
      <c r="BA197" s="71" t="inlineStr">
        <is>
          <t>China Biotech ETF (HS biotech proxy)</t>
        </is>
      </c>
      <c r="BB197" s="82" t="n">
        <v>-71.43000000000001</v>
      </c>
      <c r="BC197" s="72" t="inlineStr">
        <is>
          <t>2026-09-21</t>
        </is>
      </c>
      <c r="BD197" s="73" t="n">
        <v>5346.7</v>
      </c>
      <c r="BE197" s="76" t="n">
        <v>753.4</v>
      </c>
      <c r="BF197" s="71" t="inlineStr">
        <is>
          <t>Y</t>
        </is>
      </c>
      <c r="BG197" s="83" t="n">
        <v>11.8</v>
      </c>
      <c r="BH197" s="83" t="n"/>
      <c r="BI197" s="83" t="n">
        <v>108.8</v>
      </c>
      <c r="BJ197" s="83" t="n">
        <v>1.7</v>
      </c>
      <c r="BK197" s="84">
        <f>IF('BBG Verify'!S197="","not filed; run on terminal",'BBG Verify'!S197)</f>
        <v/>
      </c>
      <c r="BL197" s="85" t="inlineStr">
        <is>
          <t>N</t>
        </is>
      </c>
      <c r="BM197" s="86">
        <f>IF('BBG Verify'!K197="","not filed; run on terminal",'BBG Verify'!K197)</f>
        <v/>
      </c>
      <c r="BN197" s="71" t="inlineStr">
        <is>
          <t>N/A</t>
        </is>
      </c>
      <c r="BO197" s="71" t="inlineStr">
        <is>
          <t>N/A</t>
        </is>
      </c>
      <c r="BP197" s="71" t="inlineStr">
        <is>
          <t>N/A</t>
        </is>
      </c>
      <c r="BQ197" s="71" t="inlineStr">
        <is>
          <t>N/A</t>
        </is>
      </c>
      <c r="BR197" s="71" t="inlineStr">
        <is>
          <t>N/A</t>
        </is>
      </c>
      <c r="BS197" s="71" t="inlineStr">
        <is>
          <t>N/A</t>
        </is>
      </c>
      <c r="BT197" s="85" t="inlineStr">
        <is>
          <t>and Sponsor-OCs Morgan Stanley Asia Limited; Jefferies Hong Kong Limited</t>
        </is>
      </c>
      <c r="BU197" s="71" t="inlineStr">
        <is>
          <t>Jefferies Hong Kong Limited; Morgan Stanley Asia Limited</t>
        </is>
      </c>
      <c r="BV197" s="71"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W197" s="71"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X197" s="87">
        <f>HYPERLINK("https://www1.hkexnews.hk/listedco/listconews/sehk/2023/0619/2023061900005.pdf","prospectus")</f>
        <v/>
      </c>
      <c r="BY197" s="87">
        <f>HYPERLINK("https://www1.hkexnews.hk/listedco/listconews/sehk/2023/0629/2023062900124.htm","allotment")</f>
        <v/>
      </c>
      <c r="BZ197" s="87">
        <f>HYPERLINK("https://www1.hkexnews.hk/listedco/listconews/sehk/2023/0723/2023072300027.pdf","stabilisation")</f>
        <v/>
      </c>
      <c r="CA197" s="85" t="n"/>
      <c r="CB197" s="71"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198" ht="15" customHeight="1">
      <c r="A198" s="70" t="inlineStr">
        <is>
          <t>2481</t>
        </is>
      </c>
      <c r="B198" s="71" t="inlineStr">
        <is>
          <t>WISE LIVING TEC</t>
        </is>
      </c>
      <c r="C198" s="71" t="inlineStr">
        <is>
          <t>雙良睿能</t>
        </is>
      </c>
      <c r="D198" s="71" t="inlineStr">
        <is>
          <t>Materials/Energy</t>
        </is>
      </c>
      <c r="E198" s="71" t="inlineStr">
        <is>
          <t>Oil &amp; gas / utilities</t>
        </is>
      </c>
      <c r="F198" s="71" t="inlineStr">
        <is>
          <t>Environmental Utilities</t>
        </is>
      </c>
      <c r="G198" s="71" t="inlineStr">
        <is>
          <t>Standard</t>
        </is>
      </c>
      <c r="H198" s="72" t="n">
        <v>45117</v>
      </c>
      <c r="I198" s="73" t="n">
        <v>272.2</v>
      </c>
      <c r="J198" s="71" t="inlineStr">
        <is>
          <t>gross (price x shares)</t>
        </is>
      </c>
      <c r="K198" s="74" t="n">
        <v>3</v>
      </c>
      <c r="L198" s="74" t="n">
        <v>4.2</v>
      </c>
      <c r="M198" s="74" t="n">
        <v>3.6</v>
      </c>
      <c r="N198" s="71" t="inlineStr">
        <is>
          <t>N</t>
        </is>
      </c>
      <c r="O198" s="75" t="n">
        <v>85.7</v>
      </c>
      <c r="P198" s="75" t="n">
        <v>50</v>
      </c>
      <c r="Q198" s="76" t="n">
        <v>979.1</v>
      </c>
      <c r="R198" s="71" t="inlineStr">
        <is>
          <t>derived:deal size / offer % of enlarged capital</t>
        </is>
      </c>
      <c r="S198" s="77" t="n">
        <v>1.54</v>
      </c>
      <c r="T198" s="78" t="n">
        <v>1.35</v>
      </c>
      <c r="U198" s="79" t="n">
        <v>20.2</v>
      </c>
      <c r="V198" s="80" t="n">
        <v>153</v>
      </c>
      <c r="W198" s="75" t="n"/>
      <c r="X198" s="71" t="n"/>
      <c r="Y198" s="76" t="n">
        <v>217.22</v>
      </c>
      <c r="Z198" s="76" t="n">
        <v>60328800</v>
      </c>
      <c r="AA198" s="75" t="n">
        <v>22.19</v>
      </c>
      <c r="AB198" s="71" t="inlineStr">
        <is>
          <t>Jiang Gang International Investment Company Limited</t>
        </is>
      </c>
      <c r="AC198" s="71" t="inlineStr">
        <is>
          <t>jiang-gang</t>
        </is>
      </c>
      <c r="AD198" s="75" t="n">
        <v>15</v>
      </c>
      <c r="AE198" s="71" t="inlineStr">
        <is>
          <t>lapsed (no over-allocation)</t>
        </is>
      </c>
      <c r="AF198" s="71" t="n"/>
      <c r="AG198" s="71" t="inlineStr">
        <is>
          <t>Guotai Junan Securities</t>
        </is>
      </c>
      <c r="AH198" s="71" t="inlineStr">
        <is>
          <t>Guotai Junan</t>
        </is>
      </c>
      <c r="AI198" s="81" t="n">
        <v>-3.06</v>
      </c>
      <c r="AJ198" s="82" t="n">
        <v>0</v>
      </c>
      <c r="AK198" s="82" t="n">
        <v>0</v>
      </c>
      <c r="AL198" s="82" t="n">
        <v>0</v>
      </c>
      <c r="AM198" s="83" t="n"/>
      <c r="AN198" s="75" t="n">
        <v>8.33</v>
      </c>
      <c r="AO198" s="82" t="n">
        <v>-19.72</v>
      </c>
      <c r="AP198" s="82" t="n">
        <v>-22.22</v>
      </c>
      <c r="AQ198" s="82" t="n">
        <v>-26.94</v>
      </c>
      <c r="AR198" s="82" t="n">
        <v>-19.72</v>
      </c>
      <c r="AS198" s="82" t="n">
        <v>-22.22</v>
      </c>
      <c r="AT198" s="82" t="n">
        <v>-26.94</v>
      </c>
      <c r="AU198" s="82" t="n">
        <v>-24.4</v>
      </c>
      <c r="AV198" s="82" t="n">
        <v>-29.55</v>
      </c>
      <c r="AW198" s="82" t="n">
        <v>-25.35</v>
      </c>
      <c r="AX198" s="82" t="n">
        <v>-28.46</v>
      </c>
      <c r="AY198" s="82" t="n">
        <v>7.33</v>
      </c>
      <c r="AZ198" s="82" t="n">
        <v>6.24</v>
      </c>
      <c r="BA198" s="71" t="inlineStr">
        <is>
          <t>Hang Seng Commerce &amp; Industry sub-index</t>
        </is>
      </c>
      <c r="BB198" s="82" t="n">
        <v>-30.56</v>
      </c>
      <c r="BC198" s="72" t="inlineStr">
        <is>
          <t>2026-09-18</t>
        </is>
      </c>
      <c r="BD198" s="73" t="n">
        <v>1588.1</v>
      </c>
      <c r="BE198" s="76" t="n">
        <v>154.4</v>
      </c>
      <c r="BF198" s="71" t="inlineStr">
        <is>
          <t>Y</t>
        </is>
      </c>
      <c r="BG198" s="83" t="n">
        <v>6.3</v>
      </c>
      <c r="BH198" s="83" t="n"/>
      <c r="BI198" s="83" t="n">
        <v>4</v>
      </c>
      <c r="BJ198" s="83" t="n">
        <v>0.6</v>
      </c>
      <c r="BK198" s="84">
        <f>IF('BBG Verify'!S198="","not filed; run on terminal",'BBG Verify'!S198)</f>
        <v/>
      </c>
      <c r="BL198" s="85" t="inlineStr">
        <is>
          <t>N</t>
        </is>
      </c>
      <c r="BM198" s="86">
        <f>IF('BBG Verify'!K198="","not filed; run on terminal",'BBG Verify'!K198)</f>
        <v/>
      </c>
      <c r="BN198" s="71" t="inlineStr">
        <is>
          <t>N/A</t>
        </is>
      </c>
      <c r="BO198" s="71" t="inlineStr">
        <is>
          <t>N/A</t>
        </is>
      </c>
      <c r="BP198" s="71" t="inlineStr">
        <is>
          <t>N/A</t>
        </is>
      </c>
      <c r="BQ198" s="71" t="inlineStr">
        <is>
          <t>N/A</t>
        </is>
      </c>
      <c r="BR198" s="71" t="inlineStr">
        <is>
          <t>N/A</t>
        </is>
      </c>
      <c r="BS198" s="71" t="inlineStr">
        <is>
          <t>N/A</t>
        </is>
      </c>
      <c r="BT198" s="85" t="inlineStr">
        <is>
          <t>Guotai Junan Capital Limited</t>
        </is>
      </c>
      <c r="BU198" s="71" t="inlineStr">
        <is>
          <t>Guotai Junan Capital Limited</t>
        </is>
      </c>
      <c r="BV198" s="71" t="inlineStr">
        <is>
          <t>Guotai Junan Securities (Hong Kong) Limited; Orient Securities (Hong Kong) Limited; ABCI Capital Limited; China Galaxy International Securities (Hong Kong) Co., Limited</t>
        </is>
      </c>
      <c r="BW198" s="71"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X198" s="87">
        <f>HYPERLINK("https://www1.hkexnews.hk/listedco/listconews/sehk/2023/0628/2023062800029.pdf","prospectus")</f>
        <v/>
      </c>
      <c r="BY198" s="87">
        <f>HYPERLINK("https://www1.hkexnews.hk/listedco/listconews/sehk/2023/0707/2023070700062.htm","allotment")</f>
        <v/>
      </c>
      <c r="BZ198" s="87">
        <f>HYPERLINK("https://www1.hkexnews.hk/listedco/listconews/sehk/2023/0802/2023080201548.pdf","stabilisation")</f>
        <v/>
      </c>
      <c r="CA198" s="85" t="n"/>
      <c r="CB198" s="71" t="inlineStr">
        <is>
          <t>greenshoe: outcome published; expiry date not in the notice; cornerstone: table parse 51% rejected (institutional total implies 20%); the AAStocks institutional total used; allocation: allocation table not in this notice's format (older prose announcement); day-1 tape: volume on file; the retail multiple needs the final public split, which this notice does not state</t>
        </is>
      </c>
    </row>
    <row r="199" ht="15" customHeight="1">
      <c r="A199" s="70" t="inlineStr">
        <is>
          <t>6990</t>
        </is>
      </c>
      <c r="B199" s="71" t="inlineStr">
        <is>
          <t>SKB BIO-B</t>
        </is>
      </c>
      <c r="C199" s="71" t="inlineStr">
        <is>
          <t>科倫博泰生物</t>
        </is>
      </c>
      <c r="D199" s="71" t="inlineStr">
        <is>
          <t>Healthcare</t>
        </is>
      </c>
      <c r="E199" s="71" t="inlineStr">
        <is>
          <t>Biotech pre-revenue (18A)</t>
        </is>
      </c>
      <c r="F199" s="71" t="inlineStr">
        <is>
          <t>Biotechnology - Pharmaceuticals</t>
        </is>
      </c>
      <c r="G199" s="71" t="inlineStr">
        <is>
          <t>18A</t>
        </is>
      </c>
      <c r="H199" s="72" t="n">
        <v>45118</v>
      </c>
      <c r="I199" s="73" t="n">
        <v>1360.2</v>
      </c>
      <c r="J199" s="71" t="inlineStr">
        <is>
          <t>gross (price x shares)</t>
        </is>
      </c>
      <c r="K199" s="74" t="n">
        <v>60.6</v>
      </c>
      <c r="L199" s="74" t="n">
        <v>72.8</v>
      </c>
      <c r="M199" s="74" t="n">
        <v>60.6</v>
      </c>
      <c r="N199" s="71" t="inlineStr">
        <is>
          <t>N</t>
        </is>
      </c>
      <c r="O199" s="75" t="n">
        <v>83.2</v>
      </c>
      <c r="P199" s="75" t="n">
        <v>0</v>
      </c>
      <c r="Q199" s="76" t="n">
        <v>13080</v>
      </c>
      <c r="R199" s="71" t="inlineStr">
        <is>
          <t>prospectus:stated market capitalisation</t>
        </is>
      </c>
      <c r="S199" s="77" t="n">
        <v>1.27</v>
      </c>
      <c r="T199" s="78" t="n">
        <v>3.4</v>
      </c>
      <c r="U199" s="79" t="n">
        <v>16.9</v>
      </c>
      <c r="V199" s="80" t="n">
        <v>126</v>
      </c>
      <c r="W199" s="75" t="n"/>
      <c r="X199" s="71" t="n"/>
      <c r="Y199" s="76" t="n">
        <v>1130.33</v>
      </c>
      <c r="Z199" s="76" t="n">
        <v>18652709</v>
      </c>
      <c r="AA199" s="75" t="n">
        <v>8.640000000000001</v>
      </c>
      <c r="AB199" s="71" t="inlineStr">
        <is>
          <t>China Universal Asset Management Company Limited; Kelun International Development Co., Limited; Laurion Capital Master Fund Ltd; RTW Master Fund, Ltd; TruMed Healthcare Master Fund and TruMed Health Innovation Fund LP</t>
        </is>
      </c>
      <c r="AC199" s="71" t="inlineStr">
        <is>
          <t>universal;kelun;laurion;rtw;trumed</t>
        </is>
      </c>
      <c r="AD199" s="75" t="n">
        <v>8.9</v>
      </c>
      <c r="AE199" s="71" t="inlineStr">
        <is>
          <t>full</t>
        </is>
      </c>
      <c r="AF199" s="71" t="inlineStr">
        <is>
          <t>2023-08-03</t>
        </is>
      </c>
      <c r="AG199" s="71" t="inlineStr">
        <is>
          <t>Goldman Sachs</t>
        </is>
      </c>
      <c r="AH199" s="71" t="inlineStr">
        <is>
          <t>Goldman Sachs</t>
        </is>
      </c>
      <c r="AI199" s="81" t="n">
        <v>0</v>
      </c>
      <c r="AJ199" s="82" t="n">
        <v>3.14</v>
      </c>
      <c r="AK199" s="82" t="n">
        <v>0</v>
      </c>
      <c r="AL199" s="82" t="n">
        <v>3.14</v>
      </c>
      <c r="AM199" s="83" t="n"/>
      <c r="AN199" s="75" t="n">
        <v>6.44</v>
      </c>
      <c r="AO199" s="82" t="n">
        <v>8.91</v>
      </c>
      <c r="AP199" s="82" t="n">
        <v>19.64</v>
      </c>
      <c r="AQ199" s="82" t="n">
        <v>33.66</v>
      </c>
      <c r="AR199" s="82" t="n">
        <v>5.59</v>
      </c>
      <c r="AS199" s="82" t="n">
        <v>16</v>
      </c>
      <c r="AT199" s="82" t="n">
        <v>29.59</v>
      </c>
      <c r="AU199" s="82" t="n">
        <v>8.56</v>
      </c>
      <c r="AV199" s="82" t="n">
        <v>19.74</v>
      </c>
      <c r="AW199" s="82" t="n">
        <v>27.77</v>
      </c>
      <c r="AX199" s="82" t="n">
        <v>16.9</v>
      </c>
      <c r="AY199" s="82" t="n">
        <v>-0.1</v>
      </c>
      <c r="AZ199" s="82" t="n">
        <v>-0.9</v>
      </c>
      <c r="BA199" s="71" t="inlineStr">
        <is>
          <t>China Biotech ETF (HS biotech proxy)</t>
        </is>
      </c>
      <c r="BB199" s="82" t="n">
        <v>697.03</v>
      </c>
      <c r="BC199" s="72" t="inlineStr">
        <is>
          <t>2026-09-23</t>
        </is>
      </c>
      <c r="BD199" s="73" t="n">
        <v>884.3</v>
      </c>
      <c r="BE199" s="76" t="n">
        <v>-677.7</v>
      </c>
      <c r="BF199" s="71" t="inlineStr">
        <is>
          <t>N</t>
        </is>
      </c>
      <c r="BG199" s="71" t="inlineStr">
        <is>
          <t>n/m</t>
        </is>
      </c>
      <c r="BH199" s="83" t="n"/>
      <c r="BI199" s="83" t="n">
        <v>692.3</v>
      </c>
      <c r="BJ199" s="83" t="n">
        <v>14.8</v>
      </c>
      <c r="BK199" s="84">
        <f>IF('BBG Verify'!S199="","not filed; run on terminal",'BBG Verify'!S199)</f>
        <v/>
      </c>
      <c r="BL199" s="85" t="inlineStr">
        <is>
          <t>N</t>
        </is>
      </c>
      <c r="BM199" s="86">
        <f>IF('BBG Verify'!K199="","not filed; run on terminal",'BBG Verify'!K199)</f>
        <v/>
      </c>
      <c r="BN199" s="71" t="inlineStr">
        <is>
          <t>N/A</t>
        </is>
      </c>
      <c r="BO199" s="71" t="inlineStr">
        <is>
          <t>N/A</t>
        </is>
      </c>
      <c r="BP199" s="71" t="inlineStr">
        <is>
          <t>N/A</t>
        </is>
      </c>
      <c r="BQ199" s="71" t="inlineStr">
        <is>
          <t>N/A</t>
        </is>
      </c>
      <c r="BR199" s="71" t="inlineStr">
        <is>
          <t>N/A</t>
        </is>
      </c>
      <c r="BS199" s="71" t="inlineStr">
        <is>
          <t>N/A</t>
        </is>
      </c>
      <c r="BT199" s="85" t="inlineStr">
        <is>
          <t>Goldman Sachs (Asia) L.L.C; CITIC Securities (Hong Kong) Limited</t>
        </is>
      </c>
      <c r="BU199" s="71" t="inlineStr">
        <is>
          <t>Goldman Sachs (Asia) L.L.C.; CITIC Securities (Hong Kong) Limited</t>
        </is>
      </c>
      <c r="BV199" s="71" t="inlineStr">
        <is>
          <t>Goldman Sachs (Asia) L.L.C; CLSA Limited; Citigroup Global Markets Asia Limited; Citigroup Global Markets Limited; 144 – ICBC International Securities Limited; BOCOM International Securities Limited</t>
        </is>
      </c>
      <c r="BW199" s="71" t="inlineStr">
        <is>
          <t>Beta International Securities Limited; Citigroup Global Markets Asia Limited; CLSA Limited; Goldman Sachs (Asia) L.L.C.; ICBC International Securities Limited</t>
        </is>
      </c>
      <c r="BX199" s="87">
        <f>HYPERLINK("https://www1.hkexnews.hk/listedco/listconews/sehk/2023/0629/2023062900043.pdf","prospectus")</f>
        <v/>
      </c>
      <c r="BY199" s="87">
        <f>HYPERLINK("https://www1.hkexnews.hk/listedco/listconews/sehk/2023/0710/2023071000008.htm","allotment")</f>
        <v/>
      </c>
      <c r="BZ199" s="87">
        <f>HYPERLINK("https://www1.hkexnews.hk/listedco/listconews/sehk/2023/0803/2023080302096.pdf","stabilisation")</f>
        <v/>
      </c>
      <c r="CA199" s="85" t="n"/>
      <c r="CB199" s="71" t="inlineStr">
        <is>
          <t>P/E: loss-making at IPO, use P/S; cornerstone: % from the prospectus; AAStocks table includes non-cornerstone orders; deal size: stated gross HK$54.5m rejected, below the net proceeds of HK$1,258.9m; allocation: allocation table not in this notice's format (older prose announcement); day-1 tape: volume on file; the retail multiple needs the final public split, which this notice does not state</t>
        </is>
      </c>
    </row>
    <row r="200" ht="15" customHeight="1">
      <c r="A200" s="70" t="inlineStr">
        <is>
          <t>3650</t>
        </is>
      </c>
      <c r="B200" s="71" t="inlineStr">
        <is>
          <t>KEEP</t>
        </is>
      </c>
      <c r="C200" s="71" t="inlineStr">
        <is>
          <t>KEEP</t>
        </is>
      </c>
      <c r="D200" s="71" t="inlineStr">
        <is>
          <t>Tech/AI</t>
        </is>
      </c>
      <c r="E200" s="71" t="inlineStr">
        <is>
          <t>Internet platform / e-commerce</t>
        </is>
      </c>
      <c r="F200" s="71" t="inlineStr">
        <is>
          <t>Leisure Products</t>
        </is>
      </c>
      <c r="G200" s="71" t="inlineStr">
        <is>
          <t>Standard</t>
        </is>
      </c>
      <c r="H200" s="72" t="n">
        <v>45119</v>
      </c>
      <c r="I200" s="73" t="n">
        <v>313.5</v>
      </c>
      <c r="J200" s="71" t="inlineStr">
        <is>
          <t>gross (price x shares)</t>
        </is>
      </c>
      <c r="K200" s="74" t="n"/>
      <c r="L200" s="74" t="n">
        <v>28.92</v>
      </c>
      <c r="M200" s="74" t="n">
        <v>28.92</v>
      </c>
      <c r="N200" s="71" t="inlineStr">
        <is>
          <t>Y</t>
        </is>
      </c>
      <c r="O200" s="75" t="n">
        <v>100</v>
      </c>
      <c r="P200" s="75" t="n"/>
      <c r="Q200" s="76" t="n">
        <v>23755.1</v>
      </c>
      <c r="R200" s="71" t="inlineStr">
        <is>
          <t>aastocks:上市市值 at the struck price</t>
        </is>
      </c>
      <c r="S200" s="77" t="n">
        <v>3.08</v>
      </c>
      <c r="T200" s="78" t="n">
        <v>1.37</v>
      </c>
      <c r="U200" s="79" t="n">
        <v>13.8</v>
      </c>
      <c r="V200" s="80" t="n">
        <v>111</v>
      </c>
      <c r="W200" s="75" t="n"/>
      <c r="X200" s="71" t="n"/>
      <c r="Y200" s="76" t="n">
        <v>270.24</v>
      </c>
      <c r="Z200" s="76" t="n">
        <v>9342873</v>
      </c>
      <c r="AA200" s="75" t="n">
        <v>1.14</v>
      </c>
      <c r="AB200" s="71" t="inlineStr">
        <is>
          <t>Fuqing Shengde Calorie Investment Co., Ltd; Shenzhen Fenda Technology Co., Ltd; Xiamen Evere Sports Goods Co., Ltd</t>
        </is>
      </c>
      <c r="AC200" s="71" t="inlineStr">
        <is>
          <t>fuqing;shenzhen-fenda;xiamen</t>
        </is>
      </c>
      <c r="AD200" s="75" t="n"/>
      <c r="AE200" s="71" t="inlineStr">
        <is>
          <t>lapsed</t>
        </is>
      </c>
      <c r="AF200" s="71" t="inlineStr">
        <is>
          <t>2023-08-04</t>
        </is>
      </c>
      <c r="AG200" s="71" t="inlineStr">
        <is>
          <t>China International Capital Corporation Hong Kong Securities Limited</t>
        </is>
      </c>
      <c r="AH200" s="71" t="inlineStr">
        <is>
          <t>China International</t>
        </is>
      </c>
      <c r="AI200" s="81" t="n">
        <v>2.01</v>
      </c>
      <c r="AJ200" s="82" t="n">
        <v>0.28</v>
      </c>
      <c r="AK200" s="82" t="n">
        <v>4.77</v>
      </c>
      <c r="AL200" s="82" t="n">
        <v>-4.29</v>
      </c>
      <c r="AM200" s="83" t="n"/>
      <c r="AN200" s="75" t="n">
        <v>11.39</v>
      </c>
      <c r="AO200" s="82" t="n">
        <v>-0.24</v>
      </c>
      <c r="AP200" s="82" t="n">
        <v>9.27</v>
      </c>
      <c r="AQ200" s="82" t="n">
        <v>0.62</v>
      </c>
      <c r="AR200" s="82" t="n">
        <v>-0.52</v>
      </c>
      <c r="AS200" s="82" t="n">
        <v>8.960000000000001</v>
      </c>
      <c r="AT200" s="82" t="n">
        <v>0.34</v>
      </c>
      <c r="AU200" s="82" t="n">
        <v>-1.92</v>
      </c>
      <c r="AV200" s="82" t="n">
        <v>2.04</v>
      </c>
      <c r="AW200" s="82" t="n">
        <v>3.63</v>
      </c>
      <c r="AX200" s="82" t="n">
        <v>3.87</v>
      </c>
      <c r="AY200" s="82" t="n">
        <v>7.23</v>
      </c>
      <c r="AZ200" s="82" t="n">
        <v>5.09</v>
      </c>
      <c r="BA200" s="71" t="inlineStr">
        <is>
          <t>HSTECH (Hang Seng TECH ETF)</t>
        </is>
      </c>
      <c r="BB200" s="82" t="n">
        <v>-95.28</v>
      </c>
      <c r="BC200" s="72" t="inlineStr">
        <is>
          <t>2026-09-23</t>
        </is>
      </c>
      <c r="BD200" s="73" t="n">
        <v>959.7</v>
      </c>
      <c r="BE200" s="76" t="n">
        <v>-115</v>
      </c>
      <c r="BF200" s="71" t="inlineStr">
        <is>
          <t>N</t>
        </is>
      </c>
      <c r="BG200" s="71" t="inlineStr">
        <is>
          <t>n/m</t>
        </is>
      </c>
      <c r="BH200" s="83" t="n"/>
      <c r="BI200" s="83" t="n"/>
      <c r="BJ200" s="83" t="n">
        <v>24.8</v>
      </c>
      <c r="BK200" s="84">
        <f>IF('BBG Verify'!S200="","not filed; run on terminal",'BBG Verify'!S200)</f>
        <v/>
      </c>
      <c r="BL200" s="85" t="inlineStr">
        <is>
          <t>N</t>
        </is>
      </c>
      <c r="BM200" s="86">
        <f>IF('BBG Verify'!K200="","not filed; run on terminal",'BBG Verify'!K200)</f>
        <v/>
      </c>
      <c r="BN200" s="71" t="inlineStr">
        <is>
          <t>N/A</t>
        </is>
      </c>
      <c r="BO200" s="71" t="inlineStr">
        <is>
          <t>N/A</t>
        </is>
      </c>
      <c r="BP200" s="71" t="inlineStr">
        <is>
          <t>N/A</t>
        </is>
      </c>
      <c r="BQ200" s="71" t="inlineStr">
        <is>
          <t>N/A</t>
        </is>
      </c>
      <c r="BR200" s="71" t="inlineStr">
        <is>
          <t>N/A</t>
        </is>
      </c>
      <c r="BS200" s="71" t="inlineStr">
        <is>
          <t>N/A</t>
        </is>
      </c>
      <c r="BT200" s="85" t="n"/>
      <c r="BU200" s="71" t="inlineStr">
        <is>
          <t>China International Capital Corporation Hong Kong Securities Limited</t>
        </is>
      </c>
      <c r="BV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X200" s="87">
        <f>HYPERLINK("https://www1.hkexnews.hk/listedco/listconews/sehk/2023/0630/2023063000230.htm","prospectus")</f>
        <v/>
      </c>
      <c r="BY200" s="87">
        <f>HYPERLINK("https://www1.hkexnews.hk/listedco/listconews/sehk/2023/0711/2023071100048.htm","allotment")</f>
        <v/>
      </c>
      <c r="BZ200" s="87">
        <f>HYPERLINK("https://www1.hkexnews.hk/listedco/listconews/sehk/2023/0804/2023080401672.pdf","stabilisation")</f>
        <v/>
      </c>
      <c r="CA200" s="85" t="n"/>
      <c r="CB200"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allocation: allocation table not in this notice's format (older prose announcement); day-1 tape: volume on file; the retail multiple needs the final public split, which this notice does not state</t>
        </is>
      </c>
    </row>
    <row r="201" ht="15" customHeight="1">
      <c r="A201" s="70" t="inlineStr">
        <is>
          <t>6683</t>
        </is>
      </c>
      <c r="B201" s="71" t="inlineStr">
        <is>
          <t>STARPLUS LEGEND</t>
        </is>
      </c>
      <c r="C201" s="71" t="inlineStr">
        <is>
          <t>巨星傳奇</t>
        </is>
      </c>
      <c r="D201" s="71" t="inlineStr">
        <is>
          <t>TMT-other</t>
        </is>
      </c>
      <c r="E201" s="71" t="inlineStr">
        <is>
          <t>Media / advertising</t>
        </is>
      </c>
      <c r="F201" s="71" t="inlineStr">
        <is>
          <t>Beverages (Non-alcoholic)</t>
        </is>
      </c>
      <c r="G201" s="71" t="inlineStr">
        <is>
          <t>Standard</t>
        </is>
      </c>
      <c r="H201" s="72" t="n">
        <v>45120</v>
      </c>
      <c r="I201" s="73" t="n">
        <v>245.2</v>
      </c>
      <c r="J201" s="71" t="inlineStr">
        <is>
          <t>net proceeds</t>
        </is>
      </c>
      <c r="K201" s="74" t="n"/>
      <c r="L201" s="74" t="n">
        <v>4.25</v>
      </c>
      <c r="M201" s="74" t="n">
        <v>4.25</v>
      </c>
      <c r="N201" s="71" t="inlineStr">
        <is>
          <t>Y</t>
        </is>
      </c>
      <c r="O201" s="75" t="n">
        <v>100</v>
      </c>
      <c r="P201" s="75" t="n"/>
      <c r="Q201" s="76" t="n">
        <v>10660.9</v>
      </c>
      <c r="R201" s="71" t="inlineStr">
        <is>
          <t>derived:deal size / offer % of enlarged capital</t>
        </is>
      </c>
      <c r="S201" s="77" t="n">
        <v>12.99</v>
      </c>
      <c r="T201" s="78" t="n">
        <v>1.15</v>
      </c>
      <c r="U201" s="79" t="n">
        <v>3.3</v>
      </c>
      <c r="V201" s="80" t="n">
        <v>147</v>
      </c>
      <c r="W201" s="75" t="n"/>
      <c r="X201" s="71" t="n"/>
      <c r="Y201" s="76" t="n">
        <v>237.11</v>
      </c>
      <c r="Z201" s="76" t="n"/>
      <c r="AA201" s="75" t="n">
        <v>2.22</v>
      </c>
      <c r="AB201" s="71" t="inlineStr">
        <is>
          <t>Blink Field Limited; NETDRAGON WEBSOFT INC</t>
        </is>
      </c>
      <c r="AC201" s="71" t="inlineStr">
        <is>
          <t>blink;netdragon</t>
        </is>
      </c>
      <c r="AD201" s="75" t="n">
        <v>17.9</v>
      </c>
      <c r="AE201" s="71" t="inlineStr">
        <is>
          <t>partial</t>
        </is>
      </c>
      <c r="AF201" s="71" t="inlineStr">
        <is>
          <t>2023-08-04</t>
        </is>
      </c>
      <c r="AG201" s="71" t="inlineStr">
        <is>
          <t>Bradbury Securities Limited</t>
        </is>
      </c>
      <c r="AH201" s="71" t="inlineStr">
        <is>
          <t>Bradbury</t>
        </is>
      </c>
      <c r="AI201" s="81" t="n">
        <v>33.41</v>
      </c>
      <c r="AJ201" s="82" t="n">
        <v>23.76</v>
      </c>
      <c r="AK201" s="82" t="n">
        <v>35.29</v>
      </c>
      <c r="AL201" s="82" t="n">
        <v>-8.52</v>
      </c>
      <c r="AM201" s="83" t="n"/>
      <c r="AN201" s="75" t="n">
        <v>19.13</v>
      </c>
      <c r="AO201" s="82" t="n">
        <v>67.06</v>
      </c>
      <c r="AP201" s="82" t="n">
        <v>34.35</v>
      </c>
      <c r="AQ201" s="82" t="n">
        <v>102.35</v>
      </c>
      <c r="AR201" s="82" t="n">
        <v>34.99</v>
      </c>
      <c r="AS201" s="82" t="n">
        <v>8.56</v>
      </c>
      <c r="AT201" s="82" t="n">
        <v>63.5</v>
      </c>
      <c r="AU201" s="82" t="n">
        <v>65.92</v>
      </c>
      <c r="AV201" s="82" t="n">
        <v>34.81</v>
      </c>
      <c r="AW201" s="82" t="n">
        <v>108.82</v>
      </c>
      <c r="AX201" s="82" t="n">
        <v>11.54</v>
      </c>
      <c r="AY201" s="82" t="n">
        <v>-0.46</v>
      </c>
      <c r="AZ201" s="82" t="n">
        <v>-2.98</v>
      </c>
      <c r="BA201" s="71" t="inlineStr">
        <is>
          <t>Hang Seng Index</t>
        </is>
      </c>
      <c r="BB201" s="82" t="n">
        <v>-8.94</v>
      </c>
      <c r="BC201" s="72" t="inlineStr">
        <is>
          <t>2026-09-23</t>
        </is>
      </c>
      <c r="BD201" s="73" t="n">
        <v>401.9</v>
      </c>
      <c r="BE201" s="76" t="n">
        <v>47.2</v>
      </c>
      <c r="BF201" s="71" t="inlineStr">
        <is>
          <t>Y</t>
        </is>
      </c>
      <c r="BG201" s="83" t="n">
        <v>225.9</v>
      </c>
      <c r="BH201" s="83" t="n"/>
      <c r="BI201" s="83" t="n"/>
      <c r="BJ201" s="83" t="n">
        <v>26.5</v>
      </c>
      <c r="BK201" s="84">
        <f>IF('BBG Verify'!S201="","not filed; run on terminal",'BBG Verify'!S201)</f>
        <v/>
      </c>
      <c r="BL201" s="85" t="inlineStr">
        <is>
          <t>N</t>
        </is>
      </c>
      <c r="BM201" s="86">
        <f>IF('BBG Verify'!K201="","not filed; run on terminal",'BBG Verify'!K201)</f>
        <v/>
      </c>
      <c r="BN201" s="71" t="inlineStr">
        <is>
          <t>N/A</t>
        </is>
      </c>
      <c r="BO201" s="71" t="inlineStr">
        <is>
          <t>N/A</t>
        </is>
      </c>
      <c r="BP201" s="71" t="inlineStr">
        <is>
          <t>N/A</t>
        </is>
      </c>
      <c r="BQ201" s="71" t="inlineStr">
        <is>
          <t>N/A</t>
        </is>
      </c>
      <c r="BR201" s="71" t="inlineStr">
        <is>
          <t>N/A</t>
        </is>
      </c>
      <c r="BS201" s="71" t="inlineStr">
        <is>
          <t>N/A</t>
        </is>
      </c>
      <c r="BT201" s="85" t="inlineStr">
        <is>
          <t>CMBC International Capital Limited</t>
        </is>
      </c>
      <c r="BU201" s="71" t="inlineStr">
        <is>
          <t>CMBC International Capital Limited</t>
        </is>
      </c>
      <c r="BV201" s="71" t="inlineStr">
        <is>
          <t>ABCI Capital Limited</t>
        </is>
      </c>
      <c r="BW201" s="71"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X201" s="87">
        <f>HYPERLINK("https://www1.hkexnews.hk/listedco/listconews/sehk/2023/0630/2023063000037.pdf","prospectus")</f>
        <v/>
      </c>
      <c r="BY201" s="87">
        <f>HYPERLINK("https://www1.hkexnews.hk/listedco/listconews/sehk/2023/0712/2023071200010.htm","allotment")</f>
        <v/>
      </c>
      <c r="BZ201" s="87">
        <f>HYPERLINK("https://www1.hkexnews.hk/listedco/listconews/sehk/2023/0804/2023080401278.pdf","stabilisation")</f>
        <v/>
      </c>
      <c r="CA201" s="85" t="n"/>
      <c r="CB201" s="71" t="inlineStr">
        <is>
          <t>range low: maximum offer price only, no floor published; cornerstone: % from the prospectus; AAStocks table includes non-cornerstone orders; eff float shares: share count unavailable; the HK$m figure is exact; allocation: allocation table not in this notice's format (older prose announcement); day-1 tape: volume on file; the retail multiple needs the final public split, which this notice does not state</t>
        </is>
      </c>
    </row>
    <row r="202" ht="15" customHeight="1">
      <c r="A202" s="70" t="inlineStr">
        <is>
          <t>1284</t>
        </is>
      </c>
      <c r="B202" s="71" t="inlineStr">
        <is>
          <t>NEW MEDIA LAB</t>
        </is>
      </c>
      <c r="C202" s="71" t="inlineStr">
        <is>
          <t>新傳企劃</t>
        </is>
      </c>
      <c r="D202" s="71" t="inlineStr">
        <is>
          <t>TMT-other</t>
        </is>
      </c>
      <c r="E202" s="71" t="inlineStr">
        <is>
          <t>Media / advertising</t>
        </is>
      </c>
      <c r="F202" s="71" t="inlineStr">
        <is>
          <t>Advertising</t>
        </is>
      </c>
      <c r="G202" s="71" t="inlineStr">
        <is>
          <t>Standard</t>
        </is>
      </c>
      <c r="H202" s="72" t="n">
        <v>45125</v>
      </c>
      <c r="I202" s="73" t="n">
        <v>138</v>
      </c>
      <c r="J202" s="71" t="inlineStr">
        <is>
          <t>gross (price x shares)</t>
        </is>
      </c>
      <c r="K202" s="74" t="n">
        <v>0.84</v>
      </c>
      <c r="L202" s="74" t="n">
        <v>0.92</v>
      </c>
      <c r="M202" s="74" t="n">
        <v>0.92</v>
      </c>
      <c r="N202" s="71" t="inlineStr">
        <is>
          <t>Y</t>
        </is>
      </c>
      <c r="O202" s="75" t="n">
        <v>100</v>
      </c>
      <c r="P202" s="75" t="n">
        <v>100</v>
      </c>
      <c r="Q202" s="76" t="n">
        <v>552</v>
      </c>
      <c r="R202" s="71" t="inlineStr">
        <is>
          <t>derived:deal size / offer % of enlarged capital</t>
        </is>
      </c>
      <c r="S202" s="77" t="n">
        <v>1.5</v>
      </c>
      <c r="T202" s="78" t="n">
        <v>1.5</v>
      </c>
      <c r="U202" s="79" t="n">
        <v>0</v>
      </c>
      <c r="V202" s="80" t="n">
        <v>177</v>
      </c>
      <c r="W202" s="75" t="n"/>
      <c r="X202" s="71" t="n"/>
      <c r="Y202" s="76" t="n">
        <v>138</v>
      </c>
      <c r="Z202" s="76" t="n">
        <v>150000000</v>
      </c>
      <c r="AA202" s="75" t="n">
        <v>25</v>
      </c>
      <c r="AB202" s="71" t="n"/>
      <c r="AC202" s="71" t="n"/>
      <c r="AD202" s="75" t="n"/>
      <c r="AE202" s="71" t="n"/>
      <c r="AF202" s="71" t="n"/>
      <c r="AG202" s="71" t="n"/>
      <c r="AH202" s="71" t="n"/>
      <c r="AI202" s="81" t="n">
        <v>2.17</v>
      </c>
      <c r="AJ202" s="82" t="n">
        <v>1.09</v>
      </c>
      <c r="AK202" s="82" t="n">
        <v>-4.35</v>
      </c>
      <c r="AL202" s="82" t="n">
        <v>5.69</v>
      </c>
      <c r="AM202" s="83" t="n"/>
      <c r="AN202" s="75" t="n">
        <v>10.23</v>
      </c>
      <c r="AO202" s="82" t="n">
        <v>1.09</v>
      </c>
      <c r="AP202" s="82" t="n">
        <v>-38.04</v>
      </c>
      <c r="AQ202" s="82" t="n">
        <v>-53.26</v>
      </c>
      <c r="AR202" s="82" t="n">
        <v>0</v>
      </c>
      <c r="AS202" s="82" t="n">
        <v>-38.71</v>
      </c>
      <c r="AT202" s="82" t="n">
        <v>-53.76</v>
      </c>
      <c r="AU202" s="82" t="n">
        <v>0.98</v>
      </c>
      <c r="AV202" s="82" t="n">
        <v>-32.45</v>
      </c>
      <c r="AW202" s="82" t="n">
        <v>-44.6</v>
      </c>
      <c r="AX202" s="82" t="n">
        <v>-35.1</v>
      </c>
      <c r="AY202" s="82" t="n">
        <v>-5.59</v>
      </c>
      <c r="AZ202" s="82" t="n">
        <v>-3.61</v>
      </c>
      <c r="BA202" s="71" t="inlineStr">
        <is>
          <t>Hang Seng Index</t>
        </is>
      </c>
      <c r="BB202" s="82" t="n">
        <v>-32.61</v>
      </c>
      <c r="BC202" s="72" t="inlineStr">
        <is>
          <t>2026-09-23</t>
        </is>
      </c>
      <c r="BD202" s="73" t="n">
        <v>240.7</v>
      </c>
      <c r="BE202" s="76" t="n">
        <v>39.4</v>
      </c>
      <c r="BF202" s="71" t="inlineStr">
        <is>
          <t>Y</t>
        </is>
      </c>
      <c r="BG202" s="83" t="n">
        <v>14</v>
      </c>
      <c r="BH202" s="83" t="n"/>
      <c r="BI202" s="83" t="n">
        <v>22.9</v>
      </c>
      <c r="BJ202" s="83" t="n">
        <v>2.3</v>
      </c>
      <c r="BK202" s="84">
        <f>IF('BBG Verify'!S202="","not filed; run on terminal",'BBG Verify'!S202)</f>
        <v/>
      </c>
      <c r="BL202" s="85" t="inlineStr">
        <is>
          <t>N</t>
        </is>
      </c>
      <c r="BM202" s="86">
        <f>IF('BBG Verify'!K202="","not filed; run on terminal",'BBG Verify'!K202)</f>
        <v/>
      </c>
      <c r="BN202" s="71" t="inlineStr">
        <is>
          <t>N/A</t>
        </is>
      </c>
      <c r="BO202" s="71" t="inlineStr">
        <is>
          <t>N/A</t>
        </is>
      </c>
      <c r="BP202" s="71" t="inlineStr">
        <is>
          <t>N/A</t>
        </is>
      </c>
      <c r="BQ202" s="71" t="inlineStr">
        <is>
          <t>N/A</t>
        </is>
      </c>
      <c r="BR202" s="71" t="inlineStr">
        <is>
          <t>N/A</t>
        </is>
      </c>
      <c r="BS202" s="71" t="inlineStr">
        <is>
          <t>N/A</t>
        </is>
      </c>
      <c r="BT202" s="85" t="inlineStr">
        <is>
          <t>Emperor Corporate Finance Limited; Lego Corporate Finance Limited</t>
        </is>
      </c>
      <c r="BU202" s="71" t="inlineStr">
        <is>
          <t>Emperor Corporate Finance Limited; Lego Corporate Finance Limited</t>
        </is>
      </c>
      <c r="BV202" s="71" t="inlineStr">
        <is>
          <t>China Galaxy International Securities (Hong Kong) Company Limited; Emperor Securities Limited; Guotai Junan Securities (Hong Kong) Limited; Lego Securities Limited</t>
        </is>
      </c>
      <c r="BW202" s="71" t="inlineStr">
        <is>
          <t>China Galaxy International Securities (Hong Kong) Company Limited; Emperor Securities Limited; Guotai Junan Securities (Hong Kong) Limited; Lego Securities Limited</t>
        </is>
      </c>
      <c r="BX202" s="87">
        <f>HYPERLINK("https://www1.hkexnews.hk/listedco/listconews/sehk/2023/0630/2023063000045.pdf","prospectus")</f>
        <v/>
      </c>
      <c r="BY202" s="87">
        <f>HYPERLINK("https://www1.hkexnews.hk/listedco/listconews/sehk/2023/0714/2023071400016.htm","allotment")</f>
        <v/>
      </c>
      <c r="BZ202" s="71" t="n"/>
      <c r="CA202" s="85" t="n"/>
      <c r="CB202" s="71" t="inlineStr">
        <is>
          <t>greenshoe: no over-allotment option; cornerstone list: no cornerstone tranche; greenshoe size: no over-allotment option; stabilising manager: no over-allotment option, so none appointed; listing date: scheduled 2023-07-17, exchange closed that day; first dealings 2023-07-18; allocation: allocation table not in this notice's format (older prose announcement); day-1 tape: volume on file; the retail multiple needs the final public split, which this notice does not state</t>
        </is>
      </c>
    </row>
    <row r="203" ht="15" customHeight="1">
      <c r="A203" s="70" t="inlineStr">
        <is>
          <t>2271</t>
        </is>
      </c>
      <c r="B203" s="71" t="inlineStr">
        <is>
          <t>ZHONGAN SERVICE</t>
        </is>
      </c>
      <c r="C203" s="71" t="inlineStr">
        <is>
          <t>眾安智慧生活</t>
        </is>
      </c>
      <c r="D203" s="71" t="inlineStr">
        <is>
          <t>Real Estate</t>
        </is>
      </c>
      <c r="E203" s="71" t="inlineStr">
        <is>
          <t>Property management</t>
        </is>
      </c>
      <c r="F203" s="71" t="inlineStr">
        <is>
          <t>Property Service and Management</t>
        </is>
      </c>
      <c r="G203" s="71" t="inlineStr">
        <is>
          <t>Standard</t>
        </is>
      </c>
      <c r="H203" s="72" t="n">
        <v>45125</v>
      </c>
      <c r="I203" s="73" t="n">
        <v>149.5</v>
      </c>
      <c r="J203" s="71" t="inlineStr">
        <is>
          <t>gross (price x shares)</t>
        </is>
      </c>
      <c r="K203" s="74" t="n">
        <v>1.18</v>
      </c>
      <c r="L203" s="74" t="n">
        <v>1.48</v>
      </c>
      <c r="M203" s="74" t="n">
        <v>1.18</v>
      </c>
      <c r="N203" s="71" t="inlineStr">
        <is>
          <t>N</t>
        </is>
      </c>
      <c r="O203" s="75" t="n">
        <v>79.7</v>
      </c>
      <c r="P203" s="75" t="n">
        <v>0</v>
      </c>
      <c r="Q203" s="76" t="n">
        <v>598</v>
      </c>
      <c r="R203" s="71" t="inlineStr">
        <is>
          <t>derived:deal size / offer % of enlarged capital</t>
        </is>
      </c>
      <c r="S203" s="77" t="n">
        <v>1.84</v>
      </c>
      <c r="T203" s="78" t="n">
        <v>1.63</v>
      </c>
      <c r="U203" s="79" t="n">
        <v>13.8</v>
      </c>
      <c r="V203" s="80" t="n">
        <v>130</v>
      </c>
      <c r="W203" s="75" t="n"/>
      <c r="X203" s="71" t="n"/>
      <c r="Y203" s="76" t="n">
        <v>128.87</v>
      </c>
      <c r="Z203" s="76" t="n">
        <v>109187816</v>
      </c>
      <c r="AA203" s="75" t="n">
        <v>21.55</v>
      </c>
      <c r="AB203" s="71" t="inlineStr">
        <is>
          <t>Heyuan Trading (Hong Kong) Limited; Wu Mingwu</t>
        </is>
      </c>
      <c r="AC203" s="71" t="inlineStr">
        <is>
          <t>heyuan;wu-mingwu</t>
        </is>
      </c>
      <c r="AD203" s="75" t="n">
        <v>10</v>
      </c>
      <c r="AE203" s="71" t="inlineStr">
        <is>
          <t>partial</t>
        </is>
      </c>
      <c r="AF203" s="71" t="inlineStr">
        <is>
          <t>2023-08-10</t>
        </is>
      </c>
      <c r="AG203" s="71" t="inlineStr">
        <is>
          <t>Huatai Financial Holdings</t>
        </is>
      </c>
      <c r="AH203" s="71" t="inlineStr">
        <is>
          <t>Huatai</t>
        </is>
      </c>
      <c r="AI203" s="81" t="n"/>
      <c r="AJ203" s="82" t="n">
        <v>2.54</v>
      </c>
      <c r="AK203" s="82" t="n">
        <v>3.39</v>
      </c>
      <c r="AL203" s="82" t="n">
        <v>-0.82</v>
      </c>
      <c r="AM203" s="83" t="n"/>
      <c r="AN203" s="75" t="n">
        <v>8.199999999999999</v>
      </c>
      <c r="AO203" s="82" t="n">
        <v>-10.17</v>
      </c>
      <c r="AP203" s="82" t="n">
        <v>-27.12</v>
      </c>
      <c r="AQ203" s="82" t="n">
        <v>-43.22</v>
      </c>
      <c r="AR203" s="82" t="n">
        <v>-12.4</v>
      </c>
      <c r="AS203" s="82" t="n">
        <v>-28.93</v>
      </c>
      <c r="AT203" s="82" t="n">
        <v>-44.63</v>
      </c>
      <c r="AU203" s="82" t="n">
        <v>-11.75</v>
      </c>
      <c r="AV203" s="82" t="n">
        <v>-19.42</v>
      </c>
      <c r="AW203" s="82" t="n">
        <v>-27.99</v>
      </c>
      <c r="AX203" s="82" t="n">
        <v>-23.57</v>
      </c>
      <c r="AY203" s="82" t="n">
        <v>-7.7</v>
      </c>
      <c r="AZ203" s="82" t="n">
        <v>-5.36</v>
      </c>
      <c r="BA203" s="71" t="inlineStr">
        <is>
          <t>Hang Seng Properties sub-index</t>
        </is>
      </c>
      <c r="BB203" s="82" t="n">
        <v>170.76</v>
      </c>
      <c r="BC203" s="72" t="inlineStr">
        <is>
          <t>2026-09-23</t>
        </is>
      </c>
      <c r="BD203" s="73" t="n">
        <v>351.7</v>
      </c>
      <c r="BE203" s="76" t="n">
        <v>56</v>
      </c>
      <c r="BF203" s="71" t="inlineStr">
        <is>
          <t>Y</t>
        </is>
      </c>
      <c r="BG203" s="83" t="n">
        <v>10.7</v>
      </c>
      <c r="BH203" s="83" t="n"/>
      <c r="BI203" s="83" t="n">
        <v>42</v>
      </c>
      <c r="BJ203" s="83" t="n">
        <v>1.7</v>
      </c>
      <c r="BK203" s="84">
        <f>IF('BBG Verify'!S203="","not filed; run on terminal",'BBG Verify'!S203)</f>
        <v/>
      </c>
      <c r="BL203" s="85" t="inlineStr">
        <is>
          <t>N</t>
        </is>
      </c>
      <c r="BM203" s="86">
        <f>IF('BBG Verify'!K203="","not filed; run on terminal",'BBG Verify'!K203)</f>
        <v/>
      </c>
      <c r="BN203" s="71" t="inlineStr">
        <is>
          <t>N/A</t>
        </is>
      </c>
      <c r="BO203" s="71" t="inlineStr">
        <is>
          <t>N/A</t>
        </is>
      </c>
      <c r="BP203" s="71" t="inlineStr">
        <is>
          <t>N/A</t>
        </is>
      </c>
      <c r="BQ203" s="71" t="inlineStr">
        <is>
          <t>N/A</t>
        </is>
      </c>
      <c r="BR203" s="71" t="inlineStr">
        <is>
          <t>N/A</t>
        </is>
      </c>
      <c r="BS203" s="71" t="inlineStr">
        <is>
          <t>N/A</t>
        </is>
      </c>
      <c r="BT203" s="85" t="inlineStr">
        <is>
          <t>China Merchants Securities (HK) Co., Limited; Huatai Financial Holdings (Hong Kong) Limited</t>
        </is>
      </c>
      <c r="BU203" s="71" t="inlineStr">
        <is>
          <t>Huatai Financial Holdings (Hong Kong) Limited; China Merchants Securities (HK) Company Limited</t>
        </is>
      </c>
      <c r="BV203" s="71" t="inlineStr">
        <is>
          <t>Guotai Junan Securities (Hong Kong) Limited; CCB International Capital Limited; Victory Securities Company Limited</t>
        </is>
      </c>
      <c r="BW203" s="71" t="inlineStr">
        <is>
          <t>CCB International Capital Limited; China Merchants Securities (HK) Company Limited; Guotai Junan Securities (Hong Kong) Limited; Huatai Financial Holdings (Hong Kong) Limited; Victory Securities Company Limited</t>
        </is>
      </c>
      <c r="BX203" s="87">
        <f>HYPERLINK("https://www1.hkexnews.hk/listedco/listconews/sehk/2023/0630/2023063000209.pdf","prospectus")</f>
        <v/>
      </c>
      <c r="BY203" s="87">
        <f>HYPERLINK("https://www1.hkexnews.hk/listedco/listconews/sehk/2023/0717/2023071700006.htm","allotment")</f>
        <v/>
      </c>
      <c r="BZ203" s="87">
        <f>HYPERLINK("https://www1.hkexnews.hk/listedco/listconews/sehk/2023/0810/2023081001406.pdf","stabilisation")</f>
        <v/>
      </c>
      <c r="CA203" s="85" t="n"/>
      <c r="CB203" s="71" t="inlineStr">
        <is>
          <t>grey market: no close found: etnet's news wire (every story that evening and the next morning), etnet's grey table (from Oct-2024) and AAStocks all checked; allocation: allocation table not in this notice's format (older prose announcement); day-1 tape: volume on file; the retail multiple needs the final public split, which this notice does not state</t>
        </is>
      </c>
    </row>
    <row r="204" ht="15" customHeight="1">
      <c r="A204" s="70" t="inlineStr">
        <is>
          <t>1541</t>
        </is>
      </c>
      <c r="B204" s="71" t="inlineStr">
        <is>
          <t>IMMUNEONCO-B</t>
        </is>
      </c>
      <c r="C204" s="71" t="inlineStr">
        <is>
          <t>宜明昂科－Ｂ</t>
        </is>
      </c>
      <c r="D204" s="71" t="inlineStr">
        <is>
          <t>Healthcare</t>
        </is>
      </c>
      <c r="E204" s="71" t="inlineStr">
        <is>
          <t>Biotech pre-revenue (18A)</t>
        </is>
      </c>
      <c r="F204" s="71" t="inlineStr">
        <is>
          <t>Biotechnology - Pharmaceuticals</t>
        </is>
      </c>
      <c r="G204" s="71" t="inlineStr">
        <is>
          <t>18A</t>
        </is>
      </c>
      <c r="H204" s="72" t="n">
        <v>45174</v>
      </c>
      <c r="I204" s="73" t="n">
        <v>318.9</v>
      </c>
      <c r="J204" s="71" t="inlineStr">
        <is>
          <t>gross (price x shares)</t>
        </is>
      </c>
      <c r="K204" s="74" t="n"/>
      <c r="L204" s="74" t="n">
        <v>18.6</v>
      </c>
      <c r="M204" s="74" t="n">
        <v>18.6</v>
      </c>
      <c r="N204" s="71" t="inlineStr">
        <is>
          <t>Y</t>
        </is>
      </c>
      <c r="O204" s="75" t="n">
        <v>100</v>
      </c>
      <c r="P204" s="75" t="n"/>
      <c r="Q204" s="76" t="n">
        <v>6132.7</v>
      </c>
      <c r="R204" s="71" t="inlineStr">
        <is>
          <t>derived:deal size / offer % of enlarged capital</t>
        </is>
      </c>
      <c r="S204" s="77" t="n">
        <v>9.98</v>
      </c>
      <c r="T204" s="78" t="n">
        <v>1.06</v>
      </c>
      <c r="U204" s="79" t="n">
        <v>72.81</v>
      </c>
      <c r="V204" s="80" t="n">
        <v>161</v>
      </c>
      <c r="W204" s="75" t="n"/>
      <c r="X204" s="71" t="n"/>
      <c r="Y204" s="76" t="n">
        <v>86.70999999999999</v>
      </c>
      <c r="Z204" s="76" t="n">
        <v>4662324</v>
      </c>
      <c r="AA204" s="75" t="n">
        <v>1.41</v>
      </c>
      <c r="AB204" s="71" t="inlineStr">
        <is>
          <t>ClinChoice Medical Development Limited; Harvest International Premium Value (Secondary Market) Fund SPC; RemeGen Hong Kong Limited; WuXi Biologics HealthCare Venture</t>
        </is>
      </c>
      <c r="AC204" s="71" t="inlineStr">
        <is>
          <t>clinchoice;harvest;remegen;wuxi</t>
        </is>
      </c>
      <c r="AD204" s="75" t="n">
        <v>5.2</v>
      </c>
      <c r="AE204" s="71" t="inlineStr">
        <is>
          <t>partial</t>
        </is>
      </c>
      <c r="AF204" s="71" t="inlineStr">
        <is>
          <t>2023-09-28</t>
        </is>
      </c>
      <c r="AG204" s="71" t="inlineStr">
        <is>
          <t>Morgan Stanley Asia Limited</t>
        </is>
      </c>
      <c r="AH204" s="71" t="inlineStr">
        <is>
          <t>Morgan Stanley</t>
        </is>
      </c>
      <c r="AI204" s="81" t="n">
        <v>12.9</v>
      </c>
      <c r="AJ204" s="82" t="n">
        <v>4.95</v>
      </c>
      <c r="AK204" s="82" t="n">
        <v>13.98</v>
      </c>
      <c r="AL204" s="82" t="n">
        <v>-7.92</v>
      </c>
      <c r="AM204" s="83" t="n"/>
      <c r="AN204" s="75" t="n">
        <v>12.74</v>
      </c>
      <c r="AO204" s="82" t="n">
        <v>34.41</v>
      </c>
      <c r="AP204" s="82" t="n">
        <v>38.17</v>
      </c>
      <c r="AQ204" s="82" t="n">
        <v>52.96</v>
      </c>
      <c r="AR204" s="82" t="n">
        <v>28.07</v>
      </c>
      <c r="AS204" s="82" t="n">
        <v>31.65</v>
      </c>
      <c r="AT204" s="82" t="n">
        <v>45.75</v>
      </c>
      <c r="AU204" s="82" t="n">
        <v>35.61</v>
      </c>
      <c r="AV204" s="82" t="n">
        <v>35.54</v>
      </c>
      <c r="AW204" s="82" t="n">
        <v>47.82</v>
      </c>
      <c r="AX204" s="82" t="n">
        <v>28.82</v>
      </c>
      <c r="AY204" s="82" t="n">
        <v>2.63</v>
      </c>
      <c r="AZ204" s="82" t="n">
        <v>2.83</v>
      </c>
      <c r="BA204" s="71" t="inlineStr">
        <is>
          <t>China Biotech ETF (HS biotech proxy)</t>
        </is>
      </c>
      <c r="BB204" s="82" t="n">
        <v>-81.45</v>
      </c>
      <c r="BC204" s="72" t="inlineStr">
        <is>
          <t>2026-09-23</t>
        </is>
      </c>
      <c r="BD204" s="73" t="n">
        <v>0.3</v>
      </c>
      <c r="BE204" s="76" t="n">
        <v>-164</v>
      </c>
      <c r="BF204" s="71" t="inlineStr">
        <is>
          <t>N</t>
        </is>
      </c>
      <c r="BG204" s="71" t="inlineStr">
        <is>
          <t>n/m</t>
        </is>
      </c>
      <c r="BH204" s="83" t="n"/>
      <c r="BI204" s="83" t="n"/>
      <c r="BJ204" s="83" t="n">
        <v>20442.3</v>
      </c>
      <c r="BK204" s="84">
        <f>IF('BBG Verify'!S204="","not filed; run on terminal",'BBG Verify'!S204)</f>
        <v/>
      </c>
      <c r="BL204" s="85" t="inlineStr">
        <is>
          <t>N</t>
        </is>
      </c>
      <c r="BM204" s="86">
        <f>IF('BBG Verify'!K204="","not filed; run on terminal",'BBG Verify'!K204)</f>
        <v/>
      </c>
      <c r="BN204" s="71" t="inlineStr">
        <is>
          <t>N/A</t>
        </is>
      </c>
      <c r="BO204" s="71" t="inlineStr">
        <is>
          <t>N/A</t>
        </is>
      </c>
      <c r="BP204" s="71" t="inlineStr">
        <is>
          <t>N/A</t>
        </is>
      </c>
      <c r="BQ204" s="71" t="inlineStr">
        <is>
          <t>N/A</t>
        </is>
      </c>
      <c r="BR204" s="71" t="inlineStr">
        <is>
          <t>N/A</t>
        </is>
      </c>
      <c r="BS204" s="71" t="inlineStr">
        <is>
          <t>N/A</t>
        </is>
      </c>
      <c r="BT204" s="85" t="inlineStr">
        <is>
          <t>Morgan Stanley Asia Limited; China International Capital Corporation Hong Kong Securities Limited</t>
        </is>
      </c>
      <c r="BU204" s="71" t="inlineStr">
        <is>
          <t>China International Capital Corporation Hong Kong Securities Limited; Morgan Stanley Asia Limited</t>
        </is>
      </c>
      <c r="BV204" s="71"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W204" s="71"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X204" s="87">
        <f>HYPERLINK("https://www1.hkexnews.hk/listedco/listconews/sehk/2023/0824/2023082400037.pdf","prospectus")</f>
        <v/>
      </c>
      <c r="BY204" s="87">
        <f>HYPERLINK("https://www1.hkexnews.hk/listedco/listconews/sehk/2023/0904/2023090400006.htm","allotment")</f>
        <v/>
      </c>
      <c r="BZ204" s="87">
        <f>HYPERLINK("https://www1.hkexnews.hk/listedco/listconews/sehk/2023/0928/2023092802361.pdf","stabilisation")</f>
        <v/>
      </c>
      <c r="CA204" s="85" t="n"/>
      <c r="CB204" s="71" t="inlineStr">
        <is>
          <t>P/E: loss-making at IPO, use P/S; range low: maximum offer price only, no floor published; P/S: 20,442x on HK$0.3m revenue, effectively pre-revenue; not comparable; allocation: allocation table not in this notice's format (older prose announcement); day-1 tape: volume on file; the retail multiple needs the final public split, which this notice does not state</t>
        </is>
      </c>
    </row>
    <row r="205" ht="15" customHeight="1">
      <c r="A205" s="70" t="inlineStr">
        <is>
          <t>2496</t>
        </is>
      </c>
      <c r="B205" s="71" t="inlineStr">
        <is>
          <t>YZYBIO-B</t>
        </is>
      </c>
      <c r="C205" s="71" t="inlineStr">
        <is>
          <t>友芝友生物－Ｂ</t>
        </is>
      </c>
      <c r="D205" s="71" t="inlineStr">
        <is>
          <t>Healthcare</t>
        </is>
      </c>
      <c r="E205" s="71" t="inlineStr">
        <is>
          <t>Biotech pre-revenue (18A)</t>
        </is>
      </c>
      <c r="F205" s="71" t="inlineStr">
        <is>
          <t>Biotechnology - Pharmaceuticals</t>
        </is>
      </c>
      <c r="G205" s="71" t="inlineStr">
        <is>
          <t>18A</t>
        </is>
      </c>
      <c r="H205" s="72" t="n">
        <v>45194</v>
      </c>
      <c r="I205" s="73" t="n">
        <v>176</v>
      </c>
      <c r="J205" s="71" t="inlineStr">
        <is>
          <t>gross (price x shares)</t>
        </is>
      </c>
      <c r="K205" s="74" t="n">
        <v>16</v>
      </c>
      <c r="L205" s="74" t="n">
        <v>20</v>
      </c>
      <c r="M205" s="74" t="n">
        <v>16</v>
      </c>
      <c r="N205" s="71" t="inlineStr">
        <is>
          <t>N</t>
        </is>
      </c>
      <c r="O205" s="75" t="n">
        <v>80</v>
      </c>
      <c r="P205" s="75" t="n">
        <v>0</v>
      </c>
      <c r="Q205" s="76" t="n">
        <v>3087.7</v>
      </c>
      <c r="R205" s="71" t="inlineStr">
        <is>
          <t>derived:deal size / offer % of enlarged capital</t>
        </is>
      </c>
      <c r="S205" s="77" t="n">
        <v>13.81</v>
      </c>
      <c r="T205" s="78" t="n">
        <v>1.57</v>
      </c>
      <c r="U205" s="79" t="n">
        <v>37.3</v>
      </c>
      <c r="V205" s="80" t="n">
        <v>118</v>
      </c>
      <c r="W205" s="75" t="n"/>
      <c r="X205" s="71" t="n"/>
      <c r="Y205" s="76" t="n">
        <v>110.35</v>
      </c>
      <c r="Z205" s="76" t="n">
        <v>6897752</v>
      </c>
      <c r="AA205" s="75" t="n">
        <v>3.57</v>
      </c>
      <c r="AB205" s="71" t="inlineStr">
        <is>
          <t>Chengdu Puhua Kaizhi Biotechnology Co., Ltd; Wuhan Optics Valley Health Industry Investment Ltd</t>
        </is>
      </c>
      <c r="AC205" s="71" t="inlineStr">
        <is>
          <t>chengdu;wuhan</t>
        </is>
      </c>
      <c r="AD205" s="75" t="n">
        <v>6.5</v>
      </c>
      <c r="AE205" s="71" t="inlineStr">
        <is>
          <t>partial</t>
        </is>
      </c>
      <c r="AF205" s="71" t="inlineStr">
        <is>
          <t>2023-10-18</t>
        </is>
      </c>
      <c r="AG205" s="71" t="inlineStr">
        <is>
          <t>China Securities</t>
        </is>
      </c>
      <c r="AH205" s="71" t="inlineStr">
        <is>
          <t>China Securities</t>
        </is>
      </c>
      <c r="AI205" s="81" t="n">
        <v>3.75</v>
      </c>
      <c r="AJ205" s="82" t="n">
        <v>0</v>
      </c>
      <c r="AK205" s="82" t="n">
        <v>2.5</v>
      </c>
      <c r="AL205" s="82" t="n">
        <v>-2.44</v>
      </c>
      <c r="AM205" s="83" t="n"/>
      <c r="AN205" s="75" t="n">
        <v>4.88</v>
      </c>
      <c r="AO205" s="82" t="n">
        <v>-6.25</v>
      </c>
      <c r="AP205" s="82" t="n">
        <v>-40.38</v>
      </c>
      <c r="AQ205" s="82" t="n">
        <v>-45.19</v>
      </c>
      <c r="AR205" s="82" t="n">
        <v>-6.25</v>
      </c>
      <c r="AS205" s="82" t="n">
        <v>-40.38</v>
      </c>
      <c r="AT205" s="82" t="n">
        <v>-45.19</v>
      </c>
      <c r="AU205" s="82" t="n">
        <v>-7.02</v>
      </c>
      <c r="AV205" s="82" t="n">
        <v>-45.61</v>
      </c>
      <c r="AW205" s="82" t="n">
        <v>-44.92</v>
      </c>
      <c r="AX205" s="82" t="n">
        <v>-44.99</v>
      </c>
      <c r="AY205" s="82" t="n">
        <v>5.23</v>
      </c>
      <c r="AZ205" s="82" t="n">
        <v>4.61</v>
      </c>
      <c r="BA205" s="71" t="inlineStr">
        <is>
          <t>China Biotech ETF (HS biotech proxy)</t>
        </is>
      </c>
      <c r="BB205" s="82" t="n">
        <v>-79.38</v>
      </c>
      <c r="BC205" s="72" t="inlineStr">
        <is>
          <t>2026-09-18</t>
        </is>
      </c>
      <c r="BD205" s="73" t="n">
        <v>2.2</v>
      </c>
      <c r="BE205" s="76" t="n">
        <v>-207.8</v>
      </c>
      <c r="BF205" s="71" t="inlineStr">
        <is>
          <t>N</t>
        </is>
      </c>
      <c r="BG205" s="71" t="inlineStr">
        <is>
          <t>n/m</t>
        </is>
      </c>
      <c r="BH205" s="83" t="n"/>
      <c r="BI205" s="83" t="n"/>
      <c r="BJ205" s="83" t="n">
        <v>1403.5</v>
      </c>
      <c r="BK205" s="84">
        <f>IF('BBG Verify'!S205="","not filed; run on terminal",'BBG Verify'!S205)</f>
        <v/>
      </c>
      <c r="BL205" s="85" t="inlineStr">
        <is>
          <t>N</t>
        </is>
      </c>
      <c r="BM205" s="86">
        <f>IF('BBG Verify'!K205="","not filed; run on terminal",'BBG Verify'!K205)</f>
        <v/>
      </c>
      <c r="BN205" s="71" t="inlineStr">
        <is>
          <t>N/A</t>
        </is>
      </c>
      <c r="BO205" s="71" t="inlineStr">
        <is>
          <t>N/A</t>
        </is>
      </c>
      <c r="BP205" s="71" t="inlineStr">
        <is>
          <t>N/A</t>
        </is>
      </c>
      <c r="BQ205" s="71" t="inlineStr">
        <is>
          <t>N/A</t>
        </is>
      </c>
      <c r="BR205" s="71" t="inlineStr">
        <is>
          <t>N/A</t>
        </is>
      </c>
      <c r="BS205" s="71" t="inlineStr">
        <is>
          <t>N/A</t>
        </is>
      </c>
      <c r="BT205" s="85" t="n"/>
      <c r="BU205" s="71" t="inlineStr">
        <is>
          <t>China Securities (International) Corporate Finance Company Limited</t>
        </is>
      </c>
      <c r="BV205" s="71" t="inlineStr">
        <is>
          <t>China Securities (International) Corporate Finance Company Limited; Guotai Junan Securities (Hong Kong) Limited; CCB International Capital Limited; BOCI Asia Limited; TFI Securities and Futures Limited; China Galaxy International Securities (Hong Kong) Co., Limited</t>
        </is>
      </c>
      <c r="BW205" s="71"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X205" s="87">
        <f>HYPERLINK("https://www1.hkexnews.hk/listedco/listconews/sehk/2023/0913/2023091300013.pdf","prospectus")</f>
        <v/>
      </c>
      <c r="BY205" s="87">
        <f>HYPERLINK("https://www1.hkexnews.hk/listedco/listconews/sehk/2023/0922/2023092200024.htm","allotment")</f>
        <v/>
      </c>
      <c r="BZ205" s="87">
        <f>HYPERLINK("https://www1.hkexnews.hk/listedco/listconews/sehk/2023/1019/2023101900003.pdf","stabilisation")</f>
        <v/>
      </c>
      <c r="CA205" s="85" t="n"/>
      <c r="CB205" s="71" t="inlineStr">
        <is>
          <t>P/E: loss-making at IPO, use P/S; sponsor: English name not in the filing; AAStocks 保薦人 shown; cornerstone: % from the prospectus; AAStocks table includes non-cornerstone orders; P/S: 1,404x on HK$2.2m revenue, effectively pre-revenue; not comparable; allocation: allocation table not in this notice's format (older prose announcement); day-1 tape: volume on file; the retail multiple needs the final public split, which this notice does not state</t>
        </is>
      </c>
    </row>
    <row r="206" ht="15" customHeight="1">
      <c r="A206" s="70" t="inlineStr">
        <is>
          <t>2490</t>
        </is>
      </c>
      <c r="B206" s="71" t="inlineStr">
        <is>
          <t>LC LOGISTICS</t>
        </is>
      </c>
      <c r="C206" s="71" t="inlineStr">
        <is>
          <t>樂艙控股</t>
        </is>
      </c>
      <c r="D206" s="71" t="inlineStr">
        <is>
          <t>Industrials</t>
        </is>
      </c>
      <c r="E206" s="71" t="inlineStr">
        <is>
          <t>Logistics</t>
        </is>
      </c>
      <c r="F206" s="71" t="inlineStr">
        <is>
          <t>Marine Ports &amp; Services</t>
        </is>
      </c>
      <c r="G206" s="71" t="inlineStr">
        <is>
          <t>Standard</t>
        </is>
      </c>
      <c r="H206" s="72" t="n">
        <v>45194</v>
      </c>
      <c r="I206" s="73" t="n">
        <v>145.6</v>
      </c>
      <c r="J206" s="71" t="inlineStr">
        <is>
          <t>gross (price x shares)</t>
        </is>
      </c>
      <c r="K206" s="74" t="n">
        <v>4.45</v>
      </c>
      <c r="L206" s="74" t="n">
        <v>5.55</v>
      </c>
      <c r="M206" s="74" t="n">
        <v>5.13</v>
      </c>
      <c r="N206" s="71" t="inlineStr">
        <is>
          <t>N</t>
        </is>
      </c>
      <c r="O206" s="75" t="n">
        <v>92.40000000000001</v>
      </c>
      <c r="P206" s="75" t="n">
        <v>61.8</v>
      </c>
      <c r="Q206" s="76" t="n">
        <v>1565</v>
      </c>
      <c r="R206" s="71" t="inlineStr">
        <is>
          <t>aastocks:上市市值 at the struck price</t>
        </is>
      </c>
      <c r="S206" s="77" t="n">
        <v>4.77</v>
      </c>
      <c r="T206" s="78" t="n">
        <v>1.53</v>
      </c>
      <c r="U206" s="79" t="n">
        <v>0</v>
      </c>
      <c r="V206" s="80" t="n">
        <v>114</v>
      </c>
      <c r="W206" s="75" t="n"/>
      <c r="X206" s="71" t="n"/>
      <c r="Y206" s="76" t="n">
        <v>145.6</v>
      </c>
      <c r="Z206" s="76" t="n">
        <v>28390000</v>
      </c>
      <c r="AA206" s="75" t="n">
        <v>9.300000000000001</v>
      </c>
      <c r="AB206" s="71" t="n"/>
      <c r="AC206" s="71" t="n"/>
      <c r="AD206" s="75" t="n">
        <v>10.66</v>
      </c>
      <c r="AE206" s="71" t="inlineStr">
        <is>
          <t>partial</t>
        </is>
      </c>
      <c r="AF206" s="71" t="inlineStr">
        <is>
          <t>2023-10-18</t>
        </is>
      </c>
      <c r="AG206" s="71" t="n"/>
      <c r="AH206" s="71" t="n"/>
      <c r="AI206" s="81" t="n">
        <v>-1.17</v>
      </c>
      <c r="AJ206" s="82" t="n">
        <v>-0.58</v>
      </c>
      <c r="AK206" s="82" t="n">
        <v>0</v>
      </c>
      <c r="AL206" s="82" t="n">
        <v>-0.58</v>
      </c>
      <c r="AM206" s="83" t="n"/>
      <c r="AN206" s="75" t="n">
        <v>4.87</v>
      </c>
      <c r="AO206" s="82" t="n">
        <v>3.7</v>
      </c>
      <c r="AP206" s="82" t="n">
        <v>-7.8</v>
      </c>
      <c r="AQ206" s="82" t="n">
        <v>-0.19</v>
      </c>
      <c r="AR206" s="82" t="n">
        <v>4.3</v>
      </c>
      <c r="AS206" s="82" t="n">
        <v>-7.26</v>
      </c>
      <c r="AT206" s="82" t="n">
        <v>0.39</v>
      </c>
      <c r="AU206" s="82" t="n">
        <v>8.210000000000001</v>
      </c>
      <c r="AV206" s="82" t="n">
        <v>-1.18</v>
      </c>
      <c r="AW206" s="82" t="n">
        <v>10.99</v>
      </c>
      <c r="AX206" s="82" t="n">
        <v>-2.58</v>
      </c>
      <c r="AY206" s="82" t="n">
        <v>-6.62</v>
      </c>
      <c r="AZ206" s="82" t="n">
        <v>-4.68</v>
      </c>
      <c r="BA206" s="71" t="inlineStr">
        <is>
          <t>Hang Seng Commerce &amp; Industry sub-index</t>
        </is>
      </c>
      <c r="BB206" s="82" t="n">
        <v>62.96</v>
      </c>
      <c r="BC206" s="72" t="inlineStr">
        <is>
          <t>2026-09-23</t>
        </is>
      </c>
      <c r="BD206" s="73" t="n">
        <v>5068.7</v>
      </c>
      <c r="BE206" s="76" t="n">
        <v>424.9</v>
      </c>
      <c r="BF206" s="71" t="inlineStr">
        <is>
          <t>Y</t>
        </is>
      </c>
      <c r="BG206" s="83" t="n">
        <v>3.7</v>
      </c>
      <c r="BH206" s="83" t="n"/>
      <c r="BI206" s="83" t="n">
        <v>18</v>
      </c>
      <c r="BJ206" s="83" t="n">
        <v>0.3</v>
      </c>
      <c r="BK206" s="84">
        <f>IF('BBG Verify'!S206="","not filed; run on terminal",'BBG Verify'!S206)</f>
        <v/>
      </c>
      <c r="BL206" s="85" t="inlineStr">
        <is>
          <t>N</t>
        </is>
      </c>
      <c r="BM206" s="86">
        <f>IF('BBG Verify'!K206="","not filed; run on terminal",'BBG Verify'!K206)</f>
        <v/>
      </c>
      <c r="BN206" s="71" t="inlineStr">
        <is>
          <t>N/A</t>
        </is>
      </c>
      <c r="BO206" s="71" t="inlineStr">
        <is>
          <t>N/A</t>
        </is>
      </c>
      <c r="BP206" s="71" t="inlineStr">
        <is>
          <t>N/A</t>
        </is>
      </c>
      <c r="BQ206" s="71" t="inlineStr">
        <is>
          <t>N/A</t>
        </is>
      </c>
      <c r="BR206" s="71" t="inlineStr">
        <is>
          <t>N/A</t>
        </is>
      </c>
      <c r="BS206" s="71" t="inlineStr">
        <is>
          <t>N/A</t>
        </is>
      </c>
      <c r="BT206" s="85" t="inlineStr">
        <is>
          <t>CITIC Securities (Hong Kong) Limited; ABCI Capital Limited</t>
        </is>
      </c>
      <c r="BU206" s="71" t="inlineStr">
        <is>
          <t>CITIC Securities (Hong Kong) Limited; ABCI Capital Limited</t>
        </is>
      </c>
      <c r="BV206" s="71"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W206" s="71"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X206" s="87">
        <f>HYPERLINK("https://www1.hkexnews.hk/listedco/listconews/sehk/2023/0913/2023091300017.pdf","prospectus")</f>
        <v/>
      </c>
      <c r="BY206" s="87">
        <f>HYPERLINK("https://www1.hkexnews.hk/listedco/listconews/sehk/2023/0922/2023092200056.htm","allotment")</f>
        <v/>
      </c>
      <c r="BZ206" s="87">
        <f>HYPERLINK("https://www1.hkexnews.hk/listedco/listconews/sehk/2023/1018/2023101800796.pdf","stabilisation")</f>
        <v/>
      </c>
      <c r="CA206" s="85" t="n"/>
      <c r="CB206" s="71"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allocation: allocation table not in this notice's format (older prose announcement); day-1 tape: volume on file; the retail multiple needs the final public split, which this notice does not state</t>
        </is>
      </c>
    </row>
    <row r="207" ht="15" customHeight="1">
      <c r="A207" s="70" t="inlineStr">
        <is>
          <t>9690</t>
        </is>
      </c>
      <c r="B207" s="71" t="inlineStr">
        <is>
          <t>TUHU-W</t>
        </is>
      </c>
      <c r="C207" s="71" t="inlineStr">
        <is>
          <t>途虎－Ｗ</t>
        </is>
      </c>
      <c r="D207" s="71" t="inlineStr">
        <is>
          <t>Tech/AI</t>
        </is>
      </c>
      <c r="E207" s="71" t="inlineStr">
        <is>
          <t>Internet platform / e-commerce</t>
        </is>
      </c>
      <c r="F207" s="71" t="inlineStr">
        <is>
          <t>Automotive Retail</t>
        </is>
      </c>
      <c r="G207" s="71" t="inlineStr">
        <is>
          <t>WVR</t>
        </is>
      </c>
      <c r="H207" s="72" t="n">
        <v>45195</v>
      </c>
      <c r="I207" s="73" t="n">
        <v>1188.5</v>
      </c>
      <c r="J207" s="71" t="inlineStr">
        <is>
          <t>gross (price x shares)</t>
        </is>
      </c>
      <c r="K207" s="74" t="n"/>
      <c r="L207" s="74" t="n">
        <v>28</v>
      </c>
      <c r="M207" s="74" t="n">
        <v>28</v>
      </c>
      <c r="N207" s="71" t="inlineStr">
        <is>
          <t>Y</t>
        </is>
      </c>
      <c r="O207" s="75" t="n">
        <v>100</v>
      </c>
      <c r="P207" s="75" t="n"/>
      <c r="Q207" s="76" t="n">
        <v>24157.3</v>
      </c>
      <c r="R207" s="71" t="inlineStr">
        <is>
          <t>aastocks:上市市值 at the struck price</t>
        </is>
      </c>
      <c r="S207" s="77" t="n">
        <v>2.67</v>
      </c>
      <c r="T207" s="78" t="n">
        <v>2.3</v>
      </c>
      <c r="U207" s="79" t="n">
        <v>62.3</v>
      </c>
      <c r="V207" s="80" t="n">
        <v>140</v>
      </c>
      <c r="W207" s="75" t="n"/>
      <c r="X207" s="71" t="n"/>
      <c r="Y207" s="76" t="n">
        <v>448.06</v>
      </c>
      <c r="Z207" s="76" t="n">
        <v>16001690</v>
      </c>
      <c r="AA207" s="75" t="n">
        <v>1.85</v>
      </c>
      <c r="AB207" s="71" t="inlineStr">
        <is>
          <t>Castrol Holdings International Limited; Image Frame Investment (HK) Limited; Shanghai Zizhu High-tech Zone (Group) Co., Ltd; Zhejiang Leapmotor Technology Co., Ltd</t>
        </is>
      </c>
      <c r="AC207" s="71" t="inlineStr">
        <is>
          <t>castrol;image;shanghai-zizhu;zhejiang</t>
        </is>
      </c>
      <c r="AD207" s="75" t="n">
        <v>5.7</v>
      </c>
      <c r="AE207" s="71" t="inlineStr">
        <is>
          <t>partial</t>
        </is>
      </c>
      <c r="AF207" s="71" t="inlineStr">
        <is>
          <t>2023-10-19</t>
        </is>
      </c>
      <c r="AG207" s="71" t="inlineStr">
        <is>
          <t>Goldman Sachs</t>
        </is>
      </c>
      <c r="AH207" s="71" t="inlineStr">
        <is>
          <t>Goldman Sachs</t>
        </is>
      </c>
      <c r="AI207" s="81" t="n">
        <v>-3.57</v>
      </c>
      <c r="AJ207" s="82" t="n">
        <v>5.36</v>
      </c>
      <c r="AK207" s="82" t="n">
        <v>0</v>
      </c>
      <c r="AL207" s="82" t="n">
        <v>5.36</v>
      </c>
      <c r="AM207" s="83" t="n"/>
      <c r="AN207" s="75" t="n">
        <v>6.43</v>
      </c>
      <c r="AO207" s="82" t="n">
        <v>2.5</v>
      </c>
      <c r="AP207" s="82" t="n">
        <v>25.71</v>
      </c>
      <c r="AQ207" s="82" t="n">
        <v>6.96</v>
      </c>
      <c r="AR207" s="82" t="n">
        <v>-2.71</v>
      </c>
      <c r="AS207" s="82" t="n">
        <v>19.31</v>
      </c>
      <c r="AT207" s="82" t="n">
        <v>1.52</v>
      </c>
      <c r="AU207" s="82" t="n">
        <v>6.06</v>
      </c>
      <c r="AV207" s="82" t="n">
        <v>27.86</v>
      </c>
      <c r="AW207" s="82" t="n">
        <v>10.31</v>
      </c>
      <c r="AX207" s="82" t="n">
        <v>19.69</v>
      </c>
      <c r="AY207" s="82" t="n">
        <v>-2.15</v>
      </c>
      <c r="AZ207" s="82" t="n">
        <v>-0.38</v>
      </c>
      <c r="BA207" s="71" t="inlineStr">
        <is>
          <t>HSTECH (Hang Seng TECH ETF)</t>
        </is>
      </c>
      <c r="BB207" s="82" t="n">
        <v>-63.36</v>
      </c>
      <c r="BC207" s="72" t="inlineStr">
        <is>
          <t>2026-09-23</t>
        </is>
      </c>
      <c r="BD207" s="73" t="n">
        <v>12896.7</v>
      </c>
      <c r="BE207" s="76" t="n">
        <v>-6429.3</v>
      </c>
      <c r="BF207" s="71" t="inlineStr">
        <is>
          <t>N</t>
        </is>
      </c>
      <c r="BG207" s="71" t="inlineStr">
        <is>
          <t>n/m</t>
        </is>
      </c>
      <c r="BH207" s="83" t="n"/>
      <c r="BI207" s="83" t="n">
        <v>18.7</v>
      </c>
      <c r="BJ207" s="83" t="n">
        <v>1.9</v>
      </c>
      <c r="BK207" s="84">
        <f>IF('BBG Verify'!S207="","not filed; run on terminal",'BBG Verify'!S207)</f>
        <v/>
      </c>
      <c r="BL207" s="85" t="inlineStr">
        <is>
          <t>N</t>
        </is>
      </c>
      <c r="BM207" s="86">
        <f>IF('BBG Verify'!K207="","not filed; run on terminal",'BBG Verify'!K207)</f>
        <v/>
      </c>
      <c r="BN207" s="71" t="inlineStr">
        <is>
          <t>N/A</t>
        </is>
      </c>
      <c r="BO207" s="71" t="inlineStr">
        <is>
          <t>N/A</t>
        </is>
      </c>
      <c r="BP207" s="71" t="inlineStr">
        <is>
          <t>N/A</t>
        </is>
      </c>
      <c r="BQ207" s="71" t="inlineStr">
        <is>
          <t>N/A</t>
        </is>
      </c>
      <c r="BR207" s="71" t="inlineStr">
        <is>
          <t>N/A</t>
        </is>
      </c>
      <c r="BS207" s="71" t="inlineStr">
        <is>
          <t>N/A</t>
        </is>
      </c>
      <c r="BT207" s="85" t="n"/>
      <c r="BU207" s="71" t="inlineStr">
        <is>
          <t>China International Capital Corporation Hong Kong Securities Limited; UBS Securities Hong Kong Limited; Merrill Lynch (Asia Pacific) Limited; Goldman Sachs (Asia) L.L.C.</t>
        </is>
      </c>
      <c r="BV207" s="71" t="inlineStr">
        <is>
          <t>ABCI Securities Company Limited; Beta International Securities Limited; China International Capital Corporation Hong Kong Securities Limited; CMB International Capital Limited; Futu Securities International (Hong Kong) Limited; Goldman Sachs (Asia) L.L.C.</t>
        </is>
      </c>
      <c r="BW207" s="71"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X207" s="87">
        <f>HYPERLINK("https://www1.hkexnews.hk/listedco/listconews/sehk/2023/0914/2023091400024.htm","prospectus")</f>
        <v/>
      </c>
      <c r="BY207" s="87">
        <f>HYPERLINK("https://www1.hkexnews.hk/listedco/listconews/sehk/2023/0925/2023092500012.htm","allotment")</f>
        <v/>
      </c>
      <c r="BZ207" s="87">
        <f>HYPERLINK("https://www1.hkexnews.hk/listedco/listconews/sehk/2023/1019/2023101901082.pdf","stabilisation")</f>
        <v/>
      </c>
      <c r="CA207" s="85" t="n"/>
      <c r="CB207"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allocation: allocation table not in this notice's format (older prose announcement); day-1 tape: volume on file; the retail multiple needs the final public split, which this notice does not state</t>
        </is>
      </c>
    </row>
    <row r="208" ht="15" customHeight="1">
      <c r="A208" s="70" t="inlineStr">
        <is>
          <t>9686</t>
        </is>
      </c>
      <c r="B208" s="71" t="inlineStr">
        <is>
          <t>NEUSOFT XIKANG</t>
        </is>
      </c>
      <c r="C208" s="71" t="inlineStr">
        <is>
          <t>熙康雲醫院</t>
        </is>
      </c>
      <c r="D208" s="71" t="inlineStr">
        <is>
          <t>Healthcare</t>
        </is>
      </c>
      <c r="E208" s="71" t="inlineStr">
        <is>
          <t>Digital health</t>
        </is>
      </c>
      <c r="F208" s="71" t="inlineStr">
        <is>
          <t>Health Care Services</t>
        </is>
      </c>
      <c r="G208" s="71" t="inlineStr">
        <is>
          <t>Standard</t>
        </is>
      </c>
      <c r="H208" s="72" t="n">
        <v>45197</v>
      </c>
      <c r="I208" s="73" t="n">
        <v>636.9</v>
      </c>
      <c r="J208" s="71" t="inlineStr">
        <is>
          <t>gross (price x shares)</t>
        </is>
      </c>
      <c r="K208" s="74" t="n">
        <v>4.76</v>
      </c>
      <c r="L208" s="74" t="n">
        <v>5.91</v>
      </c>
      <c r="M208" s="74" t="n">
        <v>4.76</v>
      </c>
      <c r="N208" s="71" t="inlineStr">
        <is>
          <t>N</t>
        </is>
      </c>
      <c r="O208" s="75" t="n">
        <v>80.5</v>
      </c>
      <c r="P208" s="75" t="n">
        <v>0</v>
      </c>
      <c r="Q208" s="76" t="n">
        <v>4787.1</v>
      </c>
      <c r="R208" s="71" t="inlineStr">
        <is>
          <t>aastocks:上市市值 at the struck price</t>
        </is>
      </c>
      <c r="S208" s="77" t="n">
        <v>0.9</v>
      </c>
      <c r="T208" s="78" t="n">
        <v>1.15</v>
      </c>
      <c r="U208" s="79" t="n">
        <v>34.82</v>
      </c>
      <c r="V208" s="80" t="n">
        <v>106</v>
      </c>
      <c r="W208" s="75" t="n">
        <v>8.960000000000001</v>
      </c>
      <c r="X208" s="71" t="inlineStr">
        <is>
          <t>NO</t>
        </is>
      </c>
      <c r="Y208" s="76" t="n">
        <v>415.13</v>
      </c>
      <c r="Z208" s="76" t="n">
        <v>87214425</v>
      </c>
      <c r="AA208" s="75" t="n">
        <v>8.67</v>
      </c>
      <c r="AB208" s="71" t="inlineStr">
        <is>
          <t>INFO EXPERT SERVICES LIMITED; Ningbo Haishu Industrial Investment Co., Ltd; Ningbo Industrial Development Fund Co., Ltd</t>
        </is>
      </c>
      <c r="AC208" s="71" t="inlineStr">
        <is>
          <t>info;ningbo</t>
        </is>
      </c>
      <c r="AD208" s="75" t="n">
        <v>17.85</v>
      </c>
      <c r="AE208" s="71" t="n"/>
      <c r="AF208" s="71" t="n"/>
      <c r="AG208" s="71" t="n"/>
      <c r="AH208" s="71" t="n"/>
      <c r="AI208" s="81" t="n">
        <v>-24.16</v>
      </c>
      <c r="AJ208" s="82" t="n">
        <v>-42.86</v>
      </c>
      <c r="AK208" s="82" t="n">
        <v>-22.48</v>
      </c>
      <c r="AL208" s="82" t="n">
        <v>-26.29</v>
      </c>
      <c r="AM208" s="83" t="n">
        <v>0.53</v>
      </c>
      <c r="AN208" s="75" t="n">
        <v>26.56</v>
      </c>
      <c r="AO208" s="82" t="n">
        <v>-51.26</v>
      </c>
      <c r="AP208" s="82" t="n">
        <v>-66.39</v>
      </c>
      <c r="AQ208" s="82" t="n">
        <v>-70.17</v>
      </c>
      <c r="AR208" s="82" t="n">
        <v>-14.7</v>
      </c>
      <c r="AS208" s="82" t="n">
        <v>-41.18</v>
      </c>
      <c r="AT208" s="82" t="n">
        <v>-47.79</v>
      </c>
      <c r="AU208" s="82" t="n">
        <v>-49.28</v>
      </c>
      <c r="AV208" s="82" t="n">
        <v>-71.06</v>
      </c>
      <c r="AW208" s="82" t="n">
        <v>-65.91</v>
      </c>
      <c r="AX208" s="82" t="n">
        <v>-47.15</v>
      </c>
      <c r="AY208" s="82" t="n">
        <v>4.67</v>
      </c>
      <c r="AZ208" s="82" t="n">
        <v>5.97</v>
      </c>
      <c r="BA208" s="71" t="inlineStr">
        <is>
          <t>China Biotech ETF (HS biotech proxy)</t>
        </is>
      </c>
      <c r="BB208" s="82" t="n">
        <v>-78.89</v>
      </c>
      <c r="BC208" s="72" t="inlineStr">
        <is>
          <t>2026-09-18</t>
        </is>
      </c>
      <c r="BD208" s="73" t="n">
        <v>756.2</v>
      </c>
      <c r="BE208" s="76" t="n">
        <v>-267.6</v>
      </c>
      <c r="BF208" s="71" t="inlineStr">
        <is>
          <t>N</t>
        </is>
      </c>
      <c r="BG208" s="71" t="inlineStr">
        <is>
          <t>n/m</t>
        </is>
      </c>
      <c r="BH208" s="83" t="n"/>
      <c r="BI208" s="83" t="n"/>
      <c r="BJ208" s="83" t="n">
        <v>6.3</v>
      </c>
      <c r="BK208" s="84">
        <f>IF('BBG Verify'!S208="","not filed; run on terminal",'BBG Verify'!S208)</f>
        <v/>
      </c>
      <c r="BL208" s="85" t="inlineStr">
        <is>
          <t>N</t>
        </is>
      </c>
      <c r="BM208" s="86">
        <f>IF('BBG Verify'!K208="","not filed; run on terminal",'BBG Verify'!K208)</f>
        <v/>
      </c>
      <c r="BN208" s="71" t="inlineStr">
        <is>
          <t>N/A</t>
        </is>
      </c>
      <c r="BO208" s="71" t="inlineStr">
        <is>
          <t>N/A</t>
        </is>
      </c>
      <c r="BP208" s="71" t="inlineStr">
        <is>
          <t>N/A</t>
        </is>
      </c>
      <c r="BQ208" s="71" t="inlineStr">
        <is>
          <t>N/A</t>
        </is>
      </c>
      <c r="BR208" s="71" t="inlineStr">
        <is>
          <t>N/A</t>
        </is>
      </c>
      <c r="BS208" s="71" t="inlineStr">
        <is>
          <t>N/A</t>
        </is>
      </c>
      <c r="BT208" s="85" t="n"/>
      <c r="BU208" s="71" t="inlineStr">
        <is>
          <t>China International Capital Corporation Hong Kong Securities Limited</t>
        </is>
      </c>
      <c r="BV208" s="71"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W208" s="71"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X208" s="87">
        <f>HYPERLINK("https://www1.hkexnews.hk/listedco/listconews/sehk/2023/0918/2023091800017.pdf","prospectus")</f>
        <v/>
      </c>
      <c r="BY208" s="87">
        <f>HYPERLINK("https://www1.hkexnews.hk/listedco/listconews/sehk/2023/0927/2023092700030.htm","allotment")</f>
        <v/>
      </c>
      <c r="BZ208" s="71" t="n"/>
      <c r="CA208" s="85" t="n"/>
      <c r="CB208" s="71"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t>
        </is>
      </c>
    </row>
    <row r="209" ht="15" customHeight="1">
      <c r="A209" s="70" t="inlineStr">
        <is>
          <t>9890</t>
        </is>
      </c>
      <c r="B209" s="71" t="inlineStr">
        <is>
          <t>ZX INC</t>
        </is>
      </c>
      <c r="C209" s="71" t="inlineStr">
        <is>
          <t>貪玩</t>
        </is>
      </c>
      <c r="D209" s="71" t="inlineStr">
        <is>
          <t>TMT-other</t>
        </is>
      </c>
      <c r="E209" s="71" t="inlineStr">
        <is>
          <t>Media / advertising</t>
        </is>
      </c>
      <c r="F209" s="71" t="inlineStr">
        <is>
          <t>Gaming Software</t>
        </is>
      </c>
      <c r="G209" s="71" t="inlineStr">
        <is>
          <t>Standard</t>
        </is>
      </c>
      <c r="H209" s="72" t="n">
        <v>45197</v>
      </c>
      <c r="I209" s="73" t="n">
        <v>265.7</v>
      </c>
      <c r="J209" s="71" t="inlineStr">
        <is>
          <t>gross (price x shares)</t>
        </is>
      </c>
      <c r="K209" s="74" t="n">
        <v>11</v>
      </c>
      <c r="L209" s="74" t="n">
        <v>14</v>
      </c>
      <c r="M209" s="74" t="n">
        <v>14</v>
      </c>
      <c r="N209" s="71" t="inlineStr">
        <is>
          <t>Y</t>
        </is>
      </c>
      <c r="O209" s="75" t="n">
        <v>100</v>
      </c>
      <c r="P209" s="75" t="n">
        <v>100</v>
      </c>
      <c r="Q209" s="76" t="n">
        <v>7482.2</v>
      </c>
      <c r="R209" s="71" t="inlineStr">
        <is>
          <t>aastocks:上市市值 at the struck price</t>
        </is>
      </c>
      <c r="S209" s="77" t="n">
        <v>104</v>
      </c>
      <c r="T209" s="78" t="n">
        <v>1.67</v>
      </c>
      <c r="U209" s="79" t="n">
        <v>24.1</v>
      </c>
      <c r="V209" s="80" t="n">
        <v>138</v>
      </c>
      <c r="W209" s="75" t="n"/>
      <c r="X209" s="71" t="n"/>
      <c r="Y209" s="76" t="n">
        <v>201.67</v>
      </c>
      <c r="Z209" s="76" t="n">
        <v>14402784</v>
      </c>
      <c r="AA209" s="75" t="n">
        <v>2.7</v>
      </c>
      <c r="AB209" s="71" t="inlineStr">
        <is>
          <t>4399 Net Limited; Aofei Data International Company Limited; Hong Kong Longsin Co., Limited; Shangrao High-speed Industrial Investment</t>
        </is>
      </c>
      <c r="AC209" s="71" t="inlineStr">
        <is>
          <t>4399;aofei;longsin;shangrao</t>
        </is>
      </c>
      <c r="AD209" s="75" t="n">
        <v>20</v>
      </c>
      <c r="AE209" s="71" t="inlineStr">
        <is>
          <t>lapsed</t>
        </is>
      </c>
      <c r="AF209" s="71" t="inlineStr">
        <is>
          <t>2023-10-21</t>
        </is>
      </c>
      <c r="AG209" s="71" t="inlineStr">
        <is>
          <t>China International Capital Corporation Hong Kong Securities Limited</t>
        </is>
      </c>
      <c r="AH209" s="71" t="inlineStr">
        <is>
          <t>China International</t>
        </is>
      </c>
      <c r="AI209" s="81" t="n">
        <v>-0.71</v>
      </c>
      <c r="AJ209" s="82" t="n">
        <v>0</v>
      </c>
      <c r="AK209" s="82" t="n">
        <v>-1.57</v>
      </c>
      <c r="AL209" s="82" t="n">
        <v>1.6</v>
      </c>
      <c r="AM209" s="83" t="n"/>
      <c r="AN209" s="75" t="n">
        <v>7.4</v>
      </c>
      <c r="AO209" s="82" t="n">
        <v>-3.86</v>
      </c>
      <c r="AP209" s="82" t="n">
        <v>-14.29</v>
      </c>
      <c r="AQ209" s="82" t="n">
        <v>240.36</v>
      </c>
      <c r="AR209" s="82" t="n">
        <v>-3.86</v>
      </c>
      <c r="AS209" s="82" t="n">
        <v>-14.29</v>
      </c>
      <c r="AT209" s="82" t="n">
        <v>240.36</v>
      </c>
      <c r="AU209" s="82" t="n">
        <v>-3.15</v>
      </c>
      <c r="AV209" s="82" t="n">
        <v>-11.45</v>
      </c>
      <c r="AW209" s="82" t="n">
        <v>245.03</v>
      </c>
      <c r="AX209" s="82" t="n">
        <v>-12.79</v>
      </c>
      <c r="AY209" s="82" t="n">
        <v>-2.84</v>
      </c>
      <c r="AZ209" s="82" t="n">
        <v>-1.5</v>
      </c>
      <c r="BA209" s="71" t="inlineStr">
        <is>
          <t>Hang Seng Index</t>
        </is>
      </c>
      <c r="BB209" s="82" t="n">
        <v>-33.21</v>
      </c>
      <c r="BC209" s="72" t="inlineStr">
        <is>
          <t>2026-09-23</t>
        </is>
      </c>
      <c r="BD209" s="73" t="n">
        <v>9698.9</v>
      </c>
      <c r="BE209" s="76" t="n">
        <v>661.7</v>
      </c>
      <c r="BF209" s="71" t="inlineStr">
        <is>
          <t>Y</t>
        </is>
      </c>
      <c r="BG209" s="83" t="n">
        <v>11.3</v>
      </c>
      <c r="BH209" s="83" t="n"/>
      <c r="BI209" s="83" t="n">
        <v>3</v>
      </c>
      <c r="BJ209" s="83" t="n">
        <v>0.8</v>
      </c>
      <c r="BK209" s="84">
        <f>IF('BBG Verify'!S209="","not filed; run on terminal",'BBG Verify'!S209)</f>
        <v/>
      </c>
      <c r="BL209" s="85" t="inlineStr">
        <is>
          <t>N</t>
        </is>
      </c>
      <c r="BM209" s="86">
        <f>IF('BBG Verify'!K209="","not filed; run on terminal",'BBG Verify'!K209)</f>
        <v/>
      </c>
      <c r="BN209" s="71" t="inlineStr">
        <is>
          <t>N/A</t>
        </is>
      </c>
      <c r="BO209" s="71" t="inlineStr">
        <is>
          <t>N/A</t>
        </is>
      </c>
      <c r="BP209" s="71" t="inlineStr">
        <is>
          <t>N/A</t>
        </is>
      </c>
      <c r="BQ209" s="71" t="inlineStr">
        <is>
          <t>N/A</t>
        </is>
      </c>
      <c r="BR209" s="71" t="inlineStr">
        <is>
          <t>N/A</t>
        </is>
      </c>
      <c r="BS209" s="71" t="inlineStr">
        <is>
          <t>N/A</t>
        </is>
      </c>
      <c r="BT209" s="85" t="n"/>
      <c r="BU209" s="71" t="inlineStr">
        <is>
          <t>China International Capital Corporation Hong Kong Securities Limited; China Securities (International) Corporate Finance Company Limited</t>
        </is>
      </c>
      <c r="BV209" s="71"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W209" s="71"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X209" s="87">
        <f>HYPERLINK("https://www1.hkexnews.hk/listedco/listconews/sehk/2023/0918/2023091800015.pdf","prospectus")</f>
        <v/>
      </c>
      <c r="BY209" s="87">
        <f>HYPERLINK("https://www1.hkexnews.hk/listedco/listconews/sehk/2023/0927/2023092700046.htm","allotment")</f>
        <v/>
      </c>
      <c r="BZ209" s="87">
        <f>HYPERLINK("https://www1.hkexnews.hk/listedco/listconews/sehk/2023/1023/2023102300009.pdf","stabilisation")</f>
        <v/>
      </c>
      <c r="CA209" s="85" t="n"/>
      <c r="CB209" s="71" t="inlineStr">
        <is>
          <t>sponsor: English name not in the filing; AAStocks 保薦人 shown; deal size: stated gross HK$29.5m rejected, below the net proceeds of HK$138.1m; allocation: allocation table not in this notice's format (older prose announcement); day-1 tape: volume on file; the retail multiple needs the final public split, which this notice does not state</t>
        </is>
      </c>
    </row>
    <row r="210" ht="15" customHeight="1">
      <c r="A210" s="70" t="inlineStr">
        <is>
          <t>6682</t>
        </is>
      </c>
      <c r="B210" s="71" t="inlineStr">
        <is>
          <t>FOURTH PARADIGM</t>
        </is>
      </c>
      <c r="C210" s="71" t="inlineStr">
        <is>
          <t>範式智能</t>
        </is>
      </c>
      <c r="D210" s="71" t="inlineStr">
        <is>
          <t>Tech/AI</t>
        </is>
      </c>
      <c r="E210" s="71" t="inlineStr">
        <is>
          <t>AI application / agent software</t>
        </is>
      </c>
      <c r="F210" s="71" t="inlineStr">
        <is>
          <t>Application Software</t>
        </is>
      </c>
      <c r="G210" s="71" t="inlineStr">
        <is>
          <t>Standard</t>
        </is>
      </c>
      <c r="H210" s="72" t="n">
        <v>45197</v>
      </c>
      <c r="I210" s="73" t="n">
        <v>1022.8</v>
      </c>
      <c r="J210" s="71" t="inlineStr">
        <is>
          <t>gross (price x shares)</t>
        </is>
      </c>
      <c r="K210" s="74" t="n">
        <v>55.6</v>
      </c>
      <c r="L210" s="74" t="n">
        <v>61.16</v>
      </c>
      <c r="M210" s="74" t="n">
        <v>55.6</v>
      </c>
      <c r="N210" s="71" t="inlineStr">
        <is>
          <t>N</t>
        </is>
      </c>
      <c r="O210" s="75" t="n">
        <v>90.90000000000001</v>
      </c>
      <c r="P210" s="75" t="n">
        <v>0</v>
      </c>
      <c r="Q210" s="76" t="n">
        <v>22578.4</v>
      </c>
      <c r="R210" s="71" t="inlineStr">
        <is>
          <t>derived:deal size / offer % of enlarged capital</t>
        </is>
      </c>
      <c r="S210" s="77" t="n">
        <v>11.4</v>
      </c>
      <c r="T210" s="78" t="n">
        <v>1.57</v>
      </c>
      <c r="U210" s="79" t="n">
        <v>39.6</v>
      </c>
      <c r="V210" s="80" t="n">
        <v>154</v>
      </c>
      <c r="W210" s="75" t="n"/>
      <c r="X210" s="71" t="n"/>
      <c r="Y210" s="76" t="n">
        <v>617.77</v>
      </c>
      <c r="Z210" s="76" t="n">
        <v>11111184</v>
      </c>
      <c r="AA210" s="75" t="n">
        <v>2.74</v>
      </c>
      <c r="AB210" s="71" t="inlineStr">
        <is>
          <t>Montage Technology Holdings Company Limited; New China Capital Management Limited</t>
        </is>
      </c>
      <c r="AC210" s="71" t="inlineStr">
        <is>
          <t>montage;new</t>
        </is>
      </c>
      <c r="AD210" s="75" t="n">
        <v>17.6</v>
      </c>
      <c r="AE210" s="71" t="inlineStr">
        <is>
          <t>partial</t>
        </is>
      </c>
      <c r="AF210" s="71" t="n"/>
      <c r="AG210" s="71" t="inlineStr">
        <is>
          <t>China International Capital Corporation Hong Kong Securities Limited</t>
        </is>
      </c>
      <c r="AH210" s="71" t="inlineStr">
        <is>
          <t>China International</t>
        </is>
      </c>
      <c r="AI210" s="81" t="n">
        <v>9.710000000000001</v>
      </c>
      <c r="AJ210" s="82" t="n">
        <v>5.22</v>
      </c>
      <c r="AK210" s="82" t="n">
        <v>13.49</v>
      </c>
      <c r="AL210" s="82" t="n">
        <v>-7.29</v>
      </c>
      <c r="AM210" s="83" t="n"/>
      <c r="AN210" s="75" t="n">
        <v>13.55</v>
      </c>
      <c r="AO210" s="82" t="n">
        <v>-2.88</v>
      </c>
      <c r="AP210" s="82" t="n">
        <v>-6.47</v>
      </c>
      <c r="AQ210" s="82" t="n">
        <v>-10.79</v>
      </c>
      <c r="AR210" s="82" t="n">
        <v>-7.7</v>
      </c>
      <c r="AS210" s="82" t="n">
        <v>-11.11</v>
      </c>
      <c r="AT210" s="82" t="n">
        <v>-15.22</v>
      </c>
      <c r="AU210" s="82" t="n">
        <v>-2.51</v>
      </c>
      <c r="AV210" s="82" t="n">
        <v>-4.66</v>
      </c>
      <c r="AW210" s="82" t="n">
        <v>-7.97</v>
      </c>
      <c r="AX210" s="82" t="n">
        <v>-10.67</v>
      </c>
      <c r="AY210" s="82" t="n">
        <v>-1.81</v>
      </c>
      <c r="AZ210" s="82" t="n">
        <v>-0.44</v>
      </c>
      <c r="BA210" s="71" t="inlineStr">
        <is>
          <t>HSTECH (Hang Seng TECH ETF)</t>
        </is>
      </c>
      <c r="BB210" s="82" t="n">
        <v>-50.36</v>
      </c>
      <c r="BC210" s="72" t="inlineStr">
        <is>
          <t>2026-09-23</t>
        </is>
      </c>
      <c r="BD210" s="73" t="n">
        <v>3391.3</v>
      </c>
      <c r="BE210" s="76" t="n">
        <v>-1818.3</v>
      </c>
      <c r="BF210" s="71" t="inlineStr">
        <is>
          <t>N</t>
        </is>
      </c>
      <c r="BG210" s="71" t="inlineStr">
        <is>
          <t>n/m</t>
        </is>
      </c>
      <c r="BH210" s="83" t="n"/>
      <c r="BI210" s="83" t="n"/>
      <c r="BJ210" s="83" t="n">
        <v>6.7</v>
      </c>
      <c r="BK210" s="84">
        <f>IF('BBG Verify'!S210="","not filed; run on terminal",'BBG Verify'!S210)</f>
        <v/>
      </c>
      <c r="BL210" s="85" t="inlineStr">
        <is>
          <t>N</t>
        </is>
      </c>
      <c r="BM210" s="86">
        <f>IF('BBG Verify'!K210="","not filed; run on terminal",'BBG Verify'!K210)</f>
        <v/>
      </c>
      <c r="BN210" s="71" t="inlineStr">
        <is>
          <t>N/A</t>
        </is>
      </c>
      <c r="BO210" s="71" t="inlineStr">
        <is>
          <t>N/A</t>
        </is>
      </c>
      <c r="BP210" s="71" t="inlineStr">
        <is>
          <t>N/A</t>
        </is>
      </c>
      <c r="BQ210" s="71" t="inlineStr">
        <is>
          <t>N/A</t>
        </is>
      </c>
      <c r="BR210" s="71" t="inlineStr">
        <is>
          <t>N/A</t>
        </is>
      </c>
      <c r="BS210" s="71" t="inlineStr">
        <is>
          <t>N/A</t>
        </is>
      </c>
      <c r="BT210" s="85" t="inlineStr">
        <is>
          <t>China International Capital Corporation Hong Kong Securities Limited</t>
        </is>
      </c>
      <c r="BU210" s="71" t="inlineStr">
        <is>
          <t>China International Capital Corporation Hong Kong Securities Limited</t>
        </is>
      </c>
      <c r="BV210" s="71"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W210" s="71"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X210" s="87">
        <f>HYPERLINK("https://www1.hkexnews.hk/listedco/listconews/sehk/2023/0918/2023091800009.pdf","prospectus")</f>
        <v/>
      </c>
      <c r="BY210" s="87">
        <f>HYPERLINK("https://www1.hkexnews.hk/listedco/listconews/sehk/2023/0927/2023092700070.htm","allotment")</f>
        <v/>
      </c>
      <c r="BZ210" s="87">
        <f>HYPERLINK("https://www1.hkexnews.hk/listedco/listconews/sehk/2023/1023/2023102300123.pdf","stabilisation")</f>
        <v/>
      </c>
      <c r="CA210" s="85" t="n"/>
      <c r="CB210" s="71" t="inlineStr">
        <is>
          <t>P/E: loss-making at IPO, use P/S; greenshoe: outcome published; expiry date not in the notice; A/H: no A-share listing; nearest A proxy Yonyou Network (600588.SS); cornerstone: % from the prospectus; AAStocks table includes non-cornerstone orders; allocation: allocation table not in this notice's format (older prose announcement); day-1 tape: volume on file; the retail multiple needs the final public split, which this notice does not state</t>
        </is>
      </c>
    </row>
    <row r="211" ht="15" customHeight="1">
      <c r="A211" s="70" t="inlineStr">
        <is>
          <t>1973</t>
        </is>
      </c>
      <c r="B211" s="71" t="inlineStr">
        <is>
          <t>TIAN TU CAPITAL</t>
        </is>
      </c>
      <c r="C211" s="71" t="inlineStr">
        <is>
          <t>天圖投資</t>
        </is>
      </c>
      <c r="D211" s="71" t="inlineStr">
        <is>
          <t>Financials</t>
        </is>
      </c>
      <c r="E211" s="71" t="inlineStr">
        <is>
          <t>Brokers / asset management</t>
        </is>
      </c>
      <c r="F211" s="71" t="inlineStr">
        <is>
          <t>Investment Holdings &amp; Assets Management</t>
        </is>
      </c>
      <c r="G211" s="71" t="inlineStr">
        <is>
          <t>Standard</t>
        </is>
      </c>
      <c r="H211" s="72" t="n">
        <v>45205</v>
      </c>
      <c r="I211" s="73" t="n">
        <v>1126.2</v>
      </c>
      <c r="J211" s="71" t="inlineStr">
        <is>
          <t>gross (price x shares)</t>
        </is>
      </c>
      <c r="K211" s="74" t="n">
        <v>5.8</v>
      </c>
      <c r="L211" s="74" t="n">
        <v>11.4</v>
      </c>
      <c r="M211" s="74" t="n">
        <v>6.5</v>
      </c>
      <c r="N211" s="71" t="inlineStr">
        <is>
          <t>N</t>
        </is>
      </c>
      <c r="O211" s="75" t="n">
        <v>57</v>
      </c>
      <c r="P211" s="75" t="n">
        <v>12.5</v>
      </c>
      <c r="Q211" s="76" t="n">
        <v>6232.5</v>
      </c>
      <c r="R211" s="71" t="inlineStr">
        <is>
          <t>aastocks:上市市值 at the struck price</t>
        </is>
      </c>
      <c r="S211" s="77" t="n">
        <v>0.26</v>
      </c>
      <c r="T211" s="78" t="n">
        <v>1.28</v>
      </c>
      <c r="U211" s="79" t="n">
        <v>44.2</v>
      </c>
      <c r="V211" s="80" t="n">
        <v>180</v>
      </c>
      <c r="W211" s="75" t="n">
        <v>2.63</v>
      </c>
      <c r="X211" s="71" t="inlineStr">
        <is>
          <t>NO</t>
        </is>
      </c>
      <c r="Y211" s="76" t="n">
        <v>628.42</v>
      </c>
      <c r="Z211" s="76" t="n">
        <v>96677964</v>
      </c>
      <c r="AA211" s="75" t="n">
        <v>10.08</v>
      </c>
      <c r="AB211" s="71" t="inlineStr">
        <is>
          <t>Qingdao Haiming, Qingdao Hainuo and Qingdao Financial; Shenzhen Futian Guiding Fund Investment Co., Ltd</t>
        </is>
      </c>
      <c r="AC211" s="71" t="inlineStr">
        <is>
          <t>qingdao;shenzhen-futian</t>
        </is>
      </c>
      <c r="AD211" s="75" t="n">
        <v>15.21</v>
      </c>
      <c r="AE211" s="71" t="inlineStr">
        <is>
          <t>lapsed (no over-allocation)</t>
        </is>
      </c>
      <c r="AF211" s="71" t="inlineStr">
        <is>
          <t>2023-10-28</t>
        </is>
      </c>
      <c r="AG211" s="71" t="inlineStr">
        <is>
          <t>Huatai Financial Holdings</t>
        </is>
      </c>
      <c r="AH211" s="71" t="inlineStr">
        <is>
          <t>Huatai</t>
        </is>
      </c>
      <c r="AI211" s="81" t="n">
        <v>-17.08</v>
      </c>
      <c r="AJ211" s="82" t="n">
        <v>-24.92</v>
      </c>
      <c r="AK211" s="82" t="n">
        <v>-17.08</v>
      </c>
      <c r="AL211" s="82" t="n">
        <v>-9.449999999999999</v>
      </c>
      <c r="AM211" s="83" t="n">
        <v>0.45</v>
      </c>
      <c r="AN211" s="75" t="n">
        <v>19.11</v>
      </c>
      <c r="AO211" s="82" t="n">
        <v>-38.46</v>
      </c>
      <c r="AP211" s="82" t="n">
        <v>-13.85</v>
      </c>
      <c r="AQ211" s="82" t="n">
        <v>-20.15</v>
      </c>
      <c r="AR211" s="82" t="n">
        <v>-18.03</v>
      </c>
      <c r="AS211" s="82" t="n">
        <v>14.74</v>
      </c>
      <c r="AT211" s="82" t="n">
        <v>6.35</v>
      </c>
      <c r="AU211" s="82" t="n">
        <v>-42.8</v>
      </c>
      <c r="AV211" s="82" t="n">
        <v>-15.01</v>
      </c>
      <c r="AW211" s="82" t="n">
        <v>-17.37</v>
      </c>
      <c r="AX211" s="82" t="n">
        <v>15.47</v>
      </c>
      <c r="AY211" s="82" t="n">
        <v>1.16</v>
      </c>
      <c r="AZ211" s="82" t="n">
        <v>-0.73</v>
      </c>
      <c r="BA211" s="71" t="inlineStr">
        <is>
          <t>Hang Seng Finance sub-index</t>
        </is>
      </c>
      <c r="BB211" s="82" t="n">
        <v>-70.77</v>
      </c>
      <c r="BC211" s="72" t="inlineStr">
        <is>
          <t>2026-09-18</t>
        </is>
      </c>
      <c r="BD211" s="73" t="n">
        <v>465.5</v>
      </c>
      <c r="BE211" s="76" t="n">
        <v>823.9</v>
      </c>
      <c r="BF211" s="71" t="inlineStr">
        <is>
          <t>Y</t>
        </is>
      </c>
      <c r="BG211" s="83" t="n">
        <v>7.6</v>
      </c>
      <c r="BH211" s="83" t="n"/>
      <c r="BI211" s="83" t="n">
        <v>6</v>
      </c>
      <c r="BJ211" s="83" t="n">
        <v>13.4</v>
      </c>
      <c r="BK211" s="84">
        <f>IF('BBG Verify'!S211="","not filed; run on terminal",'BBG Verify'!S211)</f>
        <v/>
      </c>
      <c r="BL211" s="85" t="inlineStr">
        <is>
          <t>N</t>
        </is>
      </c>
      <c r="BM211" s="86">
        <f>IF('BBG Verify'!K211="","not filed; run on terminal",'BBG Verify'!K211)</f>
        <v/>
      </c>
      <c r="BN211" s="71" t="inlineStr">
        <is>
          <t>N/A</t>
        </is>
      </c>
      <c r="BO211" s="71" t="inlineStr">
        <is>
          <t>N/A</t>
        </is>
      </c>
      <c r="BP211" s="71" t="inlineStr">
        <is>
          <t>N/A</t>
        </is>
      </c>
      <c r="BQ211" s="71" t="inlineStr">
        <is>
          <t>N/A</t>
        </is>
      </c>
      <c r="BR211" s="71" t="inlineStr">
        <is>
          <t>N/A</t>
        </is>
      </c>
      <c r="BS211" s="71" t="inlineStr">
        <is>
          <t>N/A</t>
        </is>
      </c>
      <c r="BT211" s="85" t="inlineStr">
        <is>
          <t>Huatai Financial Holdings (Hong Kong) Limited; BOCI Asia Limited</t>
        </is>
      </c>
      <c r="BU211" s="71" t="inlineStr">
        <is>
          <t>Huatai Financial Holdings (Hong Kong) Limited; BOCI Asia Limited</t>
        </is>
      </c>
      <c r="BV211" s="71"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W211" s="71"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X211" s="87">
        <f>HYPERLINK("https://www1.hkexnews.hk/listedco/listconews/sehk/2023/0925/2023092500007.pdf","prospectus")</f>
        <v/>
      </c>
      <c r="BY211" s="87">
        <f>HYPERLINK("https://www1.hkexnews.hk/listedco/listconews/sehk/2023/1005/2023100500006.htm","allotment")</f>
        <v/>
      </c>
      <c r="BZ211" s="87">
        <f>HYPERLINK("https://www1.hkexnews.hk/listedco/listconews/sehk/2023/1101/2023110102578.pdf","stabilisation")</f>
        <v/>
      </c>
      <c r="CA211" s="85" t="n"/>
      <c r="CB211" s="71" t="inlineStr">
        <is>
          <t>market cap: published listing cap used; the estimate from stated market capitalisation disagreed; financials rejected: net income above total income (equity-method gains, investment firm); both as filed</t>
        </is>
      </c>
    </row>
    <row r="212" ht="15" customHeight="1">
      <c r="A212" s="70" t="inlineStr">
        <is>
          <t>2501</t>
        </is>
      </c>
      <c r="B212" s="71" t="inlineStr">
        <is>
          <t>MAIYUE TECH</t>
        </is>
      </c>
      <c r="C212" s="71" t="inlineStr">
        <is>
          <t>邁越科技</t>
        </is>
      </c>
      <c r="D212" s="71" t="inlineStr">
        <is>
          <t>Tech/AI</t>
        </is>
      </c>
      <c r="E212" s="71" t="inlineStr">
        <is>
          <t>AI application / agent software</t>
        </is>
      </c>
      <c r="F212" s="71" t="inlineStr">
        <is>
          <t>IT Consulting &amp; Other Services</t>
        </is>
      </c>
      <c r="G212" s="71" t="inlineStr">
        <is>
          <t>Standard</t>
        </is>
      </c>
      <c r="H212" s="72" t="n">
        <v>45210</v>
      </c>
      <c r="I212" s="73" t="n">
        <v>147.5</v>
      </c>
      <c r="J212" s="71" t="inlineStr">
        <is>
          <t>gross (price x shares)</t>
        </is>
      </c>
      <c r="K212" s="74" t="n"/>
      <c r="L212" s="74" t="n">
        <v>1.18</v>
      </c>
      <c r="M212" s="74" t="n">
        <v>1.18</v>
      </c>
      <c r="N212" s="71" t="inlineStr">
        <is>
          <t>Y</t>
        </is>
      </c>
      <c r="O212" s="75" t="n">
        <v>100</v>
      </c>
      <c r="P212" s="75" t="n"/>
      <c r="Q212" s="76" t="n">
        <v>612.5</v>
      </c>
      <c r="R212" s="71" t="inlineStr">
        <is>
          <t>aastocks:上市市值 at the struck price</t>
        </is>
      </c>
      <c r="S212" s="77" t="n">
        <v>2.46</v>
      </c>
      <c r="T212" s="78" t="n">
        <v>1.16</v>
      </c>
      <c r="U212" s="79" t="n"/>
      <c r="V212" s="80" t="n">
        <v>102</v>
      </c>
      <c r="W212" s="75" t="n"/>
      <c r="X212" s="71" t="n"/>
      <c r="Y212" s="76" t="n">
        <v>147.5</v>
      </c>
      <c r="Z212" s="76" t="n">
        <v>125000000</v>
      </c>
      <c r="AA212" s="75" t="n">
        <v>24.08</v>
      </c>
      <c r="AB212" s="71" t="n"/>
      <c r="AC212" s="71" t="n"/>
      <c r="AD212" s="75" t="n"/>
      <c r="AE212" s="71" t="n"/>
      <c r="AF212" s="71" t="n"/>
      <c r="AG212" s="71" t="inlineStr">
        <is>
          <t>Quam Securities Limited</t>
        </is>
      </c>
      <c r="AH212" s="71" t="inlineStr">
        <is>
          <t>Quam</t>
        </is>
      </c>
      <c r="AI212" s="81" t="n">
        <v>20.34</v>
      </c>
      <c r="AJ212" s="82" t="n">
        <v>38.14</v>
      </c>
      <c r="AK212" s="82" t="n">
        <v>4.24</v>
      </c>
      <c r="AL212" s="82" t="n">
        <v>32.52</v>
      </c>
      <c r="AM212" s="83" t="n"/>
      <c r="AN212" s="75" t="n">
        <v>48.78</v>
      </c>
      <c r="AO212" s="82" t="n">
        <v>14.41</v>
      </c>
      <c r="AP212" s="82" t="n">
        <v>11.86</v>
      </c>
      <c r="AQ212" s="82" t="n">
        <v>-2.54</v>
      </c>
      <c r="AR212" s="82" t="n">
        <v>-17.18</v>
      </c>
      <c r="AS212" s="82" t="n">
        <v>-19.02</v>
      </c>
      <c r="AT212" s="82" t="n">
        <v>-29.45</v>
      </c>
      <c r="AU212" s="82" t="n">
        <v>16.88</v>
      </c>
      <c r="AV212" s="82" t="n">
        <v>11.6</v>
      </c>
      <c r="AW212" s="82" t="n">
        <v>8.029999999999999</v>
      </c>
      <c r="AX212" s="82" t="n">
        <v>-17.22</v>
      </c>
      <c r="AY212" s="82" t="n">
        <v>0.26</v>
      </c>
      <c r="AZ212" s="82" t="n">
        <v>-1.8</v>
      </c>
      <c r="BA212" s="71" t="inlineStr">
        <is>
          <t>HSTECH (Hang Seng TECH ETF)</t>
        </is>
      </c>
      <c r="BB212" s="82" t="n">
        <v>68.22</v>
      </c>
      <c r="BC212" s="72" t="inlineStr">
        <is>
          <t>2026-09-23</t>
        </is>
      </c>
      <c r="BD212" s="73" t="n">
        <v>267.6</v>
      </c>
      <c r="BE212" s="76" t="n">
        <v>54</v>
      </c>
      <c r="BF212" s="71" t="inlineStr">
        <is>
          <t>Y</t>
        </is>
      </c>
      <c r="BG212" s="83" t="n">
        <v>11.3</v>
      </c>
      <c r="BH212" s="83" t="n"/>
      <c r="BI212" s="83" t="n">
        <v>100.2</v>
      </c>
      <c r="BJ212" s="83" t="n">
        <v>2.3</v>
      </c>
      <c r="BK212" s="84">
        <f>IF('BBG Verify'!S212="","not filed; run on terminal",'BBG Verify'!S212)</f>
        <v/>
      </c>
      <c r="BL212" s="85" t="inlineStr">
        <is>
          <t>N</t>
        </is>
      </c>
      <c r="BM212" s="86">
        <f>IF('BBG Verify'!K212="","not filed; run on terminal",'BBG Verify'!K212)</f>
        <v/>
      </c>
      <c r="BN212" s="71" t="inlineStr">
        <is>
          <t>N/A</t>
        </is>
      </c>
      <c r="BO212" s="71" t="inlineStr">
        <is>
          <t>N/A</t>
        </is>
      </c>
      <c r="BP212" s="71" t="inlineStr">
        <is>
          <t>N/A</t>
        </is>
      </c>
      <c r="BQ212" s="71" t="inlineStr">
        <is>
          <t>N/A</t>
        </is>
      </c>
      <c r="BR212" s="71" t="inlineStr">
        <is>
          <t>N/A</t>
        </is>
      </c>
      <c r="BS212" s="71" t="inlineStr">
        <is>
          <t>N/A</t>
        </is>
      </c>
      <c r="BT212" s="85" t="n"/>
      <c r="BU212" s="71" t="inlineStr">
        <is>
          <t>Quam Capital Limited</t>
        </is>
      </c>
      <c r="BV212" s="71" t="inlineStr">
        <is>
          <t>ABCI Securities Company Limited; Beta International Securities Limited; China Galaxy International Securities (Hong Kong) Company Limited; CMBC Securities Company Limited; CMB International Capital Limited; Eddid Securities and Futures Limited</t>
        </is>
      </c>
      <c r="BW212" s="71"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X212" s="87">
        <f>HYPERLINK("https://www1.hkexnews.hk/listedco/listconews/sehk/2023/0928/2023092800100.htm","prospectus")</f>
        <v/>
      </c>
      <c r="BY212" s="87">
        <f>HYPERLINK("https://www1.hkexnews.hk/listedco/listconews/sehk/2023/1010/2023101000016.htm","allotment")</f>
        <v/>
      </c>
      <c r="BZ212" s="71" t="n"/>
      <c r="CA212" s="85" t="n"/>
      <c r="CB212"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allocation: allocation table not in this notice's format (older prose announcement); day-1 tape: volume on file; the retail multiple needs the final public split, which this notice does not state</t>
        </is>
      </c>
    </row>
    <row r="213" ht="15" customHeight="1">
      <c r="A213" s="70" t="inlineStr">
        <is>
          <t>9676</t>
        </is>
      </c>
      <c r="B213" s="71" t="inlineStr">
        <is>
          <t>SHIYUE DAOTIAN</t>
        </is>
      </c>
      <c r="C213" s="71" t="inlineStr">
        <is>
          <t>十月稻田</t>
        </is>
      </c>
      <c r="D213" s="71" t="inlineStr">
        <is>
          <t>Consumer</t>
        </is>
      </c>
      <c r="E213" s="71" t="inlineStr">
        <is>
          <t>Beverages / packaged food</t>
        </is>
      </c>
      <c r="F213" s="71" t="inlineStr">
        <is>
          <t>Packaged Foods</t>
        </is>
      </c>
      <c r="G213" s="71" t="inlineStr">
        <is>
          <t>Standard</t>
        </is>
      </c>
      <c r="H213" s="72" t="n">
        <v>45211</v>
      </c>
      <c r="I213" s="73" t="n">
        <v>820.3</v>
      </c>
      <c r="J213" s="71" t="inlineStr">
        <is>
          <t>gross (price x shares)</t>
        </is>
      </c>
      <c r="K213" s="74" t="n">
        <v>13</v>
      </c>
      <c r="L213" s="74" t="n">
        <v>15.8</v>
      </c>
      <c r="M213" s="74" t="n">
        <v>15.36</v>
      </c>
      <c r="N213" s="71" t="inlineStr">
        <is>
          <t>N</t>
        </is>
      </c>
      <c r="O213" s="75" t="n">
        <v>97.2</v>
      </c>
      <c r="P213" s="75" t="n">
        <v>84.3</v>
      </c>
      <c r="Q213" s="76" t="n">
        <v>16406</v>
      </c>
      <c r="R213" s="71" t="inlineStr">
        <is>
          <t>derived:deal size / offer % of enlarged capital</t>
        </is>
      </c>
      <c r="S213" s="77" t="n">
        <v>1.31</v>
      </c>
      <c r="T213" s="78" t="n">
        <v>1.26</v>
      </c>
      <c r="U213" s="79" t="n">
        <v>25.4</v>
      </c>
      <c r="V213" s="80" t="n">
        <v>102</v>
      </c>
      <c r="W213" s="75" t="n"/>
      <c r="X213" s="71" t="n"/>
      <c r="Y213" s="76" t="n">
        <v>611.9400000000001</v>
      </c>
      <c r="Z213" s="76" t="n">
        <v>39841995</v>
      </c>
      <c r="AA213" s="75" t="n">
        <v>3.73</v>
      </c>
      <c r="AB213" s="71" t="inlineStr">
        <is>
          <t>Xinmin Tianshi Agricultural Industry Development Company Limited</t>
        </is>
      </c>
      <c r="AC213" s="71" t="inlineStr">
        <is>
          <t>xinmin</t>
        </is>
      </c>
      <c r="AD213" s="75" t="n"/>
      <c r="AE213" s="71" t="n"/>
      <c r="AF213" s="71" t="n"/>
      <c r="AG213" s="71" t="n"/>
      <c r="AH213" s="71" t="n"/>
      <c r="AI213" s="81" t="n">
        <v>6.51</v>
      </c>
      <c r="AJ213" s="82" t="n">
        <v>22.66</v>
      </c>
      <c r="AK213" s="82" t="n">
        <v>8.07</v>
      </c>
      <c r="AL213" s="82" t="n">
        <v>13.5</v>
      </c>
      <c r="AM213" s="83" t="n"/>
      <c r="AN213" s="75" t="n">
        <v>20.12</v>
      </c>
      <c r="AO213" s="82" t="n">
        <v>60.81</v>
      </c>
      <c r="AP213" s="82" t="n">
        <v>61.46</v>
      </c>
      <c r="AQ213" s="82" t="n">
        <v>68.29000000000001</v>
      </c>
      <c r="AR213" s="82" t="n">
        <v>31.1</v>
      </c>
      <c r="AS213" s="82" t="n">
        <v>31.63</v>
      </c>
      <c r="AT213" s="82" t="n">
        <v>37.2</v>
      </c>
      <c r="AU213" s="82" t="n">
        <v>64.68000000000001</v>
      </c>
      <c r="AV213" s="82" t="n">
        <v>63.15</v>
      </c>
      <c r="AW213" s="82" t="n">
        <v>80.25</v>
      </c>
      <c r="AX213" s="82" t="n">
        <v>34.98</v>
      </c>
      <c r="AY213" s="82" t="n">
        <v>-1.69</v>
      </c>
      <c r="AZ213" s="82" t="n">
        <v>-3.35</v>
      </c>
      <c r="BA213" s="71" t="inlineStr">
        <is>
          <t>Hang Seng Commerce &amp; Industry sub-index</t>
        </is>
      </c>
      <c r="BB213" s="82" t="n">
        <v>-72.53</v>
      </c>
      <c r="BC213" s="72" t="inlineStr">
        <is>
          <t>2026-09-23</t>
        </is>
      </c>
      <c r="BD213" s="73" t="n">
        <v>4986.2</v>
      </c>
      <c r="BE213" s="76" t="n">
        <v>-413.4</v>
      </c>
      <c r="BF213" s="71" t="inlineStr">
        <is>
          <t>N</t>
        </is>
      </c>
      <c r="BG213" s="71" t="inlineStr">
        <is>
          <t>n/m</t>
        </is>
      </c>
      <c r="BH213" s="83" t="n"/>
      <c r="BI213" s="83" t="n">
        <v>9.199999999999999</v>
      </c>
      <c r="BJ213" s="83" t="n">
        <v>3.3</v>
      </c>
      <c r="BK213" s="84">
        <f>IF('BBG Verify'!S213="","not filed; run on terminal",'BBG Verify'!S213)</f>
        <v/>
      </c>
      <c r="BL213" s="85" t="inlineStr">
        <is>
          <t>N</t>
        </is>
      </c>
      <c r="BM213" s="86">
        <f>IF('BBG Verify'!K213="","not filed; run on terminal",'BBG Verify'!K213)</f>
        <v/>
      </c>
      <c r="BN213" s="71" t="inlineStr">
        <is>
          <t>N/A</t>
        </is>
      </c>
      <c r="BO213" s="71" t="inlineStr">
        <is>
          <t>N/A</t>
        </is>
      </c>
      <c r="BP213" s="71" t="inlineStr">
        <is>
          <t>N/A</t>
        </is>
      </c>
      <c r="BQ213" s="71" t="inlineStr">
        <is>
          <t>N/A</t>
        </is>
      </c>
      <c r="BR213" s="71" t="inlineStr">
        <is>
          <t>N/A</t>
        </is>
      </c>
      <c r="BS213" s="71" t="inlineStr">
        <is>
          <t>N/A</t>
        </is>
      </c>
      <c r="BT213" s="85" t="n"/>
      <c r="BU213" s="71" t="inlineStr">
        <is>
          <t>China International Capital Corporation Hong Kong Securities Limited; Morgan Stanley Asia Limited; China Securities (International) Corporate Finance Company Limited</t>
        </is>
      </c>
      <c r="BV213" s="71" t="inlineStr">
        <is>
          <t>Morgan Stanley Asia Limited; China International Capital Corporation Hong Kong Securities Limited; China Securities (International) Corporate Finance Company Limited</t>
        </is>
      </c>
      <c r="BW213" s="71" t="inlineStr">
        <is>
          <t>China International Capital Corporation Hong Kong Securities Limited; China Securities (International) Corporate Finance Company Limited; Morgan Stanley Asia Limited; Tiger Brokers (HK) Global Limited</t>
        </is>
      </c>
      <c r="BX213" s="87">
        <f>HYPERLINK("https://www1.hkexnews.hk/listedco/listconews/sehk/2023/0928/2023092800446.pdf","prospectus")</f>
        <v/>
      </c>
      <c r="BY213" s="87">
        <f>HYPERLINK("https://www1.hkexnews.hk/listedco/listconews/sehk/2023/1011/2023101100010.htm","allotment")</f>
        <v/>
      </c>
      <c r="BZ213" s="71" t="n"/>
      <c r="CA213" s="85" t="n"/>
      <c r="CB213"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4" ht="15" customHeight="1">
      <c r="A214" s="70" t="inlineStr">
        <is>
          <t>2451</t>
        </is>
      </c>
      <c r="B214" s="71" t="inlineStr">
        <is>
          <t>LUYUAN GP HLDG</t>
        </is>
      </c>
      <c r="C214" s="71" t="inlineStr">
        <is>
          <t>綠源集團控股</t>
        </is>
      </c>
      <c r="D214" s="71" t="inlineStr">
        <is>
          <t>Consumer</t>
        </is>
      </c>
      <c r="E214" s="71" t="inlineStr">
        <is>
          <t>Autos (NEV OEM)</t>
        </is>
      </c>
      <c r="F214" s="71" t="inlineStr">
        <is>
          <t>Automobile Manufacturers</t>
        </is>
      </c>
      <c r="G214" s="71" t="inlineStr">
        <is>
          <t>Standard</t>
        </is>
      </c>
      <c r="H214" s="72" t="n">
        <v>45211</v>
      </c>
      <c r="I214" s="73" t="n">
        <v>786.1</v>
      </c>
      <c r="J214" s="71" t="inlineStr">
        <is>
          <t>gross (price x shares)</t>
        </is>
      </c>
      <c r="K214" s="74" t="n">
        <v>6</v>
      </c>
      <c r="L214" s="74" t="n">
        <v>8</v>
      </c>
      <c r="M214" s="74" t="n">
        <v>7.37</v>
      </c>
      <c r="N214" s="71" t="inlineStr">
        <is>
          <t>N</t>
        </is>
      </c>
      <c r="O214" s="75" t="n">
        <v>92.09999999999999</v>
      </c>
      <c r="P214" s="75" t="n">
        <v>68.5</v>
      </c>
      <c r="Q214" s="76" t="n">
        <v>3346.1</v>
      </c>
      <c r="R214" s="71" t="inlineStr">
        <is>
          <t>aastocks:上市市值 at the struck price</t>
        </is>
      </c>
      <c r="S214" s="77" t="n">
        <v>15</v>
      </c>
      <c r="T214" s="78" t="n">
        <v>1.13</v>
      </c>
      <c r="U214" s="79" t="n">
        <v>31.1</v>
      </c>
      <c r="V214" s="80" t="n">
        <v>134</v>
      </c>
      <c r="W214" s="75" t="n"/>
      <c r="X214" s="71" t="n"/>
      <c r="Y214" s="76" t="n">
        <v>541.62</v>
      </c>
      <c r="Z214" s="76" t="n">
        <v>73493563</v>
      </c>
      <c r="AA214" s="75" t="n">
        <v>16.19</v>
      </c>
      <c r="AB214" s="71" t="inlineStr">
        <is>
          <t>Chongqing Dazuhuaiyuan Construction Investment Co., L; Hainan Dongfang Runze Private Equity Fund Management Co., Ltd; Jinhua Industrial Fund Co., Ltd; Jinhua Jinkai State Owned Capital Investments Co., Ltd; Phylion Battery Co., Ltd</t>
        </is>
      </c>
      <c r="AC214" s="71" t="inlineStr">
        <is>
          <t>chongqing;hainan;jinhua;phylion</t>
        </is>
      </c>
      <c r="AD214" s="75" t="n"/>
      <c r="AE214" s="71" t="n"/>
      <c r="AF214" s="71" t="n"/>
      <c r="AG214" s="71" t="n"/>
      <c r="AH214" s="71" t="n"/>
      <c r="AI214" s="81" t="n">
        <v>2.85</v>
      </c>
      <c r="AJ214" s="82" t="n">
        <v>0.95</v>
      </c>
      <c r="AK214" s="82" t="n">
        <v>-0.41</v>
      </c>
      <c r="AL214" s="82" t="n">
        <v>1.37</v>
      </c>
      <c r="AM214" s="83" t="n"/>
      <c r="AN214" s="75" t="n">
        <v>11.44</v>
      </c>
      <c r="AO214" s="82" t="n">
        <v>-1.63</v>
      </c>
      <c r="AP214" s="82" t="n">
        <v>0.54</v>
      </c>
      <c r="AQ214" s="82" t="n">
        <v>-1.36</v>
      </c>
      <c r="AR214" s="82" t="n">
        <v>-2.56</v>
      </c>
      <c r="AS214" s="82" t="n">
        <v>-0.41</v>
      </c>
      <c r="AT214" s="82" t="n">
        <v>-2.29</v>
      </c>
      <c r="AU214" s="82" t="n">
        <v>2.24</v>
      </c>
      <c r="AV214" s="82" t="n">
        <v>2.23</v>
      </c>
      <c r="AW214" s="82" t="n">
        <v>10.6</v>
      </c>
      <c r="AX214" s="82" t="n">
        <v>2.94</v>
      </c>
      <c r="AY214" s="82" t="n">
        <v>-1.69</v>
      </c>
      <c r="AZ214" s="82" t="n">
        <v>-3.35</v>
      </c>
      <c r="BA214" s="71" t="inlineStr">
        <is>
          <t>Hang Seng Commerce &amp; Industry sub-index</t>
        </is>
      </c>
      <c r="BB214" s="82" t="n">
        <v>124.42</v>
      </c>
      <c r="BC214" s="72" t="inlineStr">
        <is>
          <t>2026-09-23</t>
        </is>
      </c>
      <c r="BD214" s="73" t="n">
        <v>5261.3</v>
      </c>
      <c r="BE214" s="76" t="n">
        <v>129.8</v>
      </c>
      <c r="BF214" s="71" t="inlineStr">
        <is>
          <t>Y</t>
        </is>
      </c>
      <c r="BG214" s="83" t="n">
        <v>25.8</v>
      </c>
      <c r="BH214" s="83" t="n"/>
      <c r="BI214" s="83" t="n">
        <v>24.3</v>
      </c>
      <c r="BJ214" s="83" t="n">
        <v>0.6</v>
      </c>
      <c r="BK214" s="84">
        <f>IF('BBG Verify'!S214="","not filed; run on terminal",'BBG Verify'!S214)</f>
        <v/>
      </c>
      <c r="BL214" s="85" t="inlineStr">
        <is>
          <t>N</t>
        </is>
      </c>
      <c r="BM214" s="86">
        <f>IF('BBG Verify'!K214="","not filed; run on terminal",'BBG Verify'!K214)</f>
        <v/>
      </c>
      <c r="BN214" s="71" t="inlineStr">
        <is>
          <t>N/A</t>
        </is>
      </c>
      <c r="BO214" s="71" t="inlineStr">
        <is>
          <t>N/A</t>
        </is>
      </c>
      <c r="BP214" s="71" t="inlineStr">
        <is>
          <t>N/A</t>
        </is>
      </c>
      <c r="BQ214" s="71" t="inlineStr">
        <is>
          <t>N/A</t>
        </is>
      </c>
      <c r="BR214" s="71" t="inlineStr">
        <is>
          <t>N/A</t>
        </is>
      </c>
      <c r="BS214" s="71" t="inlineStr">
        <is>
          <t>N/A</t>
        </is>
      </c>
      <c r="BT214" s="85" t="n"/>
      <c r="BU214" s="71" t="inlineStr">
        <is>
          <t>China Securities (International) Corporate Finance Company Limited</t>
        </is>
      </c>
      <c r="BV214" s="71"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W214" s="71"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X214" s="87">
        <f>HYPERLINK("https://www1.hkexnews.hk/listedco/listconews/sehk/2023/0928/2023092800027.pdf","prospectus")</f>
        <v/>
      </c>
      <c r="BY214" s="87">
        <f>HYPERLINK("https://www1.hkexnews.hk/listedco/listconews/sehk/2023/1011/2023101100034.htm","allotment")</f>
        <v/>
      </c>
      <c r="BZ214" s="71" t="n"/>
      <c r="CA214" s="85" t="n"/>
      <c r="CB214" s="71"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allocation: allocation table not in this notice's format (older prose announcement); day-1 tape: volume on file; the retail multiple needs the final public split, which this notice does not state</t>
        </is>
      </c>
    </row>
    <row r="215" ht="15" customHeight="1">
      <c r="A215" s="70" t="inlineStr">
        <is>
          <t>1519</t>
        </is>
      </c>
      <c r="B215" s="71" t="inlineStr">
        <is>
          <t>J&amp;T EXPRESS-W</t>
        </is>
      </c>
      <c r="C215" s="71" t="inlineStr">
        <is>
          <t>極兔速遞－Ｗ</t>
        </is>
      </c>
      <c r="D215" s="71" t="inlineStr">
        <is>
          <t>Industrials</t>
        </is>
      </c>
      <c r="E215" s="71" t="inlineStr">
        <is>
          <t>Logistics</t>
        </is>
      </c>
      <c r="F215" s="71" t="inlineStr">
        <is>
          <t>Air Freight &amp; Logistics</t>
        </is>
      </c>
      <c r="G215" s="71" t="inlineStr">
        <is>
          <t>WVR</t>
        </is>
      </c>
      <c r="H215" s="72" t="n">
        <v>45226</v>
      </c>
      <c r="I215" s="73" t="n">
        <v>3918.6</v>
      </c>
      <c r="J215" s="71" t="inlineStr">
        <is>
          <t>gross (price x shares)</t>
        </is>
      </c>
      <c r="K215" s="74" t="n"/>
      <c r="L215" s="74" t="n">
        <v>12</v>
      </c>
      <c r="M215" s="74" t="n">
        <v>12</v>
      </c>
      <c r="N215" s="71" t="inlineStr">
        <is>
          <t>Y</t>
        </is>
      </c>
      <c r="O215" s="75" t="n">
        <v>100</v>
      </c>
      <c r="P215" s="75" t="n"/>
      <c r="Q215" s="76" t="n">
        <v>105750</v>
      </c>
      <c r="R215" s="71" t="inlineStr">
        <is>
          <t>prospectus:stated market capitalisation</t>
        </is>
      </c>
      <c r="S215" s="77" t="n">
        <v>1.36</v>
      </c>
      <c r="T215" s="78" t="n">
        <v>1.91</v>
      </c>
      <c r="U215" s="79" t="n">
        <v>39.88</v>
      </c>
      <c r="V215" s="80" t="n">
        <v>114</v>
      </c>
      <c r="W215" s="75" t="n"/>
      <c r="X215" s="71" t="n"/>
      <c r="Y215" s="76" t="n">
        <v>2355.86</v>
      </c>
      <c r="Z215" s="76" t="n">
        <v>196322100</v>
      </c>
      <c r="AA215" s="75" t="n">
        <v>2.23</v>
      </c>
      <c r="AB215" s="71"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AC215" s="71" t="inlineStr">
        <is>
          <t>aspex;celestial;d1;dahlia;eternal;hidden;huang-river;jallion;jnry;joyous;parallel;sc</t>
        </is>
      </c>
      <c r="AD215" s="75" t="n">
        <v>16.4</v>
      </c>
      <c r="AE215" s="71" t="inlineStr">
        <is>
          <t>lapsed</t>
        </is>
      </c>
      <c r="AF215" s="71" t="inlineStr">
        <is>
          <t>2023-11-18</t>
        </is>
      </c>
      <c r="AG215" s="71" t="inlineStr">
        <is>
          <t>Morgan Stanley Asia Limited</t>
        </is>
      </c>
      <c r="AH215" s="71" t="inlineStr">
        <is>
          <t>Morgan Stanley</t>
        </is>
      </c>
      <c r="AI215" s="81" t="n">
        <v>-1.17</v>
      </c>
      <c r="AJ215" s="82" t="n">
        <v>0</v>
      </c>
      <c r="AK215" s="82" t="n">
        <v>0</v>
      </c>
      <c r="AL215" s="82" t="n">
        <v>0</v>
      </c>
      <c r="AM215" s="83" t="n"/>
      <c r="AN215" s="75" t="n">
        <v>3.33</v>
      </c>
      <c r="AO215" s="82" t="n">
        <v>3.33</v>
      </c>
      <c r="AP215" s="82" t="n">
        <v>-1.17</v>
      </c>
      <c r="AQ215" s="82" t="n">
        <v>34</v>
      </c>
      <c r="AR215" s="82" t="n">
        <v>3.33</v>
      </c>
      <c r="AS215" s="82" t="n">
        <v>-1.17</v>
      </c>
      <c r="AT215" s="82" t="n">
        <v>34</v>
      </c>
      <c r="AU215" s="82" t="n">
        <v>-0.78</v>
      </c>
      <c r="AV215" s="82" t="n">
        <v>-4.04</v>
      </c>
      <c r="AW215" s="82" t="n">
        <v>43.21</v>
      </c>
      <c r="AX215" s="82" t="n">
        <v>-1.55</v>
      </c>
      <c r="AY215" s="82" t="n">
        <v>2.87</v>
      </c>
      <c r="AZ215" s="82" t="n">
        <v>0.38</v>
      </c>
      <c r="BA215" s="71" t="inlineStr">
        <is>
          <t>Hang Seng Commerce &amp; Industry sub-index</t>
        </is>
      </c>
      <c r="BB215" s="82" t="n">
        <v>-27</v>
      </c>
      <c r="BC215" s="72" t="inlineStr">
        <is>
          <t>2026-09-23</t>
        </is>
      </c>
      <c r="BD215" s="73" t="n">
        <v>56685.9</v>
      </c>
      <c r="BE215" s="76" t="n">
        <v>12918.1</v>
      </c>
      <c r="BF215" s="71" t="inlineStr">
        <is>
          <t>Y</t>
        </is>
      </c>
      <c r="BG215" s="83" t="n">
        <v>8.199999999999999</v>
      </c>
      <c r="BH215" s="83" t="n"/>
      <c r="BI215" s="83" t="n">
        <v>54.9</v>
      </c>
      <c r="BJ215" s="83" t="n">
        <v>1.9</v>
      </c>
      <c r="BK215" s="84">
        <f>IF('BBG Verify'!S215="","not filed; run on terminal",'BBG Verify'!S215)</f>
        <v/>
      </c>
      <c r="BL215" s="85" t="inlineStr">
        <is>
          <t>N</t>
        </is>
      </c>
      <c r="BM215" s="86">
        <f>IF('BBG Verify'!K215="","not filed; run on terminal",'BBG Verify'!K215)</f>
        <v/>
      </c>
      <c r="BN215" s="71" t="inlineStr">
        <is>
          <t>N/A</t>
        </is>
      </c>
      <c r="BO215" s="71" t="inlineStr">
        <is>
          <t>N/A</t>
        </is>
      </c>
      <c r="BP215" s="71" t="inlineStr">
        <is>
          <t>N/A</t>
        </is>
      </c>
      <c r="BQ215" s="71" t="inlineStr">
        <is>
          <t>N/A</t>
        </is>
      </c>
      <c r="BR215" s="71" t="inlineStr">
        <is>
          <t>N/A</t>
        </is>
      </c>
      <c r="BS215" s="71" t="inlineStr">
        <is>
          <t>N/A</t>
        </is>
      </c>
      <c r="BT215" s="85" t="inlineStr">
        <is>
          <t>Morgan Stanley Asia Limited; Merrill Lynch (Asia Pacific) Limited; China International Capital Corporation Hong Kong Securities Limited</t>
        </is>
      </c>
      <c r="BU215" s="71" t="inlineStr">
        <is>
          <t>China International Capital Corporation Hong Kong Securities Limited; Morgan Stanley Asia Limited; Merrill Lynch (Asia Pacific) Limited</t>
        </is>
      </c>
      <c r="BV215" s="71"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W215" s="71"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X215" s="87">
        <f>HYPERLINK("https://www1.hkexnews.hk/listedco/listconews/sehk/2023/1016/2023101600009.pdf","prospectus")</f>
        <v/>
      </c>
      <c r="BY215" s="87">
        <f>HYPERLINK("https://www1.hkexnews.hk/listedco/listconews/sehk/2023/1026/2023102600028.htm","allotment")</f>
        <v/>
      </c>
      <c r="BZ215" s="87">
        <f>HYPERLINK("https://www1.hkexnews.hk/listedco/listconews/sehk/2023/1119/2023111900085.pdf","stabilisation")</f>
        <v/>
      </c>
      <c r="CA215" s="85" t="n"/>
      <c r="CB215" s="71" t="inlineStr">
        <is>
          <t>range low: maximum offer price only, no floor published; allocation: allocation table not in this notice's format (older prose announcement); day-1 tape: volume on file; the retail multiple needs the final public split, which this notice does not state</t>
        </is>
      </c>
    </row>
    <row r="216" ht="15" customHeight="1">
      <c r="A216" s="70" t="inlineStr">
        <is>
          <t>2517</t>
        </is>
      </c>
      <c r="B216" s="71" t="inlineStr">
        <is>
          <t>GUOQUAN</t>
        </is>
      </c>
      <c r="C216" s="71" t="inlineStr">
        <is>
          <t>鍋圈</t>
        </is>
      </c>
      <c r="D216" s="71" t="inlineStr">
        <is>
          <t>Consumer</t>
        </is>
      </c>
      <c r="E216" s="71" t="inlineStr">
        <is>
          <t>Retail / distribution</t>
        </is>
      </c>
      <c r="F216" s="71" t="inlineStr">
        <is>
          <t>Packaged Foods</t>
        </is>
      </c>
      <c r="G216" s="71" t="inlineStr">
        <is>
          <t>Standard</t>
        </is>
      </c>
      <c r="H216" s="72" t="n">
        <v>45232</v>
      </c>
      <c r="I216" s="73" t="n">
        <v>411.4</v>
      </c>
      <c r="J216" s="71" t="inlineStr">
        <is>
          <t>gross (price x shares)</t>
        </is>
      </c>
      <c r="K216" s="74" t="n"/>
      <c r="L216" s="74" t="n">
        <v>5.98</v>
      </c>
      <c r="M216" s="74" t="n">
        <v>5.98</v>
      </c>
      <c r="N216" s="71" t="inlineStr">
        <is>
          <t>Y</t>
        </is>
      </c>
      <c r="O216" s="75" t="n">
        <v>100</v>
      </c>
      <c r="P216" s="75" t="n"/>
      <c r="Q216" s="76" t="n">
        <v>14186.2</v>
      </c>
      <c r="R216" s="71" t="inlineStr">
        <is>
          <t>derived:deal size / offer % of enlarged capital</t>
        </is>
      </c>
      <c r="S216" s="77" t="n">
        <v>4.34</v>
      </c>
      <c r="T216" s="78" t="n">
        <v>1.33</v>
      </c>
      <c r="U216" s="79" t="n">
        <v>53.6</v>
      </c>
      <c r="V216" s="80" t="n">
        <v>119</v>
      </c>
      <c r="W216" s="75" t="n"/>
      <c r="X216" s="71" t="n"/>
      <c r="Y216" s="76" t="n">
        <v>190.89</v>
      </c>
      <c r="Z216" s="76" t="n">
        <v>31924499</v>
      </c>
      <c r="AA216" s="75" t="n">
        <v>1.35</v>
      </c>
      <c r="AB216" s="71" t="inlineStr">
        <is>
          <t>COFCO Capital Special Opportunity Fund 2 SP; Jiangsu Hengshun Vinegar Industry Co., Ltd; Jinding Capital Management (Shenzhen) Co., Ltd; Profit Joy (Hong Kong) Limited</t>
        </is>
      </c>
      <c r="AC216" s="71" t="inlineStr">
        <is>
          <t>cofco;jiangsu;jinding;profit</t>
        </is>
      </c>
      <c r="AD216" s="75" t="n">
        <v>15</v>
      </c>
      <c r="AE216" s="71" t="inlineStr">
        <is>
          <t>partial</t>
        </is>
      </c>
      <c r="AF216" s="71" t="inlineStr">
        <is>
          <t>2023-11-25</t>
        </is>
      </c>
      <c r="AG216" s="71" t="inlineStr">
        <is>
          <t>China International Capital Corporation Hong Kong Securities Limited DEFINITIONS –3 1</t>
        </is>
      </c>
      <c r="AH216" s="71" t="inlineStr">
        <is>
          <t>China International</t>
        </is>
      </c>
      <c r="AI216" s="81" t="n">
        <v>-0.17</v>
      </c>
      <c r="AJ216" s="82" t="n">
        <v>0</v>
      </c>
      <c r="AK216" s="82" t="n">
        <v>0</v>
      </c>
      <c r="AL216" s="82" t="n">
        <v>0</v>
      </c>
      <c r="AM216" s="83" t="n"/>
      <c r="AN216" s="75" t="n">
        <v>4.01</v>
      </c>
      <c r="AO216" s="82" t="n">
        <v>6.52</v>
      </c>
      <c r="AP216" s="82" t="n">
        <v>22.91</v>
      </c>
      <c r="AQ216" s="82" t="n">
        <v>42.14</v>
      </c>
      <c r="AR216" s="82" t="n">
        <v>6.52</v>
      </c>
      <c r="AS216" s="82" t="n">
        <v>22.91</v>
      </c>
      <c r="AT216" s="82" t="n">
        <v>42.14</v>
      </c>
      <c r="AU216" s="82" t="n">
        <v>3.04</v>
      </c>
      <c r="AV216" s="82" t="n">
        <v>25.35</v>
      </c>
      <c r="AW216" s="82" t="n">
        <v>55.18</v>
      </c>
      <c r="AX216" s="82" t="n">
        <v>25.99</v>
      </c>
      <c r="AY216" s="82" t="n">
        <v>-2.44</v>
      </c>
      <c r="AZ216" s="82" t="n">
        <v>-3.08</v>
      </c>
      <c r="BA216" s="71" t="inlineStr">
        <is>
          <t>Hang Seng Commerce &amp; Industry sub-index</t>
        </is>
      </c>
      <c r="BB216" s="82" t="n">
        <v>-75.75</v>
      </c>
      <c r="BC216" s="72" t="inlineStr">
        <is>
          <t>2026-09-23</t>
        </is>
      </c>
      <c r="BD216" s="73" t="n">
        <v>7890.8</v>
      </c>
      <c r="BE216" s="76" t="n">
        <v>365.2</v>
      </c>
      <c r="BF216" s="71" t="inlineStr">
        <is>
          <t>Y</t>
        </is>
      </c>
      <c r="BG216" s="83" t="n">
        <v>38.8</v>
      </c>
      <c r="BH216" s="83" t="n"/>
      <c r="BI216" s="83" t="n">
        <v>9.6</v>
      </c>
      <c r="BJ216" s="83" t="n">
        <v>1.8</v>
      </c>
      <c r="BK216" s="84">
        <f>IF('BBG Verify'!S216="","not filed; run on terminal",'BBG Verify'!S216)</f>
        <v/>
      </c>
      <c r="BL216" s="85" t="inlineStr">
        <is>
          <t>N</t>
        </is>
      </c>
      <c r="BM216" s="86">
        <f>IF('BBG Verify'!K216="","not filed; run on terminal",'BBG Verify'!K216)</f>
        <v/>
      </c>
      <c r="BN216" s="71" t="inlineStr">
        <is>
          <t>N/A</t>
        </is>
      </c>
      <c r="BO216" s="71" t="inlineStr">
        <is>
          <t>N/A</t>
        </is>
      </c>
      <c r="BP216" s="71" t="inlineStr">
        <is>
          <t>N/A</t>
        </is>
      </c>
      <c r="BQ216" s="71" t="inlineStr">
        <is>
          <t>N/A</t>
        </is>
      </c>
      <c r="BR216" s="71" t="inlineStr">
        <is>
          <t>N/A</t>
        </is>
      </c>
      <c r="BS216" s="71" t="inlineStr">
        <is>
          <t>N/A</t>
        </is>
      </c>
      <c r="BT216" s="85" t="inlineStr">
        <is>
          <t>Huatai Financial Holdings (Hong Kong) Limited; China International Capital Corporation Hong Kong Securities Limited</t>
        </is>
      </c>
      <c r="BU216" s="71" t="inlineStr">
        <is>
          <t>China International Capital Corporation Hong Kong Securities Limited; Huatai Financial Holdings (Hong Kong) Limited</t>
        </is>
      </c>
      <c r="BV216" s="71" t="inlineStr">
        <is>
          <t>Huatai Financial Holdings (Hong Kong) Limited; China International Capital Corporation Hong Kong Securities Limited; CMB International Capital Limited; Central China International Capital Limited</t>
        </is>
      </c>
      <c r="BW216" s="71"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X216" s="87">
        <f>HYPERLINK("https://www1.hkexnews.hk/listedco/listconews/sehk/2023/1020/2023102000007.pdf","prospectus")</f>
        <v/>
      </c>
      <c r="BY216" s="87">
        <f>HYPERLINK("https://www1.hkexnews.hk/listedco/listconews/sehk/2023/1101/2023110100018.htm","allotment")</f>
        <v/>
      </c>
      <c r="BZ216" s="87">
        <f>HYPERLINK("https://www1.hkexnews.hk/listedco/listconews/sehk/2023/1127/2023112700202.pdf","stabilisation")</f>
        <v/>
      </c>
      <c r="CA216" s="85" t="n"/>
      <c r="CB216" s="71" t="inlineStr">
        <is>
          <t>range low: maximum offer price only, no floor published; cornerstone: table parse 99% rejected (institutional total implies 54%); the AAStocks institutional total used; deal size: stated gross HK$16.5m rejected, below the net proceeds of HK$356.5m; allocation: allocation table not in this notice's format (older prose announcement); day-1 tape: volume on file; the retail multiple needs the final public split, which this notice does not state</t>
        </is>
      </c>
    </row>
    <row r="217" ht="15" customHeight="1">
      <c r="A217" s="70" t="inlineStr">
        <is>
          <t>2429</t>
        </is>
      </c>
      <c r="B217" s="71" t="inlineStr">
        <is>
          <t>UBOX ONLINE</t>
        </is>
      </c>
      <c r="C217" s="71" t="inlineStr">
        <is>
          <t>友寶在線</t>
        </is>
      </c>
      <c r="D217" s="71" t="inlineStr">
        <is>
          <t>Consumer</t>
        </is>
      </c>
      <c r="E217" s="71" t="inlineStr">
        <is>
          <t>Retail / distribution</t>
        </is>
      </c>
      <c r="F217" s="71" t="inlineStr">
        <is>
          <t>Hypermarkets, Supermarkets &amp; Convenience Stores</t>
        </is>
      </c>
      <c r="G217" s="71" t="inlineStr">
        <is>
          <t>Standard</t>
        </is>
      </c>
      <c r="H217" s="72" t="n">
        <v>45233</v>
      </c>
      <c r="I217" s="73" t="n">
        <v>233.7</v>
      </c>
      <c r="J217" s="71" t="inlineStr">
        <is>
          <t>gross (price x shares)</t>
        </is>
      </c>
      <c r="K217" s="74" t="n">
        <v>9.4</v>
      </c>
      <c r="L217" s="74" t="n">
        <v>11.4</v>
      </c>
      <c r="M217" s="74" t="n">
        <v>10.35</v>
      </c>
      <c r="N217" s="71" t="inlineStr">
        <is>
          <t>N</t>
        </is>
      </c>
      <c r="O217" s="75" t="n">
        <v>90.8</v>
      </c>
      <c r="P217" s="75" t="n">
        <v>47.5</v>
      </c>
      <c r="Q217" s="76" t="n">
        <v>6655.3</v>
      </c>
      <c r="R217" s="71" t="inlineStr">
        <is>
          <t>prospectus:stated market capitalisation, rescaled to the offer price</t>
        </is>
      </c>
      <c r="S217" s="77" t="n">
        <v>11.29</v>
      </c>
      <c r="T217" s="78" t="n">
        <v>1.41</v>
      </c>
      <c r="U217" s="79" t="n">
        <v>29.4</v>
      </c>
      <c r="V217" s="80" t="n">
        <v>143</v>
      </c>
      <c r="W217" s="75" t="n"/>
      <c r="X217" s="71" t="n"/>
      <c r="Y217" s="76" t="n">
        <v>164.99</v>
      </c>
      <c r="Z217" s="76" t="n">
        <v>15939009</v>
      </c>
      <c r="AA217" s="75" t="n">
        <v>2.48</v>
      </c>
      <c r="AB217" s="71" t="inlineStr">
        <is>
          <t>Nayuki Holdings Limited; SensePower Management Limited; Shenzhen Maliujia Network Technology Co., Ltd; Wei Jinbing</t>
        </is>
      </c>
      <c r="AC217" s="71" t="inlineStr">
        <is>
          <t>nayuki;sensepower;shenzhen-maliujia;wei-jinbing</t>
        </is>
      </c>
      <c r="AD217" s="75" t="n"/>
      <c r="AE217" s="71" t="n"/>
      <c r="AF217" s="71" t="n"/>
      <c r="AG217" s="71" t="n"/>
      <c r="AH217" s="71" t="n"/>
      <c r="AI217" s="81" t="n">
        <v>20.77</v>
      </c>
      <c r="AJ217" s="82" t="n">
        <v>40.87</v>
      </c>
      <c r="AK217" s="82" t="n">
        <v>20.77</v>
      </c>
      <c r="AL217" s="82" t="n">
        <v>16.64</v>
      </c>
      <c r="AM217" s="83" t="n"/>
      <c r="AN217" s="75" t="n">
        <v>21.28</v>
      </c>
      <c r="AO217" s="82" t="n">
        <v>20.77</v>
      </c>
      <c r="AP217" s="82" t="n">
        <v>55.94</v>
      </c>
      <c r="AQ217" s="82" t="n">
        <v>79.13</v>
      </c>
      <c r="AR217" s="82" t="n">
        <v>-14.27</v>
      </c>
      <c r="AS217" s="82" t="n">
        <v>10.7</v>
      </c>
      <c r="AT217" s="82" t="n">
        <v>27.16</v>
      </c>
      <c r="AU217" s="82" t="n">
        <v>20.21</v>
      </c>
      <c r="AV217" s="82" t="n">
        <v>60.49</v>
      </c>
      <c r="AW217" s="82" t="n">
        <v>92.8</v>
      </c>
      <c r="AX217" s="82" t="n">
        <v>17.78</v>
      </c>
      <c r="AY217" s="82" t="n">
        <v>-4.55</v>
      </c>
      <c r="AZ217" s="82" t="n">
        <v>-7.08</v>
      </c>
      <c r="BA217" s="71" t="inlineStr">
        <is>
          <t>Hang Seng Commerce &amp; Industry sub-index</t>
        </is>
      </c>
      <c r="BB217" s="82" t="n">
        <v>-82.70999999999999</v>
      </c>
      <c r="BC217" s="72" t="inlineStr">
        <is>
          <t>2026-09-23</t>
        </is>
      </c>
      <c r="BD217" s="73" t="n">
        <v>2943.9</v>
      </c>
      <c r="BE217" s="76" t="n">
        <v>-203.1</v>
      </c>
      <c r="BF217" s="71" t="inlineStr">
        <is>
          <t>N</t>
        </is>
      </c>
      <c r="BG217" s="71" t="inlineStr">
        <is>
          <t>n/m</t>
        </is>
      </c>
      <c r="BH217" s="83" t="n"/>
      <c r="BI217" s="83" t="n"/>
      <c r="BJ217" s="83" t="n">
        <v>2.3</v>
      </c>
      <c r="BK217" s="84">
        <f>IF('BBG Verify'!S217="","not filed; run on terminal",'BBG Verify'!S217)</f>
        <v/>
      </c>
      <c r="BL217" s="85" t="inlineStr">
        <is>
          <t>N</t>
        </is>
      </c>
      <c r="BM217" s="86">
        <f>IF('BBG Verify'!K217="","not filed; run on terminal",'BBG Verify'!K217)</f>
        <v/>
      </c>
      <c r="BN217" s="71" t="inlineStr">
        <is>
          <t>N/A</t>
        </is>
      </c>
      <c r="BO217" s="71" t="inlineStr">
        <is>
          <t>N/A</t>
        </is>
      </c>
      <c r="BP217" s="71" t="inlineStr">
        <is>
          <t>N/A</t>
        </is>
      </c>
      <c r="BQ217" s="71" t="inlineStr">
        <is>
          <t>N/A</t>
        </is>
      </c>
      <c r="BR217" s="71" t="inlineStr">
        <is>
          <t>N/A</t>
        </is>
      </c>
      <c r="BS217" s="71" t="inlineStr">
        <is>
          <t>N/A</t>
        </is>
      </c>
      <c r="BT217" s="85" t="inlineStr">
        <is>
          <t>China Securities (International) Corporate Finance Company Limited; Huatai Financial Holdings (Hong Kong) Limited</t>
        </is>
      </c>
      <c r="BU217" s="71" t="inlineStr">
        <is>
          <t>Huatai Financial Holdings (Hong Kong) Limited; China Securities (International) Corporate Finance Company Limited</t>
        </is>
      </c>
      <c r="BV217" s="71" t="inlineStr">
        <is>
          <t>Huatai Financial Holdings (Hong Kong) Limited; China Securities (International) Corporate Finance Company Limited</t>
        </is>
      </c>
      <c r="BW217" s="71"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X217" s="87">
        <f>HYPERLINK("https://www1.hkexnews.hk/listedco/listconews/sehk/2023/1024/2023102400007.pdf","prospectus")</f>
        <v/>
      </c>
      <c r="BY217" s="87">
        <f>HYPERLINK("https://www1.hkexnews.hk/listedco/listconews/sehk/2023/1102/2023110200032.htm","allotment")</f>
        <v/>
      </c>
      <c r="BZ217" s="71" t="n"/>
      <c r="CA217" s="85" t="n"/>
      <c r="CB217" s="71"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allocation: allocation table not in this notice's format (older prose announcement); day-1 tape: volume on file; the retail multiple needs the final public split, which this notice does not state</t>
        </is>
      </c>
    </row>
    <row r="218" ht="15" customHeight="1">
      <c r="A218" s="70" t="inlineStr">
        <is>
          <t>2473</t>
        </is>
      </c>
      <c r="B218" s="71" t="inlineStr">
        <is>
          <t>XXF</t>
        </is>
      </c>
      <c r="C218" s="71" t="inlineStr">
        <is>
          <t>喜相逢集團</t>
        </is>
      </c>
      <c r="D218" s="71" t="inlineStr">
        <is>
          <t>Consumer</t>
        </is>
      </c>
      <c r="E218" s="71" t="inlineStr">
        <is>
          <t>Retail / distribution</t>
        </is>
      </c>
      <c r="F218" s="71" t="inlineStr">
        <is>
          <t>Automotive Retail</t>
        </is>
      </c>
      <c r="G218" s="71" t="inlineStr">
        <is>
          <t>Standard</t>
        </is>
      </c>
      <c r="H218" s="72" t="n">
        <v>45239</v>
      </c>
      <c r="I218" s="73" t="n">
        <v>28.8</v>
      </c>
      <c r="J218" s="71" t="inlineStr">
        <is>
          <t>net proceeds</t>
        </is>
      </c>
      <c r="K218" s="74" t="n">
        <v>1.05</v>
      </c>
      <c r="L218" s="74" t="n">
        <v>1.36</v>
      </c>
      <c r="M218" s="74" t="n">
        <v>1.1</v>
      </c>
      <c r="N218" s="71" t="inlineStr">
        <is>
          <t>N</t>
        </is>
      </c>
      <c r="O218" s="75" t="n">
        <v>80.90000000000001</v>
      </c>
      <c r="P218" s="75" t="n">
        <v>16.1</v>
      </c>
      <c r="Q218" s="76" t="n">
        <v>670.7</v>
      </c>
      <c r="R218" s="71" t="inlineStr">
        <is>
          <t>aastocks:上市市值 at the struck price</t>
        </is>
      </c>
      <c r="S218" s="77" t="n">
        <v>14.71</v>
      </c>
      <c r="T218" s="78" t="n">
        <v>1.01</v>
      </c>
      <c r="U218" s="79" t="n">
        <v>0</v>
      </c>
      <c r="V218" s="80" t="n">
        <v>110</v>
      </c>
      <c r="W218" s="75" t="n"/>
      <c r="X218" s="71" t="n"/>
      <c r="Y218" s="76" t="n">
        <v>28.8</v>
      </c>
      <c r="Z218" s="76" t="n"/>
      <c r="AA218" s="75" t="n">
        <v>4.29</v>
      </c>
      <c r="AB218" s="71" t="n"/>
      <c r="AC218" s="71" t="n"/>
      <c r="AD218" s="75" t="n">
        <v>10</v>
      </c>
      <c r="AE218" s="71" t="n"/>
      <c r="AF218" s="71" t="n"/>
      <c r="AG218" s="71" t="n"/>
      <c r="AH218" s="71" t="n"/>
      <c r="AI218" s="81" t="n">
        <v>92.73</v>
      </c>
      <c r="AJ218" s="82" t="n">
        <v>49.09</v>
      </c>
      <c r="AK218" s="82" t="n">
        <v>98.18000000000001</v>
      </c>
      <c r="AL218" s="82" t="n">
        <v>-24.77</v>
      </c>
      <c r="AM218" s="83" t="n"/>
      <c r="AN218" s="75" t="n">
        <v>116.51</v>
      </c>
      <c r="AO218" s="82" t="n">
        <v>46.36</v>
      </c>
      <c r="AP218" s="82" t="n">
        <v>121.82</v>
      </c>
      <c r="AQ218" s="82" t="n">
        <v>166.36</v>
      </c>
      <c r="AR218" s="82" t="n">
        <v>-1.83</v>
      </c>
      <c r="AS218" s="82" t="n">
        <v>48.78</v>
      </c>
      <c r="AT218" s="82" t="n">
        <v>78.66</v>
      </c>
      <c r="AU218" s="82" t="n">
        <v>45.68</v>
      </c>
      <c r="AV218" s="82" t="n">
        <v>131.01</v>
      </c>
      <c r="AW218" s="82" t="n">
        <v>181.38</v>
      </c>
      <c r="AX218" s="82" t="n">
        <v>57.69</v>
      </c>
      <c r="AY218" s="82" t="n">
        <v>-9.19</v>
      </c>
      <c r="AZ218" s="82" t="n">
        <v>-8.91</v>
      </c>
      <c r="BA218" s="71" t="inlineStr">
        <is>
          <t>Hang Seng Commerce &amp; Industry sub-index</t>
        </is>
      </c>
      <c r="BB218" s="82" t="n">
        <v>10.45</v>
      </c>
      <c r="BC218" s="72" t="inlineStr">
        <is>
          <t>2026-09-23</t>
        </is>
      </c>
      <c r="BD218" s="73" t="n">
        <v>1255.7</v>
      </c>
      <c r="BE218" s="76" t="n">
        <v>84.8</v>
      </c>
      <c r="BF218" s="71" t="inlineStr">
        <is>
          <t>Y</t>
        </is>
      </c>
      <c r="BG218" s="83" t="n">
        <v>7.9</v>
      </c>
      <c r="BH218" s="83" t="n">
        <v>5.1</v>
      </c>
      <c r="BI218" s="83" t="n">
        <v>13.6</v>
      </c>
      <c r="BJ218" s="83" t="n">
        <v>0.5</v>
      </c>
      <c r="BK218" s="84">
        <f>IF('BBG Verify'!S218="","not filed; run on terminal",'BBG Verify'!S218)</f>
        <v/>
      </c>
      <c r="BL218" s="85" t="inlineStr">
        <is>
          <t>N</t>
        </is>
      </c>
      <c r="BM218" s="86">
        <f>IF('BBG Verify'!K218="","not filed; run on terminal",'BBG Verify'!K218)</f>
        <v/>
      </c>
      <c r="BN218" s="71" t="inlineStr">
        <is>
          <t>N/A</t>
        </is>
      </c>
      <c r="BO218" s="71" t="inlineStr">
        <is>
          <t>N/A</t>
        </is>
      </c>
      <c r="BP218" s="71" t="inlineStr">
        <is>
          <t>N/A</t>
        </is>
      </c>
      <c r="BQ218" s="71" t="inlineStr">
        <is>
          <t>N/A</t>
        </is>
      </c>
      <c r="BR218" s="71" t="inlineStr">
        <is>
          <t>N/A</t>
        </is>
      </c>
      <c r="BS218" s="71" t="inlineStr">
        <is>
          <t>N/A</t>
        </is>
      </c>
      <c r="BT218" s="85" t="inlineStr">
        <is>
          <t>Quam Capital Limited</t>
        </is>
      </c>
      <c r="BU218" s="71" t="inlineStr">
        <is>
          <t>Quam Capital Limited</t>
        </is>
      </c>
      <c r="BV218" s="71"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W218" s="71"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X218" s="87">
        <f>HYPERLINK("https://www1.hkexnews.hk/listedco/listconews/sehk/2023/1030/2023103000013.pdf","prospectus")</f>
        <v/>
      </c>
      <c r="BY218" s="87">
        <f>HYPERLINK("https://www1.hkexnews.hk/listedco/listconews/sehk/2023/1108/2023110800016.htm","allotment")</f>
        <v/>
      </c>
      <c r="BZ218" s="71" t="n"/>
      <c r="CA218" s="85" t="n"/>
      <c r="CB218" s="71"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eff float shares: share count unavailable; the HK$m figure is exact; allocation: allocation table not in this notice's format (older prose announcement); day-1 tape: volume on file; the retail multiple needs the final public split, which this notice does not state</t>
        </is>
      </c>
    </row>
    <row r="219" ht="15" customHeight="1">
      <c r="A219" s="70" t="inlineStr">
        <is>
          <t>1111</t>
        </is>
      </c>
      <c r="B219" s="71" t="inlineStr">
        <is>
          <t>HUASHI GROUP</t>
        </is>
      </c>
      <c r="C219" s="71" t="inlineStr">
        <is>
          <t>華視集團控股</t>
        </is>
      </c>
      <c r="D219" s="71" t="inlineStr">
        <is>
          <t>Industrials</t>
        </is>
      </c>
      <c r="E219" s="71" t="inlineStr">
        <is>
          <t>Construction / engineering</t>
        </is>
      </c>
      <c r="F219" s="71" t="inlineStr">
        <is>
          <t>Advertising</t>
        </is>
      </c>
      <c r="G219" s="71" t="inlineStr">
        <is>
          <t>Standard</t>
        </is>
      </c>
      <c r="H219" s="72" t="n">
        <v>45240</v>
      </c>
      <c r="I219" s="73" t="n">
        <v>130</v>
      </c>
      <c r="J219" s="71" t="inlineStr">
        <is>
          <t>gross (price x shares)</t>
        </is>
      </c>
      <c r="K219" s="74" t="n"/>
      <c r="L219" s="74" t="n">
        <v>1.04</v>
      </c>
      <c r="M219" s="74" t="n">
        <v>1.04</v>
      </c>
      <c r="N219" s="71" t="inlineStr">
        <is>
          <t>Y</t>
        </is>
      </c>
      <c r="O219" s="75" t="n">
        <v>100</v>
      </c>
      <c r="P219" s="75" t="n"/>
      <c r="Q219" s="76" t="n">
        <v>739.9</v>
      </c>
      <c r="R219" s="71" t="inlineStr">
        <is>
          <t>aastocks:上市市值 at the struck price</t>
        </is>
      </c>
      <c r="S219" s="77" t="n">
        <v>12.62</v>
      </c>
      <c r="T219" s="78" t="n">
        <v>1.09</v>
      </c>
      <c r="U219" s="79" t="n"/>
      <c r="V219" s="80" t="n">
        <v>155</v>
      </c>
      <c r="W219" s="75" t="n"/>
      <c r="X219" s="71" t="n"/>
      <c r="Y219" s="76" t="n">
        <v>130</v>
      </c>
      <c r="Z219" s="76" t="n">
        <v>125000000</v>
      </c>
      <c r="AA219" s="75" t="n">
        <v>17.57</v>
      </c>
      <c r="AB219" s="71" t="n"/>
      <c r="AC219" s="71" t="n"/>
      <c r="AD219" s="75" t="n"/>
      <c r="AE219" s="71" t="n"/>
      <c r="AF219" s="71" t="n"/>
      <c r="AG219" s="71" t="n"/>
      <c r="AH219" s="71" t="n"/>
      <c r="AI219" s="81" t="n">
        <v>54.81</v>
      </c>
      <c r="AJ219" s="82" t="n">
        <v>55.77</v>
      </c>
      <c r="AK219" s="82" t="n">
        <v>58.65</v>
      </c>
      <c r="AL219" s="82" t="n">
        <v>-1.82</v>
      </c>
      <c r="AM219" s="83" t="n"/>
      <c r="AN219" s="75" t="n">
        <v>23.64</v>
      </c>
      <c r="AO219" s="82" t="n">
        <v>84.62</v>
      </c>
      <c r="AP219" s="82" t="n">
        <v>100</v>
      </c>
      <c r="AQ219" s="82" t="n">
        <v>-60.1</v>
      </c>
      <c r="AR219" s="82" t="n">
        <v>18.52</v>
      </c>
      <c r="AS219" s="82" t="n">
        <v>28.39</v>
      </c>
      <c r="AT219" s="82" t="n">
        <v>-74.39</v>
      </c>
      <c r="AU219" s="82" t="n">
        <v>86.56</v>
      </c>
      <c r="AV219" s="82" t="n">
        <v>110.02</v>
      </c>
      <c r="AW219" s="82" t="n">
        <v>-46.49</v>
      </c>
      <c r="AX219" s="82" t="n">
        <v>36.4</v>
      </c>
      <c r="AY219" s="82" t="n">
        <v>-10.02</v>
      </c>
      <c r="AZ219" s="82" t="n">
        <v>-8.01</v>
      </c>
      <c r="BA219" s="71" t="inlineStr">
        <is>
          <t>Hang Seng Commerce &amp; Industry sub-index</t>
        </is>
      </c>
      <c r="BB219" s="82" t="n">
        <v>-75.95999999999999</v>
      </c>
      <c r="BC219" s="72" t="inlineStr">
        <is>
          <t>2026-09-23</t>
        </is>
      </c>
      <c r="BD219" s="73" t="n">
        <v>227.9</v>
      </c>
      <c r="BE219" s="76" t="n">
        <v>50.2</v>
      </c>
      <c r="BF219" s="71" t="inlineStr">
        <is>
          <t>Y</t>
        </is>
      </c>
      <c r="BG219" s="83" t="n">
        <v>14.7</v>
      </c>
      <c r="BH219" s="83" t="n"/>
      <c r="BI219" s="83" t="n">
        <v>2.3</v>
      </c>
      <c r="BJ219" s="83" t="n">
        <v>3.2</v>
      </c>
      <c r="BK219" s="84">
        <f>IF('BBG Verify'!S219="","not filed; run on terminal",'BBG Verify'!S219)</f>
        <v/>
      </c>
      <c r="BL219" s="85" t="inlineStr">
        <is>
          <t>N</t>
        </is>
      </c>
      <c r="BM219" s="86">
        <f>IF('BBG Verify'!K219="","not filed; run on terminal",'BBG Verify'!K219)</f>
        <v/>
      </c>
      <c r="BN219" s="71" t="inlineStr">
        <is>
          <t>N/A</t>
        </is>
      </c>
      <c r="BO219" s="71" t="inlineStr">
        <is>
          <t>N/A</t>
        </is>
      </c>
      <c r="BP219" s="71" t="inlineStr">
        <is>
          <t>N/A</t>
        </is>
      </c>
      <c r="BQ219" s="71" t="inlineStr">
        <is>
          <t>N/A</t>
        </is>
      </c>
      <c r="BR219" s="71" t="inlineStr">
        <is>
          <t>N/A</t>
        </is>
      </c>
      <c r="BS219" s="71" t="inlineStr">
        <is>
          <t>N/A</t>
        </is>
      </c>
      <c r="BT219" s="85" t="n"/>
      <c r="BU219" s="71" t="inlineStr">
        <is>
          <t>Rainbow Capital (HK) Limited</t>
        </is>
      </c>
      <c r="BV219" s="71" t="inlineStr">
        <is>
          <t>ABCI Capital Limited; ABCI Securities Company Limited; CCB International Capital Limited; CEB International Capital Corporation Limited; Cinda International Capital Limited; CMB International Capital Limited</t>
        </is>
      </c>
      <c r="BW219" s="71"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X219" s="71" t="n"/>
      <c r="BY219" s="87">
        <f>HYPERLINK("https://www1.hkexnews.hk/listedco/listconews/sehk/2023/1109/2023110900026.htm","allotment")</f>
        <v/>
      </c>
      <c r="BZ219" s="71" t="n"/>
      <c r="CA219" s="85" t="n"/>
      <c r="CB21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220" ht="15" customHeight="1">
      <c r="A220" s="70" t="inlineStr">
        <is>
          <t>2499</t>
        </is>
      </c>
      <c r="B220" s="71" t="inlineStr">
        <is>
          <t>FOLANGSI</t>
        </is>
      </c>
      <c r="C220" s="71" t="inlineStr">
        <is>
          <t>佛朗斯股份</t>
        </is>
      </c>
      <c r="D220" s="71" t="inlineStr">
        <is>
          <t>Industrials</t>
        </is>
      </c>
      <c r="E220" s="71" t="inlineStr">
        <is>
          <t>Capital goods / machinery</t>
        </is>
      </c>
      <c r="F220" s="71" t="inlineStr">
        <is>
          <t>Electrical Components &amp; Equipment</t>
        </is>
      </c>
      <c r="G220" s="71" t="inlineStr">
        <is>
          <t>Standard</t>
        </is>
      </c>
      <c r="H220" s="72" t="n">
        <v>45240</v>
      </c>
      <c r="I220" s="73" t="n">
        <v>173.3</v>
      </c>
      <c r="J220" s="71" t="inlineStr">
        <is>
          <t>gross (price x shares)</t>
        </is>
      </c>
      <c r="K220" s="74" t="n">
        <v>14.18</v>
      </c>
      <c r="L220" s="74" t="n">
        <v>16.18</v>
      </c>
      <c r="M220" s="74" t="n">
        <v>14.28</v>
      </c>
      <c r="N220" s="71" t="inlineStr">
        <is>
          <t>N</t>
        </is>
      </c>
      <c r="O220" s="75" t="n">
        <v>88.3</v>
      </c>
      <c r="P220" s="75" t="n">
        <v>5</v>
      </c>
      <c r="Q220" s="76" t="n">
        <v>4935</v>
      </c>
      <c r="R220" s="71" t="inlineStr">
        <is>
          <t>prospectus:stated market capitalisation</t>
        </is>
      </c>
      <c r="S220" s="77" t="n">
        <v>7.8</v>
      </c>
      <c r="T220" s="78" t="n">
        <v>1.37</v>
      </c>
      <c r="U220" s="79" t="n">
        <v>0.1</v>
      </c>
      <c r="V220" s="80" t="n">
        <v>116</v>
      </c>
      <c r="W220" s="75" t="n"/>
      <c r="X220" s="71" t="n"/>
      <c r="Y220" s="76" t="n">
        <v>173.13</v>
      </c>
      <c r="Z220" s="76" t="n">
        <v>12123864</v>
      </c>
      <c r="AA220" s="75" t="n">
        <v>3.51</v>
      </c>
      <c r="AB220" s="71" t="inlineStr">
        <is>
          <t>Liugong Machinery Hongkong Co., Limited</t>
        </is>
      </c>
      <c r="AC220" s="71" t="inlineStr">
        <is>
          <t>liugong</t>
        </is>
      </c>
      <c r="AD220" s="75" t="n">
        <v>15</v>
      </c>
      <c r="AE220" s="71" t="inlineStr">
        <is>
          <t>lapsed (no over-allocation)</t>
        </is>
      </c>
      <c r="AF220" s="71" t="n"/>
      <c r="AG220" s="71" t="inlineStr">
        <is>
          <t>Haitong International Securities Company Limited</t>
        </is>
      </c>
      <c r="AH220" s="71" t="inlineStr">
        <is>
          <t>Haitong</t>
        </is>
      </c>
      <c r="AI220" s="81" t="n">
        <v>8.539999999999999</v>
      </c>
      <c r="AJ220" s="82" t="n">
        <v>3.36</v>
      </c>
      <c r="AK220" s="82" t="n">
        <v>8.4</v>
      </c>
      <c r="AL220" s="82" t="n">
        <v>-4.65</v>
      </c>
      <c r="AM220" s="83" t="n"/>
      <c r="AN220" s="75" t="n">
        <v>7.62</v>
      </c>
      <c r="AO220" s="82" t="n">
        <v>3.78</v>
      </c>
      <c r="AP220" s="82" t="n">
        <v>2.66</v>
      </c>
      <c r="AQ220" s="82" t="n">
        <v>0.14</v>
      </c>
      <c r="AR220" s="82" t="n">
        <v>0.41</v>
      </c>
      <c r="AS220" s="82" t="n">
        <v>-0.68</v>
      </c>
      <c r="AT220" s="82" t="n">
        <v>-3.12</v>
      </c>
      <c r="AU220" s="82" t="n">
        <v>5.72</v>
      </c>
      <c r="AV220" s="82" t="n">
        <v>12.68</v>
      </c>
      <c r="AW220" s="82" t="n">
        <v>13.75</v>
      </c>
      <c r="AX220" s="82" t="n">
        <v>7.33</v>
      </c>
      <c r="AY220" s="82" t="n">
        <v>-10.02</v>
      </c>
      <c r="AZ220" s="82" t="n">
        <v>-8.01</v>
      </c>
      <c r="BA220" s="71" t="inlineStr">
        <is>
          <t>Hang Seng Commerce &amp; Industry sub-index</t>
        </is>
      </c>
      <c r="BB220" s="82" t="n">
        <v>-60.89</v>
      </c>
      <c r="BC220" s="72" t="inlineStr">
        <is>
          <t>2026-09-23</t>
        </is>
      </c>
      <c r="BD220" s="73" t="n">
        <v>1313.6</v>
      </c>
      <c r="BE220" s="76" t="n">
        <v>39</v>
      </c>
      <c r="BF220" s="71" t="inlineStr">
        <is>
          <t>Y</t>
        </is>
      </c>
      <c r="BG220" s="83" t="n">
        <v>126.5</v>
      </c>
      <c r="BH220" s="83" t="n"/>
      <c r="BI220" s="83" t="n">
        <v>21.8</v>
      </c>
      <c r="BJ220" s="83" t="n">
        <v>3.8</v>
      </c>
      <c r="BK220" s="84">
        <f>IF('BBG Verify'!S220="","not filed; run on terminal",'BBG Verify'!S220)</f>
        <v/>
      </c>
      <c r="BL220" s="85" t="inlineStr">
        <is>
          <t>N</t>
        </is>
      </c>
      <c r="BM220" s="86">
        <f>IF('BBG Verify'!K220="","not filed; run on terminal",'BBG Verify'!K220)</f>
        <v/>
      </c>
      <c r="BN220" s="71" t="inlineStr">
        <is>
          <t>N/A</t>
        </is>
      </c>
      <c r="BO220" s="71" t="inlineStr">
        <is>
          <t>N/A</t>
        </is>
      </c>
      <c r="BP220" s="71" t="inlineStr">
        <is>
          <t>N/A</t>
        </is>
      </c>
      <c r="BQ220" s="71" t="inlineStr">
        <is>
          <t>N/A</t>
        </is>
      </c>
      <c r="BR220" s="71" t="inlineStr">
        <is>
          <t>N/A</t>
        </is>
      </c>
      <c r="BS220" s="71" t="inlineStr">
        <is>
          <t>N/A</t>
        </is>
      </c>
      <c r="BT220" s="85" t="inlineStr">
        <is>
          <t>Haitong International Capital Limited; Haitong International Securities Company Limited</t>
        </is>
      </c>
      <c r="BU220" s="71" t="inlineStr">
        <is>
          <t>Haitong International Capital Limited</t>
        </is>
      </c>
      <c r="BV220" s="71" t="inlineStr">
        <is>
          <t>Haitong International Securities Company Limited; GF Securities (Hong Kong) Brokerage Limited; Huatai Financial Holdings (Hong Kong) Limited</t>
        </is>
      </c>
      <c r="BW220" s="71" t="inlineStr">
        <is>
          <t>GF Securities (Hong Kong) Brokerage Limited; Huatai Financial Holdings (Hong Kong) Limited; Haitong International Securities Company Limited</t>
        </is>
      </c>
      <c r="BX220" s="87">
        <f>HYPERLINK("https://www1.hkexnews.hk/listedco/listconews/sehk/2023/1031/2023103100017.pdf","prospectus")</f>
        <v/>
      </c>
      <c r="BY220" s="87">
        <f>HYPERLINK("https://www1.hkexnews.hk/listedco/listconews/sehk/2023/1109/2023110900052.htm","allotment")</f>
        <v/>
      </c>
      <c r="BZ220" s="87">
        <f>HYPERLINK("https://www1.hkexnews.hk/listedco/listconews/sehk/2023/1204/2023120400033.pdf","stabilisation")</f>
        <v/>
      </c>
      <c r="CA220" s="85" t="n"/>
      <c r="CB220" s="71" t="inlineStr">
        <is>
          <t>greenshoe: outcome published; expiry date not in the notice; cornerstone: table parse 70% rejected (institutional total implies 0%); the AAStocks institutional total used; allocation: allocation table not in this notice's format (older prose announcement); day-1 tape: volume on file; the retail multiple needs the final public split, which this notice does not state</t>
        </is>
      </c>
    </row>
    <row r="221" ht="15" customHeight="1">
      <c r="A221" s="70" t="inlineStr">
        <is>
          <t>2268</t>
        </is>
      </c>
      <c r="B221" s="71" t="inlineStr">
        <is>
          <t>WUXI XDC</t>
        </is>
      </c>
      <c r="C221" s="71" t="inlineStr">
        <is>
          <t>藥明合聯</t>
        </is>
      </c>
      <c r="D221" s="71" t="inlineStr">
        <is>
          <t>Healthcare</t>
        </is>
      </c>
      <c r="E221" s="71" t="inlineStr">
        <is>
          <t>CXO / pharma services</t>
        </is>
      </c>
      <c r="F221" s="71" t="inlineStr">
        <is>
          <t>Biotechnology - Pharmaceuticals</t>
        </is>
      </c>
      <c r="G221" s="71" t="inlineStr">
        <is>
          <t>Standard</t>
        </is>
      </c>
      <c r="H221" s="72" t="n">
        <v>45247</v>
      </c>
      <c r="I221" s="73" t="n">
        <v>3676</v>
      </c>
      <c r="J221" s="71" t="inlineStr">
        <is>
          <t>gross (price x shares)</t>
        </is>
      </c>
      <c r="K221" s="74" t="n"/>
      <c r="L221" s="74" t="n">
        <v>20.6</v>
      </c>
      <c r="M221" s="74" t="n">
        <v>20.6</v>
      </c>
      <c r="N221" s="71" t="inlineStr">
        <is>
          <t>Y</t>
        </is>
      </c>
      <c r="O221" s="75" t="n">
        <v>100</v>
      </c>
      <c r="P221" s="75" t="n"/>
      <c r="Q221" s="76" t="n">
        <v>24251.5</v>
      </c>
      <c r="R221" s="71" t="inlineStr">
        <is>
          <t>aastocks:上市市值 at the struck price</t>
        </is>
      </c>
      <c r="S221" s="77" t="n">
        <v>49.96</v>
      </c>
      <c r="T221" s="78" t="n">
        <v>19.6</v>
      </c>
      <c r="U221" s="79" t="n">
        <v>0.014</v>
      </c>
      <c r="V221" s="80" t="n">
        <v>170</v>
      </c>
      <c r="W221" s="75" t="n">
        <v>30</v>
      </c>
      <c r="X221" s="71" t="inlineStr">
        <is>
          <t>YES</t>
        </is>
      </c>
      <c r="Y221" s="76" t="n">
        <v>3675.49</v>
      </c>
      <c r="Z221" s="76" t="n">
        <v>178421018</v>
      </c>
      <c r="AA221" s="75" t="n">
        <v>15.16</v>
      </c>
      <c r="AB221" s="71" t="inlineStr">
        <is>
          <t>Al-Rayyan Holding LLC; General Atlantic Singapore SPV 64 Pte. Ltd; HSG Growth VII Holdco, Ltd; Invesco Advisers, Inc; Lake Bleu Prime Healthcare Master Fund Limited; Novo Holdings A / S; UBS Asset Management (Singapore) Ltd</t>
        </is>
      </c>
      <c r="AC221" s="71" t="inlineStr">
        <is>
          <t>al;general;hsg;invesco;lake;novo;ubs</t>
        </is>
      </c>
      <c r="AD221" s="75" t="n"/>
      <c r="AE221" s="71" t="n"/>
      <c r="AF221" s="71" t="inlineStr">
        <is>
          <t>2023-12-10</t>
        </is>
      </c>
      <c r="AG221" s="71" t="inlineStr">
        <is>
          <t>Morgan Stanley Asia Limited</t>
        </is>
      </c>
      <c r="AH221" s="71" t="inlineStr">
        <is>
          <t>Morgan Stanley</t>
        </is>
      </c>
      <c r="AI221" s="81" t="n">
        <v>22.09</v>
      </c>
      <c r="AJ221" s="82" t="n">
        <v>35.92</v>
      </c>
      <c r="AK221" s="82" t="n">
        <v>30.83</v>
      </c>
      <c r="AL221" s="82" t="n">
        <v>3.89</v>
      </c>
      <c r="AM221" s="83" t="n">
        <v>1.19</v>
      </c>
      <c r="AN221" s="75" t="n">
        <v>9.09</v>
      </c>
      <c r="AO221" s="82" t="n">
        <v>40.78</v>
      </c>
      <c r="AP221" s="82" t="n">
        <v>51.21</v>
      </c>
      <c r="AQ221" s="82" t="n">
        <v>-10</v>
      </c>
      <c r="AR221" s="82" t="n">
        <v>3.58</v>
      </c>
      <c r="AS221" s="82" t="n">
        <v>11.25</v>
      </c>
      <c r="AT221" s="82" t="n">
        <v>-33.78</v>
      </c>
      <c r="AU221" s="82" t="n">
        <v>40.26</v>
      </c>
      <c r="AV221" s="82" t="n">
        <v>58.49</v>
      </c>
      <c r="AW221" s="82" t="n">
        <v>11.86</v>
      </c>
      <c r="AX221" s="82" t="n">
        <v>19.23</v>
      </c>
      <c r="AY221" s="82" t="n">
        <v>-7.28</v>
      </c>
      <c r="AZ221" s="82" t="n">
        <v>-7.98</v>
      </c>
      <c r="BA221" s="71" t="inlineStr">
        <is>
          <t>China Biotech ETF (HS biotech proxy)</t>
        </is>
      </c>
      <c r="BB221" s="82" t="n">
        <v>290.05</v>
      </c>
      <c r="BC221" s="72" t="inlineStr">
        <is>
          <t>2026-09-23</t>
        </is>
      </c>
      <c r="BD221" s="73" t="n">
        <v>1089.5</v>
      </c>
      <c r="BE221" s="76" t="n">
        <v>171.3</v>
      </c>
      <c r="BF221" s="71" t="inlineStr">
        <is>
          <t>Y</t>
        </is>
      </c>
      <c r="BG221" s="83" t="n">
        <v>141.6</v>
      </c>
      <c r="BH221" s="83" t="n"/>
      <c r="BI221" s="83" t="n">
        <v>45.8</v>
      </c>
      <c r="BJ221" s="83" t="n">
        <v>22.3</v>
      </c>
      <c r="BK221" s="84">
        <f>IF('BBG Verify'!S221="","not filed; run on terminal",'BBG Verify'!S221)</f>
        <v/>
      </c>
      <c r="BL221" s="85" t="inlineStr">
        <is>
          <t>N</t>
        </is>
      </c>
      <c r="BM221" s="86">
        <f>IF('BBG Verify'!K221="","not filed; run on terminal",'BBG Verify'!K221)</f>
        <v/>
      </c>
      <c r="BN221" s="71" t="inlineStr">
        <is>
          <t>N/A</t>
        </is>
      </c>
      <c r="BO221" s="71" t="inlineStr">
        <is>
          <t>N/A</t>
        </is>
      </c>
      <c r="BP221" s="71" t="inlineStr">
        <is>
          <t>N/A</t>
        </is>
      </c>
      <c r="BQ221" s="71" t="inlineStr">
        <is>
          <t>N/A</t>
        </is>
      </c>
      <c r="BR221" s="71" t="inlineStr">
        <is>
          <t>N/A</t>
        </is>
      </c>
      <c r="BS221" s="71" t="inlineStr">
        <is>
          <t>N/A</t>
        </is>
      </c>
      <c r="BT221" s="85" t="inlineStr">
        <is>
          <t>Morgan Stanley; Goldman Sachs; J.P. Morgan</t>
        </is>
      </c>
      <c r="BU221" s="71" t="inlineStr">
        <is>
          <t>Morgan Stanley Asia Limited; J.P. Morgan Securities (Far East) Limited; Goldman Sachs (Asia) L.L.C.</t>
        </is>
      </c>
      <c r="BV221" s="71" t="inlineStr">
        <is>
          <t>Citigroup Global Markets Asia Limited; China International Capital Corporation Hong Kong Securities Limited; Goldman Sachs (Asia) L.L.C.; Huatai Financial Holdings (Hong Kong) Limited; J.P. Morgan Securities (Asia Pacific) Limited; Morgan Stanley Asia Limited</t>
        </is>
      </c>
      <c r="BW221" s="71" t="inlineStr">
        <is>
          <t>Citigroup Global Markets Asia Limited; China International Capital Corporation Hong Kong Securities Limited; Goldman Sachs (Asia) L.L.C.; Huatai Financial Holdings (Hong Kong) Limited; J.P. Morgan Securities (Asia Pacific) Limited; Morgan Stanley Asia Limited</t>
        </is>
      </c>
      <c r="BX221" s="71" t="n"/>
      <c r="BY221" s="87">
        <f>HYPERLINK("https://www1.hkexnews.hk/listedco/listconews/sehk/2023/1116/2023111600008.htm","allotment")</f>
        <v/>
      </c>
      <c r="BZ221" s="71" t="n"/>
      <c r="CA221" s="85" t="n"/>
      <c r="CB221" s="71"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t>
        </is>
      </c>
    </row>
    <row r="222" ht="15" customHeight="1">
      <c r="A222" s="70" t="inlineStr">
        <is>
          <t>2520</t>
        </is>
      </c>
      <c r="B222" s="71" t="inlineStr">
        <is>
          <t>SHANXI INSTALL</t>
        </is>
      </c>
      <c r="C222" s="71" t="inlineStr">
        <is>
          <t>山西安裝</t>
        </is>
      </c>
      <c r="D222" s="71" t="inlineStr">
        <is>
          <t>Industrials</t>
        </is>
      </c>
      <c r="E222" s="71" t="inlineStr">
        <is>
          <t>Construction / engineering</t>
        </is>
      </c>
      <c r="F222" s="71" t="inlineStr">
        <is>
          <t>Construction &amp; Engineering</t>
        </is>
      </c>
      <c r="G222" s="71" t="inlineStr">
        <is>
          <t>Standard</t>
        </is>
      </c>
      <c r="H222" s="72" t="n">
        <v>45252</v>
      </c>
      <c r="I222" s="73" t="n">
        <v>726.7</v>
      </c>
      <c r="J222" s="71" t="inlineStr">
        <is>
          <t>gross (price x shares)</t>
        </is>
      </c>
      <c r="K222" s="74" t="n">
        <v>2.1</v>
      </c>
      <c r="L222" s="74" t="n">
        <v>2.36</v>
      </c>
      <c r="M222" s="74" t="n">
        <v>2.18</v>
      </c>
      <c r="N222" s="71" t="inlineStr">
        <is>
          <t>N</t>
        </is>
      </c>
      <c r="O222" s="75" t="n">
        <v>92.40000000000001</v>
      </c>
      <c r="P222" s="75" t="n">
        <v>30.8</v>
      </c>
      <c r="Q222" s="76" t="n">
        <v>3214.2</v>
      </c>
      <c r="R222" s="71" t="inlineStr">
        <is>
          <t>aastocks:上市市值 at the struck price</t>
        </is>
      </c>
      <c r="S222" s="77" t="n">
        <v>0.6</v>
      </c>
      <c r="T222" s="78" t="n">
        <v>1.33</v>
      </c>
      <c r="U222" s="79" t="n">
        <v>23</v>
      </c>
      <c r="V222" s="80" t="n">
        <v>114</v>
      </c>
      <c r="W222" s="75" t="n">
        <v>6.01</v>
      </c>
      <c r="X222" s="71" t="inlineStr">
        <is>
          <t>NO</t>
        </is>
      </c>
      <c r="Y222" s="76" t="n">
        <v>559.5599999999999</v>
      </c>
      <c r="Z222" s="76" t="n">
        <v>256667180</v>
      </c>
      <c r="AA222" s="75" t="n">
        <v>17.41</v>
      </c>
      <c r="AB222" s="71" t="inlineStr">
        <is>
          <t>Mingyang Smart Energy Group Co., Ltd</t>
        </is>
      </c>
      <c r="AC222" s="71" t="inlineStr">
        <is>
          <t>mingyang</t>
        </is>
      </c>
      <c r="AD222" s="75" t="n">
        <v>19.5</v>
      </c>
      <c r="AE222" s="71" t="inlineStr">
        <is>
          <t>partial</t>
        </is>
      </c>
      <c r="AF222" s="71" t="inlineStr">
        <is>
          <t>2023-12-15</t>
        </is>
      </c>
      <c r="AG222" s="71" t="inlineStr">
        <is>
          <t>Shanxi Securities International Limited</t>
        </is>
      </c>
      <c r="AH222" s="71" t="inlineStr">
        <is>
          <t>Shanxi</t>
        </is>
      </c>
      <c r="AI222" s="81" t="n">
        <v>-1.83</v>
      </c>
      <c r="AJ222" s="82" t="n">
        <v>0</v>
      </c>
      <c r="AK222" s="82" t="n">
        <v>0</v>
      </c>
      <c r="AL222" s="82" t="n">
        <v>0</v>
      </c>
      <c r="AM222" s="83" t="n">
        <v>0.63</v>
      </c>
      <c r="AN222" s="75" t="n">
        <v>3.21</v>
      </c>
      <c r="AO222" s="82" t="n">
        <v>-5.5</v>
      </c>
      <c r="AP222" s="82" t="n">
        <v>-17.43</v>
      </c>
      <c r="AQ222" s="82" t="n">
        <v>-11.47</v>
      </c>
      <c r="AR222" s="82" t="n">
        <v>-5.5</v>
      </c>
      <c r="AS222" s="82" t="n">
        <v>-17.43</v>
      </c>
      <c r="AT222" s="82" t="n">
        <v>-11.47</v>
      </c>
      <c r="AU222" s="82" t="n">
        <v>-0.71</v>
      </c>
      <c r="AV222" s="82" t="n">
        <v>-9.460000000000001</v>
      </c>
      <c r="AW222" s="82" t="n">
        <v>-2.85</v>
      </c>
      <c r="AX222" s="82" t="n">
        <v>-9.550000000000001</v>
      </c>
      <c r="AY222" s="82" t="n">
        <v>-7.97</v>
      </c>
      <c r="AZ222" s="82" t="n">
        <v>-7.88</v>
      </c>
      <c r="BA222" s="71" t="inlineStr">
        <is>
          <t>Hang Seng Commerce &amp; Industry sub-index</t>
        </is>
      </c>
      <c r="BB222" s="82" t="n">
        <v>11.47</v>
      </c>
      <c r="BC222" s="72" t="inlineStr">
        <is>
          <t>2026-09-18</t>
        </is>
      </c>
      <c r="BD222" s="73" t="n">
        <v>14129.3</v>
      </c>
      <c r="BE222" s="76" t="n">
        <v>220.5</v>
      </c>
      <c r="BF222" s="71" t="inlineStr">
        <is>
          <t>Y</t>
        </is>
      </c>
      <c r="BG222" s="83" t="n">
        <v>14.6</v>
      </c>
      <c r="BH222" s="83" t="n"/>
      <c r="BI222" s="83" t="n">
        <v>19</v>
      </c>
      <c r="BJ222" s="83" t="n">
        <v>0.2</v>
      </c>
      <c r="BK222" s="84">
        <f>IF('BBG Verify'!S222="","not filed; run on terminal",'BBG Verify'!S222)</f>
        <v/>
      </c>
      <c r="BL222" s="85" t="inlineStr">
        <is>
          <t>N</t>
        </is>
      </c>
      <c r="BM222" s="86">
        <f>IF('BBG Verify'!K222="","not filed; run on terminal",'BBG Verify'!K222)</f>
        <v/>
      </c>
      <c r="BN222" s="71" t="inlineStr">
        <is>
          <t>N/A</t>
        </is>
      </c>
      <c r="BO222" s="71" t="inlineStr">
        <is>
          <t>N/A</t>
        </is>
      </c>
      <c r="BP222" s="71" t="inlineStr">
        <is>
          <t>N/A</t>
        </is>
      </c>
      <c r="BQ222" s="71" t="inlineStr">
        <is>
          <t>N/A</t>
        </is>
      </c>
      <c r="BR222" s="71" t="inlineStr">
        <is>
          <t>N/A</t>
        </is>
      </c>
      <c r="BS222" s="71" t="inlineStr">
        <is>
          <t>N/A</t>
        </is>
      </c>
      <c r="BT222" s="85" t="inlineStr">
        <is>
          <t>Huatai Financial Holdings (Hong Kong) Limited; Shanxi Securities International Capital Limited</t>
        </is>
      </c>
      <c r="BU222" s="71" t="inlineStr">
        <is>
          <t>Huatai Financial Holdings (Hong Kong) Limited; Shanxi Securities International Capital Limited</t>
        </is>
      </c>
      <c r="BV222" s="71" t="inlineStr">
        <is>
          <t>BOCOM International Securities Limited; China Everbright Securities (HK) Limited; CMB International Capital Limited; ICBC International Capital Limited; Zhongtai International Securities Limited</t>
        </is>
      </c>
      <c r="BW222" s="71"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X222" s="87">
        <f>HYPERLINK("https://www1.hkexnews.hk/listedco/listconews/sehk/2023/1110/2023111000017.pdf","prospectus")</f>
        <v/>
      </c>
      <c r="BY222" s="87">
        <f>HYPERLINK("https://www1.hkexnews.hk/listedco/listconews/sehk/2023/1121/2023112100014.htm","allotment")</f>
        <v/>
      </c>
      <c r="BZ222" s="87">
        <f>HYPERLINK("https://www1.hkexnews.hk/listedco/listconews/sehk/2023/1215/2023121501152.pdf","stabilisation")</f>
        <v/>
      </c>
      <c r="CA222" s="85" t="n"/>
      <c r="CB222" s="71" t="inlineStr">
        <is>
          <t>market cap: published listing cap used; the estimate from stated market capitalisation, rescaled to the offer price disagreed</t>
        </is>
      </c>
    </row>
    <row r="223" ht="15" customHeight="1">
      <c r="A223" s="70" t="inlineStr">
        <is>
          <t>2521</t>
        </is>
      </c>
      <c r="B223" s="71" t="inlineStr">
        <is>
          <t>SHENGHUI CLEAN</t>
        </is>
      </c>
      <c r="C223" s="71" t="inlineStr">
        <is>
          <t>升輝清潔</t>
        </is>
      </c>
      <c r="D223" s="71" t="inlineStr">
        <is>
          <t>Real Estate</t>
        </is>
      </c>
      <c r="E223" s="71" t="inlineStr">
        <is>
          <t>Property management</t>
        </is>
      </c>
      <c r="F223" s="71" t="inlineStr">
        <is>
          <t>Environmental &amp; Facilities Services</t>
        </is>
      </c>
      <c r="G223" s="71" t="inlineStr">
        <is>
          <t>Standard</t>
        </is>
      </c>
      <c r="H223" s="72" t="n">
        <v>45265</v>
      </c>
      <c r="I223" s="73" t="n">
        <v>119.6</v>
      </c>
      <c r="J223" s="71" t="inlineStr">
        <is>
          <t>gross (stated)</t>
        </is>
      </c>
      <c r="K223" s="74" t="n">
        <v>0.32</v>
      </c>
      <c r="L223" s="74" t="n">
        <v>0.4</v>
      </c>
      <c r="M223" s="74" t="n">
        <v>0.32</v>
      </c>
      <c r="N223" s="71" t="inlineStr">
        <is>
          <t>N</t>
        </is>
      </c>
      <c r="O223" s="75" t="n">
        <v>80</v>
      </c>
      <c r="P223" s="75" t="n">
        <v>0</v>
      </c>
      <c r="Q223" s="76" t="n">
        <v>520</v>
      </c>
      <c r="R223" s="71" t="inlineStr">
        <is>
          <t>derived:price x shares upon listing</t>
        </is>
      </c>
      <c r="S223" s="77" t="n">
        <v>33.35</v>
      </c>
      <c r="T223" s="78" t="n">
        <v>1.33</v>
      </c>
      <c r="U223" s="79" t="n"/>
      <c r="V223" s="80" t="n">
        <v>152</v>
      </c>
      <c r="W223" s="75" t="n">
        <v>30</v>
      </c>
      <c r="X223" s="71" t="inlineStr">
        <is>
          <t>YES</t>
        </is>
      </c>
      <c r="Y223" s="76" t="n">
        <v>119.6</v>
      </c>
      <c r="Z223" s="76" t="n">
        <v>414375000</v>
      </c>
      <c r="AA223" s="75" t="n">
        <v>23</v>
      </c>
      <c r="AB223" s="71" t="n"/>
      <c r="AC223" s="71" t="n"/>
      <c r="AD223" s="75" t="n"/>
      <c r="AE223" s="71" t="n"/>
      <c r="AF223" s="71" t="n"/>
      <c r="AG223" s="71" t="n"/>
      <c r="AH223" s="71" t="n"/>
      <c r="AI223" s="81" t="n"/>
      <c r="AJ223" s="82" t="n">
        <v>3.12</v>
      </c>
      <c r="AK223" s="82" t="n">
        <v>-6.25</v>
      </c>
      <c r="AL223" s="82" t="n">
        <v>9.99</v>
      </c>
      <c r="AM223" s="83" t="n">
        <v>1.6</v>
      </c>
      <c r="AN223" s="75" t="n">
        <v>25</v>
      </c>
      <c r="AO223" s="82" t="n">
        <v>15.63</v>
      </c>
      <c r="AP223" s="82" t="n">
        <v>10.94</v>
      </c>
      <c r="AQ223" s="82" t="n">
        <v>-18.75</v>
      </c>
      <c r="AR223" s="82" t="n">
        <v>12.13</v>
      </c>
      <c r="AS223" s="82" t="n">
        <v>7.58</v>
      </c>
      <c r="AT223" s="82" t="n">
        <v>-21.21</v>
      </c>
      <c r="AU223" s="82" t="n">
        <v>16.31</v>
      </c>
      <c r="AV223" s="82" t="n">
        <v>11.51</v>
      </c>
      <c r="AW223" s="82" t="n">
        <v>-9.6</v>
      </c>
      <c r="AX223" s="82" t="n">
        <v>6.19</v>
      </c>
      <c r="AY223" s="82" t="n">
        <v>-0.57</v>
      </c>
      <c r="AZ223" s="82" t="n">
        <v>1.39</v>
      </c>
      <c r="BA223" s="71" t="inlineStr">
        <is>
          <t>Hang Seng Properties sub-index</t>
        </is>
      </c>
      <c r="BB223" s="82" t="n">
        <v>178.12</v>
      </c>
      <c r="BC223" s="72" t="inlineStr">
        <is>
          <t>2026-09-23</t>
        </is>
      </c>
      <c r="BD223" s="73" t="n">
        <v>653.6</v>
      </c>
      <c r="BE223" s="76" t="n">
        <v>37.8</v>
      </c>
      <c r="BF223" s="71" t="inlineStr">
        <is>
          <t>Y</t>
        </is>
      </c>
      <c r="BG223" s="83" t="n">
        <v>13.8</v>
      </c>
      <c r="BH223" s="83" t="n"/>
      <c r="BI223" s="83" t="n">
        <v>61.3</v>
      </c>
      <c r="BJ223" s="83" t="n">
        <v>0.8</v>
      </c>
      <c r="BK223" s="84">
        <f>IF('BBG Verify'!S223="","not filed; run on terminal",'BBG Verify'!S223)</f>
        <v/>
      </c>
      <c r="BL223" s="85" t="inlineStr">
        <is>
          <t>N</t>
        </is>
      </c>
      <c r="BM223" s="86">
        <f>IF('BBG Verify'!K223="","not filed; run on terminal",'BBG Verify'!K223)</f>
        <v/>
      </c>
      <c r="BN223" s="71" t="inlineStr">
        <is>
          <t>N/A</t>
        </is>
      </c>
      <c r="BO223" s="71" t="inlineStr">
        <is>
          <t>N/A</t>
        </is>
      </c>
      <c r="BP223" s="71" t="inlineStr">
        <is>
          <t>N/A</t>
        </is>
      </c>
      <c r="BQ223" s="71" t="inlineStr">
        <is>
          <t>N/A</t>
        </is>
      </c>
      <c r="BR223" s="71" t="inlineStr">
        <is>
          <t>N/A</t>
        </is>
      </c>
      <c r="BS223" s="71" t="inlineStr">
        <is>
          <t>N/A</t>
        </is>
      </c>
      <c r="BT223" s="85" t="n"/>
      <c r="BU223" s="71" t="inlineStr">
        <is>
          <t>Cinda International Capital Limited</t>
        </is>
      </c>
      <c r="BV223" s="71" t="inlineStr">
        <is>
          <t>Cinda International Capital Limited; ICBC International Securities Limited; CCB International Capital Limited; Yuen Meta (International) Securities Limited</t>
        </is>
      </c>
      <c r="BW223" s="71"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X223" s="87">
        <f>HYPERLINK("https://www1.hkexnews.hk/listedco/listconews/sehk/2023/1127/2023112700086.pdf","prospectus")</f>
        <v/>
      </c>
      <c r="BY223" s="87">
        <f>HYPERLINK("https://www1.hkexnews.hk/listedco/listconews/sehk/2023/1204/2023120402525.pdf","allotment")</f>
        <v/>
      </c>
      <c r="BZ223" s="71" t="n"/>
      <c r="CA223" s="85" t="n"/>
      <c r="CB22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close found: etnet's news wire (every story that evening and the next morning), etnet's grey table (from Oct-2024) and AAStocks all checked</t>
        </is>
      </c>
    </row>
    <row r="224" ht="15" customHeight="1">
      <c r="A224" s="70" t="inlineStr">
        <is>
          <t>9663</t>
        </is>
      </c>
      <c r="B224" s="71" t="inlineStr">
        <is>
          <t>SINOSYNERGY</t>
        </is>
      </c>
      <c r="C224" s="71" t="inlineStr">
        <is>
          <t>國鴻氫能</t>
        </is>
      </c>
      <c r="D224" s="71" t="inlineStr">
        <is>
          <t>Industrials</t>
        </is>
      </c>
      <c r="E224" s="71" t="inlineStr">
        <is>
          <t>Batteries / energy storage</t>
        </is>
      </c>
      <c r="F224" s="71" t="inlineStr">
        <is>
          <t>Battery Products</t>
        </is>
      </c>
      <c r="G224" s="71" t="inlineStr">
        <is>
          <t>Standard</t>
        </is>
      </c>
      <c r="H224" s="72" t="n">
        <v>45265</v>
      </c>
      <c r="I224" s="73" t="n">
        <v>1563.4</v>
      </c>
      <c r="J224" s="71" t="inlineStr">
        <is>
          <t>gross (price x shares)</t>
        </is>
      </c>
      <c r="K224" s="74" t="n">
        <v>19.35</v>
      </c>
      <c r="L224" s="74" t="n">
        <v>21.35</v>
      </c>
      <c r="M224" s="74" t="n">
        <v>19.66</v>
      </c>
      <c r="N224" s="71" t="inlineStr">
        <is>
          <t>N</t>
        </is>
      </c>
      <c r="O224" s="75" t="n">
        <v>92.09999999999999</v>
      </c>
      <c r="P224" s="75" t="n">
        <v>15.5</v>
      </c>
      <c r="Q224" s="76" t="n">
        <v>10184.7</v>
      </c>
      <c r="R224" s="71" t="inlineStr">
        <is>
          <t>derived:price x shares upon listing</t>
        </is>
      </c>
      <c r="S224" s="77" t="n">
        <v>1.18</v>
      </c>
      <c r="T224" s="78" t="n">
        <v>1.13</v>
      </c>
      <c r="U224" s="79" t="n">
        <v>0</v>
      </c>
      <c r="V224" s="80" t="n">
        <v>112</v>
      </c>
      <c r="W224" s="75" t="n">
        <v>10</v>
      </c>
      <c r="X224" s="71" t="inlineStr">
        <is>
          <t>NO</t>
        </is>
      </c>
      <c r="Y224" s="76" t="n">
        <v>1563.4</v>
      </c>
      <c r="Z224" s="76" t="n">
        <v>79520000</v>
      </c>
      <c r="AA224" s="75" t="n">
        <v>15.35</v>
      </c>
      <c r="AB224" s="71" t="n"/>
      <c r="AC224" s="71" t="n"/>
      <c r="AD224" s="75" t="n"/>
      <c r="AE224" s="71" t="n"/>
      <c r="AF224" s="71" t="n"/>
      <c r="AG224" s="71" t="n"/>
      <c r="AH224" s="71" t="n"/>
      <c r="AI224" s="81" t="n"/>
      <c r="AJ224" s="82" t="n">
        <v>0.71</v>
      </c>
      <c r="AK224" s="82" t="n">
        <v>-16.07</v>
      </c>
      <c r="AL224" s="82" t="n">
        <v>19.99</v>
      </c>
      <c r="AM224" s="83" t="n">
        <v>3.55</v>
      </c>
      <c r="AN224" s="75" t="n">
        <v>33.21</v>
      </c>
      <c r="AO224" s="82" t="n">
        <v>-22.38</v>
      </c>
      <c r="AP224" s="82" t="n">
        <v>-19.13</v>
      </c>
      <c r="AQ224" s="82" t="n">
        <v>-5.9</v>
      </c>
      <c r="AR224" s="82" t="n">
        <v>-22.93</v>
      </c>
      <c r="AS224" s="82" t="n">
        <v>-19.7</v>
      </c>
      <c r="AT224" s="82" t="n">
        <v>-6.56</v>
      </c>
      <c r="AU224" s="82" t="n">
        <v>-20.46</v>
      </c>
      <c r="AV224" s="82" t="n">
        <v>-14.97</v>
      </c>
      <c r="AW224" s="82" t="n">
        <v>-3.11</v>
      </c>
      <c r="AX224" s="82" t="n">
        <v>-17.28</v>
      </c>
      <c r="AY224" s="82" t="n">
        <v>-4.16</v>
      </c>
      <c r="AZ224" s="82" t="n">
        <v>-2.42</v>
      </c>
      <c r="BA224" s="71" t="inlineStr">
        <is>
          <t>Hang Seng Commerce &amp; Industry sub-index</t>
        </is>
      </c>
      <c r="BB224" s="82" t="n">
        <v>-88.3</v>
      </c>
      <c r="BC224" s="72" t="inlineStr">
        <is>
          <t>2026-09-23</t>
        </is>
      </c>
      <c r="BD224" s="73" t="n">
        <v>823.3</v>
      </c>
      <c r="BE224" s="76" t="n">
        <v>-308.2</v>
      </c>
      <c r="BF224" s="71" t="inlineStr">
        <is>
          <t>N</t>
        </is>
      </c>
      <c r="BG224" s="71" t="inlineStr">
        <is>
          <t>n/m</t>
        </is>
      </c>
      <c r="BH224" s="83" t="n"/>
      <c r="BI224" s="83" t="n"/>
      <c r="BJ224" s="83" t="n">
        <v>12.4</v>
      </c>
      <c r="BK224" s="84">
        <f>IF('BBG Verify'!S224="","not filed; run on terminal",'BBG Verify'!S224)</f>
        <v/>
      </c>
      <c r="BL224" s="85" t="inlineStr">
        <is>
          <t>N</t>
        </is>
      </c>
      <c r="BM224" s="86">
        <f>IF('BBG Verify'!K224="","not filed; run on terminal",'BBG Verify'!K224)</f>
        <v/>
      </c>
      <c r="BN224" s="71" t="inlineStr">
        <is>
          <t>N/A</t>
        </is>
      </c>
      <c r="BO224" s="71" t="inlineStr">
        <is>
          <t>N/A</t>
        </is>
      </c>
      <c r="BP224" s="71" t="inlineStr">
        <is>
          <t>N/A</t>
        </is>
      </c>
      <c r="BQ224" s="71" t="inlineStr">
        <is>
          <t>N/A</t>
        </is>
      </c>
      <c r="BR224" s="71" t="inlineStr">
        <is>
          <t>N/A</t>
        </is>
      </c>
      <c r="BS224" s="71" t="inlineStr">
        <is>
          <t>N/A</t>
        </is>
      </c>
      <c r="BT224" s="85" t="inlineStr">
        <is>
          <t>Huatai Financial Holdings (Hong Kong) Limited</t>
        </is>
      </c>
      <c r="BU224" s="71" t="inlineStr">
        <is>
          <t>Huatai Financial Holdings (Hong Kong) Limited</t>
        </is>
      </c>
      <c r="BV224" s="71" t="inlineStr">
        <is>
          <t>Huatai Financial Holdings (Hong Kong) Limited; CMB International Capital Limited; GF Securities (Hong Kong) Brokerage Limited; Haitong International Securities Company Limited; Livermore Holdings Limited</t>
        </is>
      </c>
      <c r="BW224" s="71" t="inlineStr">
        <is>
          <t>CMB International Capital Limited; GF Securities (Hong Kong) Brokerage Limited; Huatai Financial Holdings (Hong Kong) Limited; Haitong International Securities Company Limited; Livermore Holdings Limited</t>
        </is>
      </c>
      <c r="BX224" s="87">
        <f>HYPERLINK("https://www1.hkexnews.hk/listedco/listconews/sehk/2023/1127/2023112700007.pdf","prospectus")</f>
        <v/>
      </c>
      <c r="BY224" s="87">
        <f>HYPERLINK("https://www1.hkexnews.hk/listedco/listconews/sehk/2023/1204/2023120402568.htm","allotment")</f>
        <v/>
      </c>
      <c r="BZ224" s="71" t="n"/>
      <c r="CA224" s="85" t="n"/>
      <c r="CB224"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close found: etnet's news wire (every story that evening and the next morning), etnet's grey table (from Oct-2024) and AAStocks all checked</t>
        </is>
      </c>
    </row>
    <row r="225" ht="15" customHeight="1">
      <c r="A225" s="70" t="inlineStr">
        <is>
          <t>2483</t>
        </is>
      </c>
      <c r="B225" s="71" t="inlineStr">
        <is>
          <t>K CASH</t>
        </is>
      </c>
      <c r="C225" s="71" t="inlineStr">
        <is>
          <t>Ｋ ＣＡＳＨ集團</t>
        </is>
      </c>
      <c r="D225" s="71" t="inlineStr">
        <is>
          <t>Tech/AI</t>
        </is>
      </c>
      <c r="E225" s="71" t="inlineStr">
        <is>
          <t>Fintech platform</t>
        </is>
      </c>
      <c r="F225" s="71" t="inlineStr">
        <is>
          <t>Consumer Finance &amp; Money Lending</t>
        </is>
      </c>
      <c r="G225" s="71" t="inlineStr">
        <is>
          <t>Standard</t>
        </is>
      </c>
      <c r="H225" s="72" t="n">
        <v>45265</v>
      </c>
      <c r="I225" s="73" t="n">
        <v>225</v>
      </c>
      <c r="J225" s="71" t="inlineStr">
        <is>
          <t>gross (price x shares)</t>
        </is>
      </c>
      <c r="K225" s="74" t="n">
        <v>1.64</v>
      </c>
      <c r="L225" s="74" t="n">
        <v>1.96</v>
      </c>
      <c r="M225" s="74" t="n">
        <v>1.8</v>
      </c>
      <c r="N225" s="71" t="inlineStr">
        <is>
          <t>N</t>
        </is>
      </c>
      <c r="O225" s="75" t="n">
        <v>91.8</v>
      </c>
      <c r="P225" s="75" t="n">
        <v>50</v>
      </c>
      <c r="Q225" s="76" t="n">
        <v>900</v>
      </c>
      <c r="R225" s="71" t="inlineStr">
        <is>
          <t>derived:price x shares upon listing</t>
        </is>
      </c>
      <c r="S225" s="77" t="n">
        <v>18.93</v>
      </c>
      <c r="T225" s="78" t="n">
        <v>1.24</v>
      </c>
      <c r="U225" s="79" t="n">
        <v>24.7</v>
      </c>
      <c r="V225" s="80" t="n">
        <v>139</v>
      </c>
      <c r="W225" s="75" t="n">
        <v>30</v>
      </c>
      <c r="X225" s="71" t="inlineStr">
        <is>
          <t>YES</t>
        </is>
      </c>
      <c r="Y225" s="76" t="n">
        <v>169.43</v>
      </c>
      <c r="Z225" s="76" t="n">
        <v>94125000</v>
      </c>
      <c r="AA225" s="75" t="n">
        <v>18.82</v>
      </c>
      <c r="AB225" s="71" t="n"/>
      <c r="AC225" s="71" t="n"/>
      <c r="AD225" s="75" t="n">
        <v>5</v>
      </c>
      <c r="AE225" s="71" t="inlineStr">
        <is>
          <t>lapsed</t>
        </is>
      </c>
      <c r="AF225" s="71" t="inlineStr">
        <is>
          <t>2023-12-30</t>
        </is>
      </c>
      <c r="AG225" s="71" t="inlineStr">
        <is>
          <t>China PA Securities</t>
        </is>
      </c>
      <c r="AH225" s="71" t="inlineStr">
        <is>
          <t>China PA</t>
        </is>
      </c>
      <c r="AI225" s="81" t="n"/>
      <c r="AJ225" s="82" t="n">
        <v>-0.5600000000000001</v>
      </c>
      <c r="AK225" s="82" t="n">
        <v>-10.56</v>
      </c>
      <c r="AL225" s="82" t="n">
        <v>11.18</v>
      </c>
      <c r="AM225" s="83" t="n">
        <v>0.95</v>
      </c>
      <c r="AN225" s="75" t="n">
        <v>11.8</v>
      </c>
      <c r="AO225" s="82" t="n">
        <v>-5</v>
      </c>
      <c r="AP225" s="82" t="n">
        <v>-5</v>
      </c>
      <c r="AQ225" s="82" t="n">
        <v>-5</v>
      </c>
      <c r="AR225" s="82" t="n">
        <v>-4.47</v>
      </c>
      <c r="AS225" s="82" t="n">
        <v>-4.47</v>
      </c>
      <c r="AT225" s="82" t="n">
        <v>-4.47</v>
      </c>
      <c r="AU225" s="82" t="n">
        <v>-3.97</v>
      </c>
      <c r="AV225" s="82" t="n">
        <v>2.68</v>
      </c>
      <c r="AW225" s="82" t="n">
        <v>5.44</v>
      </c>
      <c r="AX225" s="82" t="n">
        <v>1.01</v>
      </c>
      <c r="AY225" s="82" t="n">
        <v>-7.68</v>
      </c>
      <c r="AZ225" s="82" t="n">
        <v>-5.48</v>
      </c>
      <c r="BA225" s="71" t="inlineStr">
        <is>
          <t>HSTECH (Hang Seng TECH ETF)</t>
        </is>
      </c>
      <c r="BB225" s="82" t="n">
        <v>0</v>
      </c>
      <c r="BC225" s="72" t="inlineStr">
        <is>
          <t>2026-09-23</t>
        </is>
      </c>
      <c r="BD225" s="73" t="n">
        <v>2022</v>
      </c>
      <c r="BE225" s="76" t="n">
        <v>67.90000000000001</v>
      </c>
      <c r="BF225" s="71" t="inlineStr">
        <is>
          <t>Y</t>
        </is>
      </c>
      <c r="BG225" s="83" t="n">
        <v>13.3</v>
      </c>
      <c r="BH225" s="83" t="n"/>
      <c r="BI225" s="83" t="n">
        <v>9.699999999999999</v>
      </c>
      <c r="BJ225" s="83" t="n">
        <v>0.4</v>
      </c>
      <c r="BK225" s="84">
        <f>IF('BBG Verify'!S225="","not filed; run on terminal",'BBG Verify'!S225)</f>
        <v/>
      </c>
      <c r="BL225" s="85" t="inlineStr">
        <is>
          <t>N</t>
        </is>
      </c>
      <c r="BM225" s="86">
        <f>IF('BBG Verify'!K225="","not filed; run on terminal",'BBG Verify'!K225)</f>
        <v/>
      </c>
      <c r="BN225" s="71" t="inlineStr">
        <is>
          <t>N/A</t>
        </is>
      </c>
      <c r="BO225" s="71" t="inlineStr">
        <is>
          <t>N/A</t>
        </is>
      </c>
      <c r="BP225" s="71" t="inlineStr">
        <is>
          <t>N/A</t>
        </is>
      </c>
      <c r="BQ225" s="71" t="inlineStr">
        <is>
          <t>N/A</t>
        </is>
      </c>
      <c r="BR225" s="71" t="inlineStr">
        <is>
          <t>N/A</t>
        </is>
      </c>
      <c r="BS225" s="71" t="inlineStr">
        <is>
          <t>N/A</t>
        </is>
      </c>
      <c r="BT225" s="85" t="inlineStr">
        <is>
          <t>DBS Asia Capital Limited; Ping An of China Capital (Hong Kong) Company Limited</t>
        </is>
      </c>
      <c r="BU225" s="71" t="inlineStr">
        <is>
          <t>Ping An of China Capital (Hong Kong) Company Limited; DBS Asia Capital Limited</t>
        </is>
      </c>
      <c r="BV225" s="71" t="inlineStr">
        <is>
          <t>and CMIs CCB International Capital Limited; Elstone Securities Limited; Valuable Capital Limited</t>
        </is>
      </c>
      <c r="BW225" s="71"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X225" s="87">
        <f>HYPERLINK("https://www1.hkexnews.hk/listedco/listconews/sehk/2023/1127/2023112700082.pdf","prospectus")</f>
        <v/>
      </c>
      <c r="BY225" s="87">
        <f>HYPERLINK("https://www1.hkexnews.hk/listedco/listconews/sehk/2023/1204/2023120402869.pdf","allotment")</f>
        <v/>
      </c>
      <c r="BZ225" s="87">
        <f>HYPERLINK("https://www1.hkexnews.hk/listedco/listconews/sehk/2024/0102/2024010200039.pdf","stabilisation")</f>
        <v/>
      </c>
      <c r="CA225" s="85" t="n"/>
      <c r="CB225" s="71" t="inlineStr">
        <is>
          <t>cornerstone list: no cornerstone tranche; grey market: no close found: etnet's news wire (every story that evening and the next morning), etnet's grey table (from Oct-2024) and AAStocks all checked</t>
        </is>
      </c>
    </row>
    <row r="226" ht="15" customHeight="1">
      <c r="A226" s="70" t="inlineStr">
        <is>
          <t>2419</t>
        </is>
      </c>
      <c r="B226" s="71" t="inlineStr">
        <is>
          <t>DEKON AGR</t>
        </is>
      </c>
      <c r="C226" s="71" t="inlineStr">
        <is>
          <t>德康農牧</t>
        </is>
      </c>
      <c r="D226" s="71" t="inlineStr">
        <is>
          <t>Consumer</t>
        </is>
      </c>
      <c r="E226" s="71" t="inlineStr">
        <is>
          <t>Beverages / packaged food</t>
        </is>
      </c>
      <c r="F226" s="71" t="inlineStr">
        <is>
          <t>Poultry, Meat and Seafood</t>
        </is>
      </c>
      <c r="G226" s="71" t="inlineStr">
        <is>
          <t>Standard</t>
        </is>
      </c>
      <c r="H226" s="72" t="n">
        <v>45266</v>
      </c>
      <c r="I226" s="73" t="n">
        <v>994.4</v>
      </c>
      <c r="J226" s="71" t="inlineStr">
        <is>
          <t>gross (price x shares)</t>
        </is>
      </c>
      <c r="K226" s="74" t="n">
        <v>30.35</v>
      </c>
      <c r="L226" s="74" t="n">
        <v>36.95</v>
      </c>
      <c r="M226" s="74" t="n">
        <v>36.95</v>
      </c>
      <c r="N226" s="71" t="inlineStr">
        <is>
          <t>Y</t>
        </is>
      </c>
      <c r="O226" s="75" t="n">
        <v>100</v>
      </c>
      <c r="P226" s="75" t="n">
        <v>100</v>
      </c>
      <c r="Q226" s="76" t="n">
        <v>14369</v>
      </c>
      <c r="R226" s="71" t="inlineStr">
        <is>
          <t>derived:price x shares upon listing</t>
        </is>
      </c>
      <c r="S226" s="77" t="n">
        <v>1.88</v>
      </c>
      <c r="T226" s="78" t="n">
        <v>1.13</v>
      </c>
      <c r="U226" s="79" t="n">
        <v>47.7</v>
      </c>
      <c r="V226" s="80" t="n">
        <v>124</v>
      </c>
      <c r="W226" s="75" t="n">
        <v>10</v>
      </c>
      <c r="X226" s="71" t="inlineStr">
        <is>
          <t>NO</t>
        </is>
      </c>
      <c r="Y226" s="76" t="n">
        <v>520.0700000000001</v>
      </c>
      <c r="Z226" s="76" t="n">
        <v>14074976</v>
      </c>
      <c r="AA226" s="75" t="n">
        <v>3.62</v>
      </c>
      <c r="AB226" s="71" t="inlineStr">
        <is>
          <t>Guiyang Agricultural Investment Development Co., Ltd; Quxian Huixing Industrial Investment Co., Ltd; Xiushan County Xinzhiyuan Market Management Co., Ltd</t>
        </is>
      </c>
      <c r="AC226" s="71" t="inlineStr">
        <is>
          <t>guiyang;quxian;xiushan</t>
        </is>
      </c>
      <c r="AD226" s="75" t="n"/>
      <c r="AE226" s="71" t="n"/>
      <c r="AF226" s="71" t="n"/>
      <c r="AG226" s="71" t="n"/>
      <c r="AH226" s="71" t="n"/>
      <c r="AI226" s="81" t="n">
        <v>0.41</v>
      </c>
      <c r="AJ226" s="82" t="n">
        <v>1.49</v>
      </c>
      <c r="AK226" s="82" t="n">
        <v>0</v>
      </c>
      <c r="AL226" s="82" t="n">
        <v>1.49</v>
      </c>
      <c r="AM226" s="83" t="n">
        <v>0.38</v>
      </c>
      <c r="AN226" s="75" t="n">
        <v>2.84</v>
      </c>
      <c r="AO226" s="82" t="n">
        <v>2.17</v>
      </c>
      <c r="AP226" s="82" t="n">
        <v>59.68</v>
      </c>
      <c r="AQ226" s="82" t="n">
        <v>18.94</v>
      </c>
      <c r="AR226" s="82" t="n">
        <v>0.67</v>
      </c>
      <c r="AS226" s="82" t="n">
        <v>57.34</v>
      </c>
      <c r="AT226" s="82" t="n">
        <v>17.19</v>
      </c>
      <c r="AU226" s="82" t="n">
        <v>3.43</v>
      </c>
      <c r="AV226" s="82" t="n">
        <v>62.72</v>
      </c>
      <c r="AW226" s="82" t="n">
        <v>17.97</v>
      </c>
      <c r="AX226" s="82" t="n">
        <v>61.35</v>
      </c>
      <c r="AY226" s="82" t="n">
        <v>-3.04</v>
      </c>
      <c r="AZ226" s="82" t="n">
        <v>-4.01</v>
      </c>
      <c r="BA226" s="71" t="inlineStr">
        <is>
          <t>Hang Seng Commerce &amp; Industry sub-index</t>
        </is>
      </c>
      <c r="BB226" s="82" t="n">
        <v>52.64</v>
      </c>
      <c r="BC226" s="72" t="inlineStr">
        <is>
          <t>2026-09-23</t>
        </is>
      </c>
      <c r="BD226" s="73" t="n">
        <v>16540.7</v>
      </c>
      <c r="BE226" s="76" t="n">
        <v>1092.2</v>
      </c>
      <c r="BF226" s="71" t="inlineStr">
        <is>
          <t>Y</t>
        </is>
      </c>
      <c r="BG226" s="83" t="n">
        <v>13.2</v>
      </c>
      <c r="BH226" s="83" t="n"/>
      <c r="BI226" s="83" t="n">
        <v>11.9</v>
      </c>
      <c r="BJ226" s="83" t="n">
        <v>0.9</v>
      </c>
      <c r="BK226" s="84">
        <f>IF('BBG Verify'!S226="","not filed; run on terminal",'BBG Verify'!S226)</f>
        <v/>
      </c>
      <c r="BL226" s="85" t="inlineStr">
        <is>
          <t>N</t>
        </is>
      </c>
      <c r="BM226" s="86">
        <f>IF('BBG Verify'!K226="","not filed; run on terminal",'BBG Verify'!K226)</f>
        <v/>
      </c>
      <c r="BN226" s="71" t="inlineStr">
        <is>
          <t>N/A</t>
        </is>
      </c>
      <c r="BO226" s="71" t="inlineStr">
        <is>
          <t>N/A</t>
        </is>
      </c>
      <c r="BP226" s="71" t="inlineStr">
        <is>
          <t>N/A</t>
        </is>
      </c>
      <c r="BQ226" s="71" t="inlineStr">
        <is>
          <t>N/A</t>
        </is>
      </c>
      <c r="BR226" s="71" t="inlineStr">
        <is>
          <t>N/A</t>
        </is>
      </c>
      <c r="BS226" s="71" t="inlineStr">
        <is>
          <t>N/A</t>
        </is>
      </c>
      <c r="BT226" s="85" t="inlineStr">
        <is>
          <t>China International Capital Corporation Hong Kong Securities Limited; Citigroup Global Markets Asia Limited</t>
        </is>
      </c>
      <c r="BU226" s="71" t="inlineStr">
        <is>
          <t>China International Capital Corporation Hong Kong Securities Limited; Citigroup Global Markets Asia Limited</t>
        </is>
      </c>
      <c r="BV226" s="71"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W226" s="71"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X226" s="87">
        <f>HYPERLINK("https://www1.hkexnews.hk/listedco/listconews/sehk/2023/1127/2023112700009.pdf","prospectus")</f>
        <v/>
      </c>
      <c r="BY226" s="87">
        <f>HYPERLINK("https://www1.hkexnews.hk/listedco/listconews/sehk/2023/1205/2023120502409.pdf","allotment")</f>
        <v/>
      </c>
      <c r="BZ226" s="71" t="n"/>
      <c r="CA226" s="85" t="n"/>
      <c r="CB226" s="71" t="inlineStr">
        <is>
          <t>greenshoe: no over-allotment option; greenshoe size: no over-allotment option; stabilising manager: no over-allotment option, so none appointed</t>
        </is>
      </c>
    </row>
    <row r="227" ht="15" customHeight="1">
      <c r="A227" s="70" t="inlineStr">
        <is>
          <t>1497</t>
        </is>
      </c>
      <c r="B227" s="71" t="inlineStr">
        <is>
          <t>YAN PALACE</t>
        </is>
      </c>
      <c r="C227" s="71" t="inlineStr">
        <is>
          <t>燕之屋</t>
        </is>
      </c>
      <c r="D227" s="71" t="inlineStr">
        <is>
          <t>Consumer</t>
        </is>
      </c>
      <c r="E227" s="71" t="inlineStr">
        <is>
          <t>Beverages / packaged food</t>
        </is>
      </c>
      <c r="F227" s="71" t="inlineStr">
        <is>
          <t>Packaged Foods</t>
        </is>
      </c>
      <c r="G227" s="71" t="inlineStr">
        <is>
          <t>Standard</t>
        </is>
      </c>
      <c r="H227" s="72" t="n">
        <v>45272</v>
      </c>
      <c r="I227" s="73" t="n">
        <v>310.4</v>
      </c>
      <c r="J227" s="71" t="inlineStr">
        <is>
          <t>gross (price x shares)</t>
        </is>
      </c>
      <c r="K227" s="74" t="n">
        <v>8.800000000000001</v>
      </c>
      <c r="L227" s="74" t="n">
        <v>11</v>
      </c>
      <c r="M227" s="74" t="n">
        <v>9.699999999999999</v>
      </c>
      <c r="N227" s="71" t="inlineStr">
        <is>
          <t>N</t>
        </is>
      </c>
      <c r="O227" s="75" t="n">
        <v>88.2</v>
      </c>
      <c r="P227" s="75" t="n">
        <v>40.9</v>
      </c>
      <c r="Q227" s="76" t="n">
        <v>4515.4</v>
      </c>
      <c r="R227" s="71" t="inlineStr">
        <is>
          <t>derived:price x shares upon listing</t>
        </is>
      </c>
      <c r="S227" s="77" t="n">
        <v>83.63</v>
      </c>
      <c r="T227" s="78" t="n">
        <v>1.27</v>
      </c>
      <c r="U227" s="79" t="n">
        <v>40.16</v>
      </c>
      <c r="V227" s="80" t="n">
        <v>158</v>
      </c>
      <c r="W227" s="75" t="n">
        <v>40</v>
      </c>
      <c r="X227" s="71" t="inlineStr">
        <is>
          <t>YES</t>
        </is>
      </c>
      <c r="Y227" s="76" t="n">
        <v>185.74</v>
      </c>
      <c r="Z227" s="76" t="n">
        <v>19148800</v>
      </c>
      <c r="AA227" s="75" t="n">
        <v>4.11</v>
      </c>
      <c r="AB227" s="71" t="inlineStr">
        <is>
          <t>PT Esta Indonesia; PT Niaga Cakrawala Sukses; PT. Anugerah Citra Walet Indonesia; Value Partners Hong Kong Limited; WONG Sing Kwong Cyrus; WU Chen</t>
        </is>
      </c>
      <c r="AC227" s="71" t="inlineStr">
        <is>
          <t>pt;value;wong;wu-chen</t>
        </is>
      </c>
      <c r="AD227" s="75" t="n">
        <v>15</v>
      </c>
      <c r="AE227" s="71" t="inlineStr">
        <is>
          <t>lapsed</t>
        </is>
      </c>
      <c r="AF227" s="71" t="inlineStr">
        <is>
          <t>2024-01-06</t>
        </is>
      </c>
      <c r="AG227" s="71" t="inlineStr">
        <is>
          <t>GF Securities</t>
        </is>
      </c>
      <c r="AH227" s="71" t="inlineStr">
        <is>
          <t>GF</t>
        </is>
      </c>
      <c r="AI227" s="81" t="n">
        <v>9.279999999999999</v>
      </c>
      <c r="AJ227" s="82" t="n">
        <v>0</v>
      </c>
      <c r="AK227" s="82" t="n">
        <v>8.25</v>
      </c>
      <c r="AL227" s="82" t="n">
        <v>-7.62</v>
      </c>
      <c r="AM227" s="83" t="n">
        <v>0.89</v>
      </c>
      <c r="AN227" s="75" t="n">
        <v>10.29</v>
      </c>
      <c r="AO227" s="82" t="n">
        <v>-5.15</v>
      </c>
      <c r="AP227" s="82" t="n">
        <v>1.03</v>
      </c>
      <c r="AQ227" s="82" t="n">
        <v>3.09</v>
      </c>
      <c r="AR227" s="82" t="n">
        <v>-5.15</v>
      </c>
      <c r="AS227" s="82" t="n">
        <v>1.03</v>
      </c>
      <c r="AT227" s="82" t="n">
        <v>3.09</v>
      </c>
      <c r="AU227" s="82" t="n">
        <v>-6.71</v>
      </c>
      <c r="AV227" s="82" t="n">
        <v>2.22</v>
      </c>
      <c r="AW227" s="82" t="n">
        <v>-0.7</v>
      </c>
      <c r="AX227" s="82" t="n">
        <v>3.39</v>
      </c>
      <c r="AY227" s="82" t="n">
        <v>-1.19</v>
      </c>
      <c r="AZ227" s="82" t="n">
        <v>-2.36</v>
      </c>
      <c r="BA227" s="71" t="inlineStr">
        <is>
          <t>Hang Seng Commerce &amp; Industry sub-index</t>
        </is>
      </c>
      <c r="BB227" s="82" t="n">
        <v>-37.32</v>
      </c>
      <c r="BC227" s="72" t="inlineStr">
        <is>
          <t>2026-09-23</t>
        </is>
      </c>
      <c r="BD227" s="73" t="n">
        <v>1902.9</v>
      </c>
      <c r="BE227" s="76" t="n">
        <v>226.5</v>
      </c>
      <c r="BF227" s="71" t="inlineStr">
        <is>
          <t>Y</t>
        </is>
      </c>
      <c r="BG227" s="83" t="n">
        <v>19.9</v>
      </c>
      <c r="BH227" s="83" t="n"/>
      <c r="BI227" s="83" t="n">
        <v>9.300000000000001</v>
      </c>
      <c r="BJ227" s="83" t="n">
        <v>2.4</v>
      </c>
      <c r="BK227" s="84">
        <f>IF('BBG Verify'!S227="","not filed; run on terminal",'BBG Verify'!S227)</f>
        <v/>
      </c>
      <c r="BL227" s="85" t="inlineStr">
        <is>
          <t>N</t>
        </is>
      </c>
      <c r="BM227" s="86">
        <f>IF('BBG Verify'!K227="","not filed; run on terminal",'BBG Verify'!K227)</f>
        <v/>
      </c>
      <c r="BN227" s="71" t="inlineStr">
        <is>
          <t>N/A</t>
        </is>
      </c>
      <c r="BO227" s="71" t="inlineStr">
        <is>
          <t>N/A</t>
        </is>
      </c>
      <c r="BP227" s="71" t="inlineStr">
        <is>
          <t>N/A</t>
        </is>
      </c>
      <c r="BQ227" s="71" t="inlineStr">
        <is>
          <t>N/A</t>
        </is>
      </c>
      <c r="BR227" s="71" t="inlineStr">
        <is>
          <t>N/A</t>
        </is>
      </c>
      <c r="BS227" s="71" t="inlineStr">
        <is>
          <t>N/A</t>
        </is>
      </c>
      <c r="BT227" s="85" t="inlineStr">
        <is>
          <t>China International Capital Corporation Hong Kong Securities Limited; GF Capital (Hong Kong) Limited</t>
        </is>
      </c>
      <c r="BU227" s="71" t="inlineStr">
        <is>
          <t>China International Capital Corporation Hong Kong Securities Limited; GF Capital (Hong Kong) Limited</t>
        </is>
      </c>
      <c r="BV227" s="71" t="inlineStr">
        <is>
          <t>China International Capital Corporation Hong Kong Securities Limited; GF Securities (Hong Kong) Brokerage Limited; Citigroup Global Markets Asia Limited; Citigroup Global Markets Limited; London E14 5LB United Kingdom Valuable Capital Limited</t>
        </is>
      </c>
      <c r="BW227" s="71"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X227" s="87">
        <f>HYPERLINK("https://www1.hkexnews.hk/listedco/listconews/sehk/2023/1130/2023113000061.pdf","prospectus")</f>
        <v/>
      </c>
      <c r="BY227" s="87">
        <f>HYPERLINK("https://www1.hkexnews.hk/listedco/listconews/sehk/2023/1211/2023121101204.pdf","allotment")</f>
        <v/>
      </c>
      <c r="BZ227" s="87">
        <f>HYPERLINK("https://www1.hkexnews.hk/listedco/listconews/sehk/2024/0108/2024010800315.pdf","stabilisation")</f>
        <v/>
      </c>
      <c r="CA227" s="85" t="n"/>
      <c r="CB227" s="71" t="inlineStr"/>
    </row>
    <row r="228" ht="15" customHeight="1">
      <c r="A228" s="70" t="inlineStr">
        <is>
          <t>0666</t>
        </is>
      </c>
      <c r="B228" s="71" t="inlineStr">
        <is>
          <t>REPT BATTERO</t>
        </is>
      </c>
      <c r="C228" s="71" t="inlineStr">
        <is>
          <t>瑞浦蘭鈞</t>
        </is>
      </c>
      <c r="D228" s="71" t="inlineStr">
        <is>
          <t>Industrials</t>
        </is>
      </c>
      <c r="E228" s="71" t="inlineStr">
        <is>
          <t>Batteries / energy storage</t>
        </is>
      </c>
      <c r="F228" s="71" t="inlineStr">
        <is>
          <t>Battery Products</t>
        </is>
      </c>
      <c r="G228" s="71" t="inlineStr">
        <is>
          <t>Standard</t>
        </is>
      </c>
      <c r="H228" s="72" t="n">
        <v>45278</v>
      </c>
      <c r="I228" s="73" t="n">
        <v>2124.1</v>
      </c>
      <c r="J228" s="71" t="inlineStr">
        <is>
          <t>gross (price x shares)</t>
        </is>
      </c>
      <c r="K228" s="74" t="n"/>
      <c r="L228" s="74" t="n">
        <v>18.3</v>
      </c>
      <c r="M228" s="74" t="n">
        <v>18.3</v>
      </c>
      <c r="N228" s="71" t="inlineStr">
        <is>
          <t>Y</t>
        </is>
      </c>
      <c r="O228" s="75" t="n">
        <v>100</v>
      </c>
      <c r="P228" s="75" t="n"/>
      <c r="Q228" s="76" t="n">
        <v>41666.8</v>
      </c>
      <c r="R228" s="71" t="inlineStr">
        <is>
          <t>derived:price x shares upon listing</t>
        </is>
      </c>
      <c r="S228" s="77" t="n">
        <v>1.27</v>
      </c>
      <c r="T228" s="78" t="n">
        <v>1.21</v>
      </c>
      <c r="U228" s="79" t="n"/>
      <c r="V228" s="80" t="n">
        <v>123</v>
      </c>
      <c r="W228" s="75" t="n">
        <v>10</v>
      </c>
      <c r="X228" s="71" t="inlineStr">
        <is>
          <t>NO</t>
        </is>
      </c>
      <c r="Y228" s="76" t="n">
        <v>2124.1</v>
      </c>
      <c r="Z228" s="76" t="n">
        <v>116070200</v>
      </c>
      <c r="AA228" s="75" t="n">
        <v>5.1</v>
      </c>
      <c r="AB228" s="71" t="n"/>
      <c r="AC228" s="71" t="n"/>
      <c r="AD228" s="75" t="n"/>
      <c r="AE228" s="71" t="n"/>
      <c r="AF228" s="71" t="n"/>
      <c r="AG228" s="71" t="n"/>
      <c r="AH228" s="71" t="n"/>
      <c r="AI228" s="81" t="n"/>
      <c r="AJ228" s="82" t="n">
        <v>2.62</v>
      </c>
      <c r="AK228" s="82" t="n">
        <v>1.64</v>
      </c>
      <c r="AL228" s="82" t="n">
        <v>0.96</v>
      </c>
      <c r="AM228" s="83" t="n">
        <v>0.14</v>
      </c>
      <c r="AN228" s="75" t="n">
        <v>5.91</v>
      </c>
      <c r="AO228" s="82" t="n">
        <v>0.77</v>
      </c>
      <c r="AP228" s="82" t="n">
        <v>3.39</v>
      </c>
      <c r="AQ228" s="82" t="n">
        <v>-21.09</v>
      </c>
      <c r="AR228" s="82" t="n">
        <v>-1.8</v>
      </c>
      <c r="AS228" s="82" t="n">
        <v>0.75</v>
      </c>
      <c r="AT228" s="82" t="n">
        <v>-23.1</v>
      </c>
      <c r="AU228" s="82" t="n">
        <v>2.48</v>
      </c>
      <c r="AV228" s="82" t="n">
        <v>13.42</v>
      </c>
      <c r="AW228" s="82" t="n">
        <v>-23.07</v>
      </c>
      <c r="AX228" s="82" t="n">
        <v>10.01</v>
      </c>
      <c r="AY228" s="82" t="n">
        <v>-10.03</v>
      </c>
      <c r="AZ228" s="82" t="n">
        <v>-9.26</v>
      </c>
      <c r="BA228" s="71" t="inlineStr">
        <is>
          <t>Hang Seng Commerce &amp; Industry sub-index</t>
        </is>
      </c>
      <c r="BB228" s="82" t="n">
        <v>-50.68</v>
      </c>
      <c r="BC228" s="72" t="inlineStr">
        <is>
          <t>2026-09-23</t>
        </is>
      </c>
      <c r="BD228" s="73" t="n">
        <v>16112.6</v>
      </c>
      <c r="BE228" s="76" t="n">
        <v>-389.5</v>
      </c>
      <c r="BF228" s="71" t="inlineStr">
        <is>
          <t>N</t>
        </is>
      </c>
      <c r="BG228" s="71" t="inlineStr">
        <is>
          <t>n/m</t>
        </is>
      </c>
      <c r="BH228" s="83" t="n"/>
      <c r="BI228" s="83" t="n"/>
      <c r="BJ228" s="83" t="n">
        <v>2.6</v>
      </c>
      <c r="BK228" s="84">
        <f>IF('BBG Verify'!S228="","not filed; run on terminal",'BBG Verify'!S228)</f>
        <v/>
      </c>
      <c r="BL228" s="85" t="inlineStr">
        <is>
          <t>N</t>
        </is>
      </c>
      <c r="BM228" s="86">
        <f>IF('BBG Verify'!K228="","not filed; run on terminal",'BBG Verify'!K228)</f>
        <v/>
      </c>
      <c r="BN228" s="71" t="inlineStr">
        <is>
          <t>N/A</t>
        </is>
      </c>
      <c r="BO228" s="71" t="inlineStr">
        <is>
          <t>N/A</t>
        </is>
      </c>
      <c r="BP228" s="71" t="inlineStr">
        <is>
          <t>N/A</t>
        </is>
      </c>
      <c r="BQ228" s="71" t="inlineStr">
        <is>
          <t>N/A</t>
        </is>
      </c>
      <c r="BR228" s="71" t="inlineStr">
        <is>
          <t>N/A</t>
        </is>
      </c>
      <c r="BS228" s="71" t="inlineStr">
        <is>
          <t>N/A</t>
        </is>
      </c>
      <c r="BT228" s="85" t="n"/>
      <c r="BU228" s="71" t="inlineStr">
        <is>
          <t>Morgan Stanley Asia Limited; CITIC Securities (Hong Kong) Limited</t>
        </is>
      </c>
      <c r="BV228" s="71" t="inlineStr">
        <is>
          <t>ABCI Securities Company Limited; BOCI Asia Limited; China Galaxy International Securities (Hong Kong) Company Limited; China International Capital Corporation Hong Kong Securities Limited; CLSA Limited; CMB International Capital Limited</t>
        </is>
      </c>
      <c r="BW228" s="71"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X228" s="71" t="n"/>
      <c r="BY228" s="87">
        <f>HYPERLINK("https://www1.hkexnews.hk/listedco/listconews/sehk/2023/1215/2023121501598.pdf","allotment")</f>
        <v/>
      </c>
      <c r="BZ228" s="71" t="n"/>
      <c r="CA228" s="85" t="n"/>
      <c r="CB228" s="71"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close found: etnet's news wire (every story that evening and the next morning), etnet's grey table (from Oct-2024) and AAStocks all checked</t>
        </is>
      </c>
    </row>
    <row r="229" ht="15" customHeight="1">
      <c r="A229" s="70" t="inlineStr">
        <is>
          <t>2502</t>
        </is>
      </c>
      <c r="B229" s="71" t="inlineStr">
        <is>
          <t>JINYUAN HCHEM</t>
        </is>
      </c>
      <c r="C229" s="71" t="inlineStr">
        <is>
          <t>金源氫化</t>
        </is>
      </c>
      <c r="D229" s="71" t="inlineStr">
        <is>
          <t>Materials/Energy</t>
        </is>
      </c>
      <c r="E229" s="71" t="inlineStr">
        <is>
          <t>Chemicals</t>
        </is>
      </c>
      <c r="F229" s="71" t="inlineStr">
        <is>
          <t>Diversified Chemicals</t>
        </is>
      </c>
      <c r="G229" s="71" t="inlineStr">
        <is>
          <t>Standard</t>
        </is>
      </c>
      <c r="H229" s="72" t="n">
        <v>45280</v>
      </c>
      <c r="I229" s="73" t="n">
        <v>286.69</v>
      </c>
      <c r="J229" s="71" t="inlineStr">
        <is>
          <t>gross (stated)</t>
        </is>
      </c>
      <c r="K229" s="74" t="n">
        <v>1.1</v>
      </c>
      <c r="L229" s="74" t="n">
        <v>1.5</v>
      </c>
      <c r="M229" s="74" t="n">
        <v>1.2</v>
      </c>
      <c r="N229" s="71" t="inlineStr">
        <is>
          <t>N</t>
        </is>
      </c>
      <c r="O229" s="75" t="n">
        <v>80</v>
      </c>
      <c r="P229" s="75" t="n">
        <v>25</v>
      </c>
      <c r="Q229" s="76" t="n">
        <v>1146.8</v>
      </c>
      <c r="R229" s="71" t="inlineStr">
        <is>
          <t>derived:price x shares upon listing</t>
        </is>
      </c>
      <c r="S229" s="77" t="n">
        <v>42.82</v>
      </c>
      <c r="T229" s="78" t="n">
        <v>1.07</v>
      </c>
      <c r="U229" s="79" t="n">
        <v>57.1</v>
      </c>
      <c r="V229" s="80" t="n">
        <v>117</v>
      </c>
      <c r="W229" s="75" t="n">
        <v>30</v>
      </c>
      <c r="X229" s="71" t="inlineStr">
        <is>
          <t>YES</t>
        </is>
      </c>
      <c r="Y229" s="76" t="n">
        <v>122.99</v>
      </c>
      <c r="Z229" s="76" t="n">
        <v>102492390</v>
      </c>
      <c r="AA229" s="75" t="n">
        <v>10.72</v>
      </c>
      <c r="AB229" s="71" t="inlineStr">
        <is>
          <t>Genesis M Co., Limited; Max Success Group Holdings Limited; Prosperity Steel United Singapore Pte. Ltd; Zhongsheng Holdings Company Limited</t>
        </is>
      </c>
      <c r="AC229" s="71" t="inlineStr">
        <is>
          <t>genesis;max;prosperity;zhongsheng</t>
        </is>
      </c>
      <c r="AD229" s="75" t="n">
        <v>5</v>
      </c>
      <c r="AE229" s="71" t="inlineStr">
        <is>
          <t>lapsed</t>
        </is>
      </c>
      <c r="AF229" s="71" t="inlineStr">
        <is>
          <t>2024-01-14</t>
        </is>
      </c>
      <c r="AG229" s="71" t="inlineStr">
        <is>
          <t>Haitong International Securities Company Limited</t>
        </is>
      </c>
      <c r="AH229" s="71" t="inlineStr">
        <is>
          <t>Haitong</t>
        </is>
      </c>
      <c r="AI229" s="81" t="n">
        <v>-8.33</v>
      </c>
      <c r="AJ229" s="82" t="n">
        <v>-27.5</v>
      </c>
      <c r="AK229" s="82" t="n">
        <v>-11.67</v>
      </c>
      <c r="AL229" s="82" t="n">
        <v>-17.92</v>
      </c>
      <c r="AM229" s="83" t="n">
        <v>0.64</v>
      </c>
      <c r="AN229" s="75" t="n">
        <v>20.75</v>
      </c>
      <c r="AO229" s="82" t="n">
        <v>-20.83</v>
      </c>
      <c r="AP229" s="82" t="n">
        <v>-28.33</v>
      </c>
      <c r="AQ229" s="82" t="n">
        <v>-37.5</v>
      </c>
      <c r="AR229" s="82" t="n">
        <v>9.199999999999999</v>
      </c>
      <c r="AS229" s="82" t="n">
        <v>-1.14</v>
      </c>
      <c r="AT229" s="82" t="n">
        <v>-13.79</v>
      </c>
      <c r="AU229" s="82" t="n">
        <v>-23.55</v>
      </c>
      <c r="AV229" s="82" t="n">
        <v>-19.91</v>
      </c>
      <c r="AW229" s="82" t="n">
        <v>-38.8</v>
      </c>
      <c r="AX229" s="82" t="n">
        <v>7.92</v>
      </c>
      <c r="AY229" s="82" t="n">
        <v>-8.42</v>
      </c>
      <c r="AZ229" s="82" t="n">
        <v>-9.06</v>
      </c>
      <c r="BA229" s="71" t="inlineStr">
        <is>
          <t>Hang Seng Commerce &amp; Industry sub-index</t>
        </is>
      </c>
      <c r="BB229" s="82" t="n">
        <v>-51.25</v>
      </c>
      <c r="BC229" s="72" t="inlineStr">
        <is>
          <t>2026-09-21</t>
        </is>
      </c>
      <c r="BD229" s="73" t="n">
        <v>2480</v>
      </c>
      <c r="BE229" s="76" t="n">
        <v>213.5</v>
      </c>
      <c r="BF229" s="71" t="inlineStr">
        <is>
          <t>Y</t>
        </is>
      </c>
      <c r="BG229" s="83" t="n">
        <v>5.4</v>
      </c>
      <c r="BH229" s="83" t="n"/>
      <c r="BI229" s="83" t="n"/>
      <c r="BJ229" s="83" t="n">
        <v>0.5</v>
      </c>
      <c r="BK229" s="84">
        <f>IF('BBG Verify'!S229="","not filed; run on terminal",'BBG Verify'!S229)</f>
        <v/>
      </c>
      <c r="BL229" s="85" t="inlineStr">
        <is>
          <t>N</t>
        </is>
      </c>
      <c r="BM229" s="86">
        <f>IF('BBG Verify'!K229="","not filed; run on terminal",'BBG Verify'!K229)</f>
        <v/>
      </c>
      <c r="BN229" s="71" t="inlineStr">
        <is>
          <t>N/A</t>
        </is>
      </c>
      <c r="BO229" s="71" t="inlineStr">
        <is>
          <t>N/A</t>
        </is>
      </c>
      <c r="BP229" s="71" t="inlineStr">
        <is>
          <t>N/A</t>
        </is>
      </c>
      <c r="BQ229" s="71" t="inlineStr">
        <is>
          <t>N/A</t>
        </is>
      </c>
      <c r="BR229" s="71" t="inlineStr">
        <is>
          <t>N/A</t>
        </is>
      </c>
      <c r="BS229" s="71" t="inlineStr">
        <is>
          <t>N/A</t>
        </is>
      </c>
      <c r="BT229" s="85" t="inlineStr">
        <is>
          <t>Haitong International Capital Limited</t>
        </is>
      </c>
      <c r="BU229" s="71" t="inlineStr">
        <is>
          <t>Haitong International Capital Limited</t>
        </is>
      </c>
      <c r="BV229" s="71" t="inlineStr">
        <is>
          <t>ABCI Capital Limited; ABCI Securities Company Limited</t>
        </is>
      </c>
      <c r="BW229" s="71"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X229" s="87">
        <f>HYPERLINK("https://www1.hkexnews.hk/listedco/listconews/sehk/2023/1212/2023121200021.pdf","prospectus")</f>
        <v/>
      </c>
      <c r="BY229" s="87">
        <f>HYPERLINK("https://www1.hkexnews.hk/listedco/listconews/sehk/2023/1219/2023121901110.pdf","allotment")</f>
        <v/>
      </c>
      <c r="BZ229" s="87">
        <f>HYPERLINK("https://www1.hkexnews.hk/listedco/listconews/sehk/2024/0115/2024011500035.pdf","stabilisation")</f>
        <v/>
      </c>
      <c r="CA229" s="85" t="n"/>
      <c r="CB229" s="71" t="inlineStr"/>
    </row>
    <row r="230" ht="15" customHeight="1">
      <c r="A230" s="70" t="inlineStr">
        <is>
          <t>1274</t>
        </is>
      </c>
      <c r="B230" s="71" t="inlineStr">
        <is>
          <t>IMOTIONAUTOTECH</t>
        </is>
      </c>
      <c r="C230" s="71" t="inlineStr">
        <is>
          <t>知行科技</t>
        </is>
      </c>
      <c r="D230" s="71" t="inlineStr">
        <is>
          <t>Tech/AI</t>
        </is>
      </c>
      <c r="E230" s="71" t="inlineStr">
        <is>
          <t>Robotics &amp; autonomous driving</t>
        </is>
      </c>
      <c r="F230" s="71" t="inlineStr">
        <is>
          <t>Auto Parts &amp; Equipment</t>
        </is>
      </c>
      <c r="G230" s="71" t="inlineStr">
        <is>
          <t>Standard</t>
        </is>
      </c>
      <c r="H230" s="72" t="n">
        <v>45280</v>
      </c>
      <c r="I230" s="73" t="n">
        <v>655.7</v>
      </c>
      <c r="J230" s="71" t="inlineStr">
        <is>
          <t>gross (price x shares)</t>
        </is>
      </c>
      <c r="K230" s="74" t="n"/>
      <c r="L230" s="74" t="n">
        <v>29.65</v>
      </c>
      <c r="M230" s="74" t="n">
        <v>29.65</v>
      </c>
      <c r="N230" s="71" t="inlineStr">
        <is>
          <t>Y</t>
        </is>
      </c>
      <c r="O230" s="75" t="n">
        <v>100</v>
      </c>
      <c r="P230" s="75" t="n"/>
      <c r="Q230" s="76" t="n">
        <v>6710.7</v>
      </c>
      <c r="R230" s="71" t="inlineStr">
        <is>
          <t>derived:price x shares upon listing</t>
        </is>
      </c>
      <c r="S230" s="77" t="n">
        <v>6.46</v>
      </c>
      <c r="T230" s="78" t="n">
        <v>1.07</v>
      </c>
      <c r="U230" s="79" t="n">
        <v>79.09999999999999</v>
      </c>
      <c r="V230" s="80" t="n">
        <v>120</v>
      </c>
      <c r="W230" s="75" t="n">
        <v>10</v>
      </c>
      <c r="X230" s="71" t="inlineStr">
        <is>
          <t>NO</t>
        </is>
      </c>
      <c r="Y230" s="76" t="n">
        <v>137.04</v>
      </c>
      <c r="Z230" s="76" t="n">
        <v>4622244</v>
      </c>
      <c r="AA230" s="75" t="n">
        <v>2.04</v>
      </c>
      <c r="AB230" s="71" t="inlineStr">
        <is>
          <t>Harvest International Premium Value (Secondary Market) Fund SPC; SilkyWater Absolute Return LPF; Zhejiang Qixin Zhixing Information Technology Co., Ltd</t>
        </is>
      </c>
      <c r="AC230" s="71" t="inlineStr">
        <is>
          <t>harvest;silkywater;zhejiang</t>
        </is>
      </c>
      <c r="AD230" s="75" t="n"/>
      <c r="AE230" s="71" t="n"/>
      <c r="AF230" s="71" t="n"/>
      <c r="AG230" s="71" t="n"/>
      <c r="AH230" s="71" t="n"/>
      <c r="AI230" s="81" t="n">
        <v>1.35</v>
      </c>
      <c r="AJ230" s="82" t="n">
        <v>-12.82</v>
      </c>
      <c r="AK230" s="82" t="n">
        <v>-0.34</v>
      </c>
      <c r="AL230" s="82" t="n">
        <v>-12.52</v>
      </c>
      <c r="AM230" s="83" t="n">
        <v>0.79</v>
      </c>
      <c r="AN230" s="75" t="n">
        <v>16.07</v>
      </c>
      <c r="AO230" s="82" t="n">
        <v>13.66</v>
      </c>
      <c r="AP230" s="82" t="n">
        <v>59.36</v>
      </c>
      <c r="AQ230" s="82" t="n">
        <v>171.5</v>
      </c>
      <c r="AR230" s="82" t="n">
        <v>30.37</v>
      </c>
      <c r="AS230" s="82" t="n">
        <v>82.79000000000001</v>
      </c>
      <c r="AT230" s="82" t="n">
        <v>211.42</v>
      </c>
      <c r="AU230" s="82" t="n">
        <v>12.12</v>
      </c>
      <c r="AV230" s="82" t="n">
        <v>74.64</v>
      </c>
      <c r="AW230" s="82" t="n">
        <v>178.92</v>
      </c>
      <c r="AX230" s="82" t="n">
        <v>98.39</v>
      </c>
      <c r="AY230" s="82" t="n">
        <v>-15.28</v>
      </c>
      <c r="AZ230" s="82" t="n">
        <v>-15.6</v>
      </c>
      <c r="BA230" s="71" t="inlineStr">
        <is>
          <t>HSTECH (Hang Seng TECH ETF)</t>
        </is>
      </c>
      <c r="BB230" s="82" t="n">
        <v>-93.02</v>
      </c>
      <c r="BC230" s="72" t="inlineStr">
        <is>
          <t>2026-09-23</t>
        </is>
      </c>
      <c r="BD230" s="73" t="n">
        <v>1458.5</v>
      </c>
      <c r="BE230" s="76" t="n">
        <v>-376.6</v>
      </c>
      <c r="BF230" s="71" t="inlineStr">
        <is>
          <t>N</t>
        </is>
      </c>
      <c r="BG230" s="71" t="inlineStr">
        <is>
          <t>n/m</t>
        </is>
      </c>
      <c r="BH230" s="83" t="n"/>
      <c r="BI230" s="83" t="n"/>
      <c r="BJ230" s="83" t="n">
        <v>4.6</v>
      </c>
      <c r="BK230" s="84">
        <f>IF('BBG Verify'!S230="","not filed; run on terminal",'BBG Verify'!S230)</f>
        <v/>
      </c>
      <c r="BL230" s="85" t="inlineStr">
        <is>
          <t>N</t>
        </is>
      </c>
      <c r="BM230" s="86">
        <f>IF('BBG Verify'!K230="","not filed; run on terminal",'BBG Verify'!K230)</f>
        <v/>
      </c>
      <c r="BN230" s="71" t="inlineStr">
        <is>
          <t>N/A</t>
        </is>
      </c>
      <c r="BO230" s="71" t="inlineStr">
        <is>
          <t>N/A</t>
        </is>
      </c>
      <c r="BP230" s="71" t="inlineStr">
        <is>
          <t>N/A</t>
        </is>
      </c>
      <c r="BQ230" s="71" t="inlineStr">
        <is>
          <t>N/A</t>
        </is>
      </c>
      <c r="BR230" s="71" t="inlineStr">
        <is>
          <t>N/A</t>
        </is>
      </c>
      <c r="BS230" s="71" t="inlineStr">
        <is>
          <t>N/A</t>
        </is>
      </c>
      <c r="BT230" s="85" t="inlineStr">
        <is>
          <t>Citigroup Global Markets Asia Limited; Huatai Financial Holdings (Hong Kong) Limited; CCB International Capital Limited</t>
        </is>
      </c>
      <c r="BU230" s="71" t="inlineStr">
        <is>
          <t>CCB International Capital Limited; Huatai Financial Holdings (Hong Kong) Limited; Citigroup Global Markets Asia Limited</t>
        </is>
      </c>
      <c r="BV230" s="71"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W230" s="71"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X230" s="87">
        <f>HYPERLINK("https://www1.hkexnews.hk/listedco/listconews/sehk/2023/1212/2023121200019.pdf","prospectus")</f>
        <v/>
      </c>
      <c r="BY230" s="87">
        <f>HYPERLINK("https://www1.hkexnews.hk/listedco/listconews/sehk/2023/1219/2023121901176.pdf","allotment")</f>
        <v/>
      </c>
      <c r="BZ230" s="71" t="n"/>
      <c r="CA230" s="85" t="n"/>
      <c r="CB230" s="71"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231" ht="15" customHeight="1">
      <c r="A231" s="70" t="inlineStr">
        <is>
          <t>2516</t>
        </is>
      </c>
      <c r="B231" s="71" t="inlineStr">
        <is>
          <t>FAR INTL</t>
        </is>
      </c>
      <c r="C231" s="71" t="inlineStr">
        <is>
          <t>泛遠國際</t>
        </is>
      </c>
      <c r="D231" s="71" t="inlineStr">
        <is>
          <t>Industrials</t>
        </is>
      </c>
      <c r="E231" s="71" t="inlineStr">
        <is>
          <t>Logistics</t>
        </is>
      </c>
      <c r="F231" s="71" t="inlineStr">
        <is>
          <t>Air Freight &amp; Logistics</t>
        </is>
      </c>
      <c r="G231" s="71" t="inlineStr">
        <is>
          <t>Standard</t>
        </is>
      </c>
      <c r="H231" s="72" t="n">
        <v>45282</v>
      </c>
      <c r="I231" s="73" t="n">
        <v>126</v>
      </c>
      <c r="J231" s="71" t="inlineStr">
        <is>
          <t>gross (price x shares)</t>
        </is>
      </c>
      <c r="K231" s="74" t="n"/>
      <c r="L231" s="74" t="n">
        <v>0.9</v>
      </c>
      <c r="M231" s="74" t="n">
        <v>0.9</v>
      </c>
      <c r="N231" s="71" t="inlineStr">
        <is>
          <t>Y</t>
        </is>
      </c>
      <c r="O231" s="75" t="n">
        <v>100</v>
      </c>
      <c r="P231" s="75" t="n"/>
      <c r="Q231" s="76" t="n">
        <v>702</v>
      </c>
      <c r="R231" s="71" t="inlineStr">
        <is>
          <t>derived:price x shares upon listing</t>
        </is>
      </c>
      <c r="S231" s="77" t="n">
        <v>14.49</v>
      </c>
      <c r="T231" s="78" t="n">
        <v>1.04</v>
      </c>
      <c r="U231" s="79" t="n">
        <v>39.68</v>
      </c>
      <c r="V231" s="80" t="n">
        <v>130</v>
      </c>
      <c r="W231" s="75" t="n">
        <v>10</v>
      </c>
      <c r="X231" s="71" t="inlineStr">
        <is>
          <t>NO</t>
        </is>
      </c>
      <c r="Y231" s="76" t="n">
        <v>76</v>
      </c>
      <c r="Z231" s="76" t="n">
        <v>84448000</v>
      </c>
      <c r="AA231" s="75" t="n">
        <v>10.83</v>
      </c>
      <c r="AB231" s="71" t="inlineStr">
        <is>
          <t>Guo Shaojun; Liu Liyun; Yang Yingwu</t>
        </is>
      </c>
      <c r="AC231" s="71" t="inlineStr">
        <is>
          <t>guo-shaojun;liu-liyun;yang-yingwu</t>
        </is>
      </c>
      <c r="AD231" s="75" t="n"/>
      <c r="AE231" s="71" t="inlineStr">
        <is>
          <t>lapsed (no over-allocation)</t>
        </is>
      </c>
      <c r="AF231" s="71" t="n"/>
      <c r="AG231" s="71" t="inlineStr">
        <is>
          <t>Grand Moore Capital Limited</t>
        </is>
      </c>
      <c r="AH231" s="71" t="inlineStr">
        <is>
          <t>Grand Moore</t>
        </is>
      </c>
      <c r="AI231" s="81" t="n"/>
      <c r="AJ231" s="82" t="n">
        <v>11.11</v>
      </c>
      <c r="AK231" s="82" t="n">
        <v>44.44</v>
      </c>
      <c r="AL231" s="82" t="n">
        <v>-23.08</v>
      </c>
      <c r="AM231" s="83" t="n">
        <v>2.65</v>
      </c>
      <c r="AN231" s="75" t="n">
        <v>31.54</v>
      </c>
      <c r="AO231" s="82" t="n">
        <v>6.67</v>
      </c>
      <c r="AP231" s="82" t="n">
        <v>-7.78</v>
      </c>
      <c r="AQ231" s="82" t="n">
        <v>-36.67</v>
      </c>
      <c r="AR231" s="82" t="n">
        <v>-4</v>
      </c>
      <c r="AS231" s="82" t="n">
        <v>-17</v>
      </c>
      <c r="AT231" s="82" t="n">
        <v>-43</v>
      </c>
      <c r="AU231" s="82" t="n">
        <v>6.82</v>
      </c>
      <c r="AV231" s="82" t="n">
        <v>-4.31</v>
      </c>
      <c r="AW231" s="82" t="n">
        <v>-37.02</v>
      </c>
      <c r="AX231" s="82" t="n">
        <v>-16.52</v>
      </c>
      <c r="AY231" s="82" t="n">
        <v>-3.47</v>
      </c>
      <c r="AZ231" s="82" t="n">
        <v>-0.48</v>
      </c>
      <c r="BA231" s="71" t="inlineStr">
        <is>
          <t>Hang Seng Commerce &amp; Industry sub-index</t>
        </is>
      </c>
      <c r="BB231" s="82" t="n">
        <v>-28.33</v>
      </c>
      <c r="BC231" s="72" t="inlineStr">
        <is>
          <t>2026-09-23</t>
        </is>
      </c>
      <c r="BD231" s="73" t="n">
        <v>1377.2</v>
      </c>
      <c r="BE231" s="76" t="n">
        <v>28.4</v>
      </c>
      <c r="BF231" s="71" t="inlineStr">
        <is>
          <t>Y</t>
        </is>
      </c>
      <c r="BG231" s="83" t="n">
        <v>24.7</v>
      </c>
      <c r="BH231" s="83" t="n"/>
      <c r="BI231" s="83" t="n">
        <v>115.1</v>
      </c>
      <c r="BJ231" s="83" t="n">
        <v>0.5</v>
      </c>
      <c r="BK231" s="84">
        <f>IF('BBG Verify'!S231="","not filed; run on terminal",'BBG Verify'!S231)</f>
        <v/>
      </c>
      <c r="BL231" s="85" t="inlineStr">
        <is>
          <t>N</t>
        </is>
      </c>
      <c r="BM231" s="86">
        <f>IF('BBG Verify'!K231="","not filed; run on terminal",'BBG Verify'!K231)</f>
        <v/>
      </c>
      <c r="BN231" s="71" t="inlineStr">
        <is>
          <t>N/A</t>
        </is>
      </c>
      <c r="BO231" s="71" t="inlineStr">
        <is>
          <t>N/A</t>
        </is>
      </c>
      <c r="BP231" s="71" t="inlineStr">
        <is>
          <t>N/A</t>
        </is>
      </c>
      <c r="BQ231" s="71" t="inlineStr">
        <is>
          <t>N/A</t>
        </is>
      </c>
      <c r="BR231" s="71" t="inlineStr">
        <is>
          <t>N/A</t>
        </is>
      </c>
      <c r="BS231" s="71" t="inlineStr">
        <is>
          <t>N/A</t>
        </is>
      </c>
      <c r="BT231" s="85" t="n"/>
      <c r="BU231" s="71" t="inlineStr">
        <is>
          <t>Grand Moore Capital Limited</t>
        </is>
      </c>
      <c r="BV231" s="71" t="inlineStr">
        <is>
          <t>CMBC Securities Company Limited; China PA Securities (Hong Kong) Company Limited; Grand Moore Capital Limited; ICBC International Securities Limited; Shenwan Hongyuan Securities (H.K.) Limited; Valuable Capital Limited</t>
        </is>
      </c>
      <c r="BW231" s="71" t="inlineStr">
        <is>
          <t>CMBC Securities Company Limited; China PA Securities (Hong Kong) Company Limited; Grand Moore Capital Limited; ICBC International Securities Limited; Shenwan Hongyuan Securities (H.K.) Limited; Valuable Capital Limited</t>
        </is>
      </c>
      <c r="BX231" s="87">
        <f>HYPERLINK("https://www1.hkexnews.hk/listedco/listconews/sehk/2023/1212/2023121200092.htm","prospectus")</f>
        <v/>
      </c>
      <c r="BY231" s="87">
        <f>HYPERLINK("https://www1.hkexnews.hk/listedco/listconews/sehk/2023/1221/2023122101228.pdf","allotment")</f>
        <v/>
      </c>
      <c r="BZ231" s="87">
        <f>HYPERLINK("https://www1.hkexnews.hk/listedco/listconews/sehk/2024/0118/2024011800257.pdf","stabilisation")</f>
        <v/>
      </c>
      <c r="CA231" s="85" t="n"/>
      <c r="CB231"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close found: etnet's news wire (every story that evening and the next morning), etnet's grey table (from Oct-2024) and AAStocks all checked</t>
        </is>
      </c>
    </row>
    <row r="232" ht="15" customHeight="1">
      <c r="A232" s="70" t="inlineStr">
        <is>
          <t>2489</t>
        </is>
      </c>
      <c r="B232" s="71" t="inlineStr">
        <is>
          <t>PERSISTENCE RES</t>
        </is>
      </c>
      <c r="C232" s="71" t="inlineStr">
        <is>
          <t>集海黃金</t>
        </is>
      </c>
      <c r="D232" s="71" t="inlineStr">
        <is>
          <t>Materials/Energy</t>
        </is>
      </c>
      <c r="E232" s="71" t="inlineStr">
        <is>
          <t>Mining / metals</t>
        </is>
      </c>
      <c r="F232" s="71" t="inlineStr">
        <is>
          <t>Gold &amp; Precious Metals</t>
        </is>
      </c>
      <c r="G232" s="71" t="inlineStr">
        <is>
          <t>Standard</t>
        </is>
      </c>
      <c r="H232" s="72" t="n">
        <v>45282</v>
      </c>
      <c r="I232" s="73" t="n">
        <v>275</v>
      </c>
      <c r="J232" s="71" t="inlineStr">
        <is>
          <t>gross (price x shares)</t>
        </is>
      </c>
      <c r="K232" s="74" t="n"/>
      <c r="L232" s="74" t="n">
        <v>0.75</v>
      </c>
      <c r="M232" s="74" t="n">
        <v>0.55</v>
      </c>
      <c r="N232" s="71" t="inlineStr">
        <is>
          <t>N</t>
        </is>
      </c>
      <c r="O232" s="75" t="n">
        <v>73.3</v>
      </c>
      <c r="P232" s="75" t="n"/>
      <c r="Q232" s="76" t="n">
        <v>1100</v>
      </c>
      <c r="R232" s="71" t="inlineStr">
        <is>
          <t>derived:price x shares upon listing</t>
        </is>
      </c>
      <c r="S232" s="77" t="n">
        <v>8.76</v>
      </c>
      <c r="T232" s="78" t="n">
        <v>1.03</v>
      </c>
      <c r="U232" s="79" t="n">
        <v>39.6</v>
      </c>
      <c r="V232" s="80" t="n">
        <v>145</v>
      </c>
      <c r="W232" s="75" t="n">
        <v>10</v>
      </c>
      <c r="X232" s="71" t="inlineStr">
        <is>
          <t>NO</t>
        </is>
      </c>
      <c r="Y232" s="76" t="n">
        <v>166.1</v>
      </c>
      <c r="Z232" s="76" t="n">
        <v>302000000</v>
      </c>
      <c r="AA232" s="75" t="n">
        <v>15.1</v>
      </c>
      <c r="AB232" s="71" t="inlineStr">
        <is>
          <t>Dongfang Gold Industry (Hong Kong) Limited</t>
        </is>
      </c>
      <c r="AC232" s="71" t="inlineStr">
        <is>
          <t>dongfang</t>
        </is>
      </c>
      <c r="AD232" s="75" t="n"/>
      <c r="AE232" s="71" t="inlineStr">
        <is>
          <t>lapsed</t>
        </is>
      </c>
      <c r="AF232" s="71" t="n"/>
      <c r="AG232" s="71" t="n"/>
      <c r="AH232" s="71" t="n"/>
      <c r="AI232" s="81" t="n"/>
      <c r="AJ232" s="82" t="n">
        <v>1.82</v>
      </c>
      <c r="AK232" s="82" t="n">
        <v>-7.27</v>
      </c>
      <c r="AL232" s="82" t="n">
        <v>9.800000000000001</v>
      </c>
      <c r="AM232" s="83" t="n">
        <v>2.23</v>
      </c>
      <c r="AN232" s="75" t="n">
        <v>13.73</v>
      </c>
      <c r="AO232" s="82" t="n">
        <v>0</v>
      </c>
      <c r="AP232" s="82" t="n">
        <v>1.82</v>
      </c>
      <c r="AQ232" s="82" t="n">
        <v>12.73</v>
      </c>
      <c r="AR232" s="82" t="n">
        <v>-1.79</v>
      </c>
      <c r="AS232" s="82" t="n">
        <v>0</v>
      </c>
      <c r="AT232" s="82" t="n">
        <v>10.71</v>
      </c>
      <c r="AU232" s="82" t="n">
        <v>0.15</v>
      </c>
      <c r="AV232" s="82" t="n">
        <v>5.29</v>
      </c>
      <c r="AW232" s="82" t="n">
        <v>12.38</v>
      </c>
      <c r="AX232" s="82" t="n">
        <v>0.48</v>
      </c>
      <c r="AY232" s="82" t="n">
        <v>-3.47</v>
      </c>
      <c r="AZ232" s="82" t="n">
        <v>-0.48</v>
      </c>
      <c r="BA232" s="71" t="inlineStr">
        <is>
          <t>Hang Seng Commerce &amp; Industry sub-index</t>
        </is>
      </c>
      <c r="BB232" s="82" t="n">
        <v>48.18</v>
      </c>
      <c r="BC232" s="72" t="inlineStr">
        <is>
          <t>2026-09-23</t>
        </is>
      </c>
      <c r="BD232" s="73" t="n">
        <v>460.3</v>
      </c>
      <c r="BE232" s="76" t="n">
        <v>133.1</v>
      </c>
      <c r="BF232" s="71" t="inlineStr">
        <is>
          <t>Y</t>
        </is>
      </c>
      <c r="BG232" s="83" t="n">
        <v>8.300000000000001</v>
      </c>
      <c r="BH232" s="83" t="n"/>
      <c r="BI232" s="83" t="n">
        <v>14</v>
      </c>
      <c r="BJ232" s="83" t="n">
        <v>2.4</v>
      </c>
      <c r="BK232" s="84">
        <f>IF('BBG Verify'!S232="","not filed; run on terminal",'BBG Verify'!S232)</f>
        <v/>
      </c>
      <c r="BL232" s="85" t="inlineStr">
        <is>
          <t>N</t>
        </is>
      </c>
      <c r="BM232" s="86">
        <f>IF('BBG Verify'!K232="","not filed; run on terminal",'BBG Verify'!K232)</f>
        <v/>
      </c>
      <c r="BN232" s="71" t="inlineStr">
        <is>
          <t>N/A</t>
        </is>
      </c>
      <c r="BO232" s="71" t="inlineStr">
        <is>
          <t>N/A</t>
        </is>
      </c>
      <c r="BP232" s="71" t="inlineStr">
        <is>
          <t>N/A</t>
        </is>
      </c>
      <c r="BQ232" s="71" t="inlineStr">
        <is>
          <t>N/A</t>
        </is>
      </c>
      <c r="BR232" s="71" t="inlineStr">
        <is>
          <t>N/A</t>
        </is>
      </c>
      <c r="BS232" s="71" t="inlineStr">
        <is>
          <t>N/A</t>
        </is>
      </c>
      <c r="BT232" s="85" t="n"/>
      <c r="BU232" s="71" t="inlineStr">
        <is>
          <t>Innovax Capital Limited</t>
        </is>
      </c>
      <c r="BV232" s="71" t="inlineStr">
        <is>
          <t>ABCI Securities Company Limited; Astrum Capital Management Limited; Beta International Securities Limited; CCB International Capital Limited; Citrus Securities Limited; CMBC Securities Company Limited</t>
        </is>
      </c>
      <c r="BW232" s="71"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X232" s="87">
        <f>HYPERLINK("https://www1.hkexnews.hk/listedco/listconews/sehk/2023/1214/2023121400088.htm","prospectus")</f>
        <v/>
      </c>
      <c r="BY232" s="87">
        <f>HYPERLINK("https://www1.hkexnews.hk/listedco/listconews/sehk/2023/1221/2023122101236.pdf","allotment")</f>
        <v/>
      </c>
      <c r="BZ232" s="87">
        <f>HYPERLINK("https://www1.hkexnews.hk/listedco/listconews/sehk/2024/0119/2024011900977.pdf","stabilisation")</f>
        <v/>
      </c>
      <c r="CA232" s="85" t="n"/>
      <c r="CB232" s="71"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close found: etnet's news wire (every story that evening and the next morning), etnet's grey table (from Oct-2024) and AAStocks all checked</t>
        </is>
      </c>
    </row>
    <row r="233" ht="15" customHeight="1">
      <c r="A233" s="70" t="inlineStr">
        <is>
          <t>2511</t>
        </is>
      </c>
      <c r="B233" s="71" t="inlineStr">
        <is>
          <t>HIGHTIDE-B</t>
        </is>
      </c>
      <c r="C233" s="71" t="inlineStr">
        <is>
          <t>君聖泰醫藥－Ｂ</t>
        </is>
      </c>
      <c r="D233" s="71" t="inlineStr">
        <is>
          <t>Healthcare</t>
        </is>
      </c>
      <c r="E233" s="71" t="inlineStr">
        <is>
          <t>Biotech pre-revenue (18A)</t>
        </is>
      </c>
      <c r="F233" s="71" t="inlineStr">
        <is>
          <t>Biotechnology - Pharmaceuticals</t>
        </is>
      </c>
      <c r="G233" s="71" t="inlineStr">
        <is>
          <t>18A</t>
        </is>
      </c>
      <c r="H233" s="72" t="n">
        <v>45282</v>
      </c>
      <c r="I233" s="73" t="n">
        <v>278.2</v>
      </c>
      <c r="J233" s="71" t="inlineStr">
        <is>
          <t>gross (price x shares)</t>
        </is>
      </c>
      <c r="K233" s="74" t="n"/>
      <c r="L233" s="74" t="n">
        <v>11.5</v>
      </c>
      <c r="M233" s="74" t="n">
        <v>11.5</v>
      </c>
      <c r="N233" s="71" t="inlineStr">
        <is>
          <t>Y</t>
        </is>
      </c>
      <c r="O233" s="75" t="n">
        <v>100</v>
      </c>
      <c r="P233" s="75" t="n"/>
      <c r="Q233" s="76" t="n">
        <v>5919.9</v>
      </c>
      <c r="R233" s="71" t="inlineStr">
        <is>
          <t>derived:price x shares upon listing</t>
        </is>
      </c>
      <c r="S233" s="77" t="n">
        <v>32.22</v>
      </c>
      <c r="T233" s="78" t="n">
        <v>1.25</v>
      </c>
      <c r="U233" s="79" t="n">
        <v>39.21</v>
      </c>
      <c r="V233" s="80" t="n">
        <v>116</v>
      </c>
      <c r="W233" s="75" t="n">
        <v>30</v>
      </c>
      <c r="X233" s="71" t="inlineStr">
        <is>
          <t>YES</t>
        </is>
      </c>
      <c r="Y233" s="76" t="n">
        <v>169.12</v>
      </c>
      <c r="Z233" s="76" t="n">
        <v>14707533</v>
      </c>
      <c r="AA233" s="75" t="n">
        <v>2.86</v>
      </c>
      <c r="AB233" s="71" t="inlineStr">
        <is>
          <t>Cangzhou Chuangrong Equity Investment Fund Co., Ltd</t>
        </is>
      </c>
      <c r="AC233" s="71" t="inlineStr">
        <is>
          <t>cangzhou</t>
        </is>
      </c>
      <c r="AD233" s="75" t="n"/>
      <c r="AE233" s="71" t="n"/>
      <c r="AF233" s="71" t="n"/>
      <c r="AG233" s="71" t="n"/>
      <c r="AH233" s="71" t="n"/>
      <c r="AI233" s="81" t="n">
        <v>3.48</v>
      </c>
      <c r="AJ233" s="82" t="n">
        <v>7.65</v>
      </c>
      <c r="AK233" s="82" t="n">
        <v>3.65</v>
      </c>
      <c r="AL233" s="82" t="n">
        <v>3.86</v>
      </c>
      <c r="AM233" s="83" t="n">
        <v>0.7</v>
      </c>
      <c r="AN233" s="75" t="n">
        <v>6.38</v>
      </c>
      <c r="AO233" s="82" t="n">
        <v>1.91</v>
      </c>
      <c r="AP233" s="82" t="n">
        <v>5.22</v>
      </c>
      <c r="AQ233" s="82" t="n">
        <v>-50.61</v>
      </c>
      <c r="AR233" s="82" t="n">
        <v>-5.33</v>
      </c>
      <c r="AS233" s="82" t="n">
        <v>-2.26</v>
      </c>
      <c r="AT233" s="82" t="n">
        <v>-54.12</v>
      </c>
      <c r="AU233" s="82" t="n">
        <v>0.98</v>
      </c>
      <c r="AV233" s="82" t="n">
        <v>13.58</v>
      </c>
      <c r="AW233" s="82" t="n">
        <v>-35.04</v>
      </c>
      <c r="AX233" s="82" t="n">
        <v>4.86</v>
      </c>
      <c r="AY233" s="82" t="n">
        <v>-8.359999999999999</v>
      </c>
      <c r="AZ233" s="82" t="n">
        <v>-7.12</v>
      </c>
      <c r="BA233" s="71" t="inlineStr">
        <is>
          <t>China Biotech ETF (HS biotech proxy)</t>
        </is>
      </c>
      <c r="BB233" s="82" t="n">
        <v>-69.48</v>
      </c>
      <c r="BC233" s="72" t="inlineStr">
        <is>
          <t>2026-09-23</t>
        </is>
      </c>
      <c r="BD233" s="73" t="n">
        <v>0</v>
      </c>
      <c r="BE233" s="76" t="n">
        <v>-209.2</v>
      </c>
      <c r="BF233" s="71" t="inlineStr">
        <is>
          <t>N</t>
        </is>
      </c>
      <c r="BG233" s="71" t="inlineStr">
        <is>
          <t>n/m</t>
        </is>
      </c>
      <c r="BH233" s="83" t="n"/>
      <c r="BI233" s="83" t="n"/>
      <c r="BJ233" s="71" t="inlineStr">
        <is>
          <t>pre-rev</t>
        </is>
      </c>
      <c r="BK233" s="84">
        <f>IF('BBG Verify'!S233="","not filed; run on terminal",'BBG Verify'!S233)</f>
        <v/>
      </c>
      <c r="BL233" s="85" t="inlineStr">
        <is>
          <t>N</t>
        </is>
      </c>
      <c r="BM233" s="86">
        <f>IF('BBG Verify'!K233="","not filed; run on terminal",'BBG Verify'!K233)</f>
        <v/>
      </c>
      <c r="BN233" s="71" t="inlineStr">
        <is>
          <t>N/A</t>
        </is>
      </c>
      <c r="BO233" s="71" t="inlineStr">
        <is>
          <t>N/A</t>
        </is>
      </c>
      <c r="BP233" s="71" t="inlineStr">
        <is>
          <t>N/A</t>
        </is>
      </c>
      <c r="BQ233" s="71" t="inlineStr">
        <is>
          <t>N/A</t>
        </is>
      </c>
      <c r="BR233" s="71" t="inlineStr">
        <is>
          <t>N/A</t>
        </is>
      </c>
      <c r="BS233" s="71" t="inlineStr">
        <is>
          <t>N/A</t>
        </is>
      </c>
      <c r="BT233" s="85" t="n"/>
      <c r="BU233" s="71" t="inlineStr">
        <is>
          <t>UBS Securities Hong Kong Limited; Huatai Financial Holdings (Hong Kong) Limited</t>
        </is>
      </c>
      <c r="BV233" s="71" t="inlineStr">
        <is>
          <t>sa nd Joint Lead Managers UBS AG Hon g Kong Branch; CapitalM arket Interme diarie s UBS AG Hon g Kong Branch</t>
        </is>
      </c>
      <c r="BW233" s="71"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X233" s="87">
        <f>HYPERLINK("https://www1.hkexnews.hk/listedco/listconews/sehk/2023/1214/2023121400045.pdf","prospectus")</f>
        <v/>
      </c>
      <c r="BY233" s="87">
        <f>HYPERLINK("https://www1.hkexnews.hk/listedco/listconews/sehk/2023/1221/2023122101298.pdf","allotment")</f>
        <v/>
      </c>
      <c r="BZ233" s="71" t="n"/>
      <c r="CA233" s="85" t="n"/>
      <c r="CB233" s="71"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t>
        </is>
      </c>
    </row>
    <row r="234" ht="15" customHeight="1">
      <c r="A234" s="70" t="inlineStr">
        <is>
          <t>6911</t>
        </is>
      </c>
      <c r="B234" s="71" t="inlineStr">
        <is>
          <t>LANCANG TEA</t>
        </is>
      </c>
      <c r="C234" s="71" t="inlineStr">
        <is>
          <t>瀾滄古茶</t>
        </is>
      </c>
      <c r="D234" s="71" t="inlineStr">
        <is>
          <t>Consumer</t>
        </is>
      </c>
      <c r="E234" s="71" t="inlineStr">
        <is>
          <t>Beverages / packaged food</t>
        </is>
      </c>
      <c r="F234" s="71" t="inlineStr">
        <is>
          <t>Beverages (Non-alcoholic)</t>
        </is>
      </c>
      <c r="G234" s="71" t="inlineStr">
        <is>
          <t>Standard</t>
        </is>
      </c>
      <c r="H234" s="72" t="n">
        <v>45282</v>
      </c>
      <c r="I234" s="73" t="n">
        <v>224.7</v>
      </c>
      <c r="J234" s="71" t="inlineStr">
        <is>
          <t>gross (price x shares)</t>
        </is>
      </c>
      <c r="K234" s="74" t="n">
        <v>10.4</v>
      </c>
      <c r="L234" s="74" t="n">
        <v>14.16</v>
      </c>
      <c r="M234" s="74" t="n">
        <v>10.7</v>
      </c>
      <c r="N234" s="71" t="inlineStr">
        <is>
          <t>N</t>
        </is>
      </c>
      <c r="O234" s="75" t="n">
        <v>75.59999999999999</v>
      </c>
      <c r="P234" s="75" t="n">
        <v>8</v>
      </c>
      <c r="Q234" s="76" t="n">
        <v>898.8</v>
      </c>
      <c r="R234" s="71" t="inlineStr">
        <is>
          <t>derived:price x shares upon listing</t>
        </is>
      </c>
      <c r="S234" s="77" t="n">
        <v>13.23</v>
      </c>
      <c r="T234" s="78" t="n">
        <v>1.32</v>
      </c>
      <c r="U234" s="79" t="n">
        <v>50.31</v>
      </c>
      <c r="V234" s="80" t="n">
        <v>142</v>
      </c>
      <c r="W234" s="75" t="n">
        <v>10</v>
      </c>
      <c r="X234" s="71" t="inlineStr">
        <is>
          <t>NO</t>
        </is>
      </c>
      <c r="Y234" s="76" t="n">
        <v>111.65</v>
      </c>
      <c r="Z234" s="76" t="n">
        <v>10434900</v>
      </c>
      <c r="AA234" s="75" t="n">
        <v>12.42</v>
      </c>
      <c r="AB234" s="71" t="inlineStr">
        <is>
          <t>China Ocean View Group Limited; Harvest Global Capital Investments Limited; Lancang Green Resource Investment Co., Ltd; ROSY DAY INVESTMENTS LIMITED; Wang Chunyu</t>
        </is>
      </c>
      <c r="AC234" s="71" t="inlineStr">
        <is>
          <t>ocean;harvest;lancang;rosy;wang-chunyu</t>
        </is>
      </c>
      <c r="AD234" s="75" t="n">
        <v>2.6</v>
      </c>
      <c r="AE234" s="71" t="inlineStr">
        <is>
          <t>lapsed</t>
        </is>
      </c>
      <c r="AF234" s="71" t="n"/>
      <c r="AG234" s="71" t="n"/>
      <c r="AH234" s="71" t="n"/>
      <c r="AI234" s="81" t="n"/>
      <c r="AJ234" s="82" t="n">
        <v>-18.69</v>
      </c>
      <c r="AK234" s="82" t="n">
        <v>0</v>
      </c>
      <c r="AL234" s="82" t="n">
        <v>-18.69</v>
      </c>
      <c r="AM234" s="83" t="n">
        <v>0.99</v>
      </c>
      <c r="AN234" s="75" t="n">
        <v>30.28</v>
      </c>
      <c r="AO234" s="82" t="n">
        <v>0</v>
      </c>
      <c r="AP234" s="82" t="n">
        <v>-14.77</v>
      </c>
      <c r="AQ234" s="82" t="n">
        <v>2.8</v>
      </c>
      <c r="AR234" s="82" t="n">
        <v>22.99</v>
      </c>
      <c r="AS234" s="82" t="n">
        <v>4.82</v>
      </c>
      <c r="AT234" s="82" t="n">
        <v>26.43</v>
      </c>
      <c r="AU234" s="82" t="n">
        <v>0.15</v>
      </c>
      <c r="AV234" s="82" t="n">
        <v>-11.3</v>
      </c>
      <c r="AW234" s="82" t="n">
        <v>2.45</v>
      </c>
      <c r="AX234" s="82" t="n">
        <v>5.3</v>
      </c>
      <c r="AY234" s="82" t="n">
        <v>-3.47</v>
      </c>
      <c r="AZ234" s="82" t="n">
        <v>-0.48</v>
      </c>
      <c r="BA234" s="71" t="inlineStr">
        <is>
          <t>Hang Seng Commerce &amp; Industry sub-index</t>
        </is>
      </c>
      <c r="BB234" s="82" t="n">
        <v>-65.23</v>
      </c>
      <c r="BC234" s="72" t="inlineStr">
        <is>
          <t>2026-09-23</t>
        </is>
      </c>
      <c r="BD234" s="73" t="n">
        <v>509.2</v>
      </c>
      <c r="BE234" s="76" t="n">
        <v>77.5</v>
      </c>
      <c r="BF234" s="71" t="inlineStr">
        <is>
          <t>Y</t>
        </is>
      </c>
      <c r="BG234" s="83" t="n">
        <v>11.6</v>
      </c>
      <c r="BH234" s="83" t="n"/>
      <c r="BI234" s="83" t="n"/>
      <c r="BJ234" s="83" t="n">
        <v>1.8</v>
      </c>
      <c r="BK234" s="84">
        <f>IF('BBG Verify'!S234="","not filed; run on terminal",'BBG Verify'!S234)</f>
        <v/>
      </c>
      <c r="BL234" s="85" t="inlineStr">
        <is>
          <t>N</t>
        </is>
      </c>
      <c r="BM234" s="86">
        <f>IF('BBG Verify'!K234="","not filed; run on terminal",'BBG Verify'!K234)</f>
        <v/>
      </c>
      <c r="BN234" s="71" t="inlineStr">
        <is>
          <t>N/A</t>
        </is>
      </c>
      <c r="BO234" s="71" t="inlineStr">
        <is>
          <t>N/A</t>
        </is>
      </c>
      <c r="BP234" s="71" t="inlineStr">
        <is>
          <t>N/A</t>
        </is>
      </c>
      <c r="BQ234" s="71" t="inlineStr">
        <is>
          <t>N/A</t>
        </is>
      </c>
      <c r="BR234" s="71" t="inlineStr">
        <is>
          <t>N/A</t>
        </is>
      </c>
      <c r="BS234" s="71" t="inlineStr">
        <is>
          <t>N/A</t>
        </is>
      </c>
      <c r="BT234" s="85" t="inlineStr">
        <is>
          <t>China Securities (International) Corporate Finance Company Limited; China Merchants Securities (HK) Co., Limited</t>
        </is>
      </c>
      <c r="BU234" s="71" t="inlineStr">
        <is>
          <t>China Securities (International) Corporate Finance Company Limited; China Merchants Securities (HK) Company Limited</t>
        </is>
      </c>
      <c r="BV234" s="71"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W234" s="71"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X234" s="87">
        <f>HYPERLINK("https://www1.hkexnews.hk/listedco/listconews/sehk/2023/1214/2023121400011.pdf","prospectus")</f>
        <v/>
      </c>
      <c r="BY234" s="87">
        <f>HYPERLINK("https://www1.hkexnews.hk/listedco/listconews/sehk/2023/1221/2023122101314.pdf","allotment")</f>
        <v/>
      </c>
      <c r="BZ234" s="87">
        <f>HYPERLINK("https://www1.hkexnews.hk/listedco/listconews/sehk/2024/0118/2024011800501.pdf","stabilisation")</f>
        <v/>
      </c>
      <c r="CA234" s="85" t="n"/>
      <c r="CB234" s="71" t="inlineStr">
        <is>
          <t>greenshoe: outcome published; expiry date not in the notice; stabilising manager: not named in the allotment notice or prospectus glossary; grey market: no close found: etnet's news wire (every story that evening and the next morning), etnet's grey table (from Oct-2024) and AAStocks all checked</t>
        </is>
      </c>
    </row>
    <row r="235" ht="15" customHeight="1">
      <c r="A235" s="70" t="inlineStr">
        <is>
          <t>2149</t>
        </is>
      </c>
      <c r="B235" s="71" t="inlineStr">
        <is>
          <t>BATELAB</t>
        </is>
      </c>
      <c r="C235" s="71" t="inlineStr">
        <is>
          <t>貝克微</t>
        </is>
      </c>
      <c r="D235" s="71" t="inlineStr">
        <is>
          <t>Tech/AI</t>
        </is>
      </c>
      <c r="E235" s="71" t="inlineStr">
        <is>
          <t>AI chips &amp; semis</t>
        </is>
      </c>
      <c r="F235" s="71" t="inlineStr">
        <is>
          <t>Semiconductors &amp; Semiconductor Equipment</t>
        </is>
      </c>
      <c r="G235" s="71" t="inlineStr">
        <is>
          <t>Standard</t>
        </is>
      </c>
      <c r="H235" s="72" t="n">
        <v>45288</v>
      </c>
      <c r="I235" s="73" t="n">
        <v>412.1</v>
      </c>
      <c r="J235" s="71" t="inlineStr">
        <is>
          <t>gross (price x shares)</t>
        </is>
      </c>
      <c r="K235" s="74" t="n">
        <v>27.47</v>
      </c>
      <c r="L235" s="74" t="n">
        <v>38.45</v>
      </c>
      <c r="M235" s="74" t="n">
        <v>27.47</v>
      </c>
      <c r="N235" s="71" t="inlineStr">
        <is>
          <t>N</t>
        </is>
      </c>
      <c r="O235" s="75" t="n">
        <v>71.40000000000001</v>
      </c>
      <c r="P235" s="75" t="n">
        <v>0</v>
      </c>
      <c r="Q235" s="76" t="n">
        <v>1648.2</v>
      </c>
      <c r="R235" s="71" t="inlineStr">
        <is>
          <t>derived:price x shares upon listing</t>
        </is>
      </c>
      <c r="S235" s="77" t="n">
        <v>1.34</v>
      </c>
      <c r="T235" s="78" t="n">
        <v>1.36</v>
      </c>
      <c r="U235" s="79" t="n">
        <v>0</v>
      </c>
      <c r="V235" s="80" t="n">
        <v>110</v>
      </c>
      <c r="W235" s="75" t="n">
        <v>10</v>
      </c>
      <c r="X235" s="71" t="inlineStr">
        <is>
          <t>NO</t>
        </is>
      </c>
      <c r="Y235" s="76" t="n">
        <v>412.1</v>
      </c>
      <c r="Z235" s="76" t="n">
        <v>15000000</v>
      </c>
      <c r="AA235" s="75" t="n">
        <v>25</v>
      </c>
      <c r="AB235" s="71" t="n"/>
      <c r="AC235" s="71" t="n"/>
      <c r="AD235" s="75" t="n">
        <v>13.2</v>
      </c>
      <c r="AE235" s="71" t="inlineStr">
        <is>
          <t>lapsed (no over-allocation)</t>
        </is>
      </c>
      <c r="AF235" s="71" t="inlineStr">
        <is>
          <t>2024-01-20</t>
        </is>
      </c>
      <c r="AG235" s="71" t="inlineStr">
        <is>
          <t>China International Capital Corporation Hong Kong Securities Limited</t>
        </is>
      </c>
      <c r="AH235" s="71" t="inlineStr">
        <is>
          <t>China International</t>
        </is>
      </c>
      <c r="AI235" s="81" t="n">
        <v>-4.08</v>
      </c>
      <c r="AJ235" s="82" t="n">
        <v>-17.36</v>
      </c>
      <c r="AK235" s="82" t="n">
        <v>-8.81</v>
      </c>
      <c r="AL235" s="82" t="n">
        <v>-9.380000000000001</v>
      </c>
      <c r="AM235" s="83" t="n">
        <v>1.16</v>
      </c>
      <c r="AN235" s="75" t="n">
        <v>21.36</v>
      </c>
      <c r="AO235" s="82" t="n">
        <v>-8.630000000000001</v>
      </c>
      <c r="AP235" s="82" t="n">
        <v>-25.74</v>
      </c>
      <c r="AQ235" s="82" t="n">
        <v>-13.36</v>
      </c>
      <c r="AR235" s="82" t="n">
        <v>10.56</v>
      </c>
      <c r="AS235" s="82" t="n">
        <v>-10.14</v>
      </c>
      <c r="AT235" s="82" t="n">
        <v>4.84</v>
      </c>
      <c r="AU235" s="82" t="n">
        <v>-7.51</v>
      </c>
      <c r="AV235" s="82" t="n">
        <v>-13.87</v>
      </c>
      <c r="AW235" s="82" t="n">
        <v>-10.39</v>
      </c>
      <c r="AX235" s="82" t="n">
        <v>4.5</v>
      </c>
      <c r="AY235" s="82" t="n">
        <v>-11.87</v>
      </c>
      <c r="AZ235" s="82" t="n">
        <v>-14.64</v>
      </c>
      <c r="BA235" s="71" t="inlineStr">
        <is>
          <t>HSTECH (Hang Seng TECH ETF)</t>
        </is>
      </c>
      <c r="BB235" s="82" t="n">
        <v>21.88</v>
      </c>
      <c r="BC235" s="72" t="inlineStr">
        <is>
          <t>2026-09-23</t>
        </is>
      </c>
      <c r="BD235" s="73" t="n">
        <v>387.8</v>
      </c>
      <c r="BE235" s="76" t="n">
        <v>104.8</v>
      </c>
      <c r="BF235" s="71" t="inlineStr">
        <is>
          <t>Y</t>
        </is>
      </c>
      <c r="BG235" s="83" t="n">
        <v>15.7</v>
      </c>
      <c r="BH235" s="83" t="n"/>
      <c r="BI235" s="83" t="n">
        <v>13.4</v>
      </c>
      <c r="BJ235" s="83" t="n">
        <v>4.3</v>
      </c>
      <c r="BK235" s="84">
        <f>IF('BBG Verify'!S235="","not filed; run on terminal",'BBG Verify'!S235)</f>
        <v/>
      </c>
      <c r="BL235" s="85" t="inlineStr">
        <is>
          <t>N</t>
        </is>
      </c>
      <c r="BM235" s="86">
        <f>IF('BBG Verify'!K235="","not filed; run on terminal",'BBG Verify'!K235)</f>
        <v/>
      </c>
      <c r="BN235" s="71" t="inlineStr">
        <is>
          <t>N/A</t>
        </is>
      </c>
      <c r="BO235" s="71" t="inlineStr">
        <is>
          <t>N/A</t>
        </is>
      </c>
      <c r="BP235" s="71" t="inlineStr">
        <is>
          <t>N/A</t>
        </is>
      </c>
      <c r="BQ235" s="71" t="inlineStr">
        <is>
          <t>N/A</t>
        </is>
      </c>
      <c r="BR235" s="71" t="inlineStr">
        <is>
          <t>N/A</t>
        </is>
      </c>
      <c r="BS235" s="71" t="inlineStr">
        <is>
          <t>N/A</t>
        </is>
      </c>
      <c r="BT235" s="85" t="n"/>
      <c r="BU235" s="71" t="inlineStr">
        <is>
          <t>China International Capital Corporation Hong Kong Securities Limited</t>
        </is>
      </c>
      <c r="BV235" s="71"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W235" s="71"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X235" s="87">
        <f>HYPERLINK("https://www1.hkexnews.hk/listedco/listconews/sehk/2023/1218/2023121800007.pdf","prospectus")</f>
        <v/>
      </c>
      <c r="BY235" s="87">
        <f>HYPERLINK("https://www1.hkexnews.hk/listedco/listconews/sehk/2023/1227/2023122701489.pdf","allotment")</f>
        <v/>
      </c>
      <c r="BZ235" s="87">
        <f>HYPERLINK("https://www1.hkexnews.hk/listedco/listconews/sehk/2024/0122/2024012200299.pdf","stabilisation")</f>
        <v/>
      </c>
      <c r="CA235" s="85" t="n"/>
      <c r="CB235" s="71" t="inlineStr">
        <is>
          <t>sponsor: English name not in the filing; AAStocks 保薦人 shown; cornerstone list: no cornerstone tranche</t>
        </is>
      </c>
    </row>
    <row r="236" ht="15" customHeight="1">
      <c r="A236" s="70" t="inlineStr">
        <is>
          <t>9880</t>
        </is>
      </c>
      <c r="B236" s="71" t="inlineStr">
        <is>
          <t>UBTECH ROBOTICS</t>
        </is>
      </c>
      <c r="C236" s="71" t="inlineStr">
        <is>
          <t>優必選</t>
        </is>
      </c>
      <c r="D236" s="71" t="inlineStr">
        <is>
          <t>Tech/AI</t>
        </is>
      </c>
      <c r="E236" s="71" t="inlineStr">
        <is>
          <t>Robotics &amp; autonomous driving</t>
        </is>
      </c>
      <c r="F236" s="71" t="inlineStr">
        <is>
          <t>Application Software</t>
        </is>
      </c>
      <c r="G236" s="71" t="inlineStr">
        <is>
          <t>Standard</t>
        </is>
      </c>
      <c r="H236" s="72" t="n">
        <v>45289</v>
      </c>
      <c r="I236" s="73" t="n">
        <v>1015.38</v>
      </c>
      <c r="J236" s="71" t="inlineStr">
        <is>
          <t>gross (stated)</t>
        </is>
      </c>
      <c r="K236" s="74" t="n">
        <v>86</v>
      </c>
      <c r="L236" s="74" t="n">
        <v>116</v>
      </c>
      <c r="M236" s="74" t="n">
        <v>90</v>
      </c>
      <c r="N236" s="71" t="inlineStr">
        <is>
          <t>N</t>
        </is>
      </c>
      <c r="O236" s="75" t="n">
        <v>77.59999999999999</v>
      </c>
      <c r="P236" s="75" t="n">
        <v>13.3</v>
      </c>
      <c r="Q236" s="76" t="n">
        <v>37606.6</v>
      </c>
      <c r="R236" s="71" t="inlineStr">
        <is>
          <t>derived:price x shares upon listing</t>
        </is>
      </c>
      <c r="S236" s="77" t="n">
        <v>5.16</v>
      </c>
      <c r="T236" s="78" t="n">
        <v>2.16</v>
      </c>
      <c r="U236" s="79" t="n">
        <v>54.2</v>
      </c>
      <c r="V236" s="80" t="n">
        <v>118</v>
      </c>
      <c r="W236" s="75" t="n">
        <v>10</v>
      </c>
      <c r="X236" s="71" t="inlineStr">
        <is>
          <t>NO</t>
        </is>
      </c>
      <c r="Y236" s="76" t="n">
        <v>465.04</v>
      </c>
      <c r="Z236" s="76" t="n">
        <v>5167156</v>
      </c>
      <c r="AA236" s="75" t="n">
        <v>1.24</v>
      </c>
      <c r="AB236" s="71" t="inlineStr">
        <is>
          <t>E-Town International Holding (Hong Kong) Co., Limited</t>
        </is>
      </c>
      <c r="AC236" s="71" t="inlineStr">
        <is>
          <t>town</t>
        </is>
      </c>
      <c r="AD236" s="75" t="n">
        <v>15</v>
      </c>
      <c r="AE236" s="71" t="inlineStr">
        <is>
          <t>partial</t>
        </is>
      </c>
      <c r="AF236" s="71" t="inlineStr">
        <is>
          <t>2024-01-21</t>
        </is>
      </c>
      <c r="AG236" s="71" t="inlineStr">
        <is>
          <t>Guotai Junan Securities</t>
        </is>
      </c>
      <c r="AH236" s="71" t="inlineStr">
        <is>
          <t>Guotai Junan</t>
        </is>
      </c>
      <c r="AI236" s="81" t="n">
        <v>-0.06</v>
      </c>
      <c r="AJ236" s="82" t="n">
        <v>0.9399999999999999</v>
      </c>
      <c r="AK236" s="82" t="n">
        <v>-0.11</v>
      </c>
      <c r="AL236" s="82" t="n">
        <v>1.05</v>
      </c>
      <c r="AM236" s="83" t="n">
        <v>1.47</v>
      </c>
      <c r="AN236" s="75" t="n">
        <v>5.78</v>
      </c>
      <c r="AO236" s="82" t="n">
        <v>-2.22</v>
      </c>
      <c r="AP236" s="82" t="n">
        <v>0</v>
      </c>
      <c r="AQ236" s="82" t="n">
        <v>143.78</v>
      </c>
      <c r="AR236" s="82" t="n">
        <v>-3.13</v>
      </c>
      <c r="AS236" s="82" t="n">
        <v>-0.93</v>
      </c>
      <c r="AT236" s="82" t="n">
        <v>141.51</v>
      </c>
      <c r="AU236" s="82" t="n">
        <v>5.21</v>
      </c>
      <c r="AV236" s="82" t="n">
        <v>17.95</v>
      </c>
      <c r="AW236" s="82" t="n">
        <v>151.59</v>
      </c>
      <c r="AX236" s="82" t="n">
        <v>17.15</v>
      </c>
      <c r="AY236" s="82" t="n">
        <v>-17.95</v>
      </c>
      <c r="AZ236" s="82" t="n">
        <v>-18.08</v>
      </c>
      <c r="BA236" s="71" t="inlineStr">
        <is>
          <t>HSTECH (Hang Seng TECH ETF)</t>
        </is>
      </c>
      <c r="BB236" s="82" t="n">
        <v>-12.17</v>
      </c>
      <c r="BC236" s="72" t="inlineStr">
        <is>
          <t>2026-09-23</t>
        </is>
      </c>
      <c r="BD236" s="73" t="n">
        <v>1109.1</v>
      </c>
      <c r="BE236" s="76" t="n">
        <v>-1086.1</v>
      </c>
      <c r="BF236" s="71" t="inlineStr">
        <is>
          <t>N</t>
        </is>
      </c>
      <c r="BG236" s="71" t="inlineStr">
        <is>
          <t>n/m</t>
        </is>
      </c>
      <c r="BH236" s="83" t="n"/>
      <c r="BI236" s="83" t="n"/>
      <c r="BJ236" s="83" t="n">
        <v>33.9</v>
      </c>
      <c r="BK236" s="84">
        <f>IF('BBG Verify'!S236="","not filed; run on terminal",'BBG Verify'!S236)</f>
        <v/>
      </c>
      <c r="BL236" s="85" t="inlineStr">
        <is>
          <t>N</t>
        </is>
      </c>
      <c r="BM236" s="86">
        <f>IF('BBG Verify'!K236="","not filed; run on terminal",'BBG Verify'!K236)</f>
        <v/>
      </c>
      <c r="BN236" s="71" t="inlineStr">
        <is>
          <t>N/A</t>
        </is>
      </c>
      <c r="BO236" s="71" t="inlineStr">
        <is>
          <t>N/A</t>
        </is>
      </c>
      <c r="BP236" s="71" t="inlineStr">
        <is>
          <t>N/A</t>
        </is>
      </c>
      <c r="BQ236" s="71" t="inlineStr">
        <is>
          <t>N/A</t>
        </is>
      </c>
      <c r="BR236" s="71" t="inlineStr">
        <is>
          <t>N/A</t>
        </is>
      </c>
      <c r="BS236" s="71" t="inlineStr">
        <is>
          <t>N/A</t>
        </is>
      </c>
      <c r="BT236" s="85" t="inlineStr">
        <is>
          <t>Guotai Junan Capital Limited</t>
        </is>
      </c>
      <c r="BU236" s="71" t="inlineStr">
        <is>
          <t>Guotai Junan Capital Limited</t>
        </is>
      </c>
      <c r="BV236" s="71" t="inlineStr">
        <is>
          <t>ABCI Securities Company Limited</t>
        </is>
      </c>
      <c r="BW236" s="71"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X236" s="87">
        <f>HYPERLINK("https://www1.hkexnews.hk/listedco/listconews/sehk/2023/1219/2023121900021.pdf","prospectus")</f>
        <v/>
      </c>
      <c r="BY236" s="87">
        <f>HYPERLINK("https://www1.hkexnews.hk/listedco/listconews/sehk/2023/1228/2023122801642.pdf","allotment")</f>
        <v/>
      </c>
      <c r="BZ236" s="87">
        <f>HYPERLINK("https://www1.hkexnews.hk/listedco/listconews/sehk/2024/0122/2024012200015.pdf","stabilisation")</f>
        <v/>
      </c>
      <c r="CA236" s="85" t="n"/>
      <c r="CB236" s="71" t="inlineStr">
        <is>
          <t>P/E: loss-making at IPO, use P/S; cornerstone %: upper bound: AAStocks institutional total / deal size</t>
        </is>
      </c>
    </row>
    <row r="237" ht="15" customHeight="1">
      <c r="A237" s="70" t="inlineStr">
        <is>
          <t>2498</t>
        </is>
      </c>
      <c r="B237" s="71" t="inlineStr">
        <is>
          <t>ROBOSENSE</t>
        </is>
      </c>
      <c r="C237" s="71" t="inlineStr">
        <is>
          <t>速騰聚創</t>
        </is>
      </c>
      <c r="D237" s="71" t="inlineStr">
        <is>
          <t>Tech/AI</t>
        </is>
      </c>
      <c r="E237" s="71" t="inlineStr">
        <is>
          <t>Robotics &amp; autonomous driving</t>
        </is>
      </c>
      <c r="F237" s="71" t="inlineStr">
        <is>
          <t>IT Products Distributors</t>
        </is>
      </c>
      <c r="G237" s="71" t="inlineStr">
        <is>
          <t>Standard</t>
        </is>
      </c>
      <c r="H237" s="72" t="n">
        <v>45296</v>
      </c>
      <c r="I237" s="73" t="n">
        <v>985.1</v>
      </c>
      <c r="J237" s="71" t="inlineStr">
        <is>
          <t>gross (price x shares)</t>
        </is>
      </c>
      <c r="K237" s="74" t="n"/>
      <c r="L237" s="74" t="n">
        <v>43</v>
      </c>
      <c r="M237" s="74" t="n">
        <v>43</v>
      </c>
      <c r="N237" s="71" t="inlineStr">
        <is>
          <t>Y</t>
        </is>
      </c>
      <c r="O237" s="75" t="n">
        <v>100</v>
      </c>
      <c r="P237" s="75" t="n"/>
      <c r="Q237" s="76" t="n">
        <v>19300</v>
      </c>
      <c r="R237" s="71" t="inlineStr">
        <is>
          <t>press:qq/STCN 2024-01-05: IPO市值超193亿</t>
        </is>
      </c>
      <c r="S237" s="77" t="n">
        <v>0.58</v>
      </c>
      <c r="T237" s="78" t="n">
        <v>1.28</v>
      </c>
      <c r="U237" s="79" t="n">
        <v>88.3</v>
      </c>
      <c r="V237" s="80" t="n">
        <v>121</v>
      </c>
      <c r="W237" s="75" t="n">
        <v>5.84</v>
      </c>
      <c r="X237" s="71" t="inlineStr">
        <is>
          <t>NO</t>
        </is>
      </c>
      <c r="Y237" s="76" t="n">
        <v>115.26</v>
      </c>
      <c r="Z237" s="76" t="n">
        <v>2680447</v>
      </c>
      <c r="AA237" s="75" t="n">
        <v>0.6</v>
      </c>
      <c r="AB237" s="71" t="inlineStr">
        <is>
          <t>Shenzhen Nanshan Strategic Emerging Industries Investment Co., Ltd</t>
        </is>
      </c>
      <c r="AC237" s="71" t="inlineStr">
        <is>
          <t>shenzhen-nanshan</t>
        </is>
      </c>
      <c r="AD237" s="75" t="n">
        <v>12.5</v>
      </c>
      <c r="AE237" s="71" t="inlineStr">
        <is>
          <t>partial</t>
        </is>
      </c>
      <c r="AF237" s="71" t="inlineStr">
        <is>
          <t>2024-02-01</t>
        </is>
      </c>
      <c r="AG237" s="71" t="inlineStr">
        <is>
          <t>J.P. Morgan Securities</t>
        </is>
      </c>
      <c r="AH237" s="71" t="inlineStr">
        <is>
          <t>JP Morgan</t>
        </is>
      </c>
      <c r="AI237" s="81" t="n">
        <v>-2.33</v>
      </c>
      <c r="AJ237" s="82" t="n">
        <v>0</v>
      </c>
      <c r="AK237" s="82" t="n">
        <v>0</v>
      </c>
      <c r="AL237" s="82" t="n">
        <v>0</v>
      </c>
      <c r="AM237" s="83" t="n">
        <v>0.71</v>
      </c>
      <c r="AN237" s="75" t="n">
        <v>3.72</v>
      </c>
      <c r="AO237" s="82" t="n">
        <v>0</v>
      </c>
      <c r="AP237" s="82" t="n">
        <v>-9.300000000000001</v>
      </c>
      <c r="AQ237" s="82" t="n">
        <v>-1.16</v>
      </c>
      <c r="AR237" s="82" t="n">
        <v>0</v>
      </c>
      <c r="AS237" s="82" t="n">
        <v>-9.300000000000001</v>
      </c>
      <c r="AT237" s="82" t="n">
        <v>-1.16</v>
      </c>
      <c r="AU237" s="82" t="n">
        <v>5.08</v>
      </c>
      <c r="AV237" s="82" t="n">
        <v>7.66</v>
      </c>
      <c r="AW237" s="82" t="n">
        <v>1.52</v>
      </c>
      <c r="AX237" s="82" t="n">
        <v>6.44</v>
      </c>
      <c r="AY237" s="82" t="n">
        <v>-16.96</v>
      </c>
      <c r="AZ237" s="82" t="n">
        <v>-15.74</v>
      </c>
      <c r="BA237" s="71" t="inlineStr">
        <is>
          <t>HSTECH (Hang Seng TECH ETF)</t>
        </is>
      </c>
      <c r="BB237" s="82" t="n">
        <v>-62</v>
      </c>
      <c r="BC237" s="72" t="inlineStr">
        <is>
          <t>2026-09-23</t>
        </is>
      </c>
      <c r="BD237" s="73" t="n">
        <v>583.4</v>
      </c>
      <c r="BE237" s="76" t="n">
        <v>-2294.7</v>
      </c>
      <c r="BF237" s="71" t="inlineStr">
        <is>
          <t>N</t>
        </is>
      </c>
      <c r="BG237" s="71" t="inlineStr">
        <is>
          <t>n/m</t>
        </is>
      </c>
      <c r="BH237" s="83" t="n"/>
      <c r="BI237" s="83" t="n"/>
      <c r="BJ237" s="83" t="n">
        <v>33.1</v>
      </c>
      <c r="BK237" s="84">
        <f>IF('BBG Verify'!S237="","not filed; run on terminal",'BBG Verify'!S237)</f>
        <v/>
      </c>
      <c r="BL237" s="85" t="inlineStr">
        <is>
          <t>N</t>
        </is>
      </c>
      <c r="BM237" s="86">
        <f>IF('BBG Verify'!K237="","not filed; run on terminal",'BBG Verify'!K237)</f>
        <v/>
      </c>
      <c r="BN237" s="71" t="inlineStr">
        <is>
          <t>N/A</t>
        </is>
      </c>
      <c r="BO237" s="71" t="inlineStr">
        <is>
          <t>N/A</t>
        </is>
      </c>
      <c r="BP237" s="71" t="inlineStr">
        <is>
          <t>N/A</t>
        </is>
      </c>
      <c r="BQ237" s="71" t="inlineStr">
        <is>
          <t>N/A</t>
        </is>
      </c>
      <c r="BR237" s="71" t="inlineStr">
        <is>
          <t>N/A</t>
        </is>
      </c>
      <c r="BS237" s="71" t="inlineStr">
        <is>
          <t>N/A</t>
        </is>
      </c>
      <c r="BT237" s="85" t="inlineStr">
        <is>
          <t>J.P. Morgan Securities (Far East) Limited; China Renaissance Securities (Hong Kong) Limited</t>
        </is>
      </c>
      <c r="BU237" s="71" t="inlineStr">
        <is>
          <t>J.P. Morgan Securities (Far East) Limited; China Renaissance Securities (Hong Kong) Limited</t>
        </is>
      </c>
      <c r="BV237" s="71"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W237" s="71"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X237" s="87">
        <f>HYPERLINK("https://www1.hkexnews.hk/listedco/listconews/sehk/2023/1227/2023122700027.pdf","prospectus")</f>
        <v/>
      </c>
      <c r="BY237" s="87">
        <f>HYPERLINK("https://www1.hkexnews.hk/listedco/listconews/sehk/2024/0104/2024010401780.pdf","allotment")</f>
        <v/>
      </c>
      <c r="BZ237" s="87">
        <f>HYPERLINK("https://www1.hkexnews.hk/listedco/listconews/sehk/2024/0201/2024020103564.pdf","stabilisation")</f>
        <v/>
      </c>
      <c r="CA237" s="85" t="n"/>
      <c r="CB237" s="71" t="inlineStr">
        <is>
          <t>P/E: loss-making at IPO, use P/S; range low: maximum offer price only, no floor published</t>
        </is>
      </c>
    </row>
    <row r="238" ht="15" customHeight="1">
      <c r="A238" s="70" t="inlineStr">
        <is>
          <t>2453</t>
        </is>
      </c>
      <c r="B238" s="71" t="inlineStr">
        <is>
          <t>CONCORD HC GP</t>
        </is>
      </c>
      <c r="C238" s="71" t="inlineStr">
        <is>
          <t>美中嘉和</t>
        </is>
      </c>
      <c r="D238" s="71" t="inlineStr">
        <is>
          <t>Healthcare</t>
        </is>
      </c>
      <c r="E238" s="71" t="inlineStr">
        <is>
          <t>Hospitals / clinics</t>
        </is>
      </c>
      <c r="F238" s="71" t="inlineStr">
        <is>
          <t>Health Care Services</t>
        </is>
      </c>
      <c r="G238" s="71" t="inlineStr">
        <is>
          <t>Standard</t>
        </is>
      </c>
      <c r="H238" s="72" t="n">
        <v>45300</v>
      </c>
      <c r="I238" s="73" t="n">
        <v>562.9</v>
      </c>
      <c r="J238" s="71" t="inlineStr">
        <is>
          <t>gross (price x shares)</t>
        </is>
      </c>
      <c r="K238" s="74" t="n">
        <v>14.1</v>
      </c>
      <c r="L238" s="74" t="n">
        <v>16.4</v>
      </c>
      <c r="M238" s="74" t="n">
        <v>14.28</v>
      </c>
      <c r="N238" s="71" t="inlineStr">
        <is>
          <t>N</t>
        </is>
      </c>
      <c r="O238" s="75" t="n">
        <v>87.09999999999999</v>
      </c>
      <c r="P238" s="75" t="n">
        <v>7.8</v>
      </c>
      <c r="Q238" s="76" t="n">
        <v>10229.3</v>
      </c>
      <c r="R238" s="71" t="inlineStr">
        <is>
          <t>derived:price x shares upon listing</t>
        </is>
      </c>
      <c r="S238" s="77" t="n">
        <v>1.99</v>
      </c>
      <c r="T238" s="78" t="n">
        <v>1.02</v>
      </c>
      <c r="U238" s="79" t="n">
        <v>0</v>
      </c>
      <c r="V238" s="80" t="n">
        <v>113</v>
      </c>
      <c r="W238" s="75" t="n">
        <v>10</v>
      </c>
      <c r="X238" s="71" t="inlineStr">
        <is>
          <t>NO</t>
        </is>
      </c>
      <c r="Y238" s="76" t="n">
        <v>562.9</v>
      </c>
      <c r="Z238" s="76" t="n">
        <v>39420200</v>
      </c>
      <c r="AA238" s="75" t="n">
        <v>5.5</v>
      </c>
      <c r="AB238" s="71" t="n"/>
      <c r="AC238" s="71" t="n"/>
      <c r="AD238" s="75" t="n"/>
      <c r="AE238" s="71" t="n"/>
      <c r="AF238" s="71" t="n"/>
      <c r="AG238" s="71" t="n"/>
      <c r="AH238" s="71" t="n"/>
      <c r="AI238" s="81" t="n">
        <v>-22.83</v>
      </c>
      <c r="AJ238" s="82" t="n">
        <v>-22.41</v>
      </c>
      <c r="AK238" s="82" t="n">
        <v>-31.37</v>
      </c>
      <c r="AL238" s="82" t="n">
        <v>13.06</v>
      </c>
      <c r="AM238" s="83" t="n">
        <v>0.96</v>
      </c>
      <c r="AN238" s="75" t="n">
        <v>23.67</v>
      </c>
      <c r="AO238" s="82" t="n">
        <v>-2.24</v>
      </c>
      <c r="AP238" s="82" t="n">
        <v>-9.1</v>
      </c>
      <c r="AQ238" s="82" t="n">
        <v>61.06</v>
      </c>
      <c r="AR238" s="82" t="n">
        <v>26</v>
      </c>
      <c r="AS238" s="82" t="n">
        <v>17.15</v>
      </c>
      <c r="AT238" s="82" t="n">
        <v>107.58</v>
      </c>
      <c r="AU238" s="82" t="n">
        <v>-3.22</v>
      </c>
      <c r="AV238" s="82" t="n">
        <v>1.68</v>
      </c>
      <c r="AW238" s="82" t="n">
        <v>74.7</v>
      </c>
      <c r="AX238" s="82" t="n">
        <v>28.67</v>
      </c>
      <c r="AY238" s="82" t="n">
        <v>-10.78</v>
      </c>
      <c r="AZ238" s="82" t="n">
        <v>-11.52</v>
      </c>
      <c r="BA238" s="71" t="inlineStr">
        <is>
          <t>China Biotech ETF (HS biotech proxy)</t>
        </is>
      </c>
      <c r="BB238" s="82" t="n">
        <v>-95.06</v>
      </c>
      <c r="BC238" s="72" t="inlineStr">
        <is>
          <t>2026-09-23</t>
        </is>
      </c>
      <c r="BD238" s="73" t="n">
        <v>519.4</v>
      </c>
      <c r="BE238" s="76" t="n">
        <v>-700.9</v>
      </c>
      <c r="BF238" s="71" t="inlineStr">
        <is>
          <t>N</t>
        </is>
      </c>
      <c r="BG238" s="71" t="inlineStr">
        <is>
          <t>n/m</t>
        </is>
      </c>
      <c r="BH238" s="83" t="n"/>
      <c r="BI238" s="83" t="n"/>
      <c r="BJ238" s="83" t="n">
        <v>19.7</v>
      </c>
      <c r="BK238" s="84">
        <f>IF('BBG Verify'!S238="","not filed; run on terminal",'BBG Verify'!S238)</f>
        <v/>
      </c>
      <c r="BL238" s="85" t="inlineStr">
        <is>
          <t>N</t>
        </is>
      </c>
      <c r="BM238" s="86">
        <f>IF('BBG Verify'!K238="","not filed; run on terminal",'BBG Verify'!K238)</f>
        <v/>
      </c>
      <c r="BN238" s="71" t="inlineStr">
        <is>
          <t>N/A</t>
        </is>
      </c>
      <c r="BO238" s="71" t="inlineStr">
        <is>
          <t>N/A</t>
        </is>
      </c>
      <c r="BP238" s="71" t="inlineStr">
        <is>
          <t>N/A</t>
        </is>
      </c>
      <c r="BQ238" s="71" t="inlineStr">
        <is>
          <t>N/A</t>
        </is>
      </c>
      <c r="BR238" s="71" t="inlineStr">
        <is>
          <t>N/A</t>
        </is>
      </c>
      <c r="BS238" s="71" t="inlineStr">
        <is>
          <t>N/A</t>
        </is>
      </c>
      <c r="BT238" s="85" t="inlineStr">
        <is>
          <t>China International Capital Corporation Hong Kong Securities Limited; Haitong International Capital Limited</t>
        </is>
      </c>
      <c r="BU238" s="71" t="inlineStr">
        <is>
          <t>Haitong International Capital Limited; China International Capital Corporation (HK) Ltd</t>
        </is>
      </c>
      <c r="BV238" s="71"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W238" s="71"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X238" s="87">
        <f>HYPERLINK("https://www1.hkexnews.hk/listedco/listconews/sehk/2023/1229/2023122900023.pdf","prospectus")</f>
        <v/>
      </c>
      <c r="BY238" s="87">
        <f>HYPERLINK("https://www1.hkexnews.hk/listedco/listconews/sehk/2024/0108/2024010801006.pdf","allotment")</f>
        <v/>
      </c>
      <c r="BZ238" s="71" t="n"/>
      <c r="CA238" s="85" t="n"/>
      <c r="CB238"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t>
        </is>
      </c>
    </row>
    <row r="239" ht="15" customHeight="1">
      <c r="A239" s="70" t="inlineStr">
        <is>
          <t>2503</t>
        </is>
      </c>
      <c r="B239" s="71" t="inlineStr">
        <is>
          <t>ZHONGSHENJIANYE</t>
        </is>
      </c>
      <c r="C239" s="71" t="inlineStr">
        <is>
          <t>中深建業</t>
        </is>
      </c>
      <c r="D239" s="71" t="inlineStr">
        <is>
          <t>Industrials</t>
        </is>
      </c>
      <c r="E239" s="71" t="inlineStr">
        <is>
          <t>Construction / engineering</t>
        </is>
      </c>
      <c r="F239" s="71" t="inlineStr">
        <is>
          <t>Building Construction</t>
        </is>
      </c>
      <c r="G239" s="71" t="inlineStr">
        <is>
          <t>Standard</t>
        </is>
      </c>
      <c r="H239" s="72" t="n">
        <v>45300</v>
      </c>
      <c r="I239" s="73" t="n">
        <v>128.7</v>
      </c>
      <c r="J239" s="71" t="inlineStr">
        <is>
          <t>gross (stated)</t>
        </is>
      </c>
      <c r="K239" s="74" t="n"/>
      <c r="L239" s="74" t="n">
        <v>1</v>
      </c>
      <c r="M239" s="74" t="n">
        <v>1</v>
      </c>
      <c r="N239" s="71" t="inlineStr">
        <is>
          <t>Y</t>
        </is>
      </c>
      <c r="O239" s="75" t="n">
        <v>100</v>
      </c>
      <c r="P239" s="75" t="n"/>
      <c r="Q239" s="76" t="n">
        <v>514.8</v>
      </c>
      <c r="R239" s="71" t="inlineStr">
        <is>
          <t>derived:price x shares upon listing</t>
        </is>
      </c>
      <c r="S239" s="77" t="n">
        <v>58.44</v>
      </c>
      <c r="T239" s="78" t="n">
        <v>1.09</v>
      </c>
      <c r="U239" s="79" t="n">
        <v>0</v>
      </c>
      <c r="V239" s="80" t="n">
        <v>137</v>
      </c>
      <c r="W239" s="75" t="n">
        <v>40</v>
      </c>
      <c r="X239" s="71" t="inlineStr">
        <is>
          <t>YES</t>
        </is>
      </c>
      <c r="Y239" s="76" t="n">
        <v>128.7</v>
      </c>
      <c r="Z239" s="76" t="n">
        <v>128700000</v>
      </c>
      <c r="AA239" s="75" t="n">
        <v>25</v>
      </c>
      <c r="AB239" s="71" t="n"/>
      <c r="AC239" s="71" t="n"/>
      <c r="AD239" s="75" t="n"/>
      <c r="AE239" s="71" t="n"/>
      <c r="AF239" s="71" t="n"/>
      <c r="AG239" s="71" t="n"/>
      <c r="AH239" s="71" t="n"/>
      <c r="AI239" s="81" t="n">
        <v>-12</v>
      </c>
      <c r="AJ239" s="82" t="n">
        <v>-28</v>
      </c>
      <c r="AK239" s="82" t="n">
        <v>-19</v>
      </c>
      <c r="AL239" s="82" t="n">
        <v>-11.11</v>
      </c>
      <c r="AM239" s="83" t="n">
        <v>0.63</v>
      </c>
      <c r="AN239" s="75" t="n">
        <v>17.28</v>
      </c>
      <c r="AO239" s="82" t="n">
        <v>5</v>
      </c>
      <c r="AP239" s="82" t="n">
        <v>16</v>
      </c>
      <c r="AQ239" s="82" t="n">
        <v>-24</v>
      </c>
      <c r="AR239" s="82" t="n">
        <v>45.83</v>
      </c>
      <c r="AS239" s="82" t="n">
        <v>61.11</v>
      </c>
      <c r="AT239" s="82" t="n">
        <v>5.56</v>
      </c>
      <c r="AU239" s="82" t="n">
        <v>6.97</v>
      </c>
      <c r="AV239" s="82" t="n">
        <v>17.75</v>
      </c>
      <c r="AW239" s="82" t="n">
        <v>-31.44</v>
      </c>
      <c r="AX239" s="82" t="n">
        <v>62.24</v>
      </c>
      <c r="AY239" s="82" t="n">
        <v>-1.75</v>
      </c>
      <c r="AZ239" s="82" t="n">
        <v>-1.13</v>
      </c>
      <c r="BA239" s="71" t="inlineStr">
        <is>
          <t>Hang Seng Commerce &amp; Industry sub-index</t>
        </is>
      </c>
      <c r="BB239" s="82" t="n">
        <v>-70</v>
      </c>
      <c r="BC239" s="72" t="inlineStr">
        <is>
          <t>2026-09-23</t>
        </is>
      </c>
      <c r="BD239" s="73" t="n">
        <v>1515.9</v>
      </c>
      <c r="BE239" s="76" t="n">
        <v>42.1</v>
      </c>
      <c r="BF239" s="71" t="inlineStr">
        <is>
          <t>Y</t>
        </is>
      </c>
      <c r="BG239" s="83" t="n">
        <v>12.2</v>
      </c>
      <c r="BH239" s="83" t="n"/>
      <c r="BI239" s="83" t="n"/>
      <c r="BJ239" s="83" t="n">
        <v>0.3</v>
      </c>
      <c r="BK239" s="84">
        <f>IF('BBG Verify'!S239="","not filed; run on terminal",'BBG Verify'!S239)</f>
        <v/>
      </c>
      <c r="BL239" s="85" t="inlineStr">
        <is>
          <t>N</t>
        </is>
      </c>
      <c r="BM239" s="86">
        <f>IF('BBG Verify'!K239="","not filed; run on terminal",'BBG Verify'!K239)</f>
        <v/>
      </c>
      <c r="BN239" s="71" t="inlineStr">
        <is>
          <t>N/A</t>
        </is>
      </c>
      <c r="BO239" s="71" t="inlineStr">
        <is>
          <t>N/A</t>
        </is>
      </c>
      <c r="BP239" s="71" t="inlineStr">
        <is>
          <t>N/A</t>
        </is>
      </c>
      <c r="BQ239" s="71" t="inlineStr">
        <is>
          <t>N/A</t>
        </is>
      </c>
      <c r="BR239" s="71" t="inlineStr">
        <is>
          <t>N/A</t>
        </is>
      </c>
      <c r="BS239" s="71" t="inlineStr">
        <is>
          <t>N/A</t>
        </is>
      </c>
      <c r="BT239" s="85" t="inlineStr">
        <is>
          <t>Kingsway Capital Limited</t>
        </is>
      </c>
      <c r="BU239" s="71" t="inlineStr">
        <is>
          <t>Kingsway Capital Limited</t>
        </is>
      </c>
      <c r="BV239" s="71" t="inlineStr">
        <is>
          <t>Kingsway Financial Services Group Limited; Beta International Securities Limited; Valuable Capital Limited</t>
        </is>
      </c>
      <c r="BW239" s="71" t="inlineStr">
        <is>
          <t>Beta International Securities Limited; Valuable Capital Limited</t>
        </is>
      </c>
      <c r="BX239" s="87">
        <f>HYPERLINK("https://www1.hkexnews.hk/listedco/listconews/sehk/2023/1228/2023122800045.pdf","prospectus")</f>
        <v/>
      </c>
      <c r="BY239" s="87">
        <f>HYPERLINK("https://www1.hkexnews.hk/listedco/listconews/sehk/2024/0108/2024010801008.pdf","allotment")</f>
        <v/>
      </c>
      <c r="BZ239" s="71" t="n"/>
      <c r="CA239" s="85" t="n"/>
      <c r="CB239" s="71" t="inlineStr">
        <is>
          <t>greenshoe: no over-allotment option; range low: maximum offer price only, no floor published; cornerstone list: no cornerstone tranche; greenshoe size: no over-allotment option; stabilising manager: no over-allotment option, so none appointed</t>
        </is>
      </c>
    </row>
    <row r="240" ht="15" customHeight="1">
      <c r="A240" s="70" t="inlineStr">
        <is>
          <t>6959</t>
        </is>
      </c>
      <c r="B240" s="71" t="inlineStr">
        <is>
          <t>CHANGJIU HLDGS</t>
        </is>
      </c>
      <c r="C240" s="71" t="inlineStr">
        <is>
          <t>長久股份</t>
        </is>
      </c>
      <c r="D240" s="71" t="inlineStr">
        <is>
          <t>Tech/AI</t>
        </is>
      </c>
      <c r="E240" s="71" t="inlineStr">
        <is>
          <t>SaaS / enterprise software</t>
        </is>
      </c>
      <c r="F240" s="71" t="inlineStr">
        <is>
          <t>Commercial &amp; Professional Services</t>
        </is>
      </c>
      <c r="G240" s="71" t="inlineStr">
        <is>
          <t>Standard</t>
        </is>
      </c>
      <c r="H240" s="72" t="n">
        <v>45300</v>
      </c>
      <c r="I240" s="73" t="n">
        <v>300.71</v>
      </c>
      <c r="J240" s="71" t="inlineStr">
        <is>
          <t>gross (stated)</t>
        </is>
      </c>
      <c r="K240" s="74" t="n">
        <v>5.95</v>
      </c>
      <c r="L240" s="74" t="n">
        <v>7.9</v>
      </c>
      <c r="M240" s="74" t="n">
        <v>5.95</v>
      </c>
      <c r="N240" s="71" t="inlineStr">
        <is>
          <t>N</t>
        </is>
      </c>
      <c r="O240" s="75" t="n">
        <v>75.3</v>
      </c>
      <c r="P240" s="75" t="n">
        <v>0</v>
      </c>
      <c r="Q240" s="76" t="n">
        <v>1202.9</v>
      </c>
      <c r="R240" s="71" t="inlineStr">
        <is>
          <t>derived:price x shares upon listing</t>
        </is>
      </c>
      <c r="S240" s="77" t="n">
        <v>11.67</v>
      </c>
      <c r="T240" s="78" t="n">
        <v>1.07</v>
      </c>
      <c r="U240" s="79" t="n">
        <v>0</v>
      </c>
      <c r="V240" s="80" t="n">
        <v>107</v>
      </c>
      <c r="W240" s="75" t="n">
        <v>10</v>
      </c>
      <c r="X240" s="71" t="inlineStr">
        <is>
          <t>NO</t>
        </is>
      </c>
      <c r="Y240" s="76" t="n">
        <v>300.71</v>
      </c>
      <c r="Z240" s="76" t="n">
        <v>50540000</v>
      </c>
      <c r="AA240" s="75" t="n">
        <v>25</v>
      </c>
      <c r="AB240" s="71" t="n"/>
      <c r="AC240" s="71" t="n"/>
      <c r="AD240" s="75" t="n"/>
      <c r="AE240" s="71" t="n"/>
      <c r="AF240" s="71" t="n"/>
      <c r="AG240" s="71" t="n"/>
      <c r="AH240" s="71" t="n"/>
      <c r="AI240" s="81" t="n">
        <v>2.18</v>
      </c>
      <c r="AJ240" s="82" t="n">
        <v>16.13</v>
      </c>
      <c r="AK240" s="82" t="n">
        <v>2.52</v>
      </c>
      <c r="AL240" s="82" t="n">
        <v>13.28</v>
      </c>
      <c r="AM240" s="83" t="n">
        <v>0.85</v>
      </c>
      <c r="AN240" s="75" t="n">
        <v>19.02</v>
      </c>
      <c r="AO240" s="82" t="n">
        <v>24.71</v>
      </c>
      <c r="AP240" s="82" t="n">
        <v>28.4</v>
      </c>
      <c r="AQ240" s="82" t="n">
        <v>562.1799999999999</v>
      </c>
      <c r="AR240" s="82" t="n">
        <v>7.39</v>
      </c>
      <c r="AS240" s="82" t="n">
        <v>10.57</v>
      </c>
      <c r="AT240" s="82" t="n">
        <v>470.21</v>
      </c>
      <c r="AU240" s="82" t="n">
        <v>29.28</v>
      </c>
      <c r="AV240" s="82" t="n">
        <v>36.95</v>
      </c>
      <c r="AW240" s="82" t="n">
        <v>562.12</v>
      </c>
      <c r="AX240" s="82" t="n">
        <v>18.53</v>
      </c>
      <c r="AY240" s="82" t="n">
        <v>-8.550000000000001</v>
      </c>
      <c r="AZ240" s="82" t="n">
        <v>-7.96</v>
      </c>
      <c r="BA240" s="71" t="inlineStr">
        <is>
          <t>HSTECH (Hang Seng TECH ETF)</t>
        </is>
      </c>
      <c r="BB240" s="82" t="n">
        <v>-46.55</v>
      </c>
      <c r="BC240" s="72" t="inlineStr">
        <is>
          <t>2026-09-23</t>
        </is>
      </c>
      <c r="BD240" s="73" t="n">
        <v>602.7</v>
      </c>
      <c r="BE240" s="76" t="n">
        <v>105.5</v>
      </c>
      <c r="BF240" s="71" t="inlineStr">
        <is>
          <t>Y</t>
        </is>
      </c>
      <c r="BG240" s="83" t="n">
        <v>11.4</v>
      </c>
      <c r="BH240" s="83" t="n"/>
      <c r="BI240" s="83" t="n">
        <v>4.3</v>
      </c>
      <c r="BJ240" s="83" t="n">
        <v>2</v>
      </c>
      <c r="BK240" s="84">
        <f>IF('BBG Verify'!S240="","not filed; run on terminal",'BBG Verify'!S240)</f>
        <v/>
      </c>
      <c r="BL240" s="85" t="inlineStr">
        <is>
          <t>N</t>
        </is>
      </c>
      <c r="BM240" s="86">
        <f>IF('BBG Verify'!K240="","not filed; run on terminal",'BBG Verify'!K240)</f>
        <v/>
      </c>
      <c r="BN240" s="71" t="inlineStr">
        <is>
          <t>N/A</t>
        </is>
      </c>
      <c r="BO240" s="71" t="inlineStr">
        <is>
          <t>N/A</t>
        </is>
      </c>
      <c r="BP240" s="71" t="inlineStr">
        <is>
          <t>N/A</t>
        </is>
      </c>
      <c r="BQ240" s="71" t="inlineStr">
        <is>
          <t>N/A</t>
        </is>
      </c>
      <c r="BR240" s="71" t="inlineStr">
        <is>
          <t>N/A</t>
        </is>
      </c>
      <c r="BS240" s="71" t="inlineStr">
        <is>
          <t>N/A</t>
        </is>
      </c>
      <c r="BT240" s="85" t="inlineStr">
        <is>
          <t>CITIC Securities (Hong Kong) Limited; ICBC International Capital Limited</t>
        </is>
      </c>
      <c r="BU240" s="71" t="inlineStr">
        <is>
          <t>CITIC Securities (Hong Kong) Limited; ICBC International Capital Limited</t>
        </is>
      </c>
      <c r="BV240" s="71" t="inlineStr">
        <is>
          <t>CLSA Limited; ICBC International Securities Limited</t>
        </is>
      </c>
      <c r="BW240" s="71"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X240" s="87">
        <f>HYPERLINK("https://www1.hkexnews.hk/listedco/listconews/sehk/2023/1229/2023122900027.pdf","prospectus")</f>
        <v/>
      </c>
      <c r="BY240" s="87">
        <f>HYPERLINK("https://www1.hkexnews.hk/listedco/listconews/sehk/2024/0108/2024010801108.pdf","allotment")</f>
        <v/>
      </c>
      <c r="BZ240" s="71" t="n"/>
      <c r="CA240" s="85" t="n"/>
      <c r="CB240" s="71" t="inlineStr">
        <is>
          <t>greenshoe: no over-allotment option; cornerstone list: no cornerstone tranche; greenshoe size: no over-allotment option; stabilising manager: no over-allotment option, so none appointed</t>
        </is>
      </c>
    </row>
    <row r="241" ht="15" customHeight="1">
      <c r="A241" s="70" t="inlineStr">
        <is>
          <t>2477</t>
        </is>
      </c>
      <c r="B241" s="71" t="inlineStr">
        <is>
          <t>WELLCELL HOLD</t>
        </is>
      </c>
      <c r="C241" s="71" t="inlineStr">
        <is>
          <t>經緯天地</t>
        </is>
      </c>
      <c r="D241" s="71" t="inlineStr">
        <is>
          <t>Healthcare</t>
        </is>
      </c>
      <c r="E241" s="71" t="inlineStr">
        <is>
          <t>Biopharma commercial</t>
        </is>
      </c>
      <c r="F241" s="71" t="inlineStr">
        <is>
          <t>Telecommunication Services</t>
        </is>
      </c>
      <c r="G241" s="71" t="inlineStr">
        <is>
          <t>Standard</t>
        </is>
      </c>
      <c r="H241" s="72" t="n">
        <v>45303</v>
      </c>
      <c r="I241" s="73" t="n">
        <v>125</v>
      </c>
      <c r="J241" s="71" t="inlineStr">
        <is>
          <t>gross (price x shares)</t>
        </is>
      </c>
      <c r="K241" s="74" t="n">
        <v>1</v>
      </c>
      <c r="L241" s="74" t="n">
        <v>1.3</v>
      </c>
      <c r="M241" s="74" t="n">
        <v>1</v>
      </c>
      <c r="N241" s="71" t="inlineStr">
        <is>
          <t>N</t>
        </is>
      </c>
      <c r="O241" s="75" t="n">
        <v>76.90000000000001</v>
      </c>
      <c r="P241" s="75" t="n">
        <v>0</v>
      </c>
      <c r="Q241" s="76" t="n">
        <v>500</v>
      </c>
      <c r="R241" s="71" t="inlineStr">
        <is>
          <t>derived:price x shares upon listing</t>
        </is>
      </c>
      <c r="S241" s="77" t="n">
        <v>28.64</v>
      </c>
      <c r="T241" s="78" t="n">
        <v>0.97</v>
      </c>
      <c r="U241" s="79" t="n">
        <v>0</v>
      </c>
      <c r="V241" s="80" t="n">
        <v>176</v>
      </c>
      <c r="W241" s="75" t="n"/>
      <c r="X241" s="71" t="inlineStr">
        <is>
          <t>NO</t>
        </is>
      </c>
      <c r="Y241" s="76" t="n">
        <v>125</v>
      </c>
      <c r="Z241" s="76" t="n">
        <v>125000000</v>
      </c>
      <c r="AA241" s="75" t="n">
        <v>25</v>
      </c>
      <c r="AB241" s="71" t="n"/>
      <c r="AC241" s="71" t="n"/>
      <c r="AD241" s="75" t="n">
        <v>20</v>
      </c>
      <c r="AE241" s="71" t="inlineStr">
        <is>
          <t>lapsed (no over-allocation)</t>
        </is>
      </c>
      <c r="AF241" s="71" t="n"/>
      <c r="AG241" s="71" t="inlineStr">
        <is>
          <t>Eddid Secu rities and Futures Limited</t>
        </is>
      </c>
      <c r="AH241" s="71" t="inlineStr">
        <is>
          <t>Eddid Secu</t>
        </is>
      </c>
      <c r="AI241" s="81" t="n">
        <v>64.5</v>
      </c>
      <c r="AJ241" s="82" t="n">
        <v>164</v>
      </c>
      <c r="AK241" s="82" t="n">
        <v>77</v>
      </c>
      <c r="AL241" s="82" t="n">
        <v>49.15</v>
      </c>
      <c r="AM241" s="83" t="n">
        <v>1.12</v>
      </c>
      <c r="AN241" s="75" t="n">
        <v>55.93</v>
      </c>
      <c r="AO241" s="82" t="n">
        <v>250</v>
      </c>
      <c r="AP241" s="82" t="n">
        <v>230</v>
      </c>
      <c r="AQ241" s="82" t="n">
        <v>232</v>
      </c>
      <c r="AR241" s="82" t="n">
        <v>32.58</v>
      </c>
      <c r="AS241" s="82" t="n">
        <v>25</v>
      </c>
      <c r="AT241" s="82" t="n">
        <v>25.76</v>
      </c>
      <c r="AU241" s="82" t="n">
        <v>256.27</v>
      </c>
      <c r="AV241" s="82" t="n">
        <v>244.15</v>
      </c>
      <c r="AW241" s="82" t="n">
        <v>249.56</v>
      </c>
      <c r="AX241" s="82" t="n">
        <v>37.92</v>
      </c>
      <c r="AY241" s="82" t="n">
        <v>-14.15</v>
      </c>
      <c r="AZ241" s="82" t="n">
        <v>-12.92</v>
      </c>
      <c r="BA241" s="71" t="inlineStr">
        <is>
          <t>China Biotech ETF (HS biotech proxy)</t>
        </is>
      </c>
      <c r="BB241" s="82" t="n">
        <v>70.40000000000001</v>
      </c>
      <c r="BC241" s="72" t="inlineStr">
        <is>
          <t>2026-09-23</t>
        </is>
      </c>
      <c r="BD241" s="73" t="n">
        <v>249.2</v>
      </c>
      <c r="BE241" s="76" t="n">
        <v>26.7</v>
      </c>
      <c r="BF241" s="71" t="inlineStr">
        <is>
          <t>Y</t>
        </is>
      </c>
      <c r="BG241" s="83" t="n">
        <v>18.7</v>
      </c>
      <c r="BH241" s="83" t="n"/>
      <c r="BI241" s="83" t="n">
        <v>64</v>
      </c>
      <c r="BJ241" s="83" t="n">
        <v>2</v>
      </c>
      <c r="BK241" s="84">
        <f>IF('BBG Verify'!S241="","not filed; run on terminal",'BBG Verify'!S241)</f>
        <v/>
      </c>
      <c r="BL241" s="85" t="inlineStr">
        <is>
          <t>N</t>
        </is>
      </c>
      <c r="BM241" s="86">
        <f>IF('BBG Verify'!K241="","not filed; run on terminal",'BBG Verify'!K241)</f>
        <v/>
      </c>
      <c r="BN241" s="71" t="inlineStr">
        <is>
          <t>N/A</t>
        </is>
      </c>
      <c r="BO241" s="71" t="inlineStr">
        <is>
          <t>N/A</t>
        </is>
      </c>
      <c r="BP241" s="71" t="inlineStr">
        <is>
          <t>N/A</t>
        </is>
      </c>
      <c r="BQ241" s="71" t="inlineStr">
        <is>
          <t>N/A</t>
        </is>
      </c>
      <c r="BR241" s="71" t="inlineStr">
        <is>
          <t>N/A</t>
        </is>
      </c>
      <c r="BS241" s="71" t="inlineStr">
        <is>
          <t>N/A</t>
        </is>
      </c>
      <c r="BT241" s="85" t="inlineStr">
        <is>
          <t>Halcyon Capital Limited; Eddid Capital Limited</t>
        </is>
      </c>
      <c r="BU241" s="71" t="inlineStr">
        <is>
          <t>Halcyon Capital Limited; Eddid Capital Limited</t>
        </is>
      </c>
      <c r="BV241" s="71" t="inlineStr">
        <is>
          <t>Eddid Securities and Futures Limited; Halcyon Securities Limited; Beta International S ecurities Limited; CMBC Securities Company Limited; China PA Securities (Hong Kong) Company Limited; Quam Securities Limited; China Everbright Securities (HK) Limited</t>
        </is>
      </c>
      <c r="BW241" s="71"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X241" s="87">
        <f>HYPERLINK("https://www1.hkexnews.hk/listedco/listconews/sehk/2023/1228/2023122800033.pdf","prospectus")</f>
        <v/>
      </c>
      <c r="BY241" s="87">
        <f>HYPERLINK("https://www1.hkexnews.hk/listedco/listconews/sehk/2024/0111/2024011101058.pdf","allotment")</f>
        <v/>
      </c>
      <c r="BZ241" s="87">
        <f>HYPERLINK("https://www1.hkexnews.hk/listedco/listconews/sehk/2024/0208/2024020800426.pdf","stabilisation")</f>
        <v/>
      </c>
      <c r="CA241" s="85" t="n"/>
      <c r="CB241" s="71" t="inlineStr">
        <is>
          <t>greenshoe: outcome published; expiry date not in the notice; cornerstone list: no cornerstone tranche; allocation: allocation table not in this notice's format (older prose announcement)</t>
        </is>
      </c>
    </row>
    <row r="242" ht="15" customHeight="1">
      <c r="A242" s="70" t="inlineStr">
        <is>
          <t>2535</t>
        </is>
      </c>
      <c r="B242" s="71" t="inlineStr">
        <is>
          <t>WK GROUP</t>
        </is>
      </c>
      <c r="C242" s="71" t="inlineStr">
        <is>
          <t>泓基集團</t>
        </is>
      </c>
      <c r="D242" s="71" t="inlineStr">
        <is>
          <t>Industrials</t>
        </is>
      </c>
      <c r="E242" s="71" t="inlineStr">
        <is>
          <t>Construction / engineering</t>
        </is>
      </c>
      <c r="F242" s="71" t="inlineStr">
        <is>
          <t>Building Construction</t>
        </is>
      </c>
      <c r="G242" s="71" t="inlineStr">
        <is>
          <t>Standard</t>
        </is>
      </c>
      <c r="H242" s="72" t="n">
        <v>45359</v>
      </c>
      <c r="I242" s="73" t="n">
        <v>125</v>
      </c>
      <c r="J242" s="71" t="inlineStr">
        <is>
          <t>gross (stated)</t>
        </is>
      </c>
      <c r="K242" s="74" t="n"/>
      <c r="L242" s="74" t="n">
        <v>0.27</v>
      </c>
      <c r="M242" s="74" t="n">
        <v>0.25</v>
      </c>
      <c r="N242" s="71" t="inlineStr">
        <is>
          <t>N</t>
        </is>
      </c>
      <c r="O242" s="75" t="n">
        <v>92.59999999999999</v>
      </c>
      <c r="P242" s="75" t="n"/>
      <c r="Q242" s="76" t="n">
        <v>500</v>
      </c>
      <c r="R242" s="71" t="inlineStr">
        <is>
          <t>derived:price x shares upon listing</t>
        </is>
      </c>
      <c r="S242" s="77" t="n">
        <v>70.48</v>
      </c>
      <c r="T242" s="78" t="n">
        <v>0.98</v>
      </c>
      <c r="U242" s="79" t="n"/>
      <c r="V242" s="80" t="n">
        <v>147</v>
      </c>
      <c r="W242" s="75" t="n">
        <v>20</v>
      </c>
      <c r="X242" s="71" t="inlineStr">
        <is>
          <t>NO</t>
        </is>
      </c>
      <c r="Y242" s="76" t="n">
        <v>125</v>
      </c>
      <c r="Z242" s="76" t="n">
        <v>500000000</v>
      </c>
      <c r="AA242" s="75" t="n">
        <v>25</v>
      </c>
      <c r="AB242" s="71" t="n"/>
      <c r="AC242" s="71" t="n"/>
      <c r="AD242" s="75" t="n"/>
      <c r="AE242" s="71" t="inlineStr">
        <is>
          <t>lapsed</t>
        </is>
      </c>
      <c r="AF242" s="71" t="n"/>
      <c r="AG242" s="71" t="inlineStr">
        <is>
          <t>Yuen Meta</t>
        </is>
      </c>
      <c r="AH242" s="71" t="inlineStr">
        <is>
          <t>Yuen Meta</t>
        </is>
      </c>
      <c r="AI242" s="81" t="n">
        <v>164</v>
      </c>
      <c r="AJ242" s="82" t="n">
        <v>136</v>
      </c>
      <c r="AK242" s="82" t="n">
        <v>160</v>
      </c>
      <c r="AL242" s="82" t="n">
        <v>-9.23</v>
      </c>
      <c r="AM242" s="83" t="n">
        <v>0.97</v>
      </c>
      <c r="AN242" s="75" t="n">
        <v>38.46</v>
      </c>
      <c r="AO242" s="82" t="n">
        <v>156</v>
      </c>
      <c r="AP242" s="82" t="n">
        <v>156</v>
      </c>
      <c r="AQ242" s="82" t="n">
        <v>132</v>
      </c>
      <c r="AR242" s="82" t="n">
        <v>8.470000000000001</v>
      </c>
      <c r="AS242" s="82" t="n">
        <v>8.470000000000001</v>
      </c>
      <c r="AT242" s="82" t="n">
        <v>-1.69</v>
      </c>
      <c r="AU242" s="82" t="n">
        <v>151.85</v>
      </c>
      <c r="AV242" s="82" t="n">
        <v>147.36</v>
      </c>
      <c r="AW242" s="82" t="n">
        <v>117.92</v>
      </c>
      <c r="AX242" s="82" t="n">
        <v>0.53</v>
      </c>
      <c r="AY242" s="82" t="n">
        <v>8.640000000000001</v>
      </c>
      <c r="AZ242" s="82" t="n">
        <v>7.94</v>
      </c>
      <c r="BA242" s="71" t="inlineStr">
        <is>
          <t>Hang Seng Commerce &amp; Industry sub-index</t>
        </is>
      </c>
      <c r="BB242" s="82" t="n">
        <v>170</v>
      </c>
      <c r="BC242" s="72" t="inlineStr">
        <is>
          <t>2026-09-23</t>
        </is>
      </c>
      <c r="BD242" s="73" t="n">
        <v>336.4</v>
      </c>
      <c r="BE242" s="76" t="n">
        <v>39.3</v>
      </c>
      <c r="BF242" s="71" t="inlineStr">
        <is>
          <t>Y</t>
        </is>
      </c>
      <c r="BG242" s="83" t="n">
        <v>12.7</v>
      </c>
      <c r="BH242" s="83" t="n"/>
      <c r="BI242" s="83" t="n">
        <v>72.09999999999999</v>
      </c>
      <c r="BJ242" s="83" t="n">
        <v>1.5</v>
      </c>
      <c r="BK242" s="84">
        <f>IF('BBG Verify'!S242="","not filed; run on terminal",'BBG Verify'!S242)</f>
        <v/>
      </c>
      <c r="BL242" s="85" t="inlineStr">
        <is>
          <t>N</t>
        </is>
      </c>
      <c r="BM242" s="86">
        <f>IF('BBG Verify'!K242="","not filed; run on terminal",'BBG Verify'!K242)</f>
        <v/>
      </c>
      <c r="BN242" s="71" t="inlineStr">
        <is>
          <t>N/A</t>
        </is>
      </c>
      <c r="BO242" s="71" t="inlineStr">
        <is>
          <t>N/A</t>
        </is>
      </c>
      <c r="BP242" s="71" t="inlineStr">
        <is>
          <t>N/A</t>
        </is>
      </c>
      <c r="BQ242" s="71" t="inlineStr">
        <is>
          <t>N/A</t>
        </is>
      </c>
      <c r="BR242" s="71" t="inlineStr">
        <is>
          <t>N/A</t>
        </is>
      </c>
      <c r="BS242" s="71" t="inlineStr">
        <is>
          <t>N/A</t>
        </is>
      </c>
      <c r="BT242" s="85" t="n"/>
      <c r="BU242" s="71" t="inlineStr">
        <is>
          <t>Grande Capital Limited</t>
        </is>
      </c>
      <c r="BV242" s="71" t="inlineStr">
        <is>
          <t>Eddid Securities and Futures Limited; Fortune Origin Securities Limited; Grand China Securities Limited; Grande Capital Limited; Lee Go Securities Limited; Livermore Holdings Limited</t>
        </is>
      </c>
      <c r="BW242" s="71"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X242" s="87">
        <f>HYPERLINK("https://www1.hkexnews.hk/listedco/listconews/sehk/2024/0229/2024022900018.htm","prospectus")</f>
        <v/>
      </c>
      <c r="BY242" s="87">
        <f>HYPERLINK("https://www1.hkexnews.hk/listedco/listconews/sehk/2024/0307/2024030700933.pdf","allotment")</f>
        <v/>
      </c>
      <c r="BZ242" s="87">
        <f>HYPERLINK("https://www1.hkexnews.hk/listedco/listconews/sehk/2024/0405/2024040501467.pdf","stabilisation")</f>
        <v/>
      </c>
      <c r="CA242" s="85" t="n"/>
      <c r="CB242" s="71"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t>
        </is>
      </c>
    </row>
    <row r="243" ht="15" customHeight="1">
      <c r="A243" s="70" t="inlineStr">
        <is>
          <t>2540</t>
        </is>
      </c>
      <c r="B243" s="71" t="inlineStr">
        <is>
          <t>LESI GROUP</t>
        </is>
      </c>
      <c r="C243" s="71" t="inlineStr">
        <is>
          <t>樂思集團</t>
        </is>
      </c>
      <c r="D243" s="71" t="inlineStr">
        <is>
          <t>TMT-other</t>
        </is>
      </c>
      <c r="E243" s="71" t="inlineStr">
        <is>
          <t>Media / advertising</t>
        </is>
      </c>
      <c r="F243" s="71" t="inlineStr">
        <is>
          <t>Advertising</t>
        </is>
      </c>
      <c r="G243" s="71" t="inlineStr">
        <is>
          <t>Standard</t>
        </is>
      </c>
      <c r="H243" s="72" t="n">
        <v>45359</v>
      </c>
      <c r="I243" s="73" t="n">
        <v>137.5</v>
      </c>
      <c r="J243" s="71" t="inlineStr">
        <is>
          <t>gross (price x shares)</t>
        </is>
      </c>
      <c r="K243" s="74" t="n">
        <v>1.1</v>
      </c>
      <c r="L243" s="74" t="n">
        <v>1.5</v>
      </c>
      <c r="M243" s="74" t="n">
        <v>1.1</v>
      </c>
      <c r="N243" s="71" t="inlineStr">
        <is>
          <t>N</t>
        </is>
      </c>
      <c r="O243" s="75" t="n">
        <v>73.3</v>
      </c>
      <c r="P243" s="75" t="n">
        <v>0</v>
      </c>
      <c r="Q243" s="76" t="n">
        <v>550</v>
      </c>
      <c r="R243" s="71" t="inlineStr">
        <is>
          <t>derived:price x shares upon listing</t>
        </is>
      </c>
      <c r="S243" s="77" t="n">
        <v>22.35</v>
      </c>
      <c r="T243" s="78" t="n">
        <v>1.46</v>
      </c>
      <c r="U243" s="79" t="n">
        <v>0</v>
      </c>
      <c r="V243" s="80" t="n">
        <v>242</v>
      </c>
      <c r="W243" s="75" t="n">
        <v>30</v>
      </c>
      <c r="X243" s="71" t="inlineStr">
        <is>
          <t>YES</t>
        </is>
      </c>
      <c r="Y243" s="76" t="n">
        <v>137.5</v>
      </c>
      <c r="Z243" s="76" t="n">
        <v>125000000</v>
      </c>
      <c r="AA243" s="75" t="n">
        <v>25</v>
      </c>
      <c r="AB243" s="71" t="n"/>
      <c r="AC243" s="71" t="n"/>
      <c r="AD243" s="75" t="n">
        <v>20</v>
      </c>
      <c r="AE243" s="71" t="inlineStr">
        <is>
          <t>lapsed (no over-allocation)</t>
        </is>
      </c>
      <c r="AF243" s="71" t="n"/>
      <c r="AG243" s="71" t="n"/>
      <c r="AH243" s="71" t="n"/>
      <c r="AI243" s="81" t="n">
        <v>-16.36</v>
      </c>
      <c r="AJ243" s="82" t="n">
        <v>36.36</v>
      </c>
      <c r="AK243" s="82" t="n">
        <v>-18.18</v>
      </c>
      <c r="AL243" s="82" t="n">
        <v>66.66</v>
      </c>
      <c r="AM243" s="83" t="n">
        <v>1.75</v>
      </c>
      <c r="AN243" s="75" t="n">
        <v>77.78</v>
      </c>
      <c r="AO243" s="82" t="n">
        <v>166.36</v>
      </c>
      <c r="AP243" s="82" t="n">
        <v>219.09</v>
      </c>
      <c r="AQ243" s="82" t="n">
        <v>90.91</v>
      </c>
      <c r="AR243" s="82" t="n">
        <v>95.34</v>
      </c>
      <c r="AS243" s="82" t="n">
        <v>134.01</v>
      </c>
      <c r="AT243" s="82" t="n">
        <v>40</v>
      </c>
      <c r="AU243" s="82" t="n">
        <v>163.33</v>
      </c>
      <c r="AV243" s="82" t="n">
        <v>213.76</v>
      </c>
      <c r="AW243" s="82" t="n">
        <v>79.31</v>
      </c>
      <c r="AX243" s="82" t="n">
        <v>129.47</v>
      </c>
      <c r="AY243" s="82" t="n">
        <v>5.33</v>
      </c>
      <c r="AZ243" s="82" t="n">
        <v>4.54</v>
      </c>
      <c r="BA243" s="71" t="inlineStr">
        <is>
          <t>Hang Seng Index</t>
        </is>
      </c>
      <c r="BB243" s="82" t="n">
        <v>-25.91</v>
      </c>
      <c r="BC243" s="72" t="inlineStr">
        <is>
          <t>2026-09-21</t>
        </is>
      </c>
      <c r="BD243" s="73" t="n">
        <v>541.8</v>
      </c>
      <c r="BE243" s="76" t="n">
        <v>75.09999999999999</v>
      </c>
      <c r="BF243" s="71" t="inlineStr">
        <is>
          <t>Y</t>
        </is>
      </c>
      <c r="BG243" s="83" t="n">
        <v>7.3</v>
      </c>
      <c r="BH243" s="83" t="n"/>
      <c r="BI243" s="83" t="n">
        <v>8.300000000000001</v>
      </c>
      <c r="BJ243" s="83" t="n">
        <v>1</v>
      </c>
      <c r="BK243" s="84">
        <f>IF('BBG Verify'!S243="","not filed; run on terminal",'BBG Verify'!S243)</f>
        <v/>
      </c>
      <c r="BL243" s="85" t="inlineStr">
        <is>
          <t>N</t>
        </is>
      </c>
      <c r="BM243" s="86">
        <f>IF('BBG Verify'!K243="","not filed; run on terminal",'BBG Verify'!K243)</f>
        <v/>
      </c>
      <c r="BN243" s="71" t="inlineStr">
        <is>
          <t>N/A</t>
        </is>
      </c>
      <c r="BO243" s="71" t="inlineStr">
        <is>
          <t>N/A</t>
        </is>
      </c>
      <c r="BP243" s="71" t="inlineStr">
        <is>
          <t>N/A</t>
        </is>
      </c>
      <c r="BQ243" s="71" t="inlineStr">
        <is>
          <t>N/A</t>
        </is>
      </c>
      <c r="BR243" s="71" t="inlineStr">
        <is>
          <t>N/A</t>
        </is>
      </c>
      <c r="BS243" s="71" t="inlineStr">
        <is>
          <t>N/A</t>
        </is>
      </c>
      <c r="BT243" s="85" t="inlineStr">
        <is>
          <t>China Sunrise Capital Limited</t>
        </is>
      </c>
      <c r="BU243" s="71" t="inlineStr">
        <is>
          <t>China Sunrise Capital Limited</t>
        </is>
      </c>
      <c r="BV243" s="71" t="inlineStr">
        <is>
          <t>China Sunrise Securities (International) Limited; ABCI Capital Limited; BOCI Asia Limited; BOCOM International S ecurities Limited; CEB International Capital Corporation Limited</t>
        </is>
      </c>
      <c r="BW243" s="71"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X243" s="87">
        <f>HYPERLINK("https://www1.hkexnews.hk/listedco/listconews/sehk/2024/0229/2024022900168.pdf","prospectus")</f>
        <v/>
      </c>
      <c r="BY243" s="87">
        <f>HYPERLINK("https://www1.hkexnews.hk/listedco/listconews/sehk/2024/0307/2024030700935.pdf","allotment")</f>
        <v/>
      </c>
      <c r="BZ243" s="87">
        <f>HYPERLINK("https://www1.hkexnews.hk/listedco/listconews/sehk/2024/0405/2024040500023.pdf","stabilisation")</f>
        <v/>
      </c>
      <c r="CA243" s="85" t="n"/>
      <c r="CB243" s="71" t="inlineStr">
        <is>
          <t>greenshoe: outcome published; expiry date not in the notice; cornerstone list: no cornerstone tranche; stabilising manager: not named in the allotment notice or prospectus glossary</t>
        </is>
      </c>
    </row>
    <row r="244" ht="15" customHeight="1">
      <c r="A244" s="70" t="inlineStr">
        <is>
          <t>2509</t>
        </is>
      </c>
      <c r="B244" s="71" t="inlineStr">
        <is>
          <t>QYUNS-B</t>
        </is>
      </c>
      <c r="C244" s="71" t="inlineStr">
        <is>
          <t>荃信生物－Ｂ</t>
        </is>
      </c>
      <c r="D244" s="71" t="inlineStr">
        <is>
          <t>Healthcare</t>
        </is>
      </c>
      <c r="E244" s="71" t="inlineStr">
        <is>
          <t>Biotech pre-revenue (18A)</t>
        </is>
      </c>
      <c r="F244" s="71" t="inlineStr">
        <is>
          <t>Biotechnology - Pharmaceuticals</t>
        </is>
      </c>
      <c r="G244" s="71" t="inlineStr">
        <is>
          <t>18A</t>
        </is>
      </c>
      <c r="H244" s="72" t="n">
        <v>45371</v>
      </c>
      <c r="I244" s="73" t="n">
        <v>238.5</v>
      </c>
      <c r="J244" s="71" t="inlineStr">
        <is>
          <t>gross (price x shares)</t>
        </is>
      </c>
      <c r="K244" s="74" t="n">
        <v>19.8</v>
      </c>
      <c r="L244" s="74" t="n">
        <v>20.2</v>
      </c>
      <c r="M244" s="74" t="n">
        <v>19.8</v>
      </c>
      <c r="N244" s="71" t="inlineStr">
        <is>
          <t>N</t>
        </is>
      </c>
      <c r="O244" s="75" t="n">
        <v>98</v>
      </c>
      <c r="P244" s="75" t="n">
        <v>0</v>
      </c>
      <c r="Q244" s="76" t="n">
        <v>4397</v>
      </c>
      <c r="R244" s="71" t="inlineStr">
        <is>
          <t>derived:price x shares upon listing</t>
        </is>
      </c>
      <c r="S244" s="77" t="n">
        <v>163.15</v>
      </c>
      <c r="T244" s="78" t="n">
        <v>1</v>
      </c>
      <c r="U244" s="79" t="n">
        <v>82.05</v>
      </c>
      <c r="V244" s="80" t="n">
        <v>109</v>
      </c>
      <c r="W244" s="75" t="n">
        <v>17.77</v>
      </c>
      <c r="X244" s="71" t="n"/>
      <c r="Y244" s="76" t="n">
        <v>42.81</v>
      </c>
      <c r="Z244" s="76" t="n">
        <v>2162329</v>
      </c>
      <c r="AA244" s="75" t="n">
        <v>0.97</v>
      </c>
      <c r="AB244" s="71" t="inlineStr">
        <is>
          <t>Beevest Capital Limited; Huadong Medicine Investment Holding (Hong Kong) Limited; JianXin Medical Technology Limited</t>
        </is>
      </c>
      <c r="AC244" s="71" t="inlineStr">
        <is>
          <t>beevest;huadong;jianxin</t>
        </is>
      </c>
      <c r="AD244" s="75" t="n"/>
      <c r="AE244" s="71" t="n"/>
      <c r="AF244" s="71" t="n"/>
      <c r="AG244" s="71" t="n"/>
      <c r="AH244" s="71" t="n"/>
      <c r="AI244" s="81" t="n">
        <v>38.13</v>
      </c>
      <c r="AJ244" s="82" t="n">
        <v>23.74</v>
      </c>
      <c r="AK244" s="82" t="n">
        <v>38.38</v>
      </c>
      <c r="AL244" s="82" t="n">
        <v>-10.58</v>
      </c>
      <c r="AM244" s="83" t="n">
        <v>1.08</v>
      </c>
      <c r="AN244" s="75" t="n">
        <v>13.5</v>
      </c>
      <c r="AO244" s="82" t="n">
        <v>20.96</v>
      </c>
      <c r="AP244" s="82" t="n">
        <v>20.71</v>
      </c>
      <c r="AQ244" s="82" t="n">
        <v>39.65</v>
      </c>
      <c r="AR244" s="82" t="n">
        <v>-2.25</v>
      </c>
      <c r="AS244" s="82" t="n">
        <v>-2.45</v>
      </c>
      <c r="AT244" s="82" t="n">
        <v>12.86</v>
      </c>
      <c r="AU244" s="82" t="n">
        <v>24.95</v>
      </c>
      <c r="AV244" s="82" t="n">
        <v>27.75</v>
      </c>
      <c r="AW244" s="82" t="n">
        <v>50.34</v>
      </c>
      <c r="AX244" s="82" t="n">
        <v>4.74</v>
      </c>
      <c r="AY244" s="82" t="n">
        <v>-7.04</v>
      </c>
      <c r="AZ244" s="82" t="n">
        <v>-7.19</v>
      </c>
      <c r="BA244" s="71" t="inlineStr">
        <is>
          <t>China Biotech ETF (HS biotech proxy)</t>
        </is>
      </c>
      <c r="BB244" s="82" t="n">
        <v>-13.89</v>
      </c>
      <c r="BC244" s="72" t="inlineStr">
        <is>
          <t>2026-09-23</t>
        </is>
      </c>
      <c r="BD244" s="73" t="n">
        <v>81.2</v>
      </c>
      <c r="BE244" s="76" t="n">
        <v>-226.5</v>
      </c>
      <c r="BF244" s="71" t="inlineStr">
        <is>
          <t>N</t>
        </is>
      </c>
      <c r="BG244" s="71" t="inlineStr">
        <is>
          <t>n/m</t>
        </is>
      </c>
      <c r="BH244" s="83" t="n"/>
      <c r="BI244" s="83" t="n">
        <v>11.1</v>
      </c>
      <c r="BJ244" s="83" t="n">
        <v>54.2</v>
      </c>
      <c r="BK244" s="84">
        <f>IF('BBG Verify'!S244="","not filed; run on terminal",'BBG Verify'!S244)</f>
        <v/>
      </c>
      <c r="BL244" s="85" t="inlineStr">
        <is>
          <t>N</t>
        </is>
      </c>
      <c r="BM244" s="86">
        <f>IF('BBG Verify'!K244="","not filed; run on terminal",'BBG Verify'!K244)</f>
        <v/>
      </c>
      <c r="BN244" s="71" t="inlineStr">
        <is>
          <t>N/A</t>
        </is>
      </c>
      <c r="BO244" s="71" t="inlineStr">
        <is>
          <t>N/A</t>
        </is>
      </c>
      <c r="BP244" s="71" t="inlineStr">
        <is>
          <t>N/A</t>
        </is>
      </c>
      <c r="BQ244" s="71" t="inlineStr">
        <is>
          <t>N/A</t>
        </is>
      </c>
      <c r="BR244" s="71" t="inlineStr">
        <is>
          <t>N/A</t>
        </is>
      </c>
      <c r="BS244" s="71" t="inlineStr">
        <is>
          <t>N/A</t>
        </is>
      </c>
      <c r="BT244" s="85" t="n"/>
      <c r="BU244" s="71" t="inlineStr">
        <is>
          <t>China International Capital Corporation Hong Kong Securities Limited</t>
        </is>
      </c>
      <c r="BV244" s="71"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W244" s="71"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X244" s="87">
        <f>HYPERLINK("https://www1.hkexnews.hk/listedco/listconews/sehk/2024/0312/2024031200007.pdf","prospectus")</f>
        <v/>
      </c>
      <c r="BY244" s="87">
        <f>HYPERLINK("https://www1.hkexnews.hk/listedco/listconews/sehk/2024/0319/2024031901351.pdf","allotment")</f>
        <v/>
      </c>
      <c r="BZ244" s="71" t="n"/>
      <c r="CA244" s="85" t="n"/>
      <c r="CB244" s="71" t="inlineStr">
        <is>
          <t>P/E: loss-making at IPO, use P/S; greenshoe: no over-allotment option; sponsor: English name not in the filing; AAStocks 保薦人 shown; greenshoe size: no over-allotment option; stabilising manager: no over-allotment option, so none appointed; allocation: clawback line not in this notice; a 12-28% split is consistent with either a tier-1 clawback or a placing shortfall</t>
        </is>
      </c>
    </row>
    <row r="245" ht="15" customHeight="1">
      <c r="A245" s="70" t="inlineStr">
        <is>
          <t>9879</t>
        </is>
      </c>
      <c r="B245" s="71" t="inlineStr">
        <is>
          <t>MIGAO GROUP</t>
        </is>
      </c>
      <c r="C245" s="71" t="inlineStr">
        <is>
          <t>米高集團</t>
        </is>
      </c>
      <c r="D245" s="71" t="inlineStr">
        <is>
          <t>Materials/Energy</t>
        </is>
      </c>
      <c r="E245" s="71" t="inlineStr">
        <is>
          <t>Chemicals</t>
        </is>
      </c>
      <c r="F245" s="71" t="inlineStr">
        <is>
          <t>Fertilizers &amp; Agricultural Chemicals</t>
        </is>
      </c>
      <c r="G245" s="71" t="inlineStr">
        <is>
          <t>Standard</t>
        </is>
      </c>
      <c r="H245" s="72" t="n">
        <v>45372</v>
      </c>
      <c r="I245" s="73" t="n">
        <v>918</v>
      </c>
      <c r="J245" s="71" t="inlineStr">
        <is>
          <t>gross (price x shares)</t>
        </is>
      </c>
      <c r="K245" s="74" t="n">
        <v>3.3</v>
      </c>
      <c r="L245" s="74" t="n">
        <v>4.3</v>
      </c>
      <c r="M245" s="74" t="n">
        <v>4.08</v>
      </c>
      <c r="N245" s="71" t="inlineStr">
        <is>
          <t>N</t>
        </is>
      </c>
      <c r="O245" s="75" t="n">
        <v>94.90000000000001</v>
      </c>
      <c r="P245" s="75" t="n">
        <v>78</v>
      </c>
      <c r="Q245" s="76" t="n">
        <v>3672</v>
      </c>
      <c r="R245" s="71" t="inlineStr">
        <is>
          <t>derived:price x shares upon listing</t>
        </is>
      </c>
      <c r="S245" s="77" t="n">
        <v>9.789999999999999</v>
      </c>
      <c r="T245" s="78" t="n">
        <v>1.28</v>
      </c>
      <c r="U245" s="79" t="n">
        <v>45.58</v>
      </c>
      <c r="V245" s="80" t="n">
        <v>119</v>
      </c>
      <c r="W245" s="75" t="n">
        <v>10</v>
      </c>
      <c r="X245" s="71" t="inlineStr">
        <is>
          <t>NO</t>
        </is>
      </c>
      <c r="Y245" s="76" t="n">
        <v>499.58</v>
      </c>
      <c r="Z245" s="76" t="n">
        <v>122445000</v>
      </c>
      <c r="AA245" s="75" t="n">
        <v>13.61</v>
      </c>
      <c r="AB245" s="71" t="inlineStr">
        <is>
          <t>Harvest; Mega Dynamic Group Limited; Pioneer Top Holdings Limited; Shenyang Xinchang Grain Trade Co., Ltd</t>
        </is>
      </c>
      <c r="AC245" s="71" t="inlineStr">
        <is>
          <t>harvest;mega;pioneer;shenyang</t>
        </is>
      </c>
      <c r="AD245" s="75" t="n">
        <v>10</v>
      </c>
      <c r="AE245" s="71" t="inlineStr">
        <is>
          <t>partial</t>
        </is>
      </c>
      <c r="AF245" s="71" t="n"/>
      <c r="AG245" s="71" t="n"/>
      <c r="AH245" s="71" t="n"/>
      <c r="AI245" s="81" t="n">
        <v>16.18</v>
      </c>
      <c r="AJ245" s="82" t="n">
        <v>0.25</v>
      </c>
      <c r="AK245" s="82" t="n">
        <v>7.35</v>
      </c>
      <c r="AL245" s="82" t="n">
        <v>-6.61</v>
      </c>
      <c r="AM245" s="83" t="n">
        <v>1.53</v>
      </c>
      <c r="AN245" s="75" t="n">
        <v>11.42</v>
      </c>
      <c r="AO245" s="82" t="n">
        <v>-0</v>
      </c>
      <c r="AP245" s="82" t="n">
        <v>31.13</v>
      </c>
      <c r="AQ245" s="82" t="n">
        <v>98.53</v>
      </c>
      <c r="AR245" s="82" t="n">
        <v>-0.25</v>
      </c>
      <c r="AS245" s="82" t="n">
        <v>30.8</v>
      </c>
      <c r="AT245" s="82" t="n">
        <v>98.03</v>
      </c>
      <c r="AU245" s="82" t="n">
        <v>-0.77</v>
      </c>
      <c r="AV245" s="82" t="n">
        <v>25.83</v>
      </c>
      <c r="AW245" s="82" t="n">
        <v>89.27</v>
      </c>
      <c r="AX245" s="82" t="n">
        <v>27.29</v>
      </c>
      <c r="AY245" s="82" t="n">
        <v>5.3</v>
      </c>
      <c r="AZ245" s="82" t="n">
        <v>3.51</v>
      </c>
      <c r="BA245" s="71" t="inlineStr">
        <is>
          <t>Hang Seng Commerce &amp; Industry sub-index</t>
        </is>
      </c>
      <c r="BB245" s="82" t="n">
        <v>124.75</v>
      </c>
      <c r="BC245" s="72" t="inlineStr">
        <is>
          <t>2026-09-23</t>
        </is>
      </c>
      <c r="BD245" s="73" t="n">
        <v>5195</v>
      </c>
      <c r="BE245" s="76" t="n">
        <v>436.2</v>
      </c>
      <c r="BF245" s="71" t="inlineStr">
        <is>
          <t>Y</t>
        </is>
      </c>
      <c r="BG245" s="83" t="n">
        <v>8.4</v>
      </c>
      <c r="BH245" s="83" t="n"/>
      <c r="BI245" s="83" t="n">
        <v>19.8</v>
      </c>
      <c r="BJ245" s="83" t="n">
        <v>0.7</v>
      </c>
      <c r="BK245" s="84">
        <f>IF('BBG Verify'!S245="","not filed; run on terminal",'BBG Verify'!S245)</f>
        <v/>
      </c>
      <c r="BL245" s="85" t="inlineStr">
        <is>
          <t>N</t>
        </is>
      </c>
      <c r="BM245" s="86">
        <f>IF('BBG Verify'!K245="","not filed; run on terminal",'BBG Verify'!K245)</f>
        <v/>
      </c>
      <c r="BN245" s="71" t="inlineStr">
        <is>
          <t>N/A</t>
        </is>
      </c>
      <c r="BO245" s="71" t="inlineStr">
        <is>
          <t>N/A</t>
        </is>
      </c>
      <c r="BP245" s="71" t="inlineStr">
        <is>
          <t>N/A</t>
        </is>
      </c>
      <c r="BQ245" s="71" t="inlineStr">
        <is>
          <t>N/A</t>
        </is>
      </c>
      <c r="BR245" s="71" t="inlineStr">
        <is>
          <t>N/A</t>
        </is>
      </c>
      <c r="BS245" s="71" t="inlineStr">
        <is>
          <t>N/A</t>
        </is>
      </c>
      <c r="BT245" s="85" t="inlineStr">
        <is>
          <t>GF Capital (Hong Kong) Limited</t>
        </is>
      </c>
      <c r="BU245" s="71" t="inlineStr">
        <is>
          <t>GF Capital (Hong Kong) Limited</t>
        </is>
      </c>
      <c r="BV245" s="71"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W245" s="71"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X245" s="87">
        <f>HYPERLINK("https://www1.hkexnews.hk/listedco/listconews/sehk/2024/0313/2024031300019.pdf","prospectus")</f>
        <v/>
      </c>
      <c r="BY245" s="87">
        <f>HYPERLINK("https://www1.hkexnews.hk/listedco/listconews/sehk/2024/0320/2024032001597.pdf","allotment")</f>
        <v/>
      </c>
      <c r="BZ245" s="87">
        <f>HYPERLINK("https://www1.hkexnews.hk/listedco/listconews/sehk/2024/0417/2024041701556.pdf","stabilisation")</f>
        <v/>
      </c>
      <c r="CA245" s="85" t="n"/>
      <c r="CB245" s="71" t="inlineStr">
        <is>
          <t>greenshoe: outcome published; expiry date not in the notice; stabilising manager: not named in the allotment notice or prospectus glossary</t>
        </is>
      </c>
    </row>
    <row r="246" ht="15" customHeight="1">
      <c r="A246" s="70" t="inlineStr">
        <is>
          <t>2536</t>
        </is>
      </c>
      <c r="B246" s="71" t="inlineStr">
        <is>
          <t>PALASINO</t>
        </is>
      </c>
      <c r="C246" s="71" t="inlineStr">
        <is>
          <t>百樂皇宮</t>
        </is>
      </c>
      <c r="D246" s="71" t="inlineStr">
        <is>
          <t>Consumer</t>
        </is>
      </c>
      <c r="E246" s="71" t="inlineStr">
        <is>
          <t>Consumer services / education</t>
        </is>
      </c>
      <c r="F246" s="71" t="inlineStr">
        <is>
          <t>Casinos &amp; Gaming</t>
        </is>
      </c>
      <c r="G246" s="71" t="inlineStr">
        <is>
          <t>Standard</t>
        </is>
      </c>
      <c r="H246" s="72" t="n">
        <v>45377</v>
      </c>
      <c r="I246" s="73" t="n"/>
      <c r="J246" s="71" t="n"/>
      <c r="K246" s="74" t="n"/>
      <c r="L246" s="74" t="n">
        <v>2.6</v>
      </c>
      <c r="M246" s="74" t="n">
        <v>2.6</v>
      </c>
      <c r="N246" s="71" t="inlineStr">
        <is>
          <t>Y</t>
        </is>
      </c>
      <c r="O246" s="75" t="n">
        <v>100</v>
      </c>
      <c r="P246" s="75" t="n"/>
      <c r="Q246" s="76" t="n">
        <v>2080</v>
      </c>
      <c r="R246" s="71" t="inlineStr">
        <is>
          <t>prospectus:stated market capitalisation</t>
        </is>
      </c>
      <c r="S246" s="77" t="n">
        <v>0.23</v>
      </c>
      <c r="T246" s="78" t="n">
        <v>1.29</v>
      </c>
      <c r="U246" s="79" t="n">
        <v>18.8</v>
      </c>
      <c r="V246" s="80" t="n">
        <v>219</v>
      </c>
      <c r="W246" s="75" t="n">
        <v>30</v>
      </c>
      <c r="X246" s="71" t="inlineStr">
        <is>
          <t>YES</t>
        </is>
      </c>
      <c r="Y246" s="76" t="n"/>
      <c r="Z246" s="76" t="n"/>
      <c r="AA246" s="75" t="n"/>
      <c r="AB246" s="71" t="inlineStr">
        <is>
          <t>XIANG SHANG GAMES CO., LTD</t>
        </is>
      </c>
      <c r="AC246" s="71" t="inlineStr">
        <is>
          <t>xiang</t>
        </is>
      </c>
      <c r="AD246" s="75" t="n">
        <v>8.93</v>
      </c>
      <c r="AE246" s="71" t="inlineStr">
        <is>
          <t>partial</t>
        </is>
      </c>
      <c r="AF246" s="71" t="n"/>
      <c r="AG246" s="71" t="inlineStr">
        <is>
          <t>Guotai Junan Securities</t>
        </is>
      </c>
      <c r="AH246" s="71" t="inlineStr">
        <is>
          <t>Guotai Junan</t>
        </is>
      </c>
      <c r="AI246" s="81" t="n">
        <v>11.54</v>
      </c>
      <c r="AJ246" s="82" t="n">
        <v>15.38</v>
      </c>
      <c r="AK246" s="82" t="n">
        <v>5.77</v>
      </c>
      <c r="AL246" s="82" t="n">
        <v>9.09</v>
      </c>
      <c r="AM246" s="83" t="n">
        <v>1.18</v>
      </c>
      <c r="AN246" s="75" t="n">
        <v>21.45</v>
      </c>
      <c r="AO246" s="82" t="n">
        <v>111.54</v>
      </c>
      <c r="AP246" s="82" t="n">
        <v>111.92</v>
      </c>
      <c r="AQ246" s="82" t="n">
        <v>129.62</v>
      </c>
      <c r="AR246" s="82" t="n">
        <v>83.34</v>
      </c>
      <c r="AS246" s="82" t="n">
        <v>83.67</v>
      </c>
      <c r="AT246" s="82" t="n">
        <v>99.01000000000001</v>
      </c>
      <c r="AU246" s="82" t="n">
        <v>109.11</v>
      </c>
      <c r="AV246" s="82" t="n">
        <v>103.81</v>
      </c>
      <c r="AW246" s="82" t="n">
        <v>122.55</v>
      </c>
      <c r="AX246" s="82" t="n">
        <v>76.7</v>
      </c>
      <c r="AY246" s="82" t="n">
        <v>8.109999999999999</v>
      </c>
      <c r="AZ246" s="82" t="n">
        <v>6.97</v>
      </c>
      <c r="BA246" s="71" t="inlineStr">
        <is>
          <t>Hang Seng Commerce &amp; Industry sub-index</t>
        </is>
      </c>
      <c r="BB246" s="82" t="n">
        <v>-75.77</v>
      </c>
      <c r="BC246" s="72" t="inlineStr">
        <is>
          <t>2026-09-23</t>
        </is>
      </c>
      <c r="BD246" s="73" t="n">
        <v>529</v>
      </c>
      <c r="BE246" s="76" t="n">
        <v>44.2</v>
      </c>
      <c r="BF246" s="71" t="inlineStr">
        <is>
          <t>Y</t>
        </is>
      </c>
      <c r="BG246" s="83" t="n">
        <v>47.1</v>
      </c>
      <c r="BH246" s="83" t="n"/>
      <c r="BI246" s="83" t="n">
        <v>49</v>
      </c>
      <c r="BJ246" s="83" t="n">
        <v>3.9</v>
      </c>
      <c r="BK246" s="84">
        <f>IF('BBG Verify'!S246="","not filed; run on terminal",'BBG Verify'!S246)</f>
        <v/>
      </c>
      <c r="BL246" s="85" t="inlineStr">
        <is>
          <t>N</t>
        </is>
      </c>
      <c r="BM246" s="86">
        <f>IF('BBG Verify'!K246="","not filed; run on terminal",'BBG Verify'!K246)</f>
        <v/>
      </c>
      <c r="BN246" s="71" t="inlineStr">
        <is>
          <t>N/A</t>
        </is>
      </c>
      <c r="BO246" s="71" t="inlineStr">
        <is>
          <t>N/A</t>
        </is>
      </c>
      <c r="BP246" s="71" t="inlineStr">
        <is>
          <t>N/A</t>
        </is>
      </c>
      <c r="BQ246" s="71" t="inlineStr">
        <is>
          <t>N/A</t>
        </is>
      </c>
      <c r="BR246" s="71" t="inlineStr">
        <is>
          <t>N/A</t>
        </is>
      </c>
      <c r="BS246" s="71" t="inlineStr">
        <is>
          <t>N/A</t>
        </is>
      </c>
      <c r="BT246" s="85" t="inlineStr">
        <is>
          <t>Guotai Junan Capital Limited</t>
        </is>
      </c>
      <c r="BU246" s="71" t="inlineStr">
        <is>
          <t>Guotai Junan Capital Limited</t>
        </is>
      </c>
      <c r="BV246" s="71"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W246" s="71"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X246" s="87">
        <f>HYPERLINK("https://www1.hkexnews.hk/listedco/listconews/sehk/2024/0318/2024031800024.pdf","prospectus")</f>
        <v/>
      </c>
      <c r="BY246" s="87">
        <f>HYPERLINK("https://www1.hkexnews.hk/listedco/listconews/sehk/2024/0325/2024032501621.pdf","allotment")</f>
        <v/>
      </c>
      <c r="BZ246" s="87">
        <f>HYPERLINK("https://www1.hkexnews.hk/listedco/listconews/sehk/2024/0422/2024042200005.pdf","stabilisation")</f>
        <v/>
      </c>
      <c r="CA246" s="85" t="n"/>
      <c r="CB246" s="71" t="inlineStr">
        <is>
          <t>greenshoe: outcome published; expiry date not in the notice; range low: maximum offer price only, no floor published; deal size: no proceeds figure in any filing; eff free float: % of cap not computable: deal size not available; eff float shares: share count unavailable; the HK$m figure is exact; size basis: no size on file</t>
        </is>
      </c>
    </row>
    <row r="247" ht="15" customHeight="1">
      <c r="A247" s="70" t="inlineStr">
        <is>
          <t>2497</t>
        </is>
      </c>
      <c r="B247" s="71" t="inlineStr">
        <is>
          <t>FUJING HOLDINGS</t>
        </is>
      </c>
      <c r="C247" s="71" t="inlineStr">
        <is>
          <t>富景中國控股</t>
        </is>
      </c>
      <c r="D247" s="71" t="inlineStr">
        <is>
          <t>Consumer</t>
        </is>
      </c>
      <c r="E247" s="71" t="inlineStr">
        <is>
          <t>Beverages / packaged food</t>
        </is>
      </c>
      <c r="F247" s="71" t="inlineStr">
        <is>
          <t>Agricultural Products</t>
        </is>
      </c>
      <c r="G247" s="71" t="inlineStr">
        <is>
          <t>Standard</t>
        </is>
      </c>
      <c r="H247" s="72" t="n">
        <v>45379</v>
      </c>
      <c r="I247" s="73" t="n">
        <v>108</v>
      </c>
      <c r="J247" s="71" t="inlineStr">
        <is>
          <t>gross (price x shares)</t>
        </is>
      </c>
      <c r="K247" s="74" t="n">
        <v>1.08</v>
      </c>
      <c r="L247" s="74" t="n">
        <v>1.28</v>
      </c>
      <c r="M247" s="74" t="n">
        <v>1.08</v>
      </c>
      <c r="N247" s="71" t="inlineStr">
        <is>
          <t>N</t>
        </is>
      </c>
      <c r="O247" s="75" t="n">
        <v>84.40000000000001</v>
      </c>
      <c r="P247" s="75" t="n">
        <v>0</v>
      </c>
      <c r="Q247" s="76" t="n">
        <v>540</v>
      </c>
      <c r="R247" s="71" t="inlineStr">
        <is>
          <t>derived:price x shares upon listing</t>
        </is>
      </c>
      <c r="S247" s="77" t="n">
        <v>294.13</v>
      </c>
      <c r="T247" s="78" t="n">
        <v>0.96</v>
      </c>
      <c r="U247" s="79" t="n">
        <v>0</v>
      </c>
      <c r="V247" s="80" t="n">
        <v>143</v>
      </c>
      <c r="W247" s="75" t="n">
        <v>14.62</v>
      </c>
      <c r="X247" s="71" t="n"/>
      <c r="Y247" s="76" t="n">
        <v>108</v>
      </c>
      <c r="Z247" s="76" t="n">
        <v>100000000</v>
      </c>
      <c r="AA247" s="75" t="n">
        <v>20</v>
      </c>
      <c r="AB247" s="71" t="n"/>
      <c r="AC247" s="71" t="n"/>
      <c r="AD247" s="75" t="n">
        <v>15</v>
      </c>
      <c r="AE247" s="71" t="inlineStr">
        <is>
          <t>lapsed (no over-allocation)</t>
        </is>
      </c>
      <c r="AF247" s="71" t="n"/>
      <c r="AG247" s="71" t="n"/>
      <c r="AH247" s="71" t="n"/>
      <c r="AI247" s="81" t="n">
        <v>103.7</v>
      </c>
      <c r="AJ247" s="82" t="n">
        <v>37.04</v>
      </c>
      <c r="AK247" s="82" t="n">
        <v>97.22</v>
      </c>
      <c r="AL247" s="82" t="n">
        <v>-30.51</v>
      </c>
      <c r="AM247" s="83" t="n">
        <v>2.58</v>
      </c>
      <c r="AN247" s="75" t="n">
        <v>46.48</v>
      </c>
      <c r="AO247" s="82" t="n">
        <v>14.81</v>
      </c>
      <c r="AP247" s="82" t="n">
        <v>-3.7</v>
      </c>
      <c r="AQ247" s="82" t="n">
        <v>-4.63</v>
      </c>
      <c r="AR247" s="82" t="n">
        <v>-16.22</v>
      </c>
      <c r="AS247" s="82" t="n">
        <v>-29.73</v>
      </c>
      <c r="AT247" s="82" t="n">
        <v>-30.41</v>
      </c>
      <c r="AU247" s="82" t="n">
        <v>11.5</v>
      </c>
      <c r="AV247" s="82" t="n">
        <v>-15.03</v>
      </c>
      <c r="AW247" s="82" t="n">
        <v>-14.97</v>
      </c>
      <c r="AX247" s="82" t="n">
        <v>-39.21</v>
      </c>
      <c r="AY247" s="82" t="n">
        <v>11.33</v>
      </c>
      <c r="AZ247" s="82" t="n">
        <v>9.48</v>
      </c>
      <c r="BA247" s="71" t="inlineStr">
        <is>
          <t>Hang Seng Commerce &amp; Industry sub-index</t>
        </is>
      </c>
      <c r="BB247" s="82" t="n">
        <v>-57.41</v>
      </c>
      <c r="BC247" s="72" t="inlineStr">
        <is>
          <t>2026-09-23</t>
        </is>
      </c>
      <c r="BD247" s="73" t="n">
        <v>139.4</v>
      </c>
      <c r="BE247" s="76" t="n">
        <v>35</v>
      </c>
      <c r="BF247" s="71" t="inlineStr">
        <is>
          <t>Y</t>
        </is>
      </c>
      <c r="BG247" s="83" t="n">
        <v>15.4</v>
      </c>
      <c r="BH247" s="83" t="n"/>
      <c r="BI247" s="83" t="n">
        <v>4.2</v>
      </c>
      <c r="BJ247" s="83" t="n">
        <v>3.9</v>
      </c>
      <c r="BK247" s="84">
        <f>IF('BBG Verify'!S247="","not filed; run on terminal",'BBG Verify'!S247)</f>
        <v/>
      </c>
      <c r="BL247" s="85" t="inlineStr">
        <is>
          <t>N</t>
        </is>
      </c>
      <c r="BM247" s="86">
        <f>IF('BBG Verify'!K247="","not filed; run on terminal",'BBG Verify'!K247)</f>
        <v/>
      </c>
      <c r="BN247" s="71" t="inlineStr">
        <is>
          <t>N/A</t>
        </is>
      </c>
      <c r="BO247" s="71" t="inlineStr">
        <is>
          <t>N/A</t>
        </is>
      </c>
      <c r="BP247" s="71" t="inlineStr">
        <is>
          <t>N/A</t>
        </is>
      </c>
      <c r="BQ247" s="71" t="inlineStr">
        <is>
          <t>N/A</t>
        </is>
      </c>
      <c r="BR247" s="71" t="inlineStr">
        <is>
          <t>N/A</t>
        </is>
      </c>
      <c r="BS247" s="71" t="inlineStr">
        <is>
          <t>N/A</t>
        </is>
      </c>
      <c r="BT247" s="85" t="inlineStr">
        <is>
          <t>Grande Capital Limited</t>
        </is>
      </c>
      <c r="BU247" s="71" t="inlineStr">
        <is>
          <t>Grande Capital Limited</t>
        </is>
      </c>
      <c r="BV247" s="71"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W247" s="71"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X247" s="87">
        <f>HYPERLINK("https://www1.hkexnews.hk/listedco/listconews/sehk/2024/0320/2024032000093.pdf","prospectus")</f>
        <v/>
      </c>
      <c r="BY247" s="87">
        <f>HYPERLINK("https://www1.hkexnews.hk/listedco/listconews/sehk/2024/0327/2024032702279.pdf","allotment")</f>
        <v/>
      </c>
      <c r="BZ247" s="87">
        <f>HYPERLINK("https://www1.hkexnews.hk/listedco/listconews/sehk/2024/0424/2024042400463.pdf","stabilisation")</f>
        <v/>
      </c>
      <c r="CA247" s="85" t="n"/>
      <c r="CB247" s="71" t="inlineStr">
        <is>
          <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t>
        </is>
      </c>
    </row>
    <row r="248" ht="15" customHeight="1">
      <c r="A248" s="70" t="inlineStr">
        <is>
          <t>2598</t>
        </is>
      </c>
      <c r="B248" s="71" t="inlineStr">
        <is>
          <t>LIANLIAN</t>
        </is>
      </c>
      <c r="C248" s="71" t="inlineStr">
        <is>
          <t>連連數字</t>
        </is>
      </c>
      <c r="D248" s="71" t="inlineStr">
        <is>
          <t>Tech/AI</t>
        </is>
      </c>
      <c r="E248" s="71" t="inlineStr">
        <is>
          <t>Fintech platform</t>
        </is>
      </c>
      <c r="F248" s="71" t="inlineStr">
        <is>
          <t>e-Commerce &amp; Internet Services</t>
        </is>
      </c>
      <c r="G248" s="71" t="inlineStr">
        <is>
          <t>Standard</t>
        </is>
      </c>
      <c r="H248" s="72" t="n">
        <v>45379</v>
      </c>
      <c r="I248" s="73" t="n">
        <v>657.1</v>
      </c>
      <c r="J248" s="71" t="inlineStr">
        <is>
          <t>gross (price x shares)</t>
        </is>
      </c>
      <c r="K248" s="74" t="n">
        <v>10.21</v>
      </c>
      <c r="L248" s="74" t="n">
        <v>10.95</v>
      </c>
      <c r="M248" s="74" t="n">
        <v>10.22</v>
      </c>
      <c r="N248" s="71" t="inlineStr">
        <is>
          <t>N</t>
        </is>
      </c>
      <c r="O248" s="75" t="n">
        <v>93.3</v>
      </c>
      <c r="P248" s="75" t="n">
        <v>1.4</v>
      </c>
      <c r="Q248" s="76" t="n">
        <v>11028</v>
      </c>
      <c r="R248" s="71" t="inlineStr">
        <is>
          <t>derived:price x shares upon listing</t>
        </is>
      </c>
      <c r="S248" s="77" t="n">
        <v>16.94</v>
      </c>
      <c r="T248" s="78" t="n">
        <v>1.89</v>
      </c>
      <c r="U248" s="79" t="n">
        <v>63.89</v>
      </c>
      <c r="V248" s="80" t="n">
        <v>122</v>
      </c>
      <c r="W248" s="75" t="n">
        <v>30</v>
      </c>
      <c r="X248" s="71" t="inlineStr">
        <is>
          <t>YES</t>
        </is>
      </c>
      <c r="Y248" s="76" t="n">
        <v>237.28</v>
      </c>
      <c r="Z248" s="76" t="n">
        <v>23218730</v>
      </c>
      <c r="AA248" s="75" t="n">
        <v>2.15</v>
      </c>
      <c r="AB248" s="71" t="inlineStr">
        <is>
          <t>Hangzhou High-tech Venture Capital Co., Ltd</t>
        </is>
      </c>
      <c r="AC248" s="71" t="inlineStr">
        <is>
          <t>hangzhou-high</t>
        </is>
      </c>
      <c r="AD248" s="75" t="n">
        <v>15</v>
      </c>
      <c r="AE248" s="71" t="inlineStr">
        <is>
          <t>lapsed</t>
        </is>
      </c>
      <c r="AF248" s="71" t="inlineStr">
        <is>
          <t>2024-04-24</t>
        </is>
      </c>
      <c r="AG248" s="71" t="inlineStr">
        <is>
          <t>China International Capital Corporation Hong Kong Securities Limited</t>
        </is>
      </c>
      <c r="AH248" s="71" t="inlineStr">
        <is>
          <t>China International</t>
        </is>
      </c>
      <c r="AI248" s="81" t="n">
        <v>-3.33</v>
      </c>
      <c r="AJ248" s="82" t="n">
        <v>-7.63</v>
      </c>
      <c r="AK248" s="82" t="n">
        <v>-4.11</v>
      </c>
      <c r="AL248" s="82" t="n">
        <v>-3.67</v>
      </c>
      <c r="AM248" s="83" t="n">
        <v>0.8</v>
      </c>
      <c r="AN248" s="75" t="n">
        <v>6.43</v>
      </c>
      <c r="AO248" s="82" t="n">
        <v>-4.79</v>
      </c>
      <c r="AP248" s="82" t="n">
        <v>-5.48</v>
      </c>
      <c r="AQ248" s="82" t="n">
        <v>-7.05</v>
      </c>
      <c r="AR248" s="82" t="n">
        <v>3.07</v>
      </c>
      <c r="AS248" s="82" t="n">
        <v>2.33</v>
      </c>
      <c r="AT248" s="82" t="n">
        <v>0.63</v>
      </c>
      <c r="AU248" s="82" t="n">
        <v>-7.49</v>
      </c>
      <c r="AV248" s="82" t="n">
        <v>-19.48</v>
      </c>
      <c r="AW248" s="82" t="n">
        <v>-14.86</v>
      </c>
      <c r="AX248" s="82" t="n">
        <v>-9.19</v>
      </c>
      <c r="AY248" s="82" t="n">
        <v>14</v>
      </c>
      <c r="AZ248" s="82" t="n">
        <v>11.52</v>
      </c>
      <c r="BA248" s="71" t="inlineStr">
        <is>
          <t>HSTECH (Hang Seng TECH ETF)</t>
        </is>
      </c>
      <c r="BB248" s="82" t="n">
        <v>-67.95</v>
      </c>
      <c r="BC248" s="72" t="inlineStr">
        <is>
          <t>2026-09-23</t>
        </is>
      </c>
      <c r="BD248" s="73" t="n">
        <v>817</v>
      </c>
      <c r="BE248" s="76" t="n">
        <v>-1008.6</v>
      </c>
      <c r="BF248" s="71" t="inlineStr">
        <is>
          <t>N</t>
        </is>
      </c>
      <c r="BG248" s="71" t="inlineStr">
        <is>
          <t>n/m</t>
        </is>
      </c>
      <c r="BH248" s="83" t="n"/>
      <c r="BI248" s="83" t="n">
        <v>2.2</v>
      </c>
      <c r="BJ248" s="83" t="n">
        <v>13.5</v>
      </c>
      <c r="BK248" s="84">
        <f>IF('BBG Verify'!S248="","not filed; run on terminal",'BBG Verify'!S248)</f>
        <v/>
      </c>
      <c r="BL248" s="85" t="inlineStr">
        <is>
          <t>N</t>
        </is>
      </c>
      <c r="BM248" s="86">
        <f>IF('BBG Verify'!K248="","not filed; run on terminal",'BBG Verify'!K248)</f>
        <v/>
      </c>
      <c r="BN248" s="71" t="inlineStr">
        <is>
          <t>N/A</t>
        </is>
      </c>
      <c r="BO248" s="71" t="inlineStr">
        <is>
          <t>N/A</t>
        </is>
      </c>
      <c r="BP248" s="71" t="inlineStr">
        <is>
          <t>N/A</t>
        </is>
      </c>
      <c r="BQ248" s="71" t="inlineStr">
        <is>
          <t>N/A</t>
        </is>
      </c>
      <c r="BR248" s="71" t="inlineStr">
        <is>
          <t>N/A</t>
        </is>
      </c>
      <c r="BS248" s="71" t="inlineStr">
        <is>
          <t>N/A</t>
        </is>
      </c>
      <c r="BT248" s="85" t="inlineStr">
        <is>
          <t>China International Capital Corporation Hong Kong Securities Limited; J.P. Morgan Securities (Far East) Limited</t>
        </is>
      </c>
      <c r="BU248" s="71" t="inlineStr">
        <is>
          <t>China International Capital Corporation Hong Kong Securities Limited; J.P. Morgan Securities (Far East) Limited</t>
        </is>
      </c>
      <c r="BV248" s="71"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W248" s="71"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X248" s="87">
        <f>HYPERLINK("https://www1.hkexnews.hk/listedco/listconews/sehk/2024/0320/2024032000031.pdf","prospectus")</f>
        <v/>
      </c>
      <c r="BY248" s="87">
        <f>HYPERLINK("https://www1.hkexnews.hk/listedco/listconews/sehk/2024/0327/2024032703063.pdf","allotment")</f>
        <v/>
      </c>
      <c r="BZ248" s="87">
        <f>HYPERLINK("https://www1.hkexnews.hk/listedco/listconews/sehk/2024/0424/2024042402304.pdf","stabilisation")</f>
        <v/>
      </c>
      <c r="CA248" s="85" t="n"/>
      <c r="CB248" s="71" t="inlineStr">
        <is>
          <t>P/E: loss-making at IPO, use P/S</t>
        </is>
      </c>
    </row>
    <row r="249" ht="15" customHeight="1">
      <c r="A249" s="70" t="inlineStr">
        <is>
          <t>2515</t>
        </is>
      </c>
      <c r="B249" s="71" t="inlineStr">
        <is>
          <t>TJCD</t>
        </is>
      </c>
      <c r="C249" s="71" t="inlineStr">
        <is>
          <t>天津建發</t>
        </is>
      </c>
      <c r="D249" s="71" t="inlineStr">
        <is>
          <t>Industrials</t>
        </is>
      </c>
      <c r="E249" s="71" t="inlineStr">
        <is>
          <t>Construction / engineering</t>
        </is>
      </c>
      <c r="F249" s="71" t="inlineStr">
        <is>
          <t>Construction &amp; Engineering</t>
        </is>
      </c>
      <c r="G249" s="71" t="inlineStr">
        <is>
          <t>Standard</t>
        </is>
      </c>
      <c r="H249" s="72" t="n">
        <v>45405</v>
      </c>
      <c r="I249" s="73" t="n">
        <v>134.88</v>
      </c>
      <c r="J249" s="71" t="inlineStr">
        <is>
          <t>gross (stated)</t>
        </is>
      </c>
      <c r="K249" s="74" t="n">
        <v>2.5</v>
      </c>
      <c r="L249" s="74" t="n">
        <v>2.9</v>
      </c>
      <c r="M249" s="74" t="n">
        <v>2.5</v>
      </c>
      <c r="N249" s="71" t="inlineStr">
        <is>
          <t>N</t>
        </is>
      </c>
      <c r="O249" s="75" t="n">
        <v>86.2</v>
      </c>
      <c r="P249" s="75" t="n">
        <v>0</v>
      </c>
      <c r="Q249" s="76" t="n">
        <v>539.5</v>
      </c>
      <c r="R249" s="71" t="inlineStr">
        <is>
          <t>derived:price x shares upon listing</t>
        </is>
      </c>
      <c r="S249" s="77" t="n">
        <v>433.06</v>
      </c>
      <c r="T249" s="78" t="n">
        <v>1.02</v>
      </c>
      <c r="U249" s="79" t="n"/>
      <c r="V249" s="80" t="n">
        <v>215</v>
      </c>
      <c r="W249" s="75" t="n">
        <v>50</v>
      </c>
      <c r="X249" s="71" t="inlineStr">
        <is>
          <t>YES</t>
        </is>
      </c>
      <c r="Y249" s="76" t="n"/>
      <c r="Z249" s="76" t="n"/>
      <c r="AA249" s="75" t="n"/>
      <c r="AB249" s="71" t="inlineStr">
        <is>
          <t>Ms. Dou</t>
        </is>
      </c>
      <c r="AC249" s="71" t="inlineStr">
        <is>
          <t>ms-dou</t>
        </is>
      </c>
      <c r="AD249" s="75" t="n">
        <v>20</v>
      </c>
      <c r="AE249" s="71" t="inlineStr">
        <is>
          <t>lapsed (no over-allocation)</t>
        </is>
      </c>
      <c r="AF249" s="71" t="n"/>
      <c r="AG249" s="71" t="n"/>
      <c r="AH249" s="71" t="n"/>
      <c r="AI249" s="81" t="n">
        <v>-25.6</v>
      </c>
      <c r="AJ249" s="82" t="n">
        <v>-39.2</v>
      </c>
      <c r="AK249" s="82" t="n">
        <v>-24.8</v>
      </c>
      <c r="AL249" s="82" t="n">
        <v>-19.15</v>
      </c>
      <c r="AM249" s="83" t="n">
        <v>2.1</v>
      </c>
      <c r="AN249" s="75" t="n">
        <v>35.11</v>
      </c>
      <c r="AO249" s="82" t="n">
        <v>-39.2</v>
      </c>
      <c r="AP249" s="82" t="n">
        <v>-50</v>
      </c>
      <c r="AQ249" s="82" t="n">
        <v>-52.4</v>
      </c>
      <c r="AR249" s="82" t="n">
        <v>0</v>
      </c>
      <c r="AS249" s="82" t="n">
        <v>-17.76</v>
      </c>
      <c r="AT249" s="82" t="n">
        <v>-21.71</v>
      </c>
      <c r="AU249" s="82" t="n">
        <v>-46.29</v>
      </c>
      <c r="AV249" s="82" t="n">
        <v>-60.33</v>
      </c>
      <c r="AW249" s="82" t="n">
        <v>-54.33</v>
      </c>
      <c r="AX249" s="82" t="n">
        <v>-25.63</v>
      </c>
      <c r="AY249" s="82" t="n">
        <v>10.33</v>
      </c>
      <c r="AZ249" s="82" t="n">
        <v>7.87</v>
      </c>
      <c r="BA249" s="71" t="inlineStr">
        <is>
          <t>Hang Seng Commerce &amp; Industry sub-index</t>
        </is>
      </c>
      <c r="BB249" s="82" t="n">
        <v>91.2</v>
      </c>
      <c r="BC249" s="72" t="inlineStr">
        <is>
          <t>2026-09-23</t>
        </is>
      </c>
      <c r="BD249" s="73" t="n">
        <v>351.4</v>
      </c>
      <c r="BE249" s="76" t="n">
        <v>45.6</v>
      </c>
      <c r="BF249" s="71" t="inlineStr">
        <is>
          <t>Y</t>
        </is>
      </c>
      <c r="BG249" s="83" t="n">
        <v>11.8</v>
      </c>
      <c r="BH249" s="83" t="n"/>
      <c r="BI249" s="83" t="n"/>
      <c r="BJ249" s="83" t="n">
        <v>1.5</v>
      </c>
      <c r="BK249" s="84">
        <f>IF('BBG Verify'!S249="","not filed; run on terminal",'BBG Verify'!S249)</f>
        <v/>
      </c>
      <c r="BL249" s="85" t="inlineStr">
        <is>
          <t>N</t>
        </is>
      </c>
      <c r="BM249" s="86">
        <f>IF('BBG Verify'!K249="","not filed; run on terminal",'BBG Verify'!K249)</f>
        <v/>
      </c>
      <c r="BN249" s="71" t="inlineStr">
        <is>
          <t>N/A</t>
        </is>
      </c>
      <c r="BO249" s="71" t="inlineStr">
        <is>
          <t>N/A</t>
        </is>
      </c>
      <c r="BP249" s="71" t="inlineStr">
        <is>
          <t>N/A</t>
        </is>
      </c>
      <c r="BQ249" s="71" t="inlineStr">
        <is>
          <t>N/A</t>
        </is>
      </c>
      <c r="BR249" s="71" t="inlineStr">
        <is>
          <t>N/A</t>
        </is>
      </c>
      <c r="BS249" s="71" t="inlineStr">
        <is>
          <t>N/A</t>
        </is>
      </c>
      <c r="BT249" s="85" t="inlineStr">
        <is>
          <t>China Everbright Capital Limited</t>
        </is>
      </c>
      <c r="BU249" s="71" t="inlineStr">
        <is>
          <t>China Everbright Capital Limited</t>
        </is>
      </c>
      <c r="BV249" s="71"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W249" s="71"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X249" s="87">
        <f>HYPERLINK("https://www1.hkexnews.hk/listedco/listconews/sehk/2024/0415/2024041500009.pdf","prospectus")</f>
        <v/>
      </c>
      <c r="BY249" s="87">
        <f>HYPERLINK("https://www1.hkexnews.hk/listedco/listconews/sehk/2024/0422/2024042201767.pdf","allotment")</f>
        <v/>
      </c>
      <c r="BZ249" s="87">
        <f>HYPERLINK("https://www1.hkexnews.hk/listedco/listconews/sehk/2024/0520/2024052000007.pdf","stabilisation")</f>
        <v/>
      </c>
      <c r="CA249" s="85" t="n"/>
      <c r="CB249" s="71" t="inlineStr">
        <is>
          <t>greenshoe: outcome published; expiry date not in the notice; cornerstone %: aggregate not stated in the filing; stabilising manager: not named in the allotment notice or prospectus glossary; eff free float: % of cap not computable: cornerstone % unknown</t>
        </is>
      </c>
    </row>
    <row r="250" ht="15" customHeight="1">
      <c r="A250" s="70" t="inlineStr">
        <is>
          <t>2555</t>
        </is>
      </c>
      <c r="B250" s="71" t="inlineStr">
        <is>
          <t>CHABAIDAO</t>
        </is>
      </c>
      <c r="C250" s="71" t="inlineStr">
        <is>
          <t>茶百道</t>
        </is>
      </c>
      <c r="D250" s="71" t="inlineStr">
        <is>
          <t>Consumer</t>
        </is>
      </c>
      <c r="E250" s="71" t="inlineStr">
        <is>
          <t>F&amp;B chains / restaurants</t>
        </is>
      </c>
      <c r="F250" s="71" t="inlineStr">
        <is>
          <t>Beverages (Non-alcoholic)</t>
        </is>
      </c>
      <c r="G250" s="71" t="inlineStr">
        <is>
          <t>Standard</t>
        </is>
      </c>
      <c r="H250" s="72" t="n">
        <v>45405</v>
      </c>
      <c r="I250" s="73" t="n">
        <v>2585.86</v>
      </c>
      <c r="J250" s="71" t="inlineStr">
        <is>
          <t>gross (stated)</t>
        </is>
      </c>
      <c r="K250" s="74" t="n"/>
      <c r="L250" s="74" t="n">
        <v>17.5</v>
      </c>
      <c r="M250" s="74" t="n">
        <v>17.5</v>
      </c>
      <c r="N250" s="71" t="inlineStr">
        <is>
          <t>Y</t>
        </is>
      </c>
      <c r="O250" s="75" t="n">
        <v>100</v>
      </c>
      <c r="P250" s="75" t="n"/>
      <c r="Q250" s="76" t="n">
        <v>25860</v>
      </c>
      <c r="R250" s="71" t="inlineStr">
        <is>
          <t>prospectus:stated market capitalisation</t>
        </is>
      </c>
      <c r="S250" s="77" t="n">
        <v>0.5</v>
      </c>
      <c r="T250" s="78" t="n">
        <v>1.11</v>
      </c>
      <c r="U250" s="79" t="n">
        <v>0</v>
      </c>
      <c r="V250" s="80" t="n">
        <v>122</v>
      </c>
      <c r="W250" s="75" t="n">
        <v>4.96</v>
      </c>
      <c r="X250" s="71" t="inlineStr">
        <is>
          <t>NO</t>
        </is>
      </c>
      <c r="Y250" s="76" t="n">
        <v>2585.86</v>
      </c>
      <c r="Z250" s="76" t="n">
        <v>147763400</v>
      </c>
      <c r="AA250" s="75" t="n">
        <v>10</v>
      </c>
      <c r="AB250" s="71" t="n"/>
      <c r="AC250" s="71" t="n"/>
      <c r="AD250" s="75" t="n">
        <v>2.1</v>
      </c>
      <c r="AE250" s="71" t="inlineStr">
        <is>
          <t>lapsed</t>
        </is>
      </c>
      <c r="AF250" s="71" t="inlineStr">
        <is>
          <t>2024-05-18</t>
        </is>
      </c>
      <c r="AG250" s="71" t="inlineStr">
        <is>
          <t>China International Capital Corporation Hong Kong Securities Limited</t>
        </is>
      </c>
      <c r="AH250" s="71" t="inlineStr">
        <is>
          <t>China International</t>
        </is>
      </c>
      <c r="AI250" s="81" t="n">
        <v>-12.8</v>
      </c>
      <c r="AJ250" s="82" t="n">
        <v>-26.86</v>
      </c>
      <c r="AK250" s="82" t="n">
        <v>-10.06</v>
      </c>
      <c r="AL250" s="82" t="n">
        <v>-18.68</v>
      </c>
      <c r="AM250" s="83" t="n">
        <v>2.23</v>
      </c>
      <c r="AN250" s="75" t="n">
        <v>31.39</v>
      </c>
      <c r="AO250" s="82" t="n">
        <v>-34.63</v>
      </c>
      <c r="AP250" s="82" t="n">
        <v>-37.83</v>
      </c>
      <c r="AQ250" s="82" t="n">
        <v>-48.06</v>
      </c>
      <c r="AR250" s="82" t="n">
        <v>-10.62</v>
      </c>
      <c r="AS250" s="82" t="n">
        <v>-15</v>
      </c>
      <c r="AT250" s="82" t="n">
        <v>-28.99</v>
      </c>
      <c r="AU250" s="82" t="n">
        <v>-41.72</v>
      </c>
      <c r="AV250" s="82" t="n">
        <v>-48.16</v>
      </c>
      <c r="AW250" s="82" t="n">
        <v>-49.99</v>
      </c>
      <c r="AX250" s="82" t="n">
        <v>-22.87</v>
      </c>
      <c r="AY250" s="82" t="n">
        <v>10.33</v>
      </c>
      <c r="AZ250" s="82" t="n">
        <v>7.87</v>
      </c>
      <c r="BA250" s="71" t="inlineStr">
        <is>
          <t>Hang Seng Commerce &amp; Industry sub-index</t>
        </is>
      </c>
      <c r="BB250" s="82" t="n">
        <v>-75.77</v>
      </c>
      <c r="BC250" s="72" t="inlineStr">
        <is>
          <t>2026-09-23</t>
        </is>
      </c>
      <c r="BD250" s="73" t="n">
        <v>6274.7</v>
      </c>
      <c r="BE250" s="76" t="n">
        <v>1265.9</v>
      </c>
      <c r="BF250" s="71" t="inlineStr">
        <is>
          <t>Y</t>
        </is>
      </c>
      <c r="BG250" s="83" t="n">
        <v>20.4</v>
      </c>
      <c r="BH250" s="83" t="n"/>
      <c r="BI250" s="83" t="n">
        <v>7.5</v>
      </c>
      <c r="BJ250" s="83" t="n">
        <v>4.1</v>
      </c>
      <c r="BK250" s="84">
        <f>IF('BBG Verify'!S250="","not filed; run on terminal",'BBG Verify'!S250)</f>
        <v/>
      </c>
      <c r="BL250" s="85" t="inlineStr">
        <is>
          <t>N</t>
        </is>
      </c>
      <c r="BM250" s="86">
        <f>IF('BBG Verify'!K250="","not filed; run on terminal",'BBG Verify'!K250)</f>
        <v/>
      </c>
      <c r="BN250" s="71" t="inlineStr">
        <is>
          <t>N/A</t>
        </is>
      </c>
      <c r="BO250" s="71" t="inlineStr">
        <is>
          <t>N/A</t>
        </is>
      </c>
      <c r="BP250" s="71" t="inlineStr">
        <is>
          <t>N/A</t>
        </is>
      </c>
      <c r="BQ250" s="71" t="inlineStr">
        <is>
          <t>N/A</t>
        </is>
      </c>
      <c r="BR250" s="71" t="inlineStr">
        <is>
          <t>N/A</t>
        </is>
      </c>
      <c r="BS250" s="71" t="inlineStr">
        <is>
          <t>N/A</t>
        </is>
      </c>
      <c r="BT250" s="85" t="n"/>
      <c r="BU250" s="71" t="inlineStr">
        <is>
          <t>China International Capital Corporation Hong Kong Securities Limited</t>
        </is>
      </c>
      <c r="BV250" s="71"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W250" s="71"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X250" s="87">
        <f>HYPERLINK("https://www1.hkexnews.hk/listedco/listconews/sehk/2024/0415/2024041500022.pdf","prospectus")</f>
        <v/>
      </c>
      <c r="BY250" s="87">
        <f>HYPERLINK("https://www1.hkexnews.hk/listedco/listconews/sehk/2024/0422/2024042202135.pdf","allotment")</f>
        <v/>
      </c>
      <c r="BZ250" s="87">
        <f>HYPERLINK("https://www1.hkexnews.hk/listedco/listconews/sehk/2024/0520/2024052000035.pdf","stabilisation")</f>
        <v/>
      </c>
      <c r="CA250" s="85" t="n"/>
      <c r="CB250" s="71" t="inlineStr">
        <is>
          <t>range low: maximum offer price only, no floor published; sponsor: English name not in the filing; AAStocks 保薦人 shown; cornerstone list: no cornerstone tranche</t>
        </is>
      </c>
    </row>
    <row r="251" ht="15" customHeight="1">
      <c r="A251" s="70" t="inlineStr">
        <is>
          <t>2438</t>
        </is>
      </c>
      <c r="B251" s="71" t="inlineStr">
        <is>
          <t>MOBVOI</t>
        </is>
      </c>
      <c r="C251" s="71" t="inlineStr">
        <is>
          <t>出門問問</t>
        </is>
      </c>
      <c r="D251" s="71" t="inlineStr">
        <is>
          <t>Tech/AI</t>
        </is>
      </c>
      <c r="E251" s="71" t="inlineStr">
        <is>
          <t>AI application / agent software</t>
        </is>
      </c>
      <c r="F251" s="71" t="inlineStr">
        <is>
          <t>Application Software</t>
        </is>
      </c>
      <c r="G251" s="71" t="inlineStr">
        <is>
          <t>Standard</t>
        </is>
      </c>
      <c r="H251" s="72" t="n">
        <v>45406</v>
      </c>
      <c r="I251" s="73" t="n">
        <v>321.4</v>
      </c>
      <c r="J251" s="71" t="inlineStr">
        <is>
          <t>gross (price x shares)</t>
        </is>
      </c>
      <c r="K251" s="74" t="n">
        <v>3.7</v>
      </c>
      <c r="L251" s="74" t="n">
        <v>4.1</v>
      </c>
      <c r="M251" s="74" t="n">
        <v>3.8</v>
      </c>
      <c r="N251" s="71" t="inlineStr">
        <is>
          <t>N</t>
        </is>
      </c>
      <c r="O251" s="75" t="n">
        <v>92.7</v>
      </c>
      <c r="P251" s="75" t="n">
        <v>25</v>
      </c>
      <c r="Q251" s="76" t="n">
        <v>6113.9</v>
      </c>
      <c r="R251" s="71" t="inlineStr">
        <is>
          <t>aastocks:上市市值 at the struck price</t>
        </is>
      </c>
      <c r="S251" s="77" t="n">
        <v>117.39</v>
      </c>
      <c r="T251" s="78" t="n">
        <v>1.58</v>
      </c>
      <c r="U251" s="79" t="n">
        <v>40.6</v>
      </c>
      <c r="V251" s="80" t="n">
        <v>163</v>
      </c>
      <c r="W251" s="75" t="n">
        <v>50</v>
      </c>
      <c r="X251" s="71" t="inlineStr">
        <is>
          <t>YES</t>
        </is>
      </c>
      <c r="Y251" s="76" t="n">
        <v>190.91</v>
      </c>
      <c r="Z251" s="76" t="n">
        <v>50233392</v>
      </c>
      <c r="AA251" s="75" t="n">
        <v>3.12</v>
      </c>
      <c r="AB251" s="71" t="inlineStr">
        <is>
          <t>Nanjing Jingkai Juzhi Investment L.P; ZGC International Limited</t>
        </is>
      </c>
      <c r="AC251" s="71" t="inlineStr">
        <is>
          <t>nanjing;zgc</t>
        </is>
      </c>
      <c r="AD251" s="75" t="n">
        <v>15</v>
      </c>
      <c r="AE251" s="71" t="inlineStr">
        <is>
          <t>partial</t>
        </is>
      </c>
      <c r="AF251" s="71" t="inlineStr">
        <is>
          <t>2024-05-19</t>
        </is>
      </c>
      <c r="AG251" s="71" t="inlineStr">
        <is>
          <t>China International Capital Corporation Hong Kong Securities Limited</t>
        </is>
      </c>
      <c r="AH251" s="71" t="inlineStr">
        <is>
          <t>China International</t>
        </is>
      </c>
      <c r="AI251" s="81" t="n">
        <v>-18.16</v>
      </c>
      <c r="AJ251" s="82" t="n">
        <v>-3.16</v>
      </c>
      <c r="AK251" s="82" t="n">
        <v>-21.58</v>
      </c>
      <c r="AL251" s="82" t="n">
        <v>23.49</v>
      </c>
      <c r="AM251" s="83" t="n">
        <v>1.46</v>
      </c>
      <c r="AN251" s="75" t="n">
        <v>26.17</v>
      </c>
      <c r="AO251" s="82" t="n">
        <v>1.32</v>
      </c>
      <c r="AP251" s="82" t="n">
        <v>-5.26</v>
      </c>
      <c r="AQ251" s="82" t="n">
        <v>-69.73999999999999</v>
      </c>
      <c r="AR251" s="82" t="n">
        <v>4.63</v>
      </c>
      <c r="AS251" s="82" t="n">
        <v>-2.17</v>
      </c>
      <c r="AT251" s="82" t="n">
        <v>-68.75</v>
      </c>
      <c r="AU251" s="82" t="n">
        <v>-10.99</v>
      </c>
      <c r="AV251" s="82" t="n">
        <v>-17.57</v>
      </c>
      <c r="AW251" s="82" t="n">
        <v>-69.92</v>
      </c>
      <c r="AX251" s="82" t="n">
        <v>-10.57</v>
      </c>
      <c r="AY251" s="82" t="n">
        <v>12.31</v>
      </c>
      <c r="AZ251" s="82" t="n">
        <v>8.4</v>
      </c>
      <c r="BA251" s="71" t="inlineStr">
        <is>
          <t>HSTECH (Hang Seng TECH ETF)</t>
        </is>
      </c>
      <c r="BB251" s="82" t="n">
        <v>-92.11</v>
      </c>
      <c r="BC251" s="72" t="inlineStr">
        <is>
          <t>2026-09-23</t>
        </is>
      </c>
      <c r="BD251" s="73" t="n">
        <v>557.8</v>
      </c>
      <c r="BE251" s="76" t="n">
        <v>-882.9</v>
      </c>
      <c r="BF251" s="71" t="inlineStr">
        <is>
          <t>N</t>
        </is>
      </c>
      <c r="BG251" s="71" t="inlineStr">
        <is>
          <t>n/m</t>
        </is>
      </c>
      <c r="BH251" s="83" t="n"/>
      <c r="BI251" s="83" t="n"/>
      <c r="BJ251" s="83" t="n">
        <v>11</v>
      </c>
      <c r="BK251" s="84">
        <f>IF('BBG Verify'!S251="","not filed; run on terminal",'BBG Verify'!S251)</f>
        <v/>
      </c>
      <c r="BL251" s="85" t="inlineStr">
        <is>
          <t>N</t>
        </is>
      </c>
      <c r="BM251" s="86">
        <f>IF('BBG Verify'!K251="","not filed; run on terminal",'BBG Verify'!K251)</f>
        <v/>
      </c>
      <c r="BN251" s="71" t="inlineStr">
        <is>
          <t>N/A</t>
        </is>
      </c>
      <c r="BO251" s="71" t="inlineStr">
        <is>
          <t>N/A</t>
        </is>
      </c>
      <c r="BP251" s="71" t="inlineStr">
        <is>
          <t>N/A</t>
        </is>
      </c>
      <c r="BQ251" s="71" t="inlineStr">
        <is>
          <t>N/A</t>
        </is>
      </c>
      <c r="BR251" s="71" t="inlineStr">
        <is>
          <t>N/A</t>
        </is>
      </c>
      <c r="BS251" s="71" t="inlineStr">
        <is>
          <t>N/A</t>
        </is>
      </c>
      <c r="BT251" s="85" t="inlineStr">
        <is>
          <t>CMB International Capital Limited</t>
        </is>
      </c>
      <c r="BU251" s="71" t="inlineStr">
        <is>
          <t>China International Capital Corporation Hong Kong Securities Limited; CMB International Capital Limited</t>
        </is>
      </c>
      <c r="BV251" s="71"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W251" s="71"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X251" s="87">
        <f>HYPERLINK("https://www1.hkexnews.hk/listedco/listconews/sehk/2024/0416/2024041600025.pdf","prospectus")</f>
        <v/>
      </c>
      <c r="BY251" s="87">
        <f>HYPERLINK("https://www1.hkexnews.hk/listedco/listconews/sehk/2024/0423/2024042301690.pdf","allotment")</f>
        <v/>
      </c>
      <c r="BZ251" s="87">
        <f>HYPERLINK("https://www1.hkexnews.hk/listedco/listconews/sehk/2024/0519/2024051900005.pdf","stabilisation")</f>
        <v/>
      </c>
      <c r="CA251" s="85" t="n"/>
      <c r="CB251" s="71" t="inlineStr">
        <is>
          <t>P/E: loss-making at IPO, use P/S; market cap: published listing cap used; the estimate from deal size / offer % of enlarged capital disagreed</t>
        </is>
      </c>
    </row>
    <row r="252" ht="15" customHeight="1">
      <c r="A252" s="70" t="inlineStr">
        <is>
          <t>2556</t>
        </is>
      </c>
      <c r="B252" s="71" t="inlineStr">
        <is>
          <t>MARKETINGFORCE</t>
        </is>
      </c>
      <c r="C252" s="71" t="inlineStr">
        <is>
          <t>邁富時</t>
        </is>
      </c>
      <c r="D252" s="71" t="inlineStr">
        <is>
          <t>Tech/AI</t>
        </is>
      </c>
      <c r="E252" s="71" t="inlineStr">
        <is>
          <t>SaaS / enterprise software</t>
        </is>
      </c>
      <c r="F252" s="71" t="inlineStr">
        <is>
          <t>Application Software</t>
        </is>
      </c>
      <c r="G252" s="71" t="inlineStr">
        <is>
          <t>Standard</t>
        </is>
      </c>
      <c r="H252" s="72" t="n">
        <v>45428</v>
      </c>
      <c r="I252" s="73" t="n">
        <v>259.4</v>
      </c>
      <c r="J252" s="71" t="inlineStr">
        <is>
          <t>gross (price x shares)</t>
        </is>
      </c>
      <c r="K252" s="74" t="n">
        <v>42</v>
      </c>
      <c r="L252" s="74" t="n">
        <v>45</v>
      </c>
      <c r="M252" s="74" t="n">
        <v>43.6</v>
      </c>
      <c r="N252" s="71" t="inlineStr">
        <is>
          <t>N</t>
        </is>
      </c>
      <c r="O252" s="75" t="n">
        <v>96.90000000000001</v>
      </c>
      <c r="P252" s="75" t="n">
        <v>53.3</v>
      </c>
      <c r="Q252" s="76" t="n">
        <v>10253.2</v>
      </c>
      <c r="R252" s="71" t="inlineStr">
        <is>
          <t>derived:price x shares upon listing</t>
        </is>
      </c>
      <c r="S252" s="77" t="n">
        <v>5.95</v>
      </c>
      <c r="T252" s="78" t="n">
        <v>1.03</v>
      </c>
      <c r="U252" s="79" t="n">
        <v>17.3</v>
      </c>
      <c r="V252" s="80" t="n">
        <v>125</v>
      </c>
      <c r="W252" s="75" t="n">
        <v>10</v>
      </c>
      <c r="X252" s="71" t="inlineStr">
        <is>
          <t>NO</t>
        </is>
      </c>
      <c r="Y252" s="76" t="n">
        <v>214.52</v>
      </c>
      <c r="Z252" s="76" t="n">
        <v>4920402</v>
      </c>
      <c r="AA252" s="75" t="n">
        <v>2.09</v>
      </c>
      <c r="AB252" s="71" t="inlineStr">
        <is>
          <t>Barjai Trading Company Limited; VH Nanchang Donghu Asset Capital LPF</t>
        </is>
      </c>
      <c r="AC252" s="71" t="inlineStr">
        <is>
          <t>barjai;vh</t>
        </is>
      </c>
      <c r="AD252" s="75" t="n"/>
      <c r="AE252" s="71" t="n"/>
      <c r="AF252" s="71" t="n"/>
      <c r="AG252" s="71" t="n"/>
      <c r="AH252" s="71" t="n"/>
      <c r="AI252" s="81" t="n">
        <v>5.5</v>
      </c>
      <c r="AJ252" s="82" t="n">
        <v>18.46</v>
      </c>
      <c r="AK252" s="82" t="n">
        <v>3.21</v>
      </c>
      <c r="AL252" s="82" t="n">
        <v>14.78</v>
      </c>
      <c r="AM252" s="83" t="n">
        <v>1.34</v>
      </c>
      <c r="AN252" s="75" t="n">
        <v>24.44</v>
      </c>
      <c r="AO252" s="82" t="n">
        <v>40.02</v>
      </c>
      <c r="AP252" s="82" t="n">
        <v>90.25</v>
      </c>
      <c r="AQ252" s="82" t="n">
        <v>125.34</v>
      </c>
      <c r="AR252" s="82" t="n">
        <v>18.2</v>
      </c>
      <c r="AS252" s="82" t="n">
        <v>60.6</v>
      </c>
      <c r="AT252" s="82" t="n">
        <v>90.22</v>
      </c>
      <c r="AU252" s="82" t="n">
        <v>43.51</v>
      </c>
      <c r="AV252" s="82" t="n">
        <v>98.18000000000001</v>
      </c>
      <c r="AW252" s="82" t="n">
        <v>141.06</v>
      </c>
      <c r="AX252" s="82" t="n">
        <v>69.22</v>
      </c>
      <c r="AY252" s="82" t="n">
        <v>-7.93</v>
      </c>
      <c r="AZ252" s="82" t="n">
        <v>-8.619999999999999</v>
      </c>
      <c r="BA252" s="71" t="inlineStr">
        <is>
          <t>HSTECH (Hang Seng TECH ETF)</t>
        </is>
      </c>
      <c r="BB252" s="82" t="n">
        <v>25</v>
      </c>
      <c r="BC252" s="72" t="inlineStr">
        <is>
          <t>2026-09-23</t>
        </is>
      </c>
      <c r="BD252" s="73" t="n">
        <v>1355.3</v>
      </c>
      <c r="BE252" s="76" t="n">
        <v>-186.4</v>
      </c>
      <c r="BF252" s="71" t="inlineStr">
        <is>
          <t>N</t>
        </is>
      </c>
      <c r="BG252" s="71" t="inlineStr">
        <is>
          <t>n/m</t>
        </is>
      </c>
      <c r="BH252" s="83" t="n"/>
      <c r="BI252" s="83" t="n">
        <v>48.1</v>
      </c>
      <c r="BJ252" s="83" t="n">
        <v>7.6</v>
      </c>
      <c r="BK252" s="84">
        <f>IF('BBG Verify'!S252="","not filed; run on terminal",'BBG Verify'!S252)</f>
        <v/>
      </c>
      <c r="BL252" s="85" t="inlineStr">
        <is>
          <t>N</t>
        </is>
      </c>
      <c r="BM252" s="86">
        <f>IF('BBG Verify'!K252="","not filed; run on terminal",'BBG Verify'!K252)</f>
        <v/>
      </c>
      <c r="BN252" s="71" t="inlineStr">
        <is>
          <t>N/A</t>
        </is>
      </c>
      <c r="BO252" s="71" t="inlineStr">
        <is>
          <t>N/A</t>
        </is>
      </c>
      <c r="BP252" s="71" t="inlineStr">
        <is>
          <t>N/A</t>
        </is>
      </c>
      <c r="BQ252" s="71" t="inlineStr">
        <is>
          <t>N/A</t>
        </is>
      </c>
      <c r="BR252" s="71" t="inlineStr">
        <is>
          <t>N/A</t>
        </is>
      </c>
      <c r="BS252" s="71" t="inlineStr">
        <is>
          <t>N/A</t>
        </is>
      </c>
      <c r="BT252" s="85" t="inlineStr">
        <is>
          <t>CCB International Capital Limited</t>
        </is>
      </c>
      <c r="BU252" s="71" t="inlineStr">
        <is>
          <t>CCB International Capital Limited; China International Capital Corporation (HK) Ltd</t>
        </is>
      </c>
      <c r="BV252" s="71" t="inlineStr">
        <is>
          <t>Beta International Securities Limited; CCB International Capital Limited; CEB International Capital Corporation Limited; China International Capital Corporation Hong Kong Securities Limited; Citrus Securities Limited; CMBC Securities Company Limited</t>
        </is>
      </c>
      <c r="BW252" s="71"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X252" s="87">
        <f>HYPERLINK("https://www1.hkexnews.hk/listedco/listconews/sehk/2024/0507/2024050700011.pdf","prospectus")</f>
        <v/>
      </c>
      <c r="BY252" s="87">
        <f>HYPERLINK("https://www1.hkexnews.hk/listedco/listconews/sehk/2024/0514/2024051401235.pdf","allotment")</f>
        <v/>
      </c>
      <c r="BZ252" s="71" t="n"/>
      <c r="CA252" s="85" t="n"/>
      <c r="CB252" s="71" t="inlineStr">
        <is>
          <t>P/E: loss-making at IPO, use P/S; greenshoe: no over-allotment option; greenshoe size: no over-allotment option; stabilising manager: filing states none appointed (allotment announcement: 'no stabilizing manager will be appointed' stated in the filing)</t>
        </is>
      </c>
    </row>
    <row r="253" ht="15" customHeight="1">
      <c r="A253" s="70" t="inlineStr">
        <is>
          <t>2529</t>
        </is>
      </c>
      <c r="B253" s="71" t="inlineStr">
        <is>
          <t>HOLLWIN URBAN</t>
        </is>
      </c>
      <c r="C253" s="71" t="inlineStr">
        <is>
          <t>泓盈城市服務</t>
        </is>
      </c>
      <c r="D253" s="71" t="inlineStr">
        <is>
          <t>Real Estate</t>
        </is>
      </c>
      <c r="E253" s="71" t="inlineStr">
        <is>
          <t>Property management</t>
        </is>
      </c>
      <c r="F253" s="71" t="inlineStr">
        <is>
          <t>Property Service and Management</t>
        </is>
      </c>
      <c r="G253" s="71" t="inlineStr">
        <is>
          <t>Standard</t>
        </is>
      </c>
      <c r="H253" s="72" t="n">
        <v>45429</v>
      </c>
      <c r="I253" s="73" t="n">
        <v>128</v>
      </c>
      <c r="J253" s="71" t="inlineStr">
        <is>
          <t>gross (price x shares)</t>
        </is>
      </c>
      <c r="K253" s="74" t="n">
        <v>3.2</v>
      </c>
      <c r="L253" s="74" t="n">
        <v>3.6</v>
      </c>
      <c r="M253" s="74" t="n">
        <v>3.2</v>
      </c>
      <c r="N253" s="71" t="inlineStr">
        <is>
          <t>N</t>
        </is>
      </c>
      <c r="O253" s="75" t="n">
        <v>88.90000000000001</v>
      </c>
      <c r="P253" s="75" t="n">
        <v>0</v>
      </c>
      <c r="Q253" s="76" t="n">
        <v>512</v>
      </c>
      <c r="R253" s="71" t="inlineStr">
        <is>
          <t>derived:price x shares upon listing</t>
        </is>
      </c>
      <c r="S253" s="77" t="n">
        <v>47.59</v>
      </c>
      <c r="T253" s="78" t="n">
        <v>1.2</v>
      </c>
      <c r="U253" s="79" t="n">
        <v>52.34</v>
      </c>
      <c r="V253" s="80" t="n">
        <v>135</v>
      </c>
      <c r="W253" s="75" t="n">
        <v>30</v>
      </c>
      <c r="X253" s="71" t="inlineStr">
        <is>
          <t>YES</t>
        </is>
      </c>
      <c r="Y253" s="76" t="n">
        <v>61</v>
      </c>
      <c r="Z253" s="76" t="n">
        <v>19064000</v>
      </c>
      <c r="AA253" s="75" t="n">
        <v>11.91</v>
      </c>
      <c r="AB253" s="71" t="inlineStr">
        <is>
          <t>HONGKONG JIAGANG TRADING LIMITED; LENS TECHNOLOGY (HK) CO., LIMITED; Leyard (HongKong) Co., Limited; Sanan International Holding Co., Limited; Xiangzheng Capital Limited</t>
        </is>
      </c>
      <c r="AC253" s="71" t="inlineStr">
        <is>
          <t>hongkong;lens;leyard;sanan;xiangzheng</t>
        </is>
      </c>
      <c r="AD253" s="75" t="n"/>
      <c r="AE253" s="71" t="n"/>
      <c r="AF253" s="71" t="n"/>
      <c r="AG253" s="71" t="n"/>
      <c r="AH253" s="71" t="n"/>
      <c r="AI253" s="81" t="n">
        <v>11.56</v>
      </c>
      <c r="AJ253" s="82" t="n">
        <v>0.31</v>
      </c>
      <c r="AK253" s="82" t="n">
        <v>8.119999999999999</v>
      </c>
      <c r="AL253" s="82" t="n">
        <v>-7.22</v>
      </c>
      <c r="AM253" s="83" t="n">
        <v>0.96</v>
      </c>
      <c r="AN253" s="75" t="n">
        <v>15.9</v>
      </c>
      <c r="AO253" s="82" t="n">
        <v>-19.38</v>
      </c>
      <c r="AP253" s="82" t="n">
        <v>-7.81</v>
      </c>
      <c r="AQ253" s="82" t="n">
        <v>-12.5</v>
      </c>
      <c r="AR253" s="82" t="n">
        <v>-19.63</v>
      </c>
      <c r="AS253" s="82" t="n">
        <v>-8.09</v>
      </c>
      <c r="AT253" s="82" t="n">
        <v>-12.77</v>
      </c>
      <c r="AU253" s="82" t="n">
        <v>-15.31</v>
      </c>
      <c r="AV253" s="82" t="n">
        <v>6.84</v>
      </c>
      <c r="AW253" s="82" t="n">
        <v>5.33</v>
      </c>
      <c r="AX253" s="82" t="n">
        <v>8.66</v>
      </c>
      <c r="AY253" s="82" t="n">
        <v>-14.65</v>
      </c>
      <c r="AZ253" s="82" t="n">
        <v>-16.75</v>
      </c>
      <c r="BA253" s="71" t="inlineStr">
        <is>
          <t>Hang Seng Properties sub-index</t>
        </is>
      </c>
      <c r="BB253" s="82" t="n">
        <v>-15.16</v>
      </c>
      <c r="BC253" s="72" t="inlineStr">
        <is>
          <t>2026-09-18</t>
        </is>
      </c>
      <c r="BD253" s="73" t="n">
        <v>717.1</v>
      </c>
      <c r="BE253" s="76" t="n">
        <v>77.2</v>
      </c>
      <c r="BF253" s="71" t="inlineStr">
        <is>
          <t>Y</t>
        </is>
      </c>
      <c r="BG253" s="83" t="n">
        <v>6.6</v>
      </c>
      <c r="BH253" s="83" t="n"/>
      <c r="BI253" s="83" t="n">
        <v>5.2</v>
      </c>
      <c r="BJ253" s="83" t="n">
        <v>0.7</v>
      </c>
      <c r="BK253" s="84">
        <f>IF('BBG Verify'!S253="","not filed; run on terminal",'BBG Verify'!S253)</f>
        <v/>
      </c>
      <c r="BL253" s="85" t="inlineStr">
        <is>
          <t>N</t>
        </is>
      </c>
      <c r="BM253" s="86">
        <f>IF('BBG Verify'!K253="","not filed; run on terminal",'BBG Verify'!K253)</f>
        <v/>
      </c>
      <c r="BN253" s="71" t="inlineStr">
        <is>
          <t>N/A</t>
        </is>
      </c>
      <c r="BO253" s="71" t="inlineStr">
        <is>
          <t>N/A</t>
        </is>
      </c>
      <c r="BP253" s="71" t="inlineStr">
        <is>
          <t>N/A</t>
        </is>
      </c>
      <c r="BQ253" s="71" t="inlineStr">
        <is>
          <t>N/A</t>
        </is>
      </c>
      <c r="BR253" s="71" t="inlineStr">
        <is>
          <t>N/A</t>
        </is>
      </c>
      <c r="BS253" s="71" t="inlineStr">
        <is>
          <t>N/A</t>
        </is>
      </c>
      <c r="BT253" s="85" t="n"/>
      <c r="BU253" s="71" t="inlineStr">
        <is>
          <t>China International Capital Corporation Hong Kong Securities Limited</t>
        </is>
      </c>
      <c r="BV253" s="71"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W253" s="71"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X253" s="87">
        <f>HYPERLINK("https://www1.hkexnews.hk/listedco/listconews/sehk/2024/0508/2024050800029.pdf","prospectus")</f>
        <v/>
      </c>
      <c r="BY253" s="87">
        <f>HYPERLINK("https://www1.hkexnews.hk/listedco/listconews/sehk/2024/0516/2024051601339.pdf","allotment")</f>
        <v/>
      </c>
      <c r="BZ253" s="71" t="n"/>
      <c r="CA253" s="85" t="n"/>
      <c r="CB253" s="71" t="inlineStr">
        <is>
          <t>greenshoe: no over-allotment option; sponsor: English name not in the filing; AAStocks 保薦人 shown; greenshoe size: no over-allotment option; stabilising manager: no over-allotment option, so none appointed</t>
        </is>
      </c>
    </row>
    <row r="254" ht="15" customHeight="1">
      <c r="A254" s="70" t="inlineStr">
        <is>
          <t>2898</t>
        </is>
      </c>
      <c r="B254" s="71" t="inlineStr">
        <is>
          <t>SUNHO BIO-B</t>
        </is>
      </c>
      <c r="C254" s="71" t="inlineStr">
        <is>
          <t>盛禾生物－Ｂ</t>
        </is>
      </c>
      <c r="D254" s="71" t="inlineStr">
        <is>
          <t>Healthcare</t>
        </is>
      </c>
      <c r="E254" s="71" t="inlineStr">
        <is>
          <t>Biotech pre-revenue (18A)</t>
        </is>
      </c>
      <c r="F254" s="71" t="inlineStr">
        <is>
          <t>Biotechnology - Pharmaceuticals</t>
        </is>
      </c>
      <c r="G254" s="71" t="inlineStr">
        <is>
          <t>18A</t>
        </is>
      </c>
      <c r="H254" s="72" t="n">
        <v>45436</v>
      </c>
      <c r="I254" s="73" t="n">
        <v>461</v>
      </c>
      <c r="J254" s="71" t="inlineStr">
        <is>
          <t>gross (price x shares)</t>
        </is>
      </c>
      <c r="K254" s="74" t="n"/>
      <c r="L254" s="74" t="n">
        <v>13.5</v>
      </c>
      <c r="M254" s="74" t="n">
        <v>13.5</v>
      </c>
      <c r="N254" s="71" t="inlineStr">
        <is>
          <t>Y</t>
        </is>
      </c>
      <c r="O254" s="75" t="n">
        <v>100</v>
      </c>
      <c r="P254" s="75" t="n"/>
      <c r="Q254" s="76" t="n">
        <v>2115</v>
      </c>
      <c r="R254" s="71" t="inlineStr">
        <is>
          <t>derived:price x shares upon listing</t>
        </is>
      </c>
      <c r="S254" s="77" t="n">
        <v>10.08</v>
      </c>
      <c r="T254" s="78" t="n">
        <v>1.27</v>
      </c>
      <c r="U254" s="79" t="n">
        <v>9.07</v>
      </c>
      <c r="V254" s="80" t="n">
        <v>110</v>
      </c>
      <c r="W254" s="75" t="n">
        <v>10</v>
      </c>
      <c r="X254" s="71" t="inlineStr">
        <is>
          <t>NO</t>
        </is>
      </c>
      <c r="Y254" s="76" t="n">
        <v>419.19</v>
      </c>
      <c r="Z254" s="76" t="n">
        <v>31054232</v>
      </c>
      <c r="AA254" s="75" t="n">
        <v>19.82</v>
      </c>
      <c r="AB254" s="71" t="inlineStr">
        <is>
          <t>No5XJR Limited</t>
        </is>
      </c>
      <c r="AC254" s="71" t="inlineStr">
        <is>
          <t>no5xjr</t>
        </is>
      </c>
      <c r="AD254" s="75" t="n"/>
      <c r="AE254" s="71" t="n"/>
      <c r="AF254" s="71" t="n"/>
      <c r="AG254" s="71" t="n"/>
      <c r="AH254" s="71" t="n"/>
      <c r="AI254" s="81" t="n">
        <v>8.9</v>
      </c>
      <c r="AJ254" s="82" t="n">
        <v>7.56</v>
      </c>
      <c r="AK254" s="82" t="n">
        <v>7.11</v>
      </c>
      <c r="AL254" s="82" t="n">
        <v>0.42</v>
      </c>
      <c r="AM254" s="83" t="n">
        <v>0.8100000000000001</v>
      </c>
      <c r="AN254" s="75" t="n">
        <v>9.130000000000001</v>
      </c>
      <c r="AO254" s="82" t="n">
        <v>-47.41</v>
      </c>
      <c r="AP254" s="82" t="n">
        <v>-60</v>
      </c>
      <c r="AQ254" s="82" t="n">
        <v>-49.63</v>
      </c>
      <c r="AR254" s="82" t="n">
        <v>-51.11</v>
      </c>
      <c r="AS254" s="82" t="n">
        <v>-62.81</v>
      </c>
      <c r="AT254" s="82" t="n">
        <v>-53.17</v>
      </c>
      <c r="AU254" s="82" t="n">
        <v>-44.39</v>
      </c>
      <c r="AV254" s="82" t="n">
        <v>-53.58</v>
      </c>
      <c r="AW254" s="82" t="n">
        <v>-40.04</v>
      </c>
      <c r="AX254" s="82" t="n">
        <v>-58.92</v>
      </c>
      <c r="AY254" s="82" t="n">
        <v>-6.42</v>
      </c>
      <c r="AZ254" s="82" t="n">
        <v>-3.89</v>
      </c>
      <c r="BA254" s="71" t="inlineStr">
        <is>
          <t>China Biotech ETF (HS biotech proxy)</t>
        </is>
      </c>
      <c r="BB254" s="82" t="n">
        <v>-52.67</v>
      </c>
      <c r="BC254" s="72" t="inlineStr">
        <is>
          <t>2026-09-18</t>
        </is>
      </c>
      <c r="BD254" s="73" t="n"/>
      <c r="BE254" s="76" t="n">
        <v>-146</v>
      </c>
      <c r="BF254" s="71" t="inlineStr">
        <is>
          <t>N</t>
        </is>
      </c>
      <c r="BG254" s="71" t="inlineStr">
        <is>
          <t>n/m</t>
        </is>
      </c>
      <c r="BH254" s="83" t="n"/>
      <c r="BI254" s="83" t="n"/>
      <c r="BJ254" s="83" t="n"/>
      <c r="BK254" s="84">
        <f>IF('BBG Verify'!S254="","not filed; run on terminal",'BBG Verify'!S254)</f>
        <v/>
      </c>
      <c r="BL254" s="85" t="inlineStr">
        <is>
          <t>N</t>
        </is>
      </c>
      <c r="BM254" s="86">
        <f>IF('BBG Verify'!K254="","not filed; run on terminal",'BBG Verify'!K254)</f>
        <v/>
      </c>
      <c r="BN254" s="71" t="inlineStr">
        <is>
          <t>N/A</t>
        </is>
      </c>
      <c r="BO254" s="71" t="inlineStr">
        <is>
          <t>N/A</t>
        </is>
      </c>
      <c r="BP254" s="71" t="inlineStr">
        <is>
          <t>N/A</t>
        </is>
      </c>
      <c r="BQ254" s="71" t="inlineStr">
        <is>
          <t>N/A</t>
        </is>
      </c>
      <c r="BR254" s="71" t="inlineStr">
        <is>
          <t>N/A</t>
        </is>
      </c>
      <c r="BS254" s="71" t="inlineStr">
        <is>
          <t>N/A</t>
        </is>
      </c>
      <c r="BT254" s="85" t="n"/>
      <c r="BU254" s="71" t="inlineStr">
        <is>
          <t>China International Capital Corporation Hong Kong Securities Limited</t>
        </is>
      </c>
      <c r="BV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W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X254" s="71" t="n"/>
      <c r="BY254" s="87">
        <f>HYPERLINK("https://www1.hkexnews.hk/listedco/listconews/sehk/2024/0523/2024052301621.pdf","allotment")</f>
        <v/>
      </c>
      <c r="BZ254" s="71" t="n"/>
      <c r="CA254" s="85" t="n"/>
      <c r="CB25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70" t="inlineStr">
        <is>
          <t>0917</t>
        </is>
      </c>
      <c r="B255" s="71" t="inlineStr">
        <is>
          <t>QUNABOX GROUP</t>
        </is>
      </c>
      <c r="C255" s="71" t="inlineStr">
        <is>
          <t>趣致集團</t>
        </is>
      </c>
      <c r="D255" s="71" t="inlineStr">
        <is>
          <t>TMT-other</t>
        </is>
      </c>
      <c r="E255" s="71" t="inlineStr">
        <is>
          <t>Media / advertising</t>
        </is>
      </c>
      <c r="F255" s="71" t="inlineStr">
        <is>
          <t>Advertising</t>
        </is>
      </c>
      <c r="G255" s="71" t="inlineStr">
        <is>
          <t>Standard</t>
        </is>
      </c>
      <c r="H255" s="72" t="n">
        <v>45439</v>
      </c>
      <c r="I255" s="73" t="n">
        <v>492.6</v>
      </c>
      <c r="J255" s="71" t="inlineStr">
        <is>
          <t>gross (stated)</t>
        </is>
      </c>
      <c r="K255" s="74" t="n"/>
      <c r="L255" s="74" t="n">
        <v>25</v>
      </c>
      <c r="M255" s="74" t="n">
        <v>25</v>
      </c>
      <c r="N255" s="71" t="inlineStr">
        <is>
          <t>Y</t>
        </is>
      </c>
      <c r="O255" s="75" t="n">
        <v>100</v>
      </c>
      <c r="P255" s="75" t="n"/>
      <c r="Q255" s="76" t="n">
        <v>6567.6</v>
      </c>
      <c r="R255" s="71" t="inlineStr">
        <is>
          <t>derived:price x shares upon listing</t>
        </is>
      </c>
      <c r="S255" s="77" t="n">
        <v>12.05</v>
      </c>
      <c r="T255" s="78" t="n">
        <v>1.11</v>
      </c>
      <c r="U255" s="79" t="n">
        <v>20</v>
      </c>
      <c r="V255" s="80" t="n">
        <v>243</v>
      </c>
      <c r="W255" s="75" t="n">
        <v>10</v>
      </c>
      <c r="X255" s="71" t="inlineStr">
        <is>
          <t>NO</t>
        </is>
      </c>
      <c r="Y255" s="76" t="n">
        <v>394.08</v>
      </c>
      <c r="Z255" s="76" t="n">
        <v>15763200</v>
      </c>
      <c r="AA255" s="75" t="n">
        <v>6</v>
      </c>
      <c r="AB255" s="71" t="inlineStr">
        <is>
          <t>Golden Future LPF</t>
        </is>
      </c>
      <c r="AC255" s="71" t="inlineStr">
        <is>
          <t>golden-future</t>
        </is>
      </c>
      <c r="AD255" s="75" t="n"/>
      <c r="AE255" s="71" t="n"/>
      <c r="AF255" s="71" t="n"/>
      <c r="AG255" s="71" t="n"/>
      <c r="AH255" s="71" t="n"/>
      <c r="AI255" s="81" t="n">
        <v>32</v>
      </c>
      <c r="AJ255" s="82" t="n">
        <v>40</v>
      </c>
      <c r="AK255" s="82" t="n">
        <v>32</v>
      </c>
      <c r="AL255" s="82" t="n">
        <v>6.06</v>
      </c>
      <c r="AM255" s="83" t="n">
        <v>1.28</v>
      </c>
      <c r="AN255" s="75" t="n">
        <v>24.24</v>
      </c>
      <c r="AO255" s="82" t="n">
        <v>58.8</v>
      </c>
      <c r="AP255" s="82" t="n">
        <v>110.6</v>
      </c>
      <c r="AQ255" s="82" t="n">
        <v>105.8</v>
      </c>
      <c r="AR255" s="82" t="n">
        <v>13.43</v>
      </c>
      <c r="AS255" s="82" t="n">
        <v>50.43</v>
      </c>
      <c r="AT255" s="82" t="n">
        <v>47</v>
      </c>
      <c r="AU255" s="82" t="n">
        <v>59.91</v>
      </c>
      <c r="AV255" s="82" t="n">
        <v>113.39</v>
      </c>
      <c r="AW255" s="82" t="n">
        <v>110.15</v>
      </c>
      <c r="AX255" s="82" t="n">
        <v>54.34</v>
      </c>
      <c r="AY255" s="82" t="n">
        <v>-2.79</v>
      </c>
      <c r="AZ255" s="82" t="n">
        <v>-3.91</v>
      </c>
      <c r="BA255" s="71" t="inlineStr">
        <is>
          <t>Hang Seng Index</t>
        </is>
      </c>
      <c r="BB255" s="82" t="n">
        <v>-70.12</v>
      </c>
      <c r="BC255" s="72" t="inlineStr">
        <is>
          <t>2026-09-23</t>
        </is>
      </c>
      <c r="BD255" s="73" t="n">
        <v>1107.4</v>
      </c>
      <c r="BE255" s="76" t="n">
        <v>144</v>
      </c>
      <c r="BF255" s="71" t="inlineStr">
        <is>
          <t>Y</t>
        </is>
      </c>
      <c r="BG255" s="83" t="n">
        <v>45.6</v>
      </c>
      <c r="BH255" s="83" t="n"/>
      <c r="BI255" s="83" t="n"/>
      <c r="BJ255" s="83" t="n">
        <v>5.9</v>
      </c>
      <c r="BK255" s="84">
        <f>IF('BBG Verify'!S255="","not filed; run on terminal",'BBG Verify'!S255)</f>
        <v/>
      </c>
      <c r="BL255" s="85" t="inlineStr">
        <is>
          <t>N</t>
        </is>
      </c>
      <c r="BM255" s="86">
        <f>IF('BBG Verify'!K255="","not filed; run on terminal",'BBG Verify'!K255)</f>
        <v/>
      </c>
      <c r="BN255" s="71" t="inlineStr">
        <is>
          <t>N/A</t>
        </is>
      </c>
      <c r="BO255" s="71" t="inlineStr">
        <is>
          <t>N/A</t>
        </is>
      </c>
      <c r="BP255" s="71" t="inlineStr">
        <is>
          <t>N/A</t>
        </is>
      </c>
      <c r="BQ255" s="71" t="inlineStr">
        <is>
          <t>N/A</t>
        </is>
      </c>
      <c r="BR255" s="71" t="inlineStr">
        <is>
          <t>N/A</t>
        </is>
      </c>
      <c r="BS255" s="71" t="inlineStr">
        <is>
          <t>N/A</t>
        </is>
      </c>
      <c r="BT255" s="85" t="n"/>
      <c r="BU255" s="71" t="inlineStr">
        <is>
          <t>Haitong International Capital Limited</t>
        </is>
      </c>
      <c r="BV255" s="71" t="inlineStr">
        <is>
          <t>ABCI Securities Company Limited; BOCOM International Securities Limited; CCB International Capital Limited; Fosun International Securities Limited; Futu Securities International (Hong Kong) Limited; Haitong International Securities Company Limited</t>
        </is>
      </c>
      <c r="BW255" s="71"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X255" s="71" t="n"/>
      <c r="BY255" s="87">
        <f>HYPERLINK("https://www1.hkexnews.hk/listedco/listconews/sehk/2024/0524/2024052401848.pdf","allotment")</f>
        <v/>
      </c>
      <c r="BZ255" s="71" t="n"/>
      <c r="CA255" s="85" t="n"/>
      <c r="CB255" s="71"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t>
        </is>
      </c>
    </row>
    <row r="256" ht="15" customHeight="1">
      <c r="A256" s="70" t="inlineStr">
        <is>
          <t>2505</t>
        </is>
      </c>
      <c r="B256" s="71" t="inlineStr">
        <is>
          <t>EDA GROUP HLDGS</t>
        </is>
      </c>
      <c r="C256" s="71" t="inlineStr">
        <is>
          <t>ＥＤＡ集團控股</t>
        </is>
      </c>
      <c r="D256" s="71" t="inlineStr">
        <is>
          <t>Industrials</t>
        </is>
      </c>
      <c r="E256" s="71" t="inlineStr">
        <is>
          <t>Logistics</t>
        </is>
      </c>
      <c r="F256" s="71" t="inlineStr">
        <is>
          <t>Air Freight &amp; Logistics</t>
        </is>
      </c>
      <c r="G256" s="71" t="inlineStr">
        <is>
          <t>Standard</t>
        </is>
      </c>
      <c r="H256" s="72" t="n">
        <v>45440</v>
      </c>
      <c r="I256" s="73" t="n"/>
      <c r="J256" s="71" t="n"/>
      <c r="K256" s="74" t="n"/>
      <c r="L256" s="74" t="n">
        <v>2.28</v>
      </c>
      <c r="M256" s="74" t="n">
        <v>2.28</v>
      </c>
      <c r="N256" s="71" t="inlineStr">
        <is>
          <t>Y</t>
        </is>
      </c>
      <c r="O256" s="75" t="n">
        <v>100</v>
      </c>
      <c r="P256" s="75" t="n"/>
      <c r="Q256" s="76" t="n">
        <v>1174.7</v>
      </c>
      <c r="R256" s="71" t="inlineStr">
        <is>
          <t>aastocks:上市市值 at the struck price</t>
        </is>
      </c>
      <c r="S256" s="77" t="n">
        <v>103.44</v>
      </c>
      <c r="T256" s="78" t="n">
        <v>0.98</v>
      </c>
      <c r="U256" s="79" t="n">
        <v>35.8</v>
      </c>
      <c r="V256" s="80" t="n">
        <v>136</v>
      </c>
      <c r="W256" s="75" t="n">
        <v>15.2</v>
      </c>
      <c r="X256" s="71" t="n"/>
      <c r="Y256" s="76" t="n"/>
      <c r="Z256" s="76" t="n"/>
      <c r="AA256" s="75" t="n"/>
      <c r="AB256" s="71" t="inlineStr">
        <is>
          <t>CPIC Investment Management (H.K.) Company Limited; The Reynold Lemkins Group (Asia) Limited</t>
        </is>
      </c>
      <c r="AC256" s="71" t="inlineStr">
        <is>
          <t>cpic;reynold</t>
        </is>
      </c>
      <c r="AD256" s="75" t="n"/>
      <c r="AE256" s="71" t="inlineStr">
        <is>
          <t>lapsed (no over-allocation)</t>
        </is>
      </c>
      <c r="AF256" s="71" t="inlineStr">
        <is>
          <t>2024-06-22</t>
        </is>
      </c>
      <c r="AG256" s="71" t="inlineStr">
        <is>
          <t>CMB International Capital Limited</t>
        </is>
      </c>
      <c r="AH256" s="71" t="inlineStr">
        <is>
          <t>CMB</t>
        </is>
      </c>
      <c r="AI256" s="81" t="n">
        <v>40.79</v>
      </c>
      <c r="AJ256" s="82" t="n">
        <v>84.20999999999999</v>
      </c>
      <c r="AK256" s="82" t="n">
        <v>35.53</v>
      </c>
      <c r="AL256" s="82" t="n">
        <v>35.92</v>
      </c>
      <c r="AM256" s="83" t="n">
        <v>2.27</v>
      </c>
      <c r="AN256" s="75" t="n">
        <v>51.13</v>
      </c>
      <c r="AO256" s="82" t="n">
        <v>35.09</v>
      </c>
      <c r="AP256" s="82" t="n">
        <v>84.20999999999999</v>
      </c>
      <c r="AQ256" s="82" t="n">
        <v>49.12</v>
      </c>
      <c r="AR256" s="82" t="n">
        <v>-26.67</v>
      </c>
      <c r="AS256" s="82" t="n">
        <v>0</v>
      </c>
      <c r="AT256" s="82" t="n">
        <v>-19.05</v>
      </c>
      <c r="AU256" s="82" t="n">
        <v>36.4</v>
      </c>
      <c r="AV256" s="82" t="n">
        <v>89.48999999999999</v>
      </c>
      <c r="AW256" s="82" t="n">
        <v>53.89</v>
      </c>
      <c r="AX256" s="82" t="n">
        <v>5.4</v>
      </c>
      <c r="AY256" s="82" t="n">
        <v>-5.28</v>
      </c>
      <c r="AZ256" s="82" t="n">
        <v>-5.4</v>
      </c>
      <c r="BA256" s="71" t="inlineStr">
        <is>
          <t>Hang Seng Commerce &amp; Industry sub-index</t>
        </is>
      </c>
      <c r="BB256" s="82" t="n">
        <v>-70.83</v>
      </c>
      <c r="BC256" s="72" t="inlineStr">
        <is>
          <t>2026-09-21</t>
        </is>
      </c>
      <c r="BD256" s="73" t="n">
        <v>1330.2</v>
      </c>
      <c r="BE256" s="76" t="n">
        <v>76.3</v>
      </c>
      <c r="BF256" s="71" t="inlineStr">
        <is>
          <t>Y</t>
        </is>
      </c>
      <c r="BG256" s="83" t="n">
        <v>15.4</v>
      </c>
      <c r="BH256" s="83" t="n"/>
      <c r="BI256" s="83" t="n"/>
      <c r="BJ256" s="83" t="n">
        <v>0.9</v>
      </c>
      <c r="BK256" s="84">
        <f>IF('BBG Verify'!S256="","not filed; run on terminal",'BBG Verify'!S256)</f>
        <v/>
      </c>
      <c r="BL256" s="85" t="inlineStr">
        <is>
          <t>N</t>
        </is>
      </c>
      <c r="BM256" s="86">
        <f>IF('BBG Verify'!K256="","not filed; run on terminal",'BBG Verify'!K256)</f>
        <v/>
      </c>
      <c r="BN256" s="71" t="inlineStr">
        <is>
          <t>N/A</t>
        </is>
      </c>
      <c r="BO256" s="71" t="inlineStr">
        <is>
          <t>N/A</t>
        </is>
      </c>
      <c r="BP256" s="71" t="inlineStr">
        <is>
          <t>N/A</t>
        </is>
      </c>
      <c r="BQ256" s="71" t="inlineStr">
        <is>
          <t>N/A</t>
        </is>
      </c>
      <c r="BR256" s="71" t="inlineStr">
        <is>
          <t>N/A</t>
        </is>
      </c>
      <c r="BS256" s="71" t="inlineStr">
        <is>
          <t>N/A</t>
        </is>
      </c>
      <c r="BT256" s="85" t="n"/>
      <c r="BU256" s="71" t="inlineStr">
        <is>
          <t>CMB International Capital Corporation Limited</t>
        </is>
      </c>
      <c r="BV256" s="71" t="inlineStr">
        <is>
          <t>ABCI Securities Company Limited; BOCI Asia Limited; CEB International Capital Corporation Limited; China Galaxy International Securities (Hong Kong) Company Limited; CMB International Capital Limited; Eddid Securities and Futures Limited</t>
        </is>
      </c>
      <c r="BW256" s="71"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X256" s="87">
        <f>HYPERLINK("https://www1.hkexnews.hk/listedco/listconews/sehk/2024/0519/2024051900044.htm","prospectus")</f>
        <v/>
      </c>
      <c r="BY256" s="87">
        <f>HYPERLINK("https://www1.hkexnews.hk/listedco/listconews/sehk/2024/0527/2024052701491.pdf","allotment")</f>
        <v/>
      </c>
      <c r="BZ256" s="87">
        <f>HYPERLINK("https://www1.hkexnews.hk/listedco/listconews/sehk/2024/0624/2024062401055.pdf","stabilisation")</f>
        <v/>
      </c>
      <c r="CA256" s="85" t="n"/>
      <c r="CB256" s="71" t="inlineStr">
        <is>
          <t>price range: fixed-price offering (no indicative range); range low: maximum offer price only, no floor published; sponsor: English name not in the filing; AAStocks 保薦人 shown;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t>
        </is>
      </c>
    </row>
    <row r="257" ht="15" customHeight="1">
      <c r="A257" s="70" t="inlineStr">
        <is>
          <t>2443</t>
        </is>
      </c>
      <c r="B257" s="71" t="inlineStr">
        <is>
          <t>AUTOSTREETS</t>
        </is>
      </c>
      <c r="C257" s="71" t="inlineStr">
        <is>
          <t>汽車街</t>
        </is>
      </c>
      <c r="D257" s="71" t="inlineStr">
        <is>
          <t>Consumer</t>
        </is>
      </c>
      <c r="E257" s="71" t="inlineStr">
        <is>
          <t>Retail / distribution</t>
        </is>
      </c>
      <c r="F257" s="71" t="inlineStr">
        <is>
          <t>Automotive Retail</t>
        </is>
      </c>
      <c r="G257" s="71" t="inlineStr">
        <is>
          <t>Standard</t>
        </is>
      </c>
      <c r="H257" s="72" t="n">
        <v>45443</v>
      </c>
      <c r="I257" s="73" t="n">
        <v>153</v>
      </c>
      <c r="J257" s="71" t="inlineStr">
        <is>
          <t>gross (stated)</t>
        </is>
      </c>
      <c r="K257" s="74" t="n"/>
      <c r="L257" s="74" t="n">
        <v>10.2</v>
      </c>
      <c r="M257" s="74" t="n">
        <v>10.2</v>
      </c>
      <c r="N257" s="71" t="inlineStr">
        <is>
          <t>Y</t>
        </is>
      </c>
      <c r="O257" s="75" t="n">
        <v>100</v>
      </c>
      <c r="P257" s="75" t="n"/>
      <c r="Q257" s="76" t="n">
        <v>7734.9</v>
      </c>
      <c r="R257" s="71" t="inlineStr">
        <is>
          <t>prospectus:stated market capitalisation, rescaled to the offer price</t>
        </is>
      </c>
      <c r="S257" s="77" t="n">
        <v>433.34</v>
      </c>
      <c r="T257" s="78" t="n">
        <v>0.98</v>
      </c>
      <c r="U257" s="79" t="n"/>
      <c r="V257" s="80" t="n">
        <v>148</v>
      </c>
      <c r="W257" s="75" t="n">
        <v>20</v>
      </c>
      <c r="X257" s="71" t="n"/>
      <c r="Y257" s="76" t="n">
        <v>153</v>
      </c>
      <c r="Z257" s="76" t="n">
        <v>15000000</v>
      </c>
      <c r="AA257" s="75" t="n">
        <v>1.98</v>
      </c>
      <c r="AB257" s="71" t="n"/>
      <c r="AC257" s="71" t="n"/>
      <c r="AD257" s="75" t="n"/>
      <c r="AE257" s="71" t="n"/>
      <c r="AF257" s="71" t="n"/>
      <c r="AG257" s="71" t="n"/>
      <c r="AH257" s="71" t="n"/>
      <c r="AI257" s="81" t="n">
        <v>44.3</v>
      </c>
      <c r="AJ257" s="82" t="n">
        <v>26.86</v>
      </c>
      <c r="AK257" s="82" t="n">
        <v>42.16</v>
      </c>
      <c r="AL257" s="82" t="n">
        <v>-10.76</v>
      </c>
      <c r="AM257" s="83" t="n">
        <v>2.57</v>
      </c>
      <c r="AN257" s="75" t="n">
        <v>29.79</v>
      </c>
      <c r="AO257" s="82" t="n">
        <v>12.55</v>
      </c>
      <c r="AP257" s="82" t="n">
        <v>-20.59</v>
      </c>
      <c r="AQ257" s="82" t="n">
        <v>-48.92</v>
      </c>
      <c r="AR257" s="82" t="n">
        <v>-11.28</v>
      </c>
      <c r="AS257" s="82" t="n">
        <v>-37.4</v>
      </c>
      <c r="AT257" s="82" t="n">
        <v>-59.74</v>
      </c>
      <c r="AU257" s="82" t="n">
        <v>11.17</v>
      </c>
      <c r="AV257" s="82" t="n">
        <v>-20.17</v>
      </c>
      <c r="AW257" s="82" t="n">
        <v>-48.88</v>
      </c>
      <c r="AX257" s="82" t="n">
        <v>-38.1</v>
      </c>
      <c r="AY257" s="82" t="n">
        <v>-0.42</v>
      </c>
      <c r="AZ257" s="82" t="n">
        <v>0.7</v>
      </c>
      <c r="BA257" s="71" t="inlineStr">
        <is>
          <t>Hang Seng Commerce &amp; Industry sub-index</t>
        </is>
      </c>
      <c r="BB257" s="82" t="n">
        <v>-91.08</v>
      </c>
      <c r="BC257" s="72" t="inlineStr">
        <is>
          <t>2026-09-23</t>
        </is>
      </c>
      <c r="BD257" s="73" t="n">
        <v>541.2</v>
      </c>
      <c r="BE257" s="76" t="n"/>
      <c r="BF257" s="71" t="inlineStr">
        <is>
          <t>Y</t>
        </is>
      </c>
      <c r="BG257" s="84">
        <f>IF('BBG Verify'!O257="","not filed; run on terminal",'BBG Verify'!O257)</f>
        <v/>
      </c>
      <c r="BH257" s="83" t="n"/>
      <c r="BI257" s="83" t="n">
        <v>95.8</v>
      </c>
      <c r="BJ257" s="83" t="n">
        <v>14.3</v>
      </c>
      <c r="BK257" s="84">
        <f>IF('BBG Verify'!S257="","not filed; run on terminal",'BBG Verify'!S257)</f>
        <v/>
      </c>
      <c r="BL257" s="85" t="inlineStr">
        <is>
          <t>N</t>
        </is>
      </c>
      <c r="BM257" s="86">
        <f>IF('BBG Verify'!K257="","not filed; run on terminal",'BBG Verify'!K257)</f>
        <v/>
      </c>
      <c r="BN257" s="71" t="inlineStr">
        <is>
          <t>N/A</t>
        </is>
      </c>
      <c r="BO257" s="71" t="inlineStr">
        <is>
          <t>N/A</t>
        </is>
      </c>
      <c r="BP257" s="71" t="inlineStr">
        <is>
          <t>N/A</t>
        </is>
      </c>
      <c r="BQ257" s="71" t="inlineStr">
        <is>
          <t>N/A</t>
        </is>
      </c>
      <c r="BR257" s="71" t="inlineStr">
        <is>
          <t>N/A</t>
        </is>
      </c>
      <c r="BS257" s="71" t="inlineStr">
        <is>
          <t>N/A</t>
        </is>
      </c>
      <c r="BT257" s="85" t="n"/>
      <c r="BU257" s="71" t="inlineStr">
        <is>
          <t>Haitong International Capital Limited; CITIC Securities (Hong Kong) Limited</t>
        </is>
      </c>
      <c r="BV257" s="71" t="inlineStr">
        <is>
          <t>ABCI Securities Company Limited; BOCI Asia Limited; China Galaxy International Securities (Hong Kong) Company Limited; CLSA Limited; CMB International Capital Limited; Fosun International Securities Limited</t>
        </is>
      </c>
      <c r="BW257" s="71"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X257" s="87">
        <f>HYPERLINK("https://www1.hkexnews.hk/listedco/listconews/sehk/2024/0523/2024052300042.htm","prospectus")</f>
        <v/>
      </c>
      <c r="BY257" s="87">
        <f>HYPERLINK("https://www1.hkexnews.hk/listedco/listconews/sehk/2024/0530/2024053001320.pdf","allotment")</f>
        <v/>
      </c>
      <c r="BZ257" s="71" t="n"/>
      <c r="CA257" s="85" t="n"/>
      <c r="CB257" s="71"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t>
        </is>
      </c>
    </row>
    <row r="258" ht="15" customHeight="1">
      <c r="A258" s="70" t="inlineStr">
        <is>
          <t>2522</t>
        </is>
      </c>
      <c r="B258" s="71" t="inlineStr">
        <is>
          <t>RIMAG GROUP</t>
        </is>
      </c>
      <c r="C258" s="71" t="inlineStr">
        <is>
          <t>一脈陽光</t>
        </is>
      </c>
      <c r="D258" s="71" t="inlineStr">
        <is>
          <t>Healthcare</t>
        </is>
      </c>
      <c r="E258" s="71" t="inlineStr">
        <is>
          <t>Hospitals / clinics</t>
        </is>
      </c>
      <c r="F258" s="71" t="inlineStr">
        <is>
          <t>Health Care Services</t>
        </is>
      </c>
      <c r="G258" s="71" t="inlineStr">
        <is>
          <t>Standard</t>
        </is>
      </c>
      <c r="H258" s="72" t="n">
        <v>45450</v>
      </c>
      <c r="I258" s="73" t="n">
        <v>266.9</v>
      </c>
      <c r="J258" s="71" t="inlineStr">
        <is>
          <t>gross (price x shares)</t>
        </is>
      </c>
      <c r="K258" s="74" t="n">
        <v>14.6</v>
      </c>
      <c r="L258" s="74" t="n">
        <v>16.8</v>
      </c>
      <c r="M258" s="74" t="n">
        <v>14.98</v>
      </c>
      <c r="N258" s="71" t="inlineStr">
        <is>
          <t>N</t>
        </is>
      </c>
      <c r="O258" s="75" t="n">
        <v>89.2</v>
      </c>
      <c r="P258" s="75" t="n">
        <v>17.3</v>
      </c>
      <c r="Q258" s="76" t="n">
        <v>5337.6</v>
      </c>
      <c r="R258" s="71" t="inlineStr">
        <is>
          <t>derived:price x shares upon listing</t>
        </is>
      </c>
      <c r="S258" s="77" t="n">
        <v>336.33</v>
      </c>
      <c r="T258" s="78" t="n">
        <v>1.24</v>
      </c>
      <c r="U258" s="79" t="n">
        <v>44.97</v>
      </c>
      <c r="V258" s="80" t="n">
        <v>111</v>
      </c>
      <c r="W258" s="75" t="n">
        <v>50</v>
      </c>
      <c r="X258" s="71" t="inlineStr">
        <is>
          <t>YES</t>
        </is>
      </c>
      <c r="Y258" s="76" t="n">
        <v>146.88</v>
      </c>
      <c r="Z258" s="76" t="n">
        <v>9804145</v>
      </c>
      <c r="AA258" s="75" t="n">
        <v>2.75</v>
      </c>
      <c r="AB258" s="71" t="inlineStr">
        <is>
          <t>China New Rich Medicine Holding Co. Limited; Excellent Investment Enterprise Management (Hong Kong) Co., Limited; United Imaging Healthcare Hong Kong Limited</t>
        </is>
      </c>
      <c r="AC258" s="71" t="inlineStr">
        <is>
          <t>new-rich;excellent;united</t>
        </is>
      </c>
      <c r="AD258" s="75" t="n"/>
      <c r="AE258" s="71" t="n"/>
      <c r="AF258" s="71" t="n"/>
      <c r="AG258" s="71" t="n"/>
      <c r="AH258" s="71" t="n"/>
      <c r="AI258" s="81" t="n">
        <v>1.6</v>
      </c>
      <c r="AJ258" s="82" t="n">
        <v>0.13</v>
      </c>
      <c r="AK258" s="82" t="n">
        <v>0.13</v>
      </c>
      <c r="AL258" s="82" t="n">
        <v>0</v>
      </c>
      <c r="AM258" s="83" t="n">
        <v>1.38</v>
      </c>
      <c r="AN258" s="75" t="n">
        <v>19.2</v>
      </c>
      <c r="AO258" s="82" t="n">
        <v>28.3</v>
      </c>
      <c r="AP258" s="82" t="n">
        <v>15.09</v>
      </c>
      <c r="AQ258" s="82" t="n">
        <v>34.18</v>
      </c>
      <c r="AR258" s="82" t="n">
        <v>28.13</v>
      </c>
      <c r="AS258" s="82" t="n">
        <v>14.94</v>
      </c>
      <c r="AT258" s="82" t="n">
        <v>34.01</v>
      </c>
      <c r="AU258" s="82" t="n">
        <v>28.22</v>
      </c>
      <c r="AV258" s="82" t="n">
        <v>23.08</v>
      </c>
      <c r="AW258" s="82" t="n">
        <v>41.82</v>
      </c>
      <c r="AX258" s="82" t="n">
        <v>22.39</v>
      </c>
      <c r="AY258" s="82" t="n">
        <v>-7.99</v>
      </c>
      <c r="AZ258" s="82" t="n">
        <v>-7.45</v>
      </c>
      <c r="BA258" s="71" t="inlineStr">
        <is>
          <t>China Biotech ETF (HS biotech proxy)</t>
        </is>
      </c>
      <c r="BB258" s="82" t="n">
        <v>-64.89</v>
      </c>
      <c r="BC258" s="72" t="inlineStr">
        <is>
          <t>2026-09-23</t>
        </is>
      </c>
      <c r="BD258" s="73" t="n">
        <v>1021.8</v>
      </c>
      <c r="BE258" s="76" t="n">
        <v>40.2</v>
      </c>
      <c r="BF258" s="71" t="inlineStr">
        <is>
          <t>Y</t>
        </is>
      </c>
      <c r="BG258" s="83" t="n">
        <v>132.8</v>
      </c>
      <c r="BH258" s="83" t="n"/>
      <c r="BI258" s="83" t="n">
        <v>305.6</v>
      </c>
      <c r="BJ258" s="83" t="n">
        <v>5.2</v>
      </c>
      <c r="BK258" s="84">
        <f>IF('BBG Verify'!S258="","not filed; run on terminal",'BBG Verify'!S258)</f>
        <v/>
      </c>
      <c r="BL258" s="85" t="inlineStr">
        <is>
          <t>N</t>
        </is>
      </c>
      <c r="BM258" s="86">
        <f>IF('BBG Verify'!K258="","not filed; run on terminal",'BBG Verify'!K258)</f>
        <v/>
      </c>
      <c r="BN258" s="71" t="inlineStr">
        <is>
          <t>N/A</t>
        </is>
      </c>
      <c r="BO258" s="71" t="inlineStr">
        <is>
          <t>N/A</t>
        </is>
      </c>
      <c r="BP258" s="71" t="inlineStr">
        <is>
          <t>N/A</t>
        </is>
      </c>
      <c r="BQ258" s="71" t="inlineStr">
        <is>
          <t>N/A</t>
        </is>
      </c>
      <c r="BR258" s="71" t="inlineStr">
        <is>
          <t>N/A</t>
        </is>
      </c>
      <c r="BS258" s="71" t="inlineStr">
        <is>
          <t>N/A</t>
        </is>
      </c>
      <c r="BT258" s="85" t="inlineStr">
        <is>
          <t>CITIC Securities (Hong Kong) Limited; CLSA Limited</t>
        </is>
      </c>
      <c r="BU258" s="71" t="inlineStr">
        <is>
          <t>CITIC Securities (Hong Kong) Limited</t>
        </is>
      </c>
      <c r="BV258" s="71"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W258" s="71"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X258" s="87">
        <f>HYPERLINK("https://www1.hkexnews.hk/listedco/listconews/sehk/2024/0530/2024053000044.pdf","prospectus")</f>
        <v/>
      </c>
      <c r="BY258" s="87">
        <f>HYPERLINK("https://www1.hkexnews.hk/listedco/listconews/sehk/2024/0606/2024060602117.pdf","allotment")</f>
        <v/>
      </c>
      <c r="BZ258" s="71" t="n"/>
      <c r="CA258" s="85" t="n"/>
      <c r="CB258" s="71" t="inlineStr">
        <is>
          <t>greenshoe: no over-allotment option; market cap: prospectus 'market capitalisation' line is the listing-rule threshold, not the issuer's figure; rejected; greenshoe size: no over-allotment option; stabilising manager: no over-allotment option, so none appointed</t>
        </is>
      </c>
    </row>
    <row r="259" ht="15" customHeight="1">
      <c r="A259" s="70" t="inlineStr">
        <is>
          <t>2550</t>
        </is>
      </c>
      <c r="B259" s="71" t="inlineStr">
        <is>
          <t>EASOU TECH</t>
        </is>
      </c>
      <c r="C259" s="71" t="inlineStr">
        <is>
          <t>宜搜科技</t>
        </is>
      </c>
      <c r="D259" s="71" t="inlineStr">
        <is>
          <t>Tech/AI</t>
        </is>
      </c>
      <c r="E259" s="71" t="inlineStr">
        <is>
          <t>Internet platform / e-commerce</t>
        </is>
      </c>
      <c r="F259" s="71" t="inlineStr">
        <is>
          <t>Advertising</t>
        </is>
      </c>
      <c r="G259" s="71" t="inlineStr">
        <is>
          <t>Standard</t>
        </is>
      </c>
      <c r="H259" s="72" t="n">
        <v>45450</v>
      </c>
      <c r="I259" s="73" t="n">
        <v>85.90000000000001</v>
      </c>
      <c r="J259" s="71" t="inlineStr">
        <is>
          <t>gross (price x shares)</t>
        </is>
      </c>
      <c r="K259" s="74" t="n">
        <v>5.8</v>
      </c>
      <c r="L259" s="74" t="n">
        <v>8</v>
      </c>
      <c r="M259" s="74" t="n">
        <v>5.8</v>
      </c>
      <c r="N259" s="71" t="inlineStr">
        <is>
          <t>N</t>
        </is>
      </c>
      <c r="O259" s="75" t="n">
        <v>72.5</v>
      </c>
      <c r="P259" s="75" t="n">
        <v>0</v>
      </c>
      <c r="Q259" s="76" t="n">
        <v>1907.8</v>
      </c>
      <c r="R259" s="71" t="inlineStr">
        <is>
          <t>derived:price x shares upon listing</t>
        </is>
      </c>
      <c r="S259" s="77" t="n">
        <v>114.59</v>
      </c>
      <c r="T259" s="78" t="n">
        <v>0.98</v>
      </c>
      <c r="U259" s="79" t="n">
        <v>0</v>
      </c>
      <c r="V259" s="80" t="n">
        <v>127</v>
      </c>
      <c r="W259" s="75" t="n">
        <v>13.17</v>
      </c>
      <c r="X259" s="71" t="n"/>
      <c r="Y259" s="76" t="n">
        <v>85.90000000000001</v>
      </c>
      <c r="Z259" s="76" t="n">
        <v>14802500</v>
      </c>
      <c r="AA259" s="75" t="n">
        <v>4.5</v>
      </c>
      <c r="AB259" s="71" t="n"/>
      <c r="AC259" s="71" t="n"/>
      <c r="AD259" s="75" t="n">
        <v>15</v>
      </c>
      <c r="AE259" s="71" t="n"/>
      <c r="AF259" s="71" t="n"/>
      <c r="AG259" s="71" t="inlineStr">
        <is>
          <t>BOCI Asia Limited</t>
        </is>
      </c>
      <c r="AH259" s="71" t="inlineStr">
        <is>
          <t>BOCI</t>
        </is>
      </c>
      <c r="AI259" s="81" t="n">
        <v>43.97</v>
      </c>
      <c r="AJ259" s="82" t="n">
        <v>91.72</v>
      </c>
      <c r="AK259" s="82" t="n">
        <v>46.55</v>
      </c>
      <c r="AL259" s="82" t="n">
        <v>30.82</v>
      </c>
      <c r="AM259" s="83" t="n">
        <v>2.85</v>
      </c>
      <c r="AN259" s="75" t="n">
        <v>36.47</v>
      </c>
      <c r="AO259" s="82" t="n">
        <v>191.03</v>
      </c>
      <c r="AP259" s="82" t="n">
        <v>200</v>
      </c>
      <c r="AQ259" s="82" t="n">
        <v>223.79</v>
      </c>
      <c r="AR259" s="82" t="n">
        <v>51.8</v>
      </c>
      <c r="AS259" s="82" t="n">
        <v>56.48</v>
      </c>
      <c r="AT259" s="82" t="n">
        <v>68.89</v>
      </c>
      <c r="AU259" s="82" t="n">
        <v>194.22</v>
      </c>
      <c r="AV259" s="82" t="n">
        <v>206.06</v>
      </c>
      <c r="AW259" s="82" t="n">
        <v>233.99</v>
      </c>
      <c r="AX259" s="82" t="n">
        <v>60.96</v>
      </c>
      <c r="AY259" s="82" t="n">
        <v>-6.06</v>
      </c>
      <c r="AZ259" s="82" t="n">
        <v>-4.48</v>
      </c>
      <c r="BA259" s="71" t="inlineStr">
        <is>
          <t>HSTECH (Hang Seng TECH ETF)</t>
        </is>
      </c>
      <c r="BB259" s="82" t="n">
        <v>-65.69</v>
      </c>
      <c r="BC259" s="72" t="inlineStr">
        <is>
          <t>2026-09-23</t>
        </is>
      </c>
      <c r="BD259" s="73" t="n">
        <v>614.9</v>
      </c>
      <c r="BE259" s="76" t="n">
        <v>27.5</v>
      </c>
      <c r="BF259" s="71" t="inlineStr">
        <is>
          <t>Y</t>
        </is>
      </c>
      <c r="BG259" s="83" t="n">
        <v>69.40000000000001</v>
      </c>
      <c r="BH259" s="83" t="n"/>
      <c r="BI259" s="83" t="n">
        <v>20.5</v>
      </c>
      <c r="BJ259" s="83" t="n">
        <v>3.1</v>
      </c>
      <c r="BK259" s="84">
        <f>IF('BBG Verify'!S259="","not filed; run on terminal",'BBG Verify'!S259)</f>
        <v/>
      </c>
      <c r="BL259" s="85" t="inlineStr">
        <is>
          <t>N</t>
        </is>
      </c>
      <c r="BM259" s="86">
        <f>IF('BBG Verify'!K259="","not filed; run on terminal",'BBG Verify'!K259)</f>
        <v/>
      </c>
      <c r="BN259" s="71" t="inlineStr">
        <is>
          <t>N/A</t>
        </is>
      </c>
      <c r="BO259" s="71" t="inlineStr">
        <is>
          <t>N/A</t>
        </is>
      </c>
      <c r="BP259" s="71" t="inlineStr">
        <is>
          <t>N/A</t>
        </is>
      </c>
      <c r="BQ259" s="71" t="inlineStr">
        <is>
          <t>N/A</t>
        </is>
      </c>
      <c r="BR259" s="71" t="inlineStr">
        <is>
          <t>N/A</t>
        </is>
      </c>
      <c r="BS259" s="71" t="inlineStr">
        <is>
          <t>N/A</t>
        </is>
      </c>
      <c r="BT259" s="85" t="n"/>
      <c r="BU259" s="71" t="inlineStr">
        <is>
          <t>BOCI Asia Limited</t>
        </is>
      </c>
      <c r="BV259" s="71"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W259" s="71"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X259" s="87">
        <f>HYPERLINK("https://www1.hkexnews.hk/listedco/listconews/sehk/2024/0530/2024053000009.pdf","prospectus")</f>
        <v/>
      </c>
      <c r="BY259" s="87">
        <f>HYPERLINK("https://www1.hkexnews.hk/listedco/listconews/sehk/2024/0606/2024060602135.pdf","allotment")</f>
        <v/>
      </c>
      <c r="BZ259" s="71" t="n"/>
      <c r="CA259" s="85" t="n"/>
      <c r="CB259" s="71" t="inlineStr">
        <is>
          <t>greenshoe: end-of-stabilisation notice not found; sponsor: English name not in the filing; AAStocks 保薦人 shown; cornerstone list: no cornerstone tranche; allocation: clawback line not in this notice; a 12-28% split is consistent with either a tier-1 clawback or a placing shortfall</t>
        </is>
      </c>
    </row>
    <row r="260" ht="15" customHeight="1">
      <c r="A260" s="70" t="inlineStr">
        <is>
          <t>2228</t>
        </is>
      </c>
      <c r="B260" s="71" t="inlineStr">
        <is>
          <t>QUANTUMPH-P</t>
        </is>
      </c>
      <c r="C260" s="71" t="inlineStr">
        <is>
          <t>晶泰控股</t>
        </is>
      </c>
      <c r="D260" s="71" t="inlineStr">
        <is>
          <t>Tech/AI</t>
        </is>
      </c>
      <c r="E260" s="71" t="inlineStr">
        <is>
          <t>AI application / agent software</t>
        </is>
      </c>
      <c r="F260" s="71" t="inlineStr">
        <is>
          <t>Next-generation information technology</t>
        </is>
      </c>
      <c r="G260" s="71" t="inlineStr">
        <is>
          <t>18C</t>
        </is>
      </c>
      <c r="H260" s="72" t="n">
        <v>45456</v>
      </c>
      <c r="I260" s="73" t="n">
        <v>989.3</v>
      </c>
      <c r="J260" s="71" t="inlineStr">
        <is>
          <t>gross (price x shares)</t>
        </is>
      </c>
      <c r="K260" s="74" t="n"/>
      <c r="L260" s="74" t="n">
        <v>5.28</v>
      </c>
      <c r="M260" s="74" t="n">
        <v>5.28</v>
      </c>
      <c r="N260" s="71" t="inlineStr">
        <is>
          <t>Y</t>
        </is>
      </c>
      <c r="O260" s="75" t="n">
        <v>100</v>
      </c>
      <c r="P260" s="75" t="n"/>
      <c r="Q260" s="76" t="n">
        <v>18888.1</v>
      </c>
      <c r="R260" s="71" t="inlineStr">
        <is>
          <t>aastocks:上市市值 at the struck price</t>
        </is>
      </c>
      <c r="S260" s="77" t="n">
        <v>103.35</v>
      </c>
      <c r="T260" s="78" t="n">
        <v>2.13</v>
      </c>
      <c r="U260" s="79" t="n">
        <v>34.4</v>
      </c>
      <c r="V260" s="80" t="n">
        <v>154</v>
      </c>
      <c r="W260" s="75" t="n">
        <v>20</v>
      </c>
      <c r="X260" s="71" t="inlineStr">
        <is>
          <t>YES</t>
        </is>
      </c>
      <c r="Y260" s="76" t="n">
        <v>648.98</v>
      </c>
      <c r="Z260" s="76" t="n">
        <v>122916688</v>
      </c>
      <c r="AA260" s="75" t="n">
        <v>3.44</v>
      </c>
      <c r="AB260" s="71"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AC260" s="71" t="inlineStr">
        <is>
          <t>begonia;biocytogen;bradley;faas;ginkgo;intellimed;mammoth;successful</t>
        </is>
      </c>
      <c r="AD260" s="75" t="n">
        <v>15</v>
      </c>
      <c r="AE260" s="71" t="n"/>
      <c r="AF260" s="71" t="inlineStr">
        <is>
          <t>2024-07-07</t>
        </is>
      </c>
      <c r="AG260" s="71" t="inlineStr">
        <is>
          <t>CLSA Limited</t>
        </is>
      </c>
      <c r="AH260" s="71" t="inlineStr">
        <is>
          <t>CLSA</t>
        </is>
      </c>
      <c r="AI260" s="81" t="n">
        <v>2.08</v>
      </c>
      <c r="AJ260" s="82" t="n">
        <v>9.85</v>
      </c>
      <c r="AK260" s="82" t="n">
        <v>2.08</v>
      </c>
      <c r="AL260" s="82" t="n">
        <v>7.61</v>
      </c>
      <c r="AM260" s="83" t="n">
        <v>2.28</v>
      </c>
      <c r="AN260" s="75" t="n">
        <v>23.56</v>
      </c>
      <c r="AO260" s="82" t="n">
        <v>0.38</v>
      </c>
      <c r="AP260" s="82" t="n">
        <v>9.85</v>
      </c>
      <c r="AQ260" s="82" t="n">
        <v>165.91</v>
      </c>
      <c r="AR260" s="82" t="n">
        <v>-8.619999999999999</v>
      </c>
      <c r="AS260" s="82" t="n">
        <v>0</v>
      </c>
      <c r="AT260" s="82" t="n">
        <v>142.07</v>
      </c>
      <c r="AU260" s="82" t="n">
        <v>-1.16</v>
      </c>
      <c r="AV260" s="82" t="n">
        <v>10.62</v>
      </c>
      <c r="AW260" s="82" t="n">
        <v>172.06</v>
      </c>
      <c r="AX260" s="82" t="n">
        <v>1.58</v>
      </c>
      <c r="AY260" s="82" t="n">
        <v>-0.77</v>
      </c>
      <c r="AZ260" s="82" t="n">
        <v>-1.58</v>
      </c>
      <c r="BA260" s="71" t="inlineStr">
        <is>
          <t>HSTECH (Hang Seng TECH ETF)</t>
        </is>
      </c>
      <c r="BB260" s="82" t="n">
        <v>58.81</v>
      </c>
      <c r="BC260" s="72" t="inlineStr">
        <is>
          <t>2026-09-23</t>
        </is>
      </c>
      <c r="BD260" s="73" t="n">
        <v>191.9</v>
      </c>
      <c r="BE260" s="76" t="n">
        <v>-2105.8</v>
      </c>
      <c r="BF260" s="71" t="inlineStr">
        <is>
          <t>N</t>
        </is>
      </c>
      <c r="BG260" s="71" t="inlineStr">
        <is>
          <t>n/m</t>
        </is>
      </c>
      <c r="BH260" s="83" t="n"/>
      <c r="BI260" s="83" t="n">
        <v>204.3</v>
      </c>
      <c r="BJ260" s="83" t="n">
        <v>98.40000000000001</v>
      </c>
      <c r="BK260" s="84">
        <f>IF('BBG Verify'!S260="","not filed; run on terminal",'BBG Verify'!S260)</f>
        <v/>
      </c>
      <c r="BL260" s="85" t="inlineStr">
        <is>
          <t>N</t>
        </is>
      </c>
      <c r="BM260" s="86">
        <f>IF('BBG Verify'!K260="","not filed; run on terminal",'BBG Verify'!K260)</f>
        <v/>
      </c>
      <c r="BN260" s="71" t="inlineStr">
        <is>
          <t>N/A</t>
        </is>
      </c>
      <c r="BO260" s="71" t="inlineStr">
        <is>
          <t>N/A</t>
        </is>
      </c>
      <c r="BP260" s="71" t="inlineStr">
        <is>
          <t>N/A</t>
        </is>
      </c>
      <c r="BQ260" s="71" t="inlineStr">
        <is>
          <t>N/A</t>
        </is>
      </c>
      <c r="BR260" s="71" t="inlineStr">
        <is>
          <t>N/A</t>
        </is>
      </c>
      <c r="BS260" s="71" t="inlineStr">
        <is>
          <t>N/A</t>
        </is>
      </c>
      <c r="BT260" s="85" t="n"/>
      <c r="BU260" s="71" t="inlineStr">
        <is>
          <t>CITIC Securities (Hong Kong) Limited</t>
        </is>
      </c>
      <c r="BV260" s="71" t="inlineStr">
        <is>
          <t>ABCI Securities Company Limited; BOCI Asia Limited; CCB International Capital Limited; China International Capital Corporation Hong Kong Securities Limited; CLSA Limited; CMB International Capital Limited</t>
        </is>
      </c>
      <c r="BW260" s="71"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X260" s="71" t="n"/>
      <c r="BY260" s="87">
        <f>HYPERLINK("https://www1.hkexnews.hk/listedco/listconews/sehk/2024/0612/2024061201745.pdf","allotment")</f>
        <v/>
      </c>
      <c r="BZ260" s="71" t="n"/>
      <c r="CA260" s="85" t="n"/>
      <c r="CB260"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261" ht="15" customHeight="1">
      <c r="A261" s="70" t="inlineStr">
        <is>
          <t>2512</t>
        </is>
      </c>
      <c r="B261" s="71" t="inlineStr">
        <is>
          <t>CLOUD FACTORY</t>
        </is>
      </c>
      <c r="C261" s="71" t="inlineStr">
        <is>
          <t>雲工場</t>
        </is>
      </c>
      <c r="D261" s="71" t="inlineStr">
        <is>
          <t>Tech/AI</t>
        </is>
      </c>
      <c r="E261" s="71" t="inlineStr">
        <is>
          <t>Data center / cloud infra</t>
        </is>
      </c>
      <c r="F261" s="71" t="inlineStr">
        <is>
          <t>Telecommunication Services</t>
        </is>
      </c>
      <c r="G261" s="71" t="inlineStr">
        <is>
          <t>Standard</t>
        </is>
      </c>
      <c r="H261" s="72" t="n">
        <v>45457</v>
      </c>
      <c r="I261" s="73" t="n">
        <v>133.9</v>
      </c>
      <c r="J261" s="71" t="inlineStr">
        <is>
          <t>net proceeds</t>
        </is>
      </c>
      <c r="K261" s="74" t="n"/>
      <c r="L261" s="74" t="n">
        <v>4.6</v>
      </c>
      <c r="M261" s="74" t="n">
        <v>4.6</v>
      </c>
      <c r="N261" s="71" t="inlineStr">
        <is>
          <t>Y</t>
        </is>
      </c>
      <c r="O261" s="75" t="n">
        <v>100</v>
      </c>
      <c r="P261" s="75" t="n"/>
      <c r="Q261" s="76" t="n">
        <v>2116</v>
      </c>
      <c r="R261" s="71" t="inlineStr">
        <is>
          <t>derived:price x shares upon listing</t>
        </is>
      </c>
      <c r="S261" s="77" t="n">
        <v>25.79</v>
      </c>
      <c r="T261" s="78" t="n">
        <v>1.09</v>
      </c>
      <c r="U261" s="79" t="n">
        <v>0</v>
      </c>
      <c r="V261" s="80" t="n">
        <v>137</v>
      </c>
      <c r="W261" s="75" t="n">
        <v>30</v>
      </c>
      <c r="X261" s="71" t="inlineStr">
        <is>
          <t>YES</t>
        </is>
      </c>
      <c r="Y261" s="76" t="n">
        <v>133.9</v>
      </c>
      <c r="Z261" s="76" t="n"/>
      <c r="AA261" s="75" t="n">
        <v>6.33</v>
      </c>
      <c r="AB261" s="71" t="n"/>
      <c r="AC261" s="71" t="n"/>
      <c r="AD261" s="75" t="n">
        <v>15</v>
      </c>
      <c r="AE261" s="71" t="inlineStr">
        <is>
          <t>lapsed</t>
        </is>
      </c>
      <c r="AF261" s="71" t="n"/>
      <c r="AG261" s="71" t="n"/>
      <c r="AH261" s="71" t="n"/>
      <c r="AI261" s="81" t="n">
        <v>0</v>
      </c>
      <c r="AJ261" s="82" t="n">
        <v>-17.39</v>
      </c>
      <c r="AK261" s="82" t="n">
        <v>-5</v>
      </c>
      <c r="AL261" s="82" t="n">
        <v>-13.04</v>
      </c>
      <c r="AM261" s="83" t="n">
        <v>0.85</v>
      </c>
      <c r="AN261" s="75" t="n">
        <v>22.65</v>
      </c>
      <c r="AO261" s="82" t="n">
        <v>-17.39</v>
      </c>
      <c r="AP261" s="82" t="n">
        <v>-17.39</v>
      </c>
      <c r="AQ261" s="82" t="n">
        <v>-21.96</v>
      </c>
      <c r="AR261" s="82" t="n">
        <v>0</v>
      </c>
      <c r="AS261" s="82" t="n">
        <v>0</v>
      </c>
      <c r="AT261" s="82" t="n">
        <v>-5.53</v>
      </c>
      <c r="AU261" s="82" t="n">
        <v>-16.52</v>
      </c>
      <c r="AV261" s="82" t="n">
        <v>-14.45</v>
      </c>
      <c r="AW261" s="82" t="n">
        <v>-14.98</v>
      </c>
      <c r="AX261" s="82" t="n">
        <v>2.41</v>
      </c>
      <c r="AY261" s="82" t="n">
        <v>-2.94</v>
      </c>
      <c r="AZ261" s="82" t="n">
        <v>-2.41</v>
      </c>
      <c r="BA261" s="71" t="inlineStr">
        <is>
          <t>HSTECH (Hang Seng TECH ETF)</t>
        </is>
      </c>
      <c r="BB261" s="82" t="n">
        <v>-43.04</v>
      </c>
      <c r="BC261" s="72" t="inlineStr">
        <is>
          <t>2026-09-23</t>
        </is>
      </c>
      <c r="BD261" s="73" t="n">
        <v>765.5</v>
      </c>
      <c r="BE261" s="76" t="n">
        <v>15.6</v>
      </c>
      <c r="BF261" s="71" t="inlineStr">
        <is>
          <t>Y</t>
        </is>
      </c>
      <c r="BG261" s="83" t="n">
        <v>135.6</v>
      </c>
      <c r="BH261" s="83" t="n"/>
      <c r="BI261" s="83" t="n">
        <v>103.6</v>
      </c>
      <c r="BJ261" s="83" t="n">
        <v>2.8</v>
      </c>
      <c r="BK261" s="84">
        <f>IF('BBG Verify'!S261="","not filed; run on terminal",'BBG Verify'!S261)</f>
        <v/>
      </c>
      <c r="BL261" s="85" t="inlineStr">
        <is>
          <t>N</t>
        </is>
      </c>
      <c r="BM261" s="86">
        <f>IF('BBG Verify'!K261="","not filed; run on terminal",'BBG Verify'!K261)</f>
        <v/>
      </c>
      <c r="BN261" s="71" t="inlineStr">
        <is>
          <t>N/A</t>
        </is>
      </c>
      <c r="BO261" s="71" t="inlineStr">
        <is>
          <t>N/A</t>
        </is>
      </c>
      <c r="BP261" s="71" t="inlineStr">
        <is>
          <t>N/A</t>
        </is>
      </c>
      <c r="BQ261" s="71" t="inlineStr">
        <is>
          <t>N/A</t>
        </is>
      </c>
      <c r="BR261" s="71" t="inlineStr">
        <is>
          <t>N/A</t>
        </is>
      </c>
      <c r="BS261" s="71" t="inlineStr">
        <is>
          <t>N/A</t>
        </is>
      </c>
      <c r="BT261" s="85" t="n"/>
      <c r="BU261" s="71" t="inlineStr">
        <is>
          <t>SPDB International Capital Limited</t>
        </is>
      </c>
      <c r="BV261" s="71"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W261" s="71"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X261" s="87">
        <f>HYPERLINK("https://www1.hkexnews.hk/listedco/listconews/sehk/2024/0605/2024060500041.pdf","prospectus")</f>
        <v/>
      </c>
      <c r="BY261" s="87">
        <f>HYPERLINK("https://www1.hkexnews.hk/listedco/listconews/sehk/2024/0613/2024061301165.pdf","allotment")</f>
        <v/>
      </c>
      <c r="BZ261" s="87">
        <f>HYPERLINK("https://www1.hkexnews.hk/listedco/listconews/sehk/2024/0711/2024071100781.pdf","stabilisation")</f>
        <v/>
      </c>
      <c r="CA261" s="85" t="n"/>
      <c r="CB261" s="71"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eff float shares: share count unavailable; the HK$m figure is exact</t>
        </is>
      </c>
    </row>
    <row r="262" ht="15" customHeight="1">
      <c r="A262" s="70" t="inlineStr">
        <is>
          <t>2881</t>
        </is>
      </c>
      <c r="B262" s="71" t="inlineStr">
        <is>
          <t>WUHAN YOUJI</t>
        </is>
      </c>
      <c r="C262" s="71" t="inlineStr">
        <is>
          <t>武漢有機</t>
        </is>
      </c>
      <c r="D262" s="71" t="inlineStr">
        <is>
          <t>Materials/Energy</t>
        </is>
      </c>
      <c r="E262" s="71" t="inlineStr">
        <is>
          <t>Chemicals</t>
        </is>
      </c>
      <c r="F262" s="71" t="inlineStr">
        <is>
          <t>Diversified Chemicals</t>
        </is>
      </c>
      <c r="G262" s="71" t="inlineStr">
        <is>
          <t>Standard</t>
        </is>
      </c>
      <c r="H262" s="72" t="n">
        <v>45461</v>
      </c>
      <c r="I262" s="73" t="n">
        <v>100.7</v>
      </c>
      <c r="J262" s="71" t="inlineStr">
        <is>
          <t>gross (price x shares)</t>
        </is>
      </c>
      <c r="K262" s="74" t="n">
        <v>5.5</v>
      </c>
      <c r="L262" s="74" t="n">
        <v>8.5</v>
      </c>
      <c r="M262" s="74" t="n">
        <v>5.5</v>
      </c>
      <c r="N262" s="71" t="inlineStr">
        <is>
          <t>N</t>
        </is>
      </c>
      <c r="O262" s="75" t="n">
        <v>64.7</v>
      </c>
      <c r="P262" s="75" t="n">
        <v>0</v>
      </c>
      <c r="Q262" s="76" t="n">
        <v>513.1</v>
      </c>
      <c r="R262" s="71" t="inlineStr">
        <is>
          <t>derived:price x shares upon listing</t>
        </is>
      </c>
      <c r="S262" s="77" t="n">
        <v>337.57</v>
      </c>
      <c r="T262" s="78" t="n">
        <v>0.92</v>
      </c>
      <c r="U262" s="79" t="n">
        <v>0</v>
      </c>
      <c r="V262" s="80" t="n">
        <v>120</v>
      </c>
      <c r="W262" s="75" t="n">
        <v>17.78</v>
      </c>
      <c r="X262" s="71" t="n"/>
      <c r="Y262" s="76" t="n">
        <v>100.7</v>
      </c>
      <c r="Z262" s="76" t="n">
        <v>18300000</v>
      </c>
      <c r="AA262" s="75" t="n">
        <v>19.63</v>
      </c>
      <c r="AB262" s="71" t="n"/>
      <c r="AC262" s="71" t="n"/>
      <c r="AD262" s="75" t="n">
        <v>17.7</v>
      </c>
      <c r="AE262" s="71" t="inlineStr">
        <is>
          <t>lapsed (no over-allocation)</t>
        </is>
      </c>
      <c r="AF262" s="71" t="n"/>
      <c r="AG262" s="71" t="inlineStr">
        <is>
          <t>BOCOM International Securities Limited DEFINITIONS –2 9</t>
        </is>
      </c>
      <c r="AH262" s="71" t="inlineStr">
        <is>
          <t>BOCOM</t>
        </is>
      </c>
      <c r="AI262" s="81" t="n">
        <v>71.59999999999999</v>
      </c>
      <c r="AJ262" s="82" t="n">
        <v>27.64</v>
      </c>
      <c r="AK262" s="82" t="n">
        <v>79.64</v>
      </c>
      <c r="AL262" s="82" t="n">
        <v>-28.95</v>
      </c>
      <c r="AM262" s="83" t="n">
        <v>2.92</v>
      </c>
      <c r="AN262" s="75" t="n">
        <v>35.43</v>
      </c>
      <c r="AO262" s="82" t="n">
        <v>12.73</v>
      </c>
      <c r="AP262" s="82" t="n">
        <v>-13.64</v>
      </c>
      <c r="AQ262" s="82" t="n">
        <v>-23.64</v>
      </c>
      <c r="AR262" s="82" t="n">
        <v>-11.68</v>
      </c>
      <c r="AS262" s="82" t="n">
        <v>-32.34</v>
      </c>
      <c r="AT262" s="82" t="n">
        <v>-40.18</v>
      </c>
      <c r="AU262" s="82" t="n">
        <v>12.27</v>
      </c>
      <c r="AV262" s="82" t="n">
        <v>-13.09</v>
      </c>
      <c r="AW262" s="82" t="n">
        <v>-22.15</v>
      </c>
      <c r="AX262" s="82" t="n">
        <v>-32.14</v>
      </c>
      <c r="AY262" s="82" t="n">
        <v>-0.55</v>
      </c>
      <c r="AZ262" s="82" t="n">
        <v>-0.2</v>
      </c>
      <c r="BA262" s="71" t="inlineStr">
        <is>
          <t>Hang Seng Commerce &amp; Industry sub-index</t>
        </is>
      </c>
      <c r="BB262" s="82" t="n">
        <v>70</v>
      </c>
      <c r="BC262" s="72" t="inlineStr">
        <is>
          <t>2026-09-23</t>
        </is>
      </c>
      <c r="BD262" s="73" t="n">
        <v>2944.8</v>
      </c>
      <c r="BE262" s="76" t="n">
        <v>80.2</v>
      </c>
      <c r="BF262" s="71" t="inlineStr">
        <is>
          <t>Y</t>
        </is>
      </c>
      <c r="BG262" s="83" t="n">
        <v>6.4</v>
      </c>
      <c r="BH262" s="83" t="n"/>
      <c r="BI262" s="83" t="n">
        <v>12.8</v>
      </c>
      <c r="BJ262" s="83" t="n">
        <v>0.2</v>
      </c>
      <c r="BK262" s="84">
        <f>IF('BBG Verify'!S262="","not filed; run on terminal",'BBG Verify'!S262)</f>
        <v/>
      </c>
      <c r="BL262" s="85" t="inlineStr">
        <is>
          <t>N</t>
        </is>
      </c>
      <c r="BM262" s="86">
        <f>IF('BBG Verify'!K262="","not filed; run on terminal",'BBG Verify'!K262)</f>
        <v/>
      </c>
      <c r="BN262" s="71" t="inlineStr">
        <is>
          <t>N/A</t>
        </is>
      </c>
      <c r="BO262" s="71" t="inlineStr">
        <is>
          <t>N/A</t>
        </is>
      </c>
      <c r="BP262" s="71" t="inlineStr">
        <is>
          <t>N/A</t>
        </is>
      </c>
      <c r="BQ262" s="71" t="inlineStr">
        <is>
          <t>N/A</t>
        </is>
      </c>
      <c r="BR262" s="71" t="inlineStr">
        <is>
          <t>N/A</t>
        </is>
      </c>
      <c r="BS262" s="71" t="inlineStr">
        <is>
          <t>N/A</t>
        </is>
      </c>
      <c r="BT262" s="85" t="inlineStr">
        <is>
          <t>BOCOM International (Asia) Limited</t>
        </is>
      </c>
      <c r="BU262" s="71" t="inlineStr">
        <is>
          <t>BOCOM International (Asia) Limited</t>
        </is>
      </c>
      <c r="BV262" s="71"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W262" s="71"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X262" s="87">
        <f>HYPERLINK("https://www1.hkexnews.hk/listedco/listconews/sehk/2024/0607/2024060700013.pdf","prospectus")</f>
        <v/>
      </c>
      <c r="BY262" s="87">
        <f>HYPERLINK("https://www1.hkexnews.hk/listedco/listconews/sehk/2024/0617/2024061701156.pdf","allotment")</f>
        <v/>
      </c>
      <c r="BZ262" s="87">
        <f>HYPERLINK("https://www1.hkexnews.hk/listedco/listconews/sehk/2024/0715/2024071500250.pdf","stabilisation")</f>
        <v/>
      </c>
      <c r="CA262" s="85" t="n"/>
      <c r="CB262" s="71" t="inlineStr">
        <is>
          <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t>
        </is>
      </c>
    </row>
    <row r="263" ht="15" customHeight="1">
      <c r="A263" s="70" t="inlineStr">
        <is>
          <t>2559</t>
        </is>
      </c>
      <c r="B263" s="71" t="inlineStr">
        <is>
          <t>DIDA INC</t>
        </is>
      </c>
      <c r="C263" s="71" t="inlineStr">
        <is>
          <t>嘀嗒出行－ＰＦ</t>
        </is>
      </c>
      <c r="D263" s="71" t="inlineStr">
        <is>
          <t>Tech/AI</t>
        </is>
      </c>
      <c r="E263" s="71" t="inlineStr">
        <is>
          <t>Internet platform / e-commerce</t>
        </is>
      </c>
      <c r="F263" s="71" t="inlineStr">
        <is>
          <t>Trucking</t>
        </is>
      </c>
      <c r="G263" s="71" t="inlineStr">
        <is>
          <t>Standard</t>
        </is>
      </c>
      <c r="H263" s="72" t="n">
        <v>45471</v>
      </c>
      <c r="I263" s="73" t="n">
        <v>234.5</v>
      </c>
      <c r="J263" s="71" t="inlineStr">
        <is>
          <t>gross (price x shares)</t>
        </is>
      </c>
      <c r="K263" s="74" t="n"/>
      <c r="L263" s="74" t="n">
        <v>7</v>
      </c>
      <c r="M263" s="74" t="n">
        <v>6</v>
      </c>
      <c r="N263" s="71" t="inlineStr">
        <is>
          <t>N</t>
        </is>
      </c>
      <c r="O263" s="75" t="n">
        <v>85.7</v>
      </c>
      <c r="P263" s="75" t="n"/>
      <c r="Q263" s="76" t="n">
        <v>5963.9</v>
      </c>
      <c r="R263" s="71" t="inlineStr">
        <is>
          <t>derived:price x shares upon listing</t>
        </is>
      </c>
      <c r="S263" s="77" t="n">
        <v>112.9</v>
      </c>
      <c r="T263" s="78" t="n">
        <v>1.28</v>
      </c>
      <c r="U263" s="79" t="n">
        <v>0</v>
      </c>
      <c r="V263" s="80" t="n">
        <v>143</v>
      </c>
      <c r="W263" s="75" t="n">
        <v>50</v>
      </c>
      <c r="X263" s="71" t="inlineStr">
        <is>
          <t>YES</t>
        </is>
      </c>
      <c r="Y263" s="76" t="n">
        <v>234.5</v>
      </c>
      <c r="Z263" s="76" t="n">
        <v>39091000</v>
      </c>
      <c r="AA263" s="75" t="n">
        <v>3.93</v>
      </c>
      <c r="AB263" s="71" t="n"/>
      <c r="AC263" s="71" t="n"/>
      <c r="AD263" s="75" t="n">
        <v>15</v>
      </c>
      <c r="AE263" s="71" t="inlineStr">
        <is>
          <t>lapsed</t>
        </is>
      </c>
      <c r="AF263" s="71" t="inlineStr">
        <is>
          <t>2024-07-25</t>
        </is>
      </c>
      <c r="AG263" s="71" t="inlineStr">
        <is>
          <t>China International Capital Corporation Hong Kong Securities Limited</t>
        </is>
      </c>
      <c r="AH263" s="71" t="inlineStr">
        <is>
          <t>China International</t>
        </is>
      </c>
      <c r="AI263" s="81" t="n">
        <v>-7</v>
      </c>
      <c r="AJ263" s="82" t="n">
        <v>-22.5</v>
      </c>
      <c r="AK263" s="82" t="n">
        <v>-12.83</v>
      </c>
      <c r="AL263" s="82" t="n">
        <v>-11.09</v>
      </c>
      <c r="AM263" s="83" t="n">
        <v>1.34</v>
      </c>
      <c r="AN263" s="75" t="n">
        <v>23.9</v>
      </c>
      <c r="AO263" s="82" t="n">
        <v>-51.33</v>
      </c>
      <c r="AP263" s="82" t="n">
        <v>-51.17</v>
      </c>
      <c r="AQ263" s="82" t="n">
        <v>-54</v>
      </c>
      <c r="AR263" s="82" t="n">
        <v>-37.2</v>
      </c>
      <c r="AS263" s="82" t="n">
        <v>-36.99</v>
      </c>
      <c r="AT263" s="82" t="n">
        <v>-40.65</v>
      </c>
      <c r="AU263" s="82" t="n">
        <v>-50.65</v>
      </c>
      <c r="AV263" s="82" t="n">
        <v>-46.58</v>
      </c>
      <c r="AW263" s="82" t="n">
        <v>-86.77</v>
      </c>
      <c r="AX263" s="82" t="n">
        <v>-33.22</v>
      </c>
      <c r="AY263" s="82" t="n">
        <v>-4.59</v>
      </c>
      <c r="AZ263" s="82" t="n">
        <v>-3.77</v>
      </c>
      <c r="BA263" s="71" t="inlineStr">
        <is>
          <t>HSTECH (Hang Seng TECH ETF)</t>
        </is>
      </c>
      <c r="BB263" s="82" t="n">
        <v>-80.17</v>
      </c>
      <c r="BC263" s="72" t="inlineStr">
        <is>
          <t>2026-09-23</t>
        </is>
      </c>
      <c r="BD263" s="73" t="n">
        <v>896.6</v>
      </c>
      <c r="BE263" s="76" t="n">
        <v>330.4</v>
      </c>
      <c r="BF263" s="71" t="inlineStr">
        <is>
          <t>Y</t>
        </is>
      </c>
      <c r="BG263" s="83" t="n">
        <v>18.1</v>
      </c>
      <c r="BH263" s="83" t="n"/>
      <c r="BI263" s="83" t="n">
        <v>8.800000000000001</v>
      </c>
      <c r="BJ263" s="83" t="n">
        <v>6.7</v>
      </c>
      <c r="BK263" s="84">
        <f>IF('BBG Verify'!S263="","not filed; run on terminal",'BBG Verify'!S263)</f>
        <v/>
      </c>
      <c r="BL263" s="85" t="inlineStr">
        <is>
          <t>N</t>
        </is>
      </c>
      <c r="BM263" s="86">
        <f>IF('BBG Verify'!K263="","not filed; run on terminal",'BBG Verify'!K263)</f>
        <v/>
      </c>
      <c r="BN263" s="71" t="inlineStr">
        <is>
          <t>N/A</t>
        </is>
      </c>
      <c r="BO263" s="71" t="inlineStr">
        <is>
          <t>N/A</t>
        </is>
      </c>
      <c r="BP263" s="71" t="inlineStr">
        <is>
          <t>N/A</t>
        </is>
      </c>
      <c r="BQ263" s="71" t="inlineStr">
        <is>
          <t>N/A</t>
        </is>
      </c>
      <c r="BR263" s="71" t="inlineStr">
        <is>
          <t>N/A</t>
        </is>
      </c>
      <c r="BS263" s="71" t="inlineStr">
        <is>
          <t>N/A</t>
        </is>
      </c>
      <c r="BT263" s="85" t="inlineStr">
        <is>
          <t>China International Capital Corporation Hong Kong Securities Limited; Haitong International Capital Limited; Nomura International (Hong Kong) Limited</t>
        </is>
      </c>
      <c r="BU263" s="71" t="inlineStr">
        <is>
          <t>China International Capital Corporation Hong Kong Securities Limited; Haitong International Capital Limited; Nomura International (Hong Kong) Limited</t>
        </is>
      </c>
      <c r="BV263" s="71"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W263" s="71"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X263" s="87">
        <f>HYPERLINK("https://www1.hkexnews.hk/listedco/listconews/sehk/2024/0620/2024062000015.pdf","prospectus")</f>
        <v/>
      </c>
      <c r="BY263" s="87">
        <f>HYPERLINK("https://www1.hkexnews.hk/listedco/listconews/sehk/2024/0627/2024062701882.pdf","allotment")</f>
        <v/>
      </c>
      <c r="BZ263" s="87">
        <f>HYPERLINK("https://www1.hkexnews.hk/listedco/listconews/sehk/2024/0725/2024072501042.pdf","stabilisation")</f>
        <v/>
      </c>
      <c r="CA263" s="85" t="n"/>
      <c r="CB263" s="71" t="inlineStr">
        <is>
          <t>range low: maximum offer price only, no floor published; cornerstone list: no cornerstone tranche</t>
        </is>
      </c>
    </row>
    <row r="264" ht="15" customHeight="1">
      <c r="A264" s="70" t="inlineStr">
        <is>
          <t>2479</t>
        </is>
      </c>
      <c r="B264" s="71" t="inlineStr">
        <is>
          <t>TIANJUDIHE</t>
        </is>
      </c>
      <c r="C264" s="71" t="inlineStr">
        <is>
          <t>天聚地合</t>
        </is>
      </c>
      <c r="D264" s="71" t="inlineStr">
        <is>
          <t>Tech/AI</t>
        </is>
      </c>
      <c r="E264" s="71" t="inlineStr">
        <is>
          <t>SaaS / enterprise software</t>
        </is>
      </c>
      <c r="F264" s="71" t="inlineStr">
        <is>
          <t>Systems Software</t>
        </is>
      </c>
      <c r="G264" s="71" t="inlineStr">
        <is>
          <t>Standard</t>
        </is>
      </c>
      <c r="H264" s="72" t="n">
        <v>45471</v>
      </c>
      <c r="I264" s="73" t="n">
        <v>401.5</v>
      </c>
      <c r="J264" s="71" t="inlineStr">
        <is>
          <t>gross (price x shares)</t>
        </is>
      </c>
      <c r="K264" s="74" t="n"/>
      <c r="L264" s="74" t="n">
        <v>83.33</v>
      </c>
      <c r="M264" s="74" t="n">
        <v>83.33</v>
      </c>
      <c r="N264" s="71" t="inlineStr">
        <is>
          <t>Y</t>
        </is>
      </c>
      <c r="O264" s="75" t="n">
        <v>100</v>
      </c>
      <c r="P264" s="75" t="n"/>
      <c r="Q264" s="76" t="n">
        <v>4176.3</v>
      </c>
      <c r="R264" s="71" t="inlineStr">
        <is>
          <t>derived:price x shares upon listing</t>
        </is>
      </c>
      <c r="S264" s="77" t="n">
        <v>602.87</v>
      </c>
      <c r="T264" s="88">
        <f>IF('BBG Verify'!E264="","not filed; run on terminal",'BBG Verify'!E264)</f>
        <v/>
      </c>
      <c r="U264" s="79" t="n">
        <v>79.62</v>
      </c>
      <c r="V264" s="80" t="n">
        <v>107</v>
      </c>
      <c r="W264" s="75" t="n">
        <v>18.41</v>
      </c>
      <c r="X264" s="71" t="inlineStr">
        <is>
          <t>YES</t>
        </is>
      </c>
      <c r="Y264" s="76" t="n">
        <v>81.83</v>
      </c>
      <c r="Z264" s="76" t="n">
        <v>981949</v>
      </c>
      <c r="AA264" s="75" t="n">
        <v>1.96</v>
      </c>
      <c r="AB264" s="71" t="inlineStr">
        <is>
          <t>Gold Wings Holdings Limited; Reynold Lemkins Group (Asia) Limited; Suzhou Harvest International Co., Limited</t>
        </is>
      </c>
      <c r="AC264" s="71" t="inlineStr">
        <is>
          <t>gold;reynold;suzhou</t>
        </is>
      </c>
      <c r="AD264" s="75" t="n"/>
      <c r="AE264" s="71" t="n"/>
      <c r="AF264" s="71" t="n"/>
      <c r="AG264" s="71" t="n"/>
      <c r="AH264" s="71" t="n"/>
      <c r="AI264" s="81" t="n">
        <v>32.61</v>
      </c>
      <c r="AJ264" s="82" t="n">
        <v>-27.82</v>
      </c>
      <c r="AK264" s="82" t="n">
        <v>35.61</v>
      </c>
      <c r="AL264" s="82" t="n">
        <v>-46.77</v>
      </c>
      <c r="AM264" s="83" t="n">
        <v>1.83</v>
      </c>
      <c r="AN264" s="75" t="n">
        <v>50.53</v>
      </c>
      <c r="AO264" s="82" t="n">
        <v>-22</v>
      </c>
      <c r="AP264" s="82" t="n">
        <v>-12.4</v>
      </c>
      <c r="AQ264" s="82" t="n">
        <v>-23.14</v>
      </c>
      <c r="AR264" s="82" t="n">
        <v>8.06</v>
      </c>
      <c r="AS264" s="82" t="n">
        <v>21.36</v>
      </c>
      <c r="AT264" s="82" t="n">
        <v>6.48</v>
      </c>
      <c r="AU264" s="82" t="n">
        <v>-21.32</v>
      </c>
      <c r="AV264" s="82" t="n">
        <v>-7.81</v>
      </c>
      <c r="AW264" s="82" t="n">
        <v>-55.91</v>
      </c>
      <c r="AX264" s="82" t="n">
        <v>25.13</v>
      </c>
      <c r="AY264" s="82" t="n">
        <v>-4.59</v>
      </c>
      <c r="AZ264" s="82" t="n">
        <v>-3.77</v>
      </c>
      <c r="BA264" s="71" t="inlineStr">
        <is>
          <t>HSTECH (Hang Seng TECH ETF)</t>
        </is>
      </c>
      <c r="BB264" s="82" t="n">
        <v>-22</v>
      </c>
      <c r="BC264" s="72" t="inlineStr">
        <is>
          <t>2026-09-18</t>
        </is>
      </c>
      <c r="BD264" s="73" t="n">
        <v>485.2</v>
      </c>
      <c r="BE264" s="76" t="n">
        <v>38.6</v>
      </c>
      <c r="BF264" s="71" t="inlineStr">
        <is>
          <t>Y</t>
        </is>
      </c>
      <c r="BG264" s="83" t="n">
        <v>108.2</v>
      </c>
      <c r="BH264" s="83" t="n">
        <v>72.7</v>
      </c>
      <c r="BI264" s="83" t="n">
        <v>72.5</v>
      </c>
      <c r="BJ264" s="83" t="n">
        <v>8.6</v>
      </c>
      <c r="BK264" s="84">
        <f>IF('BBG Verify'!S264="","not filed; run on terminal",'BBG Verify'!S264)</f>
        <v/>
      </c>
      <c r="BL264" s="85" t="inlineStr">
        <is>
          <t>N</t>
        </is>
      </c>
      <c r="BM264" s="86">
        <f>IF('BBG Verify'!K264="","not filed; run on terminal",'BBG Verify'!K264)</f>
        <v/>
      </c>
      <c r="BN264" s="71" t="inlineStr">
        <is>
          <t>N/A</t>
        </is>
      </c>
      <c r="BO264" s="71" t="inlineStr">
        <is>
          <t>N/A</t>
        </is>
      </c>
      <c r="BP264" s="71" t="inlineStr">
        <is>
          <t>N/A</t>
        </is>
      </c>
      <c r="BQ264" s="71" t="inlineStr">
        <is>
          <t>N/A</t>
        </is>
      </c>
      <c r="BR264" s="71" t="inlineStr">
        <is>
          <t>N/A</t>
        </is>
      </c>
      <c r="BS264" s="71" t="inlineStr">
        <is>
          <t>N/A</t>
        </is>
      </c>
      <c r="BT264" s="85" t="inlineStr">
        <is>
          <t>CITIC Securities (Hong Kong) Limited</t>
        </is>
      </c>
      <c r="BU264" s="71" t="inlineStr">
        <is>
          <t>CITIC Securities (Hong Kong) Limited</t>
        </is>
      </c>
      <c r="BV264" s="71"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W264" s="71"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X264" s="87">
        <f>HYPERLINK("https://www1.hkexnews.hk/listedco/listconews/sehk/2024/0620/2024062000191.pdf","prospectus")</f>
        <v/>
      </c>
      <c r="BY264" s="87">
        <f>HYPERLINK("https://www1.hkexnews.hk/listedco/listconews/sehk/2024/0627/2024062702312.pdf","allotment")</f>
        <v/>
      </c>
      <c r="BZ264" s="71" t="n"/>
      <c r="CA264" s="85" t="n"/>
      <c r="CB264" s="71"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70" t="inlineStr">
        <is>
          <t>6181</t>
        </is>
      </c>
      <c r="B265" s="71" t="inlineStr">
        <is>
          <t>LAOPU GOLD</t>
        </is>
      </c>
      <c r="C265" s="71" t="inlineStr">
        <is>
          <t>老鋪黃金</t>
        </is>
      </c>
      <c r="D265" s="71" t="inlineStr">
        <is>
          <t>Consumer</t>
        </is>
      </c>
      <c r="E265" s="71" t="inlineStr">
        <is>
          <t>Apparel / luxury</t>
        </is>
      </c>
      <c r="F265" s="71" t="inlineStr">
        <is>
          <t>Watch &amp; Jewellery</t>
        </is>
      </c>
      <c r="G265" s="71" t="inlineStr">
        <is>
          <t>Standard</t>
        </is>
      </c>
      <c r="H265" s="72" t="n">
        <v>45471</v>
      </c>
      <c r="I265" s="73" t="n">
        <v>905.9</v>
      </c>
      <c r="J265" s="71" t="inlineStr">
        <is>
          <t>gross (price x shares)</t>
        </is>
      </c>
      <c r="K265" s="74" t="n"/>
      <c r="L265" s="74" t="n">
        <v>40.5</v>
      </c>
      <c r="M265" s="74" t="n">
        <v>40.5</v>
      </c>
      <c r="N265" s="71" t="inlineStr">
        <is>
          <t>Y</t>
        </is>
      </c>
      <c r="O265" s="75" t="n">
        <v>100</v>
      </c>
      <c r="P265" s="75" t="n"/>
      <c r="Q265" s="76" t="n">
        <v>6683</v>
      </c>
      <c r="R265" s="71" t="inlineStr">
        <is>
          <t>derived:price x shares upon listing</t>
        </is>
      </c>
      <c r="S265" s="77" t="n">
        <v>582.15</v>
      </c>
      <c r="T265" s="78" t="n">
        <v>11.9</v>
      </c>
      <c r="U265" s="79" t="n">
        <v>55.53</v>
      </c>
      <c r="V265" s="80" t="n">
        <v>108</v>
      </c>
      <c r="W265" s="75" t="n">
        <v>50</v>
      </c>
      <c r="X265" s="71" t="inlineStr">
        <is>
          <t>YES</t>
        </is>
      </c>
      <c r="Y265" s="76" t="n">
        <v>402.85</v>
      </c>
      <c r="Z265" s="76" t="n">
        <v>9947450</v>
      </c>
      <c r="AA265" s="75" t="n">
        <v>6.03</v>
      </c>
      <c r="AB265" s="71" t="inlineStr">
        <is>
          <t>China Southern Asset Management Co., Ltd; CPE Greater China Enterprises Growth Fund; Huang River Investment Limited</t>
        </is>
      </c>
      <c r="AC265" s="71" t="inlineStr">
        <is>
          <t>southern;cpe;huang-river</t>
        </is>
      </c>
      <c r="AD265" s="75" t="n">
        <v>15</v>
      </c>
      <c r="AE265" s="71" t="inlineStr">
        <is>
          <t>full</t>
        </is>
      </c>
      <c r="AF265" s="71" t="inlineStr">
        <is>
          <t>2024-07-25</t>
        </is>
      </c>
      <c r="AG265" s="71" t="inlineStr">
        <is>
          <t>China Securities</t>
        </is>
      </c>
      <c r="AH265" s="71" t="inlineStr">
        <is>
          <t>China Securities</t>
        </is>
      </c>
      <c r="AI265" s="81" t="n">
        <v>51.36</v>
      </c>
      <c r="AJ265" s="82" t="n">
        <v>72.84</v>
      </c>
      <c r="AK265" s="82" t="n">
        <v>59.26</v>
      </c>
      <c r="AL265" s="82" t="n">
        <v>8.529999999999999</v>
      </c>
      <c r="AM265" s="83" t="n">
        <v>1.6</v>
      </c>
      <c r="AN265" s="75" t="n">
        <v>22.71</v>
      </c>
      <c r="AO265" s="82" t="n">
        <v>110.37</v>
      </c>
      <c r="AP265" s="82" t="n">
        <v>104.94</v>
      </c>
      <c r="AQ265" s="82" t="n">
        <v>262.96</v>
      </c>
      <c r="AR265" s="82" t="n">
        <v>21.71</v>
      </c>
      <c r="AS265" s="82" t="n">
        <v>18.57</v>
      </c>
      <c r="AT265" s="82" t="n">
        <v>110</v>
      </c>
      <c r="AU265" s="82" t="n">
        <v>109.67</v>
      </c>
      <c r="AV265" s="82" t="n">
        <v>109.15</v>
      </c>
      <c r="AW265" s="82" t="n">
        <v>239.17</v>
      </c>
      <c r="AX265" s="82" t="n">
        <v>22.62</v>
      </c>
      <c r="AY265" s="82" t="n">
        <v>-4.21</v>
      </c>
      <c r="AZ265" s="82" t="n">
        <v>-4.05</v>
      </c>
      <c r="BA265" s="71" t="inlineStr">
        <is>
          <t>Hang Seng Commerce &amp; Industry sub-index</t>
        </is>
      </c>
      <c r="BB265" s="82" t="n">
        <v>771.6</v>
      </c>
      <c r="BC265" s="72" t="inlineStr">
        <is>
          <t>2026-09-23</t>
        </is>
      </c>
      <c r="BD265" s="73" t="n">
        <v>3497.5</v>
      </c>
      <c r="BE265" s="76" t="n">
        <v>125.3</v>
      </c>
      <c r="BF265" s="71" t="inlineStr">
        <is>
          <t>Y</t>
        </is>
      </c>
      <c r="BG265" s="83" t="n">
        <v>53.3</v>
      </c>
      <c r="BH265" s="83" t="n"/>
      <c r="BI265" s="83" t="n">
        <v>10.6</v>
      </c>
      <c r="BJ265" s="83" t="n">
        <v>1.9</v>
      </c>
      <c r="BK265" s="84">
        <f>IF('BBG Verify'!S265="","not filed; run on terminal",'BBG Verify'!S265)</f>
        <v/>
      </c>
      <c r="BL265" s="85" t="inlineStr">
        <is>
          <t>N</t>
        </is>
      </c>
      <c r="BM265" s="86">
        <f>IF('BBG Verify'!K265="","not filed; run on terminal",'BBG Verify'!K265)</f>
        <v/>
      </c>
      <c r="BN265" s="71" t="inlineStr">
        <is>
          <t>N/A</t>
        </is>
      </c>
      <c r="BO265" s="71" t="inlineStr">
        <is>
          <t>N/A</t>
        </is>
      </c>
      <c r="BP265" s="71" t="inlineStr">
        <is>
          <t>N/A</t>
        </is>
      </c>
      <c r="BQ265" s="71" t="inlineStr">
        <is>
          <t>N/A</t>
        </is>
      </c>
      <c r="BR265" s="71" t="inlineStr">
        <is>
          <t>N/A</t>
        </is>
      </c>
      <c r="BS265" s="71" t="inlineStr">
        <is>
          <t>N/A</t>
        </is>
      </c>
      <c r="BT265" s="85" t="inlineStr">
        <is>
          <t>China Securities (International) Corporate Finance Company Limited</t>
        </is>
      </c>
      <c r="BU265" s="71" t="inlineStr">
        <is>
          <t>China Securities (International) Corporate Finance Company Limited</t>
        </is>
      </c>
      <c r="BV265" s="71" t="inlineStr">
        <is>
          <t>China Securities (International) Corporate Finance Company Limited; CCB International Capital Limited; BOCOM International Securities Limited</t>
        </is>
      </c>
      <c r="BW265" s="71" t="inlineStr">
        <is>
          <t>BOCOM International Securities Limited; CCB International Capital Limited; China Securities (International) Corporate Finance Company Limited; Tiger Brokers (HK) Global Limited</t>
        </is>
      </c>
      <c r="BX265" s="87">
        <f>HYPERLINK("https://www1.hkexnews.hk/listedco/listconews/sehk/2024/0620/2024062000017.pdf","prospectus")</f>
        <v/>
      </c>
      <c r="BY265" s="87">
        <f>HYPERLINK("https://www1.hkexnews.hk/listedco/listconews/sehk/2024/0627/2024062702334.pdf","allotment")</f>
        <v/>
      </c>
      <c r="BZ265" s="87">
        <f>HYPERLINK("https://www1.hkexnews.hk/listedco/listconews/sehk/2024/0725/2024072501435.pdf","stabilisation")</f>
        <v/>
      </c>
      <c r="CA265" s="85" t="n"/>
      <c r="CB265" s="71" t="inlineStr">
        <is>
          <t>range low: maximum offer price only, no floor published; A/H: no A-share listing; nearest A proxy Chow Hong Ji (CHJ Jewellery) (002345.SZ)</t>
        </is>
      </c>
    </row>
    <row r="266" ht="15" customHeight="1">
      <c r="A266" s="70" t="inlineStr">
        <is>
          <t>2545</t>
        </is>
      </c>
      <c r="B266" s="71" t="inlineStr">
        <is>
          <t>ZHONGGAN COMM</t>
        </is>
      </c>
      <c r="C266" s="71" t="inlineStr">
        <is>
          <t>中贛通信</t>
        </is>
      </c>
      <c r="D266" s="71" t="inlineStr">
        <is>
          <t>TMT-other</t>
        </is>
      </c>
      <c r="E266" s="71" t="inlineStr">
        <is>
          <t>Telecom</t>
        </is>
      </c>
      <c r="F266" s="71" t="inlineStr">
        <is>
          <t>Telecommunications &amp; Networking Equipment</t>
        </is>
      </c>
      <c r="G266" s="71" t="inlineStr">
        <is>
          <t>Standard</t>
        </is>
      </c>
      <c r="H266" s="72" t="n">
        <v>45476</v>
      </c>
      <c r="I266" s="73" t="n">
        <v>200</v>
      </c>
      <c r="J266" s="71" t="inlineStr">
        <is>
          <t>gross (price x shares)</t>
        </is>
      </c>
      <c r="K266" s="74" t="n">
        <v>1.13</v>
      </c>
      <c r="L266" s="74" t="n">
        <v>1.25</v>
      </c>
      <c r="M266" s="74" t="n">
        <v>1.25</v>
      </c>
      <c r="N266" s="71" t="inlineStr">
        <is>
          <t>Y</t>
        </is>
      </c>
      <c r="O266" s="75" t="n">
        <v>100</v>
      </c>
      <c r="P266" s="75" t="n">
        <v>100</v>
      </c>
      <c r="Q266" s="76" t="n">
        <v>800</v>
      </c>
      <c r="R266" s="71" t="inlineStr">
        <is>
          <t>derived:price x shares upon listing</t>
        </is>
      </c>
      <c r="S266" s="77" t="n">
        <v>195.99</v>
      </c>
      <c r="T266" s="78" t="n">
        <v>1.5</v>
      </c>
      <c r="U266" s="79" t="n">
        <v>0</v>
      </c>
      <c r="V266" s="80" t="n">
        <v>133</v>
      </c>
      <c r="W266" s="75" t="n">
        <v>50</v>
      </c>
      <c r="X266" s="71" t="inlineStr">
        <is>
          <t>YES</t>
        </is>
      </c>
      <c r="Y266" s="76" t="n">
        <v>200</v>
      </c>
      <c r="Z266" s="76" t="n">
        <v>160000000</v>
      </c>
      <c r="AA266" s="75" t="n">
        <v>25</v>
      </c>
      <c r="AB266" s="71" t="n"/>
      <c r="AC266" s="71" t="n"/>
      <c r="AD266" s="75" t="n">
        <v>15</v>
      </c>
      <c r="AE266" s="71" t="inlineStr">
        <is>
          <t>lapsed (no over-allocation)</t>
        </is>
      </c>
      <c r="AF266" s="71" t="inlineStr">
        <is>
          <t>2024-07-27</t>
        </is>
      </c>
      <c r="AG266" s="71" t="inlineStr">
        <is>
          <t>Zhongtai Internati onal Securities Limited</t>
        </is>
      </c>
      <c r="AH266" s="71" t="inlineStr">
        <is>
          <t>Zhongtai Internati</t>
        </is>
      </c>
      <c r="AI266" s="81" t="n">
        <v>-38.4</v>
      </c>
      <c r="AJ266" s="82" t="n">
        <v>-46.4</v>
      </c>
      <c r="AK266" s="82" t="n">
        <v>-39.2</v>
      </c>
      <c r="AL266" s="82" t="n">
        <v>-11.84</v>
      </c>
      <c r="AM266" s="83" t="n">
        <v>1.64</v>
      </c>
      <c r="AN266" s="75" t="n">
        <v>23.68</v>
      </c>
      <c r="AO266" s="82" t="n">
        <v>-63.6</v>
      </c>
      <c r="AP266" s="82" t="n">
        <v>-65.59999999999999</v>
      </c>
      <c r="AQ266" s="82" t="n">
        <v>-68.40000000000001</v>
      </c>
      <c r="AR266" s="82" t="n">
        <v>-32.09</v>
      </c>
      <c r="AS266" s="82" t="n">
        <v>-35.82</v>
      </c>
      <c r="AT266" s="82" t="n">
        <v>-41.04</v>
      </c>
      <c r="AU266" s="82" t="n">
        <v>-61.93</v>
      </c>
      <c r="AV266" s="82" t="n">
        <v>-62.99</v>
      </c>
      <c r="AW266" s="82" t="n">
        <v>-92.84999999999999</v>
      </c>
      <c r="AX266" s="82" t="n">
        <v>-32.07</v>
      </c>
      <c r="AY266" s="82" t="n">
        <v>-2.61</v>
      </c>
      <c r="AZ266" s="82" t="n">
        <v>-3.75</v>
      </c>
      <c r="BA266" s="71" t="inlineStr">
        <is>
          <t>Hang Seng Index</t>
        </is>
      </c>
      <c r="BB266" s="82" t="n">
        <v>-66</v>
      </c>
      <c r="BC266" s="72" t="inlineStr">
        <is>
          <t>2026-09-23</t>
        </is>
      </c>
      <c r="BD266" s="73" t="n">
        <v>454.4</v>
      </c>
      <c r="BE266" s="76" t="n">
        <v>75.5</v>
      </c>
      <c r="BF266" s="71" t="inlineStr">
        <is>
          <t>Y</t>
        </is>
      </c>
      <c r="BG266" s="83" t="n">
        <v>10.6</v>
      </c>
      <c r="BH266" s="83" t="n"/>
      <c r="BI266" s="83" t="n">
        <v>23.7</v>
      </c>
      <c r="BJ266" s="83" t="n">
        <v>1.8</v>
      </c>
      <c r="BK266" s="84">
        <f>IF('BBG Verify'!S266="","not filed; run on terminal",'BBG Verify'!S266)</f>
        <v/>
      </c>
      <c r="BL266" s="85" t="inlineStr">
        <is>
          <t>N</t>
        </is>
      </c>
      <c r="BM266" s="86">
        <f>IF('BBG Verify'!K266="","not filed; run on terminal",'BBG Verify'!K266)</f>
        <v/>
      </c>
      <c r="BN266" s="71" t="inlineStr">
        <is>
          <t>N/A</t>
        </is>
      </c>
      <c r="BO266" s="71" t="inlineStr">
        <is>
          <t>N/A</t>
        </is>
      </c>
      <c r="BP266" s="71" t="inlineStr">
        <is>
          <t>N/A</t>
        </is>
      </c>
      <c r="BQ266" s="71" t="inlineStr">
        <is>
          <t>N/A</t>
        </is>
      </c>
      <c r="BR266" s="71" t="inlineStr">
        <is>
          <t>N/A</t>
        </is>
      </c>
      <c r="BS266" s="71" t="inlineStr">
        <is>
          <t>N/A</t>
        </is>
      </c>
      <c r="BT266" s="85" t="inlineStr">
        <is>
          <t>Zhongtai International Capital Limited</t>
        </is>
      </c>
      <c r="BU266" s="71" t="inlineStr">
        <is>
          <t>Zhongtai International Capital Limited</t>
        </is>
      </c>
      <c r="BV266" s="71" t="inlineStr">
        <is>
          <t>Zhongtai International Securities Limited; CCB International Capital Limited; CMB International Capital Limited; ABCI Capital Limited; ICBC International Securities Limited; CMBC Securities Company Limited; China Sunrise Securities (International) Limited</t>
        </is>
      </c>
      <c r="BW266" s="71"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X266" s="87">
        <f>HYPERLINK("https://www1.hkexnews.hk/listedco/listconews/sehk/2024/0621/2024062100099.pdf","prospectus")</f>
        <v/>
      </c>
      <c r="BY266" s="87">
        <f>HYPERLINK("https://www1.hkexnews.hk/listedco/listconews/sehk/2024/0702/2024070203581.pdf","allotment")</f>
        <v/>
      </c>
      <c r="BZ266" s="87">
        <f>HYPERLINK("https://www1.hkexnews.hk/listedco/listconews/sehk/2024/0729/2024072900518.pdf","stabilisation")</f>
        <v/>
      </c>
      <c r="CA266" s="85" t="n"/>
      <c r="CB266" s="71" t="inlineStr">
        <is>
          <t>cornerstone list: no cornerstone tranche</t>
        </is>
      </c>
    </row>
    <row r="267" ht="15" customHeight="1">
      <c r="A267" s="70" t="inlineStr">
        <is>
          <t>1354</t>
        </is>
      </c>
      <c r="B267" s="71" t="inlineStr">
        <is>
          <t>KINGFARPROPERTY</t>
        </is>
      </c>
      <c r="C267" s="71" t="inlineStr">
        <is>
          <t>經發物業</t>
        </is>
      </c>
      <c r="D267" s="71" t="inlineStr">
        <is>
          <t>Real Estate</t>
        </is>
      </c>
      <c r="E267" s="71" t="inlineStr">
        <is>
          <t>Property management</t>
        </is>
      </c>
      <c r="F267" s="71" t="inlineStr">
        <is>
          <t>Property Service and Management</t>
        </is>
      </c>
      <c r="G267" s="71" t="inlineStr">
        <is>
          <t>Standard</t>
        </is>
      </c>
      <c r="H267" s="72" t="n">
        <v>45476</v>
      </c>
      <c r="I267" s="73" t="n">
        <v>125</v>
      </c>
      <c r="J267" s="71" t="inlineStr">
        <is>
          <t>gross (price x shares)</t>
        </is>
      </c>
      <c r="K267" s="74" t="n">
        <v>7.5</v>
      </c>
      <c r="L267" s="74" t="n">
        <v>9.300000000000001</v>
      </c>
      <c r="M267" s="74" t="n">
        <v>7.5</v>
      </c>
      <c r="N267" s="71" t="inlineStr">
        <is>
          <t>N</t>
        </is>
      </c>
      <c r="O267" s="75" t="n">
        <v>80.59999999999999</v>
      </c>
      <c r="P267" s="75" t="n">
        <v>0</v>
      </c>
      <c r="Q267" s="76" t="n">
        <v>500</v>
      </c>
      <c r="R267" s="71" t="inlineStr">
        <is>
          <t>derived:price x shares upon listing</t>
        </is>
      </c>
      <c r="S267" s="77" t="n">
        <v>118.87</v>
      </c>
      <c r="T267" s="78" t="n">
        <v>0.98</v>
      </c>
      <c r="U267" s="79" t="n">
        <v>43.05</v>
      </c>
      <c r="V267" s="80" t="n">
        <v>122</v>
      </c>
      <c r="W267" s="75" t="n">
        <v>18.01</v>
      </c>
      <c r="X267" s="71" t="inlineStr">
        <is>
          <t>NO</t>
        </is>
      </c>
      <c r="Y267" s="76" t="n">
        <v>71.19</v>
      </c>
      <c r="Z267" s="76" t="n">
        <v>9491743</v>
      </c>
      <c r="AA267" s="75" t="n">
        <v>14.24</v>
      </c>
      <c r="AB267" s="71" t="inlineStr">
        <is>
          <t>Xian Dingzhun Education and Technology Co., Ltd; Xian Tianbo Diagnostics Co., Ltd</t>
        </is>
      </c>
      <c r="AC267" s="71" t="inlineStr">
        <is>
          <t>xian</t>
        </is>
      </c>
      <c r="AD267" s="75" t="n">
        <v>10.8</v>
      </c>
      <c r="AE267" s="71" t="inlineStr">
        <is>
          <t>lapsed (no over-allocation)</t>
        </is>
      </c>
      <c r="AF267" s="71" t="n"/>
      <c r="AG267" s="71" t="inlineStr">
        <is>
          <t>CEB International Capital Corporation Limited</t>
        </is>
      </c>
      <c r="AH267" s="71" t="inlineStr">
        <is>
          <t>CEB</t>
        </is>
      </c>
      <c r="AI267" s="81" t="n">
        <v>0.3</v>
      </c>
      <c r="AJ267" s="82" t="n">
        <v>-11.47</v>
      </c>
      <c r="AK267" s="82" t="n">
        <v>2</v>
      </c>
      <c r="AL267" s="82" t="n">
        <v>-13.21</v>
      </c>
      <c r="AM267" s="83" t="n">
        <v>1.11</v>
      </c>
      <c r="AN267" s="75" t="n">
        <v>20.26</v>
      </c>
      <c r="AO267" s="82" t="n">
        <v>-24</v>
      </c>
      <c r="AP267" s="82" t="n">
        <v>26.13</v>
      </c>
      <c r="AQ267" s="82" t="n">
        <v>168</v>
      </c>
      <c r="AR267" s="82" t="n">
        <v>-14.15</v>
      </c>
      <c r="AS267" s="82" t="n">
        <v>42.47</v>
      </c>
      <c r="AT267" s="82" t="n">
        <v>202.72</v>
      </c>
      <c r="AU267" s="82" t="n">
        <v>-21.92</v>
      </c>
      <c r="AV267" s="82" t="n">
        <v>28.97</v>
      </c>
      <c r="AW267" s="82" t="n">
        <v>140.96</v>
      </c>
      <c r="AX267" s="82" t="n">
        <v>47.19</v>
      </c>
      <c r="AY267" s="82" t="n">
        <v>-2.84</v>
      </c>
      <c r="AZ267" s="82" t="n">
        <v>-4.72</v>
      </c>
      <c r="BA267" s="71" t="inlineStr">
        <is>
          <t>Hang Seng Properties sub-index</t>
        </is>
      </c>
      <c r="BB267" s="82" t="n">
        <v>-64.2</v>
      </c>
      <c r="BC267" s="72" t="inlineStr">
        <is>
          <t>2026-09-23</t>
        </is>
      </c>
      <c r="BD267" s="73" t="n">
        <v>948.5</v>
      </c>
      <c r="BE267" s="76" t="n">
        <v>56.1</v>
      </c>
      <c r="BF267" s="71" t="inlineStr">
        <is>
          <t>Y</t>
        </is>
      </c>
      <c r="BG267" s="83" t="n">
        <v>8.9</v>
      </c>
      <c r="BH267" s="83" t="n"/>
      <c r="BI267" s="83" t="n">
        <v>1.8</v>
      </c>
      <c r="BJ267" s="83" t="n">
        <v>0.5</v>
      </c>
      <c r="BK267" s="84">
        <f>IF('BBG Verify'!S267="","not filed; run on terminal",'BBG Verify'!S267)</f>
        <v/>
      </c>
      <c r="BL267" s="85" t="inlineStr">
        <is>
          <t>N</t>
        </is>
      </c>
      <c r="BM267" s="86">
        <f>IF('BBG Verify'!K267="","not filed; run on terminal",'BBG Verify'!K267)</f>
        <v/>
      </c>
      <c r="BN267" s="71" t="inlineStr">
        <is>
          <t>N/A</t>
        </is>
      </c>
      <c r="BO267" s="71" t="inlineStr">
        <is>
          <t>N/A</t>
        </is>
      </c>
      <c r="BP267" s="71" t="inlineStr">
        <is>
          <t>N/A</t>
        </is>
      </c>
      <c r="BQ267" s="71" t="inlineStr">
        <is>
          <t>N/A</t>
        </is>
      </c>
      <c r="BR267" s="71" t="inlineStr">
        <is>
          <t>N/A</t>
        </is>
      </c>
      <c r="BS267" s="71" t="inlineStr">
        <is>
          <t>N/A</t>
        </is>
      </c>
      <c r="BT267" s="85" t="inlineStr">
        <is>
          <t>CEB International Capital Corporation Limited</t>
        </is>
      </c>
      <c r="BU267" s="71" t="inlineStr">
        <is>
          <t>CEB International Capital Corporation Limited</t>
        </is>
      </c>
      <c r="BV267" s="71"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W267" s="71"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X267" s="87">
        <f>HYPERLINK("https://www1.hkexnews.hk/listedco/listconews/sehk/2024/0624/2024062400007.pdf","prospectus")</f>
        <v/>
      </c>
      <c r="BY267" s="87">
        <f>HYPERLINK("https://www1.hkexnews.hk/listedco/listconews/sehk/2024/0702/2024070203671.pdf","allotment")</f>
        <v/>
      </c>
      <c r="BZ267" s="87">
        <f>HYPERLINK("https://www1.hkexnews.hk/listedco/listconews/sehk/2024/0729/2024072900434.pdf","stabilisation")</f>
        <v/>
      </c>
      <c r="CA267" s="85" t="n"/>
      <c r="CB267" s="71" t="inlineStr">
        <is>
          <t>greenshoe: outcome published; expiry date not in the notice</t>
        </is>
      </c>
    </row>
    <row r="268" ht="15" customHeight="1">
      <c r="A268" s="70" t="inlineStr">
        <is>
          <t>6657</t>
        </is>
      </c>
      <c r="B268" s="71" t="inlineStr">
        <is>
          <t>BAIWANG CO</t>
        </is>
      </c>
      <c r="C268" s="71" t="inlineStr">
        <is>
          <t>百望股份</t>
        </is>
      </c>
      <c r="D268" s="71" t="inlineStr">
        <is>
          <t>Tech/AI</t>
        </is>
      </c>
      <c r="E268" s="71" t="inlineStr">
        <is>
          <t>SaaS / enterprise software</t>
        </is>
      </c>
      <c r="F268" s="71" t="inlineStr">
        <is>
          <t>Systems Software</t>
        </is>
      </c>
      <c r="G268" s="71" t="inlineStr">
        <is>
          <t>Standard</t>
        </is>
      </c>
      <c r="H268" s="72" t="n">
        <v>45482</v>
      </c>
      <c r="I268" s="73" t="n">
        <v>333.4</v>
      </c>
      <c r="J268" s="71" t="inlineStr">
        <is>
          <t>gross (price x shares)</t>
        </is>
      </c>
      <c r="K268" s="74" t="n">
        <v>36</v>
      </c>
      <c r="L268" s="74" t="n">
        <v>40</v>
      </c>
      <c r="M268" s="74" t="n">
        <v>36</v>
      </c>
      <c r="N268" s="71" t="inlineStr">
        <is>
          <t>N</t>
        </is>
      </c>
      <c r="O268" s="75" t="n">
        <v>90</v>
      </c>
      <c r="P268" s="75" t="n">
        <v>0</v>
      </c>
      <c r="Q268" s="76" t="n">
        <v>8132.6</v>
      </c>
      <c r="R268" s="71" t="inlineStr">
        <is>
          <t>derived:price x shares upon listing</t>
        </is>
      </c>
      <c r="S268" s="77" t="n">
        <v>6.58</v>
      </c>
      <c r="T268" s="78" t="n">
        <v>1.04</v>
      </c>
      <c r="U268" s="79" t="n">
        <v>78</v>
      </c>
      <c r="V268" s="80" t="n">
        <v>132</v>
      </c>
      <c r="W268" s="75" t="n">
        <v>10</v>
      </c>
      <c r="X268" s="71" t="inlineStr">
        <is>
          <t>NO</t>
        </is>
      </c>
      <c r="Y268" s="76" t="n">
        <v>73.34999999999999</v>
      </c>
      <c r="Z268" s="76" t="n">
        <v>2037640</v>
      </c>
      <c r="AA268" s="75" t="n">
        <v>0.9</v>
      </c>
      <c r="AB268" s="71" t="inlineStr">
        <is>
          <t>Jiangsu Yuanli Industrial Investment Co., Ltd</t>
        </is>
      </c>
      <c r="AC268" s="71" t="inlineStr">
        <is>
          <t>jiangsu</t>
        </is>
      </c>
      <c r="AD268" s="75" t="n">
        <v>6.61</v>
      </c>
      <c r="AE268" s="71" t="inlineStr">
        <is>
          <t>lapsed</t>
        </is>
      </c>
      <c r="AF268" s="71" t="n"/>
      <c r="AG268" s="71" t="inlineStr">
        <is>
          <t>Haitong International Securities Company Limited DEFINITIONS –3 4</t>
        </is>
      </c>
      <c r="AH268" s="71" t="inlineStr">
        <is>
          <t>Haitong</t>
        </is>
      </c>
      <c r="AI268" s="81" t="n">
        <v>-3.75</v>
      </c>
      <c r="AJ268" s="82" t="n">
        <v>8.06</v>
      </c>
      <c r="AK268" s="82" t="n">
        <v>-11.11</v>
      </c>
      <c r="AL268" s="82" t="n">
        <v>21.57</v>
      </c>
      <c r="AM268" s="83" t="n">
        <v>1.12</v>
      </c>
      <c r="AN268" s="75" t="n">
        <v>36.56</v>
      </c>
      <c r="AO268" s="82" t="n">
        <v>-4.86</v>
      </c>
      <c r="AP268" s="82" t="n">
        <v>-5.56</v>
      </c>
      <c r="AQ268" s="82" t="n">
        <v>-1.94</v>
      </c>
      <c r="AR268" s="82" t="n">
        <v>-11.96</v>
      </c>
      <c r="AS268" s="82" t="n">
        <v>-12.6</v>
      </c>
      <c r="AT268" s="82" t="n">
        <v>-9.25</v>
      </c>
      <c r="AU268" s="82" t="n">
        <v>-6.52</v>
      </c>
      <c r="AV268" s="82" t="n">
        <v>-0.42</v>
      </c>
      <c r="AW268" s="82" t="n">
        <v>-31.51</v>
      </c>
      <c r="AX268" s="82" t="n">
        <v>-6.76</v>
      </c>
      <c r="AY268" s="82" t="n">
        <v>-5.14</v>
      </c>
      <c r="AZ268" s="82" t="n">
        <v>-5.84</v>
      </c>
      <c r="BA268" s="71" t="inlineStr">
        <is>
          <t>HSTECH (Hang Seng TECH ETF)</t>
        </is>
      </c>
      <c r="BB268" s="82" t="n">
        <v>-59.72</v>
      </c>
      <c r="BC268" s="72" t="inlineStr">
        <is>
          <t>2026-09-23</t>
        </is>
      </c>
      <c r="BD268" s="73" t="n">
        <v>784.3</v>
      </c>
      <c r="BE268" s="76" t="n">
        <v>-395.2</v>
      </c>
      <c r="BF268" s="71" t="inlineStr">
        <is>
          <t>N</t>
        </is>
      </c>
      <c r="BG268" s="71" t="inlineStr">
        <is>
          <t>n/m</t>
        </is>
      </c>
      <c r="BH268" s="83" t="n"/>
      <c r="BI268" s="83" t="n"/>
      <c r="BJ268" s="83" t="n">
        <v>10.4</v>
      </c>
      <c r="BK268" s="84">
        <f>IF('BBG Verify'!S268="","not filed; run on terminal",'BBG Verify'!S268)</f>
        <v/>
      </c>
      <c r="BL268" s="85" t="inlineStr">
        <is>
          <t>N</t>
        </is>
      </c>
      <c r="BM268" s="86">
        <f>IF('BBG Verify'!K268="","not filed; run on terminal",'BBG Verify'!K268)</f>
        <v/>
      </c>
      <c r="BN268" s="71" t="inlineStr">
        <is>
          <t>N/A</t>
        </is>
      </c>
      <c r="BO268" s="71" t="inlineStr">
        <is>
          <t>N/A</t>
        </is>
      </c>
      <c r="BP268" s="71" t="inlineStr">
        <is>
          <t>N/A</t>
        </is>
      </c>
      <c r="BQ268" s="71" t="inlineStr">
        <is>
          <t>N/A</t>
        </is>
      </c>
      <c r="BR268" s="71" t="inlineStr">
        <is>
          <t>N/A</t>
        </is>
      </c>
      <c r="BS268" s="71" t="inlineStr">
        <is>
          <t>N/A</t>
        </is>
      </c>
      <c r="BT268" s="85" t="inlineStr">
        <is>
          <t>Haitong International Capital Limited; Sponsor-OC Haitong International Securities Company Limited</t>
        </is>
      </c>
      <c r="BU268" s="71" t="inlineStr">
        <is>
          <t>Haitong International Capital Limited</t>
        </is>
      </c>
      <c r="BV268" s="71" t="inlineStr">
        <is>
          <t>and Capital Markets Intermediaries Huatai Financial Holdings (Hong Kong) Limited; BOCI Asia Limited; Shenwan Hongyuan Securities (H.K.) Limited</t>
        </is>
      </c>
      <c r="BW268" s="71"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X268" s="87">
        <f>HYPERLINK("https://www1.hkexnews.hk/listedco/listconews/sehk/2024/0628/2024062800069.pdf","prospectus")</f>
        <v/>
      </c>
      <c r="BY268" s="87">
        <f>HYPERLINK("https://www1.hkexnews.hk/listedco/listconews/sehk/2024/0708/2024070801055.pdf","allotment")</f>
        <v/>
      </c>
      <c r="BZ268" s="87">
        <f>HYPERLINK("https://www1.hkexnews.hk/listedco/listconews/sehk/2024/0804/2024080400007.pdf","stabilisation")</f>
        <v/>
      </c>
      <c r="CA268" s="85" t="n"/>
      <c r="CB268" s="71" t="inlineStr">
        <is>
          <t>P/E: loss-making at IPO, use P/S; greenshoe: outcome published; expiry date not in the notice</t>
        </is>
      </c>
    </row>
    <row r="269" ht="15" customHeight="1">
      <c r="A269" s="70" t="inlineStr">
        <is>
          <t>6086</t>
        </is>
      </c>
      <c r="B269" s="71" t="inlineStr">
        <is>
          <t>FANGZHOU JIANKE</t>
        </is>
      </c>
      <c r="C269" s="71" t="inlineStr">
        <is>
          <t>方舟健客</t>
        </is>
      </c>
      <c r="D269" s="71" t="inlineStr">
        <is>
          <t>Healthcare</t>
        </is>
      </c>
      <c r="E269" s="71" t="inlineStr">
        <is>
          <t>Digital health</t>
        </is>
      </c>
      <c r="F269" s="71" t="inlineStr">
        <is>
          <t>Health Care Services</t>
        </is>
      </c>
      <c r="G269" s="71" t="inlineStr">
        <is>
          <t>Standard</t>
        </is>
      </c>
      <c r="H269" s="72" t="n">
        <v>45482</v>
      </c>
      <c r="I269" s="73" t="n">
        <v>194.68</v>
      </c>
      <c r="J269" s="71" t="inlineStr">
        <is>
          <t>gross (stated)</t>
        </is>
      </c>
      <c r="K269" s="74" t="n">
        <v>7.6</v>
      </c>
      <c r="L269" s="74" t="n">
        <v>8.359999999999999</v>
      </c>
      <c r="M269" s="74" t="n">
        <v>8.18</v>
      </c>
      <c r="N269" s="71" t="inlineStr">
        <is>
          <t>N</t>
        </is>
      </c>
      <c r="O269" s="75" t="n">
        <v>97.8</v>
      </c>
      <c r="P269" s="75" t="n">
        <v>76.3</v>
      </c>
      <c r="Q269" s="76" t="n">
        <v>10963.4</v>
      </c>
      <c r="R269" s="71" t="inlineStr">
        <is>
          <t>derived:price x shares upon listing</t>
        </is>
      </c>
      <c r="S269" s="77" t="n">
        <v>16.63</v>
      </c>
      <c r="T269" s="78" t="n">
        <v>1.66</v>
      </c>
      <c r="U269" s="79" t="n">
        <v>28.6</v>
      </c>
      <c r="V269" s="80" t="n">
        <v>145</v>
      </c>
      <c r="W269" s="75" t="n">
        <v>30</v>
      </c>
      <c r="X269" s="71" t="inlineStr">
        <is>
          <t>YES</t>
        </is>
      </c>
      <c r="Y269" s="76" t="n">
        <v>139</v>
      </c>
      <c r="Z269" s="76" t="n"/>
      <c r="AA269" s="75" t="n">
        <v>1.27</v>
      </c>
      <c r="AB269" s="71" t="n"/>
      <c r="AC269" s="71" t="n"/>
      <c r="AD269" s="75" t="n">
        <v>8.720000000000001</v>
      </c>
      <c r="AE269" s="71" t="inlineStr">
        <is>
          <t>lapsed</t>
        </is>
      </c>
      <c r="AF269" s="71" t="inlineStr">
        <is>
          <t>2024-08-03</t>
        </is>
      </c>
      <c r="AG269" s="71" t="inlineStr">
        <is>
          <t>Citigroup Global Markets Asia Limited</t>
        </is>
      </c>
      <c r="AH269" s="71" t="inlineStr">
        <is>
          <t>Citigroup</t>
        </is>
      </c>
      <c r="AI269" s="81" t="n">
        <v>-38.51</v>
      </c>
      <c r="AJ269" s="82" t="n">
        <v>-44.62</v>
      </c>
      <c r="AK269" s="82" t="n">
        <v>-42.79</v>
      </c>
      <c r="AL269" s="82" t="n">
        <v>-3.2</v>
      </c>
      <c r="AM269" s="83" t="n">
        <v>1.39</v>
      </c>
      <c r="AN269" s="75" t="n">
        <v>13.89</v>
      </c>
      <c r="AO269" s="82" t="n">
        <v>-43.77</v>
      </c>
      <c r="AP269" s="82" t="n">
        <v>-47.8</v>
      </c>
      <c r="AQ269" s="82" t="n">
        <v>-15.53</v>
      </c>
      <c r="AR269" s="82" t="n">
        <v>1.53</v>
      </c>
      <c r="AS269" s="82" t="n">
        <v>-5.74</v>
      </c>
      <c r="AT269" s="82" t="n">
        <v>52.53</v>
      </c>
      <c r="AU269" s="82" t="n">
        <v>-47.83</v>
      </c>
      <c r="AV269" s="82" t="n">
        <v>-52.4</v>
      </c>
      <c r="AW269" s="82" t="n">
        <v>-40.95</v>
      </c>
      <c r="AX269" s="82" t="n">
        <v>-10.17</v>
      </c>
      <c r="AY269" s="82" t="n">
        <v>4.6</v>
      </c>
      <c r="AZ269" s="82" t="n">
        <v>4.43</v>
      </c>
      <c r="BA269" s="71" t="inlineStr">
        <is>
          <t>China Biotech ETF (HS biotech proxy)</t>
        </is>
      </c>
      <c r="BB269" s="82" t="n">
        <v>-90.59</v>
      </c>
      <c r="BC269" s="72" t="inlineStr">
        <is>
          <t>2026-09-23</t>
        </is>
      </c>
      <c r="BD269" s="73" t="n">
        <v>2677.7</v>
      </c>
      <c r="BE269" s="76" t="n">
        <v>-216.5</v>
      </c>
      <c r="BF269" s="71" t="inlineStr">
        <is>
          <t>N</t>
        </is>
      </c>
      <c r="BG269" s="71" t="inlineStr">
        <is>
          <t>n/m</t>
        </is>
      </c>
      <c r="BH269" s="83" t="n"/>
      <c r="BI269" s="83" t="n">
        <v>61.9</v>
      </c>
      <c r="BJ269" s="83" t="n">
        <v>4.1</v>
      </c>
      <c r="BK269" s="84">
        <f>IF('BBG Verify'!S269="","not filed; run on terminal",'BBG Verify'!S269)</f>
        <v/>
      </c>
      <c r="BL269" s="85" t="inlineStr">
        <is>
          <t>N</t>
        </is>
      </c>
      <c r="BM269" s="86">
        <f>IF('BBG Verify'!K269="","not filed; run on terminal",'BBG Verify'!K269)</f>
        <v/>
      </c>
      <c r="BN269" s="71" t="inlineStr">
        <is>
          <t>N/A</t>
        </is>
      </c>
      <c r="BO269" s="71" t="inlineStr">
        <is>
          <t>N/A</t>
        </is>
      </c>
      <c r="BP269" s="71" t="inlineStr">
        <is>
          <t>N/A</t>
        </is>
      </c>
      <c r="BQ269" s="71" t="inlineStr">
        <is>
          <t>N/A</t>
        </is>
      </c>
      <c r="BR269" s="71" t="inlineStr">
        <is>
          <t>N/A</t>
        </is>
      </c>
      <c r="BS269" s="71" t="inlineStr">
        <is>
          <t>N/A</t>
        </is>
      </c>
      <c r="BT269" s="85" t="inlineStr">
        <is>
          <t>Citigroup Global Markets Asia Limited; ABCI Capital Limited</t>
        </is>
      </c>
      <c r="BU269" s="71" t="inlineStr">
        <is>
          <t>Citigroup Global Markets Asia Limited; ABCI Capital Limited</t>
        </is>
      </c>
      <c r="BV269" s="71"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W269" s="71"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X269" s="87">
        <f>HYPERLINK("https://www1.hkexnews.hk/listedco/listconews/sehk/2024/0628/2024062800041.pdf","prospectus")</f>
        <v/>
      </c>
      <c r="BY269" s="87">
        <f>HYPERLINK("https://www1.hkexnews.hk/listedco/listconews/sehk/2024/0708/2024070801101.pdf","allotment")</f>
        <v/>
      </c>
      <c r="BZ269" s="87">
        <f>HYPERLINK("https://www1.hkexnews.hk/listedco/listconews/sehk/2024/0805/2024080500039.pdf","stabilisation")</f>
        <v/>
      </c>
      <c r="CA269" s="85" t="n"/>
      <c r="CB269" s="71" t="inlineStr">
        <is>
          <t>P/E: loss-making at IPO, use P/S; cornerstone list: no cornerstone tranche; eff float shares: share count unavailable; the HK$m figure is exact</t>
        </is>
      </c>
    </row>
    <row r="270" ht="15" customHeight="1">
      <c r="A270" s="70" t="inlineStr">
        <is>
          <t>1334</t>
        </is>
      </c>
      <c r="B270" s="71" t="inlineStr">
        <is>
          <t>RUICHANG INTL</t>
        </is>
      </c>
      <c r="C270" s="71" t="inlineStr">
        <is>
          <t>瑞昌國際控股</t>
        </is>
      </c>
      <c r="D270" s="71" t="inlineStr">
        <is>
          <t>Consumer</t>
        </is>
      </c>
      <c r="E270" s="71" t="inlineStr">
        <is>
          <t>Auto parts / supply chain</t>
        </is>
      </c>
      <c r="F270" s="71" t="inlineStr">
        <is>
          <t>Oil &amp; Gas Refining and Marketing</t>
        </is>
      </c>
      <c r="G270" s="71" t="inlineStr">
        <is>
          <t>Standard</t>
        </is>
      </c>
      <c r="H270" s="72" t="n">
        <v>45483</v>
      </c>
      <c r="I270" s="73" t="n">
        <v>131.3</v>
      </c>
      <c r="J270" s="71" t="inlineStr">
        <is>
          <t>gross (stated)</t>
        </is>
      </c>
      <c r="K270" s="74" t="n">
        <v>1.05</v>
      </c>
      <c r="L270" s="74" t="n">
        <v>1.39</v>
      </c>
      <c r="M270" s="74" t="n">
        <v>1.05</v>
      </c>
      <c r="N270" s="71" t="inlineStr">
        <is>
          <t>N</t>
        </is>
      </c>
      <c r="O270" s="75" t="n">
        <v>75.5</v>
      </c>
      <c r="P270" s="75" t="n">
        <v>0</v>
      </c>
      <c r="Q270" s="76" t="n">
        <v>653.4</v>
      </c>
      <c r="R270" s="71" t="inlineStr">
        <is>
          <t>aastocks:上市市值 at the struck price</t>
        </is>
      </c>
      <c r="S270" s="77" t="n">
        <v>19.24</v>
      </c>
      <c r="T270" s="78" t="n">
        <v>0.97</v>
      </c>
      <c r="U270" s="79" t="n">
        <v>44</v>
      </c>
      <c r="V270" s="80" t="n">
        <v>142</v>
      </c>
      <c r="W270" s="75" t="n">
        <v>12.54</v>
      </c>
      <c r="X270" s="71" t="n"/>
      <c r="Y270" s="76" t="n">
        <v>73.53</v>
      </c>
      <c r="Z270" s="76" t="n">
        <v>70000000</v>
      </c>
      <c r="AA270" s="75" t="n">
        <v>11.25</v>
      </c>
      <c r="AB270" s="71" t="inlineStr">
        <is>
          <t>Emsdom Limited; Huangshan City Investment Private Equity Fund Management Co., Ltd</t>
        </is>
      </c>
      <c r="AC270" s="71" t="inlineStr">
        <is>
          <t>emsdom;huangshan</t>
        </is>
      </c>
      <c r="AD270" s="75" t="n">
        <v>11</v>
      </c>
      <c r="AE270" s="71" t="inlineStr">
        <is>
          <t>lapsed (no over-allocation)</t>
        </is>
      </c>
      <c r="AF270" s="71" t="n"/>
      <c r="AG270" s="71" t="n"/>
      <c r="AH270" s="71" t="n"/>
      <c r="AI270" s="81" t="n">
        <v>13.33</v>
      </c>
      <c r="AJ270" s="82" t="n">
        <v>14.29</v>
      </c>
      <c r="AK270" s="82" t="n">
        <v>23.81</v>
      </c>
      <c r="AL270" s="82" t="n">
        <v>-7.69</v>
      </c>
      <c r="AM270" s="83" t="n">
        <v>2.55</v>
      </c>
      <c r="AN270" s="75" t="n">
        <v>30</v>
      </c>
      <c r="AO270" s="82" t="n">
        <v>9.52</v>
      </c>
      <c r="AP270" s="82" t="n">
        <v>-19.05</v>
      </c>
      <c r="AQ270" s="82" t="n">
        <v>-15.24</v>
      </c>
      <c r="AR270" s="82" t="n">
        <v>-4.17</v>
      </c>
      <c r="AS270" s="82" t="n">
        <v>-29.17</v>
      </c>
      <c r="AT270" s="82" t="n">
        <v>-25.84</v>
      </c>
      <c r="AU270" s="82" t="n">
        <v>8.960000000000001</v>
      </c>
      <c r="AV270" s="82" t="n">
        <v>-13.89</v>
      </c>
      <c r="AW270" s="82" t="n">
        <v>-39.95</v>
      </c>
      <c r="AX270" s="82" t="n">
        <v>-24.65</v>
      </c>
      <c r="AY270" s="82" t="n">
        <v>-5.16</v>
      </c>
      <c r="AZ270" s="82" t="n">
        <v>-4.52</v>
      </c>
      <c r="BA270" s="71" t="inlineStr">
        <is>
          <t>Hang Seng Commerce &amp; Industry sub-index</t>
        </is>
      </c>
      <c r="BB270" s="82" t="n">
        <v>-15.24</v>
      </c>
      <c r="BC270" s="72" t="inlineStr">
        <is>
          <t>2026-09-23</t>
        </is>
      </c>
      <c r="BD270" s="73" t="n">
        <v>598.5</v>
      </c>
      <c r="BE270" s="76" t="n">
        <v>60.7</v>
      </c>
      <c r="BF270" s="71" t="inlineStr">
        <is>
          <t>Y</t>
        </is>
      </c>
      <c r="BG270" s="83" t="n">
        <v>10.8</v>
      </c>
      <c r="BH270" s="83" t="n"/>
      <c r="BI270" s="83" t="n">
        <v>99.3</v>
      </c>
      <c r="BJ270" s="83" t="n">
        <v>1.1</v>
      </c>
      <c r="BK270" s="84">
        <f>IF('BBG Verify'!S270="","not filed; run on terminal",'BBG Verify'!S270)</f>
        <v/>
      </c>
      <c r="BL270" s="85" t="inlineStr">
        <is>
          <t>N</t>
        </is>
      </c>
      <c r="BM270" s="86">
        <f>IF('BBG Verify'!K270="","not filed; run on terminal",'BBG Verify'!K270)</f>
        <v/>
      </c>
      <c r="BN270" s="71" t="inlineStr">
        <is>
          <t>N/A</t>
        </is>
      </c>
      <c r="BO270" s="71" t="inlineStr">
        <is>
          <t>N/A</t>
        </is>
      </c>
      <c r="BP270" s="71" t="inlineStr">
        <is>
          <t>N/A</t>
        </is>
      </c>
      <c r="BQ270" s="71" t="inlineStr">
        <is>
          <t>N/A</t>
        </is>
      </c>
      <c r="BR270" s="71" t="inlineStr">
        <is>
          <t>N/A</t>
        </is>
      </c>
      <c r="BS270" s="71" t="inlineStr">
        <is>
          <t>N/A</t>
        </is>
      </c>
      <c r="BT270" s="85" t="inlineStr">
        <is>
          <t>First Shanghai Capital Limited</t>
        </is>
      </c>
      <c r="BU270" s="71" t="inlineStr">
        <is>
          <t>First Shanghai Capital Limited</t>
        </is>
      </c>
      <c r="BV270" s="71"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W270" s="71"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X270" s="87">
        <f>HYPERLINK("https://www1.hkexnews.hk/listedco/listconews/sehk/2024/0628/2024062800081.pdf","prospectus")</f>
        <v/>
      </c>
      <c r="BY270" s="87">
        <f>HYPERLINK("https://www1.hkexnews.hk/listedco/listconews/sehk/2024/0709/2024070901007.pdf","allotment")</f>
        <v/>
      </c>
      <c r="BZ270" s="87">
        <f>HYPERLINK("https://www1.hkexnews.hk/listedco/listconews/sehk/2024/0805/2024080500823.pdf","stabilisation")</f>
        <v/>
      </c>
      <c r="CA270" s="85" t="n"/>
      <c r="CB270" s="71" t="inlineStr">
        <is>
          <t>greenshoe: outcome published; expiry date not in the notice; market cap: published listing cap used; the estimate from deal size / offer % of enlarged capital disagreed; stabilising manager: not named in the allotment notice or prospectus glossary; allocation: clawback line not in this notice; a 12-28% split is consistent with either a tier-1 clawback or a placing shortfall</t>
        </is>
      </c>
    </row>
    <row r="271" ht="15" customHeight="1">
      <c r="A271" s="70" t="inlineStr">
        <is>
          <t>2495</t>
        </is>
      </c>
      <c r="B271" s="71" t="inlineStr">
        <is>
          <t>VOICECOMM</t>
        </is>
      </c>
      <c r="C271" s="71" t="inlineStr">
        <is>
          <t>聲通科技</t>
        </is>
      </c>
      <c r="D271" s="71" t="inlineStr">
        <is>
          <t>TMT-other</t>
        </is>
      </c>
      <c r="E271" s="71" t="inlineStr">
        <is>
          <t>Telecom</t>
        </is>
      </c>
      <c r="F271" s="71" t="inlineStr">
        <is>
          <t>IT Consulting &amp; Other Services</t>
        </is>
      </c>
      <c r="G271" s="71" t="inlineStr">
        <is>
          <t>Standard</t>
        </is>
      </c>
      <c r="H271" s="72" t="n">
        <v>45483</v>
      </c>
      <c r="I271" s="73" t="n">
        <v>664.02</v>
      </c>
      <c r="J271" s="71" t="inlineStr">
        <is>
          <t>gross (stated)</t>
        </is>
      </c>
      <c r="K271" s="74" t="n"/>
      <c r="L271" s="74" t="n">
        <v>152.1</v>
      </c>
      <c r="M271" s="74" t="n">
        <v>152.1</v>
      </c>
      <c r="N271" s="71" t="inlineStr">
        <is>
          <t>Y</t>
        </is>
      </c>
      <c r="O271" s="75" t="n">
        <v>100</v>
      </c>
      <c r="P271" s="75" t="n"/>
      <c r="Q271" s="76" t="n">
        <v>4777.1</v>
      </c>
      <c r="R271" s="71" t="inlineStr">
        <is>
          <t>derived:deal size / offer % of enlarged capital</t>
        </is>
      </c>
      <c r="S271" s="77" t="n">
        <v>3.51</v>
      </c>
      <c r="T271" s="78" t="n">
        <v>1.24</v>
      </c>
      <c r="U271" s="79" t="n">
        <v>41.2</v>
      </c>
      <c r="V271" s="80" t="n">
        <v>135</v>
      </c>
      <c r="W271" s="75" t="n">
        <v>10</v>
      </c>
      <c r="X271" s="71" t="inlineStr">
        <is>
          <t>NO</t>
        </is>
      </c>
      <c r="Y271" s="76" t="n">
        <v>390.44</v>
      </c>
      <c r="Z271" s="76" t="n">
        <v>2567008</v>
      </c>
      <c r="AA271" s="75" t="n">
        <v>8.17</v>
      </c>
      <c r="AB271" s="71" t="inlineStr">
        <is>
          <t>Jiangsu Jiangkong Investment Co., Ltd</t>
        </is>
      </c>
      <c r="AC271" s="71" t="inlineStr">
        <is>
          <t>jiangsu</t>
        </is>
      </c>
      <c r="AD271" s="75" t="n">
        <v>4.4</v>
      </c>
      <c r="AE271" s="71" t="inlineStr">
        <is>
          <t>partial</t>
        </is>
      </c>
      <c r="AF271" s="71" t="n"/>
      <c r="AG271" s="71" t="inlineStr">
        <is>
          <t>China International Capital Corporation Hong Kong Securities Limited</t>
        </is>
      </c>
      <c r="AH271" s="71" t="inlineStr">
        <is>
          <t>China International</t>
        </is>
      </c>
      <c r="AI271" s="81" t="n">
        <v>-17.82</v>
      </c>
      <c r="AJ271" s="82" t="n">
        <v>-11.24</v>
      </c>
      <c r="AK271" s="82" t="n">
        <v>-11.24</v>
      </c>
      <c r="AL271" s="82" t="n">
        <v>0</v>
      </c>
      <c r="AM271" s="83" t="n">
        <v>0.54</v>
      </c>
      <c r="AN271" s="75" t="n">
        <v>14</v>
      </c>
      <c r="AO271" s="82" t="n">
        <v>-6.71</v>
      </c>
      <c r="AP271" s="82" t="n">
        <v>19</v>
      </c>
      <c r="AQ271" s="82" t="n">
        <v>22.35</v>
      </c>
      <c r="AR271" s="82" t="n">
        <v>5.1</v>
      </c>
      <c r="AS271" s="82" t="n">
        <v>34.07</v>
      </c>
      <c r="AT271" s="82" t="n">
        <v>37.84</v>
      </c>
      <c r="AU271" s="82" t="n">
        <v>-7.94</v>
      </c>
      <c r="AV271" s="82" t="n">
        <v>22.6</v>
      </c>
      <c r="AW271" s="82" t="n">
        <v>1.07</v>
      </c>
      <c r="AX271" s="82" t="n">
        <v>37.39</v>
      </c>
      <c r="AY271" s="82" t="n">
        <v>-3.6</v>
      </c>
      <c r="AZ271" s="82" t="n">
        <v>-3.32</v>
      </c>
      <c r="BA271" s="71" t="inlineStr">
        <is>
          <t>Hang Seng Index</t>
        </is>
      </c>
      <c r="BB271" s="82" t="n">
        <v>-82.12</v>
      </c>
      <c r="BC271" s="72" t="inlineStr">
        <is>
          <t>2026-09-23</t>
        </is>
      </c>
      <c r="BD271" s="73" t="n">
        <v>566.5</v>
      </c>
      <c r="BE271" s="76" t="n">
        <v>-31.6</v>
      </c>
      <c r="BF271" s="71" t="inlineStr">
        <is>
          <t>N</t>
        </is>
      </c>
      <c r="BG271" s="71" t="inlineStr">
        <is>
          <t>n/m</t>
        </is>
      </c>
      <c r="BH271" s="83" t="n"/>
      <c r="BI271" s="83" t="n">
        <v>7.6</v>
      </c>
      <c r="BJ271" s="83" t="n">
        <v>8.4</v>
      </c>
      <c r="BK271" s="84">
        <f>IF('BBG Verify'!S271="","not filed; run on terminal",'BBG Verify'!S271)</f>
        <v/>
      </c>
      <c r="BL271" s="85" t="inlineStr">
        <is>
          <t>N</t>
        </is>
      </c>
      <c r="BM271" s="86">
        <f>IF('BBG Verify'!K271="","not filed; run on terminal",'BBG Verify'!K271)</f>
        <v/>
      </c>
      <c r="BN271" s="71" t="inlineStr">
        <is>
          <t>N/A</t>
        </is>
      </c>
      <c r="BO271" s="71" t="inlineStr">
        <is>
          <t>N/A</t>
        </is>
      </c>
      <c r="BP271" s="71" t="inlineStr">
        <is>
          <t>N/A</t>
        </is>
      </c>
      <c r="BQ271" s="71" t="inlineStr">
        <is>
          <t>N/A</t>
        </is>
      </c>
      <c r="BR271" s="71" t="inlineStr">
        <is>
          <t>N/A</t>
        </is>
      </c>
      <c r="BS271" s="71" t="inlineStr">
        <is>
          <t>N/A</t>
        </is>
      </c>
      <c r="BT271" s="85" t="inlineStr">
        <is>
          <t>China International Capital Corporation Hong Kong Securities Limited</t>
        </is>
      </c>
      <c r="BU271" s="71" t="inlineStr">
        <is>
          <t>China International Capital Corporation Hong Kong Securities Limited</t>
        </is>
      </c>
      <c r="BV271" s="71"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W271" s="71"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X271" s="87">
        <f>HYPERLINK("https://www1.hkexnews.hk/listedco/listconews/sehk/2024/0628/2024062800079.pdf","prospectus")</f>
        <v/>
      </c>
      <c r="BY271" s="87">
        <f>HYPERLINK("https://www1.hkexnews.hk/listedco/listconews/sehk/2024/0709/2024070901049.pdf","allotment")</f>
        <v/>
      </c>
      <c r="BZ271" s="87">
        <f>HYPERLINK("https://www1.hkexnews.hk/listedco/listconews/sehk/2024/0804/2024080400003.pdf","stabilisation")</f>
        <v/>
      </c>
      <c r="CA271" s="85" t="n"/>
      <c r="CB271" s="71" t="inlineStr">
        <is>
          <t>P/E: loss-making at IPO, use P/S; greenshoe: outcome published; expiry date not in the notice; range low: maximum offer price only, no floor published</t>
        </is>
      </c>
    </row>
    <row r="272" ht="15" customHeight="1">
      <c r="A272" s="70" t="inlineStr">
        <is>
          <t>9680</t>
        </is>
      </c>
      <c r="B272" s="71" t="inlineStr">
        <is>
          <t>CHENQI TECH</t>
        </is>
      </c>
      <c r="C272" s="71" t="inlineStr">
        <is>
          <t>如祺出行</t>
        </is>
      </c>
      <c r="D272" s="71" t="inlineStr">
        <is>
          <t>Tech/AI</t>
        </is>
      </c>
      <c r="E272" s="71" t="inlineStr">
        <is>
          <t>Internet platform / e-commerce</t>
        </is>
      </c>
      <c r="F272" s="71" t="inlineStr">
        <is>
          <t>Trucking</t>
        </is>
      </c>
      <c r="G272" s="71" t="inlineStr">
        <is>
          <t>Standard</t>
        </is>
      </c>
      <c r="H272" s="72" t="n">
        <v>45483</v>
      </c>
      <c r="I272" s="73" t="n">
        <v>1050.2</v>
      </c>
      <c r="J272" s="71" t="inlineStr">
        <is>
          <t>gross (price x shares)</t>
        </is>
      </c>
      <c r="K272" s="74" t="n">
        <v>34</v>
      </c>
      <c r="L272" s="74" t="n">
        <v>45.4</v>
      </c>
      <c r="M272" s="74" t="n">
        <v>35</v>
      </c>
      <c r="N272" s="71" t="inlineStr">
        <is>
          <t>N</t>
        </is>
      </c>
      <c r="O272" s="75" t="n">
        <v>77.09999999999999</v>
      </c>
      <c r="P272" s="75" t="n">
        <v>8.800000000000001</v>
      </c>
      <c r="Q272" s="76" t="n">
        <v>7144</v>
      </c>
      <c r="R272" s="71" t="inlineStr">
        <is>
          <t>derived:price x shares upon listing</t>
        </is>
      </c>
      <c r="S272" s="77" t="n">
        <v>0.6</v>
      </c>
      <c r="T272" s="78" t="n">
        <v>1.18</v>
      </c>
      <c r="U272" s="79" t="n">
        <v>77.06</v>
      </c>
      <c r="V272" s="80" t="n">
        <v>106</v>
      </c>
      <c r="W272" s="75" t="n">
        <v>6.01</v>
      </c>
      <c r="X272" s="71" t="inlineStr">
        <is>
          <t>NO</t>
        </is>
      </c>
      <c r="Y272" s="76" t="n">
        <v>240.92</v>
      </c>
      <c r="Z272" s="76" t="n">
        <v>6883101</v>
      </c>
      <c r="AA272" s="75" t="n">
        <v>3.37</v>
      </c>
      <c r="AB272" s="71" t="inlineStr">
        <is>
          <t>Guangzhou Automobile Industry Group Co., Ltd; Hongkong Pony AI Limited; Voyager Group Inc; WeRide Inc</t>
        </is>
      </c>
      <c r="AC272" s="71" t="inlineStr">
        <is>
          <t>guangzhou-automobile;hongkong;voyager;weride</t>
        </is>
      </c>
      <c r="AD272" s="75" t="n"/>
      <c r="AE272" s="71" t="n"/>
      <c r="AF272" s="71" t="n"/>
      <c r="AG272" s="71" t="n"/>
      <c r="AH272" s="71" t="n"/>
      <c r="AI272" s="81" t="n">
        <v>0.29</v>
      </c>
      <c r="AJ272" s="82" t="n">
        <v>-3.14</v>
      </c>
      <c r="AK272" s="82" t="n">
        <v>-14.29</v>
      </c>
      <c r="AL272" s="82" t="n">
        <v>13.01</v>
      </c>
      <c r="AM272" s="83" t="n">
        <v>1.32</v>
      </c>
      <c r="AN272" s="75" t="n">
        <v>17.33</v>
      </c>
      <c r="AO272" s="82" t="n">
        <v>-20.57</v>
      </c>
      <c r="AP272" s="82" t="n">
        <v>-16.57</v>
      </c>
      <c r="AQ272" s="82" t="n">
        <v>-34.57</v>
      </c>
      <c r="AR272" s="82" t="n">
        <v>-18</v>
      </c>
      <c r="AS272" s="82" t="n">
        <v>-13.87</v>
      </c>
      <c r="AT272" s="82" t="n">
        <v>-32.45</v>
      </c>
      <c r="AU272" s="82" t="n">
        <v>-22.1</v>
      </c>
      <c r="AV272" s="82" t="n">
        <v>-10.28</v>
      </c>
      <c r="AW272" s="82" t="n">
        <v>-66.58</v>
      </c>
      <c r="AX272" s="82" t="n">
        <v>-7.42</v>
      </c>
      <c r="AY272" s="82" t="n">
        <v>-6.29</v>
      </c>
      <c r="AZ272" s="82" t="n">
        <v>-6.45</v>
      </c>
      <c r="BA272" s="71" t="inlineStr">
        <is>
          <t>HSTECH (Hang Seng TECH ETF)</t>
        </is>
      </c>
      <c r="BB272" s="82" t="n">
        <v>-77.48999999999999</v>
      </c>
      <c r="BC272" s="72" t="inlineStr">
        <is>
          <t>2026-09-21</t>
        </is>
      </c>
      <c r="BD272" s="73" t="n">
        <v>2377.2</v>
      </c>
      <c r="BE272" s="76" t="n">
        <v>-762.1</v>
      </c>
      <c r="BF272" s="71" t="inlineStr">
        <is>
          <t>N</t>
        </is>
      </c>
      <c r="BG272" s="71" t="inlineStr">
        <is>
          <t>n/m</t>
        </is>
      </c>
      <c r="BH272" s="83" t="n"/>
      <c r="BI272" s="83" t="n"/>
      <c r="BJ272" s="83" t="n">
        <v>3</v>
      </c>
      <c r="BK272" s="84">
        <f>IF('BBG Verify'!S272="","not filed; run on terminal",'BBG Verify'!S272)</f>
        <v/>
      </c>
      <c r="BL272" s="85" t="inlineStr">
        <is>
          <t>N</t>
        </is>
      </c>
      <c r="BM272" s="86">
        <f>IF('BBG Verify'!K272="","not filed; run on terminal",'BBG Verify'!K272)</f>
        <v/>
      </c>
      <c r="BN272" s="71" t="inlineStr">
        <is>
          <t>N/A</t>
        </is>
      </c>
      <c r="BO272" s="71" t="inlineStr">
        <is>
          <t>N/A</t>
        </is>
      </c>
      <c r="BP272" s="71" t="inlineStr">
        <is>
          <t>N/A</t>
        </is>
      </c>
      <c r="BQ272" s="71" t="inlineStr">
        <is>
          <t>N/A</t>
        </is>
      </c>
      <c r="BR272" s="71" t="inlineStr">
        <is>
          <t>N/A</t>
        </is>
      </c>
      <c r="BS272" s="71" t="inlineStr">
        <is>
          <t>N/A</t>
        </is>
      </c>
      <c r="BT272" s="85" t="n"/>
      <c r="BU272" s="71" t="inlineStr">
        <is>
          <t>China International Capital Corporation Hong Kong Securities Limited; Huatai Financial Holdings (Hong Kong) Limited; ABCI Capital Limited</t>
        </is>
      </c>
      <c r="BV272" s="71" t="inlineStr">
        <is>
          <t>Huatai Financial Holdings (Hong Kong) Limited; ABCI Capital Limited; TradeGo Markets Limited; Livermore Holdings Limited</t>
        </is>
      </c>
      <c r="BW272" s="71" t="inlineStr">
        <is>
          <t>ABCI Securities Company Limited; China International Capital Corporation Hong Kong Securities Limited; Huatai Financial Holdings (Hong Kong) Limited; Livermore Holdings Limited; TradeGo Markets Limited</t>
        </is>
      </c>
      <c r="BX272" s="87">
        <f>HYPERLINK("https://www1.hkexnews.hk/listedco/listconews/sehk/2024/0628/2024062800065.pdf","prospectus")</f>
        <v/>
      </c>
      <c r="BY272" s="87">
        <f>HYPERLINK("https://www1.hkexnews.hk/listedco/listconews/sehk/2024/0709/2024070901101.pdf","allotment")</f>
        <v/>
      </c>
      <c r="BZ272" s="71" t="n"/>
      <c r="CA272" s="85" t="n"/>
      <c r="CB272"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73" ht="15" customHeight="1">
      <c r="A273" s="70" t="inlineStr">
        <is>
          <t>2507</t>
        </is>
      </c>
      <c r="B273" s="71" t="inlineStr">
        <is>
          <t>CIRRUS</t>
        </is>
      </c>
      <c r="C273" s="71" t="inlineStr">
        <is>
          <t>西銳</t>
        </is>
      </c>
      <c r="D273" s="71" t="inlineStr">
        <is>
          <t>Industrials</t>
        </is>
      </c>
      <c r="E273" s="71" t="inlineStr">
        <is>
          <t>Capital goods / machinery</t>
        </is>
      </c>
      <c r="F273" s="71" t="inlineStr">
        <is>
          <t>Heavy Electrical Equipment</t>
        </is>
      </c>
      <c r="G273" s="71" t="inlineStr">
        <is>
          <t>Standard</t>
        </is>
      </c>
      <c r="H273" s="72" t="n">
        <v>45485</v>
      </c>
      <c r="I273" s="73" t="n">
        <v>1509.1</v>
      </c>
      <c r="J273" s="71" t="inlineStr">
        <is>
          <t>gross (price x shares)</t>
        </is>
      </c>
      <c r="K273" s="74" t="n"/>
      <c r="L273" s="74" t="n">
        <v>27.5</v>
      </c>
      <c r="M273" s="74" t="n">
        <v>27.5</v>
      </c>
      <c r="N273" s="71" t="inlineStr">
        <is>
          <t>Y</t>
        </is>
      </c>
      <c r="O273" s="75" t="n">
        <v>100</v>
      </c>
      <c r="P273" s="75" t="n"/>
      <c r="Q273" s="76" t="n">
        <v>10060.6</v>
      </c>
      <c r="R273" s="71" t="inlineStr">
        <is>
          <t>derived:price x shares upon listing</t>
        </is>
      </c>
      <c r="S273" s="77" t="n">
        <v>1.56</v>
      </c>
      <c r="T273" s="78" t="n">
        <v>1.57</v>
      </c>
      <c r="U273" s="79" t="n">
        <v>25.7</v>
      </c>
      <c r="V273" s="80" t="n">
        <v>112</v>
      </c>
      <c r="W273" s="75" t="n">
        <v>10</v>
      </c>
      <c r="X273" s="71" t="inlineStr">
        <is>
          <t>NO</t>
        </is>
      </c>
      <c r="Y273" s="76" t="n">
        <v>1121.26</v>
      </c>
      <c r="Z273" s="76" t="n">
        <v>40772794</v>
      </c>
      <c r="AA273" s="75" t="n">
        <v>11.15</v>
      </c>
      <c r="AB273" s="71" t="inlineStr">
        <is>
          <t>Changshu Southeast Industrial Investment Co., Ltd; China Structural Reform Fund II Corporation Limited; Taicang High Tech Science and Innovation Development Co</t>
        </is>
      </c>
      <c r="AC273" s="71" t="inlineStr">
        <is>
          <t>changshu;structural;taicang</t>
        </is>
      </c>
      <c r="AD273" s="75" t="n">
        <v>10</v>
      </c>
      <c r="AE273" s="71" t="inlineStr">
        <is>
          <t>partial</t>
        </is>
      </c>
      <c r="AF273" s="71" t="inlineStr">
        <is>
          <t>2024-08-08</t>
        </is>
      </c>
      <c r="AG273" s="71" t="inlineStr">
        <is>
          <t>China International Capital Corporation Hong Kong Securities Limited</t>
        </is>
      </c>
      <c r="AH273" s="71" t="inlineStr">
        <is>
          <t>China International</t>
        </is>
      </c>
      <c r="AI273" s="81" t="n">
        <v>-5.09</v>
      </c>
      <c r="AJ273" s="82" t="n">
        <v>0</v>
      </c>
      <c r="AK273" s="82" t="n">
        <v>0</v>
      </c>
      <c r="AL273" s="82" t="n">
        <v>0</v>
      </c>
      <c r="AM273" s="83" t="n">
        <v>1.16</v>
      </c>
      <c r="AN273" s="75" t="n">
        <v>5.27</v>
      </c>
      <c r="AO273" s="82" t="n">
        <v>-10.36</v>
      </c>
      <c r="AP273" s="82" t="n">
        <v>-9.640000000000001</v>
      </c>
      <c r="AQ273" s="82" t="n">
        <v>-30.18</v>
      </c>
      <c r="AR273" s="82" t="n">
        <v>-10.36</v>
      </c>
      <c r="AS273" s="82" t="n">
        <v>-9.640000000000001</v>
      </c>
      <c r="AT273" s="82" t="n">
        <v>-30.18</v>
      </c>
      <c r="AU273" s="82" t="n">
        <v>-7.5</v>
      </c>
      <c r="AV273" s="82" t="n">
        <v>-4.28</v>
      </c>
      <c r="AW273" s="82" t="n">
        <v>-46.03</v>
      </c>
      <c r="AX273" s="82" t="n">
        <v>-1.87</v>
      </c>
      <c r="AY273" s="82" t="n">
        <v>-5.36</v>
      </c>
      <c r="AZ273" s="82" t="n">
        <v>-7.77</v>
      </c>
      <c r="BA273" s="71" t="inlineStr">
        <is>
          <t>Hang Seng Commerce &amp; Industry sub-index</t>
        </is>
      </c>
      <c r="BB273" s="82" t="n">
        <v>53.45</v>
      </c>
      <c r="BC273" s="72" t="inlineStr">
        <is>
          <t>2026-09-23</t>
        </is>
      </c>
      <c r="BD273" s="73" t="n"/>
      <c r="BE273" s="76" t="n">
        <v>710.9</v>
      </c>
      <c r="BF273" s="71" t="inlineStr">
        <is>
          <t>Y</t>
        </is>
      </c>
      <c r="BG273" s="83" t="n">
        <v>14.2</v>
      </c>
      <c r="BH273" s="83" t="n"/>
      <c r="BI273" s="83" t="n">
        <v>15.9</v>
      </c>
      <c r="BJ273" s="83" t="n"/>
      <c r="BK273" s="84">
        <f>IF('BBG Verify'!S273="","not filed; run on terminal",'BBG Verify'!S273)</f>
        <v/>
      </c>
      <c r="BL273" s="85" t="inlineStr">
        <is>
          <t>N</t>
        </is>
      </c>
      <c r="BM273" s="86">
        <f>IF('BBG Verify'!K273="","not filed; run on terminal",'BBG Verify'!K273)</f>
        <v/>
      </c>
      <c r="BN273" s="71" t="inlineStr">
        <is>
          <t>N/A</t>
        </is>
      </c>
      <c r="BO273" s="71" t="inlineStr">
        <is>
          <t>N/A</t>
        </is>
      </c>
      <c r="BP273" s="71" t="inlineStr">
        <is>
          <t>N/A</t>
        </is>
      </c>
      <c r="BQ273" s="71" t="inlineStr">
        <is>
          <t>N/A</t>
        </is>
      </c>
      <c r="BR273" s="71" t="inlineStr">
        <is>
          <t>N/A</t>
        </is>
      </c>
      <c r="BS273" s="71" t="inlineStr">
        <is>
          <t>N/A</t>
        </is>
      </c>
      <c r="BT273" s="85" t="n"/>
      <c r="BU273" s="71" t="inlineStr">
        <is>
          <t>China International Capital Corporation Hong Kong Securities Limited</t>
        </is>
      </c>
      <c r="BV273" s="71"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W273" s="71"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X273" s="87">
        <f>HYPERLINK("https://www1.hkexnews.hk/listedco/listconews/sehk/2024/0628/2024062800343.htm","prospectus")</f>
        <v/>
      </c>
      <c r="BY273" s="87">
        <f>HYPERLINK("https://www1.hkexnews.hk/listedco/listconews/sehk/2024/0711/2024071101139.pdf","allotment")</f>
        <v/>
      </c>
      <c r="BZ273" s="87">
        <f>HYPERLINK("https://www1.hkexnews.hk/listedco/listconews/sehk/2024/0808/2024080801148.pdf","stabilisation")</f>
        <v/>
      </c>
      <c r="CA273" s="85" t="n"/>
      <c r="CB273" s="71"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t>
        </is>
      </c>
    </row>
    <row r="274" ht="15" customHeight="1">
      <c r="A274" s="70" t="inlineStr">
        <is>
          <t>2531</t>
        </is>
      </c>
      <c r="B274" s="71" t="inlineStr">
        <is>
          <t>CARLINK TECH</t>
        </is>
      </c>
      <c r="C274" s="71" t="inlineStr">
        <is>
          <t>廣聯科技控股</t>
        </is>
      </c>
      <c r="D274" s="71" t="inlineStr">
        <is>
          <t>Consumer</t>
        </is>
      </c>
      <c r="E274" s="71" t="inlineStr">
        <is>
          <t>Auto parts / supply chain</t>
        </is>
      </c>
      <c r="F274" s="71" t="inlineStr">
        <is>
          <t>Systems Software</t>
        </is>
      </c>
      <c r="G274" s="71" t="inlineStr">
        <is>
          <t>Standard</t>
        </is>
      </c>
      <c r="H274" s="72" t="n">
        <v>45488</v>
      </c>
      <c r="I274" s="73" t="n">
        <v>298.9</v>
      </c>
      <c r="J274" s="71" t="inlineStr">
        <is>
          <t>gross (price x shares)</t>
        </is>
      </c>
      <c r="K274" s="74" t="n">
        <v>4.7</v>
      </c>
      <c r="L274" s="74" t="n">
        <v>5.3</v>
      </c>
      <c r="M274" s="74" t="n">
        <v>4.7</v>
      </c>
      <c r="N274" s="71" t="inlineStr">
        <is>
          <t>N</t>
        </is>
      </c>
      <c r="O274" s="75" t="n">
        <v>88.7</v>
      </c>
      <c r="P274" s="75" t="n">
        <v>0</v>
      </c>
      <c r="Q274" s="76" t="n">
        <v>1723</v>
      </c>
      <c r="R274" s="71" t="inlineStr">
        <is>
          <t>derived:price x shares upon listing</t>
        </is>
      </c>
      <c r="S274" s="77" t="n">
        <v>2.49</v>
      </c>
      <c r="T274" s="78" t="n">
        <v>1.06</v>
      </c>
      <c r="U274" s="79" t="n">
        <v>29.44</v>
      </c>
      <c r="V274" s="80" t="n">
        <v>112</v>
      </c>
      <c r="W274" s="75" t="n">
        <v>10</v>
      </c>
      <c r="X274" s="71" t="inlineStr">
        <is>
          <t>NO</t>
        </is>
      </c>
      <c r="Y274" s="76" t="n">
        <v>210.9</v>
      </c>
      <c r="Z274" s="76" t="n">
        <v>44876160</v>
      </c>
      <c r="AA274" s="75" t="n">
        <v>12.24</v>
      </c>
      <c r="AB274" s="71" t="inlineStr">
        <is>
          <t>Huizhou Guohuilian Equity Investment Fund Partnership (LP)</t>
        </is>
      </c>
      <c r="AC274" s="71" t="inlineStr">
        <is>
          <t>huizhou</t>
        </is>
      </c>
      <c r="AD274" s="75" t="n"/>
      <c r="AE274" s="71" t="n"/>
      <c r="AF274" s="71" t="n"/>
      <c r="AG274" s="71" t="n"/>
      <c r="AH274" s="71" t="n"/>
      <c r="AI274" s="81" t="n">
        <v>17.02</v>
      </c>
      <c r="AJ274" s="82" t="n">
        <v>2.13</v>
      </c>
      <c r="AK274" s="82" t="n">
        <v>16.6</v>
      </c>
      <c r="AL274" s="82" t="n">
        <v>-12.41</v>
      </c>
      <c r="AM274" s="83" t="n">
        <v>0.77</v>
      </c>
      <c r="AN274" s="75" t="n">
        <v>16.06</v>
      </c>
      <c r="AO274" s="82" t="n">
        <v>55.96</v>
      </c>
      <c r="AP274" s="82" t="n">
        <v>48.94</v>
      </c>
      <c r="AQ274" s="82" t="n">
        <v>228.51</v>
      </c>
      <c r="AR274" s="82" t="n">
        <v>52.71</v>
      </c>
      <c r="AS274" s="82" t="n">
        <v>45.83</v>
      </c>
      <c r="AT274" s="82" t="n">
        <v>221.66</v>
      </c>
      <c r="AU274" s="82" t="n">
        <v>59.73</v>
      </c>
      <c r="AV274" s="82" t="n">
        <v>56.32</v>
      </c>
      <c r="AW274" s="82" t="n">
        <v>216.28</v>
      </c>
      <c r="AX274" s="82" t="n">
        <v>51.53</v>
      </c>
      <c r="AY274" s="82" t="n">
        <v>-7.38</v>
      </c>
      <c r="AZ274" s="82" t="n">
        <v>-5.7</v>
      </c>
      <c r="BA274" s="71" t="inlineStr">
        <is>
          <t>Hang Seng Commerce &amp; Industry sub-index</t>
        </is>
      </c>
      <c r="BB274" s="82" t="n">
        <v>-19.57</v>
      </c>
      <c r="BC274" s="72" t="inlineStr">
        <is>
          <t>2026-09-21</t>
        </is>
      </c>
      <c r="BD274" s="73" t="n">
        <v>616.6</v>
      </c>
      <c r="BE274" s="76" t="n">
        <v>56.7</v>
      </c>
      <c r="BF274" s="71" t="inlineStr">
        <is>
          <t>Y</t>
        </is>
      </c>
      <c r="BG274" s="83" t="n">
        <v>30.4</v>
      </c>
      <c r="BH274" s="83" t="n"/>
      <c r="BI274" s="83" t="n">
        <v>73.90000000000001</v>
      </c>
      <c r="BJ274" s="83" t="n">
        <v>2.8</v>
      </c>
      <c r="BK274" s="84">
        <f>IF('BBG Verify'!S274="","not filed; run on terminal",'BBG Verify'!S274)</f>
        <v/>
      </c>
      <c r="BL274" s="85" t="inlineStr">
        <is>
          <t>N</t>
        </is>
      </c>
      <c r="BM274" s="86">
        <f>IF('BBG Verify'!K274="","not filed; run on terminal",'BBG Verify'!K274)</f>
        <v/>
      </c>
      <c r="BN274" s="71" t="inlineStr">
        <is>
          <t>N/A</t>
        </is>
      </c>
      <c r="BO274" s="71" t="inlineStr">
        <is>
          <t>N/A</t>
        </is>
      </c>
      <c r="BP274" s="71" t="inlineStr">
        <is>
          <t>N/A</t>
        </is>
      </c>
      <c r="BQ274" s="71" t="inlineStr">
        <is>
          <t>N/A</t>
        </is>
      </c>
      <c r="BR274" s="71" t="inlineStr">
        <is>
          <t>N/A</t>
        </is>
      </c>
      <c r="BS274" s="71" t="inlineStr">
        <is>
          <t>N/A</t>
        </is>
      </c>
      <c r="BT274" s="85" t="inlineStr">
        <is>
          <t>CCB International Capital Limited</t>
        </is>
      </c>
      <c r="BU274" s="71" t="inlineStr">
        <is>
          <t>CCB International Capital Limited</t>
        </is>
      </c>
      <c r="BV274" s="71"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W274" s="71"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X274" s="87">
        <f>HYPERLINK("https://www1.hkexnews.hk/listedco/listconews/sehk/2024/0628/2024062800067.pdf","prospectus")</f>
        <v/>
      </c>
      <c r="BY274" s="87">
        <f>HYPERLINK("https://www1.hkexnews.hk/listedco/listconews/sehk/2024/0712/2024071201219.pdf","allotment")</f>
        <v/>
      </c>
      <c r="BZ274" s="71" t="n"/>
      <c r="CA274" s="85" t="n"/>
      <c r="CB274" s="71" t="inlineStr">
        <is>
          <t>greenshoe: no over-allotment option; greenshoe size: no over-allotment option; stabilising manager: filing states none appointed (allotment announcement: 'no stabilizing manager will be appointed' stated in the filing)</t>
        </is>
      </c>
    </row>
    <row r="275" ht="15" customHeight="1">
      <c r="A275" s="70" t="inlineStr">
        <is>
          <t>1471</t>
        </is>
      </c>
      <c r="B275" s="71" t="inlineStr">
        <is>
          <t>ZHONGMIAO</t>
        </is>
      </c>
      <c r="C275" s="71" t="inlineStr">
        <is>
          <t>眾淼控股</t>
        </is>
      </c>
      <c r="D275" s="71" t="inlineStr">
        <is>
          <t>Financials</t>
        </is>
      </c>
      <c r="E275" s="71" t="inlineStr">
        <is>
          <t>Insurance</t>
        </is>
      </c>
      <c r="F275" s="71" t="inlineStr">
        <is>
          <t>Other Diversified Financial Services</t>
        </is>
      </c>
      <c r="G275" s="71" t="inlineStr">
        <is>
          <t>Standard</t>
        </is>
      </c>
      <c r="H275" s="72" t="n">
        <v>45510</v>
      </c>
      <c r="I275" s="73" t="n">
        <v>247.1</v>
      </c>
      <c r="J275" s="71" t="inlineStr">
        <is>
          <t>gross (price x shares)</t>
        </is>
      </c>
      <c r="K275" s="74" t="n">
        <v>7</v>
      </c>
      <c r="L275" s="74" t="n">
        <v>10.2</v>
      </c>
      <c r="M275" s="74" t="n">
        <v>7</v>
      </c>
      <c r="N275" s="71" t="inlineStr">
        <is>
          <t>N</t>
        </is>
      </c>
      <c r="O275" s="75" t="n">
        <v>68.59999999999999</v>
      </c>
      <c r="P275" s="75" t="n">
        <v>0</v>
      </c>
      <c r="Q275" s="76" t="n">
        <v>988.4</v>
      </c>
      <c r="R275" s="71" t="inlineStr">
        <is>
          <t>derived:price x shares upon listing</t>
        </is>
      </c>
      <c r="S275" s="77" t="n">
        <v>16.07</v>
      </c>
      <c r="T275" s="78" t="n">
        <v>0.98</v>
      </c>
      <c r="U275" s="79" t="n">
        <v>18.71</v>
      </c>
      <c r="V275" s="80" t="n">
        <v>112</v>
      </c>
      <c r="W275" s="75" t="n">
        <v>12.34</v>
      </c>
      <c r="X275" s="71" t="inlineStr">
        <is>
          <t>NO</t>
        </is>
      </c>
      <c r="Y275" s="76" t="n">
        <v>200.87</v>
      </c>
      <c r="Z275" s="76" t="n">
        <v>28695370</v>
      </c>
      <c r="AA275" s="75" t="n">
        <v>20.32</v>
      </c>
      <c r="AB275" s="71" t="inlineStr">
        <is>
          <t>Hong Tai International III LPF; The Reynold Lemkins Group (Asia) Limited</t>
        </is>
      </c>
      <c r="AC275" s="71" t="inlineStr">
        <is>
          <t>tai;reynold</t>
        </is>
      </c>
      <c r="AD275" s="75" t="n">
        <v>17</v>
      </c>
      <c r="AE275" s="71" t="n"/>
      <c r="AF275" s="71" t="inlineStr">
        <is>
          <t>2024-08-31</t>
        </is>
      </c>
      <c r="AG275" s="71" t="n"/>
      <c r="AH275" s="71" t="n"/>
      <c r="AI275" s="81" t="n">
        <v>3.1</v>
      </c>
      <c r="AJ275" s="82" t="n">
        <v>5</v>
      </c>
      <c r="AK275" s="82" t="n">
        <v>-1.71</v>
      </c>
      <c r="AL275" s="82" t="n">
        <v>6.83</v>
      </c>
      <c r="AM275" s="83" t="n">
        <v>0.74</v>
      </c>
      <c r="AN275" s="75" t="n">
        <v>22.67</v>
      </c>
      <c r="AO275" s="82" t="n">
        <v>-19.43</v>
      </c>
      <c r="AP275" s="82" t="n">
        <v>-17.14</v>
      </c>
      <c r="AQ275" s="82" t="n">
        <v>-2.71</v>
      </c>
      <c r="AR275" s="82" t="n">
        <v>-23.27</v>
      </c>
      <c r="AS275" s="82" t="n">
        <v>-21.09</v>
      </c>
      <c r="AT275" s="82" t="n">
        <v>-7.34</v>
      </c>
      <c r="AU275" s="82" t="n">
        <v>-22.39</v>
      </c>
      <c r="AV275" s="82" t="n">
        <v>-21.31</v>
      </c>
      <c r="AW275" s="82" t="n">
        <v>-25.98</v>
      </c>
      <c r="AX275" s="82" t="n">
        <v>-25.54</v>
      </c>
      <c r="AY275" s="82" t="n">
        <v>4.17</v>
      </c>
      <c r="AZ275" s="82" t="n">
        <v>4.45</v>
      </c>
      <c r="BA275" s="71" t="inlineStr">
        <is>
          <t>Hang Seng Finance sub-index</t>
        </is>
      </c>
      <c r="BB275" s="82" t="n">
        <v>57.14</v>
      </c>
      <c r="BC275" s="72" t="inlineStr">
        <is>
          <t>2026-09-23</t>
        </is>
      </c>
      <c r="BD275" s="73" t="n">
        <v>191.4</v>
      </c>
      <c r="BE275" s="76" t="n">
        <v>42.9</v>
      </c>
      <c r="BF275" s="71" t="inlineStr">
        <is>
          <t>Y</t>
        </is>
      </c>
      <c r="BG275" s="83" t="n">
        <v>23</v>
      </c>
      <c r="BH275" s="83" t="n"/>
      <c r="BI275" s="83" t="n">
        <v>17</v>
      </c>
      <c r="BJ275" s="83" t="n">
        <v>5.2</v>
      </c>
      <c r="BK275" s="84">
        <f>IF('BBG Verify'!S275="","not filed; run on terminal",'BBG Verify'!S275)</f>
        <v/>
      </c>
      <c r="BL275" s="85" t="inlineStr">
        <is>
          <t>N</t>
        </is>
      </c>
      <c r="BM275" s="86">
        <f>IF('BBG Verify'!K275="","not filed; run on terminal",'BBG Verify'!K275)</f>
        <v/>
      </c>
      <c r="BN275" s="71" t="inlineStr">
        <is>
          <t>N/A</t>
        </is>
      </c>
      <c r="BO275" s="71" t="inlineStr">
        <is>
          <t>N/A</t>
        </is>
      </c>
      <c r="BP275" s="71" t="inlineStr">
        <is>
          <t>N/A</t>
        </is>
      </c>
      <c r="BQ275" s="71" t="inlineStr">
        <is>
          <t>N/A</t>
        </is>
      </c>
      <c r="BR275" s="71" t="inlineStr">
        <is>
          <t>N/A</t>
        </is>
      </c>
      <c r="BS275" s="71" t="inlineStr">
        <is>
          <t>N/A</t>
        </is>
      </c>
      <c r="BT275" s="85" t="inlineStr">
        <is>
          <t>CITIC Securities (Hong Kong) Limited; Ping An of China Capital (Hong Kong) Company Limited</t>
        </is>
      </c>
      <c r="BU275" s="71" t="inlineStr">
        <is>
          <t>CITIC Securities (Hong Kong) Limited; Ping An of China Capital (Hong Kong) Company Limited</t>
        </is>
      </c>
      <c r="BV275" s="71" t="inlineStr">
        <is>
          <t>China PA Securities (Hong Kong) Company Limited; CLSA Limited; CMB International Capital Limited; Fosun International Securities Limited; Hong Tai Securities Limited</t>
        </is>
      </c>
      <c r="BW275" s="71"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X275" s="87">
        <f>HYPERLINK("https://www1.hkexnews.hk/listedco/listconews/sehk/2024/0729/2024072900013.pdf","prospectus")</f>
        <v/>
      </c>
      <c r="BY275" s="87">
        <f>HYPERLINK("https://www1.hkexnews.hk/listedco/listconews/sehk/2024/0805/2024080502241.pdf","allotment")</f>
        <v/>
      </c>
      <c r="BZ275" s="87">
        <f>HYPERLINK("https://www1.hkexnews.hk/listedco/listconews/sehk/2024/0905/2024090501834.pdf","stabilisation")</f>
        <v/>
      </c>
      <c r="CA275" s="85" t="n"/>
      <c r="CB275" s="71" t="inlineStr">
        <is>
          <t>greenshoe: end-of-stabilisation notice not found; stabilising manager: not named in the allotment notice or prospectus glossary; stabilisation notice: notice linked; outcome wording not recognised, result left blank</t>
        </is>
      </c>
    </row>
    <row r="276" ht="15" customHeight="1">
      <c r="A276" s="70" t="inlineStr">
        <is>
          <t>2533</t>
        </is>
      </c>
      <c r="B276" s="71" t="inlineStr">
        <is>
          <t>BLACK SESAME</t>
        </is>
      </c>
      <c r="C276" s="71" t="inlineStr">
        <is>
          <t>黑芝麻智能</t>
        </is>
      </c>
      <c r="D276" s="71" t="inlineStr">
        <is>
          <t>Tech/AI</t>
        </is>
      </c>
      <c r="E276" s="71" t="inlineStr">
        <is>
          <t>AI chips &amp; semis</t>
        </is>
      </c>
      <c r="F276" s="71" t="inlineStr">
        <is>
          <t>Application Software</t>
        </is>
      </c>
      <c r="G276" s="71" t="inlineStr">
        <is>
          <t>Standard</t>
        </is>
      </c>
      <c r="H276" s="72" t="n">
        <v>45512</v>
      </c>
      <c r="I276" s="73" t="n">
        <v>1036</v>
      </c>
      <c r="J276" s="71" t="inlineStr">
        <is>
          <t>gross (price x shares)</t>
        </is>
      </c>
      <c r="K276" s="74" t="n">
        <v>28</v>
      </c>
      <c r="L276" s="74" t="n">
        <v>30.3</v>
      </c>
      <c r="M276" s="74" t="n">
        <v>28</v>
      </c>
      <c r="N276" s="71" t="inlineStr">
        <is>
          <t>N</t>
        </is>
      </c>
      <c r="O276" s="75" t="n">
        <v>92.40000000000001</v>
      </c>
      <c r="P276" s="75" t="n">
        <v>0</v>
      </c>
      <c r="Q276" s="76" t="n">
        <v>15936.7</v>
      </c>
      <c r="R276" s="71" t="inlineStr">
        <is>
          <t>derived:price x shares upon listing</t>
        </is>
      </c>
      <c r="S276" s="77" t="n">
        <v>2.52</v>
      </c>
      <c r="T276" s="78" t="n">
        <v>1.05</v>
      </c>
      <c r="U276" s="79" t="n">
        <v>7.38</v>
      </c>
      <c r="V276" s="80" t="n">
        <v>112</v>
      </c>
      <c r="W276" s="75" t="n">
        <v>5</v>
      </c>
      <c r="X276" s="71" t="inlineStr">
        <is>
          <t>NO</t>
        </is>
      </c>
      <c r="Y276" s="76" t="n">
        <v>959.54</v>
      </c>
      <c r="Z276" s="76" t="n">
        <v>34269400</v>
      </c>
      <c r="AA276" s="75" t="n">
        <v>6.02</v>
      </c>
      <c r="AB276" s="71" t="inlineStr">
        <is>
          <t>Gardex Development Limited; Joyson Electronic USA LLC</t>
        </is>
      </c>
      <c r="AC276" s="71" t="inlineStr">
        <is>
          <t>gardex;joyson</t>
        </is>
      </c>
      <c r="AD276" s="75" t="n">
        <v>7.39</v>
      </c>
      <c r="AE276" s="71" t="inlineStr">
        <is>
          <t>lapsed (no over-allocation)</t>
        </is>
      </c>
      <c r="AF276" s="71" t="inlineStr">
        <is>
          <t>2024-09-04</t>
        </is>
      </c>
      <c r="AG276" s="71" t="inlineStr">
        <is>
          <t>China International Capital Corporation Hong Kong Securities Limited</t>
        </is>
      </c>
      <c r="AH276" s="71" t="inlineStr">
        <is>
          <t>China International</t>
        </is>
      </c>
      <c r="AI276" s="81" t="n">
        <v>-19.1</v>
      </c>
      <c r="AJ276" s="82" t="n">
        <v>-26.96</v>
      </c>
      <c r="AK276" s="82" t="n">
        <v>-32.86</v>
      </c>
      <c r="AL276" s="82" t="n">
        <v>8.789999999999999</v>
      </c>
      <c r="AM276" s="83" t="n">
        <v>1.8</v>
      </c>
      <c r="AN276" s="75" t="n">
        <v>24.04</v>
      </c>
      <c r="AO276" s="82" t="n">
        <v>-28.04</v>
      </c>
      <c r="AP276" s="82" t="n">
        <v>-23.57</v>
      </c>
      <c r="AQ276" s="82" t="n">
        <v>-7.68</v>
      </c>
      <c r="AR276" s="82" t="n">
        <v>-1.48</v>
      </c>
      <c r="AS276" s="82" t="n">
        <v>4.64</v>
      </c>
      <c r="AT276" s="82" t="n">
        <v>26.4</v>
      </c>
      <c r="AU276" s="82" t="n">
        <v>-28.4</v>
      </c>
      <c r="AV276" s="82" t="n">
        <v>-25.25</v>
      </c>
      <c r="AW276" s="82" t="n">
        <v>-44.98</v>
      </c>
      <c r="AX276" s="82" t="n">
        <v>2.47</v>
      </c>
      <c r="AY276" s="82" t="n">
        <v>1.68</v>
      </c>
      <c r="AZ276" s="82" t="n">
        <v>2.17</v>
      </c>
      <c r="BA276" s="71" t="inlineStr">
        <is>
          <t>HSTECH (Hang Seng TECH ETF)</t>
        </is>
      </c>
      <c r="BB276" s="82" t="n">
        <v>-63.57</v>
      </c>
      <c r="BC276" s="72" t="inlineStr">
        <is>
          <t>2026-09-23</t>
        </is>
      </c>
      <c r="BD276" s="73" t="n">
        <v>343.6</v>
      </c>
      <c r="BE276" s="76" t="n">
        <v>-5340.6</v>
      </c>
      <c r="BF276" s="71" t="inlineStr">
        <is>
          <t>N</t>
        </is>
      </c>
      <c r="BG276" s="71" t="inlineStr">
        <is>
          <t>n/m</t>
        </is>
      </c>
      <c r="BH276" s="83" t="n"/>
      <c r="BI276" s="83" t="n"/>
      <c r="BJ276" s="83" t="n">
        <v>46.4</v>
      </c>
      <c r="BK276" s="84">
        <f>IF('BBG Verify'!S276="","not filed; run on terminal",'BBG Verify'!S276)</f>
        <v/>
      </c>
      <c r="BL276" s="85" t="inlineStr">
        <is>
          <t>N</t>
        </is>
      </c>
      <c r="BM276" s="86">
        <f>IF('BBG Verify'!K276="","not filed; run on terminal",'BBG Verify'!K276)</f>
        <v/>
      </c>
      <c r="BN276" s="71" t="inlineStr">
        <is>
          <t>N/A</t>
        </is>
      </c>
      <c r="BO276" s="71" t="inlineStr">
        <is>
          <t>N/A</t>
        </is>
      </c>
      <c r="BP276" s="71" t="inlineStr">
        <is>
          <t>N/A</t>
        </is>
      </c>
      <c r="BQ276" s="71" t="inlineStr">
        <is>
          <t>N/A</t>
        </is>
      </c>
      <c r="BR276" s="71" t="inlineStr">
        <is>
          <t>N/A</t>
        </is>
      </c>
      <c r="BS276" s="71" t="inlineStr">
        <is>
          <t>N/A</t>
        </is>
      </c>
      <c r="BT276" s="85" t="n"/>
      <c r="BU276" s="71" t="inlineStr">
        <is>
          <t>China International Capital Corporation Hong Kong Securities Limited; Huatai Financial Holdings (Hong Kong) Limited</t>
        </is>
      </c>
      <c r="BV276" s="71" t="inlineStr">
        <is>
          <t>CCB International Capital Limited; GF Securities (Hong Kong) Brokerage Limited; Futu Securities International (Hong Kong) Limited</t>
        </is>
      </c>
      <c r="BW276" s="71"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X276" s="87">
        <f>HYPERLINK("https://www1.hkexnews.hk/listedco/listconews/sehk/2024/0731/2024073100015.pdf","prospectus")</f>
        <v/>
      </c>
      <c r="BY276" s="87">
        <f>HYPERLINK("https://www1.hkexnews.hk/listedco/listconews/sehk/2024/0807/2024080700994.pdf","allotment")</f>
        <v/>
      </c>
      <c r="BZ276" s="87">
        <f>HYPERLINK("https://www1.hkexnews.hk/listedco/listconews/sehk/2024/0904/2024090402176.pdf","stabilisation")</f>
        <v/>
      </c>
      <c r="CA276" s="85" t="n"/>
      <c r="CB276" s="71" t="inlineStr">
        <is>
          <t>P/E: loss-making at IPO, use P/S; sponsor: English name not in the filing; AAStocks 保薦人 shown</t>
        </is>
      </c>
    </row>
    <row r="277" ht="15" customHeight="1">
      <c r="A277" s="70" t="inlineStr">
        <is>
          <t>2410</t>
        </is>
      </c>
      <c r="B277" s="71" t="inlineStr">
        <is>
          <t>TYK MEDICINES-B</t>
        </is>
      </c>
      <c r="C277" s="71" t="inlineStr">
        <is>
          <t>同源康醫藥－Ｂ</t>
        </is>
      </c>
      <c r="D277" s="71" t="inlineStr">
        <is>
          <t>Healthcare</t>
        </is>
      </c>
      <c r="E277" s="71" t="inlineStr">
        <is>
          <t>Biotech pre-revenue (18A)</t>
        </is>
      </c>
      <c r="F277" s="71" t="inlineStr">
        <is>
          <t>Biotechnology - Pharmaceuticals</t>
        </is>
      </c>
      <c r="G277" s="71" t="inlineStr">
        <is>
          <t>18A</t>
        </is>
      </c>
      <c r="H277" s="72" t="n">
        <v>45524</v>
      </c>
      <c r="I277" s="73" t="n">
        <v>579.3</v>
      </c>
      <c r="J277" s="71" t="inlineStr">
        <is>
          <t>gross (price x shares)</t>
        </is>
      </c>
      <c r="K277" s="74" t="n"/>
      <c r="L277" s="74" t="n">
        <v>12.1</v>
      </c>
      <c r="M277" s="74" t="n">
        <v>12.1</v>
      </c>
      <c r="N277" s="71" t="inlineStr">
        <is>
          <t>Y</t>
        </is>
      </c>
      <c r="O277" s="75" t="n">
        <v>100</v>
      </c>
      <c r="P277" s="75" t="n"/>
      <c r="Q277" s="76" t="n">
        <v>4487.1</v>
      </c>
      <c r="R277" s="71" t="inlineStr">
        <is>
          <t>derived:price x shares upon listing</t>
        </is>
      </c>
      <c r="S277" s="77" t="n">
        <v>2.29</v>
      </c>
      <c r="T277" s="78" t="n">
        <v>1.01</v>
      </c>
      <c r="U277" s="79" t="n"/>
      <c r="V277" s="80" t="n">
        <v>116</v>
      </c>
      <c r="W277" s="75" t="n">
        <v>10</v>
      </c>
      <c r="X277" s="71" t="inlineStr">
        <is>
          <t>NO</t>
        </is>
      </c>
      <c r="Y277" s="76" t="n">
        <v>579.3</v>
      </c>
      <c r="Z277" s="76" t="n">
        <v>47880000</v>
      </c>
      <c r="AA277" s="75" t="n">
        <v>12.91</v>
      </c>
      <c r="AB277" s="71" t="n"/>
      <c r="AC277" s="71" t="n"/>
      <c r="AD277" s="75" t="n"/>
      <c r="AE277" s="71" t="n"/>
      <c r="AF277" s="71" t="n"/>
      <c r="AG277" s="71" t="n"/>
      <c r="AH277" s="71" t="n"/>
      <c r="AI277" s="81" t="n">
        <v>9.09</v>
      </c>
      <c r="AJ277" s="82" t="n">
        <v>13.22</v>
      </c>
      <c r="AK277" s="82" t="n">
        <v>19.67</v>
      </c>
      <c r="AL277" s="82" t="n">
        <v>-5.39</v>
      </c>
      <c r="AM277" s="83" t="n">
        <v>0.67</v>
      </c>
      <c r="AN277" s="75" t="n">
        <v>21.41</v>
      </c>
      <c r="AO277" s="82" t="n">
        <v>90.08</v>
      </c>
      <c r="AP277" s="82" t="n">
        <v>135.95</v>
      </c>
      <c r="AQ277" s="82" t="n">
        <v>129.75</v>
      </c>
      <c r="AR277" s="82" t="n">
        <v>67.89</v>
      </c>
      <c r="AS277" s="82" t="n">
        <v>108.4</v>
      </c>
      <c r="AT277" s="82" t="n">
        <v>102.92</v>
      </c>
      <c r="AU277" s="82" t="n">
        <v>92.59</v>
      </c>
      <c r="AV277" s="82" t="n">
        <v>137.89</v>
      </c>
      <c r="AW277" s="82" t="n">
        <v>117.04</v>
      </c>
      <c r="AX277" s="82" t="n">
        <v>109.55</v>
      </c>
      <c r="AY277" s="82" t="n">
        <v>-1.94</v>
      </c>
      <c r="AZ277" s="82" t="n">
        <v>-1.15</v>
      </c>
      <c r="BA277" s="71" t="inlineStr">
        <is>
          <t>China Biotech ETF (HS biotech proxy)</t>
        </is>
      </c>
      <c r="BB277" s="82" t="n">
        <v>-64.42</v>
      </c>
      <c r="BC277" s="72" t="inlineStr">
        <is>
          <t>2026-09-23</t>
        </is>
      </c>
      <c r="BD277" s="73" t="n">
        <v>48.7</v>
      </c>
      <c r="BE277" s="76" t="n">
        <v>-91.5</v>
      </c>
      <c r="BF277" s="71" t="inlineStr">
        <is>
          <t>N</t>
        </is>
      </c>
      <c r="BG277" s="71" t="inlineStr">
        <is>
          <t>n/m</t>
        </is>
      </c>
      <c r="BH277" s="83" t="n"/>
      <c r="BI277" s="83" t="n"/>
      <c r="BJ277" s="83" t="n">
        <v>92.09999999999999</v>
      </c>
      <c r="BK277" s="84">
        <f>IF('BBG Verify'!S277="","not filed; run on terminal",'BBG Verify'!S277)</f>
        <v/>
      </c>
      <c r="BL277" s="85" t="inlineStr">
        <is>
          <t>N</t>
        </is>
      </c>
      <c r="BM277" s="86">
        <f>IF('BBG Verify'!K277="","not filed; run on terminal",'BBG Verify'!K277)</f>
        <v/>
      </c>
      <c r="BN277" s="71" t="inlineStr">
        <is>
          <t>N/A</t>
        </is>
      </c>
      <c r="BO277" s="71" t="inlineStr">
        <is>
          <t>N/A</t>
        </is>
      </c>
      <c r="BP277" s="71" t="inlineStr">
        <is>
          <t>N/A</t>
        </is>
      </c>
      <c r="BQ277" s="71" t="inlineStr">
        <is>
          <t>N/A</t>
        </is>
      </c>
      <c r="BR277" s="71" t="inlineStr">
        <is>
          <t>N/A</t>
        </is>
      </c>
      <c r="BS277" s="71" t="inlineStr">
        <is>
          <t>N/A</t>
        </is>
      </c>
      <c r="BT277" s="85" t="inlineStr">
        <is>
          <t>CITIC Securities (Hong Kong) Limited</t>
        </is>
      </c>
      <c r="BU277" s="71" t="inlineStr">
        <is>
          <t>CITIC Securities (Hong Kong) Limited</t>
        </is>
      </c>
      <c r="BV277" s="71" t="inlineStr">
        <is>
          <t>CLSA Limited; CMB International Capital Limited; Haitong International Securities Company Limited; Deutsche Bank AG, Hong Kong Branch; Livermore Holdings Limited; BOCI Asia Limited</t>
        </is>
      </c>
      <c r="BW277" s="71" t="inlineStr">
        <is>
          <t>BOCI Asia Limited; CLSA Limited; CMB International Capital Limited; Deutsche Bank AG, Hong Kong Branch; Haitong International Securities Company Limited; Livermore Holdings Limited</t>
        </is>
      </c>
      <c r="BX277" s="87">
        <f>HYPERLINK("https://www1.hkexnews.hk/listedco/listconews/sehk/2024/0812/2024081200005.pdf","prospectus")</f>
        <v/>
      </c>
      <c r="BY277" s="87">
        <f>HYPERLINK("https://www1.hkexnews.hk/listedco/listconews/sehk/2024/0819/2024081901642.pdf","allotment")</f>
        <v/>
      </c>
      <c r="BZ277" s="71" t="n"/>
      <c r="CA277" s="85" t="n"/>
      <c r="CB27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t>
        </is>
      </c>
    </row>
    <row r="278" ht="15" customHeight="1">
      <c r="A278" s="70" t="inlineStr">
        <is>
          <t>0300</t>
        </is>
      </c>
      <c r="B278" s="71" t="inlineStr">
        <is>
          <t>MIDEA GROUP</t>
        </is>
      </c>
      <c r="C278" s="71" t="inlineStr">
        <is>
          <t>美的集團</t>
        </is>
      </c>
      <c r="D278" s="71" t="inlineStr">
        <is>
          <t>Tech/AI</t>
        </is>
      </c>
      <c r="E278" s="71" t="inlineStr">
        <is>
          <t>Smart hardware / consumer electronics</t>
        </is>
      </c>
      <c r="F278" s="71" t="inlineStr">
        <is>
          <t>Household Appliances</t>
        </is>
      </c>
      <c r="G278" s="71" t="inlineStr">
        <is>
          <t>Standard</t>
        </is>
      </c>
      <c r="H278" s="72" t="n">
        <v>45552</v>
      </c>
      <c r="I278" s="73" t="n">
        <v>31014</v>
      </c>
      <c r="J278" s="71" t="inlineStr">
        <is>
          <t>gross (stated)</t>
        </is>
      </c>
      <c r="K278" s="74" t="n"/>
      <c r="L278" s="74" t="n">
        <v>54.8</v>
      </c>
      <c r="M278" s="74" t="n">
        <v>54.8</v>
      </c>
      <c r="N278" s="71" t="inlineStr">
        <is>
          <t>Y</t>
        </is>
      </c>
      <c r="O278" s="75" t="n">
        <v>100</v>
      </c>
      <c r="P278" s="75" t="n"/>
      <c r="Q278" s="76" t="n">
        <v>408344.4</v>
      </c>
      <c r="R278" s="71" t="inlineStr">
        <is>
          <t>aastocks:上市市值 at the struck price</t>
        </is>
      </c>
      <c r="S278" s="77" t="n">
        <v>9</v>
      </c>
      <c r="T278" s="91" t="n">
        <v>8.06</v>
      </c>
      <c r="U278" s="79" t="n">
        <v>36.3</v>
      </c>
      <c r="V278" s="80" t="n">
        <v>236</v>
      </c>
      <c r="W278" s="75" t="n">
        <v>5</v>
      </c>
      <c r="X278" s="71" t="inlineStr">
        <is>
          <t>NO</t>
        </is>
      </c>
      <c r="Y278" s="76" t="n">
        <v>19755.92</v>
      </c>
      <c r="Z278" s="76" t="n">
        <v>360513526</v>
      </c>
      <c r="AA278" s="75" t="n">
        <v>4.84</v>
      </c>
      <c r="AB278" s="71"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AC278" s="71" t="inlineStr">
        <is>
          <t>athos;structural;cosco;cpe;dajia;enreal;foresight;golden-link;hcep;jump;metazone;my;pamalican;psbc;splendor;supercluster;ubs;vanguard</t>
        </is>
      </c>
      <c r="AD278" s="75" t="n">
        <v>15</v>
      </c>
      <c r="AE278" s="71" t="n"/>
      <c r="AF278" s="71" t="inlineStr">
        <is>
          <t>2024-10-12</t>
        </is>
      </c>
      <c r="AG278" s="71" t="inlineStr">
        <is>
          <t>China International Capital Corporation Hong Kong Securities Limited</t>
        </is>
      </c>
      <c r="AH278" s="71" t="inlineStr">
        <is>
          <t>China International</t>
        </is>
      </c>
      <c r="AI278" s="81" t="n">
        <v>5.8</v>
      </c>
      <c r="AJ278" s="82" t="n">
        <v>7.85</v>
      </c>
      <c r="AK278" s="82" t="n">
        <v>8.029999999999999</v>
      </c>
      <c r="AL278" s="82" t="n">
        <v>-0.17</v>
      </c>
      <c r="AM278" s="83" t="n">
        <v>2.3</v>
      </c>
      <c r="AN278" s="75" t="n">
        <v>3.38</v>
      </c>
      <c r="AO278" s="82" t="n">
        <v>29.01</v>
      </c>
      <c r="AP278" s="82" t="n">
        <v>36.68</v>
      </c>
      <c r="AQ278" s="82" t="n">
        <v>38.96</v>
      </c>
      <c r="AR278" s="82" t="n">
        <v>19.62</v>
      </c>
      <c r="AS278" s="82" t="n">
        <v>26.73</v>
      </c>
      <c r="AT278" s="82" t="n">
        <v>28.85</v>
      </c>
      <c r="AU278" s="82" t="n">
        <v>16.42</v>
      </c>
      <c r="AV278" s="82" t="n">
        <v>7.95</v>
      </c>
      <c r="AW278" s="82" t="n">
        <v>11.57</v>
      </c>
      <c r="AX278" s="82" t="n">
        <v>-0.3</v>
      </c>
      <c r="AY278" s="82" t="n">
        <v>28.73</v>
      </c>
      <c r="AZ278" s="82" t="n">
        <v>27.03</v>
      </c>
      <c r="BA278" s="71" t="inlineStr">
        <is>
          <t>HSTECH (Hang Seng TECH ETF)</t>
        </is>
      </c>
      <c r="BB278" s="82" t="n">
        <v>75.91</v>
      </c>
      <c r="BC278" s="72" t="inlineStr">
        <is>
          <t>2026-09-23</t>
        </is>
      </c>
      <c r="BD278" s="73" t="n">
        <v>411080.8</v>
      </c>
      <c r="BE278" s="76" t="n">
        <v>37020.9</v>
      </c>
      <c r="BF278" s="71" t="inlineStr">
        <is>
          <t>Y</t>
        </is>
      </c>
      <c r="BG278" s="83" t="n">
        <v>11</v>
      </c>
      <c r="BH278" s="83" t="n"/>
      <c r="BI278" s="83" t="n"/>
      <c r="BJ278" s="83" t="n">
        <v>1</v>
      </c>
      <c r="BK278" s="84">
        <f>IF('BBG Verify'!S278="","not filed; run on terminal",'BBG Verify'!S278)</f>
        <v/>
      </c>
      <c r="BL278" s="85" t="inlineStr">
        <is>
          <t>Y</t>
        </is>
      </c>
      <c r="BM278" s="71" t="inlineStr">
        <is>
          <t>000333.SZ</t>
        </is>
      </c>
      <c r="BN278" s="82" t="n">
        <v>27.39</v>
      </c>
      <c r="BO278" s="74" t="n">
        <v>69.807</v>
      </c>
      <c r="BP278" s="89" t="n">
        <v>-0.0108</v>
      </c>
      <c r="BQ278" s="76" t="n">
        <v>723567</v>
      </c>
      <c r="BR278" s="84">
        <f>IF('BBG Verify'!Q278="","run on terminal",'BBG Verify'!Q278)</f>
        <v/>
      </c>
      <c r="BS278" s="84">
        <f>IF('BBG Verify'!R278="","run on terminal",'BBG Verify'!R278)</f>
        <v/>
      </c>
      <c r="BT278" s="85" t="inlineStr">
        <is>
          <t>CICC; BofA Securities</t>
        </is>
      </c>
      <c r="BU278" s="71" t="inlineStr">
        <is>
          <t>China International Capital Corporation Hong Kong Securities Limited; Merrill Lynch (Asia Pacific) Limited</t>
        </is>
      </c>
      <c r="BV278" s="71" t="inlineStr">
        <is>
          <t>BNP Paribas Securities (Asia) Limited; China International Capital Corporation Hong Kong Securities Limited; CLSA Limited; CMB International Capital Limited; Futu Securities International (Hong Kong) Limited; GF Securities (Hong Kong) Brokerage Limited</t>
        </is>
      </c>
      <c r="BW278" s="71"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X278" s="71" t="n"/>
      <c r="BY278" s="87">
        <f>HYPERLINK("https://www1.hkexnews.hk/listedco/listconews/sehk/2024/0916/2024091600951.pdf","allotment")</f>
        <v/>
      </c>
      <c r="BZ278" s="71" t="n"/>
      <c r="CA278" s="85" t="n"/>
      <c r="CB278" s="71"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public sub: HKEX table 9x kept; AAStocks 超額倍數 5.3x on its own basis</t>
        </is>
      </c>
    </row>
    <row r="279" ht="15" customHeight="1">
      <c r="A279" s="70" t="inlineStr">
        <is>
          <t>2549</t>
        </is>
      </c>
      <c r="B279" s="71" t="inlineStr">
        <is>
          <t>CAROTE LTD</t>
        </is>
      </c>
      <c r="C279" s="71" t="inlineStr">
        <is>
          <t>卡羅特</t>
        </is>
      </c>
      <c r="D279" s="71" t="inlineStr">
        <is>
          <t>Consumer</t>
        </is>
      </c>
      <c r="E279" s="71" t="inlineStr">
        <is>
          <t>Retail / distribution</t>
        </is>
      </c>
      <c r="F279" s="71" t="inlineStr">
        <is>
          <t>Housewares &amp; Specialties</t>
        </is>
      </c>
      <c r="G279" s="71" t="inlineStr">
        <is>
          <t>Standard</t>
        </is>
      </c>
      <c r="H279" s="72" t="n">
        <v>45567</v>
      </c>
      <c r="I279" s="73" t="n">
        <v>750.6</v>
      </c>
      <c r="J279" s="71" t="inlineStr">
        <is>
          <t>gross (price x shares)</t>
        </is>
      </c>
      <c r="K279" s="74" t="n"/>
      <c r="L279" s="74" t="n">
        <v>5.78</v>
      </c>
      <c r="M279" s="74" t="n">
        <v>5.78</v>
      </c>
      <c r="N279" s="71" t="inlineStr">
        <is>
          <t>Y</t>
        </is>
      </c>
      <c r="O279" s="75" t="n">
        <v>100</v>
      </c>
      <c r="P279" s="75" t="n"/>
      <c r="Q279" s="76" t="n">
        <v>2789.3</v>
      </c>
      <c r="R279" s="71" t="inlineStr">
        <is>
          <t>derived:deal size / offer % of enlarged capital</t>
        </is>
      </c>
      <c r="S279" s="77" t="n">
        <v>1347.27</v>
      </c>
      <c r="T279" s="78" t="n">
        <v>7.91</v>
      </c>
      <c r="U279" s="79" t="n">
        <v>41.7</v>
      </c>
      <c r="V279" s="80" t="n">
        <v>162</v>
      </c>
      <c r="W279" s="75" t="n">
        <v>50</v>
      </c>
      <c r="X279" s="71" t="inlineStr">
        <is>
          <t>YES</t>
        </is>
      </c>
      <c r="Y279" s="76" t="n">
        <v>437.6</v>
      </c>
      <c r="Z279" s="76" t="n">
        <v>75711004</v>
      </c>
      <c r="AA279" s="75" t="n">
        <v>15.69</v>
      </c>
      <c r="AB279" s="71" t="inlineStr">
        <is>
          <t>MPC VII Pte. Ltd; YSC Go (BVI) Limited</t>
        </is>
      </c>
      <c r="AC279" s="71" t="inlineStr">
        <is>
          <t>mpc;ysc</t>
        </is>
      </c>
      <c r="AD279" s="75" t="n">
        <v>15</v>
      </c>
      <c r="AE279" s="71" t="inlineStr">
        <is>
          <t>full</t>
        </is>
      </c>
      <c r="AF279" s="71" t="inlineStr">
        <is>
          <t>2024-10-26</t>
        </is>
      </c>
      <c r="AG279" s="71" t="inlineStr">
        <is>
          <t>CMB International Global Markets Limited</t>
        </is>
      </c>
      <c r="AH279" s="71" t="inlineStr">
        <is>
          <t>CMB</t>
        </is>
      </c>
      <c r="AI279" s="81" t="n">
        <v>77.509</v>
      </c>
      <c r="AJ279" s="82" t="n">
        <v>58.3</v>
      </c>
      <c r="AK279" s="82" t="n">
        <v>64.36</v>
      </c>
      <c r="AL279" s="82" t="n">
        <v>-3.69</v>
      </c>
      <c r="AM279" s="83" t="n">
        <v>1.72</v>
      </c>
      <c r="AN279" s="75" t="n">
        <v>44.21</v>
      </c>
      <c r="AO279" s="82" t="n">
        <v>17.65</v>
      </c>
      <c r="AP279" s="82" t="n">
        <v>-11.07</v>
      </c>
      <c r="AQ279" s="82" t="n">
        <v>-14.01</v>
      </c>
      <c r="AR279" s="82" t="n">
        <v>-25.68</v>
      </c>
      <c r="AS279" s="82" t="n">
        <v>-43.82</v>
      </c>
      <c r="AT279" s="82" t="n">
        <v>-45.68</v>
      </c>
      <c r="AU279" s="82" t="n">
        <v>19.24</v>
      </c>
      <c r="AV279" s="82" t="n">
        <v>-7.4</v>
      </c>
      <c r="AW279" s="82" t="n">
        <v>-6.67</v>
      </c>
      <c r="AX279" s="82" t="n">
        <v>-33.97</v>
      </c>
      <c r="AY279" s="82" t="n">
        <v>-3.67</v>
      </c>
      <c r="AZ279" s="82" t="n">
        <v>-9.85</v>
      </c>
      <c r="BA279" s="71" t="inlineStr">
        <is>
          <t>Hang Seng Commerce &amp; Industry sub-index</t>
        </is>
      </c>
      <c r="BB279" s="82" t="n">
        <v>-31.83</v>
      </c>
      <c r="BC279" s="72" t="inlineStr">
        <is>
          <t>2026-09-23</t>
        </is>
      </c>
      <c r="BD279" s="73" t="n">
        <v>1741.4</v>
      </c>
      <c r="BE279" s="76" t="n"/>
      <c r="BF279" s="71" t="inlineStr">
        <is>
          <t>Y</t>
        </is>
      </c>
      <c r="BG279" s="84">
        <f>IF('BBG Verify'!O279="","not filed; run on terminal",'BBG Verify'!O279)</f>
        <v/>
      </c>
      <c r="BH279" s="83" t="n"/>
      <c r="BI279" s="83" t="n">
        <v>6.8</v>
      </c>
      <c r="BJ279" s="83" t="n">
        <v>1.6</v>
      </c>
      <c r="BK279" s="84">
        <f>IF('BBG Verify'!S279="","not filed; run on terminal",'BBG Verify'!S279)</f>
        <v/>
      </c>
      <c r="BL279" s="85" t="inlineStr">
        <is>
          <t>N</t>
        </is>
      </c>
      <c r="BM279" s="86">
        <f>IF('BBG Verify'!K279="","not filed; run on terminal",'BBG Verify'!K279)</f>
        <v/>
      </c>
      <c r="BN279" s="71" t="inlineStr">
        <is>
          <t>N/A</t>
        </is>
      </c>
      <c r="BO279" s="71" t="inlineStr">
        <is>
          <t>N/A</t>
        </is>
      </c>
      <c r="BP279" s="71" t="inlineStr">
        <is>
          <t>N/A</t>
        </is>
      </c>
      <c r="BQ279" s="71" t="inlineStr">
        <is>
          <t>N/A</t>
        </is>
      </c>
      <c r="BR279" s="71" t="inlineStr">
        <is>
          <t>N/A</t>
        </is>
      </c>
      <c r="BS279" s="71" t="inlineStr">
        <is>
          <t>N/A</t>
        </is>
      </c>
      <c r="BT279" s="85" t="inlineStr">
        <is>
          <t>BNP Paribas Securities (Asia) Limited; CMB International Capital Limited</t>
        </is>
      </c>
      <c r="BU279" s="71" t="inlineStr">
        <is>
          <t>CMB International Capital Limited; BNP Paribas Securities (Asia) Limited</t>
        </is>
      </c>
      <c r="BV279" s="71" t="inlineStr">
        <is>
          <t>CMB International Capital Limited; BNP Paribas Securities (Asia) Limited</t>
        </is>
      </c>
      <c r="BW279" s="71" t="inlineStr">
        <is>
          <t>BNP Paribas Securities (Asia) Limited; CMB International Capital Limited; Futu Securities International (Hong Kong) Limited; Livermore Holdings Limited; Tiger Brokers (HK) Global Limited; TradeGo Markets Limited</t>
        </is>
      </c>
      <c r="BX279" s="87">
        <f>HYPERLINK("https://www1.hkexnews.hk/listedco/listconews/sehk/2024/0923/2024092300003.pdf","prospectus")</f>
        <v/>
      </c>
      <c r="BY279" s="87">
        <f>HYPERLINK("https://www1.hkexnews.hk/listedco/listconews/sehk/2024/0930/2024093002464.pdf","allotment")</f>
        <v/>
      </c>
      <c r="BZ279" s="87">
        <f>HYPERLINK("https://www1.hkexnews.hk/listedco/listconews/sehk/2024/1028/2024102801048.pdf","stabilisation")</f>
        <v/>
      </c>
      <c r="CA279" s="85" t="n"/>
      <c r="CB279" s="71"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70" t="inlineStr">
        <is>
          <t>2576</t>
        </is>
      </c>
      <c r="B280" s="71" t="inlineStr">
        <is>
          <t>TAIMEI TECH</t>
        </is>
      </c>
      <c r="C280" s="71" t="inlineStr">
        <is>
          <t>太美醫療科技</t>
        </is>
      </c>
      <c r="D280" s="71" t="inlineStr">
        <is>
          <t>Tech/AI</t>
        </is>
      </c>
      <c r="E280" s="71" t="inlineStr">
        <is>
          <t>SaaS / enterprise software</t>
        </is>
      </c>
      <c r="F280" s="71" t="inlineStr">
        <is>
          <t>Systems Software</t>
        </is>
      </c>
      <c r="G280" s="71" t="inlineStr">
        <is>
          <t>Standard</t>
        </is>
      </c>
      <c r="H280" s="72" t="n">
        <v>45573</v>
      </c>
      <c r="I280" s="73" t="n">
        <v>335.1</v>
      </c>
      <c r="J280" s="71" t="inlineStr">
        <is>
          <t>gross (stated)</t>
        </is>
      </c>
      <c r="K280" s="74" t="n"/>
      <c r="L280" s="74" t="n">
        <v>13</v>
      </c>
      <c r="M280" s="74" t="n">
        <v>13</v>
      </c>
      <c r="N280" s="71" t="inlineStr">
        <is>
          <t>Y</t>
        </is>
      </c>
      <c r="O280" s="75" t="n">
        <v>100</v>
      </c>
      <c r="P280" s="75" t="n"/>
      <c r="Q280" s="76" t="n">
        <v>6419.5</v>
      </c>
      <c r="R280" s="71" t="inlineStr">
        <is>
          <t>derived:deal size / offer % of enlarged capital</t>
        </is>
      </c>
      <c r="S280" s="77" t="n">
        <v>156.33</v>
      </c>
      <c r="T280" s="78" t="n">
        <v>2.58</v>
      </c>
      <c r="U280" s="79" t="n">
        <v>0</v>
      </c>
      <c r="V280" s="80" t="n">
        <v>150</v>
      </c>
      <c r="W280" s="75" t="n">
        <v>50</v>
      </c>
      <c r="X280" s="71" t="inlineStr">
        <is>
          <t>YES</t>
        </is>
      </c>
      <c r="Y280" s="76" t="n">
        <v>335.1</v>
      </c>
      <c r="Z280" s="76" t="n">
        <v>25779000</v>
      </c>
      <c r="AA280" s="75" t="n">
        <v>5.22</v>
      </c>
      <c r="AB280" s="71" t="n"/>
      <c r="AC280" s="71" t="n"/>
      <c r="AD280" s="75" t="n">
        <v>5.22</v>
      </c>
      <c r="AE280" s="71" t="inlineStr">
        <is>
          <t>lapsed</t>
        </is>
      </c>
      <c r="AF280" s="71" t="inlineStr">
        <is>
          <t>2024-11-02</t>
        </is>
      </c>
      <c r="AG280" s="71" t="inlineStr">
        <is>
          <t>Morgan Stanley Asia Limited</t>
        </is>
      </c>
      <c r="AH280" s="71" t="inlineStr">
        <is>
          <t>Morgan Stanley</t>
        </is>
      </c>
      <c r="AI280" s="81" t="n">
        <v>-10.615</v>
      </c>
      <c r="AJ280" s="82" t="n">
        <v>-29.23</v>
      </c>
      <c r="AK280" s="82" t="n">
        <v>-13.54</v>
      </c>
      <c r="AL280" s="82" t="n">
        <v>-18.15</v>
      </c>
      <c r="AM280" s="83" t="n">
        <v>1.27</v>
      </c>
      <c r="AN280" s="75" t="n">
        <v>22.06</v>
      </c>
      <c r="AO280" s="82" t="n">
        <v>-54.85</v>
      </c>
      <c r="AP280" s="82" t="n">
        <v>-54.62</v>
      </c>
      <c r="AQ280" s="82" t="n">
        <v>-70.23</v>
      </c>
      <c r="AR280" s="82" t="n">
        <v>-36.2</v>
      </c>
      <c r="AS280" s="82" t="n">
        <v>-35.88</v>
      </c>
      <c r="AT280" s="82" t="n">
        <v>-57.93</v>
      </c>
      <c r="AU280" s="82" t="n">
        <v>-36.24</v>
      </c>
      <c r="AV280" s="82" t="n">
        <v>-41.17</v>
      </c>
      <c r="AW280" s="82" t="n">
        <v>-49.7</v>
      </c>
      <c r="AX280" s="82" t="n">
        <v>-35.49</v>
      </c>
      <c r="AY280" s="82" t="n">
        <v>-13.45</v>
      </c>
      <c r="AZ280" s="82" t="n">
        <v>-0.39</v>
      </c>
      <c r="BA280" s="71" t="inlineStr">
        <is>
          <t>HSTECH (Hang Seng TECH ETF)</t>
        </is>
      </c>
      <c r="BB280" s="82" t="n">
        <v>-61.54</v>
      </c>
      <c r="BC280" s="72" t="inlineStr">
        <is>
          <t>2026-09-23</t>
        </is>
      </c>
      <c r="BD280" s="73" t="n">
        <v>630.5</v>
      </c>
      <c r="BE280" s="76" t="n">
        <v>-464.8</v>
      </c>
      <c r="BF280" s="71" t="inlineStr">
        <is>
          <t>N</t>
        </is>
      </c>
      <c r="BG280" s="71" t="inlineStr">
        <is>
          <t>n/m</t>
        </is>
      </c>
      <c r="BH280" s="83" t="n"/>
      <c r="BI280" s="83" t="n"/>
      <c r="BJ280" s="83" t="n">
        <v>10.2</v>
      </c>
      <c r="BK280" s="84">
        <f>IF('BBG Verify'!S280="","not filed; run on terminal",'BBG Verify'!S280)</f>
        <v/>
      </c>
      <c r="BL280" s="85" t="inlineStr">
        <is>
          <t>N</t>
        </is>
      </c>
      <c r="BM280" s="86">
        <f>IF('BBG Verify'!K280="","not filed; run on terminal",'BBG Verify'!K280)</f>
        <v/>
      </c>
      <c r="BN280" s="71" t="inlineStr">
        <is>
          <t>N/A</t>
        </is>
      </c>
      <c r="BO280" s="71" t="inlineStr">
        <is>
          <t>N/A</t>
        </is>
      </c>
      <c r="BP280" s="71" t="inlineStr">
        <is>
          <t>N/A</t>
        </is>
      </c>
      <c r="BQ280" s="71" t="inlineStr">
        <is>
          <t>N/A</t>
        </is>
      </c>
      <c r="BR280" s="71" t="inlineStr">
        <is>
          <t>N/A</t>
        </is>
      </c>
      <c r="BS280" s="71" t="inlineStr">
        <is>
          <t>N/A</t>
        </is>
      </c>
      <c r="BT280" s="85" t="n"/>
      <c r="BU280" s="71" t="inlineStr">
        <is>
          <t>China International Capital Corporation Hong Kong Securities Limited; Morgan Stanley Asia Limited</t>
        </is>
      </c>
      <c r="BV280" s="71"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W280" s="71"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X280" s="87">
        <f>HYPERLINK("https://www1.hkexnews.hk/listedco/listconews/sehk/2024/0927/2024092700025.pdf","prospectus")</f>
        <v/>
      </c>
      <c r="BY280" s="87">
        <f>HYPERLINK("https://www1.hkexnews.hk/listedco/listconews/sehk/2024/1007/2024100701772.pdf","allotment")</f>
        <v/>
      </c>
      <c r="BZ280" s="87">
        <f>HYPERLINK("https://www1.hkexnews.hk/listedco/listconews/sehk/2024/1103/2024110300003.pdf","stabilisation")</f>
        <v/>
      </c>
      <c r="CA280" s="85" t="n"/>
      <c r="CB280" s="71" t="inlineStr">
        <is>
          <t>P/E: loss-making at IPO, use P/S; range low: maximum offer price only, no floor published; sponsor: English name not in the filing; AAStocks 保薦人 shown; cornerstone list: no cornerstone tranche</t>
        </is>
      </c>
    </row>
    <row r="281" ht="15" customHeight="1">
      <c r="A281" s="70" t="inlineStr">
        <is>
          <t>9639</t>
        </is>
      </c>
      <c r="B281" s="71" t="inlineStr">
        <is>
          <t>WING LEE DEV</t>
        </is>
      </c>
      <c r="C281" s="71" t="inlineStr">
        <is>
          <t>榮利營造</t>
        </is>
      </c>
      <c r="D281" s="71" t="inlineStr">
        <is>
          <t>Industrials</t>
        </is>
      </c>
      <c r="E281" s="71" t="inlineStr">
        <is>
          <t>Construction / engineering</t>
        </is>
      </c>
      <c r="F281" s="71" t="inlineStr">
        <is>
          <t>Construction &amp; Engineering</t>
        </is>
      </c>
      <c r="G281" s="71" t="inlineStr">
        <is>
          <t>Standard</t>
        </is>
      </c>
      <c r="H281" s="72" t="n">
        <v>45574</v>
      </c>
      <c r="I281" s="73" t="n">
        <v>182.5</v>
      </c>
      <c r="J281" s="71" t="inlineStr">
        <is>
          <t>gross (stated)</t>
        </is>
      </c>
      <c r="K281" s="74" t="n">
        <v>0.57</v>
      </c>
      <c r="L281" s="74" t="n">
        <v>0.73</v>
      </c>
      <c r="M281" s="74" t="n">
        <v>0.73</v>
      </c>
      <c r="N281" s="71" t="inlineStr">
        <is>
          <t>Y</t>
        </is>
      </c>
      <c r="O281" s="75" t="n">
        <v>100</v>
      </c>
      <c r="P281" s="75" t="n">
        <v>100</v>
      </c>
      <c r="Q281" s="76" t="n">
        <v>730</v>
      </c>
      <c r="R281" s="71" t="inlineStr">
        <is>
          <t>derived:deal size / offer % of enlarged capital</t>
        </is>
      </c>
      <c r="S281" s="77" t="n">
        <v>120.6</v>
      </c>
      <c r="T281" s="78" t="n">
        <v>1.14</v>
      </c>
      <c r="U281" s="79" t="n">
        <v>21.2</v>
      </c>
      <c r="V281" s="80" t="n">
        <v>102</v>
      </c>
      <c r="W281" s="75" t="n">
        <v>50</v>
      </c>
      <c r="X281" s="71" t="inlineStr">
        <is>
          <t>YES</t>
        </is>
      </c>
      <c r="Y281" s="76" t="n">
        <v>143.81</v>
      </c>
      <c r="Z281" s="76" t="n"/>
      <c r="AA281" s="75" t="n">
        <v>19.7</v>
      </c>
      <c r="AB281" s="71" t="inlineStr">
        <is>
          <t>Accel Group Holdings Limited; Sany Hongkong Group Limited; The Triplex Holdings Limited</t>
        </is>
      </c>
      <c r="AC281" s="71" t="inlineStr">
        <is>
          <t>accel;sany;triplex</t>
        </is>
      </c>
      <c r="AD281" s="75" t="n">
        <v>15</v>
      </c>
      <c r="AE281" s="71" t="n"/>
      <c r="AF281" s="71" t="n"/>
      <c r="AG281" s="71" t="n"/>
      <c r="AH281" s="71" t="n"/>
      <c r="AI281" s="81" t="n">
        <v>-21.918</v>
      </c>
      <c r="AJ281" s="82" t="n">
        <v>-15.07</v>
      </c>
      <c r="AK281" s="82" t="n">
        <v>-31.51</v>
      </c>
      <c r="AL281" s="82" t="n">
        <v>24</v>
      </c>
      <c r="AM281" s="83" t="n">
        <v>1.44</v>
      </c>
      <c r="AN281" s="75" t="n">
        <v>36</v>
      </c>
      <c r="AO281" s="82" t="n">
        <v>-39.73</v>
      </c>
      <c r="AP281" s="82" t="n">
        <v>-36.99</v>
      </c>
      <c r="AQ281" s="82" t="n">
        <v>-44.52</v>
      </c>
      <c r="AR281" s="82" t="n">
        <v>-29.04</v>
      </c>
      <c r="AS281" s="82" t="n">
        <v>-25.81</v>
      </c>
      <c r="AT281" s="82" t="n">
        <v>-34.68</v>
      </c>
      <c r="AU281" s="82" t="n">
        <v>-34.14</v>
      </c>
      <c r="AV281" s="82" t="n">
        <v>-34.57</v>
      </c>
      <c r="AW281" s="82" t="n">
        <v>-33.26</v>
      </c>
      <c r="AX281" s="82" t="n">
        <v>-24.6</v>
      </c>
      <c r="AY281" s="82" t="n">
        <v>-2.42</v>
      </c>
      <c r="AZ281" s="82" t="n">
        <v>-1.21</v>
      </c>
      <c r="BA281" s="71" t="inlineStr">
        <is>
          <t>Hang Seng Commerce &amp; Industry sub-index</t>
        </is>
      </c>
      <c r="BB281" s="82" t="n">
        <v>27.4</v>
      </c>
      <c r="BC281" s="72" t="inlineStr">
        <is>
          <t>2026-09-21</t>
        </is>
      </c>
      <c r="BD281" s="73" t="n">
        <v>526.1</v>
      </c>
      <c r="BE281" s="76" t="n">
        <v>76.90000000000001</v>
      </c>
      <c r="BF281" s="71" t="inlineStr">
        <is>
          <t>Y</t>
        </is>
      </c>
      <c r="BG281" s="83" t="n">
        <v>9.5</v>
      </c>
      <c r="BH281" s="83" t="n"/>
      <c r="BI281" s="83" t="n">
        <v>57.2</v>
      </c>
      <c r="BJ281" s="83" t="n">
        <v>1.4</v>
      </c>
      <c r="BK281" s="84">
        <f>IF('BBG Verify'!S281="","not filed; run on terminal",'BBG Verify'!S281)</f>
        <v/>
      </c>
      <c r="BL281" s="85" t="inlineStr">
        <is>
          <t>N</t>
        </is>
      </c>
      <c r="BM281" s="86">
        <f>IF('BBG Verify'!K281="","not filed; run on terminal",'BBG Verify'!K281)</f>
        <v/>
      </c>
      <c r="BN281" s="71" t="inlineStr">
        <is>
          <t>N/A</t>
        </is>
      </c>
      <c r="BO281" s="71" t="inlineStr">
        <is>
          <t>N/A</t>
        </is>
      </c>
      <c r="BP281" s="71" t="inlineStr">
        <is>
          <t>N/A</t>
        </is>
      </c>
      <c r="BQ281" s="71" t="inlineStr">
        <is>
          <t>N/A</t>
        </is>
      </c>
      <c r="BR281" s="71" t="inlineStr">
        <is>
          <t>N/A</t>
        </is>
      </c>
      <c r="BS281" s="71" t="inlineStr">
        <is>
          <t>N/A</t>
        </is>
      </c>
      <c r="BT281" s="85" t="inlineStr">
        <is>
          <t>Alliance Capital Partners Limited</t>
        </is>
      </c>
      <c r="BU281" s="71" t="inlineStr">
        <is>
          <t>Alliance Capital Partners Limited</t>
        </is>
      </c>
      <c r="BV281" s="71" t="inlineStr">
        <is>
          <t>Alliance Capital Partners Limited; China Galaxy International Securities (Hong Kong) Co., Limited; CMBC Securities Company Limited; ABCI Capital Limited; China Industrial Securities International Capital Limited</t>
        </is>
      </c>
      <c r="BW281" s="71"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X281" s="87">
        <f>HYPERLINK("https://www1.hkexnews.hk/listedco/listconews/sehk/2024/0927/2024092700039.pdf","prospectus")</f>
        <v/>
      </c>
      <c r="BY281" s="87">
        <f>HYPERLINK("https://www1.hkexnews.hk/listedco/listconews/sehk/2024/1008/2024100801016.pdf","allotment")</f>
        <v/>
      </c>
      <c r="BZ281" s="71" t="n"/>
      <c r="CA281" s="85" t="n"/>
      <c r="CB281" s="71"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70" t="inlineStr">
        <is>
          <t>2567</t>
        </is>
      </c>
      <c r="B282" s="71" t="inlineStr">
        <is>
          <t>QINIU</t>
        </is>
      </c>
      <c r="C282" s="71" t="inlineStr">
        <is>
          <t>七牛智能</t>
        </is>
      </c>
      <c r="D282" s="71" t="inlineStr">
        <is>
          <t>Tech/AI</t>
        </is>
      </c>
      <c r="E282" s="71" t="inlineStr">
        <is>
          <t>Data center / cloud infra</t>
        </is>
      </c>
      <c r="F282" s="71" t="inlineStr">
        <is>
          <t>Systems Software</t>
        </is>
      </c>
      <c r="G282" s="71" t="inlineStr">
        <is>
          <t>Standard</t>
        </is>
      </c>
      <c r="H282" s="72" t="n">
        <v>45581</v>
      </c>
      <c r="I282" s="73" t="n">
        <v>439.3</v>
      </c>
      <c r="J282" s="71" t="inlineStr">
        <is>
          <t>gross (stated)</t>
        </is>
      </c>
      <c r="K282" s="74" t="n">
        <v>2.74</v>
      </c>
      <c r="L282" s="74" t="n">
        <v>2.86</v>
      </c>
      <c r="M282" s="74" t="n">
        <v>2.75</v>
      </c>
      <c r="N282" s="71" t="inlineStr">
        <is>
          <t>N</t>
        </is>
      </c>
      <c r="O282" s="75" t="n">
        <v>96.2</v>
      </c>
      <c r="P282" s="75" t="n">
        <v>8.300000000000001</v>
      </c>
      <c r="Q282" s="76" t="n">
        <v>5490.8</v>
      </c>
      <c r="R282" s="71" t="inlineStr">
        <is>
          <t>derived:price x shares upon listing</t>
        </is>
      </c>
      <c r="S282" s="77" t="n">
        <v>19.87</v>
      </c>
      <c r="T282" s="78" t="n">
        <v>1.02</v>
      </c>
      <c r="U282" s="79" t="n">
        <v>63.5</v>
      </c>
      <c r="V282" s="80" t="n">
        <v>108</v>
      </c>
      <c r="W282" s="75" t="n">
        <v>30</v>
      </c>
      <c r="X282" s="71" t="inlineStr">
        <is>
          <t>YES</t>
        </is>
      </c>
      <c r="Y282" s="76" t="n">
        <v>160.34</v>
      </c>
      <c r="Z282" s="76" t="n">
        <v>58308750</v>
      </c>
      <c r="AA282" s="75" t="n">
        <v>2.92</v>
      </c>
      <c r="AB282" s="71" t="inlineStr">
        <is>
          <t>Woseon Limited Partnership</t>
        </is>
      </c>
      <c r="AC282" s="71" t="inlineStr">
        <is>
          <t>woseon</t>
        </is>
      </c>
      <c r="AD282" s="75" t="n">
        <v>9.1</v>
      </c>
      <c r="AE282" s="71" t="inlineStr">
        <is>
          <t>lapsed (no over-allocation)</t>
        </is>
      </c>
      <c r="AF282" s="71" t="n"/>
      <c r="AG282" s="71" t="inlineStr">
        <is>
          <t>Shenwan Hongyuan Securities</t>
        </is>
      </c>
      <c r="AH282" s="71" t="inlineStr">
        <is>
          <t>Shenwan Hongyuan</t>
        </is>
      </c>
      <c r="AI282" s="81" t="n">
        <v>-33.091</v>
      </c>
      <c r="AJ282" s="82" t="n">
        <v>-56.73</v>
      </c>
      <c r="AK282" s="82" t="n">
        <v>-41.82</v>
      </c>
      <c r="AL282" s="82" t="n">
        <v>-25.63</v>
      </c>
      <c r="AM282" s="83" t="n">
        <v>2.53</v>
      </c>
      <c r="AN282" s="75" t="n">
        <v>33.75</v>
      </c>
      <c r="AO282" s="82" t="n">
        <v>-56.73</v>
      </c>
      <c r="AP282" s="82" t="n">
        <v>-62.55</v>
      </c>
      <c r="AQ282" s="82" t="n">
        <v>-75.27</v>
      </c>
      <c r="AR282" s="82" t="n">
        <v>0</v>
      </c>
      <c r="AS282" s="82" t="n">
        <v>-13.45</v>
      </c>
      <c r="AT282" s="82" t="n">
        <v>-42.85</v>
      </c>
      <c r="AU282" s="82" t="n">
        <v>-60.39</v>
      </c>
      <c r="AV282" s="82" t="n">
        <v>-59.44</v>
      </c>
      <c r="AW282" s="82" t="n">
        <v>-74.34999999999999</v>
      </c>
      <c r="AX282" s="82" t="n">
        <v>-11.42</v>
      </c>
      <c r="AY282" s="82" t="n">
        <v>-3.11</v>
      </c>
      <c r="AZ282" s="82" t="n">
        <v>-2.03</v>
      </c>
      <c r="BA282" s="71" t="inlineStr">
        <is>
          <t>HSTECH (Hang Seng TECH ETF)</t>
        </is>
      </c>
      <c r="BB282" s="82" t="n">
        <v>-87.27</v>
      </c>
      <c r="BC282" s="72" t="inlineStr">
        <is>
          <t>2026-09-23</t>
        </is>
      </c>
      <c r="BD282" s="73" t="n">
        <v>1467.4</v>
      </c>
      <c r="BE282" s="76" t="n">
        <v>-356.5</v>
      </c>
      <c r="BF282" s="71" t="inlineStr">
        <is>
          <t>N</t>
        </is>
      </c>
      <c r="BG282" s="71" t="inlineStr">
        <is>
          <t>n/m</t>
        </is>
      </c>
      <c r="BH282" s="83" t="n"/>
      <c r="BI282" s="83" t="n"/>
      <c r="BJ282" s="83" t="n">
        <v>3.7</v>
      </c>
      <c r="BK282" s="84">
        <f>IF('BBG Verify'!S282="","not filed; run on terminal",'BBG Verify'!S282)</f>
        <v/>
      </c>
      <c r="BL282" s="85" t="inlineStr">
        <is>
          <t>N</t>
        </is>
      </c>
      <c r="BM282" s="86">
        <f>IF('BBG Verify'!K282="","not filed; run on terminal",'BBG Verify'!K282)</f>
        <v/>
      </c>
      <c r="BN282" s="71" t="inlineStr">
        <is>
          <t>N/A</t>
        </is>
      </c>
      <c r="BO282" s="71" t="inlineStr">
        <is>
          <t>N/A</t>
        </is>
      </c>
      <c r="BP282" s="71" t="inlineStr">
        <is>
          <t>N/A</t>
        </is>
      </c>
      <c r="BQ282" s="71" t="inlineStr">
        <is>
          <t>N/A</t>
        </is>
      </c>
      <c r="BR282" s="71" t="inlineStr">
        <is>
          <t>N/A</t>
        </is>
      </c>
      <c r="BS282" s="71" t="inlineStr">
        <is>
          <t>N/A</t>
        </is>
      </c>
      <c r="BT282" s="85" t="inlineStr">
        <is>
          <t>Shenwan Hongyuan Capital (H.K.) Limited; BOCOM International (Asia) Limited</t>
        </is>
      </c>
      <c r="BU282" s="71" t="inlineStr">
        <is>
          <t>Shenwan Hongyuan Capital (H.K.) Limited</t>
        </is>
      </c>
      <c r="BV282" s="71"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W282" s="71"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X282" s="87">
        <f>HYPERLINK("https://www1.hkexnews.hk/listedco/listconews/sehk/2024/0930/2024093000011.pdf","prospectus")</f>
        <v/>
      </c>
      <c r="BY282" s="87">
        <f>HYPERLINK("https://www1.hkexnews.hk/listedco/listconews/sehk/2024/1015/2024101500998.pdf","allotment")</f>
        <v/>
      </c>
      <c r="BZ282" s="87">
        <f>HYPERLINK("https://www1.hkexnews.hk/listedco/listconews/sehk/2024/1111/2024111100811.pdf","stabilisation")</f>
        <v/>
      </c>
      <c r="CA282" s="85" t="n"/>
      <c r="CB282" s="71" t="inlineStr">
        <is>
          <t>P/E: loss-making at IPO, use P/S; greenshoe: outcome published; expiry date not in the notice</t>
        </is>
      </c>
    </row>
    <row r="283" ht="15" customHeight="1">
      <c r="A283" s="70" t="inlineStr">
        <is>
          <t>2460</t>
        </is>
      </c>
      <c r="B283" s="71" t="inlineStr">
        <is>
          <t>CR BEVERAGE</t>
        </is>
      </c>
      <c r="C283" s="71" t="inlineStr">
        <is>
          <t>華潤飲料</t>
        </is>
      </c>
      <c r="D283" s="71" t="inlineStr">
        <is>
          <t>Consumer</t>
        </is>
      </c>
      <c r="E283" s="71" t="inlineStr">
        <is>
          <t>Beverages / packaged food</t>
        </is>
      </c>
      <c r="F283" s="71" t="inlineStr">
        <is>
          <t>Beverages (Non-alcoholic)</t>
        </is>
      </c>
      <c r="G283" s="71" t="inlineStr">
        <is>
          <t>Standard</t>
        </is>
      </c>
      <c r="H283" s="72" t="n">
        <v>45588</v>
      </c>
      <c r="I283" s="73" t="n">
        <v>5043.5</v>
      </c>
      <c r="J283" s="71" t="inlineStr">
        <is>
          <t>gross (price x shares)</t>
        </is>
      </c>
      <c r="K283" s="74" t="n">
        <v>13.5</v>
      </c>
      <c r="L283" s="74" t="n">
        <v>14.5</v>
      </c>
      <c r="M283" s="74" t="n">
        <v>14.5</v>
      </c>
      <c r="N283" s="71" t="inlineStr">
        <is>
          <t>Y</t>
        </is>
      </c>
      <c r="O283" s="75" t="n">
        <v>100</v>
      </c>
      <c r="P283" s="75" t="n">
        <v>100</v>
      </c>
      <c r="Q283" s="76" t="n">
        <v>34077.7</v>
      </c>
      <c r="R283" s="71" t="inlineStr">
        <is>
          <t>derived:deal size / offer % of enlarged capital</t>
        </is>
      </c>
      <c r="S283" s="77" t="n">
        <v>234.49</v>
      </c>
      <c r="T283" s="78" t="n">
        <v>24.47</v>
      </c>
      <c r="U283" s="79" t="n">
        <v>47.72</v>
      </c>
      <c r="V283" s="80" t="n">
        <v>129</v>
      </c>
      <c r="W283" s="75" t="n">
        <v>40</v>
      </c>
      <c r="X283" s="71" t="inlineStr">
        <is>
          <t>YES</t>
        </is>
      </c>
      <c r="Y283" s="76" t="n">
        <v>2636.74</v>
      </c>
      <c r="Z283" s="76" t="n">
        <v>181843537</v>
      </c>
      <c r="AA283" s="75" t="n">
        <v>7.74</v>
      </c>
      <c r="AB283" s="71" t="inlineStr">
        <is>
          <t>Athos Capital Limited; China Post Life Insurance Company Limited; China Travel Service (Holdings) Hong Kong Limited; Ghisallo Master Fund LP; Oaktree Capital Management, L.P; Pamalican Fund Ltd; PT Indadi Juver; UBS AM Singapore; Wildlife Willow Limited</t>
        </is>
      </c>
      <c r="AC283" s="71" t="inlineStr">
        <is>
          <t>athos;post;travel;ghisallo;oaktree;pamalican;pt;ubs;wildlife</t>
        </is>
      </c>
      <c r="AD283" s="75" t="n">
        <v>15</v>
      </c>
      <c r="AE283" s="71" t="inlineStr">
        <is>
          <t>partial</t>
        </is>
      </c>
      <c r="AF283" s="71" t="inlineStr">
        <is>
          <t>2024-11-17</t>
        </is>
      </c>
      <c r="AG283" s="71" t="inlineStr">
        <is>
          <t>UBS AG Hong Kong Branch</t>
        </is>
      </c>
      <c r="AH283" s="71" t="inlineStr">
        <is>
          <t>UBS</t>
        </is>
      </c>
      <c r="AI283" s="81" t="n">
        <v>10.345</v>
      </c>
      <c r="AJ283" s="82" t="n">
        <v>15.03</v>
      </c>
      <c r="AK283" s="82" t="n">
        <v>13.52</v>
      </c>
      <c r="AL283" s="82" t="n">
        <v>1.33</v>
      </c>
      <c r="AM283" s="83" t="n">
        <v>1.15</v>
      </c>
      <c r="AN283" s="75" t="n">
        <v>6.44</v>
      </c>
      <c r="AO283" s="82" t="n">
        <v>6.62</v>
      </c>
      <c r="AP283" s="82" t="n">
        <v>-15.03</v>
      </c>
      <c r="AQ283" s="82" t="n">
        <v>-18.07</v>
      </c>
      <c r="AR283" s="82" t="n">
        <v>-7.31</v>
      </c>
      <c r="AS283" s="82" t="n">
        <v>-26.13</v>
      </c>
      <c r="AT283" s="82" t="n">
        <v>-28.78</v>
      </c>
      <c r="AU283" s="82" t="n">
        <v>7.43</v>
      </c>
      <c r="AV283" s="82" t="n">
        <v>-9.75</v>
      </c>
      <c r="AW283" s="82" t="n">
        <v>-12.42</v>
      </c>
      <c r="AX283" s="82" t="n">
        <v>-19.27</v>
      </c>
      <c r="AY283" s="82" t="n">
        <v>-5.28</v>
      </c>
      <c r="AZ283" s="82" t="n">
        <v>-6.86</v>
      </c>
      <c r="BA283" s="71" t="inlineStr">
        <is>
          <t>Hang Seng Commerce &amp; Industry sub-index</t>
        </is>
      </c>
      <c r="BB283" s="82" t="n">
        <v>-49.17</v>
      </c>
      <c r="BC283" s="72" t="inlineStr">
        <is>
          <t>2026-09-23</t>
        </is>
      </c>
      <c r="BD283" s="73" t="n">
        <v>14866.2</v>
      </c>
      <c r="BE283" s="76" t="n">
        <v>1464.5</v>
      </c>
      <c r="BF283" s="71" t="inlineStr">
        <is>
          <t>Y</t>
        </is>
      </c>
      <c r="BG283" s="83" t="n">
        <v>23.3</v>
      </c>
      <c r="BH283" s="83" t="n">
        <v>23.2</v>
      </c>
      <c r="BI283" s="83" t="n">
        <v>16</v>
      </c>
      <c r="BJ283" s="83" t="n">
        <v>2.3</v>
      </c>
      <c r="BK283" s="84">
        <f>IF('BBG Verify'!S283="","not filed; run on terminal",'BBG Verify'!S283)</f>
        <v/>
      </c>
      <c r="BL283" s="85" t="inlineStr">
        <is>
          <t>N</t>
        </is>
      </c>
      <c r="BM283" s="86">
        <f>IF('BBG Verify'!K283="","not filed; run on terminal",'BBG Verify'!K283)</f>
        <v/>
      </c>
      <c r="BN283" s="71" t="inlineStr">
        <is>
          <t>N/A</t>
        </is>
      </c>
      <c r="BO283" s="71" t="inlineStr">
        <is>
          <t>N/A</t>
        </is>
      </c>
      <c r="BP283" s="71" t="inlineStr">
        <is>
          <t>N/A</t>
        </is>
      </c>
      <c r="BQ283" s="71" t="inlineStr">
        <is>
          <t>N/A</t>
        </is>
      </c>
      <c r="BR283" s="71" t="inlineStr">
        <is>
          <t>N/A</t>
        </is>
      </c>
      <c r="BS283" s="71" t="inlineStr">
        <is>
          <t>N/A</t>
        </is>
      </c>
      <c r="BT283" s="85" t="inlineStr">
        <is>
          <t>UBS Securities Hong Kong Limited; BOCI Asia Limited; CITIC Securities (Hong Kong) Limited; Merrill Lynch (Asia Pacific) Limited</t>
        </is>
      </c>
      <c r="BU283" s="71" t="inlineStr">
        <is>
          <t>UBS Securities Hong Kong Limited; Merrill Lynch (Asia Pacific) Limited; CITIC Securities (Hong Kong) Limited; BOCI Asia Limited</t>
        </is>
      </c>
      <c r="BV283" s="71"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W283" s="71"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X283" s="87">
        <f>HYPERLINK("https://www1.hkexnews.hk/listedco/listconews/sehk/2024/1015/2024101500009.pdf","prospectus")</f>
        <v/>
      </c>
      <c r="BY283" s="87">
        <f>HYPERLINK("https://www1.hkexnews.hk/listedco/listconews/sehk/2024/1022/2024102201053.pdf","allotment")</f>
        <v/>
      </c>
      <c r="BZ283" s="87">
        <f>HYPERLINK("https://www1.hkexnews.hk/listedco/listconews/sehk/2024/1118/2024111801006.pdf","stabilisation")</f>
        <v/>
      </c>
      <c r="CA283" s="85" t="n"/>
      <c r="CB283" s="71" t="inlineStr"/>
    </row>
    <row r="284" ht="15" customHeight="1">
      <c r="A284" s="70" t="inlineStr">
        <is>
          <t>9660</t>
        </is>
      </c>
      <c r="B284" s="71" t="inlineStr">
        <is>
          <t>HORIZONROBOT-W</t>
        </is>
      </c>
      <c r="C284" s="71" t="inlineStr">
        <is>
          <t>地平線機器人－Ｗ</t>
        </is>
      </c>
      <c r="D284" s="71" t="inlineStr">
        <is>
          <t>Tech/AI</t>
        </is>
      </c>
      <c r="E284" s="71" t="inlineStr">
        <is>
          <t>AI chips &amp; semis</t>
        </is>
      </c>
      <c r="F284" s="71" t="inlineStr">
        <is>
          <t>Application Software</t>
        </is>
      </c>
      <c r="G284" s="71" t="inlineStr">
        <is>
          <t>WVR</t>
        </is>
      </c>
      <c r="H284" s="72" t="n">
        <v>45589</v>
      </c>
      <c r="I284" s="73" t="n">
        <v>5407</v>
      </c>
      <c r="J284" s="71" t="inlineStr">
        <is>
          <t>gross (stated)</t>
        </is>
      </c>
      <c r="K284" s="74" t="n"/>
      <c r="L284" s="74" t="n">
        <v>3.99</v>
      </c>
      <c r="M284" s="74" t="n">
        <v>3.99</v>
      </c>
      <c r="N284" s="71" t="inlineStr">
        <is>
          <t>Y</t>
        </is>
      </c>
      <c r="O284" s="75" t="n">
        <v>100</v>
      </c>
      <c r="P284" s="75" t="n"/>
      <c r="Q284" s="76" t="n">
        <v>51989.2</v>
      </c>
      <c r="R284" s="71" t="inlineStr">
        <is>
          <t>derived:price x shares upon listing</t>
        </is>
      </c>
      <c r="S284" s="77" t="n">
        <v>33.83</v>
      </c>
      <c r="T284" s="78" t="n">
        <v>13.81</v>
      </c>
      <c r="U284" s="79" t="n">
        <v>31.56</v>
      </c>
      <c r="V284" s="80" t="n">
        <v>163</v>
      </c>
      <c r="W284" s="75" t="n">
        <v>15</v>
      </c>
      <c r="X284" s="71" t="inlineStr">
        <is>
          <t>YES</t>
        </is>
      </c>
      <c r="Y284" s="76" t="n">
        <v>3700.55</v>
      </c>
      <c r="Z284" s="76" t="n">
        <v>927434957</v>
      </c>
      <c r="AA284" s="75" t="n">
        <v>7.12</v>
      </c>
      <c r="AB284" s="71" t="inlineStr">
        <is>
          <t>Alisoft China Holding Limited; Baidu (Hong Kong) Limited; JSC International Investment Fund SPC; PARTICIPATIONS 1</t>
        </is>
      </c>
      <c r="AC284" s="71" t="inlineStr">
        <is>
          <t>alisoft;baidu;jsc;participations</t>
        </is>
      </c>
      <c r="AD284" s="75" t="n">
        <v>15</v>
      </c>
      <c r="AE284" s="71" t="inlineStr">
        <is>
          <t>partial</t>
        </is>
      </c>
      <c r="AF284" s="71" t="n"/>
      <c r="AG284" s="71" t="inlineStr">
        <is>
          <t>Goldman Sachs</t>
        </is>
      </c>
      <c r="AH284" s="71" t="inlineStr">
        <is>
          <t>Goldman Sachs</t>
        </is>
      </c>
      <c r="AI284" s="81" t="n">
        <v>25.815</v>
      </c>
      <c r="AJ284" s="82" t="n">
        <v>2.76</v>
      </c>
      <c r="AK284" s="82" t="n">
        <v>28.32</v>
      </c>
      <c r="AL284" s="82" t="n">
        <v>-19.92</v>
      </c>
      <c r="AM284" s="83" t="n">
        <v>2.43</v>
      </c>
      <c r="AN284" s="75" t="n">
        <v>27.34</v>
      </c>
      <c r="AO284" s="82" t="n">
        <v>19.55</v>
      </c>
      <c r="AP284" s="82" t="n">
        <v>-4.76</v>
      </c>
      <c r="AQ284" s="82" t="n">
        <v>10.03</v>
      </c>
      <c r="AR284" s="82" t="n">
        <v>16.34</v>
      </c>
      <c r="AS284" s="82" t="n">
        <v>-7.32</v>
      </c>
      <c r="AT284" s="82" t="n">
        <v>7.07</v>
      </c>
      <c r="AU284" s="82" t="n">
        <v>22.2</v>
      </c>
      <c r="AV284" s="82" t="n">
        <v>3.41</v>
      </c>
      <c r="AW284" s="82" t="n">
        <v>9.32</v>
      </c>
      <c r="AX284" s="82" t="n">
        <v>-1.74</v>
      </c>
      <c r="AY284" s="82" t="n">
        <v>-8.17</v>
      </c>
      <c r="AZ284" s="82" t="n">
        <v>-5.58</v>
      </c>
      <c r="BA284" s="71" t="inlineStr">
        <is>
          <t>HSTECH (Hang Seng TECH ETF)</t>
        </is>
      </c>
      <c r="BB284" s="82" t="n">
        <v>1.5</v>
      </c>
      <c r="BC284" s="72" t="inlineStr">
        <is>
          <t>2026-09-23</t>
        </is>
      </c>
      <c r="BD284" s="73" t="n">
        <v>1706.8</v>
      </c>
      <c r="BE284" s="76" t="n">
        <v>-7413</v>
      </c>
      <c r="BF284" s="71" t="inlineStr">
        <is>
          <t>N</t>
        </is>
      </c>
      <c r="BG284" s="71" t="inlineStr">
        <is>
          <t>n/m</t>
        </is>
      </c>
      <c r="BH284" s="83" t="n"/>
      <c r="BI284" s="83" t="n"/>
      <c r="BJ284" s="83" t="n">
        <v>30.5</v>
      </c>
      <c r="BK284" s="84">
        <f>IF('BBG Verify'!S284="","not filed; run on terminal",'BBG Verify'!S284)</f>
        <v/>
      </c>
      <c r="BL284" s="85" t="inlineStr">
        <is>
          <t>N</t>
        </is>
      </c>
      <c r="BM284" s="86">
        <f>IF('BBG Verify'!K284="","not filed; run on terminal",'BBG Verify'!K284)</f>
        <v/>
      </c>
      <c r="BN284" s="71" t="inlineStr">
        <is>
          <t>N/A</t>
        </is>
      </c>
      <c r="BO284" s="71" t="inlineStr">
        <is>
          <t>N/A</t>
        </is>
      </c>
      <c r="BP284" s="71" t="inlineStr">
        <is>
          <t>N/A</t>
        </is>
      </c>
      <c r="BQ284" s="71" t="inlineStr">
        <is>
          <t>N/A</t>
        </is>
      </c>
      <c r="BR284" s="71" t="inlineStr">
        <is>
          <t>N/A</t>
        </is>
      </c>
      <c r="BS284" s="71" t="inlineStr">
        <is>
          <t>N/A</t>
        </is>
      </c>
      <c r="BT284" s="85" t="n"/>
      <c r="BU284" s="71" t="inlineStr">
        <is>
          <t>Morgan Stanley Asia Limited; Goldman Sachs (Asia) L.L.C.; China Securities (International) Corporate Finance Company Limited</t>
        </is>
      </c>
      <c r="BV284" s="71" t="inlineStr">
        <is>
          <t>ABCI Securities Company Limited; BOCI Asia Limited; BOCOM International Securities Limited; CCB International Capital Limited; CEB International Capital Corporation Limited; China Galaxy International Securities (Hong Kong) Company Limited</t>
        </is>
      </c>
      <c r="BW284" s="71"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X284" s="87">
        <f>HYPERLINK("https://www1.hkexnews.hk/listedco/listconews/sehk/2024/1016/2024101600024.htm","prospectus")</f>
        <v/>
      </c>
      <c r="BY284" s="87">
        <f>HYPERLINK("https://www1.hkexnews.hk/listedco/listconews/sehk/2024/1023/2024102300943.pdf","allotment")</f>
        <v/>
      </c>
      <c r="BZ284" s="87">
        <f>HYPERLINK("https://www1.hkexnews.hk/listedco/listconews/sehk/2024/1120/2024112001092.pdf","stabilisation")</f>
        <v/>
      </c>
      <c r="CA284" s="85" t="n"/>
      <c r="CB284" s="71"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t>
        </is>
      </c>
    </row>
    <row r="285" ht="15" customHeight="1">
      <c r="A285" s="70" t="inlineStr">
        <is>
          <t>2465</t>
        </is>
      </c>
      <c r="B285" s="71" t="inlineStr">
        <is>
          <t>LOPAL TECH</t>
        </is>
      </c>
      <c r="C285" s="71" t="inlineStr">
        <is>
          <t>龍蟠科技</t>
        </is>
      </c>
      <c r="D285" s="71" t="inlineStr">
        <is>
          <t>Industrials</t>
        </is>
      </c>
      <c r="E285" s="71" t="inlineStr">
        <is>
          <t>Batteries / energy storage</t>
        </is>
      </c>
      <c r="F285" s="71" t="inlineStr">
        <is>
          <t>Diversified Chemicals</t>
        </is>
      </c>
      <c r="G285" s="71" t="inlineStr">
        <is>
          <t>Standard</t>
        </is>
      </c>
      <c r="H285" s="72" t="n">
        <v>45595</v>
      </c>
      <c r="I285" s="73" t="n">
        <v>550</v>
      </c>
      <c r="J285" s="71" t="inlineStr">
        <is>
          <t>gross (price x shares)</t>
        </is>
      </c>
      <c r="K285" s="74" t="n">
        <v>4.5</v>
      </c>
      <c r="L285" s="74" t="n">
        <v>7</v>
      </c>
      <c r="M285" s="74" t="n">
        <v>5.5</v>
      </c>
      <c r="N285" s="71" t="inlineStr">
        <is>
          <t>N</t>
        </is>
      </c>
      <c r="O285" s="75" t="n">
        <v>78.59999999999999</v>
      </c>
      <c r="P285" s="75" t="n">
        <v>40</v>
      </c>
      <c r="Q285" s="76" t="n">
        <v>3666.7</v>
      </c>
      <c r="R285" s="71" t="inlineStr">
        <is>
          <t>derived:deal size / offer % of enlarged capital</t>
        </is>
      </c>
      <c r="S285" s="77" t="n">
        <v>3.99</v>
      </c>
      <c r="T285" s="78" t="n">
        <v>3.23</v>
      </c>
      <c r="U285" s="79" t="n">
        <v>20</v>
      </c>
      <c r="V285" s="80" t="n">
        <v>128</v>
      </c>
      <c r="W285" s="75" t="n">
        <v>10</v>
      </c>
      <c r="X285" s="71" t="inlineStr">
        <is>
          <t>NO</t>
        </is>
      </c>
      <c r="Y285" s="76" t="n">
        <v>440</v>
      </c>
      <c r="Z285" s="76" t="n">
        <v>80000000</v>
      </c>
      <c r="AA285" s="75" t="n">
        <v>12</v>
      </c>
      <c r="AB285" s="71" t="inlineStr">
        <is>
          <t>Harvest Oriental SP</t>
        </is>
      </c>
      <c r="AC285" s="71" t="inlineStr">
        <is>
          <t>harvest</t>
        </is>
      </c>
      <c r="AD285" s="75" t="n">
        <v>15</v>
      </c>
      <c r="AE285" s="71" t="inlineStr">
        <is>
          <t>lapsed</t>
        </is>
      </c>
      <c r="AF285" s="71" t="n"/>
      <c r="AG285" s="71" t="inlineStr">
        <is>
          <t>Guotai Junan Securities</t>
        </is>
      </c>
      <c r="AH285" s="71" t="inlineStr">
        <is>
          <t>Guotai Junan</t>
        </is>
      </c>
      <c r="AI285" s="81" t="n">
        <v>-0.909</v>
      </c>
      <c r="AJ285" s="82" t="n">
        <v>-13.64</v>
      </c>
      <c r="AK285" s="82" t="n">
        <v>-7.64</v>
      </c>
      <c r="AL285" s="82" t="n">
        <v>-6.5</v>
      </c>
      <c r="AM285" s="83" t="n">
        <v>4.25</v>
      </c>
      <c r="AN285" s="75" t="n">
        <v>24.8</v>
      </c>
      <c r="AO285" s="82" t="n">
        <v>-17.45</v>
      </c>
      <c r="AP285" s="82" t="n">
        <v>8.18</v>
      </c>
      <c r="AQ285" s="82" t="n">
        <v>-17.45</v>
      </c>
      <c r="AR285" s="82" t="n">
        <v>-4.41</v>
      </c>
      <c r="AS285" s="82" t="n">
        <v>25.27</v>
      </c>
      <c r="AT285" s="82" t="n">
        <v>-4.41</v>
      </c>
      <c r="AU285" s="82" t="n">
        <v>-16.12</v>
      </c>
      <c r="AV285" s="82" t="n">
        <v>15.56</v>
      </c>
      <c r="AW285" s="82" t="n">
        <v>-17.9</v>
      </c>
      <c r="AX285" s="82" t="n">
        <v>30.97</v>
      </c>
      <c r="AY285" s="82" t="n">
        <v>-7.38</v>
      </c>
      <c r="AZ285" s="82" t="n">
        <v>-5.7</v>
      </c>
      <c r="BA285" s="71" t="inlineStr">
        <is>
          <t>Hang Seng Commerce &amp; Industry sub-index</t>
        </is>
      </c>
      <c r="BB285" s="82" t="n">
        <v>61.82</v>
      </c>
      <c r="BC285" s="72" t="inlineStr">
        <is>
          <t>2026-09-23</t>
        </is>
      </c>
      <c r="BD285" s="73" t="n">
        <v>13466.1</v>
      </c>
      <c r="BE285" s="76" t="n">
        <v>-2013.6</v>
      </c>
      <c r="BF285" s="71" t="inlineStr">
        <is>
          <t>N</t>
        </is>
      </c>
      <c r="BG285" s="71" t="inlineStr">
        <is>
          <t>n/m</t>
        </is>
      </c>
      <c r="BH285" s="83" t="n"/>
      <c r="BI285" s="83" t="n">
        <v>94.3</v>
      </c>
      <c r="BJ285" s="83" t="n">
        <v>0.3</v>
      </c>
      <c r="BK285" s="84">
        <f>IF('BBG Verify'!S285="","not filed; run on terminal",'BBG Verify'!S285)</f>
        <v/>
      </c>
      <c r="BL285" s="85" t="inlineStr">
        <is>
          <t>Y</t>
        </is>
      </c>
      <c r="BM285" s="71" t="inlineStr">
        <is>
          <t>603906.SS</t>
        </is>
      </c>
      <c r="BN285" s="82" t="n">
        <v>103.17</v>
      </c>
      <c r="BO285" s="74" t="n">
        <v>11.1743</v>
      </c>
      <c r="BP285" s="89" t="n">
        <v>1.3702</v>
      </c>
      <c r="BQ285" s="76" t="n">
        <v>16904.6</v>
      </c>
      <c r="BR285" s="84">
        <f>IF('BBG Verify'!Q285="","run on terminal",'BBG Verify'!Q285)</f>
        <v/>
      </c>
      <c r="BS285" s="84">
        <f>IF('BBG Verify'!R285="","run on terminal",'BBG Verify'!R285)</f>
        <v/>
      </c>
      <c r="BT285" s="85" t="inlineStr">
        <is>
          <t>Guotai Junan Capital Limited; Halcyon Capital Limited</t>
        </is>
      </c>
      <c r="BU285" s="71" t="inlineStr">
        <is>
          <t>Guotai Junan Capital Limited; Halcyon Capital Limited</t>
        </is>
      </c>
      <c r="BV285" s="71" t="inlineStr">
        <is>
          <t>ABCI Securities Company Limited</t>
        </is>
      </c>
      <c r="BW285" s="71"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X285" s="87">
        <f>HYPERLINK("https://www1.hkexnews.hk/listedco/listconews/sehk/2024/1022/2024102200007.pdf","prospectus")</f>
        <v/>
      </c>
      <c r="BY285" s="87">
        <f>HYPERLINK("https://www1.hkexnews.hk/listedco/listconews/sehk/2024/1029/2024102901308.pdf","allotment")</f>
        <v/>
      </c>
      <c r="BZ285" s="87">
        <f>HYPERLINK("https://www1.hkexnews.hk/listedco/listconews/sehk/2024/1125/2024112500279.pdf","stabilisation")</f>
        <v/>
      </c>
      <c r="CA285" s="85" t="n"/>
      <c r="CB285" s="71" t="inlineStr">
        <is>
          <t>P/E: loss-making at IPO, use P/S; greenshoe: outcome published; expiry date not in the notice; A/H: Oct 2024 H listing (LFP cathode/adblue)</t>
        </is>
      </c>
    </row>
    <row r="286" ht="15" customHeight="1">
      <c r="A286" s="70" t="inlineStr">
        <is>
          <t>2563</t>
        </is>
      </c>
      <c r="B286" s="71" t="inlineStr">
        <is>
          <t>BIOSTAR PHARM-B</t>
        </is>
      </c>
      <c r="C286" s="71" t="inlineStr">
        <is>
          <t>華昊中天醫藥－Ｂ</t>
        </is>
      </c>
      <c r="D286" s="71" t="inlineStr">
        <is>
          <t>Healthcare</t>
        </is>
      </c>
      <c r="E286" s="71" t="inlineStr">
        <is>
          <t>Biotech pre-revenue (18A)</t>
        </is>
      </c>
      <c r="F286" s="71" t="inlineStr">
        <is>
          <t>Biotechnology - Pharmaceuticals</t>
        </is>
      </c>
      <c r="G286" s="71" t="inlineStr">
        <is>
          <t>18A</t>
        </is>
      </c>
      <c r="H286" s="72" t="n">
        <v>45596</v>
      </c>
      <c r="I286" s="73" t="n">
        <v>233.4</v>
      </c>
      <c r="J286" s="71" t="inlineStr">
        <is>
          <t>gross (price x shares)</t>
        </is>
      </c>
      <c r="K286" s="74" t="n">
        <v>16</v>
      </c>
      <c r="L286" s="74" t="n">
        <v>22</v>
      </c>
      <c r="M286" s="74" t="n">
        <v>16</v>
      </c>
      <c r="N286" s="71" t="inlineStr">
        <is>
          <t>N</t>
        </is>
      </c>
      <c r="O286" s="75" t="n">
        <v>72.7</v>
      </c>
      <c r="P286" s="75" t="n">
        <v>0</v>
      </c>
      <c r="Q286" s="76" t="n">
        <v>5833.4</v>
      </c>
      <c r="R286" s="71" t="inlineStr">
        <is>
          <t>derived:price x shares upon listing</t>
        </is>
      </c>
      <c r="S286" s="77" t="n">
        <v>21.45</v>
      </c>
      <c r="T286" s="78" t="n">
        <v>0.994</v>
      </c>
      <c r="U286" s="79" t="n">
        <v>15.7</v>
      </c>
      <c r="V286" s="80" t="n">
        <v>109</v>
      </c>
      <c r="W286" s="75" t="n">
        <v>12</v>
      </c>
      <c r="X286" s="71" t="inlineStr">
        <is>
          <t>NO</t>
        </is>
      </c>
      <c r="Y286" s="76" t="n">
        <v>196.76</v>
      </c>
      <c r="Z286" s="76" t="n">
        <v>12297684</v>
      </c>
      <c r="AA286" s="75" t="n">
        <v>3.37</v>
      </c>
      <c r="AB286" s="71" t="inlineStr">
        <is>
          <t>Baheal Wellness Industry International Trading Limited; Novotech SG Holdings Pte. Ltd; SilkyWater Absolute Return LPF; Wealth Strategy Holding Limited</t>
        </is>
      </c>
      <c r="AC286" s="71" t="inlineStr">
        <is>
          <t>baheal;novotech;silkywater;wealth</t>
        </is>
      </c>
      <c r="AD286" s="75" t="n"/>
      <c r="AE286" s="71" t="n"/>
      <c r="AF286" s="71" t="n"/>
      <c r="AG286" s="71" t="n"/>
      <c r="AH286" s="71" t="n"/>
      <c r="AI286" s="81" t="n">
        <v>25</v>
      </c>
      <c r="AJ286" s="82" t="n">
        <v>30</v>
      </c>
      <c r="AK286" s="82" t="n">
        <v>34.38</v>
      </c>
      <c r="AL286" s="82" t="n">
        <v>-3.26</v>
      </c>
      <c r="AM286" s="83" t="n">
        <v>1.82</v>
      </c>
      <c r="AN286" s="75" t="n">
        <v>30.09</v>
      </c>
      <c r="AO286" s="82" t="n">
        <v>75</v>
      </c>
      <c r="AP286" s="82" t="n">
        <v>74.69</v>
      </c>
      <c r="AQ286" s="82" t="n">
        <v>-2.88</v>
      </c>
      <c r="AR286" s="82" t="n">
        <v>34.62</v>
      </c>
      <c r="AS286" s="82" t="n">
        <v>34.38</v>
      </c>
      <c r="AT286" s="82" t="n">
        <v>-25.29</v>
      </c>
      <c r="AU286" s="82" t="n">
        <v>70.58</v>
      </c>
      <c r="AV286" s="82" t="n">
        <v>73.83</v>
      </c>
      <c r="AW286" s="82" t="n">
        <v>0.74</v>
      </c>
      <c r="AX286" s="82" t="n">
        <v>32.32</v>
      </c>
      <c r="AY286" s="82" t="n">
        <v>0.86</v>
      </c>
      <c r="AZ286" s="82" t="n">
        <v>2.06</v>
      </c>
      <c r="BA286" s="71" t="inlineStr">
        <is>
          <t>China Biotech ETF (HS biotech proxy)</t>
        </is>
      </c>
      <c r="BB286" s="82" t="n">
        <v>-74.38</v>
      </c>
      <c r="BC286" s="72" t="inlineStr">
        <is>
          <t>2026-09-23</t>
        </is>
      </c>
      <c r="BD286" s="73" t="n">
        <v>73.3</v>
      </c>
      <c r="BE286" s="76" t="n">
        <v>-91.8</v>
      </c>
      <c r="BF286" s="71" t="inlineStr">
        <is>
          <t>N</t>
        </is>
      </c>
      <c r="BG286" s="71" t="inlineStr">
        <is>
          <t>n/m</t>
        </is>
      </c>
      <c r="BH286" s="83" t="n"/>
      <c r="BI286" s="83" t="n"/>
      <c r="BJ286" s="83" t="n">
        <v>79.59999999999999</v>
      </c>
      <c r="BK286" s="84">
        <f>IF('BBG Verify'!S286="","not filed; run on terminal",'BBG Verify'!S286)</f>
        <v/>
      </c>
      <c r="BL286" s="85" t="inlineStr">
        <is>
          <t>N</t>
        </is>
      </c>
      <c r="BM286" s="86">
        <f>IF('BBG Verify'!K286="","not filed; run on terminal",'BBG Verify'!K286)</f>
        <v/>
      </c>
      <c r="BN286" s="71" t="inlineStr">
        <is>
          <t>N/A</t>
        </is>
      </c>
      <c r="BO286" s="71" t="inlineStr">
        <is>
          <t>N/A</t>
        </is>
      </c>
      <c r="BP286" s="71" t="inlineStr">
        <is>
          <t>N/A</t>
        </is>
      </c>
      <c r="BQ286" s="71" t="inlineStr">
        <is>
          <t>N/A</t>
        </is>
      </c>
      <c r="BR286" s="71" t="inlineStr">
        <is>
          <t>N/A</t>
        </is>
      </c>
      <c r="BS286" s="71" t="inlineStr">
        <is>
          <t>N/A</t>
        </is>
      </c>
      <c r="BT286" s="85" t="n"/>
      <c r="BU286" s="71" t="inlineStr">
        <is>
          <t>CCB International Capital Limited; China Securities (International) Corporate Finance Company Limited</t>
        </is>
      </c>
      <c r="BV286" s="71" t="inlineStr">
        <is>
          <t>CCB International Capital Limited; CGS International Securities Hong Kong Limited; Citrus Securities Limited; CMBC Securities Company Limited; China Securities (International) Corporate Finance Company Limited; Fosun International Securities Limited</t>
        </is>
      </c>
      <c r="BW286" s="71"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X286" s="87">
        <f>HYPERLINK("https://www1.hkexnews.hk/listedco/listconews/sehk/2024/1023/2024102300015.pdf","prospectus")</f>
        <v/>
      </c>
      <c r="BY286" s="87">
        <f>HYPERLINK("https://www1.hkexnews.hk/listedco/listconews/sehk/2024/1030/2024103002007.pdf","allotment")</f>
        <v/>
      </c>
      <c r="BZ286" s="71" t="n"/>
      <c r="CA286" s="85" t="n"/>
      <c r="CB286" s="71"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t>
        </is>
      </c>
    </row>
    <row r="287" ht="15" customHeight="1">
      <c r="A287" s="70" t="inlineStr">
        <is>
          <t>2510</t>
        </is>
      </c>
      <c r="B287" s="71" t="inlineStr">
        <is>
          <t>TS LINES</t>
        </is>
      </c>
      <c r="C287" s="71" t="inlineStr">
        <is>
          <t>德翔海運</t>
        </is>
      </c>
      <c r="D287" s="71" t="inlineStr">
        <is>
          <t>Industrials</t>
        </is>
      </c>
      <c r="E287" s="71" t="inlineStr">
        <is>
          <t>Logistics</t>
        </is>
      </c>
      <c r="F287" s="71" t="inlineStr">
        <is>
          <t>Marine</t>
        </is>
      </c>
      <c r="G287" s="71" t="inlineStr">
        <is>
          <t>Standard</t>
        </is>
      </c>
      <c r="H287" s="72" t="n">
        <v>45597</v>
      </c>
      <c r="I287" s="73" t="n">
        <v>1048.9</v>
      </c>
      <c r="J287" s="71" t="inlineStr">
        <is>
          <t>gross (price x shares)</t>
        </is>
      </c>
      <c r="K287" s="74" t="n">
        <v>3.5</v>
      </c>
      <c r="L287" s="74" t="n">
        <v>4.5</v>
      </c>
      <c r="M287" s="74" t="n">
        <v>4.18</v>
      </c>
      <c r="N287" s="71" t="inlineStr">
        <is>
          <t>N</t>
        </is>
      </c>
      <c r="O287" s="75" t="n">
        <v>92.90000000000001</v>
      </c>
      <c r="P287" s="75" t="n">
        <v>68</v>
      </c>
      <c r="Q287" s="76" t="n">
        <v>6900.9</v>
      </c>
      <c r="R287" s="71" t="inlineStr">
        <is>
          <t>derived:price x shares upon listing</t>
        </is>
      </c>
      <c r="S287" s="77" t="n">
        <v>12.09</v>
      </c>
      <c r="T287" s="78" t="n">
        <v>2.22</v>
      </c>
      <c r="U287" s="79" t="n">
        <v>12.3</v>
      </c>
      <c r="V287" s="80" t="n">
        <v>120</v>
      </c>
      <c r="W287" s="75" t="n">
        <v>10</v>
      </c>
      <c r="X287" s="71" t="inlineStr">
        <is>
          <t>NO</t>
        </is>
      </c>
      <c r="Y287" s="76" t="n">
        <v>919.89</v>
      </c>
      <c r="Z287" s="76" t="n">
        <v>220074380</v>
      </c>
      <c r="AA287" s="75" t="n">
        <v>13.33</v>
      </c>
      <c r="AB287" s="71" t="inlineStr">
        <is>
          <t>Crane Movement; HUNG Chi-Li; Indigo Rainbow Limited; Metro Shine Group Limited; WANG Yi-Fen; Worldwide Logistics Holding HK Limited</t>
        </is>
      </c>
      <c r="AC287" s="71" t="inlineStr">
        <is>
          <t>crane;hung;indigo;metro;wang-yi;logistics</t>
        </is>
      </c>
      <c r="AD287" s="75" t="n">
        <v>15</v>
      </c>
      <c r="AE287" s="71" t="inlineStr">
        <is>
          <t>partial</t>
        </is>
      </c>
      <c r="AF287" s="71" t="inlineStr">
        <is>
          <t>2024-11-28</t>
        </is>
      </c>
      <c r="AG287" s="71" t="inlineStr">
        <is>
          <t>J.P. Morgan Securities</t>
        </is>
      </c>
      <c r="AH287" s="71" t="inlineStr">
        <is>
          <t>JP Morgan</t>
        </is>
      </c>
      <c r="AI287" s="81" t="n">
        <v>0.239</v>
      </c>
      <c r="AJ287" s="82" t="n">
        <v>-1.91</v>
      </c>
      <c r="AK287" s="82" t="n">
        <v>0</v>
      </c>
      <c r="AL287" s="82" t="n">
        <v>-1.91</v>
      </c>
      <c r="AM287" s="83" t="n">
        <v>1.78</v>
      </c>
      <c r="AN287" s="75" t="n">
        <v>8.130000000000001</v>
      </c>
      <c r="AO287" s="82" t="n">
        <v>-0</v>
      </c>
      <c r="AP287" s="82" t="n">
        <v>7.66</v>
      </c>
      <c r="AQ287" s="82" t="n">
        <v>3.35</v>
      </c>
      <c r="AR287" s="82" t="n">
        <v>1.95</v>
      </c>
      <c r="AS287" s="82" t="n">
        <v>9.76</v>
      </c>
      <c r="AT287" s="82" t="n">
        <v>5.36</v>
      </c>
      <c r="AU287" s="82" t="n">
        <v>-1.93</v>
      </c>
      <c r="AV287" s="82" t="n">
        <v>11.61</v>
      </c>
      <c r="AW287" s="82" t="n">
        <v>-0.68</v>
      </c>
      <c r="AX287" s="82" t="n">
        <v>14.67</v>
      </c>
      <c r="AY287" s="82" t="n">
        <v>-3.95</v>
      </c>
      <c r="AZ287" s="82" t="n">
        <v>-4.91</v>
      </c>
      <c r="BA287" s="71" t="inlineStr">
        <is>
          <t>Hang Seng Commerce &amp; Industry sub-index</t>
        </is>
      </c>
      <c r="BB287" s="82" t="n">
        <v>218.18</v>
      </c>
      <c r="BC287" s="72" t="inlineStr">
        <is>
          <t>2026-09-23</t>
        </is>
      </c>
      <c r="BD287" s="73" t="n">
        <v>6821.9</v>
      </c>
      <c r="BE287" s="76" t="n">
        <v>-245.9</v>
      </c>
      <c r="BF287" s="71" t="inlineStr">
        <is>
          <t>N</t>
        </is>
      </c>
      <c r="BG287" s="71" t="inlineStr">
        <is>
          <t>n/m</t>
        </is>
      </c>
      <c r="BH287" s="83" t="n"/>
      <c r="BI287" s="83" t="n">
        <v>6.7</v>
      </c>
      <c r="BJ287" s="83" t="n">
        <v>1</v>
      </c>
      <c r="BK287" s="84">
        <f>IF('BBG Verify'!S287="","not filed; run on terminal",'BBG Verify'!S287)</f>
        <v/>
      </c>
      <c r="BL287" s="85" t="inlineStr">
        <is>
          <t>N</t>
        </is>
      </c>
      <c r="BM287" s="86">
        <f>IF('BBG Verify'!K287="","not filed; run on terminal",'BBG Verify'!K287)</f>
        <v/>
      </c>
      <c r="BN287" s="71" t="inlineStr">
        <is>
          <t>N/A</t>
        </is>
      </c>
      <c r="BO287" s="71" t="inlineStr">
        <is>
          <t>N/A</t>
        </is>
      </c>
      <c r="BP287" s="71" t="inlineStr">
        <is>
          <t>N/A</t>
        </is>
      </c>
      <c r="BQ287" s="71" t="inlineStr">
        <is>
          <t>N/A</t>
        </is>
      </c>
      <c r="BR287" s="71" t="inlineStr">
        <is>
          <t>N/A</t>
        </is>
      </c>
      <c r="BS287" s="71" t="inlineStr">
        <is>
          <t>N/A</t>
        </is>
      </c>
      <c r="BT287" s="85" t="inlineStr">
        <is>
          <t>J.P. Morgan Securities (Far East) Limited; China Merchants Securities (HK) Co., Limited</t>
        </is>
      </c>
      <c r="BU287" s="71" t="inlineStr">
        <is>
          <t>J.P. Morgan Securities (Far East) Limited; China Merchants Securities (HK) Company Limited</t>
        </is>
      </c>
      <c r="BV287" s="71" t="inlineStr">
        <is>
          <t>J.P. Morgan Securities (Asia Pacific) Limited; China Merchants Securities (HK) Co., Limited; Futu Securities International (Hong Kong) Limited; Yuanta Securities (Hong Kong) Company Limited; Livermore Holdings Limited</t>
        </is>
      </c>
      <c r="BW287" s="71" t="inlineStr">
        <is>
          <t>China Merchants Securities (HK) Company Limited; Futu Securities International (Hong Kong) Limited; J.P. Morgan Securities (Asia Pacific) Limited; Livermore Holdings Limited; Yuanta Securities (Hong Kong) Company Limited</t>
        </is>
      </c>
      <c r="BX287" s="87">
        <f>HYPERLINK("https://www1.hkexnews.hk/listedco/listconews/sehk/2024/1024/2024102400036.pdf","prospectus")</f>
        <v/>
      </c>
      <c r="BY287" s="87">
        <f>HYPERLINK("https://www1.hkexnews.hk/listedco/listconews/sehk/2024/1031/2024103101844.pdf","allotment")</f>
        <v/>
      </c>
      <c r="BZ287" s="87">
        <f>HYPERLINK("https://www1.hkexnews.hk/listedco/listconews/sehk/2024/1128/2024112802025.pdf","stabilisation")</f>
        <v/>
      </c>
      <c r="CA287" s="85" t="n"/>
      <c r="CB287" s="71" t="inlineStr">
        <is>
          <t>P/E: loss-making at IPO, use P/S; cornerstone: % from the prospectus; AAStocks table includes non-cornerstone orders</t>
        </is>
      </c>
    </row>
    <row r="288" ht="15" customHeight="1">
      <c r="A288" s="70" t="inlineStr">
        <is>
          <t>2519</t>
        </is>
      </c>
      <c r="B288" s="71" t="inlineStr">
        <is>
          <t>AUGROUP</t>
        </is>
      </c>
      <c r="C288" s="71" t="inlineStr">
        <is>
          <t>傲基股份</t>
        </is>
      </c>
      <c r="D288" s="71" t="inlineStr">
        <is>
          <t>Consumer</t>
        </is>
      </c>
      <c r="E288" s="71" t="inlineStr">
        <is>
          <t>Retail / distribution</t>
        </is>
      </c>
      <c r="F288" s="71" t="inlineStr">
        <is>
          <t>Home Furnishings</t>
        </is>
      </c>
      <c r="G288" s="71" t="inlineStr">
        <is>
          <t>Standard</t>
        </is>
      </c>
      <c r="H288" s="72" t="n">
        <v>45604</v>
      </c>
      <c r="I288" s="73" t="n">
        <v>466.4</v>
      </c>
      <c r="J288" s="71" t="inlineStr">
        <is>
          <t>gross (price x shares)</t>
        </is>
      </c>
      <c r="K288" s="74" t="n">
        <v>14.56</v>
      </c>
      <c r="L288" s="74" t="n">
        <v>15.6</v>
      </c>
      <c r="M288" s="74" t="n">
        <v>15.6</v>
      </c>
      <c r="N288" s="71" t="inlineStr">
        <is>
          <t>Y</t>
        </is>
      </c>
      <c r="O288" s="75" t="n">
        <v>100</v>
      </c>
      <c r="P288" s="75" t="n">
        <v>100</v>
      </c>
      <c r="Q288" s="76" t="n">
        <v>6477.2</v>
      </c>
      <c r="R288" s="71" t="inlineStr">
        <is>
          <t>aastocks:上市市值 at the struck price</t>
        </is>
      </c>
      <c r="S288" s="77" t="n">
        <v>17.74</v>
      </c>
      <c r="T288" s="78" t="n">
        <v>2.45</v>
      </c>
      <c r="U288" s="79" t="n">
        <v>23.5</v>
      </c>
      <c r="V288" s="80" t="n">
        <v>120</v>
      </c>
      <c r="W288" s="75" t="n">
        <v>30</v>
      </c>
      <c r="X288" s="71" t="inlineStr">
        <is>
          <t>YES</t>
        </is>
      </c>
      <c r="Y288" s="76" t="n">
        <v>356.8</v>
      </c>
      <c r="Z288" s="76" t="n">
        <v>22869446</v>
      </c>
      <c r="AA288" s="75" t="n">
        <v>5.51</v>
      </c>
      <c r="AB288" s="71" t="inlineStr">
        <is>
          <t>Hongkong Valsun Technology Limited; LC Logistics, Inc; Wong, Ka Wai Vivian</t>
        </is>
      </c>
      <c r="AC288" s="71" t="inlineStr">
        <is>
          <t>hongkong;lc;wong</t>
        </is>
      </c>
      <c r="AD288" s="75" t="n">
        <v>15</v>
      </c>
      <c r="AE288" s="71" t="inlineStr">
        <is>
          <t>lapsed</t>
        </is>
      </c>
      <c r="AF288" s="71" t="inlineStr">
        <is>
          <t>2024-12-05</t>
        </is>
      </c>
      <c r="AG288" s="71" t="inlineStr">
        <is>
          <t>Huatai Financial Holdings</t>
        </is>
      </c>
      <c r="AH288" s="71" t="inlineStr">
        <is>
          <t>Huatai</t>
        </is>
      </c>
      <c r="AI288" s="81" t="n">
        <v>-11.41</v>
      </c>
      <c r="AJ288" s="82" t="n">
        <v>-11.41</v>
      </c>
      <c r="AK288" s="82" t="n">
        <v>-11.03</v>
      </c>
      <c r="AL288" s="82" t="n">
        <v>-0.43</v>
      </c>
      <c r="AM288" s="83" t="n">
        <v>1.41</v>
      </c>
      <c r="AN288" s="75" t="n">
        <v>17.72</v>
      </c>
      <c r="AO288" s="82" t="n">
        <v>-22.82</v>
      </c>
      <c r="AP288" s="82" t="n">
        <v>-19.23</v>
      </c>
      <c r="AQ288" s="82" t="n">
        <v>-23.97</v>
      </c>
      <c r="AR288" s="82" t="n">
        <v>-12.88</v>
      </c>
      <c r="AS288" s="82" t="n">
        <v>-8.83</v>
      </c>
      <c r="AT288" s="82" t="n">
        <v>-14.18</v>
      </c>
      <c r="AU288" s="82" t="n">
        <v>-15.16</v>
      </c>
      <c r="AV288" s="82" t="n">
        <v>-16.55</v>
      </c>
      <c r="AW288" s="82" t="n">
        <v>-29.84</v>
      </c>
      <c r="AX288" s="82" t="n">
        <v>-7.44</v>
      </c>
      <c r="AY288" s="82" t="n">
        <v>-2.68</v>
      </c>
      <c r="AZ288" s="82" t="n">
        <v>-1.39</v>
      </c>
      <c r="BA288" s="71" t="inlineStr">
        <is>
          <t>Hang Seng Commerce &amp; Industry sub-index</t>
        </is>
      </c>
      <c r="BB288" s="82" t="n">
        <v>-74.73999999999999</v>
      </c>
      <c r="BC288" s="72" t="inlineStr">
        <is>
          <t>2026-09-22</t>
        </is>
      </c>
      <c r="BD288" s="73" t="n">
        <v>9551.299999999999</v>
      </c>
      <c r="BE288" s="76" t="n">
        <v>572.1</v>
      </c>
      <c r="BF288" s="71" t="inlineStr">
        <is>
          <t>Y</t>
        </is>
      </c>
      <c r="BG288" s="83" t="n">
        <v>11.3</v>
      </c>
      <c r="BH288" s="83" t="n">
        <v>9.300000000000001</v>
      </c>
      <c r="BI288" s="83" t="n">
        <v>8.300000000000001</v>
      </c>
      <c r="BJ288" s="83" t="n">
        <v>0.7</v>
      </c>
      <c r="BK288" s="84">
        <f>IF('BBG Verify'!S288="","not filed; run on terminal",'BBG Verify'!S288)</f>
        <v/>
      </c>
      <c r="BL288" s="85" t="inlineStr">
        <is>
          <t>N</t>
        </is>
      </c>
      <c r="BM288" s="86">
        <f>IF('BBG Verify'!K288="","not filed; run on terminal",'BBG Verify'!K288)</f>
        <v/>
      </c>
      <c r="BN288" s="71" t="inlineStr">
        <is>
          <t>N/A</t>
        </is>
      </c>
      <c r="BO288" s="71" t="inlineStr">
        <is>
          <t>N/A</t>
        </is>
      </c>
      <c r="BP288" s="71" t="inlineStr">
        <is>
          <t>N/A</t>
        </is>
      </c>
      <c r="BQ288" s="71" t="inlineStr">
        <is>
          <t>N/A</t>
        </is>
      </c>
      <c r="BR288" s="71" t="inlineStr">
        <is>
          <t>N/A</t>
        </is>
      </c>
      <c r="BS288" s="71" t="inlineStr">
        <is>
          <t>N/A</t>
        </is>
      </c>
      <c r="BT288" s="85" t="inlineStr">
        <is>
          <t>Huatai Financial Holdings (Hong Kong) Limited</t>
        </is>
      </c>
      <c r="BU288" s="71" t="inlineStr">
        <is>
          <t>Huatai Financial Holdings (Hong Kong) Limited</t>
        </is>
      </c>
      <c r="BV288" s="71" t="inlineStr">
        <is>
          <t>Huatai Financial Holdings (Hong Kong) Limited; CLSA Limited; DBS Asia Capital Limited; Livermore Holdings Limited</t>
        </is>
      </c>
      <c r="BW288" s="71" t="inlineStr">
        <is>
          <t>CLSA Limited; DBS Asia Capital Limited; Huatai Financial Holdings (Hong Kong) Limited; Livermore Holdings Limited</t>
        </is>
      </c>
      <c r="BX288" s="87">
        <f>HYPERLINK("https://www1.hkexnews.hk/listedco/listconews/sehk/2024/1031/2024103100187.pdf","prospectus")</f>
        <v/>
      </c>
      <c r="BY288" s="87">
        <f>HYPERLINK("https://www1.hkexnews.hk/listedco/listconews/sehk/2024/1107/2024110701104.pdf","allotment")</f>
        <v/>
      </c>
      <c r="BZ288" s="87">
        <f>HYPERLINK("https://www1.hkexnews.hk/listedco/listconews/sehk/2024/1205/2024120500586.pdf","stabilisation")</f>
        <v/>
      </c>
      <c r="CA288" s="85" t="n"/>
      <c r="CB288" s="71" t="inlineStr">
        <is>
          <t>cornerstone %: upper bound: AAStocks institutional total / deal size</t>
        </is>
      </c>
    </row>
    <row r="289" ht="15" customHeight="1">
      <c r="A289" s="70" t="inlineStr">
        <is>
          <t>2551</t>
        </is>
      </c>
      <c r="B289" s="71" t="inlineStr">
        <is>
          <t>APT ELECTRONICS</t>
        </is>
      </c>
      <c r="C289" s="71" t="inlineStr">
        <is>
          <t>晶科電子股份</t>
        </is>
      </c>
      <c r="D289" s="71" t="inlineStr">
        <is>
          <t>Tech/AI</t>
        </is>
      </c>
      <c r="E289" s="71" t="inlineStr">
        <is>
          <t>AI chips &amp; semis</t>
        </is>
      </c>
      <c r="F289" s="71" t="inlineStr">
        <is>
          <t>Liquid Crystal Displays</t>
        </is>
      </c>
      <c r="G289" s="71" t="inlineStr">
        <is>
          <t>Standard</t>
        </is>
      </c>
      <c r="H289" s="72" t="n">
        <v>45604</v>
      </c>
      <c r="I289" s="73" t="n">
        <v>139.5</v>
      </c>
      <c r="J289" s="71" t="inlineStr">
        <is>
          <t>gross (price x shares)</t>
        </is>
      </c>
      <c r="K289" s="74" t="n"/>
      <c r="L289" s="74" t="n">
        <v>3.61</v>
      </c>
      <c r="M289" s="74" t="n">
        <v>3.61</v>
      </c>
      <c r="N289" s="71" t="inlineStr">
        <is>
          <t>Y</t>
        </is>
      </c>
      <c r="O289" s="75" t="n">
        <v>100</v>
      </c>
      <c r="P289" s="75" t="n"/>
      <c r="Q289" s="76" t="n">
        <v>1939.1</v>
      </c>
      <c r="R289" s="71" t="inlineStr">
        <is>
          <t>derived:price x shares upon listing</t>
        </is>
      </c>
      <c r="S289" s="77" t="n">
        <v>5677.83</v>
      </c>
      <c r="T289" s="78" t="n">
        <v>6.95</v>
      </c>
      <c r="U289" s="79" t="n"/>
      <c r="V289" s="80" t="n">
        <v>133</v>
      </c>
      <c r="W289" s="75" t="n">
        <v>50</v>
      </c>
      <c r="X289" s="71" t="inlineStr">
        <is>
          <t>YES</t>
        </is>
      </c>
      <c r="Y289" s="76" t="n">
        <v>139.5</v>
      </c>
      <c r="Z289" s="76" t="n">
        <v>38640000</v>
      </c>
      <c r="AA289" s="75" t="n">
        <v>7.19</v>
      </c>
      <c r="AB289" s="71" t="n"/>
      <c r="AC289" s="71" t="n"/>
      <c r="AD289" s="75" t="n"/>
      <c r="AE289" s="71" t="n"/>
      <c r="AF289" s="71" t="n"/>
      <c r="AG289" s="71" t="n"/>
      <c r="AH289" s="71" t="n"/>
      <c r="AI289" s="81" t="n">
        <v>13.019</v>
      </c>
      <c r="AJ289" s="82" t="n">
        <v>47.65</v>
      </c>
      <c r="AK289" s="82" t="n">
        <v>16.34</v>
      </c>
      <c r="AL289" s="82" t="n">
        <v>26.91</v>
      </c>
      <c r="AM289" s="83" t="n">
        <v>3.91</v>
      </c>
      <c r="AN289" s="75" t="n">
        <v>32.38</v>
      </c>
      <c r="AO289" s="82" t="n">
        <v>25.21</v>
      </c>
      <c r="AP289" s="82" t="n">
        <v>-1.94</v>
      </c>
      <c r="AQ289" s="82" t="n">
        <v>16.9</v>
      </c>
      <c r="AR289" s="82" t="n">
        <v>-15.2</v>
      </c>
      <c r="AS289" s="82" t="n">
        <v>-33.59</v>
      </c>
      <c r="AT289" s="82" t="n">
        <v>-20.83</v>
      </c>
      <c r="AU289" s="82" t="n">
        <v>32.91</v>
      </c>
      <c r="AV289" s="82" t="n">
        <v>-1.5</v>
      </c>
      <c r="AW289" s="82" t="n">
        <v>5.72</v>
      </c>
      <c r="AX289" s="82" t="n">
        <v>-33.37</v>
      </c>
      <c r="AY289" s="82" t="n">
        <v>-0.44</v>
      </c>
      <c r="AZ289" s="82" t="n">
        <v>-0.22</v>
      </c>
      <c r="BA289" s="71" t="inlineStr">
        <is>
          <t>HSTECH (Hang Seng TECH ETF)</t>
        </is>
      </c>
      <c r="BB289" s="82" t="n">
        <v>-55.96</v>
      </c>
      <c r="BC289" s="72" t="inlineStr">
        <is>
          <t>2026-09-23</t>
        </is>
      </c>
      <c r="BD289" s="73" t="n">
        <v>2043.8</v>
      </c>
      <c r="BE289" s="76" t="n">
        <v>79.2</v>
      </c>
      <c r="BF289" s="71" t="inlineStr">
        <is>
          <t>Y</t>
        </is>
      </c>
      <c r="BG289" s="83" t="n">
        <v>24.5</v>
      </c>
      <c r="BH289" s="83" t="n">
        <v>30.8</v>
      </c>
      <c r="BI289" s="83" t="n">
        <v>11.1</v>
      </c>
      <c r="BJ289" s="83" t="n">
        <v>0.9</v>
      </c>
      <c r="BK289" s="84">
        <f>IF('BBG Verify'!S289="","not filed; run on terminal",'BBG Verify'!S289)</f>
        <v/>
      </c>
      <c r="BL289" s="85" t="inlineStr">
        <is>
          <t>N</t>
        </is>
      </c>
      <c r="BM289" s="86">
        <f>IF('BBG Verify'!K289="","not filed; run on terminal",'BBG Verify'!K289)</f>
        <v/>
      </c>
      <c r="BN289" s="71" t="inlineStr">
        <is>
          <t>N/A</t>
        </is>
      </c>
      <c r="BO289" s="71" t="inlineStr">
        <is>
          <t>N/A</t>
        </is>
      </c>
      <c r="BP289" s="71" t="inlineStr">
        <is>
          <t>N/A</t>
        </is>
      </c>
      <c r="BQ289" s="71" t="inlineStr">
        <is>
          <t>N/A</t>
        </is>
      </c>
      <c r="BR289" s="71" t="inlineStr">
        <is>
          <t>N/A</t>
        </is>
      </c>
      <c r="BS289" s="71" t="inlineStr">
        <is>
          <t>N/A</t>
        </is>
      </c>
      <c r="BT289" s="85" t="n"/>
      <c r="BU289" s="71" t="inlineStr">
        <is>
          <t>CITIC Securities (Hong Kong) Limited</t>
        </is>
      </c>
      <c r="BV289" s="71" t="inlineStr">
        <is>
          <t>ABCI Securities Company Limited; BOCI Asia Limited; China Galaxy International Securities (Hong Kong) Company Limited; CLSA Limited; China Sunrise Securities (International) Limited; Futu Securities International (Hong Kong) Limited</t>
        </is>
      </c>
      <c r="BW289" s="71"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X289" s="87">
        <f>HYPERLINK("https://www1.hkexnews.hk/listedco/listconews/sehk/2024/1031/2024103100078.htm","prospectus")</f>
        <v/>
      </c>
      <c r="BY289" s="87">
        <f>HYPERLINK("https://www1.hkexnews.hk/listedco/listconews/sehk/2024/1107/2024110701242.pdf","allotment")</f>
        <v/>
      </c>
      <c r="BZ289" s="71" t="n"/>
      <c r="CA289" s="85" t="n"/>
      <c r="CB28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t>
        </is>
      </c>
    </row>
    <row r="290" ht="15" customHeight="1">
      <c r="A290" s="70" t="inlineStr">
        <is>
          <t>2582</t>
        </is>
      </c>
      <c r="B290" s="71" t="inlineStr">
        <is>
          <t>GUOFUHEE</t>
        </is>
      </c>
      <c r="C290" s="71" t="inlineStr">
        <is>
          <t>國富氫能</t>
        </is>
      </c>
      <c r="D290" s="71" t="inlineStr">
        <is>
          <t>Industrials</t>
        </is>
      </c>
      <c r="E290" s="71" t="inlineStr">
        <is>
          <t>Batteries / energy storage</t>
        </is>
      </c>
      <c r="F290" s="71" t="inlineStr">
        <is>
          <t>Electrical Components &amp; Equipment</t>
        </is>
      </c>
      <c r="G290" s="71" t="inlineStr">
        <is>
          <t>Standard</t>
        </is>
      </c>
      <c r="H290" s="72" t="n">
        <v>45611</v>
      </c>
      <c r="I290" s="73" t="n">
        <v>390</v>
      </c>
      <c r="J290" s="71" t="inlineStr">
        <is>
          <t>gross (price x shares)</t>
        </is>
      </c>
      <c r="K290" s="74" t="n">
        <v>65</v>
      </c>
      <c r="L290" s="74" t="n">
        <v>73</v>
      </c>
      <c r="M290" s="74" t="n">
        <v>65</v>
      </c>
      <c r="N290" s="71" t="inlineStr">
        <is>
          <t>N</t>
        </is>
      </c>
      <c r="O290" s="75" t="n">
        <v>89</v>
      </c>
      <c r="P290" s="75" t="n">
        <v>0</v>
      </c>
      <c r="Q290" s="76" t="n">
        <v>6806.2</v>
      </c>
      <c r="R290" s="71" t="inlineStr">
        <is>
          <t>derived:price x shares upon listing</t>
        </is>
      </c>
      <c r="S290" s="77" t="n">
        <v>21.07</v>
      </c>
      <c r="T290" s="78" t="n">
        <v>0.99</v>
      </c>
      <c r="U290" s="79" t="n">
        <v>80.8</v>
      </c>
      <c r="V290" s="80" t="n">
        <v>164</v>
      </c>
      <c r="W290" s="75" t="n">
        <v>12.09</v>
      </c>
      <c r="X290" s="71" t="inlineStr">
        <is>
          <t>NO</t>
        </is>
      </c>
      <c r="Y290" s="76" t="n">
        <v>74.88</v>
      </c>
      <c r="Z290" s="76" t="n">
        <v>1152000</v>
      </c>
      <c r="AA290" s="75" t="n">
        <v>1.1</v>
      </c>
      <c r="AB290" s="71" t="inlineStr">
        <is>
          <t>HongKong Frontier Tanzhonghe Limited; Yue Chuang New Energy HK Limited</t>
        </is>
      </c>
      <c r="AC290" s="71" t="inlineStr">
        <is>
          <t>hongkong;yue</t>
        </is>
      </c>
      <c r="AD290" s="75" t="n"/>
      <c r="AE290" s="71" t="n"/>
      <c r="AF290" s="71" t="n"/>
      <c r="AG290" s="71" t="n"/>
      <c r="AH290" s="71" t="n"/>
      <c r="AI290" s="81" t="n">
        <v>24.2</v>
      </c>
      <c r="AJ290" s="82" t="n">
        <v>20</v>
      </c>
      <c r="AK290" s="82" t="n">
        <v>26.62</v>
      </c>
      <c r="AL290" s="82" t="n">
        <v>-5.23</v>
      </c>
      <c r="AM290" s="83" t="n">
        <v>1.05</v>
      </c>
      <c r="AN290" s="75" t="n">
        <v>5.95</v>
      </c>
      <c r="AO290" s="82" t="n">
        <v>48.54</v>
      </c>
      <c r="AP290" s="82" t="n">
        <v>69.84999999999999</v>
      </c>
      <c r="AQ290" s="82" t="n">
        <v>132.15</v>
      </c>
      <c r="AR290" s="82" t="n">
        <v>23.78</v>
      </c>
      <c r="AS290" s="82" t="n">
        <v>41.54</v>
      </c>
      <c r="AT290" s="82" t="n">
        <v>93.45999999999999</v>
      </c>
      <c r="AU290" s="82" t="n">
        <v>49.64</v>
      </c>
      <c r="AV290" s="82" t="n">
        <v>68.18000000000001</v>
      </c>
      <c r="AW290" s="82" t="n">
        <v>111.97</v>
      </c>
      <c r="AX290" s="82" t="n">
        <v>39.99</v>
      </c>
      <c r="AY290" s="82" t="n">
        <v>1.67</v>
      </c>
      <c r="AZ290" s="82" t="n">
        <v>1.55</v>
      </c>
      <c r="BA290" s="71" t="inlineStr">
        <is>
          <t>Hang Seng Commerce &amp; Industry sub-index</t>
        </is>
      </c>
      <c r="BB290" s="82" t="n">
        <v>-92.86</v>
      </c>
      <c r="BC290" s="72" t="inlineStr">
        <is>
          <t>2026-09-23</t>
        </is>
      </c>
      <c r="BD290" s="73" t="n">
        <v>574.7</v>
      </c>
      <c r="BE290" s="76" t="n">
        <v>-82.5</v>
      </c>
      <c r="BF290" s="71" t="inlineStr">
        <is>
          <t>N</t>
        </is>
      </c>
      <c r="BG290" s="71" t="inlineStr">
        <is>
          <t>n/m</t>
        </is>
      </c>
      <c r="BH290" s="83" t="n"/>
      <c r="BI290" s="83" t="n"/>
      <c r="BJ290" s="83" t="n">
        <v>11.8</v>
      </c>
      <c r="BK290" s="84">
        <f>IF('BBG Verify'!S290="","not filed; run on terminal",'BBG Verify'!S290)</f>
        <v/>
      </c>
      <c r="BL290" s="85" t="inlineStr">
        <is>
          <t>N</t>
        </is>
      </c>
      <c r="BM290" s="86">
        <f>IF('BBG Verify'!K290="","not filed; run on terminal",'BBG Verify'!K290)</f>
        <v/>
      </c>
      <c r="BN290" s="71" t="inlineStr">
        <is>
          <t>N/A</t>
        </is>
      </c>
      <c r="BO290" s="71" t="inlineStr">
        <is>
          <t>N/A</t>
        </is>
      </c>
      <c r="BP290" s="71" t="inlineStr">
        <is>
          <t>N/A</t>
        </is>
      </c>
      <c r="BQ290" s="71" t="inlineStr">
        <is>
          <t>N/A</t>
        </is>
      </c>
      <c r="BR290" s="71" t="inlineStr">
        <is>
          <t>N/A</t>
        </is>
      </c>
      <c r="BS290" s="71" t="inlineStr">
        <is>
          <t>N/A</t>
        </is>
      </c>
      <c r="BT290" s="85" t="inlineStr">
        <is>
          <t>Haitong International Capital Limited; CITIC Securities (Hong Kong) Limited</t>
        </is>
      </c>
      <c r="BU290" s="71" t="inlineStr">
        <is>
          <t>Haitong International Capital Limited; CITIC Securities (Hong Kong) Limited</t>
        </is>
      </c>
      <c r="BV290" s="71"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W290" s="71"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X290" s="87">
        <f>HYPERLINK("https://www1.hkexnews.hk/listedco/listconews/sehk/2024/1107/2024110700009.pdf","prospectus")</f>
        <v/>
      </c>
      <c r="BY290" s="87">
        <f>HYPERLINK("https://www1.hkexnews.hk/listedco/listconews/sehk/2024/1114/2024111400951.pdf","allotment")</f>
        <v/>
      </c>
      <c r="BZ290" s="71" t="n"/>
      <c r="CA290" s="85" t="n"/>
      <c r="CB290" s="71" t="inlineStr">
        <is>
          <t>P/E: loss-making at IPO, use P/S; greenshoe: no over-allotment option; greenshoe size: no over-allotment option; stabilising manager: filing states none appointed (allotment announcement: 'no stabilizing manager will be appointed' stated in the filing)</t>
        </is>
      </c>
    </row>
    <row r="291" ht="15" customHeight="1">
      <c r="A291" s="70" t="inlineStr">
        <is>
          <t>6936</t>
        </is>
      </c>
      <c r="B291" s="71" t="inlineStr">
        <is>
          <t>SF HOLDING</t>
        </is>
      </c>
      <c r="C291" s="71" t="inlineStr">
        <is>
          <t>順豐控股</t>
        </is>
      </c>
      <c r="D291" s="71" t="inlineStr">
        <is>
          <t>Industrials</t>
        </is>
      </c>
      <c r="E291" s="71" t="inlineStr">
        <is>
          <t>Logistics</t>
        </is>
      </c>
      <c r="F291" s="71" t="inlineStr">
        <is>
          <t>Air Freight &amp; Logistics</t>
        </is>
      </c>
      <c r="G291" s="71" t="inlineStr">
        <is>
          <t>Standard</t>
        </is>
      </c>
      <c r="H291" s="72" t="n">
        <v>45623</v>
      </c>
      <c r="I291" s="73" t="n">
        <v>5831</v>
      </c>
      <c r="J291" s="71" t="inlineStr">
        <is>
          <t>gross (stated)</t>
        </is>
      </c>
      <c r="K291" s="74" t="n"/>
      <c r="L291" s="74" t="n">
        <v>36.3</v>
      </c>
      <c r="M291" s="74" t="n">
        <v>34.3</v>
      </c>
      <c r="N291" s="71" t="inlineStr">
        <is>
          <t>N</t>
        </is>
      </c>
      <c r="O291" s="75" t="n">
        <v>94.5</v>
      </c>
      <c r="P291" s="75" t="n"/>
      <c r="Q291" s="76" t="n">
        <v>149512.8</v>
      </c>
      <c r="R291" s="71" t="inlineStr">
        <is>
          <t>derived:deal size / offer % of enlarged capital</t>
        </is>
      </c>
      <c r="S291" s="77" t="n">
        <v>79.06999999999999</v>
      </c>
      <c r="T291" s="78" t="n">
        <v>10.1</v>
      </c>
      <c r="U291" s="79" t="n">
        <v>27.4</v>
      </c>
      <c r="V291" s="80" t="n">
        <v>153</v>
      </c>
      <c r="W291" s="75" t="n">
        <v>18.5</v>
      </c>
      <c r="X291" s="71" t="inlineStr">
        <is>
          <t>YES</t>
        </is>
      </c>
      <c r="Y291" s="76" t="n">
        <v>4233.31</v>
      </c>
      <c r="Z291" s="76" t="n">
        <v>123420000</v>
      </c>
      <c r="AA291" s="75" t="n">
        <v>2.83</v>
      </c>
      <c r="AB291" s="71" t="inlineStr">
        <is>
          <t>CPIC; Wisdomshire AM; Norges Bank</t>
        </is>
      </c>
      <c r="AC291" s="71" t="inlineStr">
        <is>
          <t>cpic;wisdomshire;norges</t>
        </is>
      </c>
      <c r="AD291" s="75" t="n">
        <v>15</v>
      </c>
      <c r="AE291" s="71" t="inlineStr">
        <is>
          <t>lapsed</t>
        </is>
      </c>
      <c r="AF291" s="71" t="inlineStr">
        <is>
          <t>2024-12-22</t>
        </is>
      </c>
      <c r="AG291" s="71" t="inlineStr">
        <is>
          <t>J.P. Morgan Securities</t>
        </is>
      </c>
      <c r="AH291" s="71" t="inlineStr">
        <is>
          <t>JP Morgan</t>
        </is>
      </c>
      <c r="AI291" s="81" t="n">
        <v>-0.875</v>
      </c>
      <c r="AJ291" s="82" t="n">
        <v>0</v>
      </c>
      <c r="AK291" s="82" t="n">
        <v>0</v>
      </c>
      <c r="AL291" s="82" t="n">
        <v>0</v>
      </c>
      <c r="AM291" s="83" t="n">
        <v>1.64</v>
      </c>
      <c r="AN291" s="75" t="n">
        <v>3.5</v>
      </c>
      <c r="AO291" s="82" t="n">
        <v>-4.96</v>
      </c>
      <c r="AP291" s="82" t="n">
        <v>-1.31</v>
      </c>
      <c r="AQ291" s="82" t="n">
        <v>10.93</v>
      </c>
      <c r="AR291" s="82" t="n">
        <v>-4.96</v>
      </c>
      <c r="AS291" s="82" t="n">
        <v>-1.31</v>
      </c>
      <c r="AT291" s="82" t="n">
        <v>10.93</v>
      </c>
      <c r="AU291" s="82" t="n">
        <v>-8.140000000000001</v>
      </c>
      <c r="AV291" s="82" t="n">
        <v>-5.57</v>
      </c>
      <c r="AW291" s="82" t="n">
        <v>-12.2</v>
      </c>
      <c r="AX291" s="82" t="n">
        <v>-2.59</v>
      </c>
      <c r="AY291" s="82" t="n">
        <v>4.26</v>
      </c>
      <c r="AZ291" s="82" t="n">
        <v>1.28</v>
      </c>
      <c r="BA291" s="71" t="inlineStr">
        <is>
          <t>Hang Seng Commerce &amp; Industry sub-index</t>
        </is>
      </c>
      <c r="BB291" s="82" t="n">
        <v>-15.8</v>
      </c>
      <c r="BC291" s="72" t="inlineStr">
        <is>
          <t>2026-09-23</t>
        </is>
      </c>
      <c r="BD291" s="73" t="n">
        <v>284250.3</v>
      </c>
      <c r="BE291" s="76" t="n">
        <v>8702.799999999999</v>
      </c>
      <c r="BF291" s="71" t="inlineStr">
        <is>
          <t>Y</t>
        </is>
      </c>
      <c r="BG291" s="83" t="n">
        <v>17.2</v>
      </c>
      <c r="BH291" s="83" t="n">
        <v>16.1</v>
      </c>
      <c r="BI291" s="83" t="n">
        <v>12.1</v>
      </c>
      <c r="BJ291" s="83" t="n">
        <v>0.5</v>
      </c>
      <c r="BK291" s="84">
        <f>IF('BBG Verify'!S291="","not filed; run on terminal",'BBG Verify'!S291)</f>
        <v/>
      </c>
      <c r="BL291" s="85" t="inlineStr">
        <is>
          <t>Y</t>
        </is>
      </c>
      <c r="BM291" s="71" t="inlineStr">
        <is>
          <t>002352.SZ</t>
        </is>
      </c>
      <c r="BN291" s="82" t="n">
        <v>31.72</v>
      </c>
      <c r="BO291" s="74" t="n">
        <v>45.1814</v>
      </c>
      <c r="BP291" s="89" t="n">
        <v>0.2472</v>
      </c>
      <c r="BQ291" s="76" t="n">
        <v>185164.8</v>
      </c>
      <c r="BR291" s="84">
        <f>IF('BBG Verify'!Q291="","run on terminal",'BBG Verify'!Q291)</f>
        <v/>
      </c>
      <c r="BS291" s="84">
        <f>IF('BBG Verify'!R291="","run on terminal",'BBG Verify'!R291)</f>
        <v/>
      </c>
      <c r="BT291" s="85" t="inlineStr">
        <is>
          <t>Goldman Sachs (Asia) L.L.C; Huatai Financial Holdings (Hong Kong) Limited; J.P. Morgan Securities (Far East) Limited</t>
        </is>
      </c>
      <c r="BU291" s="71" t="inlineStr">
        <is>
          <t>J.P. Morgan Securities (Far East) Limited; Goldman Sachs (Asia) L.L.C.; Huatai Financial Holdings (Hong Kong) Limited</t>
        </is>
      </c>
      <c r="BV291" s="71"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W291" s="71"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X291" s="87">
        <f>HYPERLINK("https://www1.hkexnews.hk/listedco/listconews/sehk/2024/1119/2024111900011.pdf","prospectus")</f>
        <v/>
      </c>
      <c r="BY291" s="87">
        <f>HYPERLINK("https://www1.hkexnews.hk/listedco/listconews/sehk/2024/1126/2024112601132.pdf","allotment")</f>
        <v/>
      </c>
      <c r="BZ291" s="87">
        <f>HYPERLINK("https://www1.hkexnews.hk/listedco/listconews/sehk/2024/1223/2024122300065.pdf","stabilisation")</f>
        <v/>
      </c>
      <c r="CA291" s="85" t="n"/>
      <c r="CB291" s="71" t="inlineStr">
        <is>
          <t>range low: maximum offer price only, no floor published; A/H: Nov 2024, ~US$750m; first A+H express logistics name</t>
        </is>
      </c>
    </row>
    <row r="292" ht="15" customHeight="1">
      <c r="A292" s="70" t="inlineStr">
        <is>
          <t>2566</t>
        </is>
      </c>
      <c r="B292" s="71" t="inlineStr">
        <is>
          <t>JIUYUAN GENE</t>
        </is>
      </c>
      <c r="C292" s="71" t="inlineStr">
        <is>
          <t>九源基因</t>
        </is>
      </c>
      <c r="D292" s="71" t="inlineStr">
        <is>
          <t>Healthcare</t>
        </is>
      </c>
      <c r="E292" s="71" t="inlineStr">
        <is>
          <t>Biopharma commercial</t>
        </is>
      </c>
      <c r="F292" s="71" t="inlineStr">
        <is>
          <t>Pharmaceuticals</t>
        </is>
      </c>
      <c r="G292" s="71" t="inlineStr">
        <is>
          <t>Standard</t>
        </is>
      </c>
      <c r="H292" s="72" t="n">
        <v>45624</v>
      </c>
      <c r="I292" s="73" t="n">
        <v>563.9</v>
      </c>
      <c r="J292" s="71" t="inlineStr">
        <is>
          <t>gross (price x shares)</t>
        </is>
      </c>
      <c r="K292" s="74" t="n">
        <v>11.48</v>
      </c>
      <c r="L292" s="74" t="n">
        <v>12.56</v>
      </c>
      <c r="M292" s="74" t="n">
        <v>12.42</v>
      </c>
      <c r="N292" s="71" t="inlineStr">
        <is>
          <t>N</t>
        </is>
      </c>
      <c r="O292" s="75" t="n">
        <v>98.90000000000001</v>
      </c>
      <c r="P292" s="75" t="n">
        <v>87</v>
      </c>
      <c r="Q292" s="76" t="n">
        <v>3047.9</v>
      </c>
      <c r="R292" s="71" t="inlineStr">
        <is>
          <t>derived:price x shares upon listing</t>
        </is>
      </c>
      <c r="S292" s="77" t="n">
        <v>675.83</v>
      </c>
      <c r="T292" s="78" t="n">
        <v>1.18</v>
      </c>
      <c r="U292" s="79" t="n">
        <v>49.66</v>
      </c>
      <c r="V292" s="80" t="n">
        <v>108</v>
      </c>
      <c r="W292" s="75" t="n">
        <v>50</v>
      </c>
      <c r="X292" s="71" t="inlineStr">
        <is>
          <t>YES</t>
        </is>
      </c>
      <c r="Y292" s="76" t="n">
        <v>283.87</v>
      </c>
      <c r="Z292" s="76" t="n">
        <v>22853756</v>
      </c>
      <c r="AA292" s="75" t="n">
        <v>9.31</v>
      </c>
      <c r="AB292" s="71" t="inlineStr">
        <is>
          <t>Heda Jinyuan (HK); Fosun Industrial; Hong Kong King-Friend Industrial; Alibaba Health (Hong Kong) Technology; Jointown International Group Company Limited; Mr. Wu Qiyuan; Delta Capital Hong Kong</t>
        </is>
      </c>
      <c r="AC292" s="71" t="inlineStr">
        <is>
          <t>heda;fosun;king;alibaba;jointown;mr-wu;delta</t>
        </is>
      </c>
      <c r="AD292" s="75" t="n">
        <v>17.16</v>
      </c>
      <c r="AE292" s="71" t="n"/>
      <c r="AF292" s="71" t="n"/>
      <c r="AG292" s="71" t="inlineStr">
        <is>
          <t>Huatai Financial Holdings</t>
        </is>
      </c>
      <c r="AH292" s="71" t="inlineStr">
        <is>
          <t>Huatai</t>
        </is>
      </c>
      <c r="AI292" s="81" t="n">
        <v>-28.502</v>
      </c>
      <c r="AJ292" s="82" t="n">
        <v>-38.41</v>
      </c>
      <c r="AK292" s="82" t="n">
        <v>-39.61</v>
      </c>
      <c r="AL292" s="82" t="n">
        <v>1.99</v>
      </c>
      <c r="AM292" s="83" t="n">
        <v>1.28</v>
      </c>
      <c r="AN292" s="75" t="n">
        <v>21.33</v>
      </c>
      <c r="AO292" s="82" t="n">
        <v>-35.35</v>
      </c>
      <c r="AP292" s="82" t="n">
        <v>-46.86</v>
      </c>
      <c r="AQ292" s="82" t="n">
        <v>-47.42</v>
      </c>
      <c r="AR292" s="82" t="n">
        <v>4.97</v>
      </c>
      <c r="AS292" s="82" t="n">
        <v>-13.72</v>
      </c>
      <c r="AT292" s="82" t="n">
        <v>-14.63</v>
      </c>
      <c r="AU292" s="82" t="n">
        <v>-34.84</v>
      </c>
      <c r="AV292" s="82" t="n">
        <v>-43.8</v>
      </c>
      <c r="AW292" s="82" t="n">
        <v>-54.93</v>
      </c>
      <c r="AX292" s="82" t="n">
        <v>-11.73</v>
      </c>
      <c r="AY292" s="82" t="n">
        <v>-3.06</v>
      </c>
      <c r="AZ292" s="82" t="n">
        <v>-1.99</v>
      </c>
      <c r="BA292" s="71" t="inlineStr">
        <is>
          <t>China Biotech ETF (HS biotech proxy)</t>
        </is>
      </c>
      <c r="BB292" s="82" t="n">
        <v>-55.72</v>
      </c>
      <c r="BC292" s="72" t="inlineStr">
        <is>
          <t>2026-09-22</t>
        </is>
      </c>
      <c r="BD292" s="73" t="n">
        <v>1416.1</v>
      </c>
      <c r="BE292" s="76" t="n">
        <v>131.8</v>
      </c>
      <c r="BF292" s="71" t="inlineStr">
        <is>
          <t>Y</t>
        </is>
      </c>
      <c r="BG292" s="83" t="n">
        <v>23.1</v>
      </c>
      <c r="BH292" s="83" t="n"/>
      <c r="BI292" s="83" t="n">
        <v>8.1</v>
      </c>
      <c r="BJ292" s="83" t="n">
        <v>2.2</v>
      </c>
      <c r="BK292" s="84">
        <f>IF('BBG Verify'!S292="","not filed; run on terminal",'BBG Verify'!S292)</f>
        <v/>
      </c>
      <c r="BL292" s="85" t="inlineStr">
        <is>
          <t>N</t>
        </is>
      </c>
      <c r="BM292" s="86">
        <f>IF('BBG Verify'!K292="","not filed; run on terminal",'BBG Verify'!K292)</f>
        <v/>
      </c>
      <c r="BN292" s="71" t="inlineStr">
        <is>
          <t>N/A</t>
        </is>
      </c>
      <c r="BO292" s="71" t="inlineStr">
        <is>
          <t>N/A</t>
        </is>
      </c>
      <c r="BP292" s="71" t="inlineStr">
        <is>
          <t>N/A</t>
        </is>
      </c>
      <c r="BQ292" s="71" t="inlineStr">
        <is>
          <t>N/A</t>
        </is>
      </c>
      <c r="BR292" s="71" t="inlineStr">
        <is>
          <t>N/A</t>
        </is>
      </c>
      <c r="BS292" s="71" t="inlineStr">
        <is>
          <t>N/A</t>
        </is>
      </c>
      <c r="BT292" s="85" t="inlineStr">
        <is>
          <t>Huatai Financial Holdings (Hong Kong) Limited</t>
        </is>
      </c>
      <c r="BU292" s="71" t="inlineStr">
        <is>
          <t>Huatai Financial Holdings (Hong Kong) Limited</t>
        </is>
      </c>
      <c r="BV292" s="71" t="inlineStr">
        <is>
          <t>Huatai Financial Holdings (Hong Kong) Limited; CLSA Limited</t>
        </is>
      </c>
      <c r="BW292" s="71" t="inlineStr">
        <is>
          <t>CLSA Limited; CMB International Capital Limited; Huatai Financial Holdings (Hong Kong) Limited; Patrons Securities Limited; Ruibang Securities Limited</t>
        </is>
      </c>
      <c r="BX292" s="87">
        <f>HYPERLINK("https://www1.hkexnews.hk/listedco/listconews/sehk/2024/1120/2024112000019.pdf","prospectus")</f>
        <v/>
      </c>
      <c r="BY292" s="87">
        <f>HYPERLINK("https://www1.hkexnews.hk/listedco/listconews/sehk/2024/1127/2024112701177.pdf","allotment")</f>
        <v/>
      </c>
      <c r="BZ292" s="71" t="n"/>
      <c r="CA292" s="85" t="n"/>
      <c r="CB292" s="71" t="inlineStr">
        <is>
          <t>greenshoe: end-of-stabilisation notice not found</t>
        </is>
      </c>
    </row>
    <row r="293" ht="15" customHeight="1">
      <c r="A293" s="70" t="inlineStr">
        <is>
          <t>2585</t>
        </is>
      </c>
      <c r="B293" s="71" t="inlineStr">
        <is>
          <t>MOKINGRAN</t>
        </is>
      </c>
      <c r="C293" s="71" t="inlineStr">
        <is>
          <t>夢金園</t>
        </is>
      </c>
      <c r="D293" s="71" t="inlineStr">
        <is>
          <t>Consumer</t>
        </is>
      </c>
      <c r="E293" s="71" t="inlineStr">
        <is>
          <t>Apparel / luxury</t>
        </is>
      </c>
      <c r="F293" s="71" t="inlineStr">
        <is>
          <t>Watch &amp; Jewellery</t>
        </is>
      </c>
      <c r="G293" s="71" t="inlineStr">
        <is>
          <t>Standard</t>
        </is>
      </c>
      <c r="H293" s="72" t="n">
        <v>45625</v>
      </c>
      <c r="I293" s="73" t="n">
        <v>527.48</v>
      </c>
      <c r="J293" s="71" t="inlineStr">
        <is>
          <t>gross (stated)</t>
        </is>
      </c>
      <c r="K293" s="74" t="n">
        <v>12</v>
      </c>
      <c r="L293" s="74" t="n">
        <v>14.4</v>
      </c>
      <c r="M293" s="74" t="n">
        <v>12</v>
      </c>
      <c r="N293" s="71" t="inlineStr">
        <is>
          <t>N</t>
        </is>
      </c>
      <c r="O293" s="75" t="n">
        <v>83.3</v>
      </c>
      <c r="P293" s="75" t="n">
        <v>0</v>
      </c>
      <c r="Q293" s="76" t="n">
        <v>3276.3</v>
      </c>
      <c r="R293" s="71" t="inlineStr">
        <is>
          <t>derived:price x shares upon listing</t>
        </is>
      </c>
      <c r="S293" s="77" t="n">
        <v>20.58</v>
      </c>
      <c r="T293" s="78" t="n">
        <v>0.98</v>
      </c>
      <c r="U293" s="79" t="n">
        <v>39.77</v>
      </c>
      <c r="V293" s="80" t="n">
        <v>112</v>
      </c>
      <c r="W293" s="75" t="n">
        <v>20</v>
      </c>
      <c r="X293" s="71" t="n"/>
      <c r="Y293" s="76" t="n">
        <v>317.7</v>
      </c>
      <c r="Z293" s="76" t="n">
        <v>26475181</v>
      </c>
      <c r="AA293" s="75" t="n">
        <v>9.699999999999999</v>
      </c>
      <c r="AB293" s="71" t="inlineStr">
        <is>
          <t>Swift Grace</t>
        </is>
      </c>
      <c r="AC293" s="71" t="inlineStr">
        <is>
          <t>swift</t>
        </is>
      </c>
      <c r="AD293" s="75" t="n">
        <v>5.64</v>
      </c>
      <c r="AE293" s="71" t="n"/>
      <c r="AF293" s="71" t="n"/>
      <c r="AG293" s="71" t="n"/>
      <c r="AH293" s="71" t="n"/>
      <c r="AI293" s="81" t="n">
        <v>4.5</v>
      </c>
      <c r="AJ293" s="82" t="n">
        <v>7.5</v>
      </c>
      <c r="AK293" s="82" t="n">
        <v>4.17</v>
      </c>
      <c r="AL293" s="82" t="n">
        <v>3.2</v>
      </c>
      <c r="AM293" s="83" t="n">
        <v>1.42</v>
      </c>
      <c r="AN293" s="75" t="n">
        <v>16</v>
      </c>
      <c r="AO293" s="82" t="n">
        <v>-3.33</v>
      </c>
      <c r="AP293" s="82" t="n">
        <v>13.5</v>
      </c>
      <c r="AQ293" s="82" t="n">
        <v>48.67</v>
      </c>
      <c r="AR293" s="82" t="n">
        <v>-10.07</v>
      </c>
      <c r="AS293" s="82" t="n">
        <v>5.58</v>
      </c>
      <c r="AT293" s="82" t="n">
        <v>38.3</v>
      </c>
      <c r="AU293" s="82" t="n">
        <v>-5.69</v>
      </c>
      <c r="AV293" s="82" t="n">
        <v>12.42</v>
      </c>
      <c r="AW293" s="82" t="n">
        <v>17.28</v>
      </c>
      <c r="AX293" s="82" t="n">
        <v>4.8</v>
      </c>
      <c r="AY293" s="82" t="n">
        <v>1.08</v>
      </c>
      <c r="AZ293" s="82" t="n">
        <v>0.78</v>
      </c>
      <c r="BA293" s="71" t="inlineStr">
        <is>
          <t>Hang Seng Commerce &amp; Industry sub-index</t>
        </is>
      </c>
      <c r="BB293" s="82" t="n">
        <v>125</v>
      </c>
      <c r="BC293" s="72" t="inlineStr">
        <is>
          <t>2026-09-23</t>
        </is>
      </c>
      <c r="BD293" s="73" t="n">
        <v>22229.5</v>
      </c>
      <c r="BE293" s="76" t="n">
        <v>256.8</v>
      </c>
      <c r="BF293" s="71" t="inlineStr">
        <is>
          <t>Y</t>
        </is>
      </c>
      <c r="BG293" s="83" t="n">
        <v>12.8</v>
      </c>
      <c r="BH293" s="83" t="n">
        <v>15.8</v>
      </c>
      <c r="BI293" s="83" t="n">
        <v>65.7</v>
      </c>
      <c r="BJ293" s="83" t="n">
        <v>0.1</v>
      </c>
      <c r="BK293" s="84">
        <f>IF('BBG Verify'!S293="","not filed; run on terminal",'BBG Verify'!S293)</f>
        <v/>
      </c>
      <c r="BL293" s="85" t="inlineStr">
        <is>
          <t>N</t>
        </is>
      </c>
      <c r="BM293" s="86">
        <f>IF('BBG Verify'!K293="","not filed; run on terminal",'BBG Verify'!K293)</f>
        <v/>
      </c>
      <c r="BN293" s="71" t="inlineStr">
        <is>
          <t>N/A</t>
        </is>
      </c>
      <c r="BO293" s="71" t="inlineStr">
        <is>
          <t>N/A</t>
        </is>
      </c>
      <c r="BP293" s="71" t="inlineStr">
        <is>
          <t>N/A</t>
        </is>
      </c>
      <c r="BQ293" s="71" t="inlineStr">
        <is>
          <t>N/A</t>
        </is>
      </c>
      <c r="BR293" s="71" t="inlineStr">
        <is>
          <t>N/A</t>
        </is>
      </c>
      <c r="BS293" s="71" t="inlineStr">
        <is>
          <t>N/A</t>
        </is>
      </c>
      <c r="BT293" s="85" t="inlineStr">
        <is>
          <t>CITIC Securities (Hong Kong) Limited</t>
        </is>
      </c>
      <c r="BU293" s="71" t="inlineStr">
        <is>
          <t>CITIC Securities (Hong Kong) Limited</t>
        </is>
      </c>
      <c r="BV293" s="71" t="inlineStr">
        <is>
          <t>CLSA Limited; ABCI Capital Limited; China Everbright Securities (HK) Limited; Futu Securities International (Hong Kong) Limited; ICBC International Securities Limited; TradeGo Markets Limited</t>
        </is>
      </c>
      <c r="BW293" s="71" t="inlineStr">
        <is>
          <t>ABCI Securities Company Limited; China Everbright Securities (HK) Limited; CLSA Limited; Futu Securities International (Hong Kong) Limited; ICBC International Securities Limited; TradeGo Markets Limited</t>
        </is>
      </c>
      <c r="BX293" s="87">
        <f>HYPERLINK("https://www1.hkexnews.hk/listedco/listconews/sehk/2024/1121/2024112100017.pdf","prospectus")</f>
        <v/>
      </c>
      <c r="BY293" s="87">
        <f>HYPERLINK("https://www1.hkexnews.hk/listedco/listconews/sehk/2024/1128/2024112801779.pdf","allotment")</f>
        <v/>
      </c>
      <c r="BZ293" s="87">
        <f>HYPERLINK("https://www1.hkexnews.hk/listedco/listconews/sehk/2024/1227/2024122700111.pdf","stabilisation")</f>
        <v/>
      </c>
      <c r="CA293" s="85" t="n"/>
      <c r="CB293" s="71" t="inlineStr">
        <is>
          <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t>
        </is>
      </c>
    </row>
    <row r="294" ht="15" customHeight="1">
      <c r="A294" s="70" t="inlineStr">
        <is>
          <t>2586</t>
        </is>
      </c>
      <c r="B294" s="71" t="inlineStr">
        <is>
          <t>DMALL</t>
        </is>
      </c>
      <c r="C294" s="71" t="inlineStr">
        <is>
          <t>多點數智</t>
        </is>
      </c>
      <c r="D294" s="71" t="inlineStr">
        <is>
          <t>Tech/AI</t>
        </is>
      </c>
      <c r="E294" s="71" t="inlineStr">
        <is>
          <t>SaaS / enterprise software</t>
        </is>
      </c>
      <c r="F294" s="71" t="inlineStr">
        <is>
          <t>Application Software</t>
        </is>
      </c>
      <c r="G294" s="71" t="inlineStr">
        <is>
          <t>Standard</t>
        </is>
      </c>
      <c r="H294" s="72" t="n">
        <v>45632</v>
      </c>
      <c r="I294" s="73" t="n">
        <v>778.6</v>
      </c>
      <c r="J294" s="71" t="inlineStr">
        <is>
          <t>gross (price x shares)</t>
        </is>
      </c>
      <c r="K294" s="74" t="n"/>
      <c r="L294" s="74" t="n">
        <v>30.21</v>
      </c>
      <c r="M294" s="74" t="n">
        <v>30.21</v>
      </c>
      <c r="N294" s="71" t="inlineStr">
        <is>
          <t>Y</t>
        </is>
      </c>
      <c r="O294" s="75" t="n">
        <v>100</v>
      </c>
      <c r="P294" s="75" t="n"/>
      <c r="Q294" s="76" t="n">
        <v>26786.9</v>
      </c>
      <c r="R294" s="71" t="inlineStr">
        <is>
          <t>derived:price x shares upon listing</t>
        </is>
      </c>
      <c r="S294" s="77" t="n">
        <v>1.94</v>
      </c>
      <c r="T294" s="78" t="n">
        <v>1.36</v>
      </c>
      <c r="U294" s="79" t="n">
        <v>39.05</v>
      </c>
      <c r="V294" s="80" t="n">
        <v>119</v>
      </c>
      <c r="W294" s="75" t="n">
        <v>10</v>
      </c>
      <c r="X294" s="71" t="inlineStr">
        <is>
          <t>NO</t>
        </is>
      </c>
      <c r="Y294" s="76" t="n">
        <v>474.56</v>
      </c>
      <c r="Z294" s="76" t="n">
        <v>15709253</v>
      </c>
      <c r="AA294" s="75" t="n">
        <v>1.77</v>
      </c>
      <c r="AB294" s="71" t="inlineStr">
        <is>
          <t>DFI Development Holdings Limited; CAPRET (SG) PTE. LTD; Celestial Limited; Odor Nice Limited</t>
        </is>
      </c>
      <c r="AC294" s="71" t="inlineStr">
        <is>
          <t>dfi;capret;celestial;odor</t>
        </is>
      </c>
      <c r="AD294" s="75" t="n"/>
      <c r="AE294" s="71" t="inlineStr">
        <is>
          <t>lapsed (no over-allocation)</t>
        </is>
      </c>
      <c r="AF294" s="71" t="inlineStr">
        <is>
          <t>2025-01-02</t>
        </is>
      </c>
      <c r="AG294" s="71" t="inlineStr">
        <is>
          <t>UBS AG Hong Kong Branch</t>
        </is>
      </c>
      <c r="AH294" s="71" t="inlineStr">
        <is>
          <t>UBS</t>
        </is>
      </c>
      <c r="AI294" s="81" t="n">
        <v>-27.342</v>
      </c>
      <c r="AJ294" s="82" t="n">
        <v>-54.32</v>
      </c>
      <c r="AK294" s="82" t="n">
        <v>-28.17</v>
      </c>
      <c r="AL294" s="82" t="n">
        <v>-36.41</v>
      </c>
      <c r="AM294" s="83" t="n">
        <v>1.42</v>
      </c>
      <c r="AN294" s="75" t="n">
        <v>36.64</v>
      </c>
      <c r="AO294" s="82" t="n">
        <v>-79.18000000000001</v>
      </c>
      <c r="AP294" s="82" t="n">
        <v>-80.17</v>
      </c>
      <c r="AQ294" s="82" t="n">
        <v>-56.97</v>
      </c>
      <c r="AR294" s="82" t="n">
        <v>-54.42</v>
      </c>
      <c r="AS294" s="82" t="n">
        <v>-56.59</v>
      </c>
      <c r="AT294" s="82" t="n">
        <v>-5.8</v>
      </c>
      <c r="AU294" s="82" t="n">
        <v>-81.37</v>
      </c>
      <c r="AV294" s="82" t="n">
        <v>-78.68000000000001</v>
      </c>
      <c r="AW294" s="82" t="n">
        <v>-88.04000000000001</v>
      </c>
      <c r="AX294" s="82" t="n">
        <v>-52.99</v>
      </c>
      <c r="AY294" s="82" t="n">
        <v>-1.49</v>
      </c>
      <c r="AZ294" s="82" t="n">
        <v>-3.6</v>
      </c>
      <c r="BA294" s="71" t="inlineStr">
        <is>
          <t>HSTECH (Hang Seng TECH ETF)</t>
        </is>
      </c>
      <c r="BB294" s="82" t="n">
        <v>-78.48</v>
      </c>
      <c r="BC294" s="72" t="inlineStr">
        <is>
          <t>2026-09-23</t>
        </is>
      </c>
      <c r="BD294" s="73" t="n">
        <v>1743.9</v>
      </c>
      <c r="BE294" s="76" t="n">
        <v>-924.6</v>
      </c>
      <c r="BF294" s="71" t="inlineStr">
        <is>
          <t>N</t>
        </is>
      </c>
      <c r="BG294" s="71" t="inlineStr">
        <is>
          <t>n/m</t>
        </is>
      </c>
      <c r="BH294" s="83" t="n"/>
      <c r="BI294" s="83" t="n">
        <v>24.2</v>
      </c>
      <c r="BJ294" s="83" t="n">
        <v>15.4</v>
      </c>
      <c r="BK294" s="84">
        <f>IF('BBG Verify'!S294="","not filed; run on terminal",'BBG Verify'!S294)</f>
        <v/>
      </c>
      <c r="BL294" s="85" t="inlineStr">
        <is>
          <t>N</t>
        </is>
      </c>
      <c r="BM294" s="86">
        <f>IF('BBG Verify'!K294="","not filed; run on terminal",'BBG Verify'!K294)</f>
        <v/>
      </c>
      <c r="BN294" s="71" t="inlineStr">
        <is>
          <t>N/A</t>
        </is>
      </c>
      <c r="BO294" s="71" t="inlineStr">
        <is>
          <t>N/A</t>
        </is>
      </c>
      <c r="BP294" s="71" t="inlineStr">
        <is>
          <t>N/A</t>
        </is>
      </c>
      <c r="BQ294" s="71" t="inlineStr">
        <is>
          <t>N/A</t>
        </is>
      </c>
      <c r="BR294" s="71" t="inlineStr">
        <is>
          <t>N/A</t>
        </is>
      </c>
      <c r="BS294" s="71" t="inlineStr">
        <is>
          <t>N/A</t>
        </is>
      </c>
      <c r="BT294" s="85" t="n"/>
      <c r="BU294" s="71" t="inlineStr">
        <is>
          <t>UBS Securities Hong Kong Limited; CMB International Capital Limited; China Merchants Securities (HK) Company Limited</t>
        </is>
      </c>
      <c r="BV294" s="71" t="inlineStr">
        <is>
          <t>ABCI Securities Company Limited; BOCI Asia Limited; BOCOM International Securities Limited; CCB International Capital Limited; Central China International Securities Co., Limited; China Galaxy International Securities (Hong Kong) Company Limited</t>
        </is>
      </c>
      <c r="BW294" s="71"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X294" s="87">
        <f>HYPERLINK("https://www1.hkexnews.hk/listedco/listconews/sehk/2024/1128/2024112800056.htm","prospectus")</f>
        <v/>
      </c>
      <c r="BY294" s="87">
        <f>HYPERLINK("https://www1.hkexnews.hk/listedco/listconews/sehk/2024/1205/2024120501922.pdf","allotment")</f>
        <v/>
      </c>
      <c r="BZ294" s="87">
        <f>HYPERLINK("https://www1.hkexnews.hk/listedco/listconews/sehk/2025/0102/2025010202824.pdf","stabilisation")</f>
        <v/>
      </c>
      <c r="CA294" s="85" t="n"/>
      <c r="CB294" s="71" t="inlineStr">
        <is>
          <t>P/E: loss-making at IPO, use P/S; price range: fixed-price offering (no indicative range); range low: maximum offer price only, no floor published; sponsor: English name not in the filing; AAStocks 保薦人 shown; greenshoe size: no over-allotment option</t>
        </is>
      </c>
    </row>
    <row r="295" ht="15" customHeight="1">
      <c r="A295" s="70" t="inlineStr">
        <is>
          <t>2570</t>
        </is>
      </c>
      <c r="B295" s="71" t="inlineStr">
        <is>
          <t>REFIRE</t>
        </is>
      </c>
      <c r="C295" s="71" t="inlineStr">
        <is>
          <t>重塑能源</t>
        </is>
      </c>
      <c r="D295" s="71" t="inlineStr">
        <is>
          <t>Industrials</t>
        </is>
      </c>
      <c r="E295" s="71" t="inlineStr">
        <is>
          <t>Batteries / energy storage</t>
        </is>
      </c>
      <c r="F295" s="71" t="inlineStr">
        <is>
          <t>Electrical Components &amp; Equipment</t>
        </is>
      </c>
      <c r="G295" s="71" t="inlineStr">
        <is>
          <t>Standard</t>
        </is>
      </c>
      <c r="H295" s="72" t="n">
        <v>45632</v>
      </c>
      <c r="I295" s="73" t="n">
        <v>709.7</v>
      </c>
      <c r="J295" s="71" t="inlineStr">
        <is>
          <t>gross (stated)</t>
        </is>
      </c>
      <c r="K295" s="74" t="n">
        <v>145</v>
      </c>
      <c r="L295" s="74" t="n">
        <v>165</v>
      </c>
      <c r="M295" s="74" t="n">
        <v>147</v>
      </c>
      <c r="N295" s="71" t="inlineStr">
        <is>
          <t>N</t>
        </is>
      </c>
      <c r="O295" s="75" t="n">
        <v>89.09999999999999</v>
      </c>
      <c r="P295" s="75" t="n">
        <v>10</v>
      </c>
      <c r="Q295" s="76" t="n">
        <v>11106.4</v>
      </c>
      <c r="R295" s="71" t="inlineStr">
        <is>
          <t>derived:deal size / offer % of enlarged capital</t>
        </is>
      </c>
      <c r="S295" s="77" t="n">
        <v>1.55</v>
      </c>
      <c r="T295" s="78" t="n">
        <v>1.33</v>
      </c>
      <c r="U295" s="79" t="n"/>
      <c r="V295" s="80" t="n">
        <v>175</v>
      </c>
      <c r="W295" s="75" t="n">
        <v>10</v>
      </c>
      <c r="X295" s="71" t="inlineStr">
        <is>
          <t>NO</t>
        </is>
      </c>
      <c r="Y295" s="76" t="n">
        <v>709.7</v>
      </c>
      <c r="Z295" s="76" t="n">
        <v>4827920</v>
      </c>
      <c r="AA295" s="75" t="n">
        <v>6.39</v>
      </c>
      <c r="AB295" s="71" t="n"/>
      <c r="AC295" s="71" t="n"/>
      <c r="AD295" s="75" t="n">
        <v>10</v>
      </c>
      <c r="AE295" s="71" t="inlineStr">
        <is>
          <t>partial</t>
        </is>
      </c>
      <c r="AF295" s="71" t="inlineStr">
        <is>
          <t>2025-01-02</t>
        </is>
      </c>
      <c r="AG295" s="71" t="inlineStr">
        <is>
          <t>China International Capital Corporation Hong Kong Securities Limited</t>
        </is>
      </c>
      <c r="AH295" s="71" t="inlineStr">
        <is>
          <t>China International</t>
        </is>
      </c>
      <c r="AI295" s="81" t="n">
        <v>-7.755</v>
      </c>
      <c r="AJ295" s="82" t="n">
        <v>0.07000000000000001</v>
      </c>
      <c r="AK295" s="82" t="n">
        <v>1.29</v>
      </c>
      <c r="AL295" s="82" t="n">
        <v>-1.2</v>
      </c>
      <c r="AM295" s="83" t="n">
        <v>0.97</v>
      </c>
      <c r="AN295" s="75" t="n">
        <v>3.22</v>
      </c>
      <c r="AO295" s="82" t="n">
        <v>11.02</v>
      </c>
      <c r="AP295" s="82" t="n">
        <v>30.82</v>
      </c>
      <c r="AQ295" s="82" t="n">
        <v>68.98</v>
      </c>
      <c r="AR295" s="82" t="n">
        <v>10.94</v>
      </c>
      <c r="AS295" s="82" t="n">
        <v>30.73</v>
      </c>
      <c r="AT295" s="82" t="n">
        <v>68.86</v>
      </c>
      <c r="AU295" s="82" t="n">
        <v>8.470000000000001</v>
      </c>
      <c r="AV295" s="82" t="n">
        <v>32.7</v>
      </c>
      <c r="AW295" s="82" t="n">
        <v>44.13</v>
      </c>
      <c r="AX295" s="82" t="n">
        <v>34.25</v>
      </c>
      <c r="AY295" s="82" t="n">
        <v>-1.88</v>
      </c>
      <c r="AZ295" s="82" t="n">
        <v>-3.52</v>
      </c>
      <c r="BA295" s="71" t="inlineStr">
        <is>
          <t>Hang Seng Commerce &amp; Industry sub-index</t>
        </is>
      </c>
      <c r="BB295" s="82" t="n">
        <v>-95.27</v>
      </c>
      <c r="BC295" s="72" t="inlineStr">
        <is>
          <t>2026-09-23</t>
        </is>
      </c>
      <c r="BD295" s="73" t="n">
        <v>984.8</v>
      </c>
      <c r="BE295" s="76" t="n">
        <v>-582.4</v>
      </c>
      <c r="BF295" s="71" t="inlineStr">
        <is>
          <t>N</t>
        </is>
      </c>
      <c r="BG295" s="71" t="inlineStr">
        <is>
          <t>n/m</t>
        </is>
      </c>
      <c r="BH295" s="83" t="n"/>
      <c r="BI295" s="83" t="n"/>
      <c r="BJ295" s="83" t="n">
        <v>11.3</v>
      </c>
      <c r="BK295" s="84">
        <f>IF('BBG Verify'!S295="","not filed; run on terminal",'BBG Verify'!S295)</f>
        <v/>
      </c>
      <c r="BL295" s="85" t="inlineStr">
        <is>
          <t>N</t>
        </is>
      </c>
      <c r="BM295" s="86">
        <f>IF('BBG Verify'!K295="","not filed; run on terminal",'BBG Verify'!K295)</f>
        <v/>
      </c>
      <c r="BN295" s="71" t="inlineStr">
        <is>
          <t>N/A</t>
        </is>
      </c>
      <c r="BO295" s="71" t="inlineStr">
        <is>
          <t>N/A</t>
        </is>
      </c>
      <c r="BP295" s="71" t="inlineStr">
        <is>
          <t>N/A</t>
        </is>
      </c>
      <c r="BQ295" s="71" t="inlineStr">
        <is>
          <t>N/A</t>
        </is>
      </c>
      <c r="BR295" s="71" t="inlineStr">
        <is>
          <t>N/A</t>
        </is>
      </c>
      <c r="BS295" s="71" t="inlineStr">
        <is>
          <t>N/A</t>
        </is>
      </c>
      <c r="BT295" s="85" t="n"/>
      <c r="BU295" s="71" t="inlineStr">
        <is>
          <t>China International Capital Corporation Hong Kong Securities Limited</t>
        </is>
      </c>
      <c r="BV295" s="71"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W295" s="71"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X295" s="87">
        <f>HYPERLINK("https://www1.hkexnews.hk/listedco/listconews/sehk/2024/1128/2024112800011.pdf","prospectus")</f>
        <v/>
      </c>
      <c r="BY295" s="87">
        <f>HYPERLINK("https://www1.hkexnews.hk/listedco/listconews/sehk/2024/1205/2024120501926.pdf","allotment")</f>
        <v/>
      </c>
      <c r="BZ295" s="87">
        <f>HYPERLINK("https://www1.hkexnews.hk/listedco/listconews/sehk/2025/0102/2025010203561.pdf","stabilisation")</f>
        <v/>
      </c>
      <c r="CA295" s="85" t="n"/>
      <c r="CB295" s="71" t="inlineStr">
        <is>
          <t>P/E: loss-making at IPO, use P/S; sponsor: English name not in the filing; AAStocks 保薦人 shown; cornerstone list: names not extractable, see the prospectus; cornerstone %: aggregate not stated in the filing</t>
        </is>
      </c>
    </row>
    <row r="296" ht="15" customHeight="1">
      <c r="A296" s="70" t="inlineStr">
        <is>
          <t>1318</t>
        </is>
      </c>
      <c r="B296" s="71" t="inlineStr">
        <is>
          <t>MAO GEPING</t>
        </is>
      </c>
      <c r="C296" s="71" t="inlineStr">
        <is>
          <t>毛戈平</t>
        </is>
      </c>
      <c r="D296" s="71" t="inlineStr">
        <is>
          <t>Consumer</t>
        </is>
      </c>
      <c r="E296" s="71" t="inlineStr">
        <is>
          <t>Beauty / personal care</t>
        </is>
      </c>
      <c r="F296" s="71" t="inlineStr">
        <is>
          <t>Beauty &amp; Toiletries Products and Services</t>
        </is>
      </c>
      <c r="G296" s="71" t="inlineStr">
        <is>
          <t>Standard</t>
        </is>
      </c>
      <c r="H296" s="72" t="n">
        <v>45636</v>
      </c>
      <c r="I296" s="73" t="n">
        <v>2337.02</v>
      </c>
      <c r="J296" s="71" t="inlineStr">
        <is>
          <t>gross (stated)</t>
        </is>
      </c>
      <c r="K296" s="74" t="n"/>
      <c r="L296" s="74" t="n">
        <v>29.8</v>
      </c>
      <c r="M296" s="74" t="n">
        <v>29.8</v>
      </c>
      <c r="N296" s="71" t="inlineStr">
        <is>
          <t>Y</t>
        </is>
      </c>
      <c r="O296" s="75" t="n">
        <v>100</v>
      </c>
      <c r="P296" s="75" t="n"/>
      <c r="Q296" s="76" t="n">
        <v>13749.8</v>
      </c>
      <c r="R296" s="71" t="inlineStr">
        <is>
          <t>aastocks:上市市值 at the struck price</t>
        </is>
      </c>
      <c r="S296" s="77" t="n">
        <v>919.1799999999999</v>
      </c>
      <c r="T296" s="78" t="n">
        <v>30.34</v>
      </c>
      <c r="U296" s="79" t="n">
        <v>33.3</v>
      </c>
      <c r="V296" s="80" t="n">
        <v>167</v>
      </c>
      <c r="W296" s="75" t="n">
        <v>50</v>
      </c>
      <c r="X296" s="71" t="inlineStr">
        <is>
          <t>YES</t>
        </is>
      </c>
      <c r="Y296" s="76" t="n">
        <v>1558.79</v>
      </c>
      <c r="Z296" s="76" t="n">
        <v>52308408</v>
      </c>
      <c r="AA296" s="75" t="n">
        <v>11.34</v>
      </c>
      <c r="AB296" s="71" t="inlineStr">
        <is>
          <t>CPE Investment; Seraphim Advantage Inc; IvyRock; Fund LP and China Core Fund; Mega Prime</t>
        </is>
      </c>
      <c r="AC296" s="71" t="inlineStr">
        <is>
          <t>cpe;seraphim;ivyrock;core;mega</t>
        </is>
      </c>
      <c r="AD296" s="75" t="n">
        <v>15</v>
      </c>
      <c r="AE296" s="71" t="n"/>
      <c r="AF296" s="71" t="inlineStr">
        <is>
          <t>2025-01-04</t>
        </is>
      </c>
      <c r="AG296" s="71" t="inlineStr">
        <is>
          <t>China International Capital Corporation Hong Kong Securities Limited</t>
        </is>
      </c>
      <c r="AH296" s="71" t="inlineStr">
        <is>
          <t>China International</t>
        </is>
      </c>
      <c r="AI296" s="81" t="n">
        <v>50.671</v>
      </c>
      <c r="AJ296" s="82" t="n">
        <v>76.51000000000001</v>
      </c>
      <c r="AK296" s="82" t="n">
        <v>59.9</v>
      </c>
      <c r="AL296" s="82" t="n">
        <v>10.39</v>
      </c>
      <c r="AM296" s="83" t="n">
        <v>2.13</v>
      </c>
      <c r="AN296" s="75" t="n">
        <v>20.04</v>
      </c>
      <c r="AO296" s="82" t="n">
        <v>96.31</v>
      </c>
      <c r="AP296" s="82" t="n">
        <v>97.98999999999999</v>
      </c>
      <c r="AQ296" s="82" t="n">
        <v>270.47</v>
      </c>
      <c r="AR296" s="82" t="n">
        <v>11.22</v>
      </c>
      <c r="AS296" s="82" t="n">
        <v>12.17</v>
      </c>
      <c r="AT296" s="82" t="n">
        <v>109.89</v>
      </c>
      <c r="AU296" s="82" t="n">
        <v>100.54</v>
      </c>
      <c r="AV296" s="82" t="n">
        <v>106.68</v>
      </c>
      <c r="AW296" s="82" t="n">
        <v>247.76</v>
      </c>
      <c r="AX296" s="82" t="n">
        <v>20.14</v>
      </c>
      <c r="AY296" s="82" t="n">
        <v>-8.69</v>
      </c>
      <c r="AZ296" s="82" t="n">
        <v>-7.97</v>
      </c>
      <c r="BA296" s="71" t="inlineStr">
        <is>
          <t>Hang Seng Commerce &amp; Industry sub-index</t>
        </is>
      </c>
      <c r="BB296" s="82" t="n">
        <v>50.34</v>
      </c>
      <c r="BC296" s="72" t="inlineStr">
        <is>
          <t>2026-09-23</t>
        </is>
      </c>
      <c r="BD296" s="73" t="n">
        <v>3174.6</v>
      </c>
      <c r="BE296" s="76" t="n">
        <v>728.1</v>
      </c>
      <c r="BF296" s="71" t="inlineStr">
        <is>
          <t>Y</t>
        </is>
      </c>
      <c r="BG296" s="83" t="n">
        <v>18.9</v>
      </c>
      <c r="BH296" s="83" t="n">
        <v>12.2</v>
      </c>
      <c r="BI296" s="83" t="n">
        <v>17.7</v>
      </c>
      <c r="BJ296" s="83" t="n">
        <v>4.3</v>
      </c>
      <c r="BK296" s="84">
        <f>IF('BBG Verify'!S296="","not filed; run on terminal",'BBG Verify'!S296)</f>
        <v/>
      </c>
      <c r="BL296" s="85" t="inlineStr">
        <is>
          <t>N</t>
        </is>
      </c>
      <c r="BM296" s="86">
        <f>IF('BBG Verify'!K296="","not filed; run on terminal",'BBG Verify'!K296)</f>
        <v/>
      </c>
      <c r="BN296" s="71" t="inlineStr">
        <is>
          <t>N/A</t>
        </is>
      </c>
      <c r="BO296" s="71" t="inlineStr">
        <is>
          <t>N/A</t>
        </is>
      </c>
      <c r="BP296" s="71" t="inlineStr">
        <is>
          <t>N/A</t>
        </is>
      </c>
      <c r="BQ296" s="71" t="inlineStr">
        <is>
          <t>N/A</t>
        </is>
      </c>
      <c r="BR296" s="71" t="inlineStr">
        <is>
          <t>N/A</t>
        </is>
      </c>
      <c r="BS296" s="71" t="inlineStr">
        <is>
          <t>N/A</t>
        </is>
      </c>
      <c r="BT296" s="85" t="n"/>
      <c r="BU296" s="71" t="inlineStr">
        <is>
          <t>China International Capital Corporation Hong Kong Securities Limited</t>
        </is>
      </c>
      <c r="BV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W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X296" s="71" t="n"/>
      <c r="BY296" s="87">
        <f>HYPERLINK("https://www1.hkexnews.hk/listedco/listconews/sehk/2024/1209/2024120901607.pdf","allotment")</f>
        <v/>
      </c>
      <c r="BZ296" s="71" t="n"/>
      <c r="CA296" s="85" t="n"/>
      <c r="CB29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297" ht="15" customHeight="1">
      <c r="A297" s="70" t="inlineStr">
        <is>
          <t>2593</t>
        </is>
      </c>
      <c r="B297" s="71" t="inlineStr">
        <is>
          <t>HERBS GROUP</t>
        </is>
      </c>
      <c r="C297" s="71" t="inlineStr">
        <is>
          <t>草姬集團</t>
        </is>
      </c>
      <c r="D297" s="71" t="inlineStr">
        <is>
          <t>Healthcare</t>
        </is>
      </c>
      <c r="E297" s="71" t="inlineStr">
        <is>
          <t>TCM</t>
        </is>
      </c>
      <c r="F297" s="71" t="inlineStr">
        <is>
          <t>Health Care Supplies</t>
        </is>
      </c>
      <c r="G297" s="71" t="inlineStr">
        <is>
          <t>Standard</t>
        </is>
      </c>
      <c r="H297" s="72" t="n">
        <v>45645</v>
      </c>
      <c r="I297" s="73" t="n">
        <v>125</v>
      </c>
      <c r="J297" s="71" t="inlineStr">
        <is>
          <t>gross (stated)</t>
        </is>
      </c>
      <c r="K297" s="74" t="n">
        <v>3.75</v>
      </c>
      <c r="L297" s="74" t="n">
        <v>4.15</v>
      </c>
      <c r="M297" s="74" t="n">
        <v>3.75</v>
      </c>
      <c r="N297" s="71" t="inlineStr">
        <is>
          <t>N</t>
        </is>
      </c>
      <c r="O297" s="75" t="n">
        <v>90.40000000000001</v>
      </c>
      <c r="P297" s="75" t="n">
        <v>0</v>
      </c>
      <c r="Q297" s="76" t="n">
        <v>500</v>
      </c>
      <c r="R297" s="71" t="inlineStr">
        <is>
          <t>derived:price x shares upon listing</t>
        </is>
      </c>
      <c r="S297" s="77" t="n">
        <v>6083.63</v>
      </c>
      <c r="T297" s="78" t="n">
        <v>1.79</v>
      </c>
      <c r="U297" s="79" t="n">
        <v>22.4</v>
      </c>
      <c r="V297" s="80" t="n">
        <v>206</v>
      </c>
      <c r="W297" s="75" t="n">
        <v>50</v>
      </c>
      <c r="X297" s="71" t="inlineStr">
        <is>
          <t>YES</t>
        </is>
      </c>
      <c r="Y297" s="76" t="n">
        <v>97</v>
      </c>
      <c r="Z297" s="76" t="n">
        <v>25866874</v>
      </c>
      <c r="AA297" s="75" t="n">
        <v>19.4</v>
      </c>
      <c r="AB297" s="71" t="inlineStr">
        <is>
          <t>Vital Message</t>
        </is>
      </c>
      <c r="AC297" s="71" t="inlineStr">
        <is>
          <t>vital</t>
        </is>
      </c>
      <c r="AD297" s="75" t="n"/>
      <c r="AE297" s="71" t="n"/>
      <c r="AF297" s="71" t="n"/>
      <c r="AG297" s="71" t="n"/>
      <c r="AH297" s="71" t="n"/>
      <c r="AI297" s="81" t="n">
        <v>27.733</v>
      </c>
      <c r="AJ297" s="82" t="n">
        <v>10.4</v>
      </c>
      <c r="AK297" s="82" t="n">
        <v>25.07</v>
      </c>
      <c r="AL297" s="82" t="n">
        <v>-11.73</v>
      </c>
      <c r="AM297" s="83" t="n">
        <v>3.48</v>
      </c>
      <c r="AN297" s="75" t="n">
        <v>24.95</v>
      </c>
      <c r="AO297" s="82" t="n">
        <v>-24.27</v>
      </c>
      <c r="AP297" s="82" t="n">
        <v>-45.07</v>
      </c>
      <c r="AQ297" s="82" t="n">
        <v>-54.93</v>
      </c>
      <c r="AR297" s="82" t="n">
        <v>-31.4</v>
      </c>
      <c r="AS297" s="82" t="n">
        <v>-50.24</v>
      </c>
      <c r="AT297" s="82" t="n">
        <v>-59.18</v>
      </c>
      <c r="AU297" s="82" t="n">
        <v>-22.77</v>
      </c>
      <c r="AV297" s="82" t="n">
        <v>-39.32</v>
      </c>
      <c r="AW297" s="82" t="n">
        <v>-63.87</v>
      </c>
      <c r="AX297" s="82" t="n">
        <v>-44.97</v>
      </c>
      <c r="AY297" s="82" t="n">
        <v>-5.75</v>
      </c>
      <c r="AZ297" s="82" t="n">
        <v>-5.27</v>
      </c>
      <c r="BA297" s="71" t="inlineStr">
        <is>
          <t>China Biotech ETF (HS biotech proxy)</t>
        </is>
      </c>
      <c r="BB297" s="82" t="n">
        <v>-73.87</v>
      </c>
      <c r="BC297" s="72" t="inlineStr">
        <is>
          <t>2026-09-23</t>
        </is>
      </c>
      <c r="BD297" s="73" t="n">
        <v>251.2</v>
      </c>
      <c r="BE297" s="76" t="n">
        <v>39.5</v>
      </c>
      <c r="BF297" s="71" t="inlineStr">
        <is>
          <t>Y</t>
        </is>
      </c>
      <c r="BG297" s="83" t="n">
        <v>12.7</v>
      </c>
      <c r="BH297" s="83" t="n"/>
      <c r="BI297" s="83" t="n"/>
      <c r="BJ297" s="83" t="n">
        <v>2</v>
      </c>
      <c r="BK297" s="84">
        <f>IF('BBG Verify'!S297="","not filed; run on terminal",'BBG Verify'!S297)</f>
        <v/>
      </c>
      <c r="BL297" s="85" t="inlineStr">
        <is>
          <t>N</t>
        </is>
      </c>
      <c r="BM297" s="86">
        <f>IF('BBG Verify'!K297="","not filed; run on terminal",'BBG Verify'!K297)</f>
        <v/>
      </c>
      <c r="BN297" s="71" t="inlineStr">
        <is>
          <t>N/A</t>
        </is>
      </c>
      <c r="BO297" s="71" t="inlineStr">
        <is>
          <t>N/A</t>
        </is>
      </c>
      <c r="BP297" s="71" t="inlineStr">
        <is>
          <t>N/A</t>
        </is>
      </c>
      <c r="BQ297" s="71" t="inlineStr">
        <is>
          <t>N/A</t>
        </is>
      </c>
      <c r="BR297" s="71" t="inlineStr">
        <is>
          <t>N/A</t>
        </is>
      </c>
      <c r="BS297" s="71" t="inlineStr">
        <is>
          <t>N/A</t>
        </is>
      </c>
      <c r="BT297" s="85" t="n"/>
      <c r="BU297" s="71" t="inlineStr">
        <is>
          <t>ABCI Capital Limited</t>
        </is>
      </c>
      <c r="BV297" s="71" t="inlineStr">
        <is>
          <t>ABCI Capital Limited</t>
        </is>
      </c>
      <c r="BW297" s="71"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X297" s="87">
        <f>HYPERLINK("https://www1.hkexnews.hk/listedco/listconews/sehk/2024/1211/2024121100009.pdf","prospectus")</f>
        <v/>
      </c>
      <c r="BY297" s="87">
        <f>HYPERLINK("https://www1.hkexnews.hk/listedco/listconews/sehk/2024/1218/2024121801165.pdf","allotment")</f>
        <v/>
      </c>
      <c r="BZ297" s="71" t="n"/>
      <c r="CA297" s="85" t="n"/>
      <c r="CB297" s="71"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98" ht="15" customHeight="1">
      <c r="A298" s="70" t="inlineStr">
        <is>
          <t>0999</t>
        </is>
      </c>
      <c r="B298" s="71" t="inlineStr">
        <is>
          <t>XIAOCAIYUAN</t>
        </is>
      </c>
      <c r="C298" s="71" t="inlineStr">
        <is>
          <t>小菜園</t>
        </is>
      </c>
      <c r="D298" s="71" t="inlineStr">
        <is>
          <t>Consumer</t>
        </is>
      </c>
      <c r="E298" s="71" t="inlineStr">
        <is>
          <t>F&amp;B chains / restaurants</t>
        </is>
      </c>
      <c r="F298" s="71" t="inlineStr">
        <is>
          <t>Restaurants</t>
        </is>
      </c>
      <c r="G298" s="71" t="inlineStr">
        <is>
          <t>Standard</t>
        </is>
      </c>
      <c r="H298" s="72" t="n">
        <v>45646</v>
      </c>
      <c r="I298" s="73" t="n">
        <v>794.8</v>
      </c>
      <c r="J298" s="71" t="inlineStr">
        <is>
          <t>gross (stated)</t>
        </is>
      </c>
      <c r="K298" s="74" t="n"/>
      <c r="L298" s="74" t="n">
        <v>8.5</v>
      </c>
      <c r="M298" s="74" t="n">
        <v>8.5</v>
      </c>
      <c r="N298" s="71" t="inlineStr">
        <is>
          <t>Y</t>
        </is>
      </c>
      <c r="O298" s="75" t="n">
        <v>100</v>
      </c>
      <c r="P298" s="75" t="n"/>
      <c r="Q298" s="76" t="n">
        <v>10000.4</v>
      </c>
      <c r="R298" s="71" t="inlineStr">
        <is>
          <t>derived:price x shares upon listing</t>
        </is>
      </c>
      <c r="S298" s="77" t="n">
        <v>1.44</v>
      </c>
      <c r="T298" s="78" t="n">
        <v>1.29</v>
      </c>
      <c r="U298" s="79" t="n"/>
      <c r="V298" s="80" t="n">
        <v>131</v>
      </c>
      <c r="W298" s="75" t="n">
        <v>10</v>
      </c>
      <c r="X298" s="71" t="inlineStr">
        <is>
          <t>NO</t>
        </is>
      </c>
      <c r="Y298" s="76" t="n">
        <v>794.8</v>
      </c>
      <c r="Z298" s="76" t="n">
        <v>101180800</v>
      </c>
      <c r="AA298" s="75" t="n">
        <v>7.95</v>
      </c>
      <c r="AB298" s="71" t="n"/>
      <c r="AC298" s="71" t="n"/>
      <c r="AD298" s="75" t="n"/>
      <c r="AE298" s="71" t="n"/>
      <c r="AF298" s="71" t="inlineStr">
        <is>
          <t>2025-01-16</t>
        </is>
      </c>
      <c r="AG298" s="71" t="inlineStr">
        <is>
          <t>UBS AG Hong Kong Branch</t>
        </is>
      </c>
      <c r="AH298" s="71" t="inlineStr">
        <is>
          <t>UBS</t>
        </is>
      </c>
      <c r="AI298" s="81" t="n">
        <v>-0.824</v>
      </c>
      <c r="AJ298" s="82" t="n">
        <v>13.65</v>
      </c>
      <c r="AK298" s="82" t="n">
        <v>5.88</v>
      </c>
      <c r="AL298" s="82" t="n">
        <v>7.34</v>
      </c>
      <c r="AM298" s="83" t="n">
        <v>0.77</v>
      </c>
      <c r="AN298" s="75" t="n">
        <v>13.33</v>
      </c>
      <c r="AO298" s="82" t="n">
        <v>7.41</v>
      </c>
      <c r="AP298" s="82" t="n">
        <v>5.18</v>
      </c>
      <c r="AQ298" s="82" t="n">
        <v>25.18</v>
      </c>
      <c r="AR298" s="82" t="n">
        <v>-5.49</v>
      </c>
      <c r="AS298" s="82" t="n">
        <v>-7.45</v>
      </c>
      <c r="AT298" s="82" t="n">
        <v>10.15</v>
      </c>
      <c r="AU298" s="82" t="n">
        <v>6.62</v>
      </c>
      <c r="AV298" s="82" t="n">
        <v>6.36</v>
      </c>
      <c r="AW298" s="82" t="n">
        <v>1.54</v>
      </c>
      <c r="AX298" s="82" t="n">
        <v>-6.38</v>
      </c>
      <c r="AY298" s="82" t="n">
        <v>-1.18</v>
      </c>
      <c r="AZ298" s="82" t="n">
        <v>-1.07</v>
      </c>
      <c r="BA298" s="71" t="inlineStr">
        <is>
          <t>Hang Seng Commerce &amp; Industry sub-index</t>
        </is>
      </c>
      <c r="BB298" s="82" t="n">
        <v>3.53</v>
      </c>
      <c r="BC298" s="72" t="inlineStr">
        <is>
          <t>2026-09-23</t>
        </is>
      </c>
      <c r="BD298" s="73" t="n">
        <v>5004.4</v>
      </c>
      <c r="BE298" s="76" t="n">
        <v>585.3</v>
      </c>
      <c r="BF298" s="71" t="inlineStr">
        <is>
          <t>Y</t>
        </is>
      </c>
      <c r="BG298" s="83" t="n">
        <v>17.1</v>
      </c>
      <c r="BH298" s="83" t="n"/>
      <c r="BI298" s="83" t="n"/>
      <c r="BJ298" s="83" t="n">
        <v>2</v>
      </c>
      <c r="BK298" s="84">
        <f>IF('BBG Verify'!S298="","not filed; run on terminal",'BBG Verify'!S298)</f>
        <v/>
      </c>
      <c r="BL298" s="85" t="inlineStr">
        <is>
          <t>N</t>
        </is>
      </c>
      <c r="BM298" s="86">
        <f>IF('BBG Verify'!K298="","not filed; run on terminal",'BBG Verify'!K298)</f>
        <v/>
      </c>
      <c r="BN298" s="71" t="inlineStr">
        <is>
          <t>N/A</t>
        </is>
      </c>
      <c r="BO298" s="71" t="inlineStr">
        <is>
          <t>N/A</t>
        </is>
      </c>
      <c r="BP298" s="71" t="inlineStr">
        <is>
          <t>N/A</t>
        </is>
      </c>
      <c r="BQ298" s="71" t="inlineStr">
        <is>
          <t>N/A</t>
        </is>
      </c>
      <c r="BR298" s="71" t="inlineStr">
        <is>
          <t>N/A</t>
        </is>
      </c>
      <c r="BS298" s="71" t="inlineStr">
        <is>
          <t>N/A</t>
        </is>
      </c>
      <c r="BT298" s="85" t="n"/>
      <c r="BU298" s="71" t="inlineStr">
        <is>
          <t>UBS Securities Hong Kong Limited; Huatai Financial Holdings (Hong Kong) Limited</t>
        </is>
      </c>
      <c r="BV298" s="71"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W298" s="71"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X298" s="71" t="n"/>
      <c r="BY298" s="87">
        <f>HYPERLINK("https://www1.hkexnews.hk/listedco/listconews/sehk/2024/1219/2024121901317.pdf","allotment")</f>
        <v/>
      </c>
      <c r="BZ298" s="71" t="n"/>
      <c r="CA298" s="85" t="n"/>
      <c r="CB298"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public sub: AAStocks rounds the same figure; HKEX table kept</t>
        </is>
      </c>
    </row>
    <row r="299" ht="15" customHeight="1">
      <c r="A299" s="70" t="inlineStr">
        <is>
          <t>2432</t>
        </is>
      </c>
      <c r="B299" s="71" t="inlineStr">
        <is>
          <t>DOBOT</t>
        </is>
      </c>
      <c r="C299" s="71" t="inlineStr">
        <is>
          <t>越疆</t>
        </is>
      </c>
      <c r="D299" s="71" t="inlineStr">
        <is>
          <t>Tech/AI</t>
        </is>
      </c>
      <c r="E299" s="71" t="inlineStr">
        <is>
          <t>Robotics &amp; autonomous driving</t>
        </is>
      </c>
      <c r="F299" s="71" t="inlineStr">
        <is>
          <t>Application Software</t>
        </is>
      </c>
      <c r="G299" s="71" t="inlineStr">
        <is>
          <t>Standard</t>
        </is>
      </c>
      <c r="H299" s="72" t="n">
        <v>45649</v>
      </c>
      <c r="I299" s="73" t="n">
        <v>752</v>
      </c>
      <c r="J299" s="71" t="inlineStr">
        <is>
          <t>gross (stated)</t>
        </is>
      </c>
      <c r="K299" s="74" t="n"/>
      <c r="L299" s="74" t="n">
        <v>20.8</v>
      </c>
      <c r="M299" s="74" t="n">
        <v>18.8</v>
      </c>
      <c r="N299" s="71" t="inlineStr">
        <is>
          <t>N</t>
        </is>
      </c>
      <c r="O299" s="75" t="n">
        <v>90.40000000000001</v>
      </c>
      <c r="P299" s="75" t="n"/>
      <c r="Q299" s="76" t="n">
        <v>6654.9</v>
      </c>
      <c r="R299" s="71" t="inlineStr">
        <is>
          <t>derived:deal size / offer % of enlarged capital</t>
        </is>
      </c>
      <c r="S299" s="77" t="n">
        <v>9.25</v>
      </c>
      <c r="T299" s="78" t="n">
        <v>2.64</v>
      </c>
      <c r="U299" s="79" t="n">
        <v>0</v>
      </c>
      <c r="V299" s="80" t="n">
        <v>124</v>
      </c>
      <c r="W299" s="75" t="n">
        <v>5</v>
      </c>
      <c r="X299" s="71" t="inlineStr">
        <is>
          <t>NO</t>
        </is>
      </c>
      <c r="Y299" s="76" t="n">
        <v>752</v>
      </c>
      <c r="Z299" s="76" t="n">
        <v>40000000</v>
      </c>
      <c r="AA299" s="75" t="n">
        <v>11.3</v>
      </c>
      <c r="AB299" s="71" t="n"/>
      <c r="AC299" s="71" t="n"/>
      <c r="AD299" s="75" t="n">
        <v>15</v>
      </c>
      <c r="AE299" s="71" t="inlineStr">
        <is>
          <t>partial</t>
        </is>
      </c>
      <c r="AF299" s="71" t="inlineStr">
        <is>
          <t>2025-01-17</t>
        </is>
      </c>
      <c r="AG299" s="71" t="inlineStr">
        <is>
          <t>Guotai Junan Securities</t>
        </is>
      </c>
      <c r="AH299" s="71" t="inlineStr">
        <is>
          <t>Guotai Junan</t>
        </is>
      </c>
      <c r="AI299" s="81" t="n">
        <v>8.776999999999999</v>
      </c>
      <c r="AJ299" s="82" t="n">
        <v>0.74</v>
      </c>
      <c r="AK299" s="82" t="n">
        <v>4.79</v>
      </c>
      <c r="AL299" s="82" t="n">
        <v>-3.86</v>
      </c>
      <c r="AM299" s="83" t="n">
        <v>1.55</v>
      </c>
      <c r="AN299" s="75" t="n">
        <v>13.3</v>
      </c>
      <c r="AO299" s="82" t="n">
        <v>1.6</v>
      </c>
      <c r="AP299" s="82" t="n">
        <v>22.87</v>
      </c>
      <c r="AQ299" s="82" t="n">
        <v>217.82</v>
      </c>
      <c r="AR299" s="82" t="n">
        <v>0.85</v>
      </c>
      <c r="AS299" s="82" t="n">
        <v>21.97</v>
      </c>
      <c r="AT299" s="82" t="n">
        <v>215.49</v>
      </c>
      <c r="AU299" s="82" t="n">
        <v>3.67</v>
      </c>
      <c r="AV299" s="82" t="n">
        <v>18.14</v>
      </c>
      <c r="AW299" s="82" t="n">
        <v>193.85</v>
      </c>
      <c r="AX299" s="82" t="n">
        <v>17.63</v>
      </c>
      <c r="AY299" s="82" t="n">
        <v>4.73</v>
      </c>
      <c r="AZ299" s="82" t="n">
        <v>4.34</v>
      </c>
      <c r="BA299" s="71" t="inlineStr">
        <is>
          <t>HSTECH (Hang Seng TECH ETF)</t>
        </is>
      </c>
      <c r="BB299" s="82" t="n">
        <v>10.64</v>
      </c>
      <c r="BC299" s="72" t="inlineStr">
        <is>
          <t>2026-09-23</t>
        </is>
      </c>
      <c r="BD299" s="73" t="n">
        <v>315.4</v>
      </c>
      <c r="BE299" s="76" t="n">
        <v>-113.6</v>
      </c>
      <c r="BF299" s="71" t="inlineStr">
        <is>
          <t>N</t>
        </is>
      </c>
      <c r="BG299" s="71" t="inlineStr">
        <is>
          <t>n/m</t>
        </is>
      </c>
      <c r="BH299" s="83" t="n"/>
      <c r="BI299" s="83" t="n"/>
      <c r="BJ299" s="83" t="n">
        <v>21.1</v>
      </c>
      <c r="BK299" s="84">
        <f>IF('BBG Verify'!S299="","not filed; run on terminal",'BBG Verify'!S299)</f>
        <v/>
      </c>
      <c r="BL299" s="85" t="inlineStr">
        <is>
          <t>N</t>
        </is>
      </c>
      <c r="BM299" s="86">
        <f>IF('BBG Verify'!K299="","not filed; run on terminal",'BBG Verify'!K299)</f>
        <v/>
      </c>
      <c r="BN299" s="71" t="inlineStr">
        <is>
          <t>N/A</t>
        </is>
      </c>
      <c r="BO299" s="71" t="inlineStr">
        <is>
          <t>N/A</t>
        </is>
      </c>
      <c r="BP299" s="71" t="inlineStr">
        <is>
          <t>N/A</t>
        </is>
      </c>
      <c r="BQ299" s="71" t="inlineStr">
        <is>
          <t>N/A</t>
        </is>
      </c>
      <c r="BR299" s="71" t="inlineStr">
        <is>
          <t>N/A</t>
        </is>
      </c>
      <c r="BS299" s="71" t="inlineStr">
        <is>
          <t>N/A</t>
        </is>
      </c>
      <c r="BT299" s="85" t="inlineStr">
        <is>
          <t>Guotai Junan Capital Limited; ABCI Capital Limited; OCs Guotai Junan Securities (Hong Kong) Limited</t>
        </is>
      </c>
      <c r="BU299" s="71" t="inlineStr">
        <is>
          <t>Guotai Junan Capital Limited; ABCI Capital Limited</t>
        </is>
      </c>
      <c r="BV299" s="71" t="inlineStr">
        <is>
          <t>Guotai Junan Securities (Hong Kong) Limited; ABCI Capital Limited; Shenwan Hongyuan Securities (H.K.) Limited; TradeGo Markets Limited</t>
        </is>
      </c>
      <c r="BW299" s="71" t="inlineStr">
        <is>
          <t>ABCI Securities Company Limited; China PA Securities (Hong Kong) Company Limited; Guotai Junan Securities (Hong Kong) Limited; Shenwan Hongyuan Securities (H.K.) Limited; TradeGo Markets Limited</t>
        </is>
      </c>
      <c r="BX299" s="87">
        <f>HYPERLINK("https://www1.hkexnews.hk/listedco/listconews/sehk/2024/1213/2024121300029.pdf","prospectus")</f>
        <v/>
      </c>
      <c r="BY299" s="87">
        <f>HYPERLINK("https://www1.hkexnews.hk/listedco/listconews/sehk/2024/1220/2024122001962.pdf","allotment")</f>
        <v/>
      </c>
      <c r="BZ299" s="87">
        <f>HYPERLINK("https://www1.hkexnews.hk/listedco/listconews/sehk/2025/0117/2025011701078.pdf","stabilisation")</f>
        <v/>
      </c>
      <c r="CA299" s="85" t="n"/>
      <c r="CB299" s="71" t="inlineStr">
        <is>
          <t>P/E: loss-making at IPO, use P/S; range low: maximum offer price only, no floor published; market cap: prospectus 'market capitalisation' line is the listing-rule threshold, not the issuer's figure; rejected; cornerstone list: no cornerstone tranche</t>
        </is>
      </c>
    </row>
    <row r="300" ht="15" customHeight="1">
      <c r="A300" s="70" t="inlineStr">
        <is>
          <t>2431</t>
        </is>
      </c>
      <c r="B300" s="71" t="inlineStr">
        <is>
          <t>MINIEYE</t>
        </is>
      </c>
      <c r="C300" s="71" t="inlineStr">
        <is>
          <t>佑駕創新</t>
        </is>
      </c>
      <c r="D300" s="71" t="inlineStr">
        <is>
          <t>Tech/AI</t>
        </is>
      </c>
      <c r="E300" s="71" t="inlineStr">
        <is>
          <t>Robotics &amp; autonomous driving</t>
        </is>
      </c>
      <c r="F300" s="71" t="inlineStr">
        <is>
          <t>Application Software</t>
        </is>
      </c>
      <c r="G300" s="71" t="inlineStr">
        <is>
          <t>Standard</t>
        </is>
      </c>
      <c r="H300" s="72" t="n">
        <v>45653</v>
      </c>
      <c r="I300" s="73" t="n">
        <v>666.23</v>
      </c>
      <c r="J300" s="71" t="inlineStr">
        <is>
          <t>gross (stated)</t>
        </is>
      </c>
      <c r="K300" s="74" t="n">
        <v>17</v>
      </c>
      <c r="L300" s="74" t="n">
        <v>20.2</v>
      </c>
      <c r="M300" s="74" t="n">
        <v>17</v>
      </c>
      <c r="N300" s="71" t="inlineStr">
        <is>
          <t>N</t>
        </is>
      </c>
      <c r="O300" s="75" t="n">
        <v>84.2</v>
      </c>
      <c r="P300" s="75" t="n">
        <v>0</v>
      </c>
      <c r="Q300" s="76" t="n">
        <v>6002.1</v>
      </c>
      <c r="R300" s="71" t="inlineStr">
        <is>
          <t>derived:deal size / offer % of enlarged capital</t>
        </is>
      </c>
      <c r="S300" s="77" t="n">
        <v>14.04</v>
      </c>
      <c r="T300" s="78" t="n">
        <v>1.09</v>
      </c>
      <c r="U300" s="79" t="n">
        <v>81.09999999999999</v>
      </c>
      <c r="V300" s="80" t="n">
        <v>115</v>
      </c>
      <c r="W300" s="75" t="n">
        <v>10</v>
      </c>
      <c r="X300" s="71" t="inlineStr">
        <is>
          <t>NO</t>
        </is>
      </c>
      <c r="Y300" s="76" t="n">
        <v>125.92</v>
      </c>
      <c r="Z300" s="76" t="n">
        <v>7406910</v>
      </c>
      <c r="AA300" s="75" t="n">
        <v>2.1</v>
      </c>
      <c r="AB300" s="71" t="inlineStr">
        <is>
          <t>KCH International Investment Limited; Horizon Together Holding Ltd</t>
        </is>
      </c>
      <c r="AC300" s="71" t="inlineStr">
        <is>
          <t>kch;horizon</t>
        </is>
      </c>
      <c r="AD300" s="75" t="n">
        <v>2</v>
      </c>
      <c r="AE300" s="71" t="inlineStr">
        <is>
          <t>partial</t>
        </is>
      </c>
      <c r="AF300" s="71" t="inlineStr">
        <is>
          <t>2025-01-19</t>
        </is>
      </c>
      <c r="AG300" s="71" t="inlineStr">
        <is>
          <t>CLSA Limited</t>
        </is>
      </c>
      <c r="AH300" s="71" t="inlineStr">
        <is>
          <t>CLSA</t>
        </is>
      </c>
      <c r="AI300" s="81" t="n">
        <v>7.647</v>
      </c>
      <c r="AJ300" s="82" t="n">
        <v>14.12</v>
      </c>
      <c r="AK300" s="82" t="n">
        <v>9.41</v>
      </c>
      <c r="AL300" s="82" t="n">
        <v>4.3</v>
      </c>
      <c r="AM300" s="83" t="n">
        <v>1.53</v>
      </c>
      <c r="AN300" s="75" t="n">
        <v>9.460000000000001</v>
      </c>
      <c r="AO300" s="82" t="n">
        <v>2.94</v>
      </c>
      <c r="AP300" s="82" t="n">
        <v>22.94</v>
      </c>
      <c r="AQ300" s="82" t="n">
        <v>88.53</v>
      </c>
      <c r="AR300" s="82" t="n">
        <v>-9.800000000000001</v>
      </c>
      <c r="AS300" s="82" t="n">
        <v>7.73</v>
      </c>
      <c r="AT300" s="82" t="n">
        <v>65.2</v>
      </c>
      <c r="AU300" s="82" t="n">
        <v>5.52</v>
      </c>
      <c r="AV300" s="82" t="n">
        <v>18.33</v>
      </c>
      <c r="AW300" s="82" t="n">
        <v>69.06999999999999</v>
      </c>
      <c r="AX300" s="82" t="n">
        <v>3.83</v>
      </c>
      <c r="AY300" s="82" t="n">
        <v>4.61</v>
      </c>
      <c r="AZ300" s="82" t="n">
        <v>3.9</v>
      </c>
      <c r="BA300" s="71" t="inlineStr">
        <is>
          <t>HSTECH (Hang Seng TECH ETF)</t>
        </is>
      </c>
      <c r="BB300" s="82" t="n">
        <v>-87.81999999999999</v>
      </c>
      <c r="BC300" s="72" t="inlineStr">
        <is>
          <t>2026-09-23</t>
        </is>
      </c>
      <c r="BD300" s="73" t="n">
        <v>523.8</v>
      </c>
      <c r="BE300" s="76" t="n">
        <v>-227.9</v>
      </c>
      <c r="BF300" s="71" t="inlineStr">
        <is>
          <t>N</t>
        </is>
      </c>
      <c r="BG300" s="71" t="inlineStr">
        <is>
          <t>n/m</t>
        </is>
      </c>
      <c r="BH300" s="83" t="n"/>
      <c r="BI300" s="83" t="n"/>
      <c r="BJ300" s="83" t="n">
        <v>11.5</v>
      </c>
      <c r="BK300" s="84">
        <f>IF('BBG Verify'!S300="","not filed; run on terminal",'BBG Verify'!S300)</f>
        <v/>
      </c>
      <c r="BL300" s="85" t="inlineStr">
        <is>
          <t>N</t>
        </is>
      </c>
      <c r="BM300" s="86">
        <f>IF('BBG Verify'!K300="","not filed; run on terminal",'BBG Verify'!K300)</f>
        <v/>
      </c>
      <c r="BN300" s="71" t="inlineStr">
        <is>
          <t>N/A</t>
        </is>
      </c>
      <c r="BO300" s="71" t="inlineStr">
        <is>
          <t>N/A</t>
        </is>
      </c>
      <c r="BP300" s="71" t="inlineStr">
        <is>
          <t>N/A</t>
        </is>
      </c>
      <c r="BQ300" s="71" t="inlineStr">
        <is>
          <t>N/A</t>
        </is>
      </c>
      <c r="BR300" s="71" t="inlineStr">
        <is>
          <t>N/A</t>
        </is>
      </c>
      <c r="BS300" s="71" t="inlineStr">
        <is>
          <t>N/A</t>
        </is>
      </c>
      <c r="BT300" s="85" t="inlineStr">
        <is>
          <t>CITIC Securities (Hong Kong) Limited; China International Capital Corporation Hong Kong Securities Limited</t>
        </is>
      </c>
      <c r="BU300" s="71" t="inlineStr">
        <is>
          <t>China International Capital Corporation Hong Kong Securities Limited; CITIC Securities (Hong Kong) Limited</t>
        </is>
      </c>
      <c r="BV300" s="71" t="inlineStr">
        <is>
          <t>BOCI Asia Limited; CMBC Securities Company Limited; Futu Securities International (Hong Kong) Limited; Phillip Securities (Hong Kong) Limited; Shenwan Hongyuan Securities (H.K.) Limited; SPDB International Capital Limited; Tiger Brokers (HK) Global Limited</t>
        </is>
      </c>
      <c r="BW300" s="71"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X300" s="87">
        <f>HYPERLINK("https://www1.hkexnews.hk/listedco/listconews/sehk/2024/1217/2024121700015.pdf","prospectus")</f>
        <v/>
      </c>
      <c r="BY300" s="87">
        <f>HYPERLINK("https://www1.hkexnews.hk/listedco/listconews/sehk/2024/1224/2024122401190.pdf","allotment")</f>
        <v/>
      </c>
      <c r="BZ300" s="87">
        <f>HYPERLINK("https://www1.hkexnews.hk/listedco/listconews/sehk/2025/0120/2025012000812.pdf","stabilisation")</f>
        <v/>
      </c>
      <c r="CA300" s="85" t="n"/>
      <c r="CB300" s="71" t="inlineStr">
        <is>
          <t>P/E: loss-making at IPO, use P/S</t>
        </is>
      </c>
    </row>
    <row r="301" ht="15" customHeight="1">
      <c r="A301" s="70" t="inlineStr">
        <is>
          <t>2587</t>
        </is>
      </c>
      <c r="B301" s="71" t="inlineStr">
        <is>
          <t>HEALTHYWAY INC</t>
        </is>
      </c>
      <c r="C301" s="71" t="inlineStr">
        <is>
          <t>健康之路</t>
        </is>
      </c>
      <c r="D301" s="71" t="inlineStr">
        <is>
          <t>Healthcare</t>
        </is>
      </c>
      <c r="E301" s="71" t="inlineStr">
        <is>
          <t>Digital health</t>
        </is>
      </c>
      <c r="F301" s="71" t="inlineStr">
        <is>
          <t>Health Care Services</t>
        </is>
      </c>
      <c r="G301" s="71" t="inlineStr">
        <is>
          <t>Standard</t>
        </is>
      </c>
      <c r="H301" s="72" t="n">
        <v>45656</v>
      </c>
      <c r="I301" s="73" t="n">
        <v>195</v>
      </c>
      <c r="J301" s="71" t="inlineStr">
        <is>
          <t>gross (stated)</t>
        </is>
      </c>
      <c r="K301" s="74" t="n">
        <v>7.8</v>
      </c>
      <c r="L301" s="74" t="n">
        <v>8.800000000000001</v>
      </c>
      <c r="M301" s="74" t="n">
        <v>7.8</v>
      </c>
      <c r="N301" s="71" t="inlineStr">
        <is>
          <t>N</t>
        </is>
      </c>
      <c r="O301" s="75" t="n">
        <v>88.59999999999999</v>
      </c>
      <c r="P301" s="75" t="n">
        <v>0</v>
      </c>
      <c r="Q301" s="76" t="n">
        <v>6846.1</v>
      </c>
      <c r="R301" s="71" t="inlineStr">
        <is>
          <t>derived:price x shares upon listing</t>
        </is>
      </c>
      <c r="S301" s="77" t="n">
        <v>34.42</v>
      </c>
      <c r="T301" s="78" t="n">
        <v>0.98</v>
      </c>
      <c r="U301" s="79" t="n">
        <v>51.23</v>
      </c>
      <c r="V301" s="80" t="n">
        <v>108</v>
      </c>
      <c r="W301" s="75" t="n">
        <v>13.2</v>
      </c>
      <c r="X301" s="71" t="inlineStr">
        <is>
          <t>NO</t>
        </is>
      </c>
      <c r="Y301" s="76" t="n">
        <v>95.09999999999999</v>
      </c>
      <c r="Z301" s="76" t="n">
        <v>12192500</v>
      </c>
      <c r="AA301" s="75" t="n">
        <v>1.39</v>
      </c>
      <c r="AB301" s="71"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AC301" s="71" t="inlineStr">
        <is>
          <t>affluent;baidu;hw;hongda;strait;may;jyun;bai-sheng;star;xing</t>
        </is>
      </c>
      <c r="AD301" s="75" t="n"/>
      <c r="AE301" s="71" t="n"/>
      <c r="AF301" s="71" t="n"/>
      <c r="AG301" s="71" t="n"/>
      <c r="AH301" s="71" t="n"/>
      <c r="AI301" s="81" t="n">
        <v>23.333</v>
      </c>
      <c r="AJ301" s="82" t="n">
        <v>36.67</v>
      </c>
      <c r="AK301" s="82" t="n">
        <v>27.56</v>
      </c>
      <c r="AL301" s="82" t="n">
        <v>7.14</v>
      </c>
      <c r="AM301" s="83" t="n">
        <v>0.99</v>
      </c>
      <c r="AN301" s="75" t="n">
        <v>13.07</v>
      </c>
      <c r="AO301" s="82" t="n">
        <v>97.95</v>
      </c>
      <c r="AP301" s="82" t="n">
        <v>71.79000000000001</v>
      </c>
      <c r="AQ301" s="82" t="n">
        <v>303.21</v>
      </c>
      <c r="AR301" s="82" t="n">
        <v>44.84</v>
      </c>
      <c r="AS301" s="82" t="n">
        <v>25.7</v>
      </c>
      <c r="AT301" s="82" t="n">
        <v>195.02</v>
      </c>
      <c r="AU301" s="82" t="n">
        <v>102.77</v>
      </c>
      <c r="AV301" s="82" t="n">
        <v>74.68000000000001</v>
      </c>
      <c r="AW301" s="82" t="n">
        <v>282.84</v>
      </c>
      <c r="AX301" s="82" t="n">
        <v>29.24</v>
      </c>
      <c r="AY301" s="82" t="n">
        <v>-2.89</v>
      </c>
      <c r="AZ301" s="82" t="n">
        <v>-3.54</v>
      </c>
      <c r="BA301" s="71" t="inlineStr">
        <is>
          <t>China Biotech ETF (HS biotech proxy)</t>
        </is>
      </c>
      <c r="BB301" s="82" t="n">
        <v>-90.70999999999999</v>
      </c>
      <c r="BC301" s="72" t="inlineStr">
        <is>
          <t>2026-09-23</t>
        </is>
      </c>
      <c r="BD301" s="73" t="n">
        <v>1320.9</v>
      </c>
      <c r="BE301" s="76" t="n">
        <v>-345.3</v>
      </c>
      <c r="BF301" s="71" t="inlineStr">
        <is>
          <t>N</t>
        </is>
      </c>
      <c r="BG301" s="71" t="inlineStr">
        <is>
          <t>n/m</t>
        </is>
      </c>
      <c r="BH301" s="83" t="n"/>
      <c r="BI301" s="83" t="n">
        <v>26.7</v>
      </c>
      <c r="BJ301" s="83" t="n">
        <v>5.2</v>
      </c>
      <c r="BK301" s="84">
        <f>IF('BBG Verify'!S301="","not filed; run on terminal",'BBG Verify'!S301)</f>
        <v/>
      </c>
      <c r="BL301" s="85" t="inlineStr">
        <is>
          <t>N</t>
        </is>
      </c>
      <c r="BM301" s="86">
        <f>IF('BBG Verify'!K301="","not filed; run on terminal",'BBG Verify'!K301)</f>
        <v/>
      </c>
      <c r="BN301" s="71" t="inlineStr">
        <is>
          <t>N/A</t>
        </is>
      </c>
      <c r="BO301" s="71" t="inlineStr">
        <is>
          <t>N/A</t>
        </is>
      </c>
      <c r="BP301" s="71" t="inlineStr">
        <is>
          <t>N/A</t>
        </is>
      </c>
      <c r="BQ301" s="71" t="inlineStr">
        <is>
          <t>N/A</t>
        </is>
      </c>
      <c r="BR301" s="71" t="inlineStr">
        <is>
          <t>N/A</t>
        </is>
      </c>
      <c r="BS301" s="71" t="inlineStr">
        <is>
          <t>N/A</t>
        </is>
      </c>
      <c r="BT301" s="85" t="inlineStr">
        <is>
          <t>CCB Intern ational Capital Limited; Financial Advisor (Note) Bristol Capital Limited</t>
        </is>
      </c>
      <c r="BU301" s="71" t="inlineStr">
        <is>
          <t>CCB International Capital Limited</t>
        </is>
      </c>
      <c r="BV301" s="71"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W301" s="71"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X301" s="87">
        <f>HYPERLINK("https://www1.hkexnews.hk/listedco/listconews/sehk/2024/1218/2024121800023.pdf","prospectus")</f>
        <v/>
      </c>
      <c r="BY301" s="87">
        <f>HYPERLINK("https://www1.hkexnews.hk/listedco/listconews/sehk/2024/1227/2024122701758.pdf","allotment")</f>
        <v/>
      </c>
      <c r="BZ301" s="71" t="n"/>
      <c r="CA301" s="85" t="n"/>
      <c r="CB301" s="71" t="inlineStr">
        <is>
          <t>P/E: loss-making at IPO, use P/S; greenshoe: no over-allotment option; greenshoe size: no over-allotment option; stabilising manager: no over-allotment option, so none appointed</t>
        </is>
      </c>
    </row>
    <row r="302" ht="15" customHeight="1">
      <c r="A302" s="70" t="inlineStr">
        <is>
          <t>2577</t>
        </is>
      </c>
      <c r="B302" s="71" t="inlineStr">
        <is>
          <t>INNOSCIENCE</t>
        </is>
      </c>
      <c r="C302" s="71" t="inlineStr">
        <is>
          <t>英諾賽科</t>
        </is>
      </c>
      <c r="D302" s="71" t="inlineStr">
        <is>
          <t>Tech/AI</t>
        </is>
      </c>
      <c r="E302" s="71" t="inlineStr">
        <is>
          <t>AI chips &amp; semis</t>
        </is>
      </c>
      <c r="F302" s="71" t="inlineStr">
        <is>
          <t>Semiconductors &amp; Semiconductor Equipment</t>
        </is>
      </c>
      <c r="G302" s="71" t="inlineStr">
        <is>
          <t>Standard</t>
        </is>
      </c>
      <c r="H302" s="72" t="n">
        <v>45656</v>
      </c>
      <c r="I302" s="73" t="n">
        <v>1399.9</v>
      </c>
      <c r="J302" s="71" t="inlineStr">
        <is>
          <t>gross (price x shares)</t>
        </is>
      </c>
      <c r="K302" s="74" t="n">
        <v>30.86</v>
      </c>
      <c r="L302" s="74" t="n">
        <v>33.66</v>
      </c>
      <c r="M302" s="74" t="n">
        <v>30.86</v>
      </c>
      <c r="N302" s="71" t="inlineStr">
        <is>
          <t>N</t>
        </is>
      </c>
      <c r="O302" s="75" t="n">
        <v>91.7</v>
      </c>
      <c r="P302" s="75" t="n">
        <v>0</v>
      </c>
      <c r="Q302" s="76" t="n">
        <v>24873.7</v>
      </c>
      <c r="R302" s="71" t="inlineStr">
        <is>
          <t>prospectus:stated market capitalisation, rescaled to the offer price</t>
        </is>
      </c>
      <c r="S302" s="77" t="n">
        <v>2.87</v>
      </c>
      <c r="T302" s="78" t="n">
        <v>1.41</v>
      </c>
      <c r="U302" s="79" t="n">
        <v>55.38</v>
      </c>
      <c r="V302" s="80" t="n">
        <v>133</v>
      </c>
      <c r="W302" s="75" t="n">
        <v>10</v>
      </c>
      <c r="X302" s="71" t="inlineStr">
        <is>
          <t>NO</t>
        </is>
      </c>
      <c r="Y302" s="76" t="n">
        <v>624.64</v>
      </c>
      <c r="Z302" s="76" t="n">
        <v>20241417</v>
      </c>
      <c r="AA302" s="75" t="n">
        <v>2.51</v>
      </c>
      <c r="AB302" s="71" t="inlineStr">
        <is>
          <t>Jiangsu Govtor; HK InnoSC; Inno CL</t>
        </is>
      </c>
      <c r="AC302" s="71" t="inlineStr">
        <is>
          <t>jiangsu;innosc;inno</t>
        </is>
      </c>
      <c r="AD302" s="75" t="n">
        <v>5.3</v>
      </c>
      <c r="AE302" s="71" t="inlineStr">
        <is>
          <t>partial</t>
        </is>
      </c>
      <c r="AF302" s="71" t="n"/>
      <c r="AG302" s="71" t="inlineStr">
        <is>
          <t>China International Capital Corporation Hong Kong Securities Limited</t>
        </is>
      </c>
      <c r="AH302" s="71" t="inlineStr">
        <is>
          <t>China International</t>
        </is>
      </c>
      <c r="AI302" s="81" t="n">
        <v>0.9399999999999999</v>
      </c>
      <c r="AJ302" s="82" t="n">
        <v>0.45</v>
      </c>
      <c r="AK302" s="82" t="n">
        <v>0.45</v>
      </c>
      <c r="AL302" s="82" t="n">
        <v>0</v>
      </c>
      <c r="AM302" s="83" t="n">
        <v>0.65</v>
      </c>
      <c r="AN302" s="75" t="n">
        <v>11.13</v>
      </c>
      <c r="AO302" s="82" t="n">
        <v>-0.03</v>
      </c>
      <c r="AP302" s="82" t="n">
        <v>32.7</v>
      </c>
      <c r="AQ302" s="82" t="n">
        <v>44.2</v>
      </c>
      <c r="AR302" s="82" t="n">
        <v>-0.48</v>
      </c>
      <c r="AS302" s="82" t="n">
        <v>32.11</v>
      </c>
      <c r="AT302" s="82" t="n">
        <v>43.55</v>
      </c>
      <c r="AU302" s="82" t="n">
        <v>4.01</v>
      </c>
      <c r="AV302" s="82" t="n">
        <v>28.3</v>
      </c>
      <c r="AW302" s="82" t="n">
        <v>24.98</v>
      </c>
      <c r="AX302" s="82" t="n">
        <v>26.81</v>
      </c>
      <c r="AY302" s="82" t="n">
        <v>4.4</v>
      </c>
      <c r="AZ302" s="82" t="n">
        <v>5.3</v>
      </c>
      <c r="BA302" s="71" t="inlineStr">
        <is>
          <t>HSTECH (Hang Seng TECH ETF)</t>
        </is>
      </c>
      <c r="BB302" s="82" t="n">
        <v>38.37</v>
      </c>
      <c r="BC302" s="72" t="inlineStr">
        <is>
          <t>2026-09-23</t>
        </is>
      </c>
      <c r="BD302" s="73" t="n">
        <v>652</v>
      </c>
      <c r="BE302" s="76" t="n">
        <v>-1212.1</v>
      </c>
      <c r="BF302" s="71" t="inlineStr">
        <is>
          <t>N</t>
        </is>
      </c>
      <c r="BG302" s="71" t="inlineStr">
        <is>
          <t>n/m</t>
        </is>
      </c>
      <c r="BH302" s="83" t="n"/>
      <c r="BI302" s="83" t="n"/>
      <c r="BJ302" s="83" t="n">
        <v>38.1</v>
      </c>
      <c r="BK302" s="84">
        <f>IF('BBG Verify'!S302="","not filed; run on terminal",'BBG Verify'!S302)</f>
        <v/>
      </c>
      <c r="BL302" s="85" t="inlineStr">
        <is>
          <t>N</t>
        </is>
      </c>
      <c r="BM302" s="86">
        <f>IF('BBG Verify'!K302="","not filed; run on terminal",'BBG Verify'!K302)</f>
        <v/>
      </c>
      <c r="BN302" s="71" t="inlineStr">
        <is>
          <t>N/A</t>
        </is>
      </c>
      <c r="BO302" s="71" t="inlineStr">
        <is>
          <t>N/A</t>
        </is>
      </c>
      <c r="BP302" s="71" t="inlineStr">
        <is>
          <t>N/A</t>
        </is>
      </c>
      <c r="BQ302" s="71" t="inlineStr">
        <is>
          <t>N/A</t>
        </is>
      </c>
      <c r="BR302" s="71" t="inlineStr">
        <is>
          <t>N/A</t>
        </is>
      </c>
      <c r="BS302" s="71" t="inlineStr">
        <is>
          <t>N/A</t>
        </is>
      </c>
      <c r="BT302" s="85" t="inlineStr">
        <is>
          <t>CMB International Capital Limited</t>
        </is>
      </c>
      <c r="BU302" s="71" t="inlineStr">
        <is>
          <t>China International Capital Corporation Hong Kong Securities Limited; CMB International Capital Corporation Limited</t>
        </is>
      </c>
      <c r="BV302" s="71"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W302" s="71"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X302" s="87">
        <f>HYPERLINK("https://www1.hkexnews.hk/listedco/listconews/sehk/2024/1218/2024121800031.pdf","prospectus")</f>
        <v/>
      </c>
      <c r="BY302" s="87">
        <f>HYPERLINK("https://www1.hkexnews.hk/listedco/listconews/sehk/2024/1227/2024122701822.pdf","allotment")</f>
        <v/>
      </c>
      <c r="BZ302" s="87">
        <f>HYPERLINK("https://www1.hkexnews.hk/listedco/listconews/sehk/2025/0122/2025012200846.pdf","stabilisation")</f>
        <v/>
      </c>
      <c r="CA302" s="85" t="n"/>
      <c r="CB302" s="71" t="inlineStr">
        <is>
          <t>P/E: loss-making at IPO, use P/S; greenshoe: outcome published; expiry date not in the notice; market cap: prospectus cap HK$27,131m at HK$33.66, rescaled to HK$30.86</t>
        </is>
      </c>
    </row>
    <row r="303" ht="15" customHeight="1">
      <c r="A303" s="70" t="inlineStr">
        <is>
          <t>2506</t>
        </is>
      </c>
      <c r="B303" s="71" t="inlineStr">
        <is>
          <t>XUNFEIHEALTH</t>
        </is>
      </c>
      <c r="C303" s="71" t="inlineStr">
        <is>
          <t>訊飛醫療科技</t>
        </is>
      </c>
      <c r="D303" s="71" t="inlineStr">
        <is>
          <t>Healthcare</t>
        </is>
      </c>
      <c r="E303" s="71" t="inlineStr">
        <is>
          <t>Digital health</t>
        </is>
      </c>
      <c r="F303" s="71" t="inlineStr">
        <is>
          <t>Health Care Services</t>
        </is>
      </c>
      <c r="G303" s="71" t="inlineStr">
        <is>
          <t>Standard</t>
        </is>
      </c>
      <c r="H303" s="72" t="n">
        <v>45656</v>
      </c>
      <c r="I303" s="73" t="n">
        <v>582.5</v>
      </c>
      <c r="J303" s="71" t="inlineStr">
        <is>
          <t>gross (price x shares)</t>
        </is>
      </c>
      <c r="K303" s="74" t="n"/>
      <c r="L303" s="74" t="n">
        <v>82.8</v>
      </c>
      <c r="M303" s="74" t="n">
        <v>82.8</v>
      </c>
      <c r="N303" s="71" t="inlineStr">
        <is>
          <t>Y</t>
        </is>
      </c>
      <c r="O303" s="75" t="n">
        <v>100</v>
      </c>
      <c r="P303" s="75" t="n"/>
      <c r="Q303" s="76" t="n">
        <v>10008.7</v>
      </c>
      <c r="R303" s="71" t="inlineStr">
        <is>
          <t>derived:price x shares upon listing</t>
        </is>
      </c>
      <c r="S303" s="77" t="n">
        <v>3.66</v>
      </c>
      <c r="T303" s="78" t="n">
        <v>1.1</v>
      </c>
      <c r="U303" s="79" t="n">
        <v>47.5</v>
      </c>
      <c r="V303" s="80" t="n">
        <v>116</v>
      </c>
      <c r="W303" s="75" t="n">
        <v>10</v>
      </c>
      <c r="X303" s="71" t="inlineStr">
        <is>
          <t>NO</t>
        </is>
      </c>
      <c r="Y303" s="76" t="n">
        <v>305.81</v>
      </c>
      <c r="Z303" s="76" t="n">
        <v>3693664</v>
      </c>
      <c r="AA303" s="75" t="n">
        <v>3.06</v>
      </c>
      <c r="AB303" s="71" t="inlineStr">
        <is>
          <t>Xunyi Limited; Star Group Limited</t>
        </is>
      </c>
      <c r="AC303" s="71" t="inlineStr">
        <is>
          <t>xunyi;star</t>
        </is>
      </c>
      <c r="AD303" s="75" t="n">
        <v>10.51</v>
      </c>
      <c r="AE303" s="71" t="inlineStr">
        <is>
          <t>lapsed (no over-allocation)</t>
        </is>
      </c>
      <c r="AF303" s="71" t="n"/>
      <c r="AG303" s="71" t="inlineStr">
        <is>
          <t>Huatai Financial Holdings</t>
        </is>
      </c>
      <c r="AH303" s="71" t="inlineStr">
        <is>
          <t>Huatai</t>
        </is>
      </c>
      <c r="AI303" s="81" t="n">
        <v>4.589</v>
      </c>
      <c r="AJ303" s="82" t="n">
        <v>5.07</v>
      </c>
      <c r="AK303" s="82" t="n">
        <v>8.390000000000001</v>
      </c>
      <c r="AL303" s="82" t="n">
        <v>-3.06</v>
      </c>
      <c r="AM303" s="83" t="n">
        <v>0.74</v>
      </c>
      <c r="AN303" s="75" t="n">
        <v>10.19</v>
      </c>
      <c r="AO303" s="82" t="n">
        <v>2.17</v>
      </c>
      <c r="AP303" s="82" t="n">
        <v>5.43</v>
      </c>
      <c r="AQ303" s="82" t="n">
        <v>60.75</v>
      </c>
      <c r="AR303" s="82" t="n">
        <v>-2.76</v>
      </c>
      <c r="AS303" s="82" t="n">
        <v>0.34</v>
      </c>
      <c r="AT303" s="82" t="n">
        <v>52.99</v>
      </c>
      <c r="AU303" s="82" t="n">
        <v>6.99</v>
      </c>
      <c r="AV303" s="82" t="n">
        <v>8.32</v>
      </c>
      <c r="AW303" s="82" t="n">
        <v>40.38</v>
      </c>
      <c r="AX303" s="82" t="n">
        <v>3.88</v>
      </c>
      <c r="AY303" s="82" t="n">
        <v>-2.89</v>
      </c>
      <c r="AZ303" s="82" t="n">
        <v>-3.54</v>
      </c>
      <c r="BA303" s="71" t="inlineStr">
        <is>
          <t>China Biotech ETF (HS biotech proxy)</t>
        </is>
      </c>
      <c r="BB303" s="82" t="n">
        <v>-21.38</v>
      </c>
      <c r="BC303" s="72" t="inlineStr">
        <is>
          <t>2026-09-23</t>
        </is>
      </c>
      <c r="BD303" s="73" t="n">
        <v>611.6</v>
      </c>
      <c r="BE303" s="76" t="n">
        <v>-169.4</v>
      </c>
      <c r="BF303" s="71" t="inlineStr">
        <is>
          <t>N</t>
        </is>
      </c>
      <c r="BG303" s="71" t="inlineStr">
        <is>
          <t>n/m</t>
        </is>
      </c>
      <c r="BH303" s="83" t="n"/>
      <c r="BI303" s="83" t="n"/>
      <c r="BJ303" s="83" t="n">
        <v>16.4</v>
      </c>
      <c r="BK303" s="84">
        <f>IF('BBG Verify'!S303="","not filed; run on terminal",'BBG Verify'!S303)</f>
        <v/>
      </c>
      <c r="BL303" s="85" t="inlineStr">
        <is>
          <t>N</t>
        </is>
      </c>
      <c r="BM303" s="86">
        <f>IF('BBG Verify'!K303="","not filed; run on terminal",'BBG Verify'!K303)</f>
        <v/>
      </c>
      <c r="BN303" s="71" t="inlineStr">
        <is>
          <t>N/A</t>
        </is>
      </c>
      <c r="BO303" s="71" t="inlineStr">
        <is>
          <t>N/A</t>
        </is>
      </c>
      <c r="BP303" s="71" t="inlineStr">
        <is>
          <t>N/A</t>
        </is>
      </c>
      <c r="BQ303" s="71" t="inlineStr">
        <is>
          <t>N/A</t>
        </is>
      </c>
      <c r="BR303" s="71" t="inlineStr">
        <is>
          <t>N/A</t>
        </is>
      </c>
      <c r="BS303" s="71" t="inlineStr">
        <is>
          <t>N/A</t>
        </is>
      </c>
      <c r="BT303" s="85" t="inlineStr">
        <is>
          <t>Huatai Financial Holdings (Hong Kong) Limited; GF Capital (Hong Kong) Limited; CCB International Capital Limited</t>
        </is>
      </c>
      <c r="BU303" s="71" t="inlineStr">
        <is>
          <t>CCB International Capital Limited; Huatai Financial Holdings (Hong Kong) Limited; GF Capital (Hong Kong) Limited</t>
        </is>
      </c>
      <c r="BV303" s="71"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W303" s="71"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X303" s="87">
        <f>HYPERLINK("https://www1.hkexnews.hk/listedco/listconews/sehk/2024/1218/2024121800019.pdf","prospectus")</f>
        <v/>
      </c>
      <c r="BY303" s="87">
        <f>HYPERLINK("https://www1.hkexnews.hk/listedco/listconews/sehk/2024/1227/2024122701834.pdf","allotment")</f>
        <v/>
      </c>
      <c r="BZ303" s="87">
        <f>HYPERLINK("https://www1.hkexnews.hk/listedco/listconews/sehk/2025/0122/2025012200840.pdf","stabilisation")</f>
        <v/>
      </c>
      <c r="CA303" s="85" t="n"/>
      <c r="CB303" s="71" t="inlineStr">
        <is>
          <t>P/E: loss-making at IPO, use P/S; greenshoe: outcome published; expiry date not in the notice; range low: maximum offer price only, no floor published</t>
        </is>
      </c>
    </row>
    <row r="304" ht="15" customHeight="1">
      <c r="A304" s="70" t="inlineStr">
        <is>
          <t>6681</t>
        </is>
      </c>
      <c r="B304" s="71" t="inlineStr">
        <is>
          <t>BRAINAURORA-B</t>
        </is>
      </c>
      <c r="C304" s="71" t="inlineStr">
        <is>
          <t>腦動極光－Ｂ</t>
        </is>
      </c>
      <c r="D304" s="71" t="inlineStr">
        <is>
          <t>Healthcare</t>
        </is>
      </c>
      <c r="E304" s="71" t="inlineStr">
        <is>
          <t>Medical devices</t>
        </is>
      </c>
      <c r="F304" s="71" t="inlineStr">
        <is>
          <t>Biotechnology - Supplies &amp; Services</t>
        </is>
      </c>
      <c r="G304" s="71" t="inlineStr">
        <is>
          <t>18A</t>
        </is>
      </c>
      <c r="H304" s="72" t="n">
        <v>45665</v>
      </c>
      <c r="I304" s="73" t="n">
        <v>583.1799999999999</v>
      </c>
      <c r="J304" s="71" t="inlineStr">
        <is>
          <t>gross (stated)</t>
        </is>
      </c>
      <c r="K304" s="74" t="n"/>
      <c r="L304" s="74" t="n">
        <v>3.22</v>
      </c>
      <c r="M304" s="74" t="n">
        <v>3.22</v>
      </c>
      <c r="N304" s="71" t="inlineStr">
        <is>
          <t>Y</t>
        </is>
      </c>
      <c r="O304" s="75" t="n">
        <v>100</v>
      </c>
      <c r="P304" s="75" t="n"/>
      <c r="Q304" s="76" t="n">
        <v>4077.4</v>
      </c>
      <c r="R304" s="71" t="inlineStr">
        <is>
          <t>derived:price x shares upon listing</t>
        </is>
      </c>
      <c r="S304" s="77" t="n">
        <v>11.39</v>
      </c>
      <c r="T304" s="78" t="n">
        <v>1.01</v>
      </c>
      <c r="U304" s="79" t="n">
        <v>64.27</v>
      </c>
      <c r="V304" s="80" t="n">
        <v>114</v>
      </c>
      <c r="W304" s="75" t="n">
        <v>10</v>
      </c>
      <c r="X304" s="71" t="inlineStr">
        <is>
          <t>NO</t>
        </is>
      </c>
      <c r="Y304" s="76" t="n">
        <v>208.37</v>
      </c>
      <c r="Z304" s="76" t="n">
        <v>64711318</v>
      </c>
      <c r="AA304" s="75" t="n">
        <v>5.11</v>
      </c>
      <c r="AB304" s="71" t="inlineStr">
        <is>
          <t>Huang Guangwei</t>
        </is>
      </c>
      <c r="AC304" s="71" t="inlineStr">
        <is>
          <t>huang-guangwei</t>
        </is>
      </c>
      <c r="AD304" s="75" t="n">
        <v>14</v>
      </c>
      <c r="AE304" s="71" t="inlineStr">
        <is>
          <t>lapsed (no over-allocation)</t>
        </is>
      </c>
      <c r="AF304" s="71" t="n"/>
      <c r="AG304" s="71" t="inlineStr">
        <is>
          <t>China International Capital Corporation Hong Kong Securities Limited</t>
        </is>
      </c>
      <c r="AH304" s="71" t="inlineStr">
        <is>
          <t>China International</t>
        </is>
      </c>
      <c r="AI304" s="81" t="n">
        <v>-0.311</v>
      </c>
      <c r="AJ304" s="82" t="n">
        <v>3.42</v>
      </c>
      <c r="AK304" s="82" t="n">
        <v>0</v>
      </c>
      <c r="AL304" s="82" t="n">
        <v>3.42</v>
      </c>
      <c r="AM304" s="83" t="n">
        <v>1.04</v>
      </c>
      <c r="AN304" s="75" t="n">
        <v>11.18</v>
      </c>
      <c r="AO304" s="82" t="n">
        <v>14.91</v>
      </c>
      <c r="AP304" s="82" t="n">
        <v>73.91</v>
      </c>
      <c r="AQ304" s="82" t="n">
        <v>89.75</v>
      </c>
      <c r="AR304" s="82" t="n">
        <v>11.11</v>
      </c>
      <c r="AS304" s="82" t="n">
        <v>68.16</v>
      </c>
      <c r="AT304" s="82" t="n">
        <v>83.48</v>
      </c>
      <c r="AU304" s="82" t="n">
        <v>15.58</v>
      </c>
      <c r="AV304" s="82" t="n">
        <v>66.81999999999999</v>
      </c>
      <c r="AW304" s="82" t="n">
        <v>74.26000000000001</v>
      </c>
      <c r="AX304" s="82" t="n">
        <v>60.09</v>
      </c>
      <c r="AY304" s="82" t="n">
        <v>7.09</v>
      </c>
      <c r="AZ304" s="82" t="n">
        <v>8.07</v>
      </c>
      <c r="BA304" s="71" t="inlineStr">
        <is>
          <t>China Biotech ETF (HS biotech proxy)</t>
        </is>
      </c>
      <c r="BB304" s="82" t="n">
        <v>-61.49</v>
      </c>
      <c r="BC304" s="72" t="inlineStr">
        <is>
          <t>2026-09-23</t>
        </is>
      </c>
      <c r="BD304" s="73" t="n">
        <v>73.90000000000001</v>
      </c>
      <c r="BE304" s="76" t="n">
        <v>-395</v>
      </c>
      <c r="BF304" s="71" t="inlineStr">
        <is>
          <t>N</t>
        </is>
      </c>
      <c r="BG304" s="71" t="inlineStr">
        <is>
          <t>n/m</t>
        </is>
      </c>
      <c r="BH304" s="83" t="n"/>
      <c r="BI304" s="83" t="n"/>
      <c r="BJ304" s="83" t="n">
        <v>55.2</v>
      </c>
      <c r="BK304" s="84">
        <f>IF('BBG Verify'!S304="","not filed; run on terminal",'BBG Verify'!S304)</f>
        <v/>
      </c>
      <c r="BL304" s="85" t="inlineStr">
        <is>
          <t>N</t>
        </is>
      </c>
      <c r="BM304" s="86">
        <f>IF('BBG Verify'!K304="","not filed; run on terminal",'BBG Verify'!K304)</f>
        <v/>
      </c>
      <c r="BN304" s="71" t="inlineStr">
        <is>
          <t>N/A</t>
        </is>
      </c>
      <c r="BO304" s="71" t="inlineStr">
        <is>
          <t>N/A</t>
        </is>
      </c>
      <c r="BP304" s="71" t="inlineStr">
        <is>
          <t>N/A</t>
        </is>
      </c>
      <c r="BQ304" s="71" t="inlineStr">
        <is>
          <t>N/A</t>
        </is>
      </c>
      <c r="BR304" s="71" t="inlineStr">
        <is>
          <t>N/A</t>
        </is>
      </c>
      <c r="BS304" s="71" t="inlineStr">
        <is>
          <t>N/A</t>
        </is>
      </c>
      <c r="BT304" s="85" t="inlineStr">
        <is>
          <t>China International Capital Corporation Hong Kong Securities Limited; SPDB International Capital Limited</t>
        </is>
      </c>
      <c r="BU304" s="71" t="inlineStr">
        <is>
          <t>China International Capital Corporation Hong Kong Securities Limited; SPDB International Capital Limited</t>
        </is>
      </c>
      <c r="BV304" s="71"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W304" s="71"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X304" s="87">
        <f>HYPERLINK("https://www1.hkexnews.hk/listedco/listconews/sehk/2024/1230/2024123000045.pdf","prospectus")</f>
        <v/>
      </c>
      <c r="BY304" s="87">
        <f>HYPERLINK("https://www1.hkexnews.hk/listedco/listconews/sehk/2025/0107/2025010701660.pdf","allotment")</f>
        <v/>
      </c>
      <c r="BZ304" s="87">
        <f>HYPERLINK("https://www1.hkexnews.hk/listedco/listconews/sehk/2025/0202/2025020200065.pdf","stabilisation")</f>
        <v/>
      </c>
      <c r="CA304" s="85" t="n"/>
      <c r="CB304" s="71" t="inlineStr">
        <is>
          <t>P/E: loss-making at IPO, use P/S; greenshoe: outcome published; expiry date not in the notice; range low: maximum offer price only, no floor published</t>
        </is>
      </c>
    </row>
    <row r="305" ht="15" customHeight="1">
      <c r="A305" s="70" t="inlineStr">
        <is>
          <t>2560</t>
        </is>
      </c>
      <c r="B305" s="71" t="inlineStr">
        <is>
          <t>CONCH MAT TECH</t>
        </is>
      </c>
      <c r="C305" s="71" t="inlineStr">
        <is>
          <t>海螺材料科技</t>
        </is>
      </c>
      <c r="D305" s="71" t="inlineStr">
        <is>
          <t>Materials/Energy</t>
        </is>
      </c>
      <c r="E305" s="71" t="inlineStr">
        <is>
          <t>Chemicals</t>
        </is>
      </c>
      <c r="F305" s="71" t="inlineStr">
        <is>
          <t>Construction Materials</t>
        </is>
      </c>
      <c r="G305" s="71" t="inlineStr">
        <is>
          <t>Standard</t>
        </is>
      </c>
      <c r="H305" s="72" t="n">
        <v>45666</v>
      </c>
      <c r="I305" s="73" t="n">
        <v>434.9</v>
      </c>
      <c r="J305" s="71" t="inlineStr">
        <is>
          <t>gross (stated)</t>
        </is>
      </c>
      <c r="K305" s="74" t="n">
        <v>3</v>
      </c>
      <c r="L305" s="74" t="n">
        <v>3.3</v>
      </c>
      <c r="M305" s="74" t="n">
        <v>3</v>
      </c>
      <c r="N305" s="71" t="inlineStr">
        <is>
          <t>N</t>
        </is>
      </c>
      <c r="O305" s="75" t="n">
        <v>90.90000000000001</v>
      </c>
      <c r="P305" s="75" t="n">
        <v>0</v>
      </c>
      <c r="Q305" s="76" t="n">
        <v>1897.9</v>
      </c>
      <c r="R305" s="71" t="inlineStr">
        <is>
          <t>aastocks:上市市值 at the struck price</t>
        </is>
      </c>
      <c r="S305" s="77" t="n">
        <v>25.83</v>
      </c>
      <c r="T305" s="78" t="n">
        <v>1.04</v>
      </c>
      <c r="U305" s="79" t="n">
        <v>66.79000000000001</v>
      </c>
      <c r="V305" s="80" t="n">
        <v>116</v>
      </c>
      <c r="W305" s="75" t="n">
        <v>30</v>
      </c>
      <c r="X305" s="71" t="inlineStr">
        <is>
          <t>YES</t>
        </is>
      </c>
      <c r="Y305" s="76" t="n">
        <v>144.43</v>
      </c>
      <c r="Z305" s="76" t="n">
        <v>48145865</v>
      </c>
      <c r="AA305" s="75" t="n">
        <v>7.61</v>
      </c>
      <c r="AB305" s="71" t="inlineStr">
        <is>
          <t>SCGC Capital Holding Company Limited; Gotion High-Tech (HK); Anhui Shengchang; Wuhu Artec; Guangdong Zongxing; Shenzhen Gaodeng</t>
        </is>
      </c>
      <c r="AC305" s="71" t="inlineStr">
        <is>
          <t>scgc;gotion;anhui;wuhu;guangdong;shenzhen-gaodeng</t>
        </is>
      </c>
      <c r="AD305" s="75" t="n">
        <v>8.5</v>
      </c>
      <c r="AE305" s="71" t="n"/>
      <c r="AF305" s="71" t="n"/>
      <c r="AG305" s="71" t="inlineStr">
        <is>
          <t>China Securities</t>
        </is>
      </c>
      <c r="AH305" s="71" t="inlineStr">
        <is>
          <t>China Securities</t>
        </is>
      </c>
      <c r="AI305" s="81" t="n">
        <v>-31.333</v>
      </c>
      <c r="AJ305" s="82" t="n">
        <v>-47.67</v>
      </c>
      <c r="AK305" s="82" t="n">
        <v>-40</v>
      </c>
      <c r="AL305" s="82" t="n">
        <v>-12.78</v>
      </c>
      <c r="AM305" s="83" t="n">
        <v>1.13</v>
      </c>
      <c r="AN305" s="75" t="n">
        <v>20</v>
      </c>
      <c r="AO305" s="82" t="n">
        <v>-51.67</v>
      </c>
      <c r="AP305" s="82" t="n">
        <v>-54.67</v>
      </c>
      <c r="AQ305" s="82" t="n">
        <v>-41.33</v>
      </c>
      <c r="AR305" s="82" t="n">
        <v>-7.64</v>
      </c>
      <c r="AS305" s="82" t="n">
        <v>-13.38</v>
      </c>
      <c r="AT305" s="82" t="n">
        <v>12.12</v>
      </c>
      <c r="AU305" s="82" t="n">
        <v>-53.25</v>
      </c>
      <c r="AV305" s="82" t="n">
        <v>-71.84</v>
      </c>
      <c r="AW305" s="82" t="n">
        <v>-55.83</v>
      </c>
      <c r="AX305" s="82" t="n">
        <v>-30.32</v>
      </c>
      <c r="AY305" s="82" t="n">
        <v>17.17</v>
      </c>
      <c r="AZ305" s="82" t="n">
        <v>16.94</v>
      </c>
      <c r="BA305" s="71" t="inlineStr">
        <is>
          <t>Hang Seng Commerce &amp; Industry sub-index</t>
        </is>
      </c>
      <c r="BB305" s="82" t="n">
        <v>-55.5</v>
      </c>
      <c r="BC305" s="72" t="inlineStr">
        <is>
          <t>2026-09-23</t>
        </is>
      </c>
      <c r="BD305" s="73" t="n">
        <v>2635.1</v>
      </c>
      <c r="BE305" s="76" t="n"/>
      <c r="BF305" s="71" t="inlineStr">
        <is>
          <t>Y</t>
        </is>
      </c>
      <c r="BG305" s="83" t="n">
        <v>5.1</v>
      </c>
      <c r="BH305" s="83" t="n">
        <v>5.1</v>
      </c>
      <c r="BI305" s="83" t="n">
        <v>6.5</v>
      </c>
      <c r="BJ305" s="83" t="n">
        <v>0.7</v>
      </c>
      <c r="BK305" s="84">
        <f>IF('BBG Verify'!S305="","not filed; run on terminal",'BBG Verify'!S305)</f>
        <v/>
      </c>
      <c r="BL305" s="85" t="inlineStr">
        <is>
          <t>N</t>
        </is>
      </c>
      <c r="BM305" s="86">
        <f>IF('BBG Verify'!K305="","not filed; run on terminal",'BBG Verify'!K305)</f>
        <v/>
      </c>
      <c r="BN305" s="71" t="inlineStr">
        <is>
          <t>N/A</t>
        </is>
      </c>
      <c r="BO305" s="71" t="inlineStr">
        <is>
          <t>N/A</t>
        </is>
      </c>
      <c r="BP305" s="71" t="inlineStr">
        <is>
          <t>N/A</t>
        </is>
      </c>
      <c r="BQ305" s="71" t="inlineStr">
        <is>
          <t>N/A</t>
        </is>
      </c>
      <c r="BR305" s="71" t="inlineStr">
        <is>
          <t>N/A</t>
        </is>
      </c>
      <c r="BS305" s="71" t="inlineStr">
        <is>
          <t>N/A</t>
        </is>
      </c>
      <c r="BT305" s="85" t="inlineStr">
        <is>
          <t>China Securities (International) Corporate Finance Company Limited</t>
        </is>
      </c>
      <c r="BU305" s="71" t="inlineStr">
        <is>
          <t>China Securities (International) Corporate Finance Company Limited</t>
        </is>
      </c>
      <c r="BV305" s="71"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W305" s="71"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X305" s="87">
        <f>HYPERLINK("https://www1.hkexnews.hk/listedco/listconews/sehk/2024/1231/2024123100162.pdf","prospectus")</f>
        <v/>
      </c>
      <c r="BY305" s="87">
        <f>HYPERLINK("https://www1.hkexnews.hk/listedco/listconews/sehk/2025/0108/2025010801080.pdf","allotment")</f>
        <v/>
      </c>
      <c r="BZ305" s="71" t="n"/>
      <c r="CA305" s="85" t="n"/>
      <c r="CB305" s="71" t="inlineStr">
        <is>
          <t>P/E: Bloomberg trailing-12m basis (prospectus-year multiple not derivable); greenshoe: end-of-stabilisation notice not found; financials: not extractable; pre-IPO year outside the AAStocks window</t>
        </is>
      </c>
    </row>
    <row r="306" ht="15" customHeight="1">
      <c r="A306" s="70" t="inlineStr">
        <is>
          <t>2613</t>
        </is>
      </c>
      <c r="B306" s="71" t="inlineStr">
        <is>
          <t>CONTIOCEAN</t>
        </is>
      </c>
      <c r="C306" s="71" t="inlineStr">
        <is>
          <t>匯舸環保</t>
        </is>
      </c>
      <c r="D306" s="71" t="inlineStr">
        <is>
          <t>Industrials</t>
        </is>
      </c>
      <c r="E306" s="71" t="inlineStr">
        <is>
          <t>Capital goods / machinery</t>
        </is>
      </c>
      <c r="F306" s="71" t="inlineStr">
        <is>
          <t>Marine Ports &amp; Services</t>
        </is>
      </c>
      <c r="G306" s="71" t="inlineStr">
        <is>
          <t>Standard</t>
        </is>
      </c>
      <c r="H306" s="72" t="n">
        <v>45666</v>
      </c>
      <c r="I306" s="73" t="n">
        <v>318</v>
      </c>
      <c r="J306" s="71" t="inlineStr">
        <is>
          <t>gross (stated)</t>
        </is>
      </c>
      <c r="K306" s="74" t="n">
        <v>31.8</v>
      </c>
      <c r="L306" s="74" t="n">
        <v>39.8</v>
      </c>
      <c r="M306" s="74" t="n">
        <v>31.8</v>
      </c>
      <c r="N306" s="71" t="inlineStr">
        <is>
          <t>N</t>
        </is>
      </c>
      <c r="O306" s="75" t="n">
        <v>79.90000000000001</v>
      </c>
      <c r="P306" s="75" t="n">
        <v>0</v>
      </c>
      <c r="Q306" s="76" t="n">
        <v>1272</v>
      </c>
      <c r="R306" s="71" t="inlineStr">
        <is>
          <t>derived:price x shares upon listing</t>
        </is>
      </c>
      <c r="S306" s="77" t="n">
        <v>55.33</v>
      </c>
      <c r="T306" s="78" t="n">
        <v>0.95</v>
      </c>
      <c r="U306" s="79" t="n">
        <v>84.7</v>
      </c>
      <c r="V306" s="80" t="n">
        <v>118</v>
      </c>
      <c r="W306" s="75" t="n">
        <v>18.94</v>
      </c>
      <c r="X306" s="71" t="n"/>
      <c r="Y306" s="76" t="n">
        <v>48.65</v>
      </c>
      <c r="Z306" s="76" t="n">
        <v>1530000</v>
      </c>
      <c r="AA306" s="75" t="n">
        <v>3.83</v>
      </c>
      <c r="AB306" s="71" t="inlineStr">
        <is>
          <t>Mr. Tiago Braz; Fund SPC; Harvest International</t>
        </is>
      </c>
      <c r="AC306" s="71" t="inlineStr">
        <is>
          <t>mr-tiago;fund-spc;harvest</t>
        </is>
      </c>
      <c r="AD306" s="75" t="n"/>
      <c r="AE306" s="71" t="n"/>
      <c r="AF306" s="71" t="n"/>
      <c r="AG306" s="71" t="n"/>
      <c r="AH306" s="71" t="n"/>
      <c r="AI306" s="81" t="n">
        <v>6.447</v>
      </c>
      <c r="AJ306" s="82" t="n">
        <v>6.29</v>
      </c>
      <c r="AK306" s="82" t="n">
        <v>6.76</v>
      </c>
      <c r="AL306" s="82" t="n">
        <v>-0.44</v>
      </c>
      <c r="AM306" s="83" t="n">
        <v>1.08</v>
      </c>
      <c r="AN306" s="75" t="n">
        <v>5.3</v>
      </c>
      <c r="AO306" s="82" t="n">
        <v>-5.66</v>
      </c>
      <c r="AP306" s="82" t="n">
        <v>-4.09</v>
      </c>
      <c r="AQ306" s="82" t="n">
        <v>-8.65</v>
      </c>
      <c r="AR306" s="82" t="n">
        <v>-11.24</v>
      </c>
      <c r="AS306" s="82" t="n">
        <v>-9.77</v>
      </c>
      <c r="AT306" s="82" t="n">
        <v>-14.06</v>
      </c>
      <c r="AU306" s="82" t="n">
        <v>-7.24</v>
      </c>
      <c r="AV306" s="82" t="n">
        <v>-21.26</v>
      </c>
      <c r="AW306" s="82" t="n">
        <v>-23.15</v>
      </c>
      <c r="AX306" s="82" t="n">
        <v>-26.71</v>
      </c>
      <c r="AY306" s="82" t="n">
        <v>17.17</v>
      </c>
      <c r="AZ306" s="82" t="n">
        <v>16.94</v>
      </c>
      <c r="BA306" s="71" t="inlineStr">
        <is>
          <t>Hang Seng Commerce &amp; Industry sub-index</t>
        </is>
      </c>
      <c r="BB306" s="82" t="n">
        <v>-2.52</v>
      </c>
      <c r="BC306" s="72" t="inlineStr">
        <is>
          <t>2026-09-18</t>
        </is>
      </c>
      <c r="BD306" s="73" t="n">
        <v>561.3</v>
      </c>
      <c r="BE306" s="76" t="n">
        <v>132.6</v>
      </c>
      <c r="BF306" s="71" t="inlineStr">
        <is>
          <t>Y</t>
        </is>
      </c>
      <c r="BG306" s="83" t="n">
        <v>9.6</v>
      </c>
      <c r="BH306" s="83" t="n"/>
      <c r="BI306" s="83" t="n">
        <v>186.7</v>
      </c>
      <c r="BJ306" s="83" t="n">
        <v>2.3</v>
      </c>
      <c r="BK306" s="84">
        <f>IF('BBG Verify'!S306="","not filed; run on terminal",'BBG Verify'!S306)</f>
        <v/>
      </c>
      <c r="BL306" s="85" t="inlineStr">
        <is>
          <t>N</t>
        </is>
      </c>
      <c r="BM306" s="86">
        <f>IF('BBG Verify'!K306="","not filed; run on terminal",'BBG Verify'!K306)</f>
        <v/>
      </c>
      <c r="BN306" s="71" t="inlineStr">
        <is>
          <t>N/A</t>
        </is>
      </c>
      <c r="BO306" s="71" t="inlineStr">
        <is>
          <t>N/A</t>
        </is>
      </c>
      <c r="BP306" s="71" t="inlineStr">
        <is>
          <t>N/A</t>
        </is>
      </c>
      <c r="BQ306" s="71" t="inlineStr">
        <is>
          <t>N/A</t>
        </is>
      </c>
      <c r="BR306" s="71" t="inlineStr">
        <is>
          <t>N/A</t>
        </is>
      </c>
      <c r="BS306" s="71" t="inlineStr">
        <is>
          <t>N/A</t>
        </is>
      </c>
      <c r="BT306" s="85" t="inlineStr">
        <is>
          <t>CITIC Securities (Hong Kong) Limited; China Galaxy International Securities (Hong Kong) Co., Limited</t>
        </is>
      </c>
      <c r="BU306" s="71" t="inlineStr">
        <is>
          <t>CITIC Securities (Hong Kong) Limited; China Galaxy International Securities (Hong Kong) Company Limited</t>
        </is>
      </c>
      <c r="BV306" s="71"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W306" s="71"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X306" s="87">
        <f>HYPERLINK("https://www1.hkexnews.hk/listedco/listconews/sehk/2024/1231/2024123100011.pdf","prospectus")</f>
        <v/>
      </c>
      <c r="BY306" s="87">
        <f>HYPERLINK("https://www1.hkexnews.hk/listedco/listconews/sehk/2025/0108/2025010801098.pdf","allotment")</f>
        <v/>
      </c>
      <c r="BZ306" s="71" t="n"/>
      <c r="CA306" s="85" t="n"/>
      <c r="CB306" s="71" t="inlineStr">
        <is>
          <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t>
        </is>
      </c>
    </row>
    <row r="307" ht="15" customHeight="1">
      <c r="A307" s="70" t="inlineStr">
        <is>
          <t>0325</t>
        </is>
      </c>
      <c r="B307" s="71" t="inlineStr">
        <is>
          <t>BLOKS</t>
        </is>
      </c>
      <c r="C307" s="71" t="inlineStr">
        <is>
          <t>布魯可</t>
        </is>
      </c>
      <c r="D307" s="71" t="inlineStr">
        <is>
          <t>Consumer</t>
        </is>
      </c>
      <c r="E307" s="71" t="inlineStr">
        <is>
          <t>Retail / distribution</t>
        </is>
      </c>
      <c r="F307" s="71" t="inlineStr">
        <is>
          <t>Toys</t>
        </is>
      </c>
      <c r="G307" s="71" t="inlineStr">
        <is>
          <t>Standard</t>
        </is>
      </c>
      <c r="H307" s="72" t="n">
        <v>45667</v>
      </c>
      <c r="I307" s="73" t="n">
        <v>1674</v>
      </c>
      <c r="J307" s="71" t="inlineStr">
        <is>
          <t>gross (stated)</t>
        </is>
      </c>
      <c r="K307" s="74" t="n"/>
      <c r="L307" s="74" t="n">
        <v>60.35</v>
      </c>
      <c r="M307" s="74" t="n">
        <v>60.35</v>
      </c>
      <c r="N307" s="71" t="inlineStr">
        <is>
          <t>Y</t>
        </is>
      </c>
      <c r="O307" s="75" t="n">
        <v>100</v>
      </c>
      <c r="P307" s="75" t="n"/>
      <c r="Q307" s="76" t="n">
        <v>14456.5</v>
      </c>
      <c r="R307" s="71" t="inlineStr">
        <is>
          <t>aastocks:上市市值 at the struck price</t>
        </is>
      </c>
      <c r="S307" s="77" t="n">
        <v>5999.96</v>
      </c>
      <c r="T307" s="78" t="n">
        <v>38.6</v>
      </c>
      <c r="U307" s="79" t="n">
        <v>23.1</v>
      </c>
      <c r="V307" s="80" t="n">
        <v>198</v>
      </c>
      <c r="W307" s="75" t="n">
        <v>43.48</v>
      </c>
      <c r="X307" s="71" t="inlineStr">
        <is>
          <t>YES</t>
        </is>
      </c>
      <c r="Y307" s="76" t="n">
        <v>1287.31</v>
      </c>
      <c r="Z307" s="76" t="n">
        <v>21330753</v>
      </c>
      <c r="AA307" s="75" t="n">
        <v>8.9</v>
      </c>
      <c r="AB307" s="71"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AC307" s="71" t="inlineStr">
        <is>
          <t>ubs;greenwoods;gaintex;plus;merron;huatai;jycp;jymb;beihai;blueco;yunfeng;hongshan;lenient</t>
        </is>
      </c>
      <c r="AD307" s="75" t="n">
        <v>15</v>
      </c>
      <c r="AE307" s="71" t="n"/>
      <c r="AF307" s="71" t="inlineStr">
        <is>
          <t>2025-02-06</t>
        </is>
      </c>
      <c r="AG307" s="71" t="inlineStr">
        <is>
          <t>Goldman Sachs</t>
        </is>
      </c>
      <c r="AH307" s="71" t="inlineStr">
        <is>
          <t>Goldman Sachs</t>
        </is>
      </c>
      <c r="AI307" s="81" t="n">
        <v>73.488</v>
      </c>
      <c r="AJ307" s="82" t="n">
        <v>40.85</v>
      </c>
      <c r="AK307" s="82" t="n">
        <v>81.61</v>
      </c>
      <c r="AL307" s="82" t="n">
        <v>-22.44</v>
      </c>
      <c r="AM307" s="83" t="n">
        <v>2.22</v>
      </c>
      <c r="AN307" s="75" t="n">
        <v>22.81</v>
      </c>
      <c r="AO307" s="82" t="n">
        <v>49.63</v>
      </c>
      <c r="AP307" s="82" t="n">
        <v>40.18</v>
      </c>
      <c r="AQ307" s="82" t="n">
        <v>101.66</v>
      </c>
      <c r="AR307" s="82" t="n">
        <v>6.23</v>
      </c>
      <c r="AS307" s="82" t="n">
        <v>-0.48</v>
      </c>
      <c r="AT307" s="82" t="n">
        <v>43.17</v>
      </c>
      <c r="AU307" s="82" t="n">
        <v>47.69</v>
      </c>
      <c r="AV307" s="82" t="n">
        <v>23.64</v>
      </c>
      <c r="AW307" s="82" t="n">
        <v>87.13</v>
      </c>
      <c r="AX307" s="82" t="n">
        <v>-18.44</v>
      </c>
      <c r="AY307" s="82" t="n">
        <v>16.54</v>
      </c>
      <c r="AZ307" s="82" t="n">
        <v>17.96</v>
      </c>
      <c r="BA307" s="71" t="inlineStr">
        <is>
          <t>Hang Seng Commerce &amp; Industry sub-index</t>
        </is>
      </c>
      <c r="BB307" s="82" t="n">
        <v>4.81</v>
      </c>
      <c r="BC307" s="72" t="inlineStr">
        <is>
          <t>2026-09-23</t>
        </is>
      </c>
      <c r="BD307" s="73" t="n">
        <v>2465</v>
      </c>
      <c r="BE307" s="76" t="n">
        <v>-441.2</v>
      </c>
      <c r="BF307" s="71" t="inlineStr">
        <is>
          <t>N</t>
        </is>
      </c>
      <c r="BG307" s="71" t="inlineStr">
        <is>
          <t>n/m</t>
        </is>
      </c>
      <c r="BH307" s="83" t="n"/>
      <c r="BI307" s="83" t="n"/>
      <c r="BJ307" s="83" t="n">
        <v>5.9</v>
      </c>
      <c r="BK307" s="84">
        <f>IF('BBG Verify'!S307="","not filed; run on terminal",'BBG Verify'!S307)</f>
        <v/>
      </c>
      <c r="BL307" s="85" t="inlineStr">
        <is>
          <t>N</t>
        </is>
      </c>
      <c r="BM307" s="86">
        <f>IF('BBG Verify'!K307="","not filed; run on terminal",'BBG Verify'!K307)</f>
        <v/>
      </c>
      <c r="BN307" s="71" t="inlineStr">
        <is>
          <t>N/A</t>
        </is>
      </c>
      <c r="BO307" s="71" t="inlineStr">
        <is>
          <t>N/A</t>
        </is>
      </c>
      <c r="BP307" s="71" t="inlineStr">
        <is>
          <t>N/A</t>
        </is>
      </c>
      <c r="BQ307" s="71" t="inlineStr">
        <is>
          <t>N/A</t>
        </is>
      </c>
      <c r="BR307" s="71" t="inlineStr">
        <is>
          <t>N/A</t>
        </is>
      </c>
      <c r="BS307" s="71" t="inlineStr">
        <is>
          <t>N/A</t>
        </is>
      </c>
      <c r="BT307" s="85" t="n"/>
      <c r="BU307" s="71" t="inlineStr">
        <is>
          <t>Goldman Sachs (Asia) L.L.C.; Huatai Financial Holdings (Hong Kong) Limited</t>
        </is>
      </c>
      <c r="BV307" s="71" t="inlineStr">
        <is>
          <t>Futu Securities International (Hong Kong) Limited; Goldman Sachs (Asia) L.L.C.; Huatai Financial Holdings (Hong Kong) Limited</t>
        </is>
      </c>
      <c r="BW307" s="71" t="inlineStr">
        <is>
          <t>Futu Securities International (Hong Kong) Limited; Goldman Sachs (Asia) L.L.C.; Huatai Financial Holdings (Hong Kong) Limited</t>
        </is>
      </c>
      <c r="BX307" s="71" t="n"/>
      <c r="BY307" s="87">
        <f>HYPERLINK("https://www1.hkexnews.hk/listedco/listconews/sehk/2025/0109/2025010900829.pdf","allotment")</f>
        <v/>
      </c>
      <c r="BZ307" s="71" t="n"/>
      <c r="CA307" s="85" t="n"/>
      <c r="CB307" s="71"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t>
        </is>
      </c>
    </row>
    <row r="308" ht="15" customHeight="1">
      <c r="A308" s="70" t="inlineStr">
        <is>
          <t>2530</t>
        </is>
      </c>
      <c r="B308" s="71" t="inlineStr">
        <is>
          <t>NUMANS</t>
        </is>
      </c>
      <c r="C308" s="71" t="inlineStr">
        <is>
          <t>紐曼思</t>
        </is>
      </c>
      <c r="D308" s="71" t="inlineStr">
        <is>
          <t>Consumer</t>
        </is>
      </c>
      <c r="E308" s="71" t="inlineStr">
        <is>
          <t>Beverages / packaged food</t>
        </is>
      </c>
      <c r="F308" s="71" t="inlineStr">
        <is>
          <t>Health Care Supplies</t>
        </is>
      </c>
      <c r="G308" s="71" t="inlineStr">
        <is>
          <t>Standard</t>
        </is>
      </c>
      <c r="H308" s="72" t="n">
        <v>45667</v>
      </c>
      <c r="I308" s="73" t="n">
        <v>200</v>
      </c>
      <c r="J308" s="71" t="inlineStr">
        <is>
          <t>gross (stated)</t>
        </is>
      </c>
      <c r="K308" s="74" t="n">
        <v>0.8</v>
      </c>
      <c r="L308" s="74" t="n">
        <v>1.09</v>
      </c>
      <c r="M308" s="74" t="n">
        <v>0.8</v>
      </c>
      <c r="N308" s="71" t="inlineStr">
        <is>
          <t>N</t>
        </is>
      </c>
      <c r="O308" s="75" t="n">
        <v>73.40000000000001</v>
      </c>
      <c r="P308" s="75" t="n">
        <v>0</v>
      </c>
      <c r="Q308" s="76" t="n">
        <v>800</v>
      </c>
      <c r="R308" s="71" t="inlineStr">
        <is>
          <t>derived:price x shares upon listing</t>
        </is>
      </c>
      <c r="S308" s="77" t="n">
        <v>65.17</v>
      </c>
      <c r="T308" s="78" t="n">
        <v>1.03</v>
      </c>
      <c r="U308" s="79" t="n">
        <v>0</v>
      </c>
      <c r="V308" s="80" t="n">
        <v>115</v>
      </c>
      <c r="W308" s="75" t="n">
        <v>40</v>
      </c>
      <c r="X308" s="71" t="inlineStr">
        <is>
          <t>YES</t>
        </is>
      </c>
      <c r="Y308" s="76" t="n">
        <v>200</v>
      </c>
      <c r="Z308" s="76" t="n">
        <v>250000000</v>
      </c>
      <c r="AA308" s="75" t="n">
        <v>25</v>
      </c>
      <c r="AB308" s="71" t="n"/>
      <c r="AC308" s="71" t="n"/>
      <c r="AD308" s="75" t="n">
        <v>20</v>
      </c>
      <c r="AE308" s="71" t="n"/>
      <c r="AF308" s="71" t="n"/>
      <c r="AG308" s="71" t="n"/>
      <c r="AH308" s="71" t="n"/>
      <c r="AI308" s="81" t="n">
        <v>0</v>
      </c>
      <c r="AJ308" s="82" t="n">
        <v>-13.75</v>
      </c>
      <c r="AK308" s="82" t="n">
        <v>-1.25</v>
      </c>
      <c r="AL308" s="82" t="n">
        <v>-12.66</v>
      </c>
      <c r="AM308" s="83" t="n">
        <v>1.23</v>
      </c>
      <c r="AN308" s="75" t="n">
        <v>26.58</v>
      </c>
      <c r="AO308" s="82" t="n">
        <v>-15</v>
      </c>
      <c r="AP308" s="82" t="n">
        <v>-13.75</v>
      </c>
      <c r="AQ308" s="82" t="n">
        <v>-16.25</v>
      </c>
      <c r="AR308" s="82" t="n">
        <v>-1.45</v>
      </c>
      <c r="AS308" s="82" t="n">
        <v>0</v>
      </c>
      <c r="AT308" s="82" t="n">
        <v>-2.9</v>
      </c>
      <c r="AU308" s="82" t="n">
        <v>-16.94</v>
      </c>
      <c r="AV308" s="82" t="n">
        <v>-30.29</v>
      </c>
      <c r="AW308" s="82" t="n">
        <v>-30.78</v>
      </c>
      <c r="AX308" s="82" t="n">
        <v>-17.96</v>
      </c>
      <c r="AY308" s="82" t="n">
        <v>16.54</v>
      </c>
      <c r="AZ308" s="82" t="n">
        <v>17.96</v>
      </c>
      <c r="BA308" s="71" t="inlineStr">
        <is>
          <t>Hang Seng Commerce &amp; Industry sub-index</t>
        </is>
      </c>
      <c r="BB308" s="82" t="n">
        <v>-9.380000000000001</v>
      </c>
      <c r="BC308" s="72" t="inlineStr">
        <is>
          <t>2026-09-23</t>
        </is>
      </c>
      <c r="BD308" s="73" t="n">
        <v>469.2</v>
      </c>
      <c r="BE308" s="76" t="n">
        <v>175.3</v>
      </c>
      <c r="BF308" s="71" t="inlineStr">
        <is>
          <t>Y</t>
        </is>
      </c>
      <c r="BG308" s="83" t="n">
        <v>4.6</v>
      </c>
      <c r="BH308" s="83" t="n"/>
      <c r="BI308" s="83" t="n">
        <v>115.6</v>
      </c>
      <c r="BJ308" s="83" t="n">
        <v>1.7</v>
      </c>
      <c r="BK308" s="84">
        <f>IF('BBG Verify'!S308="","not filed; run on terminal",'BBG Verify'!S308)</f>
        <v/>
      </c>
      <c r="BL308" s="85" t="inlineStr">
        <is>
          <t>N</t>
        </is>
      </c>
      <c r="BM308" s="86">
        <f>IF('BBG Verify'!K308="","not filed; run on terminal",'BBG Verify'!K308)</f>
        <v/>
      </c>
      <c r="BN308" s="71" t="inlineStr">
        <is>
          <t>N/A</t>
        </is>
      </c>
      <c r="BO308" s="71" t="inlineStr">
        <is>
          <t>N/A</t>
        </is>
      </c>
      <c r="BP308" s="71" t="inlineStr">
        <is>
          <t>N/A</t>
        </is>
      </c>
      <c r="BQ308" s="71" t="inlineStr">
        <is>
          <t>N/A</t>
        </is>
      </c>
      <c r="BR308" s="71" t="inlineStr">
        <is>
          <t>N/A</t>
        </is>
      </c>
      <c r="BS308" s="71" t="inlineStr">
        <is>
          <t>N/A</t>
        </is>
      </c>
      <c r="BT308" s="85" t="inlineStr">
        <is>
          <t>Caitong International Capital Co., Limited</t>
        </is>
      </c>
      <c r="BU308" s="71" t="inlineStr">
        <is>
          <t>Caitong International Capital Co.</t>
        </is>
      </c>
      <c r="BV308" s="71"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W308" s="71"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X308" s="87">
        <f>HYPERLINK("https://www1.hkexnews.hk/listedco/listconews/sehk/2024/1230/2024123000005.pdf","prospectus")</f>
        <v/>
      </c>
      <c r="BY308" s="87">
        <f>HYPERLINK("https://www1.hkexnews.hk/listedco/listconews/sehk/2025/0109/2025010901059.pdf","allotment")</f>
        <v/>
      </c>
      <c r="BZ308" s="71" t="n"/>
      <c r="CA308" s="85" t="n"/>
      <c r="CB308" s="71" t="inlineStr">
        <is>
          <t>greenshoe: end-of-stabilisation notice not found; cornerstone list: no cornerstone tranche; stabilising manager: not named in the allotment notice or prospectus glossary</t>
        </is>
      </c>
    </row>
    <row r="309" ht="15" customHeight="1">
      <c r="A309" s="70" t="inlineStr">
        <is>
          <t>2596</t>
        </is>
      </c>
      <c r="B309" s="71" t="inlineStr">
        <is>
          <t>YIBIN BANK</t>
        </is>
      </c>
      <c r="C309" s="71" t="inlineStr">
        <is>
          <t>宜賓銀行</t>
        </is>
      </c>
      <c r="D309" s="71" t="inlineStr">
        <is>
          <t>Financials</t>
        </is>
      </c>
      <c r="E309" s="71" t="inlineStr">
        <is>
          <t>Banks</t>
        </is>
      </c>
      <c r="F309" s="71" t="inlineStr">
        <is>
          <t>Diversified Banks</t>
        </is>
      </c>
      <c r="G309" s="71" t="inlineStr">
        <is>
          <t>Standard</t>
        </is>
      </c>
      <c r="H309" s="72" t="n">
        <v>45670</v>
      </c>
      <c r="I309" s="73" t="n">
        <v>1782.96</v>
      </c>
      <c r="J309" s="71" t="inlineStr">
        <is>
          <t>gross (stated)</t>
        </is>
      </c>
      <c r="K309" s="74" t="n">
        <v>2.59</v>
      </c>
      <c r="L309" s="74" t="n">
        <v>2.72</v>
      </c>
      <c r="M309" s="74" t="n">
        <v>2.59</v>
      </c>
      <c r="N309" s="71" t="inlineStr">
        <is>
          <t>N</t>
        </is>
      </c>
      <c r="O309" s="75" t="n">
        <v>95.2</v>
      </c>
      <c r="P309" s="75" t="n">
        <v>0</v>
      </c>
      <c r="Q309" s="76" t="n">
        <v>10568.8</v>
      </c>
      <c r="R309" s="71" t="inlineStr">
        <is>
          <t>derived:deal size / offer % of enlarged capital</t>
        </is>
      </c>
      <c r="S309" s="77" t="n">
        <v>0.21</v>
      </c>
      <c r="T309" s="78" t="n">
        <v>1.14</v>
      </c>
      <c r="U309" s="79" t="n">
        <v>0</v>
      </c>
      <c r="V309" s="80" t="n">
        <v>113</v>
      </c>
      <c r="W309" s="75" t="n">
        <v>2.11</v>
      </c>
      <c r="X309" s="71" t="inlineStr">
        <is>
          <t>NO</t>
        </is>
      </c>
      <c r="Y309" s="76" t="n">
        <v>1782.96</v>
      </c>
      <c r="Z309" s="76" t="n">
        <v>688400000</v>
      </c>
      <c r="AA309" s="75" t="n">
        <v>16.87</v>
      </c>
      <c r="AB309" s="71" t="n"/>
      <c r="AC309" s="71" t="n"/>
      <c r="AD309" s="75" t="n">
        <v>3.2</v>
      </c>
      <c r="AE309" s="71" t="inlineStr">
        <is>
          <t>lapsed</t>
        </is>
      </c>
      <c r="AF309" s="71" t="n"/>
      <c r="AG309" s="71" t="inlineStr">
        <is>
          <t>CCB International Capital Limited</t>
        </is>
      </c>
      <c r="AH309" s="71" t="inlineStr">
        <is>
          <t>CCB</t>
        </is>
      </c>
      <c r="AI309" s="92" t="n">
        <v>-1.544</v>
      </c>
      <c r="AJ309" s="82" t="n">
        <v>0.77</v>
      </c>
      <c r="AK309" s="82" t="n">
        <v>0</v>
      </c>
      <c r="AL309" s="82" t="n">
        <v>0.77</v>
      </c>
      <c r="AM309" s="83" t="n">
        <v>1.77</v>
      </c>
      <c r="AN309" s="75" t="n">
        <v>3.86</v>
      </c>
      <c r="AO309" s="82" t="n">
        <v>0.39</v>
      </c>
      <c r="AP309" s="82" t="n">
        <v>0.39</v>
      </c>
      <c r="AQ309" s="82" t="n">
        <v>1.16</v>
      </c>
      <c r="AR309" s="82" t="n">
        <v>-0.38</v>
      </c>
      <c r="AS309" s="82" t="n">
        <v>-0.38</v>
      </c>
      <c r="AT309" s="82" t="n">
        <v>0.39</v>
      </c>
      <c r="AU309" s="82" t="n">
        <v>-2.89</v>
      </c>
      <c r="AV309" s="82" t="n">
        <v>-12.01</v>
      </c>
      <c r="AW309" s="82" t="n">
        <v>-6.6</v>
      </c>
      <c r="AX309" s="82" t="n">
        <v>-13.97</v>
      </c>
      <c r="AY309" s="82" t="n">
        <v>12.4</v>
      </c>
      <c r="AZ309" s="82" t="n">
        <v>13.59</v>
      </c>
      <c r="BA309" s="71" t="inlineStr">
        <is>
          <t>Hang Seng Finance sub-index</t>
        </is>
      </c>
      <c r="BB309" s="82" t="n">
        <v>2.32</v>
      </c>
      <c r="BC309" s="72" t="inlineStr">
        <is>
          <t>2026-09-18</t>
        </is>
      </c>
      <c r="BD309" s="73" t="n">
        <v>2387</v>
      </c>
      <c r="BE309" s="76" t="n">
        <v>524.7</v>
      </c>
      <c r="BF309" s="71" t="inlineStr">
        <is>
          <t>Y</t>
        </is>
      </c>
      <c r="BG309" s="83" t="n">
        <v>20.1</v>
      </c>
      <c r="BH309" s="83" t="n"/>
      <c r="BI309" s="83" t="n"/>
      <c r="BJ309" s="83" t="n">
        <v>4.4</v>
      </c>
      <c r="BK309" s="84">
        <f>IF('BBG Verify'!S309="","not filed; run on terminal",'BBG Verify'!S309)</f>
        <v/>
      </c>
      <c r="BL309" s="85" t="inlineStr">
        <is>
          <t>N</t>
        </is>
      </c>
      <c r="BM309" s="86">
        <f>IF('BBG Verify'!K309="","not filed; run on terminal",'BBG Verify'!K309)</f>
        <v/>
      </c>
      <c r="BN309" s="71" t="inlineStr">
        <is>
          <t>N/A</t>
        </is>
      </c>
      <c r="BO309" s="71" t="inlineStr">
        <is>
          <t>N/A</t>
        </is>
      </c>
      <c r="BP309" s="71" t="inlineStr">
        <is>
          <t>N/A</t>
        </is>
      </c>
      <c r="BQ309" s="71" t="inlineStr">
        <is>
          <t>N/A</t>
        </is>
      </c>
      <c r="BR309" s="71" t="inlineStr">
        <is>
          <t>N/A</t>
        </is>
      </c>
      <c r="BS309" s="71" t="inlineStr">
        <is>
          <t>N/A</t>
        </is>
      </c>
      <c r="BT309" s="85" t="inlineStr">
        <is>
          <t>CCB International Capital Limited; ICBC International Capital Limited</t>
        </is>
      </c>
      <c r="BU309" s="71" t="inlineStr">
        <is>
          <t>CCB International Capital Limited; ICBC International Capital Limited</t>
        </is>
      </c>
      <c r="BV309" s="71" t="inlineStr">
        <is>
          <t>BOCI Asia Limited; CLSA Limited; Zhongtai International Securities Limited</t>
        </is>
      </c>
      <c r="BW309" s="71"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X309" s="87">
        <f>HYPERLINK("https://www1.hkexnews.hk/listedco/listconews/sehk/2024/1230/2024123000047.pdf","prospectus")</f>
        <v/>
      </c>
      <c r="BY309" s="87">
        <f>HYPERLINK("https://www1.hkexnews.hk/listedco/listconews/sehk/2025/0110/2025011001363.pdf","allotment")</f>
        <v/>
      </c>
      <c r="BZ309" s="87">
        <f>HYPERLINK("https://www1.hkexnews.hk/listedco/listconews/sehk/2025/0207/2025020700893.pdf","stabilisation")</f>
        <v/>
      </c>
      <c r="CA309" s="85" t="n"/>
      <c r="CB309" s="71" t="inlineStr">
        <is>
          <t>greenshoe: outcome published; expiry date not in the notice; cornerstone list: no cornerstone tranche</t>
        </is>
      </c>
    </row>
    <row r="310" ht="15" customHeight="1">
      <c r="A310" s="70" t="inlineStr">
        <is>
          <t>2571</t>
        </is>
      </c>
      <c r="B310" s="71" t="inlineStr">
        <is>
          <t>SAIMO</t>
        </is>
      </c>
      <c r="C310" s="71" t="inlineStr">
        <is>
          <t>賽目科技</t>
        </is>
      </c>
      <c r="D310" s="71" t="inlineStr">
        <is>
          <t>Industrials</t>
        </is>
      </c>
      <c r="E310" s="71" t="inlineStr">
        <is>
          <t>Capital goods / machinery</t>
        </is>
      </c>
      <c r="F310" s="71" t="inlineStr">
        <is>
          <t>Application Software</t>
        </is>
      </c>
      <c r="G310" s="71" t="inlineStr">
        <is>
          <t>Standard</t>
        </is>
      </c>
      <c r="H310" s="72" t="n">
        <v>45672</v>
      </c>
      <c r="I310" s="73" t="n">
        <v>433</v>
      </c>
      <c r="J310" s="71" t="inlineStr">
        <is>
          <t>gross (stated)</t>
        </is>
      </c>
      <c r="K310" s="74" t="n">
        <v>12</v>
      </c>
      <c r="L310" s="74" t="n">
        <v>12.99</v>
      </c>
      <c r="M310" s="74" t="n">
        <v>12.99</v>
      </c>
      <c r="N310" s="71" t="inlineStr">
        <is>
          <t>Y</t>
        </is>
      </c>
      <c r="O310" s="75" t="n">
        <v>100</v>
      </c>
      <c r="P310" s="75" t="n">
        <v>100</v>
      </c>
      <c r="Q310" s="76" t="n">
        <v>1732</v>
      </c>
      <c r="R310" s="71" t="inlineStr">
        <is>
          <t>derived:price x shares upon listing</t>
        </is>
      </c>
      <c r="S310" s="77" t="n">
        <v>2.66</v>
      </c>
      <c r="T310" s="78" t="n">
        <v>1.06</v>
      </c>
      <c r="U310" s="79" t="n">
        <v>34.3</v>
      </c>
      <c r="V310" s="80" t="n">
        <v>120</v>
      </c>
      <c r="W310" s="75" t="n">
        <v>10</v>
      </c>
      <c r="X310" s="71" t="inlineStr">
        <is>
          <t>NO</t>
        </is>
      </c>
      <c r="Y310" s="76" t="n">
        <v>284.48</v>
      </c>
      <c r="Z310" s="76" t="n">
        <v>21900044</v>
      </c>
      <c r="AA310" s="75" t="n">
        <v>16.43</v>
      </c>
      <c r="AB310" s="71" t="n"/>
      <c r="AC310" s="71" t="n"/>
      <c r="AD310" s="75" t="n">
        <v>9.300000000000001</v>
      </c>
      <c r="AE310" s="71" t="inlineStr">
        <is>
          <t>lapsed (no over-allocation)</t>
        </is>
      </c>
      <c r="AF310" s="71" t="inlineStr">
        <is>
          <t>2025-02-09</t>
        </is>
      </c>
      <c r="AG310" s="71" t="inlineStr">
        <is>
          <t>CEB International Capital Corporation Limited</t>
        </is>
      </c>
      <c r="AH310" s="71" t="inlineStr">
        <is>
          <t>CEB</t>
        </is>
      </c>
      <c r="AI310" s="81" t="n">
        <v>0.077</v>
      </c>
      <c r="AJ310" s="82" t="n">
        <v>1.46</v>
      </c>
      <c r="AK310" s="82" t="n">
        <v>2.39</v>
      </c>
      <c r="AL310" s="82" t="n">
        <v>-0.91</v>
      </c>
      <c r="AM310" s="83" t="n">
        <v>2.32</v>
      </c>
      <c r="AN310" s="75" t="n">
        <v>12.33</v>
      </c>
      <c r="AO310" s="82" t="n">
        <v>0.38</v>
      </c>
      <c r="AP310" s="82" t="n">
        <v>17.17</v>
      </c>
      <c r="AQ310" s="82" t="n">
        <v>-4.54</v>
      </c>
      <c r="AR310" s="82" t="n">
        <v>-1.06</v>
      </c>
      <c r="AS310" s="82" t="n">
        <v>15.48</v>
      </c>
      <c r="AT310" s="82" t="n">
        <v>-5.91</v>
      </c>
      <c r="AU310" s="82" t="n">
        <v>-2.59</v>
      </c>
      <c r="AV310" s="82" t="n">
        <v>-7.53</v>
      </c>
      <c r="AW310" s="82" t="n">
        <v>-18.23</v>
      </c>
      <c r="AX310" s="82" t="n">
        <v>-9</v>
      </c>
      <c r="AY310" s="82" t="n">
        <v>24.7</v>
      </c>
      <c r="AZ310" s="82" t="n">
        <v>24.48</v>
      </c>
      <c r="BA310" s="71" t="inlineStr">
        <is>
          <t>Hang Seng Commerce &amp; Industry sub-index</t>
        </is>
      </c>
      <c r="BB310" s="82" t="n">
        <v>23.02</v>
      </c>
      <c r="BC310" s="72" t="inlineStr">
        <is>
          <t>2026-09-23</t>
        </is>
      </c>
      <c r="BD310" s="73" t="n">
        <v>193.3</v>
      </c>
      <c r="BE310" s="76" t="n">
        <v>55.8</v>
      </c>
      <c r="BF310" s="71" t="inlineStr">
        <is>
          <t>Y</t>
        </is>
      </c>
      <c r="BG310" s="83" t="n">
        <v>31</v>
      </c>
      <c r="BH310" s="83" t="n"/>
      <c r="BI310" s="83" t="n">
        <v>33.9</v>
      </c>
      <c r="BJ310" s="83" t="n">
        <v>9</v>
      </c>
      <c r="BK310" s="84">
        <f>IF('BBG Verify'!S310="","not filed; run on terminal",'BBG Verify'!S310)</f>
        <v/>
      </c>
      <c r="BL310" s="85" t="inlineStr">
        <is>
          <t>N</t>
        </is>
      </c>
      <c r="BM310" s="86">
        <f>IF('BBG Verify'!K310="","not filed; run on terminal",'BBG Verify'!K310)</f>
        <v/>
      </c>
      <c r="BN310" s="71" t="inlineStr">
        <is>
          <t>N/A</t>
        </is>
      </c>
      <c r="BO310" s="71" t="inlineStr">
        <is>
          <t>N/A</t>
        </is>
      </c>
      <c r="BP310" s="71" t="inlineStr">
        <is>
          <t>N/A</t>
        </is>
      </c>
      <c r="BQ310" s="71" t="inlineStr">
        <is>
          <t>N/A</t>
        </is>
      </c>
      <c r="BR310" s="71" t="inlineStr">
        <is>
          <t>N/A</t>
        </is>
      </c>
      <c r="BS310" s="71" t="inlineStr">
        <is>
          <t>N/A</t>
        </is>
      </c>
      <c r="BT310" s="85" t="n"/>
      <c r="BU310" s="71" t="inlineStr">
        <is>
          <t>CEB International Capital Corporation Limited</t>
        </is>
      </c>
      <c r="BV310" s="71"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W310" s="71"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X310" s="87">
        <f>HYPERLINK("https://www1.hkexnews.hk/listedco/listconews/sehk/2024/1231/2024123100154.pdf","prospectus")</f>
        <v/>
      </c>
      <c r="BY310" s="87">
        <f>HYPERLINK("https://www1.hkexnews.hk/listedco/listconews/sehk/2025/0114/2025011400898.pdf","allotment")</f>
        <v/>
      </c>
      <c r="BZ310" s="87">
        <f>HYPERLINK("https://www1.hkexnews.hk/listedco/listconews/sehk/2025/0210/2025021000368.pdf","stabilisation")</f>
        <v/>
      </c>
      <c r="CA310" s="85" t="n"/>
      <c r="CB310" s="71"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t>
        </is>
      </c>
    </row>
    <row r="311" ht="15" customHeight="1">
      <c r="A311" s="70" t="inlineStr">
        <is>
          <t>1364</t>
        </is>
      </c>
      <c r="B311" s="71" t="inlineStr">
        <is>
          <t>GUMING</t>
        </is>
      </c>
      <c r="C311" s="71" t="inlineStr">
        <is>
          <t>古茗</t>
        </is>
      </c>
      <c r="D311" s="71" t="inlineStr">
        <is>
          <t>Consumer</t>
        </is>
      </c>
      <c r="E311" s="71" t="inlineStr">
        <is>
          <t>F&amp;B chains / restaurants</t>
        </is>
      </c>
      <c r="F311" s="71" t="inlineStr">
        <is>
          <t>Beverages (Non-alcoholic)</t>
        </is>
      </c>
      <c r="G311" s="71" t="inlineStr">
        <is>
          <t>Standard</t>
        </is>
      </c>
      <c r="H311" s="72" t="n">
        <v>45700</v>
      </c>
      <c r="I311" s="73" t="n">
        <v>1813</v>
      </c>
      <c r="J311" s="71" t="inlineStr">
        <is>
          <t>gross (stated)</t>
        </is>
      </c>
      <c r="K311" s="74" t="n"/>
      <c r="L311" s="74" t="n">
        <v>9.94</v>
      </c>
      <c r="M311" s="74" t="n">
        <v>9.94</v>
      </c>
      <c r="N311" s="71" t="inlineStr">
        <is>
          <t>Y</t>
        </is>
      </c>
      <c r="O311" s="75" t="n">
        <v>100</v>
      </c>
      <c r="P311" s="75" t="n"/>
      <c r="Q311" s="76" t="n">
        <v>23421.8</v>
      </c>
      <c r="R311" s="71" t="inlineStr">
        <is>
          <t>derived:price x shares upon listing</t>
        </is>
      </c>
      <c r="S311" s="77" t="n">
        <v>194.87</v>
      </c>
      <c r="T311" s="78" t="n">
        <v>15.03</v>
      </c>
      <c r="U311" s="79" t="n">
        <v>30.51</v>
      </c>
      <c r="V311" s="80" t="n">
        <v>108</v>
      </c>
      <c r="W311" s="75" t="n">
        <v>43.48</v>
      </c>
      <c r="X311" s="71" t="inlineStr">
        <is>
          <t>YES</t>
        </is>
      </c>
      <c r="Y311" s="76" t="n">
        <v>1259.85</v>
      </c>
      <c r="Z311" s="76" t="n">
        <v>126752262</v>
      </c>
      <c r="AA311" s="75" t="n">
        <v>5.38</v>
      </c>
      <c r="AB311" s="71" t="inlineStr">
        <is>
          <t>Huang River Investment Limited; Global Company Limited; Long-Z Fund I, LP; Duckling Fund, L.P; Mr. Qi; Mr. Ruan; Ms. Pan</t>
        </is>
      </c>
      <c r="AC311" s="71" t="inlineStr">
        <is>
          <t>huang-river;global-company;long;duckling;mr-qi;mr-ruan;ms-pan</t>
        </is>
      </c>
      <c r="AD311" s="75" t="n">
        <v>15</v>
      </c>
      <c r="AE311" s="71" t="inlineStr">
        <is>
          <t>partial</t>
        </is>
      </c>
      <c r="AF311" s="71" t="n"/>
      <c r="AG311" s="71" t="inlineStr">
        <is>
          <t>Goldman Sachs</t>
        </is>
      </c>
      <c r="AH311" s="71" t="inlineStr">
        <is>
          <t>Goldman Sachs</t>
        </is>
      </c>
      <c r="AI311" s="81" t="n">
        <v>10.865</v>
      </c>
      <c r="AJ311" s="82" t="n">
        <v>-6.44</v>
      </c>
      <c r="AK311" s="82" t="n">
        <v>0.6</v>
      </c>
      <c r="AL311" s="82" t="n">
        <v>-7</v>
      </c>
      <c r="AM311" s="83" t="n">
        <v>1.69</v>
      </c>
      <c r="AN311" s="75" t="n">
        <v>14.7</v>
      </c>
      <c r="AO311" s="82" t="n">
        <v>-2.11</v>
      </c>
      <c r="AP311" s="82" t="n">
        <v>45.07</v>
      </c>
      <c r="AQ311" s="82" t="n">
        <v>157.04</v>
      </c>
      <c r="AR311" s="82" t="n">
        <v>4.63</v>
      </c>
      <c r="AS311" s="82" t="n">
        <v>55.06</v>
      </c>
      <c r="AT311" s="82" t="n">
        <v>174.73</v>
      </c>
      <c r="AU311" s="82" t="n">
        <v>-11.51</v>
      </c>
      <c r="AV311" s="82" t="n">
        <v>33.21</v>
      </c>
      <c r="AW311" s="82" t="n">
        <v>148.82</v>
      </c>
      <c r="AX311" s="82" t="n">
        <v>46.26</v>
      </c>
      <c r="AY311" s="82" t="n">
        <v>11.86</v>
      </c>
      <c r="AZ311" s="82" t="n">
        <v>8.800000000000001</v>
      </c>
      <c r="BA311" s="71" t="inlineStr">
        <is>
          <t>Hang Seng Commerce &amp; Industry sub-index</t>
        </is>
      </c>
      <c r="BB311" s="82" t="n">
        <v>119.92</v>
      </c>
      <c r="BC311" s="72" t="inlineStr">
        <is>
          <t>2026-09-23</t>
        </is>
      </c>
      <c r="BD311" s="73" t="n">
        <v>8443.200000000001</v>
      </c>
      <c r="BE311" s="76" t="n">
        <v>1206</v>
      </c>
      <c r="BF311" s="71" t="inlineStr">
        <is>
          <t>Y</t>
        </is>
      </c>
      <c r="BG311" s="83" t="n">
        <v>19.4</v>
      </c>
      <c r="BH311" s="83" t="n">
        <v>12.3</v>
      </c>
      <c r="BI311" s="83" t="n">
        <v>15.4</v>
      </c>
      <c r="BJ311" s="83" t="n">
        <v>2.8</v>
      </c>
      <c r="BK311" s="84">
        <f>IF('BBG Verify'!S311="","not filed; run on terminal",'BBG Verify'!S311)</f>
        <v/>
      </c>
      <c r="BL311" s="85" t="inlineStr">
        <is>
          <t>N</t>
        </is>
      </c>
      <c r="BM311" s="86">
        <f>IF('BBG Verify'!K311="","not filed; run on terminal",'BBG Verify'!K311)</f>
        <v/>
      </c>
      <c r="BN311" s="71" t="inlineStr">
        <is>
          <t>N/A</t>
        </is>
      </c>
      <c r="BO311" s="71" t="inlineStr">
        <is>
          <t>N/A</t>
        </is>
      </c>
      <c r="BP311" s="71" t="inlineStr">
        <is>
          <t>N/A</t>
        </is>
      </c>
      <c r="BQ311" s="71" t="inlineStr">
        <is>
          <t>N/A</t>
        </is>
      </c>
      <c r="BR311" s="71" t="inlineStr">
        <is>
          <t>N/A</t>
        </is>
      </c>
      <c r="BS311" s="71" t="inlineStr">
        <is>
          <t>N/A</t>
        </is>
      </c>
      <c r="BT311" s="85" t="inlineStr">
        <is>
          <t>Goldman Sachs (Asia) L.L.C; UBS Securities Hong Kong Limited; UBS AG Hong Kong Branch</t>
        </is>
      </c>
      <c r="BU311" s="71" t="inlineStr">
        <is>
          <t>UBS Securities Hong Kong Limited; Goldman Sachs (Asia) L.L.C.</t>
        </is>
      </c>
      <c r="BV311" s="71" t="inlineStr">
        <is>
          <t>Goldman Sachs (Asia) L.L.C; UBS AG Hong Kong Branch; China International Capital Corporation Hong Kong Securities Limited; The Hongkong and Shanghai Banking Corporation Limited; ABCI Capital Limited; BOCI Asia Limited; CMB International Capital Limited</t>
        </is>
      </c>
      <c r="BW311" s="71"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X311" s="87">
        <f>HYPERLINK("https://www1.hkexnews.hk/listedco/listconews/sehk/2025/0204/2025020400011.pdf","prospectus")</f>
        <v/>
      </c>
      <c r="BY311" s="87">
        <f>HYPERLINK("https://www1.hkexnews.hk/listedco/listconews/sehk/2025/0211/2025021100944.pdf","allotment")</f>
        <v/>
      </c>
      <c r="BZ311" s="87">
        <f>HYPERLINK("https://www1.hkexnews.hk/listedco/listconews/sehk/2025/0309/2025030900015.pdf","stabilisation")</f>
        <v/>
      </c>
      <c r="CA311" s="85" t="n"/>
      <c r="CB311" s="71" t="inlineStr">
        <is>
          <t>greenshoe: outcome published; expiry date not in the notice; range low: maximum offer price only, no floor published</t>
        </is>
      </c>
    </row>
    <row r="312" ht="15" customHeight="1">
      <c r="A312" s="70" t="inlineStr">
        <is>
          <t>2097</t>
        </is>
      </c>
      <c r="B312" s="71" t="inlineStr">
        <is>
          <t>MIXUE GROUP</t>
        </is>
      </c>
      <c r="C312" s="71" t="inlineStr">
        <is>
          <t>蜜雪集團</t>
        </is>
      </c>
      <c r="D312" s="71" t="inlineStr">
        <is>
          <t>Consumer</t>
        </is>
      </c>
      <c r="E312" s="71" t="inlineStr">
        <is>
          <t>F&amp;B chains / restaurants</t>
        </is>
      </c>
      <c r="F312" s="71" t="inlineStr">
        <is>
          <t>Beverages (Non-alcoholic)</t>
        </is>
      </c>
      <c r="G312" s="71" t="inlineStr">
        <is>
          <t>Standard</t>
        </is>
      </c>
      <c r="H312" s="72" t="n">
        <v>45719</v>
      </c>
      <c r="I312" s="73" t="n">
        <v>3455</v>
      </c>
      <c r="J312" s="71" t="inlineStr">
        <is>
          <t>gross (stated)</t>
        </is>
      </c>
      <c r="K312" s="74" t="n"/>
      <c r="L312" s="74" t="n">
        <v>202.5</v>
      </c>
      <c r="M312" s="74" t="n">
        <v>202.5</v>
      </c>
      <c r="N312" s="71" t="inlineStr">
        <is>
          <t>Y</t>
        </is>
      </c>
      <c r="O312" s="75" t="n">
        <v>100</v>
      </c>
      <c r="P312" s="75" t="n"/>
      <c r="Q312" s="76" t="n">
        <v>76355</v>
      </c>
      <c r="R312" s="71" t="inlineStr">
        <is>
          <t>prospectus:stated market capitalisation</t>
        </is>
      </c>
      <c r="S312" s="77" t="n">
        <v>5258.21</v>
      </c>
      <c r="T312" s="78" t="n">
        <v>35.23</v>
      </c>
      <c r="U312" s="79" t="n"/>
      <c r="V312" s="80" t="n">
        <v>222</v>
      </c>
      <c r="W312" s="75" t="n">
        <v>50</v>
      </c>
      <c r="X312" s="71" t="inlineStr">
        <is>
          <t>YES</t>
        </is>
      </c>
      <c r="Y312" s="76" t="n"/>
      <c r="Z312" s="76" t="n"/>
      <c r="AA312" s="75" t="n"/>
      <c r="AB312" s="71" t="inlineStr">
        <is>
          <t>Long-Z Fund I, LP; Limited (TKAMC HK); Investment Limited (HTCI); Co Limited (China Southern); GF Global Capital Limited; Limited (E Fund HK); Kong Limited (VPHK); M&amp;G Investments; HongShan Growth; Persistence Growth Limited; HHLR Fund; MeichengNote; Shenzhen Yunqi</t>
        </is>
      </c>
      <c r="AC312" s="71" t="inlineStr">
        <is>
          <t>long;limited;investment-limited;co-limited;gf;kong-limited;investments;hongshan;persistence;hhlr;meichengnote;shenzhen-yunqi</t>
        </is>
      </c>
      <c r="AD312" s="75" t="n">
        <v>15</v>
      </c>
      <c r="AE312" s="71" t="inlineStr">
        <is>
          <t>full</t>
        </is>
      </c>
      <c r="AF312" s="71" t="inlineStr">
        <is>
          <t>2025-03-28</t>
        </is>
      </c>
      <c r="AG312" s="71" t="inlineStr">
        <is>
          <t>Merrill Lynch</t>
        </is>
      </c>
      <c r="AH312" s="71" t="inlineStr">
        <is>
          <t>Merrill Lynch</t>
        </is>
      </c>
      <c r="AI312" s="81" t="n">
        <v>23.457</v>
      </c>
      <c r="AJ312" s="82" t="n">
        <v>43.21</v>
      </c>
      <c r="AK312" s="82" t="n">
        <v>29.38</v>
      </c>
      <c r="AL312" s="82" t="n">
        <v>10.69</v>
      </c>
      <c r="AM312" s="83" t="n">
        <v>1.88</v>
      </c>
      <c r="AN312" s="75" t="n">
        <v>16.03</v>
      </c>
      <c r="AO312" s="82" t="n">
        <v>94.27</v>
      </c>
      <c r="AP312" s="82" t="n">
        <v>107.41</v>
      </c>
      <c r="AQ312" s="82" t="n">
        <v>180.49</v>
      </c>
      <c r="AR312" s="82" t="n">
        <v>35.65</v>
      </c>
      <c r="AS312" s="82" t="n">
        <v>44.83</v>
      </c>
      <c r="AT312" s="82" t="n">
        <v>95.86</v>
      </c>
      <c r="AU312" s="82" t="n">
        <v>89.55</v>
      </c>
      <c r="AV312" s="82" t="n">
        <v>106.47</v>
      </c>
      <c r="AW312" s="82" t="n">
        <v>178.85</v>
      </c>
      <c r="AX312" s="82" t="n">
        <v>44.15</v>
      </c>
      <c r="AY312" s="82" t="n">
        <v>0.9399999999999999</v>
      </c>
      <c r="AZ312" s="82" t="n">
        <v>0.68</v>
      </c>
      <c r="BA312" s="71" t="inlineStr">
        <is>
          <t>Hang Seng Commerce &amp; Industry sub-index</t>
        </is>
      </c>
      <c r="BB312" s="82" t="n">
        <v>-7.65</v>
      </c>
      <c r="BC312" s="72" t="inlineStr">
        <is>
          <t>2026-09-23</t>
        </is>
      </c>
      <c r="BD312" s="73" t="n">
        <v>22332.7</v>
      </c>
      <c r="BE312" s="76" t="n">
        <v>3505.3</v>
      </c>
      <c r="BF312" s="71" t="inlineStr">
        <is>
          <t>Y</t>
        </is>
      </c>
      <c r="BG312" s="83" t="n">
        <v>21.8</v>
      </c>
      <c r="BH312" s="83" t="n"/>
      <c r="BI312" s="83" t="n">
        <v>12.5</v>
      </c>
      <c r="BJ312" s="83" t="n">
        <v>3.4</v>
      </c>
      <c r="BK312" s="84">
        <f>IF('BBG Verify'!S312="","not filed; run on terminal",'BBG Verify'!S312)</f>
        <v/>
      </c>
      <c r="BL312" s="85" t="inlineStr">
        <is>
          <t>N</t>
        </is>
      </c>
      <c r="BM312" s="86">
        <f>IF('BBG Verify'!K312="","not filed; run on terminal",'BBG Verify'!K312)</f>
        <v/>
      </c>
      <c r="BN312" s="71" t="inlineStr">
        <is>
          <t>N/A</t>
        </is>
      </c>
      <c r="BO312" s="71" t="inlineStr">
        <is>
          <t>N/A</t>
        </is>
      </c>
      <c r="BP312" s="71" t="inlineStr">
        <is>
          <t>N/A</t>
        </is>
      </c>
      <c r="BQ312" s="71" t="inlineStr">
        <is>
          <t>N/A</t>
        </is>
      </c>
      <c r="BR312" s="71" t="inlineStr">
        <is>
          <t>N/A</t>
        </is>
      </c>
      <c r="BS312" s="71" t="inlineStr">
        <is>
          <t>N/A</t>
        </is>
      </c>
      <c r="BT312" s="85" t="n"/>
      <c r="BU312" s="71" t="inlineStr">
        <is>
          <t>UBS Securities Hong Kong Limited; Merrill Lynch (Asia Pacific) Limited; Goldman Sachs (Asia) L.L.C.</t>
        </is>
      </c>
      <c r="BV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W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X312" s="87">
        <f>HYPERLINK("https://www1.hkexnews.hk/listedco/listconews/sehk/2025/0221/2025022100016.htm","prospectus")</f>
        <v/>
      </c>
      <c r="BY312" s="87">
        <f>HYPERLINK("https://www1.hkexnews.hk/listedco/listconews/sehk/2025/0228/2025022801727.pdf","allotment")</f>
        <v/>
      </c>
      <c r="BZ312" s="87">
        <f>HYPERLINK("https://www1.hkexnews.hk/listedco/listconews/sehk/2025/0328/2025032802276.pdf","stabilisation")</f>
        <v/>
      </c>
      <c r="CA312" s="85" t="n"/>
      <c r="CB312" s="71"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eff free float: % of cap not computable: cornerstone % unknown</t>
        </is>
      </c>
    </row>
    <row r="313" ht="15" customHeight="1">
      <c r="A313" s="70" t="inlineStr">
        <is>
          <t>6693</t>
        </is>
      </c>
      <c r="B313" s="71" t="inlineStr">
        <is>
          <t>CHIFENG GOLD</t>
        </is>
      </c>
      <c r="C313" s="71" t="inlineStr">
        <is>
          <t>赤峰黃金</t>
        </is>
      </c>
      <c r="D313" s="71" t="inlineStr">
        <is>
          <t>Materials/Energy</t>
        </is>
      </c>
      <c r="E313" s="71" t="inlineStr">
        <is>
          <t>Mining / metals</t>
        </is>
      </c>
      <c r="F313" s="71" t="inlineStr">
        <is>
          <t>Gold &amp; Precious Metals</t>
        </is>
      </c>
      <c r="G313" s="71" t="inlineStr">
        <is>
          <t>Standard</t>
        </is>
      </c>
      <c r="H313" s="72" t="n">
        <v>45726</v>
      </c>
      <c r="I313" s="73" t="n">
        <v>2821.5</v>
      </c>
      <c r="J313" s="71" t="inlineStr">
        <is>
          <t>gross (price x shares)</t>
        </is>
      </c>
      <c r="K313" s="74" t="n"/>
      <c r="L313" s="74" t="n">
        <v>15.83</v>
      </c>
      <c r="M313" s="74" t="n">
        <v>13.72</v>
      </c>
      <c r="N313" s="71" t="inlineStr">
        <is>
          <t>N</t>
        </is>
      </c>
      <c r="O313" s="75" t="n">
        <v>86.7</v>
      </c>
      <c r="P313" s="75" t="n"/>
      <c r="Q313" s="76" t="n">
        <v>25650.4</v>
      </c>
      <c r="R313" s="71" t="inlineStr">
        <is>
          <t>derived:price x shares upon listing</t>
        </is>
      </c>
      <c r="S313" s="77" t="n">
        <v>9.529999999999999</v>
      </c>
      <c r="T313" s="78" t="n">
        <v>3.67</v>
      </c>
      <c r="U313" s="79" t="n">
        <v>26.4</v>
      </c>
      <c r="V313" s="80" t="n">
        <v>152</v>
      </c>
      <c r="W313" s="75" t="n">
        <v>10</v>
      </c>
      <c r="X313" s="71" t="inlineStr">
        <is>
          <t>NO</t>
        </is>
      </c>
      <c r="Y313" s="76" t="n">
        <v>2076.62</v>
      </c>
      <c r="Z313" s="76" t="n">
        <v>151359872</v>
      </c>
      <c r="AA313" s="75" t="n">
        <v>8.1</v>
      </c>
      <c r="AB313" s="71" t="inlineStr">
        <is>
          <t>International Mining Company Limited; Sparky International Company Limited</t>
        </is>
      </c>
      <c r="AC313" s="71" t="inlineStr">
        <is>
          <t>mining;sparky</t>
        </is>
      </c>
      <c r="AD313" s="75" t="n">
        <v>15</v>
      </c>
      <c r="AE313" s="71" t="inlineStr">
        <is>
          <t>full</t>
        </is>
      </c>
      <c r="AF313" s="71" t="inlineStr">
        <is>
          <t>2025-04-04</t>
        </is>
      </c>
      <c r="AG313" s="71" t="inlineStr">
        <is>
          <t>CLSA Limited</t>
        </is>
      </c>
      <c r="AH313" s="71" t="inlineStr">
        <is>
          <t>CLSA</t>
        </is>
      </c>
      <c r="AI313" s="81" t="n">
        <v>-0.292</v>
      </c>
      <c r="AJ313" s="82" t="n">
        <v>0</v>
      </c>
      <c r="AK313" s="82" t="n">
        <v>0</v>
      </c>
      <c r="AL313" s="82" t="n">
        <v>0</v>
      </c>
      <c r="AM313" s="83" t="n">
        <v>2.44</v>
      </c>
      <c r="AN313" s="75" t="n">
        <v>2.77</v>
      </c>
      <c r="AO313" s="82" t="n">
        <v>2.04</v>
      </c>
      <c r="AP313" s="82" t="n">
        <v>25.51</v>
      </c>
      <c r="AQ313" s="82" t="n">
        <v>110.64</v>
      </c>
      <c r="AR313" s="82" t="n">
        <v>2.04</v>
      </c>
      <c r="AS313" s="82" t="n">
        <v>25.51</v>
      </c>
      <c r="AT313" s="82" t="n">
        <v>110.64</v>
      </c>
      <c r="AU313" s="82" t="n">
        <v>2.89</v>
      </c>
      <c r="AV313" s="82" t="n">
        <v>43.51</v>
      </c>
      <c r="AW313" s="82" t="n">
        <v>116.43</v>
      </c>
      <c r="AX313" s="82" t="n">
        <v>41.41</v>
      </c>
      <c r="AY313" s="82" t="n">
        <v>-18</v>
      </c>
      <c r="AZ313" s="82" t="n">
        <v>-15.9</v>
      </c>
      <c r="BA313" s="71" t="inlineStr">
        <is>
          <t>Hang Seng Commerce &amp; Industry sub-index</t>
        </is>
      </c>
      <c r="BB313" s="82" t="n">
        <v>169.68</v>
      </c>
      <c r="BC313" s="72" t="inlineStr">
        <is>
          <t>2026-09-23</t>
        </is>
      </c>
      <c r="BD313" s="73" t="n">
        <v>7943</v>
      </c>
      <c r="BE313" s="76" t="n">
        <v>958.7</v>
      </c>
      <c r="BF313" s="71" t="inlineStr">
        <is>
          <t>Y</t>
        </is>
      </c>
      <c r="BG313" s="83" t="n">
        <v>26.8</v>
      </c>
      <c r="BH313" s="83" t="n">
        <v>12</v>
      </c>
      <c r="BI313" s="83" t="n">
        <v>17.2</v>
      </c>
      <c r="BJ313" s="83" t="n">
        <v>3.2</v>
      </c>
      <c r="BK313" s="84">
        <f>IF('BBG Verify'!S313="","not filed; run on terminal",'BBG Verify'!S313)</f>
        <v/>
      </c>
      <c r="BL313" s="85" t="inlineStr">
        <is>
          <t>Y</t>
        </is>
      </c>
      <c r="BM313" s="71" t="inlineStr">
        <is>
          <t>600988.SS</t>
        </is>
      </c>
      <c r="BN313" s="82" t="n">
        <v>50.61</v>
      </c>
      <c r="BO313" s="74" t="n">
        <v>20.6635</v>
      </c>
      <c r="BP313" s="89" t="n">
        <v>0.3229</v>
      </c>
      <c r="BQ313" s="76" t="n">
        <v>95706.60000000001</v>
      </c>
      <c r="BR313" s="84">
        <f>IF('BBG Verify'!Q313="","run on terminal",'BBG Verify'!Q313)</f>
        <v/>
      </c>
      <c r="BS313" s="84">
        <f>IF('BBG Verify'!R313="","run on terminal",'BBG Verify'!R313)</f>
        <v/>
      </c>
      <c r="BT313" s="85" t="inlineStr">
        <is>
          <t>CITIC Securities (Hong Kong) Limited</t>
        </is>
      </c>
      <c r="BU313" s="71" t="inlineStr">
        <is>
          <t>CITIC Securities (Hong Kong) Limited</t>
        </is>
      </c>
      <c r="BV313" s="71" t="inlineStr">
        <is>
          <t>Kong Securities Limited; ABCI Capital Limited; ABCI Securities Company Limited</t>
        </is>
      </c>
      <c r="BW313" s="71"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X313" s="87">
        <f>HYPERLINK("https://www1.hkexnews.hk/listedco/listconews/sehk/2025/0228/2025022800056.pdf","prospectus")</f>
        <v/>
      </c>
      <c r="BY313" s="87">
        <f>HYPERLINK("https://www1.hkexnews.hk/listedco/listconews/sehk/2025/0307/2025030701501.pdf","allotment")</f>
        <v/>
      </c>
      <c r="BZ313" s="87">
        <f>HYPERLINK("https://www1.hkexnews.hk/listedco/listconews/sehk/2025/0406/2025040600051.pdf","stabilisation")</f>
        <v/>
      </c>
      <c r="CA313" s="85" t="n"/>
      <c r="CB313" s="71" t="inlineStr">
        <is>
          <t>range low: maximum offer price only, no floor published; A/H: Mar 2025 H listing (gold miner)</t>
        </is>
      </c>
    </row>
    <row r="314" ht="15" customHeight="1">
      <c r="A314" s="70" t="inlineStr">
        <is>
          <t>2561</t>
        </is>
      </c>
      <c r="B314" s="71" t="inlineStr">
        <is>
          <t>VISEN PHARMA-B</t>
        </is>
      </c>
      <c r="C314" s="71" t="inlineStr">
        <is>
          <t>維昇藥業－Ｂ</t>
        </is>
      </c>
      <c r="D314" s="71" t="inlineStr">
        <is>
          <t>Healthcare</t>
        </is>
      </c>
      <c r="E314" s="71" t="inlineStr">
        <is>
          <t>Biotech pre-revenue (18A)</t>
        </is>
      </c>
      <c r="F314" s="71" t="inlineStr">
        <is>
          <t>Biotechnology - Pharmaceuticals</t>
        </is>
      </c>
      <c r="G314" s="71" t="inlineStr">
        <is>
          <t>18A</t>
        </is>
      </c>
      <c r="H314" s="72" t="n">
        <v>45737</v>
      </c>
      <c r="I314" s="73" t="n">
        <v>783.3</v>
      </c>
      <c r="J314" s="71" t="inlineStr">
        <is>
          <t>gross (stated)</t>
        </is>
      </c>
      <c r="K314" s="74" t="n">
        <v>68.44</v>
      </c>
      <c r="L314" s="74" t="n">
        <v>75.28</v>
      </c>
      <c r="M314" s="74" t="n">
        <v>68.8</v>
      </c>
      <c r="N314" s="71" t="inlineStr">
        <is>
          <t>N</t>
        </is>
      </c>
      <c r="O314" s="75" t="n">
        <v>91.40000000000001</v>
      </c>
      <c r="P314" s="75" t="n">
        <v>5.3</v>
      </c>
      <c r="Q314" s="76" t="n">
        <v>8509.299999999999</v>
      </c>
      <c r="R314" s="71" t="inlineStr">
        <is>
          <t>aastocks:上市市值 at the struck price</t>
        </is>
      </c>
      <c r="S314" s="77" t="n">
        <v>72.64</v>
      </c>
      <c r="T314" s="78" t="n">
        <v>1.65</v>
      </c>
      <c r="U314" s="79" t="n">
        <v>65</v>
      </c>
      <c r="V314" s="80" t="n">
        <v>178</v>
      </c>
      <c r="W314" s="75" t="n">
        <v>40</v>
      </c>
      <c r="X314" s="71" t="inlineStr">
        <is>
          <t>YES</t>
        </is>
      </c>
      <c r="Y314" s="76" t="n">
        <v>274.15</v>
      </c>
      <c r="Z314" s="76" t="n">
        <v>3984750</v>
      </c>
      <c r="AA314" s="75" t="n">
        <v>3.22</v>
      </c>
      <c r="AB314" s="71" t="inlineStr">
        <is>
          <t>Limited, Morgan Stanley Asia Limited; Vivo Plenilune IX Limited, Morgan Stanley Asia Limited; Suzhou Harvest International Co., Limited; Jefferies Hong Kong Limited; Cosmic Clover Limited; Logos Opportunities Fund II LP; CRF Investment Holdings Company Limited</t>
        </is>
      </c>
      <c r="AC314" s="71" t="inlineStr">
        <is>
          <t>morgan;vivo;suzhou;jefferies;cosmic;logos;crf</t>
        </is>
      </c>
      <c r="AD314" s="75" t="n">
        <v>15</v>
      </c>
      <c r="AE314" s="71" t="inlineStr">
        <is>
          <t>lapsed</t>
        </is>
      </c>
      <c r="AF314" s="71" t="n"/>
      <c r="AG314" s="71" t="inlineStr">
        <is>
          <t>Morgan Stanley Asia Limited</t>
        </is>
      </c>
      <c r="AH314" s="71" t="inlineStr">
        <is>
          <t>Morgan Stanley</t>
        </is>
      </c>
      <c r="AI314" s="81" t="n">
        <v>-7.195</v>
      </c>
      <c r="AJ314" s="82" t="n">
        <v>0</v>
      </c>
      <c r="AK314" s="82" t="n">
        <v>0</v>
      </c>
      <c r="AL314" s="82" t="n">
        <v>0</v>
      </c>
      <c r="AM314" s="83" t="n">
        <v>0.75</v>
      </c>
      <c r="AN314" s="75" t="n">
        <v>6.32</v>
      </c>
      <c r="AO314" s="82" t="n">
        <v>-16.79</v>
      </c>
      <c r="AP314" s="82" t="n">
        <v>-30.81</v>
      </c>
      <c r="AQ314" s="82" t="n">
        <v>-30.96</v>
      </c>
      <c r="AR314" s="82" t="n">
        <v>-16.79</v>
      </c>
      <c r="AS314" s="82" t="n">
        <v>-30.81</v>
      </c>
      <c r="AT314" s="82" t="n">
        <v>-30.96</v>
      </c>
      <c r="AU314" s="82" t="n">
        <v>-17.6</v>
      </c>
      <c r="AV314" s="82" t="n">
        <v>-31.78</v>
      </c>
      <c r="AW314" s="82" t="n">
        <v>-44.95</v>
      </c>
      <c r="AX314" s="82" t="n">
        <v>-35.57</v>
      </c>
      <c r="AY314" s="82" t="n">
        <v>0.97</v>
      </c>
      <c r="AZ314" s="82" t="n">
        <v>4.76</v>
      </c>
      <c r="BA314" s="71" t="inlineStr">
        <is>
          <t>China Biotech ETF (HS biotech proxy)</t>
        </is>
      </c>
      <c r="BB314" s="82" t="n">
        <v>-72.45999999999999</v>
      </c>
      <c r="BC314" s="72" t="inlineStr">
        <is>
          <t>2026-09-23</t>
        </is>
      </c>
      <c r="BD314" s="73" t="n">
        <v>2.2</v>
      </c>
      <c r="BE314" s="76" t="n">
        <v>-229.2</v>
      </c>
      <c r="BF314" s="71" t="inlineStr">
        <is>
          <t>N</t>
        </is>
      </c>
      <c r="BG314" s="71" t="inlineStr">
        <is>
          <t>n/m</t>
        </is>
      </c>
      <c r="BH314" s="83" t="n"/>
      <c r="BI314" s="83" t="n"/>
      <c r="BJ314" s="83" t="n">
        <v>3867.9</v>
      </c>
      <c r="BK314" s="84">
        <f>IF('BBG Verify'!S314="","not filed; run on terminal",'BBG Verify'!S314)</f>
        <v/>
      </c>
      <c r="BL314" s="85" t="inlineStr">
        <is>
          <t>N</t>
        </is>
      </c>
      <c r="BM314" s="86">
        <f>IF('BBG Verify'!K314="","not filed; run on terminal",'BBG Verify'!K314)</f>
        <v/>
      </c>
      <c r="BN314" s="71" t="inlineStr">
        <is>
          <t>N/A</t>
        </is>
      </c>
      <c r="BO314" s="71" t="inlineStr">
        <is>
          <t>N/A</t>
        </is>
      </c>
      <c r="BP314" s="71" t="inlineStr">
        <is>
          <t>N/A</t>
        </is>
      </c>
      <c r="BQ314" s="71" t="inlineStr">
        <is>
          <t>N/A</t>
        </is>
      </c>
      <c r="BR314" s="71" t="inlineStr">
        <is>
          <t>N/A</t>
        </is>
      </c>
      <c r="BS314" s="71" t="inlineStr">
        <is>
          <t>N/A</t>
        </is>
      </c>
      <c r="BT314" s="85" t="inlineStr">
        <is>
          <t>Morgan Stanley Asia Limited; Jefferies Hong Kong Limited</t>
        </is>
      </c>
      <c r="BU314" s="71" t="inlineStr">
        <is>
          <t>Jefferies Hong Kong Limited; Morgan Stanley Asia Limited</t>
        </is>
      </c>
      <c r="BV314" s="71" t="inlineStr">
        <is>
          <t>CLSA Limited; Futu Securities International (Hong Kong) Limited; Guoyuan Securities Brokerage (Hong Kong) Limited; Jefferies Hong Kong Limited; Morgan Stanley Asia Limited; Patrons Securities Limited</t>
        </is>
      </c>
      <c r="BW314" s="71"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X314" s="87">
        <f>HYPERLINK("https://www1.hkexnews.hk/listedco/listconews/sehk/2025/0313/2025031300017.pdf","prospectus")</f>
        <v/>
      </c>
      <c r="BY314" s="87">
        <f>HYPERLINK("https://www1.hkexnews.hk/listedco/listconews/sehk/2025/0320/2025032001490.pdf","allotment")</f>
        <v/>
      </c>
      <c r="BZ314" s="87">
        <f>HYPERLINK("https://www1.hkexnews.hk/listedco/listconews/sehk/2025/0417/2025041701661.pdf","stabilisation")</f>
        <v/>
      </c>
      <c r="CA314" s="85" t="n"/>
      <c r="CB314" s="71"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70" t="inlineStr">
        <is>
          <t>2610</t>
        </is>
      </c>
      <c r="B315" s="71" t="inlineStr">
        <is>
          <t>NANSHAN AL INTL</t>
        </is>
      </c>
      <c r="C315" s="71" t="inlineStr">
        <is>
          <t>南山鋁業國際</t>
        </is>
      </c>
      <c r="D315" s="71" t="inlineStr">
        <is>
          <t>Materials/Energy</t>
        </is>
      </c>
      <c r="E315" s="71" t="inlineStr">
        <is>
          <t>Mining / metals</t>
        </is>
      </c>
      <c r="F315" s="71" t="inlineStr">
        <is>
          <t>Aluminum</t>
        </is>
      </c>
      <c r="G315" s="71" t="inlineStr">
        <is>
          <t>Standard</t>
        </is>
      </c>
      <c r="H315" s="72" t="n">
        <v>45741</v>
      </c>
      <c r="I315" s="73" t="n">
        <v>2347.1</v>
      </c>
      <c r="J315" s="71" t="inlineStr">
        <is>
          <t>gross (stated)</t>
        </is>
      </c>
      <c r="K315" s="74" t="n"/>
      <c r="L315" s="74" t="n">
        <v>26.6</v>
      </c>
      <c r="M315" s="74" t="n">
        <v>26.6</v>
      </c>
      <c r="N315" s="71" t="inlineStr">
        <is>
          <t>Y</t>
        </is>
      </c>
      <c r="O315" s="75" t="n">
        <v>100</v>
      </c>
      <c r="P315" s="75" t="n"/>
      <c r="Q315" s="76" t="n">
        <v>15647.1</v>
      </c>
      <c r="R315" s="71" t="inlineStr">
        <is>
          <t>derived:price x shares upon listing</t>
        </is>
      </c>
      <c r="S315" s="77" t="n">
        <v>3.89</v>
      </c>
      <c r="T315" s="78" t="n">
        <v>1.67</v>
      </c>
      <c r="U315" s="79" t="n">
        <v>39.82</v>
      </c>
      <c r="V315" s="80" t="n">
        <v>169</v>
      </c>
      <c r="W315" s="75" t="n">
        <v>10</v>
      </c>
      <c r="X315" s="71" t="inlineStr">
        <is>
          <t>NO</t>
        </is>
      </c>
      <c r="Y315" s="76" t="n">
        <v>1412.48</v>
      </c>
      <c r="Z315" s="76" t="n">
        <v>53100004</v>
      </c>
      <c r="AA315" s="75" t="n">
        <v>9.029999999999999</v>
      </c>
      <c r="AB315" s="71" t="inlineStr">
        <is>
          <t>Glencore International AG; PT Indika Energy Tbk</t>
        </is>
      </c>
      <c r="AC315" s="71" t="inlineStr">
        <is>
          <t>glencore;pt</t>
        </is>
      </c>
      <c r="AD315" s="75" t="n">
        <v>15</v>
      </c>
      <c r="AE315" s="71" t="inlineStr">
        <is>
          <t>partial</t>
        </is>
      </c>
      <c r="AF315" s="71" t="n"/>
      <c r="AG315" s="71" t="inlineStr">
        <is>
          <t>Huatai Financial Holdings</t>
        </is>
      </c>
      <c r="AH315" s="71" t="inlineStr">
        <is>
          <t>Huatai</t>
        </is>
      </c>
      <c r="AI315" s="81" t="n">
        <v>-0.752</v>
      </c>
      <c r="AJ315" s="82" t="n">
        <v>-5.08</v>
      </c>
      <c r="AK315" s="82" t="n">
        <v>0</v>
      </c>
      <c r="AL315" s="82" t="n">
        <v>-5.08</v>
      </c>
      <c r="AM315" s="83" t="n">
        <v>1.46</v>
      </c>
      <c r="AN315" s="75" t="n">
        <v>6.2</v>
      </c>
      <c r="AO315" s="82" t="n">
        <v>-8.83</v>
      </c>
      <c r="AP315" s="82" t="n">
        <v>-8.65</v>
      </c>
      <c r="AQ315" s="82" t="n">
        <v>16.54</v>
      </c>
      <c r="AR315" s="82" t="n">
        <v>-3.95</v>
      </c>
      <c r="AS315" s="82" t="n">
        <v>-3.76</v>
      </c>
      <c r="AT315" s="82" t="n">
        <v>22.78</v>
      </c>
      <c r="AU315" s="82" t="n">
        <v>-4.83</v>
      </c>
      <c r="AV315" s="82" t="n">
        <v>2.12</v>
      </c>
      <c r="AW315" s="82" t="n">
        <v>20.59</v>
      </c>
      <c r="AX315" s="82" t="n">
        <v>4.35</v>
      </c>
      <c r="AY315" s="82" t="n">
        <v>-10.77</v>
      </c>
      <c r="AZ315" s="82" t="n">
        <v>-8.109999999999999</v>
      </c>
      <c r="BA315" s="71" t="inlineStr">
        <is>
          <t>Hang Seng Commerce &amp; Industry sub-index</t>
        </is>
      </c>
      <c r="BB315" s="82" t="n">
        <v>-11.65</v>
      </c>
      <c r="BC315" s="72" t="inlineStr">
        <is>
          <t>2026-09-23</t>
        </is>
      </c>
      <c r="BD315" s="73" t="n">
        <v>5286.7</v>
      </c>
      <c r="BE315" s="76" t="n">
        <v>956.8</v>
      </c>
      <c r="BF315" s="71" t="inlineStr">
        <is>
          <t>Y</t>
        </is>
      </c>
      <c r="BG315" s="83" t="n">
        <v>16.4</v>
      </c>
      <c r="BH315" s="83" t="n">
        <v>3.5</v>
      </c>
      <c r="BI315" s="83" t="n">
        <v>4.7</v>
      </c>
      <c r="BJ315" s="83" t="n">
        <v>3</v>
      </c>
      <c r="BK315" s="84">
        <f>IF('BBG Verify'!S315="","not filed; run on terminal",'BBG Verify'!S315)</f>
        <v/>
      </c>
      <c r="BL315" s="85" t="inlineStr">
        <is>
          <t>N</t>
        </is>
      </c>
      <c r="BM315" s="86">
        <f>IF('BBG Verify'!K315="","not filed; run on terminal",'BBG Verify'!K315)</f>
        <v/>
      </c>
      <c r="BN315" s="71" t="inlineStr">
        <is>
          <t>N/A</t>
        </is>
      </c>
      <c r="BO315" s="71" t="inlineStr">
        <is>
          <t>N/A</t>
        </is>
      </c>
      <c r="BP315" s="71" t="inlineStr">
        <is>
          <t>N/A</t>
        </is>
      </c>
      <c r="BQ315" s="71" t="inlineStr">
        <is>
          <t>N/A</t>
        </is>
      </c>
      <c r="BR315" s="71" t="inlineStr">
        <is>
          <t>N/A</t>
        </is>
      </c>
      <c r="BS315" s="71" t="inlineStr">
        <is>
          <t>N/A</t>
        </is>
      </c>
      <c r="BT315" s="85" t="n"/>
      <c r="BU315" s="71" t="inlineStr">
        <is>
          <t>Huatai Financial Holdings (Hong Kong) Limited</t>
        </is>
      </c>
      <c r="BV315" s="71"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W315" s="71"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X315" s="87">
        <f>HYPERLINK("https://www1.hkexnews.hk/listedco/listconews/sehk/2025/0317/2025031700019.pdf","prospectus")</f>
        <v/>
      </c>
      <c r="BY315" s="87">
        <f>HYPERLINK("https://www1.hkexnews.hk/listedco/listconews/sehk/2025/0324/2025032401216.pdf","allotment")</f>
        <v/>
      </c>
      <c r="BZ315" s="87">
        <f>HYPERLINK("https://www1.hkexnews.hk/listedco/listconews/sehk/2025/0422/2025042201921.pdf","stabilisation")</f>
        <v/>
      </c>
      <c r="CA315" s="85" t="n"/>
      <c r="CB315" s="71" t="inlineStr">
        <is>
          <t>greenshoe: outcome published; expiry date not in the notice; range low: maximum offer price only, no floor published; sponsor: English name not in the filing; AAStocks 保薦人 shown</t>
        </is>
      </c>
    </row>
    <row r="316" ht="15" customHeight="1">
      <c r="A316" s="70" t="inlineStr">
        <is>
          <t>2569</t>
        </is>
      </c>
      <c r="B316" s="71" t="inlineStr">
        <is>
          <t>SOFT INTL</t>
        </is>
      </c>
      <c r="C316" s="71" t="inlineStr">
        <is>
          <t>舒寶國際</t>
        </is>
      </c>
      <c r="D316" s="71" t="inlineStr">
        <is>
          <t>Materials/Energy</t>
        </is>
      </c>
      <c r="E316" s="71" t="inlineStr">
        <is>
          <t>Chemicals</t>
        </is>
      </c>
      <c r="F316" s="71" t="inlineStr">
        <is>
          <t>Personal Products</t>
        </is>
      </c>
      <c r="G316" s="71" t="inlineStr">
        <is>
          <t>Standard</t>
        </is>
      </c>
      <c r="H316" s="72" t="n">
        <v>45743</v>
      </c>
      <c r="I316" s="73" t="n">
        <v>127.5</v>
      </c>
      <c r="J316" s="71" t="inlineStr">
        <is>
          <t>gross (stated)</t>
        </is>
      </c>
      <c r="K316" s="74" t="n">
        <v>0.5</v>
      </c>
      <c r="L316" s="74" t="n">
        <v>0.6</v>
      </c>
      <c r="M316" s="74" t="n">
        <v>0.51</v>
      </c>
      <c r="N316" s="71" t="inlineStr">
        <is>
          <t>N</t>
        </is>
      </c>
      <c r="O316" s="75" t="n">
        <v>85</v>
      </c>
      <c r="P316" s="75" t="n">
        <v>10</v>
      </c>
      <c r="Q316" s="76" t="n">
        <v>510</v>
      </c>
      <c r="R316" s="71" t="inlineStr">
        <is>
          <t>derived:price x shares upon listing</t>
        </is>
      </c>
      <c r="S316" s="77" t="n">
        <v>167.09</v>
      </c>
      <c r="T316" s="78" t="n">
        <v>1.02</v>
      </c>
      <c r="U316" s="79" t="n">
        <v>0</v>
      </c>
      <c r="V316" s="80" t="n">
        <v>111</v>
      </c>
      <c r="W316" s="75" t="n">
        <v>50</v>
      </c>
      <c r="X316" s="71" t="inlineStr">
        <is>
          <t>YES</t>
        </is>
      </c>
      <c r="Y316" s="76" t="n">
        <v>127.5</v>
      </c>
      <c r="Z316" s="76" t="n">
        <v>250000000</v>
      </c>
      <c r="AA316" s="75" t="n">
        <v>25</v>
      </c>
      <c r="AB316" s="71" t="n"/>
      <c r="AC316" s="71" t="n"/>
      <c r="AD316" s="75" t="n">
        <v>7.5</v>
      </c>
      <c r="AE316" s="71" t="n"/>
      <c r="AF316" s="71" t="inlineStr">
        <is>
          <t>2025-04-23</t>
        </is>
      </c>
      <c r="AG316" s="71" t="inlineStr">
        <is>
          <t>Yue Xiu Securities Company Limited</t>
        </is>
      </c>
      <c r="AH316" s="71" t="inlineStr">
        <is>
          <t>Yue Xiu</t>
        </is>
      </c>
      <c r="AI316" s="81" t="n">
        <v>-1.961</v>
      </c>
      <c r="AJ316" s="82" t="n">
        <v>31.37</v>
      </c>
      <c r="AK316" s="82" t="n">
        <v>-3.92</v>
      </c>
      <c r="AL316" s="82" t="n">
        <v>36.73</v>
      </c>
      <c r="AM316" s="83" t="n">
        <v>2.18</v>
      </c>
      <c r="AN316" s="75" t="n">
        <v>68.37</v>
      </c>
      <c r="AO316" s="82" t="n">
        <v>-1.96</v>
      </c>
      <c r="AP316" s="82" t="n">
        <v>23.53</v>
      </c>
      <c r="AQ316" s="82" t="n">
        <v>162.75</v>
      </c>
      <c r="AR316" s="82" t="n">
        <v>-25.37</v>
      </c>
      <c r="AS316" s="82" t="n">
        <v>-5.97</v>
      </c>
      <c r="AT316" s="82" t="n">
        <v>100.01</v>
      </c>
      <c r="AU316" s="82" t="n">
        <v>1.99</v>
      </c>
      <c r="AV316" s="82" t="n">
        <v>31.31</v>
      </c>
      <c r="AW316" s="82" t="n">
        <v>165.32</v>
      </c>
      <c r="AX316" s="82" t="n">
        <v>2.28</v>
      </c>
      <c r="AY316" s="82" t="n">
        <v>-7.78</v>
      </c>
      <c r="AZ316" s="82" t="n">
        <v>-8.25</v>
      </c>
      <c r="BA316" s="71" t="inlineStr">
        <is>
          <t>Hang Seng Commerce &amp; Industry sub-index</t>
        </is>
      </c>
      <c r="BB316" s="82" t="n">
        <v>193.14</v>
      </c>
      <c r="BC316" s="72" t="inlineStr">
        <is>
          <t>2026-09-23</t>
        </is>
      </c>
      <c r="BD316" s="73" t="n">
        <v>720</v>
      </c>
      <c r="BE316" s="76" t="n">
        <v>64.8</v>
      </c>
      <c r="BF316" s="71" t="inlineStr">
        <is>
          <t>Y</t>
        </is>
      </c>
      <c r="BG316" s="83" t="n">
        <v>7.9</v>
      </c>
      <c r="BH316" s="83" t="n"/>
      <c r="BI316" s="83" t="n">
        <v>17.6</v>
      </c>
      <c r="BJ316" s="83" t="n">
        <v>0.7</v>
      </c>
      <c r="BK316" s="84">
        <f>IF('BBG Verify'!S316="","not filed; run on terminal",'BBG Verify'!S316)</f>
        <v/>
      </c>
      <c r="BL316" s="85" t="inlineStr">
        <is>
          <t>N</t>
        </is>
      </c>
      <c r="BM316" s="86">
        <f>IF('BBG Verify'!K316="","not filed; run on terminal",'BBG Verify'!K316)</f>
        <v/>
      </c>
      <c r="BN316" s="71" t="inlineStr">
        <is>
          <t>N/A</t>
        </is>
      </c>
      <c r="BO316" s="71" t="inlineStr">
        <is>
          <t>N/A</t>
        </is>
      </c>
      <c r="BP316" s="71" t="inlineStr">
        <is>
          <t>N/A</t>
        </is>
      </c>
      <c r="BQ316" s="71" t="inlineStr">
        <is>
          <t>N/A</t>
        </is>
      </c>
      <c r="BR316" s="71" t="inlineStr">
        <is>
          <t>N/A</t>
        </is>
      </c>
      <c r="BS316" s="71" t="inlineStr">
        <is>
          <t>N/A</t>
        </is>
      </c>
      <c r="BT316" s="85" t="n"/>
      <c r="BU316" s="71" t="inlineStr">
        <is>
          <t>Sunny Fortune Capital Limited</t>
        </is>
      </c>
      <c r="BV316" s="71" t="inlineStr">
        <is>
          <t>CMBC Securities Company Limited; Hung Sing Securities Limited; Yuet Sheung International Securities Limited; Zhongtai International Securities Limited; ZMF Asset Management Limited</t>
        </is>
      </c>
      <c r="BW316" s="71"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X316" s="87">
        <f>HYPERLINK("https://www1.hkexnews.hk/listedco/listconews/sehk/2025/0319/2025031900013.pdf","prospectus")</f>
        <v/>
      </c>
      <c r="BY316" s="87">
        <f>HYPERLINK("https://www1.hkexnews.hk/listedco/listconews/sehk/2025/0326/2025032601370.pdf","allotment")</f>
        <v/>
      </c>
      <c r="BZ316" s="71" t="n"/>
      <c r="CA316" s="85" t="n"/>
      <c r="CB316" s="71" t="inlineStr">
        <is>
          <t>greenshoe: end-of-stabilisation notice not found; sponsor: English name not in the filing; AAStocks 保薦人 shown; cornerstone list: no cornerstone tranche</t>
        </is>
      </c>
    </row>
    <row r="317" ht="15" customHeight="1">
      <c r="A317" s="70" t="inlineStr">
        <is>
          <t>2625</t>
        </is>
      </c>
      <c r="B317" s="71" t="inlineStr">
        <is>
          <t>JIANGSU HORIZON</t>
        </is>
      </c>
      <c r="C317" s="71" t="inlineStr">
        <is>
          <t>江蘇宏信</t>
        </is>
      </c>
      <c r="D317" s="71" t="inlineStr">
        <is>
          <t>Consumer</t>
        </is>
      </c>
      <c r="E317" s="71" t="inlineStr">
        <is>
          <t>Retail / distribution</t>
        </is>
      </c>
      <c r="F317" s="71" t="inlineStr">
        <is>
          <t>Hypermarkets, Supermarkets &amp; Convenience Stores</t>
        </is>
      </c>
      <c r="G317" s="71" t="inlineStr">
        <is>
          <t>Standard</t>
        </is>
      </c>
      <c r="H317" s="72" t="n">
        <v>45747</v>
      </c>
      <c r="I317" s="73" t="n">
        <v>133.91</v>
      </c>
      <c r="J317" s="71" t="inlineStr">
        <is>
          <t>gross (stated)</t>
        </is>
      </c>
      <c r="K317" s="74" t="n">
        <v>2.5</v>
      </c>
      <c r="L317" s="74" t="n">
        <v>3</v>
      </c>
      <c r="M317" s="74" t="n">
        <v>2.5</v>
      </c>
      <c r="N317" s="71" t="inlineStr">
        <is>
          <t>N</t>
        </is>
      </c>
      <c r="O317" s="75" t="n">
        <v>83.3</v>
      </c>
      <c r="P317" s="75" t="n">
        <v>0</v>
      </c>
      <c r="Q317" s="76" t="n">
        <v>535.6</v>
      </c>
      <c r="R317" s="71" t="inlineStr">
        <is>
          <t>derived:price x shares upon listing</t>
        </is>
      </c>
      <c r="S317" s="77" t="n">
        <v>46.96</v>
      </c>
      <c r="T317" s="78" t="n">
        <v>0.93</v>
      </c>
      <c r="U317" s="79" t="n">
        <v>28.83</v>
      </c>
      <c r="V317" s="80" t="n">
        <v>130</v>
      </c>
      <c r="W317" s="75" t="n">
        <v>16.6</v>
      </c>
      <c r="X317" s="71" t="inlineStr">
        <is>
          <t>NO</t>
        </is>
      </c>
      <c r="Y317" s="76" t="n">
        <v>95.3</v>
      </c>
      <c r="Z317" s="76" t="n">
        <v>38120075</v>
      </c>
      <c r="AA317" s="75" t="n">
        <v>17.79</v>
      </c>
      <c r="AB317" s="71"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AC317" s="71" t="inlineStr">
        <is>
          <t>xu-shihe;yin;hu-qinghua;zhu-zheng;zhan;jiang-xianyue;yao-xinhua;guo-xia;lu-shouping;kan;huang-haiyan;zhen;shen-zhigen;xia-zhonglin</t>
        </is>
      </c>
      <c r="AD317" s="75" t="n">
        <v>7.65</v>
      </c>
      <c r="AE317" s="71" t="n"/>
      <c r="AF317" s="71" t="n"/>
      <c r="AG317" s="71" t="inlineStr">
        <is>
          <t>Red Solar Capital Limited</t>
        </is>
      </c>
      <c r="AH317" s="71" t="inlineStr">
        <is>
          <t>Red Solar</t>
        </is>
      </c>
      <c r="AI317" s="92" t="n">
        <v>28</v>
      </c>
      <c r="AJ317" s="82" t="n">
        <v>0</v>
      </c>
      <c r="AK317" s="82" t="n">
        <v>37.6</v>
      </c>
      <c r="AL317" s="82" t="n">
        <v>-27.33</v>
      </c>
      <c r="AM317" s="83" t="n">
        <v>3.13</v>
      </c>
      <c r="AN317" s="75" t="n">
        <v>36.63</v>
      </c>
      <c r="AO317" s="82" t="n">
        <v>-14.4</v>
      </c>
      <c r="AP317" s="82" t="n">
        <v>33.6</v>
      </c>
      <c r="AQ317" s="82" t="n">
        <v>11.2</v>
      </c>
      <c r="AR317" s="82" t="n">
        <v>-14.4</v>
      </c>
      <c r="AS317" s="82" t="n">
        <v>33.6</v>
      </c>
      <c r="AT317" s="82" t="n">
        <v>11.2</v>
      </c>
      <c r="AU317" s="82" t="n">
        <v>1.44</v>
      </c>
      <c r="AV317" s="82" t="n">
        <v>38.29</v>
      </c>
      <c r="AW317" s="82" t="n">
        <v>14.93</v>
      </c>
      <c r="AX317" s="82" t="n">
        <v>36.36</v>
      </c>
      <c r="AY317" s="82" t="n">
        <v>-4.69</v>
      </c>
      <c r="AZ317" s="82" t="n">
        <v>-2.76</v>
      </c>
      <c r="BA317" s="71" t="inlineStr">
        <is>
          <t>Hang Seng Commerce &amp; Industry sub-index</t>
        </is>
      </c>
      <c r="BB317" s="82" t="n">
        <v>-65.8</v>
      </c>
      <c r="BC317" s="72" t="inlineStr">
        <is>
          <t>2026-09-23</t>
        </is>
      </c>
      <c r="BD317" s="73" t="n">
        <v>1542.2</v>
      </c>
      <c r="BE317" s="76" t="n">
        <v>56.8</v>
      </c>
      <c r="BF317" s="71" t="inlineStr">
        <is>
          <t>Y</t>
        </is>
      </c>
      <c r="BG317" s="83" t="n">
        <v>9.4</v>
      </c>
      <c r="BH317" s="83" t="n">
        <v>8.6</v>
      </c>
      <c r="BI317" s="83" t="n">
        <v>9.9</v>
      </c>
      <c r="BJ317" s="83" t="n">
        <v>0.3</v>
      </c>
      <c r="BK317" s="84">
        <f>IF('BBG Verify'!S317="","not filed; run on terminal",'BBG Verify'!S317)</f>
        <v/>
      </c>
      <c r="BL317" s="85" t="inlineStr">
        <is>
          <t>N</t>
        </is>
      </c>
      <c r="BM317" s="86">
        <f>IF('BBG Verify'!K317="","not filed; run on terminal",'BBG Verify'!K317)</f>
        <v/>
      </c>
      <c r="BN317" s="71" t="inlineStr">
        <is>
          <t>N/A</t>
        </is>
      </c>
      <c r="BO317" s="71" t="inlineStr">
        <is>
          <t>N/A</t>
        </is>
      </c>
      <c r="BP317" s="71" t="inlineStr">
        <is>
          <t>N/A</t>
        </is>
      </c>
      <c r="BQ317" s="71" t="inlineStr">
        <is>
          <t>N/A</t>
        </is>
      </c>
      <c r="BR317" s="71" t="inlineStr">
        <is>
          <t>N/A</t>
        </is>
      </c>
      <c r="BS317" s="71" t="inlineStr">
        <is>
          <t>N/A</t>
        </is>
      </c>
      <c r="BT317" s="85" t="inlineStr">
        <is>
          <t>Red Solar Capital Limited</t>
        </is>
      </c>
      <c r="BU317" s="71" t="inlineStr">
        <is>
          <t>Red Solar Capital Limited</t>
        </is>
      </c>
      <c r="BV317" s="71" t="inlineStr">
        <is>
          <t>Red Solar Capital Limited; CCB International Capital Limited</t>
        </is>
      </c>
      <c r="BW317" s="71" t="inlineStr">
        <is>
          <t>CCB International Capital Limited; CMBC Securities Company Limited; CMB International Capital Limited; Eddid Securities and Futures Limited; Innovax Securities Limited; Long Bridge HK Limited; Red Solar Capital Limited; Star River Securities Limited</t>
        </is>
      </c>
      <c r="BX317" s="87">
        <f>HYPERLINK("https://www1.hkexnews.hk/listedco/listconews/sehk/2025/0321/2025032100009.pdf","prospectus")</f>
        <v/>
      </c>
      <c r="BY317" s="87">
        <f>HYPERLINK("https://www1.hkexnews.hk/listedco/listconews/sehk/2025/0328/2025032802386.pdf","allotment")</f>
        <v/>
      </c>
      <c r="BZ317" s="71" t="n"/>
      <c r="CA317" s="85" t="n"/>
      <c r="CB317" s="71" t="inlineStr">
        <is>
          <t>greenshoe: end-of-stabilisation notice not found</t>
        </is>
      </c>
    </row>
    <row r="318" ht="15" customHeight="1">
      <c r="A318" s="70" t="inlineStr">
        <is>
          <t>3677</t>
        </is>
      </c>
      <c r="B318" s="71" t="inlineStr">
        <is>
          <t>ZENERGY</t>
        </is>
      </c>
      <c r="C318" s="71" t="inlineStr">
        <is>
          <t>正力新能</t>
        </is>
      </c>
      <c r="D318" s="71" t="inlineStr">
        <is>
          <t>Industrials</t>
        </is>
      </c>
      <c r="E318" s="71" t="inlineStr">
        <is>
          <t>Batteries / energy storage</t>
        </is>
      </c>
      <c r="F318" s="71" t="inlineStr">
        <is>
          <t>Battery Products</t>
        </is>
      </c>
      <c r="G318" s="71" t="inlineStr">
        <is>
          <t>Standard</t>
        </is>
      </c>
      <c r="H318" s="72" t="n">
        <v>45761</v>
      </c>
      <c r="I318" s="73" t="n">
        <v>1005.1</v>
      </c>
      <c r="J318" s="71" t="inlineStr">
        <is>
          <t>gross (stated)</t>
        </is>
      </c>
      <c r="K318" s="74" t="n"/>
      <c r="L318" s="74" t="n">
        <v>8.27</v>
      </c>
      <c r="M318" s="74" t="n">
        <v>8.27</v>
      </c>
      <c r="N318" s="71" t="inlineStr">
        <is>
          <t>Y</t>
        </is>
      </c>
      <c r="O318" s="75" t="n">
        <v>100</v>
      </c>
      <c r="P318" s="75" t="n"/>
      <c r="Q318" s="76" t="n">
        <v>20745.3</v>
      </c>
      <c r="R318" s="71" t="inlineStr">
        <is>
          <t>derived:price x shares upon listing</t>
        </is>
      </c>
      <c r="S318" s="77" t="n">
        <v>3.51</v>
      </c>
      <c r="T318" s="78" t="n">
        <v>1.13</v>
      </c>
      <c r="U318" s="79" t="n">
        <v>62</v>
      </c>
      <c r="V318" s="80" t="n">
        <v>115</v>
      </c>
      <c r="W318" s="75" t="n"/>
      <c r="X318" s="71" t="inlineStr">
        <is>
          <t>NO</t>
        </is>
      </c>
      <c r="Y318" s="76" t="n">
        <v>381.94</v>
      </c>
      <c r="Z318" s="76" t="n">
        <v>46179006</v>
      </c>
      <c r="AA318" s="75" t="n">
        <v>1.84</v>
      </c>
      <c r="AB318" s="71" t="n"/>
      <c r="AC318" s="71" t="n"/>
      <c r="AD318" s="75" t="n">
        <v>15</v>
      </c>
      <c r="AE318" s="71" t="inlineStr">
        <is>
          <t>lapsed (no over-allocation)</t>
        </is>
      </c>
      <c r="AF318" s="71" t="n"/>
      <c r="AG318" s="71" t="inlineStr">
        <is>
          <t>China International Capital Corporation Hong Kong Securities Limited</t>
        </is>
      </c>
      <c r="AH318" s="71" t="inlineStr">
        <is>
          <t>China International</t>
        </is>
      </c>
      <c r="AI318" s="81" t="n">
        <v>0.121</v>
      </c>
      <c r="AJ318" s="82" t="n">
        <v>1.45</v>
      </c>
      <c r="AK318" s="82" t="n">
        <v>2.3</v>
      </c>
      <c r="AL318" s="82" t="n">
        <v>-0.83</v>
      </c>
      <c r="AM318" s="83" t="n"/>
      <c r="AN318" s="75" t="n">
        <v>1.54</v>
      </c>
      <c r="AO318" s="82" t="n">
        <v>0.73</v>
      </c>
      <c r="AP318" s="82" t="n">
        <v>13.78</v>
      </c>
      <c r="AQ318" s="82" t="n">
        <v>26.72</v>
      </c>
      <c r="AR318" s="82" t="n">
        <v>-0.71</v>
      </c>
      <c r="AS318" s="82" t="n">
        <v>12.15</v>
      </c>
      <c r="AT318" s="82" t="n">
        <v>24.91</v>
      </c>
      <c r="AU318" s="82" t="n">
        <v>-3.66</v>
      </c>
      <c r="AV318" s="82" t="n">
        <v>3.8</v>
      </c>
      <c r="AW318" s="82" t="n">
        <v>13.94</v>
      </c>
      <c r="AX318" s="82" t="n">
        <v>4.43</v>
      </c>
      <c r="AY318" s="82" t="n">
        <v>9.98</v>
      </c>
      <c r="AZ318" s="82" t="n">
        <v>7.72</v>
      </c>
      <c r="BA318" s="71" t="inlineStr">
        <is>
          <t>Hang Seng Commerce &amp; Industry sub-index</t>
        </is>
      </c>
      <c r="BB318" s="82" t="n">
        <v>-45.34</v>
      </c>
      <c r="BC318" s="72" t="inlineStr">
        <is>
          <t>2026-09-23</t>
        </is>
      </c>
      <c r="BD318" s="73" t="n">
        <v>4577.8</v>
      </c>
      <c r="BE318" s="76" t="n">
        <v>-648.9</v>
      </c>
      <c r="BF318" s="71" t="inlineStr">
        <is>
          <t>N</t>
        </is>
      </c>
      <c r="BG318" s="71" t="inlineStr">
        <is>
          <t>n/m</t>
        </is>
      </c>
      <c r="BH318" s="83" t="n">
        <v>197.7</v>
      </c>
      <c r="BI318" s="83" t="n">
        <v>14.3</v>
      </c>
      <c r="BJ318" s="83" t="n">
        <v>4.5</v>
      </c>
      <c r="BK318" s="84">
        <f>IF('BBG Verify'!S318="","not filed; run on terminal",'BBG Verify'!S318)</f>
        <v/>
      </c>
      <c r="BL318" s="85" t="inlineStr">
        <is>
          <t>N</t>
        </is>
      </c>
      <c r="BM318" s="86">
        <f>IF('BBG Verify'!K318="","not filed; run on terminal",'BBG Verify'!K318)</f>
        <v/>
      </c>
      <c r="BN318" s="71" t="inlineStr">
        <is>
          <t>N/A</t>
        </is>
      </c>
      <c r="BO318" s="71" t="inlineStr">
        <is>
          <t>N/A</t>
        </is>
      </c>
      <c r="BP318" s="71" t="inlineStr">
        <is>
          <t>N/A</t>
        </is>
      </c>
      <c r="BQ318" s="71" t="inlineStr">
        <is>
          <t>N/A</t>
        </is>
      </c>
      <c r="BR318" s="71" t="inlineStr">
        <is>
          <t>N/A</t>
        </is>
      </c>
      <c r="BS318" s="71" t="inlineStr">
        <is>
          <t>N/A</t>
        </is>
      </c>
      <c r="BT318" s="85" t="n"/>
      <c r="BU318" s="71" t="inlineStr">
        <is>
          <t>China International Capital Corporation Hong Kong Securities Limited; CMB International Capital Limited</t>
        </is>
      </c>
      <c r="BV318" s="71"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W318" s="71"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X318" s="87">
        <f>HYPERLINK("https://www1.hkexnews.hk/listedco/listconews/sehk/2025/0403/2025040300013.pdf","prospectus")</f>
        <v/>
      </c>
      <c r="BY318" s="87">
        <f>HYPERLINK("https://www1.hkexnews.hk/listedco/listconews/sehk/2025/0411/2025041101645.pdf","allotment")</f>
        <v/>
      </c>
      <c r="BZ318" s="87">
        <f>HYPERLINK("https://www1.hkexnews.hk/listedco/listconews/sehk/2025/0509/2025050900261.pdf","stabilisation")</f>
        <v/>
      </c>
      <c r="CA318" s="85" t="n"/>
      <c r="CB318" s="71"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allocation: allocation table not in this notice's format (older prose announcement); day-1 tape: volume on file; the retail multiple needs the final public split, which this notice does not state</t>
        </is>
      </c>
    </row>
    <row r="319" ht="15" customHeight="1">
      <c r="A319" s="70" t="inlineStr">
        <is>
          <t>9606</t>
        </is>
      </c>
      <c r="B319" s="71" t="inlineStr">
        <is>
          <t>DUALITYBIO-B</t>
        </is>
      </c>
      <c r="C319" s="71" t="inlineStr">
        <is>
          <t>映恩生物－Ｂ</t>
        </is>
      </c>
      <c r="D319" s="71" t="inlineStr">
        <is>
          <t>Healthcare</t>
        </is>
      </c>
      <c r="E319" s="71" t="inlineStr">
        <is>
          <t>Biotech pre-revenue (18A)</t>
        </is>
      </c>
      <c r="F319" s="71" t="inlineStr">
        <is>
          <t>Biotechnology - Pharmaceuticals</t>
        </is>
      </c>
      <c r="G319" s="71" t="inlineStr">
        <is>
          <t>18A</t>
        </is>
      </c>
      <c r="H319" s="72" t="n">
        <v>45762</v>
      </c>
      <c r="I319" s="73" t="n">
        <v>1639.64</v>
      </c>
      <c r="J319" s="71" t="inlineStr">
        <is>
          <t>gross (stated)</t>
        </is>
      </c>
      <c r="K319" s="74" t="n">
        <v>94.59999999999999</v>
      </c>
      <c r="L319" s="74" t="n">
        <v>103.2</v>
      </c>
      <c r="M319" s="74" t="n">
        <v>94.59999999999999</v>
      </c>
      <c r="N319" s="71" t="inlineStr">
        <is>
          <t>N</t>
        </is>
      </c>
      <c r="O319" s="75" t="n">
        <v>91.7</v>
      </c>
      <c r="P319" s="75" t="n">
        <v>0</v>
      </c>
      <c r="Q319" s="76" t="n">
        <v>7212.7</v>
      </c>
      <c r="R319" s="71" t="inlineStr">
        <is>
          <t>prospectus:stated market capitalisation, rescaled to the offer price</t>
        </is>
      </c>
      <c r="S319" s="77" t="n">
        <v>115.14</v>
      </c>
      <c r="T319" s="78" t="n">
        <v>13.52</v>
      </c>
      <c r="U319" s="79" t="n">
        <v>30.82</v>
      </c>
      <c r="V319" s="80" t="n">
        <v>125</v>
      </c>
      <c r="W319" s="75" t="n">
        <v>43.48</v>
      </c>
      <c r="X319" s="71" t="inlineStr">
        <is>
          <t>YES</t>
        </is>
      </c>
      <c r="Y319" s="76" t="n">
        <v>1134.3</v>
      </c>
      <c r="Z319" s="76" t="n">
        <v>11990485</v>
      </c>
      <c r="AA319" s="75" t="n">
        <v>15.73</v>
      </c>
      <c r="AB319" s="71" t="inlineStr">
        <is>
          <t>LAV Star Limited; Suzhou Suchuang; E Fund Mangement; BioNTech SE; TruMed; E Fund Management Co., Ltd; DualityBio Ltd; LAV Fund VI, L.P; King Star Med LP</t>
        </is>
      </c>
      <c r="AC319" s="71" t="inlineStr">
        <is>
          <t>lav;suzhou;mangement;biontech;trumed;fund-management;dualitybio;king</t>
        </is>
      </c>
      <c r="AD319" s="75" t="n">
        <v>15</v>
      </c>
      <c r="AE319" s="71" t="inlineStr">
        <is>
          <t>full</t>
        </is>
      </c>
      <c r="AF319" s="71" t="inlineStr">
        <is>
          <t>2025-05-10</t>
        </is>
      </c>
      <c r="AG319" s="71" t="inlineStr">
        <is>
          <t>Morgan Stanley Asia Limited</t>
        </is>
      </c>
      <c r="AH319" s="71" t="inlineStr">
        <is>
          <t>Morgan Stanley</t>
        </is>
      </c>
      <c r="AI319" s="81" t="n">
        <v>82.875</v>
      </c>
      <c r="AJ319" s="82" t="n">
        <v>116.7</v>
      </c>
      <c r="AK319" s="82" t="n">
        <v>91.33</v>
      </c>
      <c r="AL319" s="82" t="n">
        <v>13.26</v>
      </c>
      <c r="AM319" s="83" t="n">
        <v>1.44</v>
      </c>
      <c r="AN319" s="75" t="n">
        <v>22.65</v>
      </c>
      <c r="AO319" s="82" t="n">
        <v>137.84</v>
      </c>
      <c r="AP319" s="82" t="n">
        <v>111.42</v>
      </c>
      <c r="AQ319" s="82" t="n">
        <v>255.18</v>
      </c>
      <c r="AR319" s="82" t="n">
        <v>9.76</v>
      </c>
      <c r="AS319" s="82" t="n">
        <v>-2.44</v>
      </c>
      <c r="AT319" s="82" t="n">
        <v>63.9</v>
      </c>
      <c r="AU319" s="82" t="n">
        <v>133.61</v>
      </c>
      <c r="AV319" s="82" t="n">
        <v>107.06</v>
      </c>
      <c r="AW319" s="82" t="n">
        <v>221.6</v>
      </c>
      <c r="AX319" s="82" t="n">
        <v>-7.44</v>
      </c>
      <c r="AY319" s="82" t="n">
        <v>4.36</v>
      </c>
      <c r="AZ319" s="82" t="n">
        <v>5</v>
      </c>
      <c r="BA319" s="71" t="inlineStr">
        <is>
          <t>China Biotech ETF (HS biotech proxy)</t>
        </is>
      </c>
      <c r="BB319" s="82" t="n">
        <v>127.27</v>
      </c>
      <c r="BC319" s="72" t="inlineStr">
        <is>
          <t>2026-09-23</t>
        </is>
      </c>
      <c r="BD319" s="73" t="n">
        <v>2135.4</v>
      </c>
      <c r="BE319" s="76" t="n">
        <v>-1155.5</v>
      </c>
      <c r="BF319" s="71" t="inlineStr">
        <is>
          <t>N</t>
        </is>
      </c>
      <c r="BG319" s="71" t="inlineStr">
        <is>
          <t>n/m</t>
        </is>
      </c>
      <c r="BH319" s="83" t="n"/>
      <c r="BI319" s="83" t="n"/>
      <c r="BJ319" s="83" t="n">
        <v>3.4</v>
      </c>
      <c r="BK319" s="84">
        <f>IF('BBG Verify'!S319="","not filed; run on terminal",'BBG Verify'!S319)</f>
        <v/>
      </c>
      <c r="BL319" s="85" t="inlineStr">
        <is>
          <t>N</t>
        </is>
      </c>
      <c r="BM319" s="86">
        <f>IF('BBG Verify'!K319="","not filed; run on terminal",'BBG Verify'!K319)</f>
        <v/>
      </c>
      <c r="BN319" s="71" t="inlineStr">
        <is>
          <t>N/A</t>
        </is>
      </c>
      <c r="BO319" s="71" t="inlineStr">
        <is>
          <t>N/A</t>
        </is>
      </c>
      <c r="BP319" s="71" t="inlineStr">
        <is>
          <t>N/A</t>
        </is>
      </c>
      <c r="BQ319" s="71" t="inlineStr">
        <is>
          <t>N/A</t>
        </is>
      </c>
      <c r="BR319" s="71" t="inlineStr">
        <is>
          <t>N/A</t>
        </is>
      </c>
      <c r="BS319" s="71" t="inlineStr">
        <is>
          <t>N/A</t>
        </is>
      </c>
      <c r="BT319" s="85" t="inlineStr">
        <is>
          <t>Morgan Stanley Asia Limited</t>
        </is>
      </c>
      <c r="BU319" s="71" t="inlineStr">
        <is>
          <t>Jefferies Hong Kong Limited; Morgan Stanley Asia Limited; CITIC Securities (Hong Kong) Limited</t>
        </is>
      </c>
      <c r="BV319" s="71" t="inlineStr">
        <is>
          <t>Morgan Stanley Asia Limited; China International Capital Corporation Hong Kong Securities Limited; CMB International Capital Limited; ICBC International Securities Limited; BOCI Asia Limited; GF Securities (Hong Kong) Brokerage Limited; ABCI Capital Limited</t>
        </is>
      </c>
      <c r="BW319" s="71"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X319" s="87">
        <f>HYPERLINK("https://www1.hkexnews.hk/listedco/listconews/sehk/2025/0407/2025040700009.pdf","prospectus")</f>
        <v/>
      </c>
      <c r="BY319" s="87">
        <f>HYPERLINK("https://www1.hkexnews.hk/listedco/listconews/sehk/2025/0414/2025041401384.pdf","allotment")</f>
        <v/>
      </c>
      <c r="BZ319" s="87">
        <f>HYPERLINK("https://www1.hkexnews.hk/listedco/listconews/sehk/2025/0512/2025051200137.pdf","stabilisation")</f>
        <v/>
      </c>
      <c r="CA319" s="85" t="n"/>
      <c r="CB319" s="71" t="inlineStr">
        <is>
          <t>P/E: loss-making at IPO, use P/S; market cap: prospectus cap HK$7,868m at HK$103.20, rescaled to HK$94.60</t>
        </is>
      </c>
    </row>
    <row r="320" ht="15" customHeight="1">
      <c r="A320" s="70" t="inlineStr">
        <is>
          <t>1333</t>
        </is>
      </c>
      <c r="B320" s="71" t="inlineStr">
        <is>
          <t>BRETON</t>
        </is>
      </c>
      <c r="C320" s="71" t="inlineStr">
        <is>
          <t>博雷頓</t>
        </is>
      </c>
      <c r="D320" s="71" t="inlineStr">
        <is>
          <t>Industrials</t>
        </is>
      </c>
      <c r="E320" s="71" t="inlineStr">
        <is>
          <t>Capital goods / machinery</t>
        </is>
      </c>
      <c r="F320" s="71" t="inlineStr">
        <is>
          <t>Industrial Machinery</t>
        </is>
      </c>
      <c r="G320" s="71" t="inlineStr">
        <is>
          <t>Standard</t>
        </is>
      </c>
      <c r="H320" s="72" t="n">
        <v>45784</v>
      </c>
      <c r="I320" s="73" t="n">
        <v>234</v>
      </c>
      <c r="J320" s="71" t="inlineStr">
        <is>
          <t>gross (stated)</t>
        </is>
      </c>
      <c r="K320" s="74" t="n"/>
      <c r="L320" s="74" t="n">
        <v>18</v>
      </c>
      <c r="M320" s="74" t="n">
        <v>18</v>
      </c>
      <c r="N320" s="71" t="inlineStr">
        <is>
          <t>Y</t>
        </is>
      </c>
      <c r="O320" s="75" t="n">
        <v>100</v>
      </c>
      <c r="P320" s="75" t="n"/>
      <c r="Q320" s="76" t="n">
        <v>6833.7</v>
      </c>
      <c r="R320" s="71" t="inlineStr">
        <is>
          <t>derived:price x shares upon listing</t>
        </is>
      </c>
      <c r="S320" s="77" t="n">
        <v>198.72</v>
      </c>
      <c r="T320" s="78" t="n">
        <v>0.92</v>
      </c>
      <c r="U320" s="79" t="n">
        <v>22.7</v>
      </c>
      <c r="V320" s="80" t="n">
        <v>108</v>
      </c>
      <c r="W320" s="75" t="n">
        <v>20</v>
      </c>
      <c r="X320" s="71" t="inlineStr">
        <is>
          <t>NO</t>
        </is>
      </c>
      <c r="Y320" s="76" t="n">
        <v>180.88</v>
      </c>
      <c r="Z320" s="76" t="n">
        <v>10049000</v>
      </c>
      <c r="AA320" s="75" t="n">
        <v>2.65</v>
      </c>
      <c r="AB320" s="71" t="inlineStr">
        <is>
          <t>Changfeng Growth Equity Fund</t>
        </is>
      </c>
      <c r="AC320" s="71" t="inlineStr">
        <is>
          <t>changfeng</t>
        </is>
      </c>
      <c r="AD320" s="75" t="n"/>
      <c r="AE320" s="71" t="n"/>
      <c r="AF320" s="71" t="n"/>
      <c r="AG320" s="71" t="inlineStr">
        <is>
          <t>China International Capital Corporation Hong Kong Securities Limited</t>
        </is>
      </c>
      <c r="AH320" s="71" t="inlineStr">
        <is>
          <t>China International</t>
        </is>
      </c>
      <c r="AI320" s="81" t="n">
        <v>43.3</v>
      </c>
      <c r="AJ320" s="82" t="n">
        <v>38.33</v>
      </c>
      <c r="AK320" s="82" t="n">
        <v>61.11</v>
      </c>
      <c r="AL320" s="82" t="n">
        <v>-14.14</v>
      </c>
      <c r="AM320" s="83" t="n">
        <v>3.2</v>
      </c>
      <c r="AN320" s="75" t="n">
        <v>31.03</v>
      </c>
      <c r="AO320" s="82" t="n">
        <v>31.11</v>
      </c>
      <c r="AP320" s="82" t="n">
        <v>79.44</v>
      </c>
      <c r="AQ320" s="82" t="n">
        <v>53.33</v>
      </c>
      <c r="AR320" s="82" t="n">
        <v>-5.22</v>
      </c>
      <c r="AS320" s="82" t="n">
        <v>29.72</v>
      </c>
      <c r="AT320" s="82" t="n">
        <v>10.84</v>
      </c>
      <c r="AU320" s="82" t="n">
        <v>27.73</v>
      </c>
      <c r="AV320" s="82" t="n">
        <v>75.65000000000001</v>
      </c>
      <c r="AW320" s="82" t="n">
        <v>46.9</v>
      </c>
      <c r="AX320" s="82" t="n">
        <v>25.23</v>
      </c>
      <c r="AY320" s="82" t="n">
        <v>3.79</v>
      </c>
      <c r="AZ320" s="82" t="n">
        <v>4.49</v>
      </c>
      <c r="BA320" s="71" t="inlineStr">
        <is>
          <t>Hang Seng Commerce &amp; Industry sub-index</t>
        </is>
      </c>
      <c r="BB320" s="82" t="n">
        <v>-32.44</v>
      </c>
      <c r="BC320" s="72" t="inlineStr">
        <is>
          <t>2026-09-23</t>
        </is>
      </c>
      <c r="BD320" s="73" t="n">
        <v>699</v>
      </c>
      <c r="BE320" s="76" t="n">
        <v>-302</v>
      </c>
      <c r="BF320" s="71" t="inlineStr">
        <is>
          <t>N</t>
        </is>
      </c>
      <c r="BG320" s="71" t="inlineStr">
        <is>
          <t>n/m</t>
        </is>
      </c>
      <c r="BH320" s="83" t="n"/>
      <c r="BI320" s="83" t="n"/>
      <c r="BJ320" s="83" t="n">
        <v>9.800000000000001</v>
      </c>
      <c r="BK320" s="84">
        <f>IF('BBG Verify'!S320="","not filed; run on terminal",'BBG Verify'!S320)</f>
        <v/>
      </c>
      <c r="BL320" s="85" t="inlineStr">
        <is>
          <t>N</t>
        </is>
      </c>
      <c r="BM320" s="86">
        <f>IF('BBG Verify'!K320="","not filed; run on terminal",'BBG Verify'!K320)</f>
        <v/>
      </c>
      <c r="BN320" s="71" t="inlineStr">
        <is>
          <t>N/A</t>
        </is>
      </c>
      <c r="BO320" s="71" t="inlineStr">
        <is>
          <t>N/A</t>
        </is>
      </c>
      <c r="BP320" s="71" t="inlineStr">
        <is>
          <t>N/A</t>
        </is>
      </c>
      <c r="BQ320" s="71" t="inlineStr">
        <is>
          <t>N/A</t>
        </is>
      </c>
      <c r="BR320" s="71" t="inlineStr">
        <is>
          <t>N/A</t>
        </is>
      </c>
      <c r="BS320" s="71" t="inlineStr">
        <is>
          <t>N/A</t>
        </is>
      </c>
      <c r="BT320" s="85" t="n"/>
      <c r="BU320" s="71" t="inlineStr">
        <is>
          <t>China International Capital Corporation Hong Kong Securities Limited; CMB International Capital Corporation Limited</t>
        </is>
      </c>
      <c r="BV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W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X320" s="71" t="n"/>
      <c r="BY320" s="87">
        <f>HYPERLINK("https://www1.hkexnews.hk/listedco/listconews/sehk/2025/0506/2025050602875.pdf","allotment")</f>
        <v/>
      </c>
      <c r="BZ320" s="71" t="n"/>
      <c r="CA320" s="85" t="n"/>
      <c r="CB320"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321" ht="15" customHeight="1">
      <c r="A321" s="70" t="inlineStr">
        <is>
          <t>2865</t>
        </is>
      </c>
      <c r="B321" s="71" t="inlineStr">
        <is>
          <t>DRINDA</t>
        </is>
      </c>
      <c r="C321" s="71" t="inlineStr">
        <is>
          <t>鈞達股份</t>
        </is>
      </c>
      <c r="D321" s="71" t="inlineStr">
        <is>
          <t>Industrials</t>
        </is>
      </c>
      <c r="E321" s="71" t="inlineStr">
        <is>
          <t>Solar / wind supply chain</t>
        </is>
      </c>
      <c r="F321" s="71" t="inlineStr">
        <is>
          <t>Battery Products</t>
        </is>
      </c>
      <c r="G321" s="71" t="inlineStr">
        <is>
          <t>Standard</t>
        </is>
      </c>
      <c r="H321" s="72" t="n">
        <v>45785</v>
      </c>
      <c r="I321" s="73" t="n">
        <v>1405</v>
      </c>
      <c r="J321" s="71" t="inlineStr">
        <is>
          <t>gross (price x shares)</t>
        </is>
      </c>
      <c r="K321" s="74" t="n">
        <v>20.4</v>
      </c>
      <c r="L321" s="74" t="n">
        <v>28.6</v>
      </c>
      <c r="M321" s="74" t="n">
        <v>22.15</v>
      </c>
      <c r="N321" s="71" t="inlineStr">
        <is>
          <t>N</t>
        </is>
      </c>
      <c r="O321" s="75" t="n">
        <v>77.40000000000001</v>
      </c>
      <c r="P321" s="75" t="n">
        <v>21.3</v>
      </c>
      <c r="Q321" s="76" t="n">
        <v>6480.7</v>
      </c>
      <c r="R321" s="71" t="inlineStr">
        <is>
          <t>derived:price x shares upon listing</t>
        </is>
      </c>
      <c r="S321" s="77" t="n">
        <v>3.5</v>
      </c>
      <c r="T321" s="78" t="n">
        <v>1.08</v>
      </c>
      <c r="U321" s="79" t="n">
        <v>37.8</v>
      </c>
      <c r="V321" s="80" t="n">
        <v>138</v>
      </c>
      <c r="W321" s="75" t="n">
        <v>10</v>
      </c>
      <c r="X321" s="71" t="inlineStr">
        <is>
          <t>NO</t>
        </is>
      </c>
      <c r="Y321" s="76" t="n">
        <v>873.91</v>
      </c>
      <c r="Z321" s="76" t="n">
        <v>39454891</v>
      </c>
      <c r="AA321" s="75" t="n">
        <v>13.48</v>
      </c>
      <c r="AB321" s="71" t="inlineStr">
        <is>
          <t>Zhuhai Gokin New Energy Investment Co., Ltd; Modern Direct Investment New Energy Technology Co., Limited; GF Securities</t>
        </is>
      </c>
      <c r="AC321" s="71" t="inlineStr">
        <is>
          <t>zhuhai;modern;gf</t>
        </is>
      </c>
      <c r="AD321" s="75" t="n">
        <v>7.6</v>
      </c>
      <c r="AE321" s="71" t="inlineStr">
        <is>
          <t>lapsed (no over-allocation)</t>
        </is>
      </c>
      <c r="AF321" s="71" t="n"/>
      <c r="AG321" s="71" t="inlineStr">
        <is>
          <t>Huatai Financial Holdings</t>
        </is>
      </c>
      <c r="AH321" s="71" t="inlineStr">
        <is>
          <t>Huatai</t>
        </is>
      </c>
      <c r="AI321" s="81" t="n">
        <v>0</v>
      </c>
      <c r="AJ321" s="82" t="n">
        <v>20.09</v>
      </c>
      <c r="AK321" s="82" t="n">
        <v>0.23</v>
      </c>
      <c r="AL321" s="82" t="n">
        <v>19.81</v>
      </c>
      <c r="AM321" s="83" t="n">
        <v>1.05</v>
      </c>
      <c r="AN321" s="75" t="n">
        <v>24.32</v>
      </c>
      <c r="AO321" s="82" t="n">
        <v>3.61</v>
      </c>
      <c r="AP321" s="82" t="n">
        <v>8.130000000000001</v>
      </c>
      <c r="AQ321" s="82" t="n">
        <v>-2.48</v>
      </c>
      <c r="AR321" s="82" t="n">
        <v>-13.72</v>
      </c>
      <c r="AS321" s="82" t="n">
        <v>-9.960000000000001</v>
      </c>
      <c r="AT321" s="82" t="n">
        <v>-18.79</v>
      </c>
      <c r="AU321" s="82" t="n">
        <v>0.51</v>
      </c>
      <c r="AV321" s="82" t="n">
        <v>4.34</v>
      </c>
      <c r="AW321" s="82" t="n">
        <v>-9.83</v>
      </c>
      <c r="AX321" s="82" t="n">
        <v>-13.02</v>
      </c>
      <c r="AY321" s="82" t="n">
        <v>3.79</v>
      </c>
      <c r="AZ321" s="82" t="n">
        <v>3.06</v>
      </c>
      <c r="BA321" s="71" t="inlineStr">
        <is>
          <t>Hang Seng Commerce &amp; Industry sub-index</t>
        </is>
      </c>
      <c r="BB321" s="82" t="n">
        <v>-45.64</v>
      </c>
      <c r="BC321" s="72" t="inlineStr">
        <is>
          <t>2026-09-23</t>
        </is>
      </c>
      <c r="BD321" s="73" t="n">
        <v>2006.3</v>
      </c>
      <c r="BE321" s="76" t="n">
        <v>-275.6</v>
      </c>
      <c r="BF321" s="71" t="inlineStr">
        <is>
          <t>N</t>
        </is>
      </c>
      <c r="BG321" s="71" t="inlineStr">
        <is>
          <t>n/m</t>
        </is>
      </c>
      <c r="BH321" s="83" t="n"/>
      <c r="BI321" s="83" t="n"/>
      <c r="BJ321" s="83" t="n">
        <v>3.2</v>
      </c>
      <c r="BK321" s="84">
        <f>IF('BBG Verify'!S321="","not filed; run on terminal",'BBG Verify'!S321)</f>
        <v/>
      </c>
      <c r="BL321" s="85" t="inlineStr">
        <is>
          <t>Y</t>
        </is>
      </c>
      <c r="BM321" s="71" t="inlineStr">
        <is>
          <t>002865.SZ</t>
        </is>
      </c>
      <c r="BN321" s="82" t="n">
        <v>99.26000000000001</v>
      </c>
      <c r="BO321" s="74" t="n">
        <v>44.1352</v>
      </c>
      <c r="BP321" s="89" t="n">
        <v>2.659</v>
      </c>
      <c r="BQ321" s="76" t="n">
        <v>14161.4</v>
      </c>
      <c r="BR321" s="84">
        <f>IF('BBG Verify'!Q321="","run on terminal",'BBG Verify'!Q321)</f>
        <v/>
      </c>
      <c r="BS321" s="84">
        <f>IF('BBG Verify'!R321="","run on terminal",'BBG Verify'!R321)</f>
        <v/>
      </c>
      <c r="BT321" s="85" t="inlineStr">
        <is>
          <t>Huatai Financial Holdings (Hong Kong) Limited; CMB International Capital Limited; Deutsche Securities Asia Limited</t>
        </is>
      </c>
      <c r="BU321" s="71" t="inlineStr">
        <is>
          <t>Huatai Financial Holdings (Hong Kong) Limited; Deutsche Securities Asia Limited; CMB International Capital Corporation Limited</t>
        </is>
      </c>
      <c r="BV321" s="71"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W321" s="71"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X321" s="87">
        <f>HYPERLINK("https://www1.hkexnews.hk/listedco/listconews/sehk/2025/0428/2025042800051.pdf","prospectus")</f>
        <v/>
      </c>
      <c r="BY321" s="87">
        <f>HYPERLINK("https://www1.hkexnews.hk/listedco/listconews/sehk/2025/0507/2025050702202.pdf","allotment")</f>
        <v/>
      </c>
      <c r="BZ321" s="87">
        <f>HYPERLINK("https://www1.hkexnews.hk/listedco/listconews/sehk/2025/0602/2025060200082.pdf","stabilisation")</f>
        <v/>
      </c>
      <c r="CA321" s="85" t="n"/>
      <c r="CB321" s="71" t="inlineStr">
        <is>
          <t>P/E: loss-making at IPO, use P/S; greenshoe: outcome published; expiry date not in the notice; A/H: May 2025 H listing (TOPCon solar cells)</t>
        </is>
      </c>
    </row>
    <row r="322" ht="15" customHeight="1">
      <c r="A322" s="70" t="inlineStr">
        <is>
          <t>2589</t>
        </is>
      </c>
      <c r="B322" s="71" t="inlineStr">
        <is>
          <t>AUNTEA JENNY</t>
        </is>
      </c>
      <c r="C322" s="71" t="inlineStr">
        <is>
          <t>滬上阿姨</t>
        </is>
      </c>
      <c r="D322" s="71" t="inlineStr">
        <is>
          <t>Consumer</t>
        </is>
      </c>
      <c r="E322" s="71" t="inlineStr">
        <is>
          <t>F&amp;B chains / restaurants</t>
        </is>
      </c>
      <c r="F322" s="71" t="inlineStr">
        <is>
          <t>Beverages (Non-alcoholic)</t>
        </is>
      </c>
      <c r="G322" s="71" t="inlineStr">
        <is>
          <t>Standard</t>
        </is>
      </c>
      <c r="H322" s="72" t="n">
        <v>45785</v>
      </c>
      <c r="I322" s="73" t="n">
        <v>272.8</v>
      </c>
      <c r="J322" s="71" t="inlineStr">
        <is>
          <t>gross (price x shares)</t>
        </is>
      </c>
      <c r="K322" s="74" t="n"/>
      <c r="L322" s="74" t="n">
        <v>113.12</v>
      </c>
      <c r="M322" s="74" t="n">
        <v>113.12</v>
      </c>
      <c r="N322" s="71" t="inlineStr">
        <is>
          <t>Y</t>
        </is>
      </c>
      <c r="O322" s="75" t="n">
        <v>100</v>
      </c>
      <c r="P322" s="75" t="n"/>
      <c r="Q322" s="76" t="n">
        <v>10492.3</v>
      </c>
      <c r="R322" s="71" t="inlineStr">
        <is>
          <t>derived:deal size / offer % of enlarged capital</t>
        </is>
      </c>
      <c r="S322" s="77" t="n">
        <v>3616.83</v>
      </c>
      <c r="T322" s="78" t="n">
        <v>2.57</v>
      </c>
      <c r="U322" s="79" t="n">
        <v>30.73</v>
      </c>
      <c r="V322" s="80" t="n">
        <v>12</v>
      </c>
      <c r="W322" s="75" t="n">
        <v>50</v>
      </c>
      <c r="X322" s="71" t="inlineStr">
        <is>
          <t>YES</t>
        </is>
      </c>
      <c r="Y322" s="76" t="n">
        <v>188.97</v>
      </c>
      <c r="Z322" s="76" t="n">
        <v>1670335</v>
      </c>
      <c r="AA322" s="75" t="n">
        <v>1.8</v>
      </c>
      <c r="AB322" s="71" t="inlineStr">
        <is>
          <t>Infore Holding</t>
        </is>
      </c>
      <c r="AC322" s="71" t="inlineStr">
        <is>
          <t>infore</t>
        </is>
      </c>
      <c r="AD322" s="75" t="n">
        <v>15</v>
      </c>
      <c r="AE322" s="71" t="inlineStr">
        <is>
          <t>full</t>
        </is>
      </c>
      <c r="AF322" s="71" t="inlineStr">
        <is>
          <t>2025-06-01</t>
        </is>
      </c>
      <c r="AG322" s="71" t="inlineStr">
        <is>
          <t>CLSA Limited</t>
        </is>
      </c>
      <c r="AH322" s="71" t="inlineStr">
        <is>
          <t>CLSA</t>
        </is>
      </c>
      <c r="AI322" s="81" t="n">
        <v>62.482</v>
      </c>
      <c r="AJ322" s="82" t="n">
        <v>40.03</v>
      </c>
      <c r="AK322" s="82" t="n">
        <v>68.48999999999999</v>
      </c>
      <c r="AL322" s="82" t="n">
        <v>-16.89</v>
      </c>
      <c r="AM322" s="83" t="n">
        <v>2.71</v>
      </c>
      <c r="AN322" s="75" t="n">
        <v>23.92</v>
      </c>
      <c r="AO322" s="82" t="n">
        <v>12.89</v>
      </c>
      <c r="AP322" s="82" t="n">
        <v>9.619999999999999</v>
      </c>
      <c r="AQ322" s="82" t="n">
        <v>21.38</v>
      </c>
      <c r="AR322" s="82" t="n">
        <v>-19.38</v>
      </c>
      <c r="AS322" s="82" t="n">
        <v>-21.72</v>
      </c>
      <c r="AT322" s="82" t="n">
        <v>-13.32</v>
      </c>
      <c r="AU322" s="82" t="n">
        <v>9.789999999999999</v>
      </c>
      <c r="AV322" s="82" t="n">
        <v>5.83</v>
      </c>
      <c r="AW322" s="82" t="n">
        <v>14.03</v>
      </c>
      <c r="AX322" s="82" t="n">
        <v>-24.78</v>
      </c>
      <c r="AY322" s="82" t="n">
        <v>3.79</v>
      </c>
      <c r="AZ322" s="82" t="n">
        <v>3.06</v>
      </c>
      <c r="BA322" s="71" t="inlineStr">
        <is>
          <t>Hang Seng Commerce &amp; Industry sub-index</t>
        </is>
      </c>
      <c r="BB322" s="82" t="n">
        <v>-31.09</v>
      </c>
      <c r="BC322" s="72" t="inlineStr">
        <is>
          <t>2026-09-23</t>
        </is>
      </c>
      <c r="BD322" s="73" t="n">
        <v>3613</v>
      </c>
      <c r="BE322" s="76" t="n">
        <v>361.8</v>
      </c>
      <c r="BF322" s="71" t="inlineStr">
        <is>
          <t>Y</t>
        </is>
      </c>
      <c r="BG322" s="83" t="n">
        <v>29</v>
      </c>
      <c r="BH322" s="83" t="n">
        <v>45.8</v>
      </c>
      <c r="BI322" s="83" t="n">
        <v>15.2</v>
      </c>
      <c r="BJ322" s="83" t="n">
        <v>2.9</v>
      </c>
      <c r="BK322" s="84">
        <f>IF('BBG Verify'!S322="","not filed; run on terminal",'BBG Verify'!S322)</f>
        <v/>
      </c>
      <c r="BL322" s="85" t="inlineStr">
        <is>
          <t>N</t>
        </is>
      </c>
      <c r="BM322" s="86">
        <f>IF('BBG Verify'!K322="","not filed; run on terminal",'BBG Verify'!K322)</f>
        <v/>
      </c>
      <c r="BN322" s="71" t="inlineStr">
        <is>
          <t>N/A</t>
        </is>
      </c>
      <c r="BO322" s="71" t="inlineStr">
        <is>
          <t>N/A</t>
        </is>
      </c>
      <c r="BP322" s="71" t="inlineStr">
        <is>
          <t>N/A</t>
        </is>
      </c>
      <c r="BQ322" s="71" t="inlineStr">
        <is>
          <t>N/A</t>
        </is>
      </c>
      <c r="BR322" s="71" t="inlineStr">
        <is>
          <t>N/A</t>
        </is>
      </c>
      <c r="BS322" s="71" t="inlineStr">
        <is>
          <t>N/A</t>
        </is>
      </c>
      <c r="BT322" s="85" t="inlineStr">
        <is>
          <t>CITIC Securities (Hong Kong) Limited; Haitong International Capital Limited; Orient Capital (Hong Kong) Limited</t>
        </is>
      </c>
      <c r="BU322" s="71" t="inlineStr">
        <is>
          <t>Haitong International Capital Limited; CITIC Securities (Hong Kong) Limited; Orient Capital (Hong Kong) Limited</t>
        </is>
      </c>
      <c r="BV322" s="71"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W322" s="71"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X322" s="87">
        <f>HYPERLINK("https://www1.hkexnews.hk/listedco/listconews/sehk/2025/0428/2025042800055.pdf","prospectus")</f>
        <v/>
      </c>
      <c r="BY322" s="87">
        <f>HYPERLINK("https://www1.hkexnews.hk/listedco/listconews/sehk/2025/0507/2025050702204.pdf","allotment")</f>
        <v/>
      </c>
      <c r="BZ322" s="87">
        <f>HYPERLINK("https://www1.hkexnews.hk/listedco/listconews/sehk/2025/0601/2025060100017.pdf","stabilisation")</f>
        <v/>
      </c>
      <c r="CA322" s="85" t="n"/>
      <c r="CB322" s="71" t="inlineStr">
        <is>
          <t>range low: maximum offer price only, no floor published</t>
        </is>
      </c>
    </row>
    <row r="323" ht="15" customHeight="1">
      <c r="A323" s="70" t="inlineStr">
        <is>
          <t>6831</t>
        </is>
      </c>
      <c r="B323" s="71" t="inlineStr">
        <is>
          <t>GREEN TEA GROUP</t>
        </is>
      </c>
      <c r="C323" s="71" t="inlineStr">
        <is>
          <t>綠茶集團</t>
        </is>
      </c>
      <c r="D323" s="71" t="inlineStr">
        <is>
          <t>Consumer</t>
        </is>
      </c>
      <c r="E323" s="71" t="inlineStr">
        <is>
          <t>F&amp;B chains / restaurants</t>
        </is>
      </c>
      <c r="F323" s="71" t="inlineStr">
        <is>
          <t>Restaurants</t>
        </is>
      </c>
      <c r="G323" s="71" t="inlineStr">
        <is>
          <t>Standard</t>
        </is>
      </c>
      <c r="H323" s="72" t="n">
        <v>45793</v>
      </c>
      <c r="I323" s="73" t="n">
        <v>847.38</v>
      </c>
      <c r="J323" s="71" t="inlineStr">
        <is>
          <t>gross (stated)</t>
        </is>
      </c>
      <c r="K323" s="74" t="n"/>
      <c r="L323" s="74" t="n">
        <v>7.19</v>
      </c>
      <c r="M323" s="74" t="n">
        <v>7.19</v>
      </c>
      <c r="N323" s="71" t="inlineStr">
        <is>
          <t>Y</t>
        </is>
      </c>
      <c r="O323" s="75" t="n">
        <v>100</v>
      </c>
      <c r="P323" s="75" t="n"/>
      <c r="Q323" s="76" t="n">
        <v>3013.4</v>
      </c>
      <c r="R323" s="71" t="inlineStr">
        <is>
          <t>derived:deal size / offer % of enlarged capital</t>
        </is>
      </c>
      <c r="S323" s="77" t="n">
        <v>317.54</v>
      </c>
      <c r="T323" s="78" t="n">
        <v>7.2</v>
      </c>
      <c r="U323" s="79" t="n">
        <v>5.71</v>
      </c>
      <c r="V323" s="80" t="n">
        <v>134</v>
      </c>
      <c r="W323" s="75" t="n">
        <v>50</v>
      </c>
      <c r="X323" s="71" t="inlineStr">
        <is>
          <t>YES</t>
        </is>
      </c>
      <c r="Y323" s="76" t="n">
        <v>798.99</v>
      </c>
      <c r="Z323" s="76" t="n"/>
      <c r="AA323" s="75" t="n">
        <v>26.51</v>
      </c>
      <c r="AB323" s="71" t="inlineStr">
        <is>
          <t>Relationship* Wuxi Lvlian; Wuxi Hexiang; Anji Liangshan; Action Chain; Chia Tai</t>
        </is>
      </c>
      <c r="AC323" s="71" t="inlineStr">
        <is>
          <t>relationship;wuxi;anji;action;chia</t>
        </is>
      </c>
      <c r="AD323" s="75" t="n">
        <v>15.76</v>
      </c>
      <c r="AE323" s="71" t="inlineStr">
        <is>
          <t>lapsed</t>
        </is>
      </c>
      <c r="AF323" s="71" t="inlineStr">
        <is>
          <t>2025-06-12</t>
        </is>
      </c>
      <c r="AG323" s="71" t="inlineStr">
        <is>
          <t>CMB International Global Markets Limited</t>
        </is>
      </c>
      <c r="AH323" s="71" t="inlineStr">
        <is>
          <t>CMB</t>
        </is>
      </c>
      <c r="AI323" s="81" t="n">
        <v>-7.65</v>
      </c>
      <c r="AJ323" s="82" t="n">
        <v>-12.52</v>
      </c>
      <c r="AK323" s="82" t="n">
        <v>0</v>
      </c>
      <c r="AL323" s="82" t="n">
        <v>-12.52</v>
      </c>
      <c r="AM323" s="83" t="n">
        <v>1.05</v>
      </c>
      <c r="AN323" s="75" t="n">
        <v>12.66</v>
      </c>
      <c r="AO323" s="82" t="n">
        <v>-19.61</v>
      </c>
      <c r="AP323" s="82" t="n">
        <v>-11.27</v>
      </c>
      <c r="AQ323" s="82" t="n">
        <v>3.2</v>
      </c>
      <c r="AR323" s="82" t="n">
        <v>-8.1</v>
      </c>
      <c r="AS323" s="82" t="n">
        <v>1.43</v>
      </c>
      <c r="AT323" s="82" t="n">
        <v>17.97</v>
      </c>
      <c r="AU323" s="82" t="n">
        <v>-20.16</v>
      </c>
      <c r="AV323" s="82" t="n">
        <v>-11.85</v>
      </c>
      <c r="AW323" s="82" t="n">
        <v>-3.31</v>
      </c>
      <c r="AX323" s="82" t="n">
        <v>0.16</v>
      </c>
      <c r="AY323" s="82" t="n">
        <v>0.58</v>
      </c>
      <c r="AZ323" s="82" t="n">
        <v>1.27</v>
      </c>
      <c r="BA323" s="71" t="inlineStr">
        <is>
          <t>Hang Seng Commerce &amp; Industry sub-index</t>
        </is>
      </c>
      <c r="BB323" s="82" t="n">
        <v>-31.29</v>
      </c>
      <c r="BC323" s="72" t="inlineStr">
        <is>
          <t>2026-09-23</t>
        </is>
      </c>
      <c r="BD323" s="73" t="n">
        <v>4222</v>
      </c>
      <c r="BE323" s="76" t="n">
        <v>385.2</v>
      </c>
      <c r="BF323" s="71" t="inlineStr">
        <is>
          <t>Y</t>
        </is>
      </c>
      <c r="BG323" s="83" t="n">
        <v>7.8</v>
      </c>
      <c r="BH323" s="83" t="n"/>
      <c r="BI323" s="83" t="n">
        <v>7.4</v>
      </c>
      <c r="BJ323" s="83" t="n">
        <v>0.7</v>
      </c>
      <c r="BK323" s="84">
        <f>IF('BBG Verify'!S323="","not filed; run on terminal",'BBG Verify'!S323)</f>
        <v/>
      </c>
      <c r="BL323" s="85" t="inlineStr">
        <is>
          <t>N</t>
        </is>
      </c>
      <c r="BM323" s="86">
        <f>IF('BBG Verify'!K323="","not filed; run on terminal",'BBG Verify'!K323)</f>
        <v/>
      </c>
      <c r="BN323" s="71" t="inlineStr">
        <is>
          <t>N/A</t>
        </is>
      </c>
      <c r="BO323" s="71" t="inlineStr">
        <is>
          <t>N/A</t>
        </is>
      </c>
      <c r="BP323" s="71" t="inlineStr">
        <is>
          <t>N/A</t>
        </is>
      </c>
      <c r="BQ323" s="71" t="inlineStr">
        <is>
          <t>N/A</t>
        </is>
      </c>
      <c r="BR323" s="71" t="inlineStr">
        <is>
          <t>N/A</t>
        </is>
      </c>
      <c r="BS323" s="71" t="inlineStr">
        <is>
          <t>N/A</t>
        </is>
      </c>
      <c r="BT323" s="85" t="inlineStr">
        <is>
          <t>Citigroup Global Markets Asia Limited; Hong Kong SAR CMB International Capital Limited</t>
        </is>
      </c>
      <c r="BU323" s="71" t="inlineStr">
        <is>
          <t>Citigroup Global Markets Asia Limited; CMB International Capital Corporation Limited</t>
        </is>
      </c>
      <c r="BV323" s="71"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W323" s="71"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X323" s="87">
        <f>HYPERLINK("https://www1.hkexnews.hk/listedco/listconews/sehk/2025/0508/2025050800013.pdf","prospectus")</f>
        <v/>
      </c>
      <c r="BY323" s="87">
        <f>HYPERLINK("https://www1.hkexnews.hk/listedco/listconews/sehk/2025/0515/2025051501489.pdf","allotment")</f>
        <v/>
      </c>
      <c r="BZ323" s="87">
        <f>HYPERLINK("https://www1.hkexnews.hk/listedco/listconews/sehk/2025/0612/2025061201064.pdf","stabilisation")</f>
        <v/>
      </c>
      <c r="CA323" s="85" t="n"/>
      <c r="CB323" s="71" t="inlineStr">
        <is>
          <t>range low: maximum offer price only, no floor published; eff float shares: share count unavailable; the HK$m figure is exact</t>
        </is>
      </c>
    </row>
    <row r="324" ht="15" customHeight="1">
      <c r="A324" s="70" t="inlineStr">
        <is>
          <t>3750</t>
        </is>
      </c>
      <c r="B324" s="71" t="inlineStr">
        <is>
          <t>CATL</t>
        </is>
      </c>
      <c r="C324" s="71" t="inlineStr">
        <is>
          <t>寧德時代</t>
        </is>
      </c>
      <c r="D324" s="71" t="inlineStr">
        <is>
          <t>Industrials</t>
        </is>
      </c>
      <c r="E324" s="71" t="inlineStr">
        <is>
          <t>Batteries / energy storage</t>
        </is>
      </c>
      <c r="F324" s="71" t="inlineStr">
        <is>
          <t>Battery Products</t>
        </is>
      </c>
      <c r="G324" s="71" t="inlineStr">
        <is>
          <t>Standard</t>
        </is>
      </c>
      <c r="H324" s="72" t="n">
        <v>45797</v>
      </c>
      <c r="I324" s="73" t="n">
        <v>35657.2</v>
      </c>
      <c r="J324" s="71" t="inlineStr">
        <is>
          <t>gross (stated)</t>
        </is>
      </c>
      <c r="K324" s="74" t="n"/>
      <c r="L324" s="74" t="n">
        <v>263</v>
      </c>
      <c r="M324" s="74" t="n">
        <v>263</v>
      </c>
      <c r="N324" s="71" t="inlineStr">
        <is>
          <t>Y</t>
        </is>
      </c>
      <c r="O324" s="75" t="n">
        <v>100</v>
      </c>
      <c r="P324" s="75" t="n"/>
      <c r="Q324" s="76" t="n">
        <v>1192548.5</v>
      </c>
      <c r="R324" s="71" t="inlineStr">
        <is>
          <t>derived:deal size / offer % of enlarged capital</t>
        </is>
      </c>
      <c r="S324" s="77" t="n">
        <v>151.15</v>
      </c>
      <c r="T324" s="78" t="n">
        <v>15.17</v>
      </c>
      <c r="U324" s="79" t="n">
        <v>57.5</v>
      </c>
      <c r="V324" s="80" t="n">
        <v>428</v>
      </c>
      <c r="W324" s="75" t="n">
        <v>7.5</v>
      </c>
      <c r="X324" s="71" t="inlineStr">
        <is>
          <t>NA</t>
        </is>
      </c>
      <c r="Y324" s="76" t="n">
        <v>15154.31</v>
      </c>
      <c r="Z324" s="76" t="n">
        <v>57620905</v>
      </c>
      <c r="AA324" s="75" t="n">
        <v>1.27</v>
      </c>
      <c r="AB324" s="71"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AC324" s="71" t="inlineStr">
        <is>
          <t>kuwait;china-international;zenith;abstract;wt;cpe;oaktree;mirae;pacific-asset;lmr;psbc;taikang;hhlr</t>
        </is>
      </c>
      <c r="AD324" s="75" t="n">
        <v>15</v>
      </c>
      <c r="AE324" s="71" t="inlineStr">
        <is>
          <t>full</t>
        </is>
      </c>
      <c r="AF324" s="71" t="n"/>
      <c r="AG324" s="71" t="n"/>
      <c r="AH324" s="71" t="n"/>
      <c r="AI324" s="81" t="n">
        <v>8.289</v>
      </c>
      <c r="AJ324" s="82" t="n">
        <v>16.43</v>
      </c>
      <c r="AK324" s="82" t="n">
        <v>12.55</v>
      </c>
      <c r="AL324" s="82" t="n">
        <v>3.45</v>
      </c>
      <c r="AM324" s="83" t="n">
        <v>2.72</v>
      </c>
      <c r="AN324" s="75" t="n">
        <v>6.89</v>
      </c>
      <c r="AO324" s="82" t="n">
        <v>17.49</v>
      </c>
      <c r="AP324" s="82" t="n">
        <v>16.5</v>
      </c>
      <c r="AQ324" s="82" t="n">
        <v>57.41</v>
      </c>
      <c r="AR324" s="82" t="n">
        <v>0.91</v>
      </c>
      <c r="AS324" s="82" t="n">
        <v>0.06</v>
      </c>
      <c r="AT324" s="82" t="n">
        <v>35.2</v>
      </c>
      <c r="AU324" s="82" t="n">
        <v>17.98</v>
      </c>
      <c r="AV324" s="82" t="n">
        <v>16.86</v>
      </c>
      <c r="AW324" s="82" t="n">
        <v>51.09</v>
      </c>
      <c r="AX324" s="82" t="n">
        <v>2.11</v>
      </c>
      <c r="AY324" s="82" t="n">
        <v>-0.36</v>
      </c>
      <c r="AZ324" s="82" t="n">
        <v>-2.05</v>
      </c>
      <c r="BA324" s="71" t="inlineStr">
        <is>
          <t>Hang Seng Commerce &amp; Industry sub-index</t>
        </is>
      </c>
      <c r="BB324" s="82" t="n">
        <v>94.48999999999999</v>
      </c>
      <c r="BC324" s="72" t="inlineStr">
        <is>
          <t>2026-09-23</t>
        </is>
      </c>
      <c r="BD324" s="73" t="n">
        <v>398213.8</v>
      </c>
      <c r="BE324" s="76" t="n">
        <v>60824.5</v>
      </c>
      <c r="BF324" s="71" t="inlineStr">
        <is>
          <t>Y</t>
        </is>
      </c>
      <c r="BG324" s="83" t="n">
        <v>19.6</v>
      </c>
      <c r="BH324" s="83" t="n">
        <v>22.9</v>
      </c>
      <c r="BI324" s="83" t="n">
        <v>30.1</v>
      </c>
      <c r="BJ324" s="83" t="n">
        <v>3</v>
      </c>
      <c r="BK324" s="84">
        <f>IF('BBG Verify'!S324="","not filed; run on terminal",'BBG Verify'!S324)</f>
        <v/>
      </c>
      <c r="BL324" s="85" t="inlineStr">
        <is>
          <t>Y</t>
        </is>
      </c>
      <c r="BM324" s="71" t="inlineStr">
        <is>
          <t>300750.SZ</t>
        </is>
      </c>
      <c r="BN324" s="82" t="n">
        <v>7.15</v>
      </c>
      <c r="BO324" s="74" t="n">
        <v>281.7992</v>
      </c>
      <c r="BP324" s="89" t="n">
        <v>-0.3095</v>
      </c>
      <c r="BQ324" s="76" t="n">
        <v>1611619.4</v>
      </c>
      <c r="BR324" s="84">
        <f>IF('BBG Verify'!Q324="","run on terminal",'BBG Verify'!Q324)</f>
        <v/>
      </c>
      <c r="BS324" s="84">
        <f>IF('BBG Verify'!R324="","run on terminal",'BBG Verify'!R324)</f>
        <v/>
      </c>
      <c r="BT324" s="85" t="inlineStr">
        <is>
          <t>China International Capital Corporation Hong Kong Securities Limited; China Securities (International) Corporate Finance Company Limited; J.P. Morgan Securities (Far East) Limited; Merrill Lynch (Asia Pacific) Limited</t>
        </is>
      </c>
      <c r="BU324" s="71" t="inlineStr">
        <is>
          <t>China International Capital Corporation Hong Kong Securities Limited; J.P. Morgan Securities (Far East) Limited; Merrill Lynch (Asia Pacific) Limited; China Securities (International) Corporate Finance Company Limited</t>
        </is>
      </c>
      <c r="BV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W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X324" s="87">
        <f>HYPERLINK("https://www1.hkexnews.hk/listedco/listconews/sehk/2025/0512/2025051200005.pdf","prospectus")</f>
        <v/>
      </c>
      <c r="BY324" s="87">
        <f>HYPERLINK("https://www1.hkexnews.hk/listedco/listconews/sehk/2025/0519/2025051901257.pdf","allotment")</f>
        <v/>
      </c>
      <c r="BZ324" s="87">
        <f>HYPERLINK("https://www1.hkexnews.hk/listedco/listconews/sehk/2025/0616/2025061600487.pdf","stabilisation")</f>
        <v/>
      </c>
      <c r="CA324" s="85" t="n"/>
      <c r="CB324" s="71"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t>
        </is>
      </c>
    </row>
    <row r="325" ht="15" customHeight="1">
      <c r="A325" s="70" t="inlineStr">
        <is>
          <t>2629</t>
        </is>
      </c>
      <c r="B325" s="71" t="inlineStr">
        <is>
          <t>MIRXES-B</t>
        </is>
      </c>
      <c r="C325" s="71" t="inlineStr">
        <is>
          <t>MIRXES-B</t>
        </is>
      </c>
      <c r="D325" s="71" t="inlineStr">
        <is>
          <t>Healthcare</t>
        </is>
      </c>
      <c r="E325" s="71" t="inlineStr">
        <is>
          <t>Biotech pre-revenue (18A)</t>
        </is>
      </c>
      <c r="F325" s="71" t="inlineStr">
        <is>
          <t>Biotechnology - Pharmaceuticals</t>
        </is>
      </c>
      <c r="G325" s="71" t="inlineStr">
        <is>
          <t>18A</t>
        </is>
      </c>
      <c r="H325" s="72" t="n">
        <v>45800</v>
      </c>
      <c r="I325" s="73" t="n">
        <v>1086.2</v>
      </c>
      <c r="J325" s="71" t="inlineStr">
        <is>
          <t>gross (stated)</t>
        </is>
      </c>
      <c r="K325" s="74" t="n"/>
      <c r="L325" s="74" t="n">
        <v>23.3</v>
      </c>
      <c r="M325" s="74" t="n">
        <v>23.3</v>
      </c>
      <c r="N325" s="71" t="inlineStr">
        <is>
          <t>Y</t>
        </is>
      </c>
      <c r="O325" s="75" t="n">
        <v>100</v>
      </c>
      <c r="P325" s="75" t="n"/>
      <c r="Q325" s="76" t="n">
        <v>6438.8</v>
      </c>
      <c r="R325" s="71" t="inlineStr">
        <is>
          <t>derived:price x shares upon listing</t>
        </is>
      </c>
      <c r="S325" s="77" t="n">
        <v>25.51</v>
      </c>
      <c r="T325" s="88">
        <f>IF('BBG Verify'!E325="","not filed; run on terminal",'BBG Verify'!E325)</f>
        <v/>
      </c>
      <c r="U325" s="79" t="n">
        <v>41.37</v>
      </c>
      <c r="V325" s="80" t="n">
        <v>116</v>
      </c>
      <c r="W325" s="75" t="n">
        <v>12.6</v>
      </c>
      <c r="X325" s="71" t="inlineStr">
        <is>
          <t>NO</t>
        </is>
      </c>
      <c r="Y325" s="76" t="n">
        <v>636.84</v>
      </c>
      <c r="Z325" s="76" t="n">
        <v>27333306</v>
      </c>
      <c r="AA325" s="75" t="n">
        <v>9.890000000000001</v>
      </c>
      <c r="AB325" s="71" t="inlineStr">
        <is>
          <t>Fund SPC; EDB Investments Pte Ltd; III, L.P.; Creation Pte. Ltd.; NHH Venture Fund, L.P; 源九號有限合夥基金; SDG Alpha Win PE LPF; Holdings Company Limited; Blue Spark Hub Pte. Ltd; BPC SPV MRX LIMITED; Accurate Gene Limited; Technologies Pte. Ltd.</t>
        </is>
      </c>
      <c r="AC325" s="71" t="inlineStr">
        <is>
          <t>fund-spc;edb;iii;creation;nhh;源九號有限合夥基金;sdg;holdings-company;blue;bpc;accurate;technologies</t>
        </is>
      </c>
      <c r="AD325" s="75" t="n"/>
      <c r="AE325" s="71" t="n"/>
      <c r="AF325" s="71" t="n"/>
      <c r="AG325" s="71" t="n"/>
      <c r="AH325" s="71" t="n"/>
      <c r="AI325" s="81" t="n">
        <v>33.906</v>
      </c>
      <c r="AJ325" s="82" t="n">
        <v>28.76</v>
      </c>
      <c r="AK325" s="82" t="n">
        <v>28.33</v>
      </c>
      <c r="AL325" s="82" t="n">
        <v>0.34</v>
      </c>
      <c r="AM325" s="83" t="n">
        <v>1.56</v>
      </c>
      <c r="AN325" s="75" t="n">
        <v>10.17</v>
      </c>
      <c r="AO325" s="82" t="n">
        <v>25.32</v>
      </c>
      <c r="AP325" s="82" t="n">
        <v>44.42</v>
      </c>
      <c r="AQ325" s="82" t="n">
        <v>87.55</v>
      </c>
      <c r="AR325" s="82" t="n">
        <v>-2.67</v>
      </c>
      <c r="AS325" s="82" t="n">
        <v>12.16</v>
      </c>
      <c r="AT325" s="82" t="n">
        <v>45.66</v>
      </c>
      <c r="AU325" s="82" t="n">
        <v>22.29</v>
      </c>
      <c r="AV325" s="82" t="n">
        <v>35.69</v>
      </c>
      <c r="AW325" s="82" t="n">
        <v>50.43</v>
      </c>
      <c r="AX325" s="82" t="n">
        <v>3.28</v>
      </c>
      <c r="AY325" s="82" t="n">
        <v>8.73</v>
      </c>
      <c r="AZ325" s="82" t="n">
        <v>8.880000000000001</v>
      </c>
      <c r="BA325" s="71" t="inlineStr">
        <is>
          <t>China Biotech ETF (HS biotech proxy)</t>
        </is>
      </c>
      <c r="BB325" s="82" t="n">
        <v>-46.74</v>
      </c>
      <c r="BC325" s="72" t="inlineStr">
        <is>
          <t>2026-09-18</t>
        </is>
      </c>
      <c r="BD325" s="73" t="n">
        <v>158.2</v>
      </c>
      <c r="BE325" s="76" t="n">
        <v>-720.2</v>
      </c>
      <c r="BF325" s="71" t="inlineStr">
        <is>
          <t>N</t>
        </is>
      </c>
      <c r="BG325" s="71" t="inlineStr">
        <is>
          <t>n/m</t>
        </is>
      </c>
      <c r="BH325" s="83" t="n"/>
      <c r="BI325" s="83" t="n"/>
      <c r="BJ325" s="83" t="n">
        <v>40.7</v>
      </c>
      <c r="BK325" s="84">
        <f>IF('BBG Verify'!S325="","not filed; run on terminal",'BBG Verify'!S325)</f>
        <v/>
      </c>
      <c r="BL325" s="85" t="inlineStr">
        <is>
          <t>N</t>
        </is>
      </c>
      <c r="BM325" s="86">
        <f>IF('BBG Verify'!K325="","not filed; run on terminal",'BBG Verify'!K325)</f>
        <v/>
      </c>
      <c r="BN325" s="71" t="inlineStr">
        <is>
          <t>N/A</t>
        </is>
      </c>
      <c r="BO325" s="71" t="inlineStr">
        <is>
          <t>N/A</t>
        </is>
      </c>
      <c r="BP325" s="71" t="inlineStr">
        <is>
          <t>N/A</t>
        </is>
      </c>
      <c r="BQ325" s="71" t="inlineStr">
        <is>
          <t>N/A</t>
        </is>
      </c>
      <c r="BR325" s="71" t="inlineStr">
        <is>
          <t>N/A</t>
        </is>
      </c>
      <c r="BS325" s="71" t="inlineStr">
        <is>
          <t>N/A</t>
        </is>
      </c>
      <c r="BT325" s="85" t="inlineStr">
        <is>
          <t>China International Capital Corporation Hong Kong Securities Limited; CCB International Capital Limited</t>
        </is>
      </c>
      <c r="BU325" s="71" t="inlineStr">
        <is>
          <t>China International Capital Corporation Hong Kong Securities Limited; CCB International Capital Limited</t>
        </is>
      </c>
      <c r="BV325" s="71" t="inlineStr">
        <is>
          <t>CMB International Capital Limited; Livermore Holdings Limited; BOCOM International Securities Limited; Platinum Broking Company Limited</t>
        </is>
      </c>
      <c r="BW325" s="71"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X325" s="87">
        <f>HYPERLINK("https://www1.hkexnews.hk/listedco/listconews/sehk/2025/0515/2025051500021.pdf","prospectus")</f>
        <v/>
      </c>
      <c r="BY325" s="87">
        <f>HYPERLINK("https://www1.hkexnews.hk/listedco/listconews/sehk/2025/0522/2025052201535.pdf","allotment")</f>
        <v/>
      </c>
      <c r="BZ325" s="71" t="n"/>
      <c r="CA325" s="85" t="n"/>
      <c r="CB325" s="71"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t>
        </is>
      </c>
    </row>
    <row r="326" ht="15" customHeight="1">
      <c r="A326" s="70" t="inlineStr">
        <is>
          <t>1276</t>
        </is>
      </c>
      <c r="B326" s="71" t="inlineStr">
        <is>
          <t>HENGRUI PHARMA</t>
        </is>
      </c>
      <c r="C326" s="71" t="inlineStr">
        <is>
          <t>恒瑞醫藥</t>
        </is>
      </c>
      <c r="D326" s="71" t="inlineStr">
        <is>
          <t>Healthcare</t>
        </is>
      </c>
      <c r="E326" s="71" t="inlineStr">
        <is>
          <t>Biopharma commercial</t>
        </is>
      </c>
      <c r="F326" s="71" t="inlineStr">
        <is>
          <t>Pharmaceuticals</t>
        </is>
      </c>
      <c r="G326" s="71" t="inlineStr">
        <is>
          <t>Standard</t>
        </is>
      </c>
      <c r="H326" s="72" t="n">
        <v>45800</v>
      </c>
      <c r="I326" s="73" t="n">
        <v>9890.1</v>
      </c>
      <c r="J326" s="71" t="inlineStr">
        <is>
          <t>gross (stated)</t>
        </is>
      </c>
      <c r="K326" s="74" t="n">
        <v>41.45</v>
      </c>
      <c r="L326" s="74" t="n">
        <v>44.05</v>
      </c>
      <c r="M326" s="74" t="n">
        <v>44.05</v>
      </c>
      <c r="N326" s="71" t="inlineStr">
        <is>
          <t>Y</t>
        </is>
      </c>
      <c r="O326" s="75" t="n">
        <v>100</v>
      </c>
      <c r="P326" s="75" t="n">
        <v>100</v>
      </c>
      <c r="Q326" s="76" t="n">
        <v>351900</v>
      </c>
      <c r="R326" s="71" t="inlineStr">
        <is>
          <t>prospectus:stated market capitalisation</t>
        </is>
      </c>
      <c r="S326" s="77" t="n">
        <v>454.85</v>
      </c>
      <c r="T326" s="78" t="n">
        <v>17.09</v>
      </c>
      <c r="U326" s="79" t="n">
        <v>42</v>
      </c>
      <c r="V326" s="80" t="n">
        <v>204</v>
      </c>
      <c r="W326" s="75" t="n">
        <v>21.5</v>
      </c>
      <c r="X326" s="71" t="inlineStr">
        <is>
          <t>YES</t>
        </is>
      </c>
      <c r="Y326" s="76" t="n">
        <v>5736.26</v>
      </c>
      <c r="Z326" s="76" t="n">
        <v>130221484</v>
      </c>
      <c r="AA326" s="75" t="n">
        <v>1.63</v>
      </c>
      <c r="AB326" s="71" t="inlineStr">
        <is>
          <t>GIC Private Limited; Invesco Advisers, Inc; HHLR CF, L.P; Strategies (Asia) Pte. Ltd; Oaktree Capital Management, L.P; Cordial Solar; UBS AM Singapore</t>
        </is>
      </c>
      <c r="AC326" s="71" t="inlineStr">
        <is>
          <t>gic;invesco;hhlr;strategies;oaktree;cordial;ubs</t>
        </is>
      </c>
      <c r="AD326" s="75" t="n">
        <v>15</v>
      </c>
      <c r="AE326" s="71" t="inlineStr">
        <is>
          <t>full</t>
        </is>
      </c>
      <c r="AF326" s="71" t="inlineStr">
        <is>
          <t>2025-06-19</t>
        </is>
      </c>
      <c r="AG326" s="71" t="inlineStr">
        <is>
          <t>Morgan Stanley Asia Limited</t>
        </is>
      </c>
      <c r="AH326" s="71" t="inlineStr">
        <is>
          <t>Morgan Stanley</t>
        </is>
      </c>
      <c r="AI326" s="81" t="n">
        <v>32.236</v>
      </c>
      <c r="AJ326" s="82" t="n">
        <v>25.2</v>
      </c>
      <c r="AK326" s="82" t="n">
        <v>30.76</v>
      </c>
      <c r="AL326" s="82" t="n">
        <v>-4.25</v>
      </c>
      <c r="AM326" s="83" t="n">
        <v>1.71</v>
      </c>
      <c r="AN326" s="75" t="n">
        <v>9.390000000000001</v>
      </c>
      <c r="AO326" s="82" t="n">
        <v>31.67</v>
      </c>
      <c r="AP326" s="82" t="n">
        <v>26.79</v>
      </c>
      <c r="AQ326" s="82" t="n">
        <v>76.5</v>
      </c>
      <c r="AR326" s="82" t="n">
        <v>5.17</v>
      </c>
      <c r="AS326" s="82" t="n">
        <v>1.27</v>
      </c>
      <c r="AT326" s="82" t="n">
        <v>40.97</v>
      </c>
      <c r="AU326" s="82" t="n">
        <v>28.64</v>
      </c>
      <c r="AV326" s="82" t="n">
        <v>18.06</v>
      </c>
      <c r="AW326" s="82" t="n">
        <v>39.38</v>
      </c>
      <c r="AX326" s="82" t="n">
        <v>-7.61</v>
      </c>
      <c r="AY326" s="82" t="n">
        <v>8.73</v>
      </c>
      <c r="AZ326" s="82" t="n">
        <v>8.880000000000001</v>
      </c>
      <c r="BA326" s="71" t="inlineStr">
        <is>
          <t>China Biotech ETF (HS biotech proxy)</t>
        </is>
      </c>
      <c r="BB326" s="82" t="n">
        <v>7.2</v>
      </c>
      <c r="BC326" s="72" t="inlineStr">
        <is>
          <t>2026-09-23</t>
        </is>
      </c>
      <c r="BD326" s="73" t="n">
        <v>30783.1</v>
      </c>
      <c r="BE326" s="76" t="n">
        <v>6970.7</v>
      </c>
      <c r="BF326" s="71" t="inlineStr">
        <is>
          <t>Y</t>
        </is>
      </c>
      <c r="BG326" s="83" t="n">
        <v>50.5</v>
      </c>
      <c r="BH326" s="83" t="n">
        <v>46.8</v>
      </c>
      <c r="BI326" s="83" t="n">
        <v>37.5</v>
      </c>
      <c r="BJ326" s="83" t="n">
        <v>11.4</v>
      </c>
      <c r="BK326" s="84">
        <f>IF('BBG Verify'!S326="","not filed; run on terminal",'BBG Verify'!S326)</f>
        <v/>
      </c>
      <c r="BL326" s="85" t="inlineStr">
        <is>
          <t>Y</t>
        </is>
      </c>
      <c r="BM326" s="71" t="inlineStr">
        <is>
          <t>600276.SS</t>
        </is>
      </c>
      <c r="BN326" s="82" t="n">
        <v>37.18</v>
      </c>
      <c r="BO326" s="74" t="n">
        <v>60.4275</v>
      </c>
      <c r="BP326" s="89" t="n">
        <v>0.0917</v>
      </c>
      <c r="BQ326" s="76" t="n">
        <v>358231.4</v>
      </c>
      <c r="BR326" s="84">
        <f>IF('BBG Verify'!Q326="","run on terminal",'BBG Verify'!Q326)</f>
        <v/>
      </c>
      <c r="BS326" s="84">
        <f>IF('BBG Verify'!R326="","run on terminal",'BBG Verify'!R326)</f>
        <v/>
      </c>
      <c r="BT326" s="85" t="inlineStr">
        <is>
          <t>Morgan Stanley Asia Limited; Citigroup Global Markets Asia Limited; Huatai Financial Holdings (Hong Kong) Limited</t>
        </is>
      </c>
      <c r="BU326" s="71" t="inlineStr">
        <is>
          <t>Morgan Stanley Asia Limited; Huatai Financial Holdings (Hong Kong) Limited; Citigroup Global Markets Asia Limited</t>
        </is>
      </c>
      <c r="BV326" s="71"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W326" s="71" t="inlineStr">
        <is>
          <t>BOCI Asia Limited; Citigroup Global Markets Asia Limited; CLSA Limited; GF Securities (Hong Kong) Brokerage Limited; Huatai Financial Holdings (Hong Kong) Limited; Morgan Stanley Asia Limited; UBS AG Hong Kong Branch</t>
        </is>
      </c>
      <c r="BX326" s="87">
        <f>HYPERLINK("https://www1.hkexnews.hk/listedco/listconews/sehk/2025/0515/2025051500019.pdf","prospectus")</f>
        <v/>
      </c>
      <c r="BY326" s="87">
        <f>HYPERLINK("https://www1.hkexnews.hk/listedco/listconews/sehk/2025/0522/2025052201651.pdf","allotment")</f>
        <v/>
      </c>
      <c r="BZ326" s="87">
        <f>HYPERLINK("https://www1.hkexnews.hk/listedco/listconews/sehk/2025/0619/2025061900409.pdf","stabilisation")</f>
        <v/>
      </c>
      <c r="CA326" s="85" t="n"/>
      <c r="CB326" s="71" t="inlineStr">
        <is>
          <t>A/H: May 2025, raised ~HK$9.9bn (~US$1.3bn)</t>
        </is>
      </c>
    </row>
    <row r="327" ht="15" customHeight="1">
      <c r="A327" s="70" t="inlineStr">
        <is>
          <t>2565</t>
        </is>
      </c>
      <c r="B327" s="71" t="inlineStr">
        <is>
          <t>PEGBIO CO-B</t>
        </is>
      </c>
      <c r="C327" s="71" t="inlineStr">
        <is>
          <t>派格生物醫藥－Ｂ</t>
        </is>
      </c>
      <c r="D327" s="71" t="inlineStr">
        <is>
          <t>Healthcare</t>
        </is>
      </c>
      <c r="E327" s="71" t="inlineStr">
        <is>
          <t>Biotech pre-revenue (18A)</t>
        </is>
      </c>
      <c r="F327" s="71" t="inlineStr">
        <is>
          <t>Biotechnology - Pharmaceuticals</t>
        </is>
      </c>
      <c r="G327" s="71" t="inlineStr">
        <is>
          <t>18A</t>
        </is>
      </c>
      <c r="H327" s="72" t="n">
        <v>45804</v>
      </c>
      <c r="I327" s="73" t="n">
        <v>300.8</v>
      </c>
      <c r="J327" s="71" t="inlineStr">
        <is>
          <t>gross (stated)</t>
        </is>
      </c>
      <c r="K327" s="74" t="n"/>
      <c r="L327" s="74" t="n">
        <v>15.6</v>
      </c>
      <c r="M327" s="74" t="n">
        <v>15.6</v>
      </c>
      <c r="N327" s="71" t="inlineStr">
        <is>
          <t>Y</t>
        </is>
      </c>
      <c r="O327" s="75" t="n">
        <v>100</v>
      </c>
      <c r="P327" s="75" t="n"/>
      <c r="Q327" s="76" t="n">
        <v>6020.9</v>
      </c>
      <c r="R327" s="71" t="inlineStr">
        <is>
          <t>derived:price x shares upon listing</t>
        </is>
      </c>
      <c r="S327" s="77" t="n">
        <v>743.78</v>
      </c>
      <c r="T327" s="78" t="n">
        <v>1.13</v>
      </c>
      <c r="U327" s="79" t="n">
        <v>100</v>
      </c>
      <c r="V327" s="80" t="n">
        <v>115</v>
      </c>
      <c r="W327" s="75" t="n">
        <v>50</v>
      </c>
      <c r="X327" s="71" t="inlineStr">
        <is>
          <t>YES</t>
        </is>
      </c>
      <c r="Y327" s="76" t="n">
        <v>0</v>
      </c>
      <c r="Z327" s="76" t="n">
        <v>0</v>
      </c>
      <c r="AA327" s="75" t="n">
        <v>0</v>
      </c>
      <c r="AB327" s="71" t="inlineStr">
        <is>
          <t>Yizekangrui; Unlisted Shares in issue; H Share to be converted from Unlisted Shares; H Shares to be issued under the Global Offering</t>
        </is>
      </c>
      <c r="AC327" s="71" t="inlineStr">
        <is>
          <t>yizekangrui;unlisted;share;shares</t>
        </is>
      </c>
      <c r="AD327" s="75" t="n"/>
      <c r="AE327" s="71" t="n"/>
      <c r="AF327" s="71" t="n"/>
      <c r="AG327" s="71" t="n"/>
      <c r="AH327" s="71" t="n"/>
      <c r="AI327" s="81" t="n">
        <v>-4.872</v>
      </c>
      <c r="AJ327" s="82" t="n">
        <v>-25.9</v>
      </c>
      <c r="AK327" s="82" t="n">
        <v>-16.67</v>
      </c>
      <c r="AL327" s="82" t="n">
        <v>-11.08</v>
      </c>
      <c r="AM327" s="83" t="n">
        <v>1.17</v>
      </c>
      <c r="AN327" s="75" t="n">
        <v>17.54</v>
      </c>
      <c r="AO327" s="82" t="n">
        <v>-37.82</v>
      </c>
      <c r="AP327" s="82" t="n">
        <v>-42.31</v>
      </c>
      <c r="AQ327" s="82" t="n">
        <v>117.95</v>
      </c>
      <c r="AR327" s="82" t="n">
        <v>-16.09</v>
      </c>
      <c r="AS327" s="82" t="n">
        <v>-22.15</v>
      </c>
      <c r="AT327" s="82" t="n">
        <v>194.13</v>
      </c>
      <c r="AU327" s="82" t="n">
        <v>-43.89</v>
      </c>
      <c r="AV327" s="82" t="n">
        <v>-55.86</v>
      </c>
      <c r="AW327" s="82" t="n">
        <v>74.34</v>
      </c>
      <c r="AX327" s="82" t="n">
        <v>-33.19</v>
      </c>
      <c r="AY327" s="82" t="n">
        <v>13.55</v>
      </c>
      <c r="AZ327" s="82" t="n">
        <v>11.04</v>
      </c>
      <c r="BA327" s="71" t="inlineStr">
        <is>
          <t>China Biotech ETF (HS biotech proxy)</t>
        </is>
      </c>
      <c r="BB327" s="82" t="n">
        <v>-64.17</v>
      </c>
      <c r="BC327" s="72" t="inlineStr">
        <is>
          <t>2026-09-23</t>
        </is>
      </c>
      <c r="BD327" s="73" t="n">
        <v>0</v>
      </c>
      <c r="BE327" s="76" t="n">
        <v>-311.7</v>
      </c>
      <c r="BF327" s="71" t="inlineStr">
        <is>
          <t>N</t>
        </is>
      </c>
      <c r="BG327" s="71" t="inlineStr">
        <is>
          <t>n/m</t>
        </is>
      </c>
      <c r="BH327" s="83" t="n"/>
      <c r="BI327" s="83" t="n"/>
      <c r="BJ327" s="71" t="inlineStr">
        <is>
          <t>pre-rev</t>
        </is>
      </c>
      <c r="BK327" s="84">
        <f>IF('BBG Verify'!S327="","not filed; run on terminal",'BBG Verify'!S327)</f>
        <v/>
      </c>
      <c r="BL327" s="85" t="inlineStr">
        <is>
          <t>N</t>
        </is>
      </c>
      <c r="BM327" s="86">
        <f>IF('BBG Verify'!K327="","not filed; run on terminal",'BBG Verify'!K327)</f>
        <v/>
      </c>
      <c r="BN327" s="71" t="inlineStr">
        <is>
          <t>N/A</t>
        </is>
      </c>
      <c r="BO327" s="71" t="inlineStr">
        <is>
          <t>N/A</t>
        </is>
      </c>
      <c r="BP327" s="71" t="inlineStr">
        <is>
          <t>N/A</t>
        </is>
      </c>
      <c r="BQ327" s="71" t="inlineStr">
        <is>
          <t>N/A</t>
        </is>
      </c>
      <c r="BR327" s="71" t="inlineStr">
        <is>
          <t>N/A</t>
        </is>
      </c>
      <c r="BS327" s="71" t="inlineStr">
        <is>
          <t>N/A</t>
        </is>
      </c>
      <c r="BT327" s="85" t="inlineStr">
        <is>
          <t>China International Capital Corporation Hong Kong Securities Limited</t>
        </is>
      </c>
      <c r="BU327" s="71" t="inlineStr">
        <is>
          <t>China International Capital Corporation Hong Kong Securities Limited</t>
        </is>
      </c>
      <c r="BV327" s="71"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W327" s="71"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X327" s="87">
        <f>HYPERLINK("https://www1.hkexnews.hk/listedco/listconews/sehk/2025/0519/2025051900013.pdf","prospectus")</f>
        <v/>
      </c>
      <c r="BY327" s="87">
        <f>HYPERLINK("https://www1.hkexnews.hk/listedco/listconews/sehk/2025/0526/2025052601319.pdf","allotment")</f>
        <v/>
      </c>
      <c r="BZ327" s="71" t="n"/>
      <c r="CA327" s="85" t="n"/>
      <c r="CB327" s="71" t="inlineStr">
        <is>
          <t>P/E: loss-making at IPO, use P/S; greenshoe: no over-allotment option; range low: maximum offer price only, no floor published; greenshoe size: no over-allotment option; P/S: pre-revenue issuer, no sales multiple; stabilising manager: no over-allotment option, so none appointed</t>
        </is>
      </c>
    </row>
    <row r="328" ht="15" customHeight="1">
      <c r="A328" s="70" t="inlineStr">
        <is>
          <t>2603</t>
        </is>
      </c>
      <c r="B328" s="71" t="inlineStr">
        <is>
          <t>JIHONG CO</t>
        </is>
      </c>
      <c r="C328" s="71" t="inlineStr">
        <is>
          <t>吉宏股份</t>
        </is>
      </c>
      <c r="D328" s="71" t="inlineStr">
        <is>
          <t>Tech/AI</t>
        </is>
      </c>
      <c r="E328" s="71" t="inlineStr">
        <is>
          <t>Internet platform / e-commerce</t>
        </is>
      </c>
      <c r="F328" s="71" t="inlineStr">
        <is>
          <t>Paper Packaging</t>
        </is>
      </c>
      <c r="G328" s="71" t="inlineStr">
        <is>
          <t>Standard</t>
        </is>
      </c>
      <c r="H328" s="72" t="n">
        <v>45804</v>
      </c>
      <c r="I328" s="73" t="n">
        <v>521.5</v>
      </c>
      <c r="J328" s="71" t="inlineStr">
        <is>
          <t>gross (stated)</t>
        </is>
      </c>
      <c r="K328" s="74" t="n">
        <v>7.48</v>
      </c>
      <c r="L328" s="74" t="n">
        <v>10.68</v>
      </c>
      <c r="M328" s="74" t="n">
        <v>7.68</v>
      </c>
      <c r="N328" s="71" t="inlineStr">
        <is>
          <t>N</t>
        </is>
      </c>
      <c r="O328" s="75" t="n">
        <v>71.90000000000001</v>
      </c>
      <c r="P328" s="75" t="n">
        <v>6.2</v>
      </c>
      <c r="Q328" s="76" t="n">
        <v>3476.6</v>
      </c>
      <c r="R328" s="71" t="inlineStr">
        <is>
          <t>derived:price x shares upon listing</t>
        </is>
      </c>
      <c r="S328" s="77" t="n">
        <v>49.39</v>
      </c>
      <c r="T328" s="78" t="n">
        <v>1.62</v>
      </c>
      <c r="U328" s="79" t="n">
        <v>30.6</v>
      </c>
      <c r="V328" s="80" t="n">
        <v>132</v>
      </c>
      <c r="W328" s="75" t="n">
        <v>30</v>
      </c>
      <c r="X328" s="71" t="inlineStr">
        <is>
          <t>YES</t>
        </is>
      </c>
      <c r="Y328" s="76" t="n">
        <v>361.92</v>
      </c>
      <c r="Z328" s="76" t="n">
        <v>47129540</v>
      </c>
      <c r="AA328" s="75" t="n">
        <v>10.41</v>
      </c>
      <c r="AB328" s="71" t="n"/>
      <c r="AC328" s="71" t="n"/>
      <c r="AD328" s="75" t="n"/>
      <c r="AE328" s="71" t="n"/>
      <c r="AF328" s="71" t="n"/>
      <c r="AG328" s="71" t="n"/>
      <c r="AH328" s="71" t="n"/>
      <c r="AI328" s="81" t="n">
        <v>23.828</v>
      </c>
      <c r="AJ328" s="82" t="n">
        <v>39.06</v>
      </c>
      <c r="AK328" s="82" t="n">
        <v>43.23</v>
      </c>
      <c r="AL328" s="82" t="n">
        <v>-2.91</v>
      </c>
      <c r="AM328" s="83" t="n">
        <v>2.78</v>
      </c>
      <c r="AN328" s="75" t="n">
        <v>20.55</v>
      </c>
      <c r="AO328" s="82" t="n">
        <v>30.21</v>
      </c>
      <c r="AP328" s="82" t="n">
        <v>45.31</v>
      </c>
      <c r="AQ328" s="82" t="n">
        <v>138.67</v>
      </c>
      <c r="AR328" s="82" t="n">
        <v>-6.36</v>
      </c>
      <c r="AS328" s="82" t="n">
        <v>4.49</v>
      </c>
      <c r="AT328" s="82" t="n">
        <v>71.63</v>
      </c>
      <c r="AU328" s="82" t="n">
        <v>29.32</v>
      </c>
      <c r="AV328" s="82" t="n">
        <v>41.25</v>
      </c>
      <c r="AW328" s="82" t="n">
        <v>125.6</v>
      </c>
      <c r="AX328" s="82" t="n">
        <v>1.35</v>
      </c>
      <c r="AY328" s="82" t="n">
        <v>4.06</v>
      </c>
      <c r="AZ328" s="82" t="n">
        <v>3.14</v>
      </c>
      <c r="BA328" s="71" t="inlineStr">
        <is>
          <t>HSTECH (Hang Seng TECH ETF)</t>
        </is>
      </c>
      <c r="BB328" s="82" t="n">
        <v>57.81</v>
      </c>
      <c r="BC328" s="72" t="inlineStr">
        <is>
          <t>2026-09-23</t>
        </is>
      </c>
      <c r="BD328" s="73" t="n">
        <v>5913.5</v>
      </c>
      <c r="BE328" s="76" t="n">
        <v>202.9</v>
      </c>
      <c r="BF328" s="71" t="inlineStr">
        <is>
          <t>Y</t>
        </is>
      </c>
      <c r="BG328" s="83" t="n">
        <v>17.1</v>
      </c>
      <c r="BH328" s="83" t="n">
        <v>18.6</v>
      </c>
      <c r="BI328" s="83" t="n">
        <v>15.1</v>
      </c>
      <c r="BJ328" s="83" t="n">
        <v>0.6</v>
      </c>
      <c r="BK328" s="84">
        <f>IF('BBG Verify'!S328="","not filed; run on terminal",'BBG Verify'!S328)</f>
        <v/>
      </c>
      <c r="BL328" s="85" t="inlineStr">
        <is>
          <t>Y</t>
        </is>
      </c>
      <c r="BM328" s="71" t="inlineStr">
        <is>
          <t>002803.SZ</t>
        </is>
      </c>
      <c r="BN328" s="82" t="n">
        <v>105.18</v>
      </c>
      <c r="BO328" s="74" t="n">
        <v>15.7576</v>
      </c>
      <c r="BP328" s="89" t="n">
        <v>0.9099</v>
      </c>
      <c r="BQ328" s="76" t="n">
        <v>11301</v>
      </c>
      <c r="BR328" s="84">
        <f>IF('BBG Verify'!Q328="","run on terminal",'BBG Verify'!Q328)</f>
        <v/>
      </c>
      <c r="BS328" s="84">
        <f>IF('BBG Verify'!R328="","run on terminal",'BBG Verify'!R328)</f>
        <v/>
      </c>
      <c r="BT328" s="85" t="inlineStr">
        <is>
          <t>Hong Kong SAR CMB International Capital Limited</t>
        </is>
      </c>
      <c r="BU328" s="71" t="inlineStr">
        <is>
          <t>China International Capital Corporation Hong Kong Securities Limited; CMB International Capital Limited</t>
        </is>
      </c>
      <c r="BV328" s="71"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W328" s="71"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X328" s="87">
        <f>HYPERLINK("https://www1.hkexnews.hk/listedco/listconews/sehk/2025/0519/2025051900011.pdf","prospectus")</f>
        <v/>
      </c>
      <c r="BY328" s="87">
        <f>HYPERLINK("https://www1.hkexnews.hk/listedco/listconews/sehk/2025/0526/2025052601653.pdf","allotment")</f>
        <v/>
      </c>
      <c r="BZ328" s="71" t="n"/>
      <c r="CA328" s="85" t="n"/>
      <c r="CB328" s="71"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t>
        </is>
      </c>
    </row>
    <row r="329" ht="15" customHeight="1">
      <c r="A329" s="70" t="inlineStr">
        <is>
          <t>2621</t>
        </is>
      </c>
      <c r="B329" s="71" t="inlineStr">
        <is>
          <t>SHOUHUI GROUP</t>
        </is>
      </c>
      <c r="C329" s="71" t="inlineStr">
        <is>
          <t>手回集團</t>
        </is>
      </c>
      <c r="D329" s="71" t="inlineStr">
        <is>
          <t>Financials</t>
        </is>
      </c>
      <c r="E329" s="71" t="inlineStr">
        <is>
          <t>Insurance</t>
        </is>
      </c>
      <c r="F329" s="71" t="inlineStr">
        <is>
          <t>Multi-line Insurance</t>
        </is>
      </c>
      <c r="G329" s="71" t="inlineStr">
        <is>
          <t>Standard</t>
        </is>
      </c>
      <c r="H329" s="72" t="n">
        <v>45807</v>
      </c>
      <c r="I329" s="73" t="n">
        <v>196.82</v>
      </c>
      <c r="J329" s="71" t="inlineStr">
        <is>
          <t>gross (stated)</t>
        </is>
      </c>
      <c r="K329" s="74" t="n">
        <v>6.48</v>
      </c>
      <c r="L329" s="74" t="n">
        <v>8.08</v>
      </c>
      <c r="M329" s="74" t="n">
        <v>8.08</v>
      </c>
      <c r="N329" s="71" t="inlineStr">
        <is>
          <t>Y</t>
        </is>
      </c>
      <c r="O329" s="75" t="n">
        <v>100</v>
      </c>
      <c r="P329" s="75" t="n">
        <v>100</v>
      </c>
      <c r="Q329" s="76" t="n">
        <v>1615.9</v>
      </c>
      <c r="R329" s="71" t="inlineStr">
        <is>
          <t>derived:deal size / offer % of enlarged capital</t>
        </is>
      </c>
      <c r="S329" s="77" t="n">
        <v>990</v>
      </c>
      <c r="T329" s="78" t="n">
        <v>1.13</v>
      </c>
      <c r="U329" s="79" t="n">
        <v>31.08</v>
      </c>
      <c r="V329" s="80" t="n"/>
      <c r="W329" s="75" t="n">
        <v>50</v>
      </c>
      <c r="X329" s="71" t="inlineStr">
        <is>
          <t>YES</t>
        </is>
      </c>
      <c r="Y329" s="76" t="n">
        <v>135.65</v>
      </c>
      <c r="Z329" s="76" t="n">
        <v>16787809</v>
      </c>
      <c r="AA329" s="75" t="n">
        <v>8.390000000000001</v>
      </c>
      <c r="AB329" s="71" t="inlineStr">
        <is>
          <t>HiTai</t>
        </is>
      </c>
      <c r="AC329" s="71" t="inlineStr">
        <is>
          <t>hitai</t>
        </is>
      </c>
      <c r="AD329" s="75" t="n">
        <v>10</v>
      </c>
      <c r="AE329" s="71" t="inlineStr">
        <is>
          <t>lapsed</t>
        </is>
      </c>
      <c r="AF329" s="71" t="n"/>
      <c r="AG329" s="71" t="inlineStr">
        <is>
          <t>China International Capital Corporation Hong Kong Securities Limited</t>
        </is>
      </c>
      <c r="AH329" s="71" t="inlineStr">
        <is>
          <t>China International</t>
        </is>
      </c>
      <c r="AI329" s="81" t="n">
        <v>-1.609</v>
      </c>
      <c r="AJ329" s="82" t="n">
        <v>-18.19</v>
      </c>
      <c r="AK329" s="82" t="n">
        <v>-7.18</v>
      </c>
      <c r="AL329" s="82" t="n">
        <v>-11.86</v>
      </c>
      <c r="AM329" s="83" t="n">
        <v>1.75</v>
      </c>
      <c r="AN329" s="75" t="n">
        <v>11.87</v>
      </c>
      <c r="AO329" s="82" t="n">
        <v>-33.04</v>
      </c>
      <c r="AP329" s="82" t="n">
        <v>-39.48</v>
      </c>
      <c r="AQ329" s="82" t="n">
        <v>-41.83</v>
      </c>
      <c r="AR329" s="82" t="n">
        <v>-18.15</v>
      </c>
      <c r="AS329" s="82" t="n">
        <v>-26.02</v>
      </c>
      <c r="AT329" s="82" t="n">
        <v>-28.9</v>
      </c>
      <c r="AU329" s="82" t="n">
        <v>-34.76</v>
      </c>
      <c r="AV329" s="82" t="n">
        <v>-46.16</v>
      </c>
      <c r="AW329" s="82" t="n">
        <v>-50.43</v>
      </c>
      <c r="AX329" s="82" t="n">
        <v>-32.84</v>
      </c>
      <c r="AY329" s="82" t="n">
        <v>6.68</v>
      </c>
      <c r="AZ329" s="82" t="n">
        <v>6.82</v>
      </c>
      <c r="BA329" s="71" t="inlineStr">
        <is>
          <t>Hang Seng Finance sub-index</t>
        </is>
      </c>
      <c r="BB329" s="82" t="n">
        <v>-64.23</v>
      </c>
      <c r="BC329" s="72" t="inlineStr">
        <is>
          <t>2026-09-21</t>
        </is>
      </c>
      <c r="BD329" s="73" t="n">
        <v>1525.8</v>
      </c>
      <c r="BE329" s="76" t="n">
        <v>-99.2</v>
      </c>
      <c r="BF329" s="71" t="inlineStr">
        <is>
          <t>N</t>
        </is>
      </c>
      <c r="BG329" s="71" t="inlineStr">
        <is>
          <t>n/m</t>
        </is>
      </c>
      <c r="BH329" s="83" t="n"/>
      <c r="BI329" s="83" t="n">
        <v>0.5</v>
      </c>
      <c r="BJ329" s="83" t="n">
        <v>1.1</v>
      </c>
      <c r="BK329" s="84">
        <f>IF('BBG Verify'!S329="","not filed; run on terminal",'BBG Verify'!S329)</f>
        <v/>
      </c>
      <c r="BL329" s="85" t="inlineStr">
        <is>
          <t>N</t>
        </is>
      </c>
      <c r="BM329" s="86">
        <f>IF('BBG Verify'!K329="","not filed; run on terminal",'BBG Verify'!K329)</f>
        <v/>
      </c>
      <c r="BN329" s="71" t="inlineStr">
        <is>
          <t>N/A</t>
        </is>
      </c>
      <c r="BO329" s="71" t="inlineStr">
        <is>
          <t>N/A</t>
        </is>
      </c>
      <c r="BP329" s="71" t="inlineStr">
        <is>
          <t>N/A</t>
        </is>
      </c>
      <c r="BQ329" s="71" t="inlineStr">
        <is>
          <t>N/A</t>
        </is>
      </c>
      <c r="BR329" s="71" t="inlineStr">
        <is>
          <t>N/A</t>
        </is>
      </c>
      <c r="BS329" s="71" t="inlineStr">
        <is>
          <t>N/A</t>
        </is>
      </c>
      <c r="BT329" s="85" t="inlineStr">
        <is>
          <t>Huatai Financial Holdings (Hong Kong) Limited</t>
        </is>
      </c>
      <c r="BU329" s="71" t="inlineStr">
        <is>
          <t>China International Capital Corporation Hong Kong Securities Limited; Huatai Financial Holdings (Hong Kong) Limited</t>
        </is>
      </c>
      <c r="BV329" s="71"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W329" s="71"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X329" s="87">
        <f>HYPERLINK("https://www1.hkexnews.hk/listedco/listconews/sehk/2025/0522/2025052200031.pdf","prospectus")</f>
        <v/>
      </c>
      <c r="BY329" s="87">
        <f>HYPERLINK("https://www1.hkexnews.hk/listedco/listconews/sehk/2025/0529/2025052902298.pdf","allotment")</f>
        <v/>
      </c>
      <c r="BZ329" s="87">
        <f>HYPERLINK("https://www1.hkexnews.hk/listedco/listconews/sehk/2025/0626/2025062601818.pdf","stabilisation")</f>
        <v/>
      </c>
      <c r="CA329" s="85" t="n"/>
      <c r="CB329" s="71" t="inlineStr">
        <is>
          <t>P/E: loss-making at IPO, use P/S; greenshoe: outcome published; expiry date not in the notice; allocation: allocation table not in this notice's format (older prose announcement)</t>
        </is>
      </c>
    </row>
    <row r="330" ht="15" customHeight="1">
      <c r="A330" s="70" t="inlineStr">
        <is>
          <t>9881</t>
        </is>
      </c>
      <c r="B330" s="71" t="inlineStr">
        <is>
          <t>RONGTA TECH</t>
        </is>
      </c>
      <c r="C330" s="71" t="inlineStr">
        <is>
          <t>容大科技</t>
        </is>
      </c>
      <c r="D330" s="71" t="inlineStr">
        <is>
          <t>Tech/AI</t>
        </is>
      </c>
      <c r="E330" s="71" t="inlineStr">
        <is>
          <t>Smart hardware / consumer electronics</t>
        </is>
      </c>
      <c r="F330" s="71" t="inlineStr">
        <is>
          <t>Computer Storage &amp; Peripherals</t>
        </is>
      </c>
      <c r="G330" s="71" t="inlineStr">
        <is>
          <t>Standard</t>
        </is>
      </c>
      <c r="H330" s="72" t="n">
        <v>45818</v>
      </c>
      <c r="I330" s="73" t="n">
        <v>184</v>
      </c>
      <c r="J330" s="71" t="inlineStr">
        <is>
          <t>gross (stated)</t>
        </is>
      </c>
      <c r="K330" s="74" t="n">
        <v>10</v>
      </c>
      <c r="L330" s="74" t="n">
        <v>12</v>
      </c>
      <c r="M330" s="74" t="n">
        <v>10</v>
      </c>
      <c r="N330" s="71" t="inlineStr">
        <is>
          <t>N</t>
        </is>
      </c>
      <c r="O330" s="75" t="n">
        <v>83.3</v>
      </c>
      <c r="P330" s="75" t="n">
        <v>0</v>
      </c>
      <c r="Q330" s="76" t="n">
        <v>947.3</v>
      </c>
      <c r="R330" s="71" t="inlineStr">
        <is>
          <t>derived:price x shares upon listing</t>
        </is>
      </c>
      <c r="S330" s="77" t="n">
        <v>275.96</v>
      </c>
      <c r="T330" s="78" t="n">
        <v>0.96</v>
      </c>
      <c r="U330" s="79" t="n">
        <v>43.64</v>
      </c>
      <c r="V330" s="80" t="n">
        <v>118</v>
      </c>
      <c r="W330" s="75" t="n">
        <v>13.2</v>
      </c>
      <c r="X330" s="71" t="inlineStr">
        <is>
          <t>NO</t>
        </is>
      </c>
      <c r="Y330" s="76" t="n">
        <v>103.7</v>
      </c>
      <c r="Z330" s="76" t="n">
        <v>10370240</v>
      </c>
      <c r="AA330" s="75" t="n">
        <v>10.95</v>
      </c>
      <c r="AB330" s="71" t="inlineStr">
        <is>
          <t>Lin Xiaojian; Sinos Group Limited; Li Shuhan; Main Achieve Holdings Limited; Ng Chi Fat; Xu Kaiming; Xu Kaihe; Lin Huanan; Yang Litie</t>
        </is>
      </c>
      <c r="AC330" s="71" t="inlineStr">
        <is>
          <t>lin-xiaojian;sinos;li-shuhan;main;ng;xu-kaiming;xu-kaihe;lin-huanan;yang-litie</t>
        </is>
      </c>
      <c r="AD330" s="75" t="n">
        <v>7.06</v>
      </c>
      <c r="AE330" s="71" t="inlineStr">
        <is>
          <t>lapsed</t>
        </is>
      </c>
      <c r="AF330" s="71" t="inlineStr">
        <is>
          <t>2025-07-05</t>
        </is>
      </c>
      <c r="AG330" s="71" t="inlineStr">
        <is>
          <t>Yue Xiu Securities Company Limited</t>
        </is>
      </c>
      <c r="AH330" s="71" t="inlineStr">
        <is>
          <t>Yue Xiu</t>
        </is>
      </c>
      <c r="AI330" s="81" t="n">
        <v>76</v>
      </c>
      <c r="AJ330" s="82" t="n">
        <v>42</v>
      </c>
      <c r="AK330" s="82" t="n">
        <v>66</v>
      </c>
      <c r="AL330" s="82" t="n">
        <v>-14.46</v>
      </c>
      <c r="AM330" s="83" t="n">
        <v>3.5</v>
      </c>
      <c r="AN330" s="75" t="n">
        <v>26.75</v>
      </c>
      <c r="AO330" s="82" t="n">
        <v>30</v>
      </c>
      <c r="AP330" s="82" t="n">
        <v>3</v>
      </c>
      <c r="AQ330" s="82" t="n">
        <v>9.5</v>
      </c>
      <c r="AR330" s="82" t="n">
        <v>-8.449999999999999</v>
      </c>
      <c r="AS330" s="82" t="n">
        <v>-27.46</v>
      </c>
      <c r="AT330" s="82" t="n">
        <v>-22.89</v>
      </c>
      <c r="AU330" s="82" t="n">
        <v>32.53</v>
      </c>
      <c r="AV330" s="82" t="n">
        <v>6.85</v>
      </c>
      <c r="AW330" s="82" t="n">
        <v>3.68</v>
      </c>
      <c r="AX330" s="82" t="n">
        <v>-24.34</v>
      </c>
      <c r="AY330" s="82" t="n">
        <v>-3.85</v>
      </c>
      <c r="AZ330" s="82" t="n">
        <v>-3.12</v>
      </c>
      <c r="BA330" s="71" t="inlineStr">
        <is>
          <t>HSTECH (Hang Seng TECH ETF)</t>
        </is>
      </c>
      <c r="BB330" s="82" t="n">
        <v>77</v>
      </c>
      <c r="BC330" s="72" t="inlineStr">
        <is>
          <t>2026-09-18</t>
        </is>
      </c>
      <c r="BD330" s="73" t="n">
        <v>385.1</v>
      </c>
      <c r="BE330" s="76" t="n">
        <v>45.5</v>
      </c>
      <c r="BF330" s="71" t="inlineStr">
        <is>
          <t>Y</t>
        </is>
      </c>
      <c r="BG330" s="83" t="n">
        <v>20.8</v>
      </c>
      <c r="BH330" s="83" t="n">
        <v>24.1</v>
      </c>
      <c r="BI330" s="83" t="n">
        <v>28.2</v>
      </c>
      <c r="BJ330" s="83" t="n">
        <v>2.5</v>
      </c>
      <c r="BK330" s="84">
        <f>IF('BBG Verify'!S330="","not filed; run on terminal",'BBG Verify'!S330)</f>
        <v/>
      </c>
      <c r="BL330" s="85" t="inlineStr">
        <is>
          <t>N</t>
        </is>
      </c>
      <c r="BM330" s="86">
        <f>IF('BBG Verify'!K330="","not filed; run on terminal",'BBG Verify'!K330)</f>
        <v/>
      </c>
      <c r="BN330" s="71" t="inlineStr">
        <is>
          <t>N/A</t>
        </is>
      </c>
      <c r="BO330" s="71" t="inlineStr">
        <is>
          <t>N/A</t>
        </is>
      </c>
      <c r="BP330" s="71" t="inlineStr">
        <is>
          <t>N/A</t>
        </is>
      </c>
      <c r="BQ330" s="71" t="inlineStr">
        <is>
          <t>N/A</t>
        </is>
      </c>
      <c r="BR330" s="71" t="inlineStr">
        <is>
          <t>N/A</t>
        </is>
      </c>
      <c r="BS330" s="71" t="inlineStr">
        <is>
          <t>N/A</t>
        </is>
      </c>
      <c r="BT330" s="85" t="inlineStr">
        <is>
          <t>Yue Xiu Capital Limited</t>
        </is>
      </c>
      <c r="BU330" s="71" t="inlineStr">
        <is>
          <t>Yue Xiu Capital Limited</t>
        </is>
      </c>
      <c r="BV330" s="71" t="inlineStr">
        <is>
          <t>Yue Xiu Securities Company Limited; ABCI CAPITAL LIMITED; ABCI SECURITIES COMPANY LIMITED</t>
        </is>
      </c>
      <c r="BW330" s="71"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X330" s="87">
        <f>HYPERLINK("https://www1.hkexnews.hk/listedco/listconews/sehk/2025/0530/2025053000009.pdf","prospectus")</f>
        <v/>
      </c>
      <c r="BY330" s="87">
        <f>HYPERLINK("https://www1.hkexnews.hk/listedco/listconews/sehk/2025/0609/2025060900996.pdf","allotment")</f>
        <v/>
      </c>
      <c r="BZ330" s="87">
        <f>HYPERLINK("https://www1.hkexnews.hk/listedco/listconews/sehk/2025/0707/2025070700712.pdf","stabilisation")</f>
        <v/>
      </c>
      <c r="CA330" s="85" t="n"/>
      <c r="CB330" s="71" t="inlineStr"/>
    </row>
    <row r="331" ht="15" customHeight="1">
      <c r="A331" s="70" t="inlineStr">
        <is>
          <t>2573</t>
        </is>
      </c>
      <c r="B331" s="71" t="inlineStr">
        <is>
          <t>NEWTREND GROUP</t>
        </is>
      </c>
      <c r="C331" s="71" t="inlineStr">
        <is>
          <t>新琪安</t>
        </is>
      </c>
      <c r="D331" s="71" t="inlineStr">
        <is>
          <t>Consumer</t>
        </is>
      </c>
      <c r="E331" s="71" t="inlineStr">
        <is>
          <t>Beverages / packaged food</t>
        </is>
      </c>
      <c r="F331" s="71" t="inlineStr">
        <is>
          <t>Food Additives</t>
        </is>
      </c>
      <c r="G331" s="71" t="inlineStr">
        <is>
          <t>Standard</t>
        </is>
      </c>
      <c r="H331" s="72" t="n">
        <v>45818</v>
      </c>
      <c r="I331" s="73" t="n">
        <v>200.1</v>
      </c>
      <c r="J331" s="71" t="inlineStr">
        <is>
          <t>gross (price x shares)</t>
        </is>
      </c>
      <c r="K331" s="74" t="n">
        <v>18.9</v>
      </c>
      <c r="L331" s="74" t="n">
        <v>20.9</v>
      </c>
      <c r="M331" s="74" t="n">
        <v>18.9</v>
      </c>
      <c r="N331" s="71" t="inlineStr">
        <is>
          <t>N</t>
        </is>
      </c>
      <c r="O331" s="75" t="n">
        <v>90.40000000000001</v>
      </c>
      <c r="P331" s="75" t="n">
        <v>0</v>
      </c>
      <c r="Q331" s="76" t="n">
        <v>1818.8</v>
      </c>
      <c r="R331" s="71" t="inlineStr">
        <is>
          <t>derived:price x shares upon listing</t>
        </is>
      </c>
      <c r="S331" s="77" t="n">
        <v>149.37</v>
      </c>
      <c r="T331" s="78" t="n">
        <v>0.93</v>
      </c>
      <c r="U331" s="79" t="n">
        <v>29.7</v>
      </c>
      <c r="V331" s="80" t="n">
        <v>118</v>
      </c>
      <c r="W331" s="75" t="n">
        <v>15.7</v>
      </c>
      <c r="X331" s="71" t="inlineStr">
        <is>
          <t>NO</t>
        </is>
      </c>
      <c r="Y331" s="76" t="n">
        <v>140.67</v>
      </c>
      <c r="Z331" s="76" t="n">
        <v>7441536</v>
      </c>
      <c r="AA331" s="75" t="n">
        <v>7.73</v>
      </c>
      <c r="AB331" s="71" t="inlineStr">
        <is>
          <t>Pingtan Xinghang Investment; Ms. Huang; Ms. He; Ms. Chen; He Win Hong Kong Holdings</t>
        </is>
      </c>
      <c r="AC331" s="71" t="inlineStr">
        <is>
          <t>pingtan;ms-huang;ms-he;ms-chen;he-win</t>
        </is>
      </c>
      <c r="AD331" s="75" t="n">
        <v>10.2</v>
      </c>
      <c r="AE331" s="71" t="n"/>
      <c r="AF331" s="71" t="n"/>
      <c r="AG331" s="71" t="inlineStr">
        <is>
          <t>CMBC Securities Company Limited</t>
        </is>
      </c>
      <c r="AH331" s="71" t="inlineStr">
        <is>
          <t>CMBC</t>
        </is>
      </c>
      <c r="AI331" s="81" t="n">
        <v>72.48699999999999</v>
      </c>
      <c r="AJ331" s="82" t="n">
        <v>21.43</v>
      </c>
      <c r="AK331" s="82" t="n">
        <v>60.05</v>
      </c>
      <c r="AL331" s="82" t="n">
        <v>-24.13</v>
      </c>
      <c r="AM331" s="83" t="n">
        <v>3.14</v>
      </c>
      <c r="AN331" s="75" t="n">
        <v>26.94</v>
      </c>
      <c r="AO331" s="82" t="n">
        <v>-16.83</v>
      </c>
      <c r="AP331" s="82" t="n">
        <v>-34.6</v>
      </c>
      <c r="AQ331" s="82" t="n">
        <v>-34.92</v>
      </c>
      <c r="AR331" s="82" t="n">
        <v>-31.51</v>
      </c>
      <c r="AS331" s="82" t="n">
        <v>-46.14</v>
      </c>
      <c r="AT331" s="82" t="n">
        <v>-46.41</v>
      </c>
      <c r="AU331" s="82" t="n">
        <v>-14.92</v>
      </c>
      <c r="AV331" s="82" t="n">
        <v>-30.78</v>
      </c>
      <c r="AW331" s="82" t="n">
        <v>-41.55</v>
      </c>
      <c r="AX331" s="82" t="n">
        <v>-42.72</v>
      </c>
      <c r="AY331" s="82" t="n">
        <v>-3.82</v>
      </c>
      <c r="AZ331" s="82" t="n">
        <v>-3.42</v>
      </c>
      <c r="BA331" s="71" t="inlineStr">
        <is>
          <t>Hang Seng Commerce &amp; Industry sub-index</t>
        </is>
      </c>
      <c r="BB331" s="82" t="n">
        <v>-70.90000000000001</v>
      </c>
      <c r="BC331" s="72" t="inlineStr">
        <is>
          <t>2026-09-18</t>
        </is>
      </c>
      <c r="BD331" s="73" t="n">
        <v>625.8</v>
      </c>
      <c r="BE331" s="76" t="n">
        <v>47.7</v>
      </c>
      <c r="BF331" s="71" t="inlineStr">
        <is>
          <t>Y</t>
        </is>
      </c>
      <c r="BG331" s="83" t="n">
        <v>38.1</v>
      </c>
      <c r="BH331" s="83" t="n">
        <v>41.2</v>
      </c>
      <c r="BI331" s="83" t="n">
        <v>35</v>
      </c>
      <c r="BJ331" s="83" t="n">
        <v>2.9</v>
      </c>
      <c r="BK331" s="84">
        <f>IF('BBG Verify'!S331="","not filed; run on terminal",'BBG Verify'!S331)</f>
        <v/>
      </c>
      <c r="BL331" s="85" t="inlineStr">
        <is>
          <t>N</t>
        </is>
      </c>
      <c r="BM331" s="86">
        <f>IF('BBG Verify'!K331="","not filed; run on terminal",'BBG Verify'!K331)</f>
        <v/>
      </c>
      <c r="BN331" s="71" t="inlineStr">
        <is>
          <t>N/A</t>
        </is>
      </c>
      <c r="BO331" s="71" t="inlineStr">
        <is>
          <t>N/A</t>
        </is>
      </c>
      <c r="BP331" s="71" t="inlineStr">
        <is>
          <t>N/A</t>
        </is>
      </c>
      <c r="BQ331" s="71" t="inlineStr">
        <is>
          <t>N/A</t>
        </is>
      </c>
      <c r="BR331" s="71" t="inlineStr">
        <is>
          <t>N/A</t>
        </is>
      </c>
      <c r="BS331" s="71" t="inlineStr">
        <is>
          <t>N/A</t>
        </is>
      </c>
      <c r="BT331" s="85" t="inlineStr">
        <is>
          <t>CMBC International Capital Limited</t>
        </is>
      </c>
      <c r="BU331" s="71" t="inlineStr">
        <is>
          <t>CMBC International Capital Limited</t>
        </is>
      </c>
      <c r="BV331" s="71" t="inlineStr">
        <is>
          <t>China Industrial Securities International Capital Limited; Guosen Securities (HK) Capital Company Limited; ABCI Capital Limited</t>
        </is>
      </c>
      <c r="BW331" s="71"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X331" s="87">
        <f>HYPERLINK("https://www1.hkexnews.hk/listedco/listconews/sehk/2025/0530/2025053000073.pdf","prospectus")</f>
        <v/>
      </c>
      <c r="BY331" s="87">
        <f>HYPERLINK("https://www1.hkexnews.hk/listedco/listconews/sehk/2025/0609/2025060901156.pdf","allotment")</f>
        <v/>
      </c>
      <c r="BZ331" s="71" t="n"/>
      <c r="CA331" s="85" t="n"/>
      <c r="CB331" s="71" t="inlineStr">
        <is>
          <t>greenshoe: end-of-stabilisation notice not found</t>
        </is>
      </c>
    </row>
    <row r="332" ht="15" customHeight="1">
      <c r="A332" s="70" t="inlineStr">
        <is>
          <t>2605</t>
        </is>
      </c>
      <c r="B332" s="71" t="inlineStr">
        <is>
          <t>METALIGHT</t>
        </is>
      </c>
      <c r="C332" s="71" t="inlineStr">
        <is>
          <t>METALIGHT</t>
        </is>
      </c>
      <c r="D332" s="71" t="inlineStr">
        <is>
          <t>Tech/AI</t>
        </is>
      </c>
      <c r="E332" s="71" t="inlineStr">
        <is>
          <t>Internet platform / e-commerce</t>
        </is>
      </c>
      <c r="F332" s="71" t="inlineStr">
        <is>
          <t>Advertising</t>
        </is>
      </c>
      <c r="G332" s="71" t="inlineStr">
        <is>
          <t>Standard</t>
        </is>
      </c>
      <c r="H332" s="72" t="n">
        <v>45818</v>
      </c>
      <c r="I332" s="73" t="n">
        <v>242.35</v>
      </c>
      <c r="J332" s="71" t="inlineStr">
        <is>
          <t>gross (stated)</t>
        </is>
      </c>
      <c r="K332" s="74" t="n"/>
      <c r="L332" s="74" t="n">
        <v>9.75</v>
      </c>
      <c r="M332" s="74" t="n">
        <v>9.75</v>
      </c>
      <c r="N332" s="71" t="inlineStr">
        <is>
          <t>Y</t>
        </is>
      </c>
      <c r="O332" s="75" t="n">
        <v>100</v>
      </c>
      <c r="P332" s="75" t="n"/>
      <c r="Q332" s="76" t="n">
        <v>1504.2</v>
      </c>
      <c r="R332" s="71" t="inlineStr">
        <is>
          <t>derived:price x shares upon listing</t>
        </is>
      </c>
      <c r="S332" s="77" t="n">
        <v>274.44</v>
      </c>
      <c r="T332" s="78" t="n">
        <v>2.49</v>
      </c>
      <c r="U332" s="79" t="n">
        <v>0</v>
      </c>
      <c r="V332" s="80" t="n">
        <v>127</v>
      </c>
      <c r="W332" s="75" t="n">
        <v>50</v>
      </c>
      <c r="X332" s="71" t="inlineStr">
        <is>
          <t>YES</t>
        </is>
      </c>
      <c r="Y332" s="76" t="n">
        <v>242.35</v>
      </c>
      <c r="Z332" s="76" t="n">
        <v>24856000</v>
      </c>
      <c r="AA332" s="75" t="n">
        <v>16.11</v>
      </c>
      <c r="AB332" s="71" t="n"/>
      <c r="AC332" s="71" t="n"/>
      <c r="AD332" s="75" t="n"/>
      <c r="AE332" s="71" t="n"/>
      <c r="AF332" s="71" t="n"/>
      <c r="AG332" s="71" t="n"/>
      <c r="AH332" s="71" t="n"/>
      <c r="AI332" s="81" t="n">
        <v>-14.769</v>
      </c>
      <c r="AJ332" s="82" t="n">
        <v>-30.26</v>
      </c>
      <c r="AK332" s="82" t="n">
        <v>-22.05</v>
      </c>
      <c r="AL332" s="82" t="n">
        <v>-10.53</v>
      </c>
      <c r="AM332" s="83" t="n">
        <v>1.93</v>
      </c>
      <c r="AN332" s="75" t="n">
        <v>19.87</v>
      </c>
      <c r="AO332" s="82" t="n">
        <v>-29.95</v>
      </c>
      <c r="AP332" s="82" t="n">
        <v>-37.85</v>
      </c>
      <c r="AQ332" s="82" t="n">
        <v>-49.64</v>
      </c>
      <c r="AR332" s="82" t="n">
        <v>0.44</v>
      </c>
      <c r="AS332" s="82" t="n">
        <v>-10.88</v>
      </c>
      <c r="AT332" s="82" t="n">
        <v>-27.79</v>
      </c>
      <c r="AU332" s="82" t="n">
        <v>-27.42</v>
      </c>
      <c r="AV332" s="82" t="n">
        <v>-34</v>
      </c>
      <c r="AW332" s="82" t="n">
        <v>-55.46</v>
      </c>
      <c r="AX332" s="82" t="n">
        <v>-7.76</v>
      </c>
      <c r="AY332" s="82" t="n">
        <v>-3.85</v>
      </c>
      <c r="AZ332" s="82" t="n">
        <v>-3.12</v>
      </c>
      <c r="BA332" s="71" t="inlineStr">
        <is>
          <t>HSTECH (Hang Seng TECH ETF)</t>
        </is>
      </c>
      <c r="BB332" s="82" t="n">
        <v>-88.41</v>
      </c>
      <c r="BC332" s="72" t="inlineStr">
        <is>
          <t>2026-09-23</t>
        </is>
      </c>
      <c r="BD332" s="73" t="n">
        <v>226.8</v>
      </c>
      <c r="BE332" s="76" t="n">
        <v>-28.8</v>
      </c>
      <c r="BF332" s="71" t="inlineStr">
        <is>
          <t>N</t>
        </is>
      </c>
      <c r="BG332" s="71" t="inlineStr">
        <is>
          <t>n/m</t>
        </is>
      </c>
      <c r="BH332" s="83" t="n"/>
      <c r="BI332" s="83" t="n"/>
      <c r="BJ332" s="83" t="n">
        <v>6.6</v>
      </c>
      <c r="BK332" s="84">
        <f>IF('BBG Verify'!S332="","not filed; run on terminal",'BBG Verify'!S332)</f>
        <v/>
      </c>
      <c r="BL332" s="85" t="inlineStr">
        <is>
          <t>N</t>
        </is>
      </c>
      <c r="BM332" s="86">
        <f>IF('BBG Verify'!K332="","not filed; run on terminal",'BBG Verify'!K332)</f>
        <v/>
      </c>
      <c r="BN332" s="71" t="inlineStr">
        <is>
          <t>N/A</t>
        </is>
      </c>
      <c r="BO332" s="71" t="inlineStr">
        <is>
          <t>N/A</t>
        </is>
      </c>
      <c r="BP332" s="71" t="inlineStr">
        <is>
          <t>N/A</t>
        </is>
      </c>
      <c r="BQ332" s="71" t="inlineStr">
        <is>
          <t>N/A</t>
        </is>
      </c>
      <c r="BR332" s="71" t="inlineStr">
        <is>
          <t>N/A</t>
        </is>
      </c>
      <c r="BS332" s="71" t="inlineStr">
        <is>
          <t>N/A</t>
        </is>
      </c>
      <c r="BT332" s="85" t="inlineStr">
        <is>
          <t>China International Capital Corporation Hong Kong Securities Limited</t>
        </is>
      </c>
      <c r="BU332" s="71" t="inlineStr">
        <is>
          <t>China International Capital Corporation Hong Kong Securities Limited</t>
        </is>
      </c>
      <c r="BV332" s="71"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W332" s="71"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X332" s="87">
        <f>HYPERLINK("https://www1.hkexnews.hk/listedco/listconews/sehk/2025/0602/2025060200008.pdf","prospectus")</f>
        <v/>
      </c>
      <c r="BY332" s="87">
        <f>HYPERLINK("https://www1.hkexnews.hk/listedco/listconews/sehk/2025/0609/2025060901376.pdf","allotment")</f>
        <v/>
      </c>
      <c r="BZ332" s="71" t="n"/>
      <c r="CA332" s="85" t="n"/>
      <c r="CB332" s="71"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70" t="inlineStr">
        <is>
          <t>3288</t>
        </is>
      </c>
      <c r="B333" s="71" t="inlineStr">
        <is>
          <t>HAITIAN FLAV</t>
        </is>
      </c>
      <c r="C333" s="71" t="inlineStr">
        <is>
          <t>海天味業</t>
        </is>
      </c>
      <c r="D333" s="71" t="inlineStr">
        <is>
          <t>Consumer</t>
        </is>
      </c>
      <c r="E333" s="71" t="inlineStr">
        <is>
          <t>Beverages / packaged food</t>
        </is>
      </c>
      <c r="F333" s="71" t="inlineStr">
        <is>
          <t>Food Additives</t>
        </is>
      </c>
      <c r="G333" s="71" t="inlineStr">
        <is>
          <t>Standard</t>
        </is>
      </c>
      <c r="H333" s="72" t="n">
        <v>45827</v>
      </c>
      <c r="I333" s="73" t="n">
        <v>10128.9</v>
      </c>
      <c r="J333" s="71" t="inlineStr">
        <is>
          <t>gross (stated)</t>
        </is>
      </c>
      <c r="K333" s="74" t="n">
        <v>35</v>
      </c>
      <c r="L333" s="74" t="n">
        <v>36.3</v>
      </c>
      <c r="M333" s="74" t="n">
        <v>36.3</v>
      </c>
      <c r="N333" s="71" t="inlineStr">
        <is>
          <t>Y</t>
        </is>
      </c>
      <c r="O333" s="75" t="n">
        <v>100</v>
      </c>
      <c r="P333" s="75" t="n">
        <v>100</v>
      </c>
      <c r="Q333" s="76" t="n">
        <v>185511</v>
      </c>
      <c r="R333" s="71" t="inlineStr">
        <is>
          <t>derived:deal size / offer % of enlarged capital</t>
        </is>
      </c>
      <c r="S333" s="77" t="n">
        <v>918.15</v>
      </c>
      <c r="T333" s="78" t="n">
        <v>22.93</v>
      </c>
      <c r="U333" s="79" t="n">
        <v>45.8</v>
      </c>
      <c r="V333" s="80" t="n">
        <v>25</v>
      </c>
      <c r="W333" s="75" t="n">
        <v>19.81</v>
      </c>
      <c r="X333" s="71" t="inlineStr">
        <is>
          <t>YES</t>
        </is>
      </c>
      <c r="Y333" s="76" t="n">
        <v>5489.86</v>
      </c>
      <c r="Z333" s="76" t="n">
        <v>151235181</v>
      </c>
      <c r="AA333" s="75" t="n">
        <v>2.96</v>
      </c>
      <c r="AB333" s="71"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AC333" s="71" t="inlineStr">
        <is>
          <t>gic;pinnacle;supercluster;boyu;china-international;gf;citic;value;huatai;shenzhen-victory</t>
        </is>
      </c>
      <c r="AD333" s="75" t="n">
        <v>15</v>
      </c>
      <c r="AE333" s="71" t="inlineStr">
        <is>
          <t>partial</t>
        </is>
      </c>
      <c r="AF333" s="71" t="inlineStr">
        <is>
          <t>2025-07-16</t>
        </is>
      </c>
      <c r="AG333" s="71" t="inlineStr">
        <is>
          <t>China International Capital Corporation Hong Kong Securities Limited</t>
        </is>
      </c>
      <c r="AH333" s="71" t="inlineStr">
        <is>
          <t>China International</t>
        </is>
      </c>
      <c r="AI333" s="81" t="n">
        <v>5.234</v>
      </c>
      <c r="AJ333" s="82" t="n">
        <v>0.55</v>
      </c>
      <c r="AK333" s="82" t="n">
        <v>3.31</v>
      </c>
      <c r="AL333" s="82" t="n">
        <v>-2.67</v>
      </c>
      <c r="AM333" s="83" t="n">
        <v>1.4</v>
      </c>
      <c r="AN333" s="75" t="n">
        <v>5.2</v>
      </c>
      <c r="AO333" s="82" t="n">
        <v>-3.44</v>
      </c>
      <c r="AP333" s="82" t="n">
        <v>-1.65</v>
      </c>
      <c r="AQ333" s="82" t="n">
        <v>-6.5</v>
      </c>
      <c r="AR333" s="82" t="n">
        <v>-3.97</v>
      </c>
      <c r="AS333" s="82" t="n">
        <v>-2.19</v>
      </c>
      <c r="AT333" s="82" t="n">
        <v>-7.01</v>
      </c>
      <c r="AU333" s="82" t="n">
        <v>-4.73</v>
      </c>
      <c r="AV333" s="82" t="n">
        <v>-7.14</v>
      </c>
      <c r="AW333" s="82" t="n">
        <v>-23.57</v>
      </c>
      <c r="AX333" s="82" t="n">
        <v>-10.05</v>
      </c>
      <c r="AY333" s="82" t="n">
        <v>5.49</v>
      </c>
      <c r="AZ333" s="82" t="n">
        <v>7.86</v>
      </c>
      <c r="BA333" s="71" t="inlineStr">
        <is>
          <t>Hang Seng Commerce &amp; Industry sub-index</t>
        </is>
      </c>
      <c r="BB333" s="82" t="n">
        <v>-25.18</v>
      </c>
      <c r="BC333" s="72" t="inlineStr">
        <is>
          <t>2026-09-23</t>
        </is>
      </c>
      <c r="BD333" s="73" t="n">
        <v>29591.1</v>
      </c>
      <c r="BE333" s="76" t="n">
        <v>6991.4</v>
      </c>
      <c r="BF333" s="71" t="inlineStr">
        <is>
          <t>Y</t>
        </is>
      </c>
      <c r="BG333" s="83" t="n">
        <v>26.5</v>
      </c>
      <c r="BH333" s="83" t="n">
        <v>29.3</v>
      </c>
      <c r="BI333" s="83" t="n">
        <v>22.3</v>
      </c>
      <c r="BJ333" s="83" t="n">
        <v>6.3</v>
      </c>
      <c r="BK333" s="84">
        <f>IF('BBG Verify'!S333="","not filed; run on terminal",'BBG Verify'!S333)</f>
        <v/>
      </c>
      <c r="BL333" s="85" t="inlineStr">
        <is>
          <t>Y</t>
        </is>
      </c>
      <c r="BM333" s="71" t="inlineStr">
        <is>
          <t>603288.SS</t>
        </is>
      </c>
      <c r="BN333" s="82" t="n">
        <v>21.07</v>
      </c>
      <c r="BO333" s="74" t="n">
        <v>43.9481</v>
      </c>
      <c r="BP333" s="89" t="n">
        <v>0.4611</v>
      </c>
      <c r="BQ333" s="76" t="n">
        <v>232045.1</v>
      </c>
      <c r="BR333" s="84">
        <f>IF('BBG Verify'!Q333="","run on terminal",'BBG Verify'!Q333)</f>
        <v/>
      </c>
      <c r="BS333" s="84">
        <f>IF('BBG Verify'!R333="","run on terminal",'BBG Verify'!R333)</f>
        <v/>
      </c>
      <c r="BT333" s="85" t="inlineStr">
        <is>
          <t>China International Capital Corporation Hong Kong Securities Limited; Goldman Sachs (Asia) L.L.C; Morgan Stanley Asia Limited</t>
        </is>
      </c>
      <c r="BU333" s="71" t="inlineStr">
        <is>
          <t>China International Capital Corporation Hong Kong Securities Limited; Morgan Stanley Asia Limited; Goldman Sachs (Asia) L.L.C.</t>
        </is>
      </c>
      <c r="BV333" s="71" t="inlineStr">
        <is>
          <t>ABCI Securities Company Limited</t>
        </is>
      </c>
      <c r="BW333" s="71"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X333" s="87">
        <f>HYPERLINK("https://www1.hkexnews.hk/listedco/listconews/sehk/2025/0611/2025061100017.pdf","prospectus")</f>
        <v/>
      </c>
      <c r="BY333" s="87">
        <f>HYPERLINK("https://www1.hkexnews.hk/listedco/listconews/sehk/2025/0618/2025061801931.pdf","allotment")</f>
        <v/>
      </c>
      <c r="BZ333" s="87">
        <f>HYPERLINK("https://www1.hkexnews.hk/listedco/listconews/sehk/2025/0717/2025071700201.pdf","stabilisation")</f>
        <v/>
      </c>
      <c r="CA333" s="85" t="n"/>
      <c r="CB333" s="71" t="inlineStr">
        <is>
          <t>A/H: Jun 2025, ~US$1.3bn; condiments leader</t>
        </is>
      </c>
    </row>
    <row r="334" ht="15" customHeight="1">
      <c r="A334" s="70" t="inlineStr">
        <is>
          <t>2609</t>
        </is>
      </c>
      <c r="B334" s="71" t="inlineStr">
        <is>
          <t>BAYZED HEALTH</t>
        </is>
      </c>
      <c r="C334" s="71" t="inlineStr">
        <is>
          <t>佰澤醫療</t>
        </is>
      </c>
      <c r="D334" s="71" t="inlineStr">
        <is>
          <t>Healthcare</t>
        </is>
      </c>
      <c r="E334" s="71" t="inlineStr">
        <is>
          <t>Digital health</t>
        </is>
      </c>
      <c r="F334" s="71" t="inlineStr">
        <is>
          <t>Health Care Services</t>
        </is>
      </c>
      <c r="G334" s="71" t="inlineStr">
        <is>
          <t>Standard</t>
        </is>
      </c>
      <c r="H334" s="72" t="n">
        <v>45831</v>
      </c>
      <c r="I334" s="73" t="n">
        <v>561.7</v>
      </c>
      <c r="J334" s="71" t="inlineStr">
        <is>
          <t>gross (stated)</t>
        </is>
      </c>
      <c r="K334" s="74" t="n">
        <v>4.22</v>
      </c>
      <c r="L334" s="74" t="n">
        <v>6.75</v>
      </c>
      <c r="M334" s="74" t="n">
        <v>4.22</v>
      </c>
      <c r="N334" s="71" t="inlineStr">
        <is>
          <t>N</t>
        </is>
      </c>
      <c r="O334" s="75" t="n">
        <v>62.5</v>
      </c>
      <c r="P334" s="75" t="n">
        <v>0</v>
      </c>
      <c r="Q334" s="76" t="n">
        <v>5563.9</v>
      </c>
      <c r="R334" s="71" t="inlineStr">
        <is>
          <t>derived:price x shares upon listing</t>
        </is>
      </c>
      <c r="S334" s="77" t="n">
        <v>25.92</v>
      </c>
      <c r="T334" s="78" t="n">
        <v>0.98</v>
      </c>
      <c r="U334" s="79" t="n">
        <v>26.5</v>
      </c>
      <c r="V334" s="80" t="n">
        <v>113</v>
      </c>
      <c r="W334" s="75" t="n">
        <v>12.2</v>
      </c>
      <c r="X334" s="71" t="inlineStr">
        <is>
          <t>NO</t>
        </is>
      </c>
      <c r="Y334" s="76" t="n">
        <v>412.85</v>
      </c>
      <c r="Z334" s="76" t="n">
        <v>97832763</v>
      </c>
      <c r="AA334" s="75" t="n">
        <v>7.42</v>
      </c>
      <c r="AB334" s="71" t="inlineStr">
        <is>
          <t>Harvest Oriental SP</t>
        </is>
      </c>
      <c r="AC334" s="71" t="inlineStr">
        <is>
          <t>harvest</t>
        </is>
      </c>
      <c r="AD334" s="75" t="n"/>
      <c r="AE334" s="71" t="n"/>
      <c r="AF334" s="71" t="n"/>
      <c r="AG334" s="71" t="n"/>
      <c r="AH334" s="71" t="n"/>
      <c r="AI334" s="81" t="n">
        <v>25.8</v>
      </c>
      <c r="AJ334" s="82" t="n">
        <v>42.18</v>
      </c>
      <c r="AK334" s="82" t="n">
        <v>24.41</v>
      </c>
      <c r="AL334" s="82" t="n">
        <v>14.28</v>
      </c>
      <c r="AM334" s="83" t="n">
        <v>1.34</v>
      </c>
      <c r="AN334" s="75" t="n">
        <v>19.24</v>
      </c>
      <c r="AO334" s="82" t="n">
        <v>46.21</v>
      </c>
      <c r="AP334" s="82" t="n">
        <v>57.11</v>
      </c>
      <c r="AQ334" s="82" t="n">
        <v>91.94</v>
      </c>
      <c r="AR334" s="82" t="n">
        <v>2.83</v>
      </c>
      <c r="AS334" s="82" t="n">
        <v>10.5</v>
      </c>
      <c r="AT334" s="82" t="n">
        <v>35</v>
      </c>
      <c r="AU334" s="82" t="n">
        <v>43.69</v>
      </c>
      <c r="AV334" s="82" t="n">
        <v>39.85</v>
      </c>
      <c r="AW334" s="82" t="n">
        <v>59.77</v>
      </c>
      <c r="AX334" s="82" t="n">
        <v>-4.99</v>
      </c>
      <c r="AY334" s="82" t="n">
        <v>17.26</v>
      </c>
      <c r="AZ334" s="82" t="n">
        <v>15.49</v>
      </c>
      <c r="BA334" s="71" t="inlineStr">
        <is>
          <t>China Biotech ETF (HS biotech proxy)</t>
        </is>
      </c>
      <c r="BB334" s="82" t="n">
        <v>-31.99</v>
      </c>
      <c r="BC334" s="72" t="inlineStr">
        <is>
          <t>2026-09-23</t>
        </is>
      </c>
      <c r="BD334" s="73" t="n">
        <v>1307.7</v>
      </c>
      <c r="BE334" s="76" t="n">
        <v>-3.9</v>
      </c>
      <c r="BF334" s="71" t="inlineStr">
        <is>
          <t>N</t>
        </is>
      </c>
      <c r="BG334" s="71" t="inlineStr">
        <is>
          <t>n/m</t>
        </is>
      </c>
      <c r="BH334" s="83" t="n"/>
      <c r="BI334" s="83" t="n"/>
      <c r="BJ334" s="83" t="n">
        <v>4.3</v>
      </c>
      <c r="BK334" s="84">
        <f>IF('BBG Verify'!S334="","not filed; run on terminal",'BBG Verify'!S334)</f>
        <v/>
      </c>
      <c r="BL334" s="85" t="inlineStr">
        <is>
          <t>N</t>
        </is>
      </c>
      <c r="BM334" s="86">
        <f>IF('BBG Verify'!K334="","not filed; run on terminal",'BBG Verify'!K334)</f>
        <v/>
      </c>
      <c r="BN334" s="71" t="inlineStr">
        <is>
          <t>N/A</t>
        </is>
      </c>
      <c r="BO334" s="71" t="inlineStr">
        <is>
          <t>N/A</t>
        </is>
      </c>
      <c r="BP334" s="71" t="inlineStr">
        <is>
          <t>N/A</t>
        </is>
      </c>
      <c r="BQ334" s="71" t="inlineStr">
        <is>
          <t>N/A</t>
        </is>
      </c>
      <c r="BR334" s="71" t="inlineStr">
        <is>
          <t>N/A</t>
        </is>
      </c>
      <c r="BS334" s="71" t="inlineStr">
        <is>
          <t>N/A</t>
        </is>
      </c>
      <c r="BT334" s="8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U334" s="71" t="inlineStr">
        <is>
          <t>CMB International Capital Limited</t>
        </is>
      </c>
      <c r="BV334" s="71" t="inlineStr">
        <is>
          <t>CMB International Capital Limited; Futu Securities International (Hong Kong) Limited</t>
        </is>
      </c>
      <c r="BW334" s="71" t="inlineStr">
        <is>
          <t>CMB International Capital Limited; Futu Securities International (Hong Kong) Limited</t>
        </is>
      </c>
      <c r="BX334" s="87">
        <f>HYPERLINK("https://www1.hkexnews.hk/listedco/listconews/sehk/2025/0613/2025061300019.pdf","prospectus")</f>
        <v/>
      </c>
      <c r="BY334" s="87">
        <f>HYPERLINK("https://www1.hkexnews.hk/listedco/listconews/sehk/2025/0620/2025062001890.pdf","allotment")</f>
        <v/>
      </c>
      <c r="BZ334" s="71" t="n"/>
      <c r="CA334" s="85" t="n"/>
      <c r="CB334" s="71"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t>
        </is>
      </c>
    </row>
    <row r="335" ht="15" customHeight="1">
      <c r="A335" s="70" t="inlineStr">
        <is>
          <t>2050</t>
        </is>
      </c>
      <c r="B335" s="71" t="inlineStr">
        <is>
          <t>SANHUA</t>
        </is>
      </c>
      <c r="C335" s="71" t="inlineStr">
        <is>
          <t>三花智控</t>
        </is>
      </c>
      <c r="D335" s="71" t="inlineStr">
        <is>
          <t>Consumer</t>
        </is>
      </c>
      <c r="E335" s="71" t="inlineStr">
        <is>
          <t>Auto parts / supply chain</t>
        </is>
      </c>
      <c r="F335" s="71" t="inlineStr">
        <is>
          <t>Electrical Components &amp; Equipment</t>
        </is>
      </c>
      <c r="G335" s="71" t="inlineStr">
        <is>
          <t>Standard</t>
        </is>
      </c>
      <c r="H335" s="72" t="n">
        <v>45831</v>
      </c>
      <c r="I335" s="73" t="n">
        <v>9336</v>
      </c>
      <c r="J335" s="71" t="inlineStr">
        <is>
          <t>gross (stated)</t>
        </is>
      </c>
      <c r="K335" s="74" t="n"/>
      <c r="L335" s="74" t="n">
        <v>22.53</v>
      </c>
      <c r="M335" s="74" t="n">
        <v>22.53</v>
      </c>
      <c r="N335" s="71" t="inlineStr">
        <is>
          <t>Y</t>
        </is>
      </c>
      <c r="O335" s="75" t="n">
        <v>100</v>
      </c>
      <c r="P335" s="75" t="n"/>
      <c r="Q335" s="76" t="n">
        <v>93360</v>
      </c>
      <c r="R335" s="71" t="inlineStr">
        <is>
          <t>derived:deal size / offer % of enlarged capital</t>
        </is>
      </c>
      <c r="S335" s="77" t="n">
        <v>747.92</v>
      </c>
      <c r="T335" s="78" t="n">
        <v>23.57</v>
      </c>
      <c r="U335" s="79" t="n">
        <v>47</v>
      </c>
      <c r="V335" s="80" t="n">
        <v>256</v>
      </c>
      <c r="W335" s="75" t="n">
        <v>26.5</v>
      </c>
      <c r="X335" s="71" t="inlineStr">
        <is>
          <t>YES</t>
        </is>
      </c>
      <c r="Y335" s="76" t="n">
        <v>4948.08</v>
      </c>
      <c r="Z335" s="76" t="n">
        <v>219621135</v>
      </c>
      <c r="AA335" s="75" t="n">
        <v>5.3</v>
      </c>
      <c r="AB335" s="71" t="inlineStr">
        <is>
          <t>Schroders; HK Greenwoods; Green Better; Verition; Capital VIII; Mirae Securities; ICBC Wealth; PSBC Wealth; Taikang Life; Mega Prime; Wind Sabre; Martis Fund, L.P; MSIP; Jane Street</t>
        </is>
      </c>
      <c r="AC335" s="71" t="inlineStr">
        <is>
          <t>schroders;greenwoods;green;verition;viii;mirae;icbc;psbc;taikang;mega;wind;martis;morgan;jane</t>
        </is>
      </c>
      <c r="AD335" s="75" t="n">
        <v>15</v>
      </c>
      <c r="AE335" s="71" t="inlineStr">
        <is>
          <t>full</t>
        </is>
      </c>
      <c r="AF335" s="71" t="inlineStr">
        <is>
          <t>2025-07-18</t>
        </is>
      </c>
      <c r="AG335" s="71" t="inlineStr">
        <is>
          <t>China International Capital Corporation Hong Kong Securities Limited</t>
        </is>
      </c>
      <c r="AH335" s="71" t="inlineStr">
        <is>
          <t>China International</t>
        </is>
      </c>
      <c r="AI335" s="81" t="n">
        <v>-3.018</v>
      </c>
      <c r="AJ335" s="82" t="n">
        <v>-0.13</v>
      </c>
      <c r="AK335" s="82" t="n">
        <v>-7.01</v>
      </c>
      <c r="AL335" s="82" t="n">
        <v>7.4</v>
      </c>
      <c r="AM335" s="83" t="n">
        <v>1.14</v>
      </c>
      <c r="AN335" s="75" t="n">
        <v>8.83</v>
      </c>
      <c r="AO335" s="82" t="n">
        <v>11.63</v>
      </c>
      <c r="AP335" s="82" t="n">
        <v>26.5</v>
      </c>
      <c r="AQ335" s="82" t="n">
        <v>70.34999999999999</v>
      </c>
      <c r="AR335" s="82" t="n">
        <v>11.78</v>
      </c>
      <c r="AS335" s="82" t="n">
        <v>26.66</v>
      </c>
      <c r="AT335" s="82" t="n">
        <v>70.56999999999999</v>
      </c>
      <c r="AU335" s="82" t="n">
        <v>9.550000000000001</v>
      </c>
      <c r="AV335" s="82" t="n">
        <v>16.87</v>
      </c>
      <c r="AW335" s="82" t="n">
        <v>52.99</v>
      </c>
      <c r="AX335" s="82" t="n">
        <v>17.67</v>
      </c>
      <c r="AY335" s="82" t="n">
        <v>9.630000000000001</v>
      </c>
      <c r="AZ335" s="82" t="n">
        <v>8.99</v>
      </c>
      <c r="BA335" s="71" t="inlineStr">
        <is>
          <t>Hang Seng Commerce &amp; Industry sub-index</t>
        </is>
      </c>
      <c r="BB335" s="82" t="n">
        <v>8.57</v>
      </c>
      <c r="BC335" s="72" t="inlineStr">
        <is>
          <t>2026-09-23</t>
        </is>
      </c>
      <c r="BD335" s="73" t="n">
        <v>30741.9</v>
      </c>
      <c r="BE335" s="76" t="n">
        <v>3422.9</v>
      </c>
      <c r="BF335" s="71" t="inlineStr">
        <is>
          <t>Y</t>
        </is>
      </c>
      <c r="BG335" s="83" t="n">
        <v>27.3</v>
      </c>
      <c r="BH335" s="83" t="n">
        <v>24.5</v>
      </c>
      <c r="BI335" s="83" t="n">
        <v>22.5</v>
      </c>
      <c r="BJ335" s="83" t="n">
        <v>3</v>
      </c>
      <c r="BK335" s="84">
        <f>IF('BBG Verify'!S335="","not filed; run on terminal",'BBG Verify'!S335)</f>
        <v/>
      </c>
      <c r="BL335" s="85" t="inlineStr">
        <is>
          <t>Y</t>
        </is>
      </c>
      <c r="BM335" s="71" t="inlineStr">
        <is>
          <t>002050.SZ</t>
        </is>
      </c>
      <c r="BN335" s="82" t="n">
        <v>20.9</v>
      </c>
      <c r="BO335" s="74" t="n">
        <v>27.2396</v>
      </c>
      <c r="BP335" s="89" t="n">
        <v>0.6926</v>
      </c>
      <c r="BQ335" s="76" t="n">
        <v>178482.7</v>
      </c>
      <c r="BR335" s="84">
        <f>IF('BBG Verify'!Q335="","run on terminal",'BBG Verify'!Q335)</f>
        <v/>
      </c>
      <c r="BS335" s="84">
        <f>IF('BBG Verify'!R335="","run on terminal",'BBG Verify'!R335)</f>
        <v/>
      </c>
      <c r="BT335" s="85" t="inlineStr">
        <is>
          <t>China International Capital Corporation Hong Kong Securities Limited; Huatai Financial Holdings (Hong Kong) Limited</t>
        </is>
      </c>
      <c r="BU335" s="71" t="inlineStr">
        <is>
          <t>China International Capital Corporation Hong Kong Securities Limited; Huatai Financial Holdings (Hong Kong) Limited</t>
        </is>
      </c>
      <c r="BV335" s="71"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W335" s="71"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X335" s="87">
        <f>HYPERLINK("https://www1.hkexnews.hk/listedco/listconews/sehk/2025/0613/2025061300017.pdf","prospectus")</f>
        <v/>
      </c>
      <c r="BY335" s="87">
        <f>HYPERLINK("https://www1.hkexnews.hk/listedco/listconews/sehk/2025/0620/2025062002236.pdf","allotment")</f>
        <v/>
      </c>
      <c r="BZ335" s="87">
        <f>HYPERLINK("https://www1.hkexnews.hk/listedco/listconews/sehk/2025/0718/2025071801258.pdf","stabilisation")</f>
        <v/>
      </c>
      <c r="CA335" s="85" t="n"/>
      <c r="CB335" s="71" t="inlineStr">
        <is>
          <t>range low: maximum offer price only, no floor published; A/H: Jun 2025 H listing (thermal management/humanoid actuators)</t>
        </is>
      </c>
    </row>
    <row r="336" ht="15" customHeight="1">
      <c r="A336" s="70" t="inlineStr">
        <is>
          <t>2617</t>
        </is>
      </c>
      <c r="B336" s="71" t="inlineStr">
        <is>
          <t>TRANSTHERA-B</t>
        </is>
      </c>
      <c r="C336" s="71" t="inlineStr">
        <is>
          <t>藥捷安康－Ｂ</t>
        </is>
      </c>
      <c r="D336" s="71" t="inlineStr">
        <is>
          <t>Healthcare</t>
        </is>
      </c>
      <c r="E336" s="71" t="inlineStr">
        <is>
          <t>Biotech pre-revenue (18A)</t>
        </is>
      </c>
      <c r="F336" s="71" t="inlineStr">
        <is>
          <t>Pharmaceuticals</t>
        </is>
      </c>
      <c r="G336" s="71" t="inlineStr">
        <is>
          <t>18A</t>
        </is>
      </c>
      <c r="H336" s="72" t="n">
        <v>45831</v>
      </c>
      <c r="I336" s="73" t="n">
        <v>200.9</v>
      </c>
      <c r="J336" s="71" t="inlineStr">
        <is>
          <t>gross (price x shares)</t>
        </is>
      </c>
      <c r="K336" s="74" t="n"/>
      <c r="L336" s="74" t="n">
        <v>13.15</v>
      </c>
      <c r="M336" s="74" t="n">
        <v>13.15</v>
      </c>
      <c r="N336" s="71" t="inlineStr">
        <is>
          <t>Y</t>
        </is>
      </c>
      <c r="O336" s="75" t="n">
        <v>100</v>
      </c>
      <c r="P336" s="75" t="n"/>
      <c r="Q336" s="76" t="n">
        <v>5219.2</v>
      </c>
      <c r="R336" s="71" t="inlineStr">
        <is>
          <t>derived:price x shares upon listing</t>
        </is>
      </c>
      <c r="S336" s="77" t="n">
        <v>3419.87</v>
      </c>
      <c r="T336" s="88">
        <f>IF('BBG Verify'!E336="","not filed; run on terminal",'BBG Verify'!E336)</f>
        <v/>
      </c>
      <c r="U336" s="79" t="n">
        <v>64.06</v>
      </c>
      <c r="V336" s="80" t="n">
        <v>123</v>
      </c>
      <c r="W336" s="75" t="n">
        <v>20.01</v>
      </c>
      <c r="X336" s="71" t="inlineStr">
        <is>
          <t>NO</t>
        </is>
      </c>
      <c r="Y336" s="76" t="n">
        <v>72.2</v>
      </c>
      <c r="Z336" s="76" t="n">
        <v>5491991</v>
      </c>
      <c r="AA336" s="75" t="n">
        <v>1.38</v>
      </c>
      <c r="AB336" s="71" t="inlineStr">
        <is>
          <t>Akeso, Inc; BOCOM International Securities Limited; Huatai Capital Investment Limited</t>
        </is>
      </c>
      <c r="AC336" s="71" t="inlineStr">
        <is>
          <t>akeso;bank-communications;huatai</t>
        </is>
      </c>
      <c r="AD336" s="75" t="n">
        <v>8.390000000000001</v>
      </c>
      <c r="AE336" s="71" t="n"/>
      <c r="AF336" s="71" t="inlineStr">
        <is>
          <t>2025-07-18</t>
        </is>
      </c>
      <c r="AG336" s="71" t="inlineStr">
        <is>
          <t>CLSA Limited</t>
        </is>
      </c>
      <c r="AH336" s="71" t="inlineStr">
        <is>
          <t>CLSA</t>
        </is>
      </c>
      <c r="AI336" s="81" t="n">
        <v>69.202</v>
      </c>
      <c r="AJ336" s="82" t="n">
        <v>78.70999999999999</v>
      </c>
      <c r="AK336" s="82" t="n">
        <v>64.64</v>
      </c>
      <c r="AL336" s="82" t="n">
        <v>8.550000000000001</v>
      </c>
      <c r="AM336" s="83" t="n">
        <v>2.79</v>
      </c>
      <c r="AN336" s="75" t="n">
        <v>17.55</v>
      </c>
      <c r="AO336" s="82" t="n">
        <v>129.28</v>
      </c>
      <c r="AP336" s="82" t="n">
        <v>138.78</v>
      </c>
      <c r="AQ336" s="82" t="n">
        <v>1039.92</v>
      </c>
      <c r="AR336" s="82" t="n">
        <v>28.3</v>
      </c>
      <c r="AS336" s="82" t="n">
        <v>33.61</v>
      </c>
      <c r="AT336" s="82" t="n">
        <v>537.86</v>
      </c>
      <c r="AU336" s="82" t="n">
        <v>126.76</v>
      </c>
      <c r="AV336" s="82" t="n">
        <v>121.52</v>
      </c>
      <c r="AW336" s="82" t="n">
        <v>1007.75</v>
      </c>
      <c r="AX336" s="82" t="n">
        <v>18.12</v>
      </c>
      <c r="AY336" s="82" t="n">
        <v>17.26</v>
      </c>
      <c r="AZ336" s="82" t="n">
        <v>15.49</v>
      </c>
      <c r="BA336" s="71" t="inlineStr">
        <is>
          <t>China Biotech ETF (HS biotech proxy)</t>
        </is>
      </c>
      <c r="BB336" s="82" t="n">
        <v>-19.32</v>
      </c>
      <c r="BC336" s="72" t="inlineStr">
        <is>
          <t>2026-09-23</t>
        </is>
      </c>
      <c r="BD336" s="73" t="n">
        <v>1.3</v>
      </c>
      <c r="BE336" s="76" t="n">
        <v>-377.7</v>
      </c>
      <c r="BF336" s="71" t="inlineStr">
        <is>
          <t>N</t>
        </is>
      </c>
      <c r="BG336" s="71" t="inlineStr">
        <is>
          <t>n/m</t>
        </is>
      </c>
      <c r="BH336" s="83" t="n"/>
      <c r="BI336" s="83" t="n"/>
      <c r="BJ336" s="83" t="n">
        <v>4014.8</v>
      </c>
      <c r="BK336" s="84">
        <f>IF('BBG Verify'!S336="","not filed; run on terminal",'BBG Verify'!S336)</f>
        <v/>
      </c>
      <c r="BL336" s="85" t="inlineStr">
        <is>
          <t>N</t>
        </is>
      </c>
      <c r="BM336" s="86">
        <f>IF('BBG Verify'!K336="","not filed; run on terminal",'BBG Verify'!K336)</f>
        <v/>
      </c>
      <c r="BN336" s="71" t="inlineStr">
        <is>
          <t>N/A</t>
        </is>
      </c>
      <c r="BO336" s="71" t="inlineStr">
        <is>
          <t>N/A</t>
        </is>
      </c>
      <c r="BP336" s="71" t="inlineStr">
        <is>
          <t>N/A</t>
        </is>
      </c>
      <c r="BQ336" s="71" t="inlineStr">
        <is>
          <t>N/A</t>
        </is>
      </c>
      <c r="BR336" s="71" t="inlineStr">
        <is>
          <t>N/A</t>
        </is>
      </c>
      <c r="BS336" s="71" t="inlineStr">
        <is>
          <t>N/A</t>
        </is>
      </c>
      <c r="BT336" s="85" t="inlineStr">
        <is>
          <t>(In no particular order) CITIC Securities (Hong Kong) Limited; Huatai Financial Holdings (Hong Kong) Limited</t>
        </is>
      </c>
      <c r="BU336" s="71" t="inlineStr">
        <is>
          <t>Huatai Financial Holdings (Hong Kong) Limited; CITIC Securities (Hong Kong) Limited</t>
        </is>
      </c>
      <c r="BV336" s="71" t="inlineStr">
        <is>
          <t>CLSA Limited; Huatai Financial Holdings (Hong Kong) Limited; BOCI Asia Limited; CMB International Capital Limited; SPDB International Capital Limited; TradeGo Markets Limited</t>
        </is>
      </c>
      <c r="BW336" s="71" t="inlineStr">
        <is>
          <t>BOCI Asia Limited; BOCOM International Securities Limited; CLSA Limited; CMB International Capital Limited; Huatai Financial Holdings (Hong Kong) Limited; SPDB International Capital Limited; TradeGo Markets Limited</t>
        </is>
      </c>
      <c r="BX336" s="87">
        <f>HYPERLINK("https://www1.hkexnews.hk/listedco/listconews/sehk/2025/0613/2025061300035.pdf","prospectus")</f>
        <v/>
      </c>
      <c r="BY336" s="87">
        <f>HYPERLINK("https://www1.hkexnews.hk/listedco/listconews/sehk/2025/0620/2025062002274.pdf","allotment")</f>
        <v/>
      </c>
      <c r="BZ336" s="71" t="n"/>
      <c r="CA336" s="85" t="n"/>
      <c r="CB336" s="71"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t>
        </is>
      </c>
    </row>
    <row r="337" ht="15" customHeight="1">
      <c r="A337" s="70" t="inlineStr">
        <is>
          <t>2619</t>
        </is>
      </c>
      <c r="B337" s="71" t="inlineStr">
        <is>
          <t>XJ ELECTRICS</t>
        </is>
      </c>
      <c r="C337" s="71" t="inlineStr">
        <is>
          <t>香江電器</t>
        </is>
      </c>
      <c r="D337" s="71" t="inlineStr">
        <is>
          <t>Tech/AI</t>
        </is>
      </c>
      <c r="E337" s="71" t="inlineStr">
        <is>
          <t>Smart hardware / consumer electronics</t>
        </is>
      </c>
      <c r="F337" s="71" t="inlineStr">
        <is>
          <t>Household Appliances</t>
        </is>
      </c>
      <c r="G337" s="71" t="inlineStr">
        <is>
          <t>Standard</t>
        </is>
      </c>
      <c r="H337" s="72" t="n">
        <v>45833</v>
      </c>
      <c r="I337" s="73" t="n">
        <v>195.11</v>
      </c>
      <c r="J337" s="71" t="inlineStr">
        <is>
          <t>gross (stated)</t>
        </is>
      </c>
      <c r="K337" s="74" t="n"/>
      <c r="L337" s="74" t="n">
        <v>3.35</v>
      </c>
      <c r="M337" s="74" t="n">
        <v>2.86</v>
      </c>
      <c r="N337" s="71" t="inlineStr">
        <is>
          <t>N</t>
        </is>
      </c>
      <c r="O337" s="75" t="n">
        <v>85.40000000000001</v>
      </c>
      <c r="P337" s="75" t="n"/>
      <c r="Q337" s="76" t="n">
        <v>780.4</v>
      </c>
      <c r="R337" s="71" t="inlineStr">
        <is>
          <t>derived:price x shares upon listing</t>
        </is>
      </c>
      <c r="S337" s="77" t="n">
        <v>852.38</v>
      </c>
      <c r="T337" s="78" t="n">
        <v>1.08</v>
      </c>
      <c r="U337" s="79" t="n">
        <v>44</v>
      </c>
      <c r="V337" s="80" t="n">
        <v>292</v>
      </c>
      <c r="W337" s="75" t="n">
        <v>50</v>
      </c>
      <c r="X337" s="71" t="inlineStr">
        <is>
          <t>YES</t>
        </is>
      </c>
      <c r="Y337" s="76" t="n">
        <v>109.26</v>
      </c>
      <c r="Z337" s="76" t="n">
        <v>38203200</v>
      </c>
      <c r="AA337" s="75" t="n">
        <v>14</v>
      </c>
      <c r="AB337" s="71" t="inlineStr">
        <is>
          <t>Shunjie Investment; Xinghuang Holdings; Yunxing Technology</t>
        </is>
      </c>
      <c r="AC337" s="71" t="inlineStr">
        <is>
          <t>shunjie;xinghuang;yunxing</t>
        </is>
      </c>
      <c r="AD337" s="75" t="n">
        <v>19</v>
      </c>
      <c r="AE337" s="71" t="n"/>
      <c r="AF337" s="71" t="n"/>
      <c r="AG337" s="71" t="inlineStr">
        <is>
          <t>Sinolink Securities</t>
        </is>
      </c>
      <c r="AH337" s="71" t="inlineStr">
        <is>
          <t>Sinolink</t>
        </is>
      </c>
      <c r="AI337" s="81" t="n">
        <v>-4.895</v>
      </c>
      <c r="AJ337" s="82" t="n">
        <v>-11.89</v>
      </c>
      <c r="AK337" s="82" t="n">
        <v>-7.34</v>
      </c>
      <c r="AL337" s="82" t="n">
        <v>-4.91</v>
      </c>
      <c r="AM337" s="83" t="n">
        <v>0.88</v>
      </c>
      <c r="AN337" s="75" t="n">
        <v>8.68</v>
      </c>
      <c r="AO337" s="82" t="n">
        <v>-18.53</v>
      </c>
      <c r="AP337" s="82" t="n">
        <v>-16.08</v>
      </c>
      <c r="AQ337" s="82" t="n">
        <v>-31.82</v>
      </c>
      <c r="AR337" s="82" t="n">
        <v>-7.54</v>
      </c>
      <c r="AS337" s="82" t="n">
        <v>-4.76</v>
      </c>
      <c r="AT337" s="82" t="n">
        <v>-22.62</v>
      </c>
      <c r="AU337" s="82" t="n">
        <v>-17.47</v>
      </c>
      <c r="AV337" s="82" t="n">
        <v>-23.2</v>
      </c>
      <c r="AW337" s="82" t="n">
        <v>-48.07</v>
      </c>
      <c r="AX337" s="82" t="n">
        <v>-10.76</v>
      </c>
      <c r="AY337" s="82" t="n">
        <v>7.12</v>
      </c>
      <c r="AZ337" s="82" t="n">
        <v>6</v>
      </c>
      <c r="BA337" s="71" t="inlineStr">
        <is>
          <t>HSTECH (Hang Seng TECH ETF)</t>
        </is>
      </c>
      <c r="BB337" s="82" t="n">
        <v>-58.04</v>
      </c>
      <c r="BC337" s="72" t="inlineStr">
        <is>
          <t>2026-09-23</t>
        </is>
      </c>
      <c r="BD337" s="73" t="n">
        <v>1651.7</v>
      </c>
      <c r="BE337" s="76" t="n">
        <v>154.5</v>
      </c>
      <c r="BF337" s="71" t="inlineStr">
        <is>
          <t>Y</t>
        </is>
      </c>
      <c r="BG337" s="83" t="n">
        <v>5.1</v>
      </c>
      <c r="BH337" s="83" t="n">
        <v>3.3</v>
      </c>
      <c r="BI337" s="83" t="n">
        <v>5.3</v>
      </c>
      <c r="BJ337" s="83" t="n">
        <v>0.5</v>
      </c>
      <c r="BK337" s="84">
        <f>IF('BBG Verify'!S337="","not filed; run on terminal",'BBG Verify'!S337)</f>
        <v/>
      </c>
      <c r="BL337" s="85" t="inlineStr">
        <is>
          <t>N</t>
        </is>
      </c>
      <c r="BM337" s="86">
        <f>IF('BBG Verify'!K337="","not filed; run on terminal",'BBG Verify'!K337)</f>
        <v/>
      </c>
      <c r="BN337" s="71" t="inlineStr">
        <is>
          <t>N/A</t>
        </is>
      </c>
      <c r="BO337" s="71" t="inlineStr">
        <is>
          <t>N/A</t>
        </is>
      </c>
      <c r="BP337" s="71" t="inlineStr">
        <is>
          <t>N/A</t>
        </is>
      </c>
      <c r="BQ337" s="71" t="inlineStr">
        <is>
          <t>N/A</t>
        </is>
      </c>
      <c r="BR337" s="71" t="inlineStr">
        <is>
          <t>N/A</t>
        </is>
      </c>
      <c r="BS337" s="71" t="inlineStr">
        <is>
          <t>N/A</t>
        </is>
      </c>
      <c r="BT337" s="85" t="n"/>
      <c r="BU337" s="71" t="inlineStr">
        <is>
          <t>Sinolink Securities (Hong Kong) Company Limited</t>
        </is>
      </c>
      <c r="BV337" s="71" t="inlineStr">
        <is>
          <t>ABCI Securities Company Limited; CCB International Capital Limited; CMBC Securities Company Limited; CMB International Capital Limited; First Fidelity Capital (International) Limited; Sinolink Securities (Hong Kong) Company Limited</t>
        </is>
      </c>
      <c r="BW337" s="71"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X337" s="87">
        <f>HYPERLINK("https://www1.hkexnews.hk/listedco/listconews/sehk/2025/0617/2025061700043.pdf","prospectus")</f>
        <v/>
      </c>
      <c r="BY337" s="87">
        <f>HYPERLINK("https://www1.hkexnews.hk/listedco/listconews/sehk/2025/0624/2025062401168.pdf","allotment")</f>
        <v/>
      </c>
      <c r="BZ337" s="71" t="n"/>
      <c r="CA337" s="85" t="n"/>
      <c r="CB337" s="71" t="inlineStr">
        <is>
          <t>greenshoe: end-of-stabilisation notice not found; range low: maximum offer price only, no floor published; sponsor: English name not in the filing; AAStocks 保薦人 shown</t>
        </is>
      </c>
    </row>
    <row r="338" ht="15" customHeight="1">
      <c r="A338" s="70" t="inlineStr">
        <is>
          <t>2643</t>
        </is>
      </c>
      <c r="B338" s="71" t="inlineStr">
        <is>
          <t>CAOCAO INC</t>
        </is>
      </c>
      <c r="C338" s="71" t="inlineStr">
        <is>
          <t>曹操出行</t>
        </is>
      </c>
      <c r="D338" s="71" t="inlineStr">
        <is>
          <t>Tech/AI</t>
        </is>
      </c>
      <c r="E338" s="71" t="inlineStr">
        <is>
          <t>Internet platform / e-commerce</t>
        </is>
      </c>
      <c r="F338" s="71" t="inlineStr">
        <is>
          <t>Trucking</t>
        </is>
      </c>
      <c r="G338" s="71" t="inlineStr">
        <is>
          <t>Standard</t>
        </is>
      </c>
      <c r="H338" s="72" t="n">
        <v>45833</v>
      </c>
      <c r="I338" s="73" t="n">
        <v>1852.85</v>
      </c>
      <c r="J338" s="71" t="inlineStr">
        <is>
          <t>gross (stated)</t>
        </is>
      </c>
      <c r="K338" s="74" t="n"/>
      <c r="L338" s="74" t="n">
        <v>41.94</v>
      </c>
      <c r="M338" s="74" t="n">
        <v>41.94</v>
      </c>
      <c r="N338" s="71" t="inlineStr">
        <is>
          <t>Y</t>
        </is>
      </c>
      <c r="O338" s="75" t="n">
        <v>100</v>
      </c>
      <c r="P338" s="75" t="n"/>
      <c r="Q338" s="76" t="n">
        <v>22822.9</v>
      </c>
      <c r="R338" s="71" t="inlineStr">
        <is>
          <t>derived:price x shares upon listing</t>
        </is>
      </c>
      <c r="S338" s="77" t="n">
        <v>21.14</v>
      </c>
      <c r="T338" s="78" t="n">
        <v>2.78</v>
      </c>
      <c r="U338" s="79" t="n">
        <v>51.3</v>
      </c>
      <c r="V338" s="80" t="n">
        <v>120</v>
      </c>
      <c r="W338" s="75" t="n">
        <v>30</v>
      </c>
      <c r="X338" s="71" t="inlineStr">
        <is>
          <t>YES</t>
        </is>
      </c>
      <c r="Y338" s="76" t="n">
        <v>902.34</v>
      </c>
      <c r="Z338" s="76" t="n">
        <v>21514978</v>
      </c>
      <c r="AA338" s="75" t="n">
        <v>3.95</v>
      </c>
      <c r="AB338" s="71" t="inlineStr">
        <is>
          <t>Mercedes-Benz Mobility Services; Mirae Asset Securities (HK) Limited; Infini Global Master Fund; Gotion High-Tech (HK); EVE Asia; RoboSense Hong Kong</t>
        </is>
      </c>
      <c r="AC338" s="71" t="inlineStr">
        <is>
          <t>mercedes;mirae;infini;gotion;eve;robosense</t>
        </is>
      </c>
      <c r="AD338" s="75" t="n">
        <v>15</v>
      </c>
      <c r="AE338" s="71" t="inlineStr">
        <is>
          <t>partial</t>
        </is>
      </c>
      <c r="AF338" s="71" t="n"/>
      <c r="AG338" s="71" t="inlineStr">
        <is>
          <t>GF Securities</t>
        </is>
      </c>
      <c r="AH338" s="71" t="inlineStr">
        <is>
          <t>GF</t>
        </is>
      </c>
      <c r="AI338" s="81" t="n">
        <v>-14.163</v>
      </c>
      <c r="AJ338" s="82" t="n">
        <v>-14.16</v>
      </c>
      <c r="AK338" s="82" t="n">
        <v>-19.41</v>
      </c>
      <c r="AL338" s="82" t="n">
        <v>6.51</v>
      </c>
      <c r="AM338" s="83" t="n">
        <v>1.02</v>
      </c>
      <c r="AN338" s="75" t="n">
        <v>11.69</v>
      </c>
      <c r="AO338" s="82" t="n">
        <v>-16.19</v>
      </c>
      <c r="AP338" s="82" t="n">
        <v>-3.55</v>
      </c>
      <c r="AQ338" s="82" t="n">
        <v>25.18</v>
      </c>
      <c r="AR338" s="82" t="n">
        <v>-2.36</v>
      </c>
      <c r="AS338" s="82" t="n">
        <v>12.36</v>
      </c>
      <c r="AT338" s="82" t="n">
        <v>45.83</v>
      </c>
      <c r="AU338" s="82" t="n">
        <v>-15.13</v>
      </c>
      <c r="AV338" s="82" t="n">
        <v>-10.67</v>
      </c>
      <c r="AW338" s="82" t="n">
        <v>8.93</v>
      </c>
      <c r="AX338" s="82" t="n">
        <v>6.36</v>
      </c>
      <c r="AY338" s="82" t="n">
        <v>7.12</v>
      </c>
      <c r="AZ338" s="82" t="n">
        <v>6</v>
      </c>
      <c r="BA338" s="71" t="inlineStr">
        <is>
          <t>HSTECH (Hang Seng TECH ETF)</t>
        </is>
      </c>
      <c r="BB338" s="82" t="n">
        <v>-72.09999999999999</v>
      </c>
      <c r="BC338" s="72" t="inlineStr">
        <is>
          <t>2026-09-23</t>
        </is>
      </c>
      <c r="BD338" s="73" t="n">
        <v>16123.2</v>
      </c>
      <c r="BE338" s="76" t="n">
        <v>-1371</v>
      </c>
      <c r="BF338" s="71" t="inlineStr">
        <is>
          <t>N</t>
        </is>
      </c>
      <c r="BG338" s="71" t="inlineStr">
        <is>
          <t>n/m</t>
        </is>
      </c>
      <c r="BH338" s="83" t="n"/>
      <c r="BI338" s="83" t="n"/>
      <c r="BJ338" s="83" t="n">
        <v>1.4</v>
      </c>
      <c r="BK338" s="84">
        <f>IF('BBG Verify'!S338="","not filed; run on terminal",'BBG Verify'!S338)</f>
        <v/>
      </c>
      <c r="BL338" s="85" t="inlineStr">
        <is>
          <t>N</t>
        </is>
      </c>
      <c r="BM338" s="86">
        <f>IF('BBG Verify'!K338="","not filed; run on terminal",'BBG Verify'!K338)</f>
        <v/>
      </c>
      <c r="BN338" s="71" t="inlineStr">
        <is>
          <t>N/A</t>
        </is>
      </c>
      <c r="BO338" s="71" t="inlineStr">
        <is>
          <t>N/A</t>
        </is>
      </c>
      <c r="BP338" s="71" t="inlineStr">
        <is>
          <t>N/A</t>
        </is>
      </c>
      <c r="BQ338" s="71" t="inlineStr">
        <is>
          <t>N/A</t>
        </is>
      </c>
      <c r="BR338" s="71" t="inlineStr">
        <is>
          <t>N/A</t>
        </is>
      </c>
      <c r="BS338" s="71" t="inlineStr">
        <is>
          <t>N/A</t>
        </is>
      </c>
      <c r="BT338" s="85" t="inlineStr">
        <is>
          <t>Huatai Financial Holdings (Hong Kong) Limited; ABCI Capital Limited; GF Capital (Hong Kong) Limited</t>
        </is>
      </c>
      <c r="BU338" s="71" t="inlineStr">
        <is>
          <t>Huatai Financial Holdings (Hong Kong) Limited; GF Capital (Hong Kong) Limited; ABCI Capital Limited</t>
        </is>
      </c>
      <c r="BV338" s="71"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W338" s="71"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X338" s="87">
        <f>HYPERLINK("https://www1.hkexnews.hk/listedco/listconews/sehk/2025/0617/2025061700008.pdf","prospectus")</f>
        <v/>
      </c>
      <c r="BY338" s="87">
        <f>HYPERLINK("https://www1.hkexnews.hk/listedco/listconews/sehk/2025/0624/2025062401322.pdf","allotment")</f>
        <v/>
      </c>
      <c r="BZ338" s="87">
        <f>HYPERLINK("https://www1.hkexnews.hk/listedco/listconews/sehk/2025/0721/2025072100017.pdf","stabilisation")</f>
        <v/>
      </c>
      <c r="CA338" s="85" t="n"/>
      <c r="CB338" s="71" t="inlineStr">
        <is>
          <t>P/E: loss-making at IPO, use P/S; greenshoe: outcome published; expiry date not in the notice; range low: maximum offer price only, no floor published</t>
        </is>
      </c>
    </row>
    <row r="339" ht="15" customHeight="1">
      <c r="A339" s="70" t="inlineStr">
        <is>
          <t>6168</t>
        </is>
      </c>
      <c r="B339" s="71" t="inlineStr">
        <is>
          <t>ZHOU LIU FU</t>
        </is>
      </c>
      <c r="C339" s="71" t="inlineStr">
        <is>
          <t>周六福</t>
        </is>
      </c>
      <c r="D339" s="71" t="inlineStr">
        <is>
          <t>Consumer</t>
        </is>
      </c>
      <c r="E339" s="71" t="inlineStr">
        <is>
          <t>Apparel / luxury</t>
        </is>
      </c>
      <c r="F339" s="71" t="inlineStr">
        <is>
          <t>Watch &amp; Jewellery</t>
        </is>
      </c>
      <c r="G339" s="71" t="inlineStr">
        <is>
          <t>Standard</t>
        </is>
      </c>
      <c r="H339" s="72" t="n">
        <v>45834</v>
      </c>
      <c r="I339" s="73" t="n">
        <v>1291.9</v>
      </c>
      <c r="J339" s="71" t="inlineStr">
        <is>
          <t>gross (stated)</t>
        </is>
      </c>
      <c r="K339" s="74" t="n"/>
      <c r="L339" s="74" t="n">
        <v>24</v>
      </c>
      <c r="M339" s="74" t="n">
        <v>24</v>
      </c>
      <c r="N339" s="71" t="inlineStr">
        <is>
          <t>Y</t>
        </is>
      </c>
      <c r="O339" s="75" t="n">
        <v>100</v>
      </c>
      <c r="P339" s="75" t="n"/>
      <c r="Q339" s="76" t="n">
        <v>10381</v>
      </c>
      <c r="R339" s="71" t="inlineStr">
        <is>
          <t>derived:price x shares upon listing</t>
        </is>
      </c>
      <c r="S339" s="77" t="n">
        <v>711.11</v>
      </c>
      <c r="T339" s="78" t="n">
        <v>13.55</v>
      </c>
      <c r="U339" s="79" t="n"/>
      <c r="V339" s="80" t="n">
        <v>129</v>
      </c>
      <c r="W339" s="75" t="n">
        <v>43.48</v>
      </c>
      <c r="X339" s="71" t="inlineStr">
        <is>
          <t>YES</t>
        </is>
      </c>
      <c r="Y339" s="76" t="n"/>
      <c r="Z339" s="76" t="n"/>
      <c r="AA339" s="75" t="n"/>
      <c r="AB339" s="71" t="inlineStr">
        <is>
          <t>CICC Financial Trading Limited; Jump Trading Pacific Pte. Ltd; Seraphim Advantage Inc; GF International Investment Management Limited; GF Global Capital Limited; CITIC Securities International Capital Management Limited; Trading Pacific Pte. Ltd</t>
        </is>
      </c>
      <c r="AC339" s="71" t="inlineStr">
        <is>
          <t>china-international;jump;seraphim;gf;citic;trading</t>
        </is>
      </c>
      <c r="AD339" s="75" t="n">
        <v>15</v>
      </c>
      <c r="AE339" s="71" t="n"/>
      <c r="AF339" s="71" t="n"/>
      <c r="AG339" s="71" t="n"/>
      <c r="AH339" s="71" t="n"/>
      <c r="AI339" s="81" t="n">
        <v>12.917</v>
      </c>
      <c r="AJ339" s="82" t="n">
        <v>25</v>
      </c>
      <c r="AK339" s="82" t="n">
        <v>11.25</v>
      </c>
      <c r="AL339" s="82" t="n">
        <v>12.36</v>
      </c>
      <c r="AM339" s="83" t="n">
        <v>1.5</v>
      </c>
      <c r="AN339" s="75" t="n">
        <v>12.36</v>
      </c>
      <c r="AO339" s="82" t="n">
        <v>55.42</v>
      </c>
      <c r="AP339" s="82" t="n">
        <v>61.46</v>
      </c>
      <c r="AQ339" s="82" t="n">
        <v>81.25</v>
      </c>
      <c r="AR339" s="82" t="n">
        <v>24.34</v>
      </c>
      <c r="AS339" s="82" t="n">
        <v>29.17</v>
      </c>
      <c r="AT339" s="82" t="n">
        <v>45</v>
      </c>
      <c r="AU339" s="82" t="n">
        <v>57.84</v>
      </c>
      <c r="AV339" s="82" t="n">
        <v>56.14</v>
      </c>
      <c r="AW339" s="82" t="n">
        <v>67.05</v>
      </c>
      <c r="AX339" s="82" t="n">
        <v>23.09</v>
      </c>
      <c r="AY339" s="82" t="n">
        <v>5.32</v>
      </c>
      <c r="AZ339" s="82" t="n">
        <v>6.08</v>
      </c>
      <c r="BA339" s="71" t="inlineStr">
        <is>
          <t>Hang Seng Commerce &amp; Industry sub-index</t>
        </is>
      </c>
      <c r="BB339" s="82" t="n">
        <v>-46.17</v>
      </c>
      <c r="BC339" s="72" t="inlineStr">
        <is>
          <t>2026-09-23</t>
        </is>
      </c>
      <c r="BD339" s="73" t="n">
        <v>6290</v>
      </c>
      <c r="BE339" s="76" t="n">
        <v>776.9</v>
      </c>
      <c r="BF339" s="71" t="inlineStr">
        <is>
          <t>Y</t>
        </is>
      </c>
      <c r="BG339" s="83" t="n">
        <v>13.4</v>
      </c>
      <c r="BH339" s="83" t="n">
        <v>14.5</v>
      </c>
      <c r="BI339" s="83" t="n">
        <v>6.3</v>
      </c>
      <c r="BJ339" s="83" t="n">
        <v>1.7</v>
      </c>
      <c r="BK339" s="84">
        <f>IF('BBG Verify'!S339="","not filed; run on terminal",'BBG Verify'!S339)</f>
        <v/>
      </c>
      <c r="BL339" s="85" t="inlineStr">
        <is>
          <t>N</t>
        </is>
      </c>
      <c r="BM339" s="86">
        <f>IF('BBG Verify'!K339="","not filed; run on terminal",'BBG Verify'!K339)</f>
        <v/>
      </c>
      <c r="BN339" s="71" t="inlineStr">
        <is>
          <t>N/A</t>
        </is>
      </c>
      <c r="BO339" s="71" t="inlineStr">
        <is>
          <t>N/A</t>
        </is>
      </c>
      <c r="BP339" s="71" t="inlineStr">
        <is>
          <t>N/A</t>
        </is>
      </c>
      <c r="BQ339" s="71" t="inlineStr">
        <is>
          <t>N/A</t>
        </is>
      </c>
      <c r="BR339" s="71" t="inlineStr">
        <is>
          <t>N/A</t>
        </is>
      </c>
      <c r="BS339" s="71" t="inlineStr">
        <is>
          <t>N/A</t>
        </is>
      </c>
      <c r="BT339" s="85" t="n"/>
      <c r="BU339" s="71" t="inlineStr">
        <is>
          <t>China International Capital Corporation Hong Kong Securities Limited; China Securities (International) Corporate Finance Company Limited</t>
        </is>
      </c>
      <c r="BV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W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X339" s="71" t="n"/>
      <c r="BY339" s="87">
        <f>HYPERLINK("https://www1.hkexnews.hk/listedco/listconews/sehk/2025/0625/2025062502268.pdf","allotment")</f>
        <v/>
      </c>
      <c r="BZ339" s="71" t="n"/>
      <c r="CA339" s="85" t="n"/>
      <c r="CB339" s="71"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eff free float: % of cap not computable: cornerstone % unknown</t>
        </is>
      </c>
    </row>
    <row r="340" ht="15" customHeight="1">
      <c r="A340" s="70" t="inlineStr">
        <is>
          <t>2508</t>
        </is>
      </c>
      <c r="B340" s="71" t="inlineStr">
        <is>
          <t>SAINT BELLA</t>
        </is>
      </c>
      <c r="C340" s="71" t="inlineStr">
        <is>
          <t>聖貝拉集團</t>
        </is>
      </c>
      <c r="D340" s="71" t="inlineStr">
        <is>
          <t>Healthcare</t>
        </is>
      </c>
      <c r="E340" s="71" t="inlineStr">
        <is>
          <t>Hospitals / clinics</t>
        </is>
      </c>
      <c r="F340" s="71" t="inlineStr">
        <is>
          <t>Health Care Services</t>
        </is>
      </c>
      <c r="G340" s="71" t="inlineStr">
        <is>
          <t>Standard</t>
        </is>
      </c>
      <c r="H340" s="72" t="n">
        <v>45834</v>
      </c>
      <c r="I340" s="73" t="n">
        <v>722</v>
      </c>
      <c r="J340" s="71" t="inlineStr">
        <is>
          <t>gross (price x shares)</t>
        </is>
      </c>
      <c r="K340" s="74" t="n"/>
      <c r="L340" s="74" t="n">
        <v>6.58</v>
      </c>
      <c r="M340" s="74" t="n">
        <v>6.58</v>
      </c>
      <c r="N340" s="71" t="inlineStr">
        <is>
          <t>Y</t>
        </is>
      </c>
      <c r="O340" s="75" t="n">
        <v>100</v>
      </c>
      <c r="P340" s="75" t="n"/>
      <c r="Q340" s="76" t="n">
        <v>4012</v>
      </c>
      <c r="R340" s="71" t="inlineStr">
        <is>
          <t>derived:price x shares upon listing</t>
        </is>
      </c>
      <c r="S340" s="77" t="n">
        <v>193</v>
      </c>
      <c r="T340" s="78" t="n">
        <v>15.59</v>
      </c>
      <c r="U340" s="79" t="n">
        <v>10.8</v>
      </c>
      <c r="V340" s="80" t="n">
        <v>100</v>
      </c>
      <c r="W340" s="75" t="n">
        <v>43.48</v>
      </c>
      <c r="X340" s="71" t="inlineStr">
        <is>
          <t>YES</t>
        </is>
      </c>
      <c r="Y340" s="76" t="n">
        <v>644.02</v>
      </c>
      <c r="Z340" s="76" t="n">
        <v>97881836</v>
      </c>
      <c r="AA340" s="75" t="n">
        <v>16.05</v>
      </c>
      <c r="AB340" s="71" t="inlineStr">
        <is>
          <t>JKKB Limited; Carl Wu / 吳啟楠</t>
        </is>
      </c>
      <c r="AC340" s="71" t="inlineStr">
        <is>
          <t>jkkb;carl</t>
        </is>
      </c>
      <c r="AD340" s="75" t="n">
        <v>15</v>
      </c>
      <c r="AE340" s="71" t="inlineStr">
        <is>
          <t>partial</t>
        </is>
      </c>
      <c r="AF340" s="71" t="inlineStr">
        <is>
          <t>2025-07-23</t>
        </is>
      </c>
      <c r="AG340" s="71" t="inlineStr">
        <is>
          <t>UBS AG Hong Kong Branch</t>
        </is>
      </c>
      <c r="AH340" s="71" t="inlineStr">
        <is>
          <t>UBS</t>
        </is>
      </c>
      <c r="AI340" s="81" t="n">
        <v>21.884</v>
      </c>
      <c r="AJ340" s="82" t="n">
        <v>33.74</v>
      </c>
      <c r="AK340" s="82" t="n">
        <v>28.42</v>
      </c>
      <c r="AL340" s="82" t="n">
        <v>4.14</v>
      </c>
      <c r="AM340" s="83" t="n">
        <v>1.98</v>
      </c>
      <c r="AN340" s="75" t="n">
        <v>30.18</v>
      </c>
      <c r="AO340" s="82" t="n">
        <v>0.46</v>
      </c>
      <c r="AP340" s="82" t="n">
        <v>16.41</v>
      </c>
      <c r="AQ340" s="82" t="n">
        <v>-6.53</v>
      </c>
      <c r="AR340" s="82" t="n">
        <v>-24.88</v>
      </c>
      <c r="AS340" s="82" t="n">
        <v>-12.96</v>
      </c>
      <c r="AT340" s="82" t="n">
        <v>-30.11</v>
      </c>
      <c r="AU340" s="82" t="n">
        <v>-3.25</v>
      </c>
      <c r="AV340" s="82" t="n">
        <v>-2.52</v>
      </c>
      <c r="AW340" s="82" t="n">
        <v>-34</v>
      </c>
      <c r="AX340" s="82" t="n">
        <v>-34.63</v>
      </c>
      <c r="AY340" s="82" t="n">
        <v>18.93</v>
      </c>
      <c r="AZ340" s="82" t="n">
        <v>21.67</v>
      </c>
      <c r="BA340" s="71" t="inlineStr">
        <is>
          <t>China Biotech ETF (HS biotech proxy)</t>
        </is>
      </c>
      <c r="BB340" s="82" t="n">
        <v>-53.65</v>
      </c>
      <c r="BC340" s="72" t="inlineStr">
        <is>
          <t>2026-09-23</t>
        </is>
      </c>
      <c r="BD340" s="73" t="n">
        <v>878.5</v>
      </c>
      <c r="BE340" s="76" t="n">
        <v>-597.6</v>
      </c>
      <c r="BF340" s="71" t="inlineStr">
        <is>
          <t>N</t>
        </is>
      </c>
      <c r="BG340" s="71" t="inlineStr">
        <is>
          <t>n/m</t>
        </is>
      </c>
      <c r="BH340" s="83" t="n"/>
      <c r="BI340" s="83" t="n">
        <v>2.2</v>
      </c>
      <c r="BJ340" s="83" t="n">
        <v>4.6</v>
      </c>
      <c r="BK340" s="84">
        <f>IF('BBG Verify'!S340="","not filed; run on terminal",'BBG Verify'!S340)</f>
        <v/>
      </c>
      <c r="BL340" s="85" t="inlineStr">
        <is>
          <t>N</t>
        </is>
      </c>
      <c r="BM340" s="86">
        <f>IF('BBG Verify'!K340="","not filed; run on terminal",'BBG Verify'!K340)</f>
        <v/>
      </c>
      <c r="BN340" s="71" t="inlineStr">
        <is>
          <t>N/A</t>
        </is>
      </c>
      <c r="BO340" s="71" t="inlineStr">
        <is>
          <t>N/A</t>
        </is>
      </c>
      <c r="BP340" s="71" t="inlineStr">
        <is>
          <t>N/A</t>
        </is>
      </c>
      <c r="BQ340" s="71" t="inlineStr">
        <is>
          <t>N/A</t>
        </is>
      </c>
      <c r="BR340" s="71" t="inlineStr">
        <is>
          <t>N/A</t>
        </is>
      </c>
      <c r="BS340" s="71" t="inlineStr">
        <is>
          <t>N/A</t>
        </is>
      </c>
      <c r="BT340" s="85" t="inlineStr">
        <is>
          <t>UBS Securities Hong Kong Limited; CITIC Securities (Hong Kong) Limited</t>
        </is>
      </c>
      <c r="BU340" s="71" t="inlineStr">
        <is>
          <t>UBS Securities Hong Kong Limited; CITIC Securities (Hong Kong) Limited</t>
        </is>
      </c>
      <c r="BV340" s="71"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W340" s="71"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X340" s="87">
        <f>HYPERLINK("https://www1.hkexnews.hk/listedco/listconews/sehk/2025/0618/2025061800127.pdf","prospectus")</f>
        <v/>
      </c>
      <c r="BY340" s="87">
        <f>HYPERLINK("https://www1.hkexnews.hk/listedco/listconews/sehk/2025/0625/2025062502266.pdf","allotment")</f>
        <v/>
      </c>
      <c r="BZ340" s="87">
        <f>HYPERLINK("https://www1.hkexnews.hk/listedco/listconews/sehk/2025/0723/2025072301180.pdf","stabilisation")</f>
        <v/>
      </c>
      <c r="CA340" s="85" t="n"/>
      <c r="CB340" s="71" t="inlineStr">
        <is>
          <t>P/E: loss-making at IPO, use P/S; range low: maximum offer price only, no floor published</t>
        </is>
      </c>
    </row>
    <row r="341" ht="15" customHeight="1">
      <c r="A341" s="70" t="inlineStr">
        <is>
          <t>6883</t>
        </is>
      </c>
      <c r="B341" s="71" t="inlineStr">
        <is>
          <t>ETERNAL BEAUTY</t>
        </is>
      </c>
      <c r="C341" s="71" t="inlineStr">
        <is>
          <t>穎通控股</t>
        </is>
      </c>
      <c r="D341" s="71" t="inlineStr">
        <is>
          <t>Consumer</t>
        </is>
      </c>
      <c r="E341" s="71" t="inlineStr">
        <is>
          <t>Beauty / personal care</t>
        </is>
      </c>
      <c r="F341" s="71" t="inlineStr">
        <is>
          <t>Beauty &amp; Toiletries Products and Services</t>
        </is>
      </c>
      <c r="G341" s="71" t="inlineStr">
        <is>
          <t>Standard</t>
        </is>
      </c>
      <c r="H341" s="72" t="n">
        <v>45834</v>
      </c>
      <c r="I341" s="73" t="n">
        <v>960.1900000000001</v>
      </c>
      <c r="J341" s="71" t="inlineStr">
        <is>
          <t>gross (stated)</t>
        </is>
      </c>
      <c r="K341" s="74" t="n"/>
      <c r="L341" s="74" t="n">
        <v>2.88</v>
      </c>
      <c r="M341" s="74" t="n">
        <v>2.88</v>
      </c>
      <c r="N341" s="71" t="inlineStr">
        <is>
          <t>Y</t>
        </is>
      </c>
      <c r="O341" s="75" t="n">
        <v>100</v>
      </c>
      <c r="P341" s="75" t="n"/>
      <c r="Q341" s="76" t="n">
        <v>3840.2</v>
      </c>
      <c r="R341" s="71" t="inlineStr">
        <is>
          <t>derived:price x shares upon listing</t>
        </is>
      </c>
      <c r="S341" s="77" t="n">
        <v>35.84</v>
      </c>
      <c r="T341" s="78" t="n">
        <v>3.5</v>
      </c>
      <c r="U341" s="79" t="n"/>
      <c r="V341" s="80" t="n">
        <v>210</v>
      </c>
      <c r="W341" s="75" t="n">
        <v>30</v>
      </c>
      <c r="X341" s="71" t="inlineStr">
        <is>
          <t>YES</t>
        </is>
      </c>
      <c r="Y341" s="76" t="n">
        <v>960.1900000000001</v>
      </c>
      <c r="Z341" s="76" t="n">
        <v>333400000</v>
      </c>
      <c r="AA341" s="75" t="n">
        <v>25</v>
      </c>
      <c r="AB341" s="71" t="n"/>
      <c r="AC341" s="71" t="n"/>
      <c r="AD341" s="75" t="n">
        <v>15</v>
      </c>
      <c r="AE341" s="71" t="n"/>
      <c r="AF341" s="71" t="inlineStr">
        <is>
          <t>2025-07-23</t>
        </is>
      </c>
      <c r="AG341" s="71" t="n"/>
      <c r="AH341" s="71" t="n"/>
      <c r="AI341" s="81" t="n">
        <v>-2.431</v>
      </c>
      <c r="AJ341" s="82" t="n">
        <v>-16.67</v>
      </c>
      <c r="AK341" s="82" t="n">
        <v>-10.42</v>
      </c>
      <c r="AL341" s="82" t="n">
        <v>-6.98</v>
      </c>
      <c r="AM341" s="83" t="n">
        <v>1.74</v>
      </c>
      <c r="AN341" s="75" t="n">
        <v>20.93</v>
      </c>
      <c r="AO341" s="82" t="n">
        <v>-23.61</v>
      </c>
      <c r="AP341" s="82" t="n">
        <v>-28.47</v>
      </c>
      <c r="AQ341" s="82" t="n">
        <v>-27.08</v>
      </c>
      <c r="AR341" s="82" t="n">
        <v>-8.33</v>
      </c>
      <c r="AS341" s="82" t="n">
        <v>-14.16</v>
      </c>
      <c r="AT341" s="82" t="n">
        <v>-12.49</v>
      </c>
      <c r="AU341" s="82" t="n">
        <v>-21.19</v>
      </c>
      <c r="AV341" s="82" t="n">
        <v>-33.79</v>
      </c>
      <c r="AW341" s="82" t="n">
        <v>-41.28</v>
      </c>
      <c r="AX341" s="82" t="n">
        <v>-20.24</v>
      </c>
      <c r="AY341" s="82" t="n">
        <v>5.32</v>
      </c>
      <c r="AZ341" s="82" t="n">
        <v>6.08</v>
      </c>
      <c r="BA341" s="71" t="inlineStr">
        <is>
          <t>Hang Seng Commerce &amp; Industry sub-index</t>
        </is>
      </c>
      <c r="BB341" s="82" t="n">
        <v>-31.6</v>
      </c>
      <c r="BC341" s="72" t="inlineStr">
        <is>
          <t>2026-09-18</t>
        </is>
      </c>
      <c r="BD341" s="73" t="n">
        <v>2291.7</v>
      </c>
      <c r="BE341" s="76" t="n">
        <v>249.7</v>
      </c>
      <c r="BF341" s="71" t="inlineStr">
        <is>
          <t>Y</t>
        </is>
      </c>
      <c r="BG341" s="83" t="n">
        <v>15.4</v>
      </c>
      <c r="BH341" s="83" t="n"/>
      <c r="BI341" s="83" t="n">
        <v>9.1</v>
      </c>
      <c r="BJ341" s="83" t="n">
        <v>1.7</v>
      </c>
      <c r="BK341" s="84">
        <f>IF('BBG Verify'!S341="","not filed; run on terminal",'BBG Verify'!S341)</f>
        <v/>
      </c>
      <c r="BL341" s="85" t="inlineStr">
        <is>
          <t>N</t>
        </is>
      </c>
      <c r="BM341" s="86">
        <f>IF('BBG Verify'!K341="","not filed; run on terminal",'BBG Verify'!K341)</f>
        <v/>
      </c>
      <c r="BN341" s="71" t="inlineStr">
        <is>
          <t>N/A</t>
        </is>
      </c>
      <c r="BO341" s="71" t="inlineStr">
        <is>
          <t>N/A</t>
        </is>
      </c>
      <c r="BP341" s="71" t="inlineStr">
        <is>
          <t>N/A</t>
        </is>
      </c>
      <c r="BQ341" s="71" t="inlineStr">
        <is>
          <t>N/A</t>
        </is>
      </c>
      <c r="BR341" s="71" t="inlineStr">
        <is>
          <t>N/A</t>
        </is>
      </c>
      <c r="BS341" s="71" t="inlineStr">
        <is>
          <t>N/A</t>
        </is>
      </c>
      <c r="BT341" s="85" t="n"/>
      <c r="BU341" s="71" t="inlineStr">
        <is>
          <t>CITIC Securities (Hong Kong) Limited; BNP Paribas Securities (Asia) Limited</t>
        </is>
      </c>
      <c r="BV341" s="71" t="inlineStr">
        <is>
          <t>BNP Paribas Securities (Asia) Limited; China Harbour International Securities Limited; CLSA Limited; CMB International Capital Corporation Limited; DBS Asia Capital Limited; First Shanghai Securities Limited</t>
        </is>
      </c>
      <c r="BW341" s="71"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X341" s="71" t="n"/>
      <c r="BY341" s="87">
        <f>HYPERLINK("https://www1.hkexnews.hk/listedco/listconews/sehk/2025/0626/2025062600005.pdf","allotment")</f>
        <v/>
      </c>
      <c r="BZ341" s="71" t="n"/>
      <c r="CA341" s="85" t="n"/>
      <c r="CB341"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t>
        </is>
      </c>
    </row>
    <row r="342" ht="15" customHeight="1">
      <c r="A342" s="70" t="inlineStr">
        <is>
          <t>9678</t>
        </is>
      </c>
      <c r="B342" s="71" t="inlineStr">
        <is>
          <t>UNISOUND</t>
        </is>
      </c>
      <c r="C342" s="71" t="inlineStr">
        <is>
          <t>雲知聲</t>
        </is>
      </c>
      <c r="D342" s="71" t="inlineStr">
        <is>
          <t>Tech/AI</t>
        </is>
      </c>
      <c r="E342" s="71" t="inlineStr">
        <is>
          <t>AI application / agent software</t>
        </is>
      </c>
      <c r="F342" s="71" t="inlineStr">
        <is>
          <t>Advanced hardware and software</t>
        </is>
      </c>
      <c r="G342" s="71" t="inlineStr">
        <is>
          <t>Standard</t>
        </is>
      </c>
      <c r="H342" s="72" t="n">
        <v>45838</v>
      </c>
      <c r="I342" s="73" t="n">
        <v>320</v>
      </c>
      <c r="J342" s="71" t="inlineStr">
        <is>
          <t>gross (stated)</t>
        </is>
      </c>
      <c r="K342" s="74" t="n">
        <v>165</v>
      </c>
      <c r="L342" s="74" t="n">
        <v>205</v>
      </c>
      <c r="M342" s="74" t="n">
        <v>205</v>
      </c>
      <c r="N342" s="71" t="inlineStr">
        <is>
          <t>Y</t>
        </is>
      </c>
      <c r="O342" s="75" t="n">
        <v>100</v>
      </c>
      <c r="P342" s="75" t="n">
        <v>100</v>
      </c>
      <c r="Q342" s="76" t="n">
        <v>14545.5</v>
      </c>
      <c r="R342" s="71" t="inlineStr">
        <is>
          <t>derived:price x shares upon listing</t>
        </is>
      </c>
      <c r="S342" s="77" t="n">
        <v>91.66</v>
      </c>
      <c r="T342" s="78" t="n">
        <v>1.7</v>
      </c>
      <c r="U342" s="79" t="n">
        <v>29.65</v>
      </c>
      <c r="V342" s="80" t="n">
        <v>119</v>
      </c>
      <c r="W342" s="75" t="n">
        <v>40</v>
      </c>
      <c r="X342" s="71" t="inlineStr">
        <is>
          <t>YES</t>
        </is>
      </c>
      <c r="Y342" s="76" t="n">
        <v>225.12</v>
      </c>
      <c r="Z342" s="76" t="n">
        <v>1098149</v>
      </c>
      <c r="AA342" s="75" t="n">
        <v>1.55</v>
      </c>
      <c r="AB342" s="71" t="inlineStr">
        <is>
          <t>Nebula</t>
        </is>
      </c>
      <c r="AC342" s="71" t="inlineStr">
        <is>
          <t>nebula</t>
        </is>
      </c>
      <c r="AD342" s="75" t="n">
        <v>10.17</v>
      </c>
      <c r="AE342" s="71" t="inlineStr">
        <is>
          <t>full</t>
        </is>
      </c>
      <c r="AF342" s="71" t="inlineStr">
        <is>
          <t>2025-07-25</t>
        </is>
      </c>
      <c r="AG342" s="71" t="inlineStr">
        <is>
          <t>China International Capital Corporation Hong Kong Securities Limited</t>
        </is>
      </c>
      <c r="AH342" s="71" t="inlineStr">
        <is>
          <t>China International</t>
        </is>
      </c>
      <c r="AI342" s="81" t="n">
        <v>-2.878</v>
      </c>
      <c r="AJ342" s="82" t="n">
        <v>44.59</v>
      </c>
      <c r="AK342" s="82" t="n">
        <v>0</v>
      </c>
      <c r="AL342" s="82" t="n">
        <v>44.59</v>
      </c>
      <c r="AM342" s="83" t="n">
        <v>1.29</v>
      </c>
      <c r="AN342" s="75" t="n">
        <v>59.41</v>
      </c>
      <c r="AO342" s="82" t="n">
        <v>105.37</v>
      </c>
      <c r="AP342" s="82" t="n">
        <v>184.88</v>
      </c>
      <c r="AQ342" s="82" t="n">
        <v>137.17</v>
      </c>
      <c r="AR342" s="82" t="n">
        <v>42.04</v>
      </c>
      <c r="AS342" s="82" t="n">
        <v>97.03</v>
      </c>
      <c r="AT342" s="82" t="n">
        <v>64.03</v>
      </c>
      <c r="AU342" s="82" t="n">
        <v>105.56</v>
      </c>
      <c r="AV342" s="82" t="n">
        <v>182.02</v>
      </c>
      <c r="AW342" s="82" t="n">
        <v>121.63</v>
      </c>
      <c r="AX342" s="82" t="n">
        <v>93.48</v>
      </c>
      <c r="AY342" s="82" t="n">
        <v>2.86</v>
      </c>
      <c r="AZ342" s="82" t="n">
        <v>3.55</v>
      </c>
      <c r="BA342" s="71" t="inlineStr">
        <is>
          <t>HSTECH (Hang Seng TECH ETF)</t>
        </is>
      </c>
      <c r="BB342" s="82" t="n">
        <v>-67.8</v>
      </c>
      <c r="BC342" s="72" t="inlineStr">
        <is>
          <t>2026-09-23</t>
        </is>
      </c>
      <c r="BD342" s="73" t="n">
        <v>1032.9</v>
      </c>
      <c r="BE342" s="76" t="n">
        <v>-499.6</v>
      </c>
      <c r="BF342" s="71" t="inlineStr">
        <is>
          <t>N</t>
        </is>
      </c>
      <c r="BG342" s="71" t="inlineStr">
        <is>
          <t>n/m</t>
        </is>
      </c>
      <c r="BH342" s="83" t="n"/>
      <c r="BI342" s="83" t="n"/>
      <c r="BJ342" s="83" t="n">
        <v>14.1</v>
      </c>
      <c r="BK342" s="84">
        <f>IF('BBG Verify'!S342="","not filed; run on terminal",'BBG Verify'!S342)</f>
        <v/>
      </c>
      <c r="BL342" s="85" t="inlineStr">
        <is>
          <t>N</t>
        </is>
      </c>
      <c r="BM342" s="86">
        <f>IF('BBG Verify'!K342="","not filed; run on terminal",'BBG Verify'!K342)</f>
        <v/>
      </c>
      <c r="BN342" s="71" t="inlineStr">
        <is>
          <t>N/A</t>
        </is>
      </c>
      <c r="BO342" s="71" t="inlineStr">
        <is>
          <t>N/A</t>
        </is>
      </c>
      <c r="BP342" s="71" t="inlineStr">
        <is>
          <t>N/A</t>
        </is>
      </c>
      <c r="BQ342" s="71" t="inlineStr">
        <is>
          <t>N/A</t>
        </is>
      </c>
      <c r="BR342" s="71" t="inlineStr">
        <is>
          <t>N/A</t>
        </is>
      </c>
      <c r="BS342" s="71" t="inlineStr">
        <is>
          <t>N/A</t>
        </is>
      </c>
      <c r="BT342" s="85" t="inlineStr">
        <is>
          <t>China International Capital Corporation Hong Kong Securities Limited; Haitong International Capital Limited</t>
        </is>
      </c>
      <c r="BU342" s="71" t="inlineStr">
        <is>
          <t>China International Capital Corporation Hong Kong Securities Limited; Haitong International Capital Limited</t>
        </is>
      </c>
      <c r="BV342" s="71" t="inlineStr">
        <is>
          <t>China International Capital Corporation Hong Kong Securities Limited; Haitong International Securities Company Limited; ABCI Capital Limited; Orient Securities (Hong Kong) Limited; CMBC Securities Company Limited; Tiger Brokers (HK) Global Limited</t>
        </is>
      </c>
      <c r="BW342" s="71" t="inlineStr">
        <is>
          <t>ABCI Securities Company Limited; China International Capital Corporation Hong Kong Securities Limited; CMBC Securities Company Limited; Haitong International Securities Company Limited; Orient Securities (Hong Kong) Limited; Tiger Brokers (HK) Global Limited</t>
        </is>
      </c>
      <c r="BX342" s="87">
        <f>HYPERLINK("https://www1.hkexnews.hk/listedco/listconews/sehk/2025/0620/2025062000023.pdf","prospectus")</f>
        <v/>
      </c>
      <c r="BY342" s="87">
        <f>HYPERLINK("https://www1.hkexnews.hk/listedco/listconews/sehk/2025/0627/2025062702974.pdf","allotment")</f>
        <v/>
      </c>
      <c r="BZ342" s="87">
        <f>HYPERLINK("https://www1.hkexnews.hk/listedco/listconews/sehk/2025/0725/2025072501515.pdf","stabilisation")</f>
        <v/>
      </c>
      <c r="CA342" s="85" t="n"/>
      <c r="CB342" s="71" t="inlineStr">
        <is>
          <t>P/E: loss-making at IPO, use P/S; A/H: no A-share listing; nearest A proxy iFlytek (002230.SZ)</t>
        </is>
      </c>
    </row>
    <row r="343" ht="15" customHeight="1">
      <c r="A343" s="70" t="inlineStr">
        <is>
          <t>3880</t>
        </is>
      </c>
      <c r="B343" s="71" t="inlineStr">
        <is>
          <t>MEDTIDE</t>
        </is>
      </c>
      <c r="C343" s="71" t="inlineStr">
        <is>
          <t>泰德醫藥</t>
        </is>
      </c>
      <c r="D343" s="71" t="inlineStr">
        <is>
          <t>Healthcare</t>
        </is>
      </c>
      <c r="E343" s="71" t="inlineStr">
        <is>
          <t>CXO / pharma services</t>
        </is>
      </c>
      <c r="F343" s="71" t="inlineStr">
        <is>
          <t>Biotechnology - Pharmaceuticals</t>
        </is>
      </c>
      <c r="G343" s="71" t="inlineStr">
        <is>
          <t>Standard</t>
        </is>
      </c>
      <c r="H343" s="72" t="n">
        <v>45838</v>
      </c>
      <c r="I343" s="73" t="n">
        <v>514.08</v>
      </c>
      <c r="J343" s="71" t="inlineStr">
        <is>
          <t>gross (stated)</t>
        </is>
      </c>
      <c r="K343" s="74" t="n">
        <v>28.4</v>
      </c>
      <c r="L343" s="74" t="n">
        <v>30.6</v>
      </c>
      <c r="M343" s="74" t="n">
        <v>30.6</v>
      </c>
      <c r="N343" s="71" t="inlineStr">
        <is>
          <t>Y</t>
        </is>
      </c>
      <c r="O343" s="75" t="n">
        <v>100</v>
      </c>
      <c r="P343" s="75" t="n">
        <v>100</v>
      </c>
      <c r="Q343" s="76" t="n">
        <v>4339.1</v>
      </c>
      <c r="R343" s="71" t="inlineStr">
        <is>
          <t>derived:price x shares upon listing</t>
        </is>
      </c>
      <c r="S343" s="77" t="n">
        <v>301.15</v>
      </c>
      <c r="T343" s="78" t="n">
        <v>2.43</v>
      </c>
      <c r="U343" s="79" t="n">
        <v>15.27</v>
      </c>
      <c r="V343" s="80" t="n">
        <v>115</v>
      </c>
      <c r="W343" s="75" t="n">
        <v>50</v>
      </c>
      <c r="X343" s="71" t="inlineStr">
        <is>
          <t>YES</t>
        </is>
      </c>
      <c r="Y343" s="76" t="n">
        <v>435.58</v>
      </c>
      <c r="Z343" s="76" t="n">
        <v>14234640</v>
      </c>
      <c r="AA343" s="75" t="n">
        <v>10.04</v>
      </c>
      <c r="AB343" s="71" t="inlineStr">
        <is>
          <t>Dragon Merit Holdings Limited; Welight Capital L.P</t>
        </is>
      </c>
      <c r="AC343" s="71" t="inlineStr">
        <is>
          <t>dragon;welight</t>
        </is>
      </c>
      <c r="AD343" s="75" t="n"/>
      <c r="AE343" s="71" t="n"/>
      <c r="AF343" s="71" t="n"/>
      <c r="AG343" s="71" t="n"/>
      <c r="AH343" s="71" t="n"/>
      <c r="AI343" s="81" t="n">
        <v>1.797</v>
      </c>
      <c r="AJ343" s="82" t="n">
        <v>0.65</v>
      </c>
      <c r="AK343" s="82" t="n">
        <v>-0.98</v>
      </c>
      <c r="AL343" s="82" t="n">
        <v>1.65</v>
      </c>
      <c r="AM343" s="83" t="n">
        <v>1.02</v>
      </c>
      <c r="AN343" s="75" t="n">
        <v>15.68</v>
      </c>
      <c r="AO343" s="82" t="n">
        <v>1.63</v>
      </c>
      <c r="AP343" s="82" t="n">
        <v>15.52</v>
      </c>
      <c r="AQ343" s="82" t="n">
        <v>0</v>
      </c>
      <c r="AR343" s="82" t="n">
        <v>0.97</v>
      </c>
      <c r="AS343" s="82" t="n">
        <v>14.77</v>
      </c>
      <c r="AT343" s="82" t="n">
        <v>-0.65</v>
      </c>
      <c r="AU343" s="82" t="n">
        <v>-2.27</v>
      </c>
      <c r="AV343" s="82" t="n">
        <v>-9.640000000000001</v>
      </c>
      <c r="AW343" s="82" t="n">
        <v>-28.79</v>
      </c>
      <c r="AX343" s="82" t="n">
        <v>-9.359999999999999</v>
      </c>
      <c r="AY343" s="82" t="n">
        <v>25.16</v>
      </c>
      <c r="AZ343" s="82" t="n">
        <v>24.13</v>
      </c>
      <c r="BA343" s="71" t="inlineStr">
        <is>
          <t>China Biotech ETF (HS biotech proxy)</t>
        </is>
      </c>
      <c r="BB343" s="82" t="n">
        <v>-26.14</v>
      </c>
      <c r="BC343" s="72" t="inlineStr">
        <is>
          <t>2026-09-23</t>
        </is>
      </c>
      <c r="BD343" s="73" t="n">
        <v>486.4</v>
      </c>
      <c r="BE343" s="76" t="n">
        <v>65.09999999999999</v>
      </c>
      <c r="BF343" s="71" t="inlineStr">
        <is>
          <t>Y</t>
        </is>
      </c>
      <c r="BG343" s="83" t="n">
        <v>66.7</v>
      </c>
      <c r="BH343" s="83" t="n">
        <v>59.8</v>
      </c>
      <c r="BI343" s="83" t="n">
        <v>11.6</v>
      </c>
      <c r="BJ343" s="83" t="n">
        <v>8.9</v>
      </c>
      <c r="BK343" s="84">
        <f>IF('BBG Verify'!S343="","not filed; run on terminal",'BBG Verify'!S343)</f>
        <v/>
      </c>
      <c r="BL343" s="85" t="inlineStr">
        <is>
          <t>N</t>
        </is>
      </c>
      <c r="BM343" s="86">
        <f>IF('BBG Verify'!K343="","not filed; run on terminal",'BBG Verify'!K343)</f>
        <v/>
      </c>
      <c r="BN343" s="71" t="inlineStr">
        <is>
          <t>N/A</t>
        </is>
      </c>
      <c r="BO343" s="71" t="inlineStr">
        <is>
          <t>N/A</t>
        </is>
      </c>
      <c r="BP343" s="71" t="inlineStr">
        <is>
          <t>N/A</t>
        </is>
      </c>
      <c r="BQ343" s="71" t="inlineStr">
        <is>
          <t>N/A</t>
        </is>
      </c>
      <c r="BR343" s="71" t="inlineStr">
        <is>
          <t>N/A</t>
        </is>
      </c>
      <c r="BS343" s="71" t="inlineStr">
        <is>
          <t>N/A</t>
        </is>
      </c>
      <c r="BT343" s="85" t="inlineStr">
        <is>
          <t>Morgan Stanley Asia Limited; CITIC Securities (Hong Kong) Limited</t>
        </is>
      </c>
      <c r="BU343" s="71" t="inlineStr">
        <is>
          <t>Morgan Stanley Asia Limited; CITIC Securities (Hong Kong) Limited</t>
        </is>
      </c>
      <c r="BV343" s="71" t="inlineStr">
        <is>
          <t>Aristo Securities Limited; China Everbright Securities (HK) Limited; CLSA Limited; Morgan Stanley Asia Limited; Prime Securities Limited; Soochow Securities International Brokerage Limited</t>
        </is>
      </c>
      <c r="BW343" s="71" t="inlineStr">
        <is>
          <t>Aristo Securities Limited; China Everbright Securities (HK) Limited; CLSA Limited; Morgan Stanley Asia Limited; Prime Securities Limited; Soochow Securities International Brokerage Limited</t>
        </is>
      </c>
      <c r="BX343" s="87">
        <f>HYPERLINK("https://www1.hkexnews.hk/listedco/listconews/sehk/2025/0620/2025062000021.pdf","prospectus")</f>
        <v/>
      </c>
      <c r="BY343" s="87">
        <f>HYPERLINK("https://www1.hkexnews.hk/listedco/listconews/sehk/2025/0627/2025062703092.pdf","allotment")</f>
        <v/>
      </c>
      <c r="BZ343" s="71" t="n"/>
      <c r="CA343" s="85" t="n"/>
      <c r="CB343" s="71" t="inlineStr">
        <is>
          <t>greenshoe: no over-allotment option; greenshoe size: no over-allotment option; stabilising manager: no over-allotment option, so none appointed</t>
        </is>
      </c>
    </row>
    <row r="344" ht="15" customHeight="1">
      <c r="A344" s="70" t="inlineStr">
        <is>
          <t>6603</t>
        </is>
      </c>
      <c r="B344" s="71" t="inlineStr">
        <is>
          <t>IFBH</t>
        </is>
      </c>
      <c r="C344" s="71" t="inlineStr">
        <is>
          <t>IFBH</t>
        </is>
      </c>
      <c r="D344" s="71" t="inlineStr">
        <is>
          <t>Consumer</t>
        </is>
      </c>
      <c r="E344" s="71" t="inlineStr">
        <is>
          <t>Beverages / packaged food</t>
        </is>
      </c>
      <c r="F344" s="71" t="inlineStr">
        <is>
          <t>Beverages (Non-alcoholic)</t>
        </is>
      </c>
      <c r="G344" s="71" t="inlineStr">
        <is>
          <t>Standard</t>
        </is>
      </c>
      <c r="H344" s="72" t="n">
        <v>45838</v>
      </c>
      <c r="I344" s="73" t="n">
        <v>1158.3</v>
      </c>
      <c r="J344" s="71" t="inlineStr">
        <is>
          <t>gross (price x shares)</t>
        </is>
      </c>
      <c r="K344" s="74" t="n">
        <v>25.3</v>
      </c>
      <c r="L344" s="74" t="n">
        <v>27.8</v>
      </c>
      <c r="M344" s="74" t="n">
        <v>27.8</v>
      </c>
      <c r="N344" s="71" t="inlineStr">
        <is>
          <t>Y</t>
        </is>
      </c>
      <c r="O344" s="75" t="n">
        <v>100</v>
      </c>
      <c r="P344" s="75" t="n">
        <v>100</v>
      </c>
      <c r="Q344" s="76" t="n">
        <v>7410.7</v>
      </c>
      <c r="R344" s="71" t="inlineStr">
        <is>
          <t>derived:deal size / offer % of enlarged capital</t>
        </is>
      </c>
      <c r="S344" s="77" t="n">
        <v>2682.35</v>
      </c>
      <c r="T344" s="78" t="n">
        <v>22.93</v>
      </c>
      <c r="U344" s="79" t="n">
        <v>78.3</v>
      </c>
      <c r="V344" s="80" t="n">
        <v>102</v>
      </c>
      <c r="W344" s="75" t="n">
        <v>50</v>
      </c>
      <c r="X344" s="71" t="inlineStr">
        <is>
          <t>YES</t>
        </is>
      </c>
      <c r="Y344" s="76" t="n">
        <v>251.35</v>
      </c>
      <c r="Z344" s="76" t="n">
        <v>9041696</v>
      </c>
      <c r="AA344" s="75" t="n">
        <v>3.39</v>
      </c>
      <c r="AB344" s="71" t="inlineStr">
        <is>
          <t>Harvest Oriental SP; UBS AM Singapore; Black Dragon CP Fund SPC; Co Limited (China Southern); Mega Prime; ICBC Wealth; Jain Global Master Fund Ltd; Jane Street</t>
        </is>
      </c>
      <c r="AC344" s="71" t="inlineStr">
        <is>
          <t>harvest;ubs;black;co-limited;mega;icbc;jain;jane</t>
        </is>
      </c>
      <c r="AD344" s="75" t="n">
        <v>15</v>
      </c>
      <c r="AE344" s="71" t="inlineStr">
        <is>
          <t>full</t>
        </is>
      </c>
      <c r="AF344" s="71" t="inlineStr">
        <is>
          <t>2025-07-25</t>
        </is>
      </c>
      <c r="AG344" s="71" t="inlineStr">
        <is>
          <t>CLSA Limited</t>
        </is>
      </c>
      <c r="AH344" s="71" t="inlineStr">
        <is>
          <t>CLSA</t>
        </is>
      </c>
      <c r="AI344" s="81" t="n">
        <v>60.971</v>
      </c>
      <c r="AJ344" s="82" t="n">
        <v>42.09</v>
      </c>
      <c r="AK344" s="82" t="n">
        <v>57.91</v>
      </c>
      <c r="AL344" s="82" t="n">
        <v>-10.02</v>
      </c>
      <c r="AM344" s="83" t="n">
        <v>1.87</v>
      </c>
      <c r="AN344" s="75" t="n">
        <v>19.36</v>
      </c>
      <c r="AO344" s="82" t="n">
        <v>45.68</v>
      </c>
      <c r="AP344" s="82" t="n">
        <v>33.63</v>
      </c>
      <c r="AQ344" s="82" t="n">
        <v>9.5</v>
      </c>
      <c r="AR344" s="82" t="n">
        <v>2.53</v>
      </c>
      <c r="AS344" s="82" t="n">
        <v>-5.95</v>
      </c>
      <c r="AT344" s="82" t="n">
        <v>-22.94</v>
      </c>
      <c r="AU344" s="82" t="n">
        <v>46.45</v>
      </c>
      <c r="AV344" s="82" t="n">
        <v>29.27</v>
      </c>
      <c r="AW344" s="82" t="n">
        <v>-3.08</v>
      </c>
      <c r="AX344" s="82" t="n">
        <v>-11.09</v>
      </c>
      <c r="AY344" s="82" t="n">
        <v>4.36</v>
      </c>
      <c r="AZ344" s="82" t="n">
        <v>5.14</v>
      </c>
      <c r="BA344" s="71" t="inlineStr">
        <is>
          <t>Hang Seng Commerce &amp; Industry sub-index</t>
        </is>
      </c>
      <c r="BB344" s="82" t="n">
        <v>-85.54000000000001</v>
      </c>
      <c r="BC344" s="72" t="inlineStr">
        <is>
          <t>2026-09-23</t>
        </is>
      </c>
      <c r="BD344" s="73" t="n">
        <v>1229.7</v>
      </c>
      <c r="BE344" s="76" t="n">
        <v>259.9</v>
      </c>
      <c r="BF344" s="71" t="inlineStr">
        <is>
          <t>Y</t>
        </is>
      </c>
      <c r="BG344" s="83" t="n">
        <v>28.5</v>
      </c>
      <c r="BH344" s="83" t="n">
        <v>33</v>
      </c>
      <c r="BI344" s="83" t="n">
        <v>7.2</v>
      </c>
      <c r="BJ344" s="83" t="n">
        <v>6</v>
      </c>
      <c r="BK344" s="84">
        <f>IF('BBG Verify'!S344="","not filed; run on terminal",'BBG Verify'!S344)</f>
        <v/>
      </c>
      <c r="BL344" s="85" t="inlineStr">
        <is>
          <t>N</t>
        </is>
      </c>
      <c r="BM344" s="86">
        <f>IF('BBG Verify'!K344="","not filed; run on terminal",'BBG Verify'!K344)</f>
        <v/>
      </c>
      <c r="BN344" s="71" t="inlineStr">
        <is>
          <t>N/A</t>
        </is>
      </c>
      <c r="BO344" s="71" t="inlineStr">
        <is>
          <t>N/A</t>
        </is>
      </c>
      <c r="BP344" s="71" t="inlineStr">
        <is>
          <t>N/A</t>
        </is>
      </c>
      <c r="BQ344" s="71" t="inlineStr">
        <is>
          <t>N/A</t>
        </is>
      </c>
      <c r="BR344" s="71" t="inlineStr">
        <is>
          <t>N/A</t>
        </is>
      </c>
      <c r="BS344" s="71" t="inlineStr">
        <is>
          <t>N/A</t>
        </is>
      </c>
      <c r="BT344" s="85" t="inlineStr">
        <is>
          <t>CITIC Securities (Hong Kong) Limited; CLSA Limited</t>
        </is>
      </c>
      <c r="BU344" s="71" t="inlineStr">
        <is>
          <t>CITIC Securities (Hong Kong) Limited</t>
        </is>
      </c>
      <c r="BV344" s="71" t="inlineStr">
        <is>
          <t>BOCI Asia Limited; CLSA Limited</t>
        </is>
      </c>
      <c r="BW344" s="71" t="inlineStr">
        <is>
          <t>BOCI Asia Limited; CLSA Limited</t>
        </is>
      </c>
      <c r="BX344" s="87">
        <f>HYPERLINK("https://www1.hkexnews.hk/listedco/listconews/sehk/2025/0620/2025062000033.pdf","prospectus")</f>
        <v/>
      </c>
      <c r="BY344" s="87">
        <f>HYPERLINK("https://www1.hkexnews.hk/listedco/listconews/sehk/2025/0627/2025062703890.pdf","allotment")</f>
        <v/>
      </c>
      <c r="BZ344" s="87">
        <f>HYPERLINK("https://www1.hkexnews.hk/listedco/listconews/sehk/2025/0725/2025072501707.pdf","stabilisation")</f>
        <v/>
      </c>
      <c r="CA344" s="85" t="n"/>
      <c r="CB344" s="71" t="inlineStr"/>
    </row>
    <row r="345" ht="15" customHeight="1">
      <c r="A345" s="70" t="inlineStr">
        <is>
          <t>2592</t>
        </is>
      </c>
      <c r="B345" s="71" t="inlineStr">
        <is>
          <t>CLOUDBREAK-B</t>
        </is>
      </c>
      <c r="C345" s="71" t="inlineStr">
        <is>
          <t>撥康視雲－Ｂ</t>
        </is>
      </c>
      <c r="D345" s="71" t="inlineStr">
        <is>
          <t>Healthcare</t>
        </is>
      </c>
      <c r="E345" s="71" t="inlineStr">
        <is>
          <t>Biotech pre-revenue (18A)</t>
        </is>
      </c>
      <c r="F345" s="71" t="inlineStr">
        <is>
          <t>Biotechnology - Pharmaceuticals</t>
        </is>
      </c>
      <c r="G345" s="71" t="inlineStr">
        <is>
          <t>18A</t>
        </is>
      </c>
      <c r="H345" s="72" t="n">
        <v>45841</v>
      </c>
      <c r="I345" s="73" t="n">
        <v>611.88</v>
      </c>
      <c r="J345" s="71" t="inlineStr">
        <is>
          <t>gross (stated)</t>
        </is>
      </c>
      <c r="K345" s="74" t="n"/>
      <c r="L345" s="74" t="n">
        <v>10.1</v>
      </c>
      <c r="M345" s="74" t="n">
        <v>10.1</v>
      </c>
      <c r="N345" s="71" t="inlineStr">
        <is>
          <t>Y</t>
        </is>
      </c>
      <c r="O345" s="75" t="n">
        <v>100</v>
      </c>
      <c r="P345" s="75" t="n"/>
      <c r="Q345" s="76" t="n">
        <v>8472.799999999999</v>
      </c>
      <c r="R345" s="71" t="inlineStr">
        <is>
          <t>derived:price x shares upon listing</t>
        </is>
      </c>
      <c r="S345" s="77" t="n">
        <v>78.78</v>
      </c>
      <c r="T345" s="88">
        <f>IF('BBG Verify'!E345="","not filed; run on terminal",'BBG Verify'!E345)</f>
        <v/>
      </c>
      <c r="U345" s="79" t="n">
        <v>29.25</v>
      </c>
      <c r="V345" s="80" t="n">
        <v>168</v>
      </c>
      <c r="W345" s="75" t="n">
        <v>20</v>
      </c>
      <c r="X345" s="71" t="inlineStr">
        <is>
          <t>NO</t>
        </is>
      </c>
      <c r="Y345" s="76" t="n">
        <v>432.91</v>
      </c>
      <c r="Z345" s="76" t="n">
        <v>42861765</v>
      </c>
      <c r="AA345" s="75" t="n">
        <v>5.11</v>
      </c>
      <c r="AB345" s="71" t="inlineStr">
        <is>
          <t>Offering WSH; Reynold Lemkins US2.80 million</t>
        </is>
      </c>
      <c r="AC345" s="71" t="inlineStr">
        <is>
          <t>offering;reynold</t>
        </is>
      </c>
      <c r="AD345" s="75" t="n"/>
      <c r="AE345" s="71" t="n"/>
      <c r="AF345" s="71" t="n"/>
      <c r="AG345" s="71" t="n"/>
      <c r="AH345" s="71" t="n"/>
      <c r="AI345" s="81" t="n">
        <v>3.564</v>
      </c>
      <c r="AJ345" s="82" t="n">
        <v>-38.61</v>
      </c>
      <c r="AK345" s="82" t="n">
        <v>-5.94</v>
      </c>
      <c r="AL345" s="82" t="n">
        <v>-34.73</v>
      </c>
      <c r="AM345" s="83" t="n">
        <v>3.63</v>
      </c>
      <c r="AN345" s="75" t="n">
        <v>43.58</v>
      </c>
      <c r="AO345" s="82" t="n">
        <v>-42.57</v>
      </c>
      <c r="AP345" s="82" t="n">
        <v>-49.5</v>
      </c>
      <c r="AQ345" s="82" t="n">
        <v>-55.35</v>
      </c>
      <c r="AR345" s="82" t="n">
        <v>-6.45</v>
      </c>
      <c r="AS345" s="82" t="n">
        <v>-17.74</v>
      </c>
      <c r="AT345" s="82" t="n">
        <v>-27.27</v>
      </c>
      <c r="AU345" s="82" t="n">
        <v>-45.93</v>
      </c>
      <c r="AV345" s="82" t="n">
        <v>-68.91</v>
      </c>
      <c r="AW345" s="82" t="n">
        <v>-86.84999999999999</v>
      </c>
      <c r="AX345" s="82" t="n">
        <v>-33.83</v>
      </c>
      <c r="AY345" s="82" t="n">
        <v>19.41</v>
      </c>
      <c r="AZ345" s="82" t="n">
        <v>16.09</v>
      </c>
      <c r="BA345" s="71" t="inlineStr">
        <is>
          <t>China Biotech ETF (HS biotech proxy)</t>
        </is>
      </c>
      <c r="BB345" s="82" t="n">
        <v>-88.22</v>
      </c>
      <c r="BC345" s="72" t="inlineStr">
        <is>
          <t>2026-09-18</t>
        </is>
      </c>
      <c r="BD345" s="73" t="n">
        <v>78</v>
      </c>
      <c r="BE345" s="76" t="n">
        <v>-773.2</v>
      </c>
      <c r="BF345" s="71" t="inlineStr">
        <is>
          <t>N</t>
        </is>
      </c>
      <c r="BG345" s="71" t="inlineStr">
        <is>
          <t>n/m</t>
        </is>
      </c>
      <c r="BH345" s="83" t="n"/>
      <c r="BI345" s="83" t="n"/>
      <c r="BJ345" s="83" t="n">
        <v>108.6</v>
      </c>
      <c r="BK345" s="84">
        <f>IF('BBG Verify'!S345="","not filed; run on terminal",'BBG Verify'!S345)</f>
        <v/>
      </c>
      <c r="BL345" s="85" t="inlineStr">
        <is>
          <t>N</t>
        </is>
      </c>
      <c r="BM345" s="86">
        <f>IF('BBG Verify'!K345="","not filed; run on terminal",'BBG Verify'!K345)</f>
        <v/>
      </c>
      <c r="BN345" s="71" t="inlineStr">
        <is>
          <t>N/A</t>
        </is>
      </c>
      <c r="BO345" s="71" t="inlineStr">
        <is>
          <t>N/A</t>
        </is>
      </c>
      <c r="BP345" s="71" t="inlineStr">
        <is>
          <t>N/A</t>
        </is>
      </c>
      <c r="BQ345" s="71" t="inlineStr">
        <is>
          <t>N/A</t>
        </is>
      </c>
      <c r="BR345" s="71" t="inlineStr">
        <is>
          <t>N/A</t>
        </is>
      </c>
      <c r="BS345" s="71" t="inlineStr">
        <is>
          <t>N/A</t>
        </is>
      </c>
      <c r="BT345" s="85" t="inlineStr">
        <is>
          <t>CCB International Capital Limited; Huatai Financial Holdings (Hong Kong) Limited</t>
        </is>
      </c>
      <c r="BU345" s="71" t="inlineStr">
        <is>
          <t>CCB International Capital Limited; Huatai Financial Holdings (Hong Kong) Limited</t>
        </is>
      </c>
      <c r="BV345" s="71"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W345" s="71"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X345" s="87">
        <f>HYPERLINK("https://www1.hkexnews.hk/listedco/listconews/sehk/2025/0624/2025062400005.pdf","prospectus")</f>
        <v/>
      </c>
      <c r="BY345" s="87">
        <f>HYPERLINK("https://www1.hkexnews.hk/listedco/listconews/sehk/2025/0702/2025070203783.pdf","allotment")</f>
        <v/>
      </c>
      <c r="BZ345" s="71" t="n"/>
      <c r="CA345" s="85" t="n"/>
      <c r="CB345" s="71"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346" ht="15" customHeight="1">
      <c r="A346" s="70" t="inlineStr">
        <is>
          <t>2648</t>
        </is>
      </c>
      <c r="B346" s="71" t="inlineStr">
        <is>
          <t>ANJOY FOOD</t>
        </is>
      </c>
      <c r="C346" s="71" t="inlineStr">
        <is>
          <t>安井食品</t>
        </is>
      </c>
      <c r="D346" s="71" t="inlineStr">
        <is>
          <t>Consumer</t>
        </is>
      </c>
      <c r="E346" s="71" t="inlineStr">
        <is>
          <t>Beverages / packaged food</t>
        </is>
      </c>
      <c r="F346" s="71" t="inlineStr">
        <is>
          <t>Packaged Foods</t>
        </is>
      </c>
      <c r="G346" s="71" t="inlineStr">
        <is>
          <t>Standard</t>
        </is>
      </c>
      <c r="H346" s="72" t="n">
        <v>45842</v>
      </c>
      <c r="I346" s="73" t="n">
        <v>2400</v>
      </c>
      <c r="J346" s="71" t="inlineStr">
        <is>
          <t>gross (stated)</t>
        </is>
      </c>
      <c r="K346" s="74" t="n"/>
      <c r="L346" s="74" t="n">
        <v>66</v>
      </c>
      <c r="M346" s="74" t="n">
        <v>60</v>
      </c>
      <c r="N346" s="71" t="inlineStr">
        <is>
          <t>N</t>
        </is>
      </c>
      <c r="O346" s="75" t="n">
        <v>90.90000000000001</v>
      </c>
      <c r="P346" s="75" t="n"/>
      <c r="Q346" s="76" t="n">
        <v>25404.9</v>
      </c>
      <c r="R346" s="71" t="inlineStr">
        <is>
          <t>prospectus:stated market capitalisation, rescaled to the offer price</t>
        </is>
      </c>
      <c r="S346" s="77" t="n">
        <v>44.2</v>
      </c>
      <c r="T346" s="78" t="n">
        <v>5.85</v>
      </c>
      <c r="U346" s="79" t="n">
        <v>26.76</v>
      </c>
      <c r="V346" s="80" t="n">
        <v>131</v>
      </c>
      <c r="W346" s="75" t="n">
        <v>30</v>
      </c>
      <c r="X346" s="71" t="inlineStr">
        <is>
          <t>YES</t>
        </is>
      </c>
      <c r="Y346" s="76" t="n">
        <v>1757.76</v>
      </c>
      <c r="Z346" s="76" t="n">
        <v>29292118</v>
      </c>
      <c r="AA346" s="75" t="n">
        <v>6.92</v>
      </c>
      <c r="AB346" s="71" t="inlineStr">
        <is>
          <t>HK Greenwoods; Hosen Capital; FCP Domains; NonaV erse</t>
        </is>
      </c>
      <c r="AC346" s="71" t="inlineStr">
        <is>
          <t>greenwoods;hosen;fcp;nonav</t>
        </is>
      </c>
      <c r="AD346" s="75" t="n">
        <v>15</v>
      </c>
      <c r="AE346" s="71" t="inlineStr">
        <is>
          <t>lapsed</t>
        </is>
      </c>
      <c r="AF346" s="71" t="inlineStr">
        <is>
          <t>2025-07-30</t>
        </is>
      </c>
      <c r="AG346" s="71" t="inlineStr">
        <is>
          <t>Goldman Sachs</t>
        </is>
      </c>
      <c r="AH346" s="71" t="inlineStr">
        <is>
          <t>Goldman Sachs</t>
        </is>
      </c>
      <c r="AI346" s="81" t="n">
        <v>-0.667</v>
      </c>
      <c r="AJ346" s="82" t="n">
        <v>-5</v>
      </c>
      <c r="AK346" s="82" t="n">
        <v>0</v>
      </c>
      <c r="AL346" s="82" t="n">
        <v>-5</v>
      </c>
      <c r="AM346" s="83" t="n">
        <v>1.03</v>
      </c>
      <c r="AN346" s="75" t="n">
        <v>5.17</v>
      </c>
      <c r="AO346" s="82" t="n">
        <v>0.08</v>
      </c>
      <c r="AP346" s="82" t="n">
        <v>0</v>
      </c>
      <c r="AQ346" s="82" t="n">
        <v>-2.58</v>
      </c>
      <c r="AR346" s="82" t="n">
        <v>5.35</v>
      </c>
      <c r="AS346" s="82" t="n">
        <v>5.26</v>
      </c>
      <c r="AT346" s="82" t="n">
        <v>2.55</v>
      </c>
      <c r="AU346" s="82" t="n">
        <v>0.3</v>
      </c>
      <c r="AV346" s="82" t="n">
        <v>-4.12</v>
      </c>
      <c r="AW346" s="82" t="n">
        <v>-23.07</v>
      </c>
      <c r="AX346" s="82" t="n">
        <v>0.45</v>
      </c>
      <c r="AY346" s="82" t="n">
        <v>4.12</v>
      </c>
      <c r="AZ346" s="82" t="n">
        <v>4.81</v>
      </c>
      <c r="BA346" s="71" t="inlineStr">
        <is>
          <t>Hang Seng Commerce &amp; Industry sub-index</t>
        </is>
      </c>
      <c r="BB346" s="82" t="n">
        <v>7</v>
      </c>
      <c r="BC346" s="72" t="inlineStr">
        <is>
          <t>2026-09-23</t>
        </is>
      </c>
      <c r="BD346" s="73" t="n">
        <v>16532.5</v>
      </c>
      <c r="BE346" s="76" t="n">
        <v>1665</v>
      </c>
      <c r="BF346" s="71" t="inlineStr">
        <is>
          <t>Y</t>
        </is>
      </c>
      <c r="BG346" s="83" t="n">
        <v>15.3</v>
      </c>
      <c r="BH346" s="83" t="n">
        <v>10.2</v>
      </c>
      <c r="BI346" s="83" t="n">
        <v>11.9</v>
      </c>
      <c r="BJ346" s="83" t="n">
        <v>1.5</v>
      </c>
      <c r="BK346" s="84">
        <f>IF('BBG Verify'!S346="","not filed; run on terminal",'BBG Verify'!S346)</f>
        <v/>
      </c>
      <c r="BL346" s="85" t="inlineStr">
        <is>
          <t>Y</t>
        </is>
      </c>
      <c r="BM346" s="71" t="inlineStr">
        <is>
          <t>603345.SS</t>
        </is>
      </c>
      <c r="BN346" s="82" t="n">
        <v>41.8</v>
      </c>
      <c r="BO346" s="74" t="n">
        <v>85.0814</v>
      </c>
      <c r="BP346" s="89" t="n">
        <v>0.4493</v>
      </c>
      <c r="BQ346" s="76" t="n">
        <v>31616.9</v>
      </c>
      <c r="BR346" s="84">
        <f>IF('BBG Verify'!Q346="","run on terminal",'BBG Verify'!Q346)</f>
        <v/>
      </c>
      <c r="BS346" s="84">
        <f>IF('BBG Verify'!R346="","run on terminal",'BBG Verify'!R346)</f>
        <v/>
      </c>
      <c r="BT346" s="85" t="inlineStr">
        <is>
          <t>Goldman Sachs (Asia) L.L.C; China International Capital Corporation Hong Kong Securities Limited</t>
        </is>
      </c>
      <c r="BU346" s="71" t="inlineStr">
        <is>
          <t>China International Capital Corporation Hong Kong Securities Limited; Goldman Sachs (Asia) L.L.C.</t>
        </is>
      </c>
      <c r="BV346" s="71"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W346" s="71"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X346" s="87">
        <f>HYPERLINK("https://www1.hkexnews.hk/listedco/listconews/sehk/2025/0625/2025062500043.pdf","prospectus")</f>
        <v/>
      </c>
      <c r="BY346" s="87">
        <f>HYPERLINK("https://www1.hkexnews.hk/listedco/listconews/sehk/2025/0703/2025070302241.pdf","allotment")</f>
        <v/>
      </c>
      <c r="BZ346" s="87">
        <f>HYPERLINK("https://www1.hkexnews.hk/listedco/listconews/sehk/2025/0730/2025073001416.pdf","stabilisation")</f>
        <v/>
      </c>
      <c r="CA346" s="85" t="n"/>
      <c r="CB346" s="71" t="inlineStr">
        <is>
          <t>range low: maximum offer price only, no floor published; A/H: Jul 2025 H listing (frozen foods); market cap: prospectus cap HK$27,945m at HK$66.00, rescaled to HK$60.00</t>
        </is>
      </c>
    </row>
    <row r="347" ht="15" customHeight="1">
      <c r="A347" s="70" t="inlineStr">
        <is>
          <t>2076</t>
        </is>
      </c>
      <c r="B347" s="71" t="inlineStr">
        <is>
          <t>BOSS ZHIPIN-W</t>
        </is>
      </c>
      <c r="C347" s="71" t="inlineStr">
        <is>
          <t>ＢＯＳＳ直聘－Ｗ</t>
        </is>
      </c>
      <c r="D347" s="71" t="inlineStr">
        <is>
          <t>Tech/AI</t>
        </is>
      </c>
      <c r="E347" s="71" t="inlineStr">
        <is>
          <t>Internet platform / e-commerce</t>
        </is>
      </c>
      <c r="F347" s="71" t="inlineStr">
        <is>
          <t>Commercial &amp; Professional Services</t>
        </is>
      </c>
      <c r="G347" s="71" t="inlineStr">
        <is>
          <t>WVR</t>
        </is>
      </c>
      <c r="H347" s="72" t="n">
        <v>45842</v>
      </c>
      <c r="I347" s="73" t="n">
        <v>2277</v>
      </c>
      <c r="J347" s="71" t="inlineStr">
        <is>
          <t>gross (stated)</t>
        </is>
      </c>
      <c r="K347" s="74" t="n"/>
      <c r="L347" s="74" t="n">
        <v>78</v>
      </c>
      <c r="M347" s="74" t="n">
        <v>66</v>
      </c>
      <c r="N347" s="71" t="inlineStr">
        <is>
          <t>N</t>
        </is>
      </c>
      <c r="O347" s="75" t="n">
        <v>84.59999999999999</v>
      </c>
      <c r="P347" s="75" t="n"/>
      <c r="Q347" s="76" t="n">
        <v>65000</v>
      </c>
      <c r="R347" s="71" t="inlineStr">
        <is>
          <t>press:sina 2025-09: 截至2025-06-30总市值近650亿</t>
        </is>
      </c>
      <c r="S347" s="77" t="n">
        <v>12.04</v>
      </c>
      <c r="T347" s="78" t="n">
        <v>12.46</v>
      </c>
      <c r="U347" s="79" t="n">
        <v>0</v>
      </c>
      <c r="V347" s="80" t="n">
        <v>94</v>
      </c>
      <c r="W347" s="75" t="n">
        <v>30</v>
      </c>
      <c r="X347" s="71" t="inlineStr">
        <is>
          <t>YES</t>
        </is>
      </c>
      <c r="Y347" s="76" t="n">
        <v>2277</v>
      </c>
      <c r="Z347" s="76" t="n">
        <v>34500000</v>
      </c>
      <c r="AA347" s="75" t="n">
        <v>3.5</v>
      </c>
      <c r="AB347" s="71" t="n"/>
      <c r="AC347" s="71" t="n"/>
      <c r="AD347" s="75" t="n"/>
      <c r="AE347" s="71" t="n"/>
      <c r="AF347" s="71" t="n"/>
      <c r="AG347" s="71" t="n"/>
      <c r="AH347" s="71" t="n"/>
      <c r="AI347" s="81" t="n"/>
      <c r="AJ347" s="82" t="n">
        <v>0.76</v>
      </c>
      <c r="AK347" s="82" t="n">
        <v>0</v>
      </c>
      <c r="AL347" s="82" t="n">
        <v>0.76</v>
      </c>
      <c r="AM347" s="83" t="n">
        <v>0.36</v>
      </c>
      <c r="AN347" s="75" t="n">
        <v>2.35</v>
      </c>
      <c r="AO347" s="82" t="n">
        <v>11.44</v>
      </c>
      <c r="AP347" s="82" t="n">
        <v>13.03</v>
      </c>
      <c r="AQ347" s="82" t="n">
        <v>35.83</v>
      </c>
      <c r="AR347" s="82" t="n">
        <v>10.6</v>
      </c>
      <c r="AS347" s="82" t="n">
        <v>12.18</v>
      </c>
      <c r="AT347" s="82" t="n">
        <v>34.81</v>
      </c>
      <c r="AU347" s="82" t="n">
        <v>11.34</v>
      </c>
      <c r="AV347" s="82" t="n">
        <v>8.66</v>
      </c>
      <c r="AW347" s="82" t="n">
        <v>8.33</v>
      </c>
      <c r="AX347" s="82" t="n">
        <v>7.51</v>
      </c>
      <c r="AY347" s="82" t="n">
        <v>4.37</v>
      </c>
      <c r="AZ347" s="82" t="n">
        <v>4.67</v>
      </c>
      <c r="BA347" s="71" t="inlineStr">
        <is>
          <t>HSTECH (Hang Seng TECH ETF)</t>
        </is>
      </c>
      <c r="BB347" s="82" t="n">
        <v>-14.09</v>
      </c>
      <c r="BC347" s="72" t="inlineStr">
        <is>
          <t>2026-09-23</t>
        </is>
      </c>
      <c r="BD347" s="73" t="n">
        <v>8091.2</v>
      </c>
      <c r="BE347" s="76" t="n">
        <v>1743.1</v>
      </c>
      <c r="BF347" s="71" t="inlineStr">
        <is>
          <t>Y</t>
        </is>
      </c>
      <c r="BG347" s="83" t="n">
        <v>37.3</v>
      </c>
      <c r="BH347" s="83" t="n"/>
      <c r="BI347" s="83" t="n"/>
      <c r="BJ347" s="83" t="n">
        <v>8</v>
      </c>
      <c r="BK347" s="84">
        <f>IF('BBG Verify'!S347="","not filed; run on terminal",'BBG Verify'!S347)</f>
        <v/>
      </c>
      <c r="BL347" s="85" t="inlineStr">
        <is>
          <t>N</t>
        </is>
      </c>
      <c r="BM347" s="86">
        <f>IF('BBG Verify'!K347="","not filed; run on terminal",'BBG Verify'!K347)</f>
        <v/>
      </c>
      <c r="BN347" s="71" t="inlineStr">
        <is>
          <t>N/A</t>
        </is>
      </c>
      <c r="BO347" s="71" t="inlineStr">
        <is>
          <t>N/A</t>
        </is>
      </c>
      <c r="BP347" s="71" t="inlineStr">
        <is>
          <t>N/A</t>
        </is>
      </c>
      <c r="BQ347" s="71" t="inlineStr">
        <is>
          <t>N/A</t>
        </is>
      </c>
      <c r="BR347" s="71" t="inlineStr">
        <is>
          <t>N/A</t>
        </is>
      </c>
      <c r="BS347" s="71" t="inlineStr">
        <is>
          <t>N/A</t>
        </is>
      </c>
      <c r="BT347" s="85" t="inlineStr">
        <is>
          <t>Morgan Stanley; Goldman Sachs</t>
        </is>
      </c>
      <c r="BU347" s="71" t="inlineStr">
        <is>
          <t>Goldman Sachs (Asia) L.L.C.; Huatai Financial Holdings (Hong Kong) Limited; Morgan Stanley Asia Limited</t>
        </is>
      </c>
      <c r="BV347" s="71" t="inlineStr">
        <is>
          <t>Futu Securities International (Hong Kong) Limited; Goldman Sachs (Asia) L.L.C.; Huatai Financial Holdings (Hong Kong) Limited; Morgan Stanley Asia Limited; Tiger Brokers (HK) Global Limited</t>
        </is>
      </c>
      <c r="BW347" s="71" t="inlineStr">
        <is>
          <t>Futu Securities International (Hong Kong) Limited; Goldman Sachs (Asia) L.L.C.; Huatai Financial Holdings (Hong Kong) Limited; Morgan Stanley Asia Limited; Tiger Brokers (HK) Global Limited</t>
        </is>
      </c>
      <c r="BX347" s="87">
        <f>HYPERLINK("https://www1.hkexnews.hk/listedco/listconews/sehk/2025/0625/2025062500135.pdf","prospectus")</f>
        <v/>
      </c>
      <c r="BY347" s="87">
        <f>HYPERLINK("https://www1.hkexnews.hk/listedco/listconews/sehk/2025/0703/2025070302291.pdf","allotment")</f>
        <v/>
      </c>
      <c r="BZ347" s="71" t="n"/>
      <c r="CA347" s="85" t="n"/>
      <c r="CB347" s="71" t="inlineStr">
        <is>
          <t>greenshoe: no over-allotment option; range low: maximum offer price only, no floor published; cornerstone list: no cornerstone tranche; greenshoe size: no over-allotment option; stabilising manager: no over-allotment option, so none appointed; grey market: follow-on public offering by an already-listed stock (dual-primary listed Dec 2022); no grey session</t>
        </is>
      </c>
    </row>
    <row r="348" ht="15" customHeight="1">
      <c r="A348" s="70" t="inlineStr">
        <is>
          <t>1828</t>
        </is>
      </c>
      <c r="B348" s="71" t="inlineStr">
        <is>
          <t>FWD</t>
        </is>
      </c>
      <c r="C348" s="71" t="inlineStr">
        <is>
          <t>富衛集團</t>
        </is>
      </c>
      <c r="D348" s="71" t="inlineStr">
        <is>
          <t>Financials</t>
        </is>
      </c>
      <c r="E348" s="71" t="inlineStr">
        <is>
          <t>Insurance</t>
        </is>
      </c>
      <c r="F348" s="71" t="inlineStr">
        <is>
          <t>Life &amp; Health Insurance</t>
        </is>
      </c>
      <c r="G348" s="71" t="inlineStr">
        <is>
          <t>Standard</t>
        </is>
      </c>
      <c r="H348" s="72" t="n">
        <v>45845</v>
      </c>
      <c r="I348" s="73" t="n">
        <v>3471</v>
      </c>
      <c r="J348" s="71" t="inlineStr">
        <is>
          <t>gross (price x shares)</t>
        </is>
      </c>
      <c r="K348" s="74" t="n"/>
      <c r="L348" s="74" t="n">
        <v>38</v>
      </c>
      <c r="M348" s="74" t="n">
        <v>38</v>
      </c>
      <c r="N348" s="71" t="inlineStr">
        <is>
          <t>Y</t>
        </is>
      </c>
      <c r="O348" s="75" t="n">
        <v>100</v>
      </c>
      <c r="P348" s="75" t="n"/>
      <c r="Q348" s="76" t="n">
        <v>48300</v>
      </c>
      <c r="R348" s="71" t="inlineStr">
        <is>
          <t>press:sina/FX168 2025-07-07: 市值483亿 ≈ US$6.15bn | FINANCIALS (USD x7.8): FWD HK prospectus p11 + FY2024 FS: INSURANCE revenue US$2,724m (no total-revenue line under IFRS 17), attributable net profit US$24m</t>
        </is>
      </c>
      <c r="S348" s="77" t="n">
        <v>37.13</v>
      </c>
      <c r="T348" s="78" t="n">
        <v>2.32</v>
      </c>
      <c r="U348" s="79" t="n">
        <v>56.2</v>
      </c>
      <c r="V348" s="80" t="n">
        <v>129</v>
      </c>
      <c r="W348" s="75" t="n">
        <v>30</v>
      </c>
      <c r="X348" s="71" t="inlineStr">
        <is>
          <t>YES</t>
        </is>
      </c>
      <c r="Y348" s="76" t="n">
        <v>1520.3</v>
      </c>
      <c r="Z348" s="76" t="n">
        <v>40007840</v>
      </c>
      <c r="AA348" s="75" t="n">
        <v>3.15</v>
      </c>
      <c r="AB348" s="71"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AC348" s="71" t="inlineStr">
        <is>
          <t>rsc;united;crimson;future;global-company;apollo;scb;canada;dga;orix;huatai</t>
        </is>
      </c>
      <c r="AD348" s="75" t="n">
        <v>15</v>
      </c>
      <c r="AE348" s="71" t="n"/>
      <c r="AF348" s="71" t="inlineStr">
        <is>
          <t>2025-08-01</t>
        </is>
      </c>
      <c r="AG348" s="71" t="inlineStr">
        <is>
          <t>Morgan Stanley Asia Limited</t>
        </is>
      </c>
      <c r="AH348" s="71" t="inlineStr">
        <is>
          <t>Morgan Stanley</t>
        </is>
      </c>
      <c r="AI348" s="81" t="n">
        <v>-3.289</v>
      </c>
      <c r="AJ348" s="82" t="n">
        <v>1.05</v>
      </c>
      <c r="AK348" s="82" t="n">
        <v>0</v>
      </c>
      <c r="AL348" s="82" t="n">
        <v>1.05</v>
      </c>
      <c r="AM348" s="83" t="n">
        <v>0.76</v>
      </c>
      <c r="AN348" s="75" t="n">
        <v>4.61</v>
      </c>
      <c r="AO348" s="82" t="n">
        <v>0.66</v>
      </c>
      <c r="AP348" s="82" t="n">
        <v>0.26</v>
      </c>
      <c r="AQ348" s="82" t="n">
        <v>21.05</v>
      </c>
      <c r="AR348" s="82" t="n">
        <v>-0.39</v>
      </c>
      <c r="AS348" s="82" t="n">
        <v>-0.78</v>
      </c>
      <c r="AT348" s="82" t="n">
        <v>19.79</v>
      </c>
      <c r="AU348" s="82" t="n">
        <v>-1.24</v>
      </c>
      <c r="AV348" s="82" t="n">
        <v>-2.16</v>
      </c>
      <c r="AW348" s="82" t="n">
        <v>17.63</v>
      </c>
      <c r="AX348" s="82" t="n">
        <v>-3.35</v>
      </c>
      <c r="AY348" s="82" t="n">
        <v>2.42</v>
      </c>
      <c r="AZ348" s="82" t="n">
        <v>2.57</v>
      </c>
      <c r="BA348" s="71" t="inlineStr">
        <is>
          <t>Hang Seng Finance sub-index</t>
        </is>
      </c>
      <c r="BB348" s="82" t="n">
        <v>-9.789999999999999</v>
      </c>
      <c r="BC348" s="72" t="inlineStr">
        <is>
          <t>2026-09-23</t>
        </is>
      </c>
      <c r="BD348" s="73" t="n">
        <v>21247.2</v>
      </c>
      <c r="BE348" s="76" t="n">
        <v>187.2</v>
      </c>
      <c r="BF348" s="71" t="inlineStr">
        <is>
          <t>Y</t>
        </is>
      </c>
      <c r="BG348" s="83" t="n">
        <v>258</v>
      </c>
      <c r="BH348" s="83" t="n"/>
      <c r="BI348" s="83" t="n">
        <v>38.4</v>
      </c>
      <c r="BJ348" s="83" t="n">
        <v>2.3</v>
      </c>
      <c r="BK348" s="84">
        <f>IF('BBG Verify'!S348="","not filed; run on terminal",'BBG Verify'!S348)</f>
        <v/>
      </c>
      <c r="BL348" s="85" t="inlineStr">
        <is>
          <t>N</t>
        </is>
      </c>
      <c r="BM348" s="86">
        <f>IF('BBG Verify'!K348="","not filed; run on terminal",'BBG Verify'!K348)</f>
        <v/>
      </c>
      <c r="BN348" s="71" t="inlineStr">
        <is>
          <t>N/A</t>
        </is>
      </c>
      <c r="BO348" s="71" t="inlineStr">
        <is>
          <t>N/A</t>
        </is>
      </c>
      <c r="BP348" s="71" t="inlineStr">
        <is>
          <t>N/A</t>
        </is>
      </c>
      <c r="BQ348" s="71" t="inlineStr">
        <is>
          <t>N/A</t>
        </is>
      </c>
      <c r="BR348" s="71" t="inlineStr">
        <is>
          <t>N/A</t>
        </is>
      </c>
      <c r="BS348" s="71" t="inlineStr">
        <is>
          <t>N/A</t>
        </is>
      </c>
      <c r="BT348" s="85" t="inlineStr">
        <is>
          <t>Morgan Stanley; Goldman Sachs</t>
        </is>
      </c>
      <c r="BU348" s="71" t="inlineStr">
        <is>
          <t>Morgan Stanley Asia Limited; Goldman Sachs (Asia) L.L.C.</t>
        </is>
      </c>
      <c r="BV348" s="71" t="inlineStr">
        <is>
          <t>BOCOM International Securities Limited; CCB International Capital Limited; CMB International Capital Limited; DBS Asia Capital Limited; Goldman Sachs (Asia) L.L.C.; Huatai Financial Holdings (Hong Kong) Limited</t>
        </is>
      </c>
      <c r="BW348" s="71"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X348" s="71" t="n"/>
      <c r="BY348" s="87">
        <f>HYPERLINK("https://www1.hkexnews.hk/listedco/listconews/sehk/2025/0704/2025070402160.pdf","allotment")</f>
        <v/>
      </c>
      <c r="BZ348" s="71" t="n"/>
      <c r="CA348" s="85" t="n"/>
      <c r="CB348" s="71" t="inlineStr">
        <is>
          <t>greenshoe: end-of-stabilisation notice not found; price range: fixed-price offering (no indicative range); range low: maximum offer price only, no floor published; filing links: prospectus not on the HKEX per-stock search; allotment notice linked</t>
        </is>
      </c>
    </row>
    <row r="349" ht="15" customHeight="1">
      <c r="A349" s="70" t="inlineStr">
        <is>
          <t>2651</t>
        </is>
      </c>
      <c r="B349" s="71" t="inlineStr">
        <is>
          <t>DAZHONG DENTAL</t>
        </is>
      </c>
      <c r="C349" s="71" t="inlineStr">
        <is>
          <t>大眾口腔</t>
        </is>
      </c>
      <c r="D349" s="71" t="inlineStr">
        <is>
          <t>Healthcare</t>
        </is>
      </c>
      <c r="E349" s="71" t="inlineStr">
        <is>
          <t>Hospitals / clinics</t>
        </is>
      </c>
      <c r="F349" s="71" t="inlineStr">
        <is>
          <t>Health Care Services</t>
        </is>
      </c>
      <c r="G349" s="71" t="inlineStr">
        <is>
          <t>Standard</t>
        </is>
      </c>
      <c r="H349" s="72" t="n">
        <v>45847</v>
      </c>
      <c r="I349" s="73" t="n">
        <v>217.24</v>
      </c>
      <c r="J349" s="71" t="inlineStr">
        <is>
          <t>gross (stated)</t>
        </is>
      </c>
      <c r="K349" s="74" t="n"/>
      <c r="L349" s="74" t="n">
        <v>21.4</v>
      </c>
      <c r="M349" s="74" t="n">
        <v>20</v>
      </c>
      <c r="N349" s="71" t="inlineStr">
        <is>
          <t>N</t>
        </is>
      </c>
      <c r="O349" s="75" t="n">
        <v>93.5</v>
      </c>
      <c r="P349" s="75" t="n"/>
      <c r="Q349" s="76" t="n">
        <v>987.6</v>
      </c>
      <c r="R349" s="71" t="inlineStr">
        <is>
          <t>derived:price x shares upon listing</t>
        </is>
      </c>
      <c r="S349" s="77" t="n">
        <v>108.25</v>
      </c>
      <c r="T349" s="78" t="n">
        <v>0.96</v>
      </c>
      <c r="U349" s="79" t="n">
        <v>0</v>
      </c>
      <c r="V349" s="80" t="n">
        <v>112</v>
      </c>
      <c r="W349" s="75" t="n">
        <v>17.95</v>
      </c>
      <c r="X349" s="71" t="n"/>
      <c r="Y349" s="76" t="n">
        <v>217.24</v>
      </c>
      <c r="Z349" s="76" t="n">
        <v>10861800</v>
      </c>
      <c r="AA349" s="75" t="n">
        <v>22</v>
      </c>
      <c r="AB349" s="71" t="n"/>
      <c r="AC349" s="71" t="n"/>
      <c r="AD349" s="75" t="n">
        <v>11.65</v>
      </c>
      <c r="AE349" s="71" t="inlineStr">
        <is>
          <t>lapsed (no over-allocation)</t>
        </is>
      </c>
      <c r="AF349" s="71" t="inlineStr">
        <is>
          <t>2025-08-03</t>
        </is>
      </c>
      <c r="AG349" s="71" t="inlineStr">
        <is>
          <t>Haitong International Securities Company Limited</t>
        </is>
      </c>
      <c r="AH349" s="71" t="inlineStr">
        <is>
          <t>Haitong</t>
        </is>
      </c>
      <c r="AI349" s="92" t="n">
        <v>18.25</v>
      </c>
      <c r="AJ349" s="82" t="n">
        <v>3.5</v>
      </c>
      <c r="AK349" s="82" t="n">
        <v>20</v>
      </c>
      <c r="AL349" s="82" t="n">
        <v>-13.75</v>
      </c>
      <c r="AM349" s="83" t="n">
        <v>2.03</v>
      </c>
      <c r="AN349" s="75" t="n">
        <v>28.54</v>
      </c>
      <c r="AO349" s="82" t="n">
        <v>-10.5</v>
      </c>
      <c r="AP349" s="82" t="n">
        <v>-28.5</v>
      </c>
      <c r="AQ349" s="82" t="n">
        <v>-35.95</v>
      </c>
      <c r="AR349" s="82" t="n">
        <v>-13.53</v>
      </c>
      <c r="AS349" s="82" t="n">
        <v>-30.92</v>
      </c>
      <c r="AT349" s="82" t="n">
        <v>-38.12</v>
      </c>
      <c r="AU349" s="82" t="n">
        <v>-17.67</v>
      </c>
      <c r="AV349" s="82" t="n">
        <v>-43.78</v>
      </c>
      <c r="AW349" s="82" t="n">
        <v>-67.8</v>
      </c>
      <c r="AX349" s="82" t="n">
        <v>-44.22</v>
      </c>
      <c r="AY349" s="82" t="n">
        <v>15.28</v>
      </c>
      <c r="AZ349" s="82" t="n">
        <v>13.3</v>
      </c>
      <c r="BA349" s="71" t="inlineStr">
        <is>
          <t>China Biotech ETF (HS biotech proxy)</t>
        </is>
      </c>
      <c r="BB349" s="82" t="n">
        <v>37.5</v>
      </c>
      <c r="BC349" s="72" t="inlineStr">
        <is>
          <t>2026-09-23</t>
        </is>
      </c>
      <c r="BD349" s="73" t="n">
        <v>447.8</v>
      </c>
      <c r="BE349" s="76" t="n">
        <v>68.8</v>
      </c>
      <c r="BF349" s="71" t="inlineStr">
        <is>
          <t>Y</t>
        </is>
      </c>
      <c r="BG349" s="83" t="n">
        <v>14.4</v>
      </c>
      <c r="BH349" s="83" t="n">
        <v>20.1</v>
      </c>
      <c r="BI349" s="83" t="n">
        <v>26.1</v>
      </c>
      <c r="BJ349" s="83" t="n">
        <v>2.2</v>
      </c>
      <c r="BK349" s="84">
        <f>IF('BBG Verify'!S349="","not filed; run on terminal",'BBG Verify'!S349)</f>
        <v/>
      </c>
      <c r="BL349" s="85" t="inlineStr">
        <is>
          <t>N</t>
        </is>
      </c>
      <c r="BM349" s="86">
        <f>IF('BBG Verify'!K349="","not filed; run on terminal",'BBG Verify'!K349)</f>
        <v/>
      </c>
      <c r="BN349" s="71" t="inlineStr">
        <is>
          <t>N/A</t>
        </is>
      </c>
      <c r="BO349" s="71" t="inlineStr">
        <is>
          <t>N/A</t>
        </is>
      </c>
      <c r="BP349" s="71" t="inlineStr">
        <is>
          <t>N/A</t>
        </is>
      </c>
      <c r="BQ349" s="71" t="inlineStr">
        <is>
          <t>N/A</t>
        </is>
      </c>
      <c r="BR349" s="71" t="inlineStr">
        <is>
          <t>N/A</t>
        </is>
      </c>
      <c r="BS349" s="71" t="inlineStr">
        <is>
          <t>N/A</t>
        </is>
      </c>
      <c r="BT349" s="85" t="inlineStr">
        <is>
          <t>Haitong International Capital Limited</t>
        </is>
      </c>
      <c r="BU349" s="71" t="inlineStr">
        <is>
          <t>Haitong International Holdings Limited</t>
        </is>
      </c>
      <c r="BV349" s="71" t="inlineStr">
        <is>
          <t>Haitong International Securities Company Limited</t>
        </is>
      </c>
      <c r="BW349" s="71" t="inlineStr">
        <is>
          <t>Haitong International Securities Company Limited; Livermore Holdings Limited</t>
        </is>
      </c>
      <c r="BX349" s="87">
        <f>HYPERLINK("https://www1.hkexnews.hk/listedco/listconews/sehk/2025/0630/2025063000019.pdf","prospectus")</f>
        <v/>
      </c>
      <c r="BY349" s="87">
        <f>HYPERLINK("https://www1.hkexnews.hk/listedco/listconews/sehk/2025/0708/2025070801104.pdf","allotment")</f>
        <v/>
      </c>
      <c r="BZ349" s="87">
        <f>HYPERLINK("https://www1.hkexnews.hk/listedco/listconews/sehk/2025/0804/2025080401259.pdf","stabilisation")</f>
        <v/>
      </c>
      <c r="CA349" s="85" t="n"/>
      <c r="CB349" s="71" t="inlineStr">
        <is>
          <t>range low: maximum offer price only, no floor published; cornerstone list: no cornerstone tranche; allocation: clawback line not in this notice; a 12-28% split is consistent with either a tier-1 clawback or a placing shortfall</t>
        </is>
      </c>
    </row>
    <row r="350" ht="15" customHeight="1">
      <c r="A350" s="70" t="inlineStr">
        <is>
          <t>2590</t>
        </is>
      </c>
      <c r="B350" s="71" t="inlineStr">
        <is>
          <t>GEEKPLUS-W</t>
        </is>
      </c>
      <c r="C350" s="71" t="inlineStr">
        <is>
          <t>極智嘉－Ｗ</t>
        </is>
      </c>
      <c r="D350" s="71" t="inlineStr">
        <is>
          <t>Tech/AI</t>
        </is>
      </c>
      <c r="E350" s="71" t="inlineStr">
        <is>
          <t>Robotics &amp; autonomous driving</t>
        </is>
      </c>
      <c r="F350" s="71" t="inlineStr">
        <is>
          <t>Advanced hardware and software</t>
        </is>
      </c>
      <c r="G350" s="71" t="inlineStr">
        <is>
          <t>WVR</t>
        </is>
      </c>
      <c r="H350" s="72" t="n">
        <v>45847</v>
      </c>
      <c r="I350" s="73" t="n">
        <v>2711.62</v>
      </c>
      <c r="J350" s="71" t="inlineStr">
        <is>
          <t>gross (stated)</t>
        </is>
      </c>
      <c r="K350" s="74" t="n"/>
      <c r="L350" s="74" t="n">
        <v>16.8</v>
      </c>
      <c r="M350" s="74" t="n">
        <v>16.8</v>
      </c>
      <c r="N350" s="71" t="inlineStr">
        <is>
          <t>Y</t>
        </is>
      </c>
      <c r="O350" s="75" t="n">
        <v>100</v>
      </c>
      <c r="P350" s="75" t="n"/>
      <c r="Q350" s="76" t="n">
        <v>21832.7</v>
      </c>
      <c r="R350" s="71" t="inlineStr">
        <is>
          <t>prospectus:stated market capitalisation</t>
        </is>
      </c>
      <c r="S350" s="77" t="n">
        <v>133.62</v>
      </c>
      <c r="T350" s="78" t="n">
        <v>30.17</v>
      </c>
      <c r="U350" s="79" t="n">
        <v>26.3</v>
      </c>
      <c r="V350" s="80" t="n">
        <v>132</v>
      </c>
      <c r="W350" s="75" t="n">
        <v>43.48</v>
      </c>
      <c r="X350" s="71" t="inlineStr">
        <is>
          <t>YES</t>
        </is>
      </c>
      <c r="Y350" s="76" t="n">
        <v>1998.46</v>
      </c>
      <c r="Z350" s="76" t="n">
        <v>118956075</v>
      </c>
      <c r="AA350" s="75" t="n">
        <v>9.15</v>
      </c>
      <c r="AB350" s="71" t="inlineStr">
        <is>
          <t>Accelerator VI Ltd; Primus Cabibbo Limited</t>
        </is>
      </c>
      <c r="AC350" s="71" t="inlineStr">
        <is>
          <t>accelerator;primus</t>
        </is>
      </c>
      <c r="AD350" s="75" t="n">
        <v>15</v>
      </c>
      <c r="AE350" s="71" t="inlineStr">
        <is>
          <t>partial</t>
        </is>
      </c>
      <c r="AF350" s="71" t="n"/>
      <c r="AG350" s="71" t="inlineStr">
        <is>
          <t>Morgan Stanley Asia Limited</t>
        </is>
      </c>
      <c r="AH350" s="71" t="inlineStr">
        <is>
          <t>Morgan Stanley</t>
        </is>
      </c>
      <c r="AI350" s="81" t="n">
        <v>-1.31</v>
      </c>
      <c r="AJ350" s="82" t="n">
        <v>5.36</v>
      </c>
      <c r="AK350" s="82" t="n">
        <v>0.6</v>
      </c>
      <c r="AL350" s="82" t="n">
        <v>4.73</v>
      </c>
      <c r="AM350" s="83" t="n">
        <v>1.12</v>
      </c>
      <c r="AN350" s="75" t="n">
        <v>10.3</v>
      </c>
      <c r="AO350" s="82" t="n">
        <v>12.62</v>
      </c>
      <c r="AP350" s="82" t="n">
        <v>9.880000000000001</v>
      </c>
      <c r="AQ350" s="82" t="n">
        <v>92.5</v>
      </c>
      <c r="AR350" s="82" t="n">
        <v>6.89</v>
      </c>
      <c r="AS350" s="82" t="n">
        <v>4.29</v>
      </c>
      <c r="AT350" s="82" t="n">
        <v>82.70999999999999</v>
      </c>
      <c r="AU350" s="82" t="n">
        <v>10.81</v>
      </c>
      <c r="AV350" s="82" t="n">
        <v>5.87</v>
      </c>
      <c r="AW350" s="82" t="n">
        <v>70.44</v>
      </c>
      <c r="AX350" s="82" t="n">
        <v>-1.43</v>
      </c>
      <c r="AY350" s="82" t="n">
        <v>4.01</v>
      </c>
      <c r="AZ350" s="82" t="n">
        <v>5.72</v>
      </c>
      <c r="BA350" s="71" t="inlineStr">
        <is>
          <t>HSTECH (Hang Seng TECH ETF)</t>
        </is>
      </c>
      <c r="BB350" s="82" t="n">
        <v>-53.33</v>
      </c>
      <c r="BC350" s="72" t="inlineStr">
        <is>
          <t>2026-09-23</t>
        </is>
      </c>
      <c r="BD350" s="73" t="n">
        <v>2649.9</v>
      </c>
      <c r="BE350" s="76" t="n">
        <v>-1239.4</v>
      </c>
      <c r="BF350" s="71" t="inlineStr">
        <is>
          <t>N</t>
        </is>
      </c>
      <c r="BG350" s="71" t="inlineStr">
        <is>
          <t>n/m</t>
        </is>
      </c>
      <c r="BH350" s="83" t="n"/>
      <c r="BI350" s="83" t="n"/>
      <c r="BJ350" s="83" t="n">
        <v>8.199999999999999</v>
      </c>
      <c r="BK350" s="84">
        <f>IF('BBG Verify'!S350="","not filed; run on terminal",'BBG Verify'!S350)</f>
        <v/>
      </c>
      <c r="BL350" s="85" t="inlineStr">
        <is>
          <t>N</t>
        </is>
      </c>
      <c r="BM350" s="86">
        <f>IF('BBG Verify'!K350="","not filed; run on terminal",'BBG Verify'!K350)</f>
        <v/>
      </c>
      <c r="BN350" s="71" t="inlineStr">
        <is>
          <t>N/A</t>
        </is>
      </c>
      <c r="BO350" s="71" t="inlineStr">
        <is>
          <t>N/A</t>
        </is>
      </c>
      <c r="BP350" s="71" t="inlineStr">
        <is>
          <t>N/A</t>
        </is>
      </c>
      <c r="BQ350" s="71" t="inlineStr">
        <is>
          <t>N/A</t>
        </is>
      </c>
      <c r="BR350" s="71" t="inlineStr">
        <is>
          <t>N/A</t>
        </is>
      </c>
      <c r="BS350" s="71" t="inlineStr">
        <is>
          <t>N/A</t>
        </is>
      </c>
      <c r="BT350" s="85" t="inlineStr">
        <is>
          <t>Morgan Stanley Asia Limited; China International Capital Corporation Hong Kong Securities Limited</t>
        </is>
      </c>
      <c r="BU350" s="71" t="inlineStr">
        <is>
          <t>China International Capital Corporation Hong Kong Securities Limited; Morgan Stanley Asia Limited</t>
        </is>
      </c>
      <c r="BV350" s="71" t="inlineStr">
        <is>
          <t>China International Capital Corporation Hong Kong Securities Limited; CMB International Capital Limited; Deutsche Bank AG, Hong Kong Branch; DBS Asia Capital Limited; Daiwa Capital Markets Hong Kong Limited; GF Securities (Hong Kong) Brokerage Limited</t>
        </is>
      </c>
      <c r="BW350" s="71"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X350" s="87">
        <f>HYPERLINK("https://www1.hkexnews.hk/listedco/listconews/sehk/2025/0630/2025063000025.pdf","prospectus")</f>
        <v/>
      </c>
      <c r="BY350" s="87">
        <f>HYPERLINK("https://www1.hkexnews.hk/listedco/listconews/sehk/2025/0708/2025070801126.pdf","allotment")</f>
        <v/>
      </c>
      <c r="BZ350" s="87">
        <f>HYPERLINK("https://www1.hkexnews.hk/listedco/listconews/sehk/2025/0804/2025080400319.pdf","stabilisation")</f>
        <v/>
      </c>
      <c r="CA350" s="85" t="n"/>
      <c r="CB350" s="71" t="inlineStr">
        <is>
          <t>P/E: loss-making at IPO, use P/S; greenshoe: outcome published; expiry date not in the notice; range low: maximum offer price only, no floor published</t>
        </is>
      </c>
    </row>
    <row r="351" ht="15" customHeight="1">
      <c r="A351" s="70" t="inlineStr">
        <is>
          <t>2597</t>
        </is>
      </c>
      <c r="B351" s="71" t="inlineStr">
        <is>
          <t>XUNZHONG</t>
        </is>
      </c>
      <c r="C351" s="71" t="inlineStr">
        <is>
          <t>訊眾通信</t>
        </is>
      </c>
      <c r="D351" s="71" t="inlineStr">
        <is>
          <t>Tech/AI</t>
        </is>
      </c>
      <c r="E351" s="71" t="inlineStr">
        <is>
          <t>SaaS / enterprise software</t>
        </is>
      </c>
      <c r="F351" s="71" t="inlineStr">
        <is>
          <t>Telecommunication Services</t>
        </is>
      </c>
      <c r="G351" s="71" t="inlineStr">
        <is>
          <t>Standard</t>
        </is>
      </c>
      <c r="H351" s="72" t="n">
        <v>45847</v>
      </c>
      <c r="I351" s="73" t="n">
        <v>412.5</v>
      </c>
      <c r="J351" s="71" t="inlineStr">
        <is>
          <t>gross (stated)</t>
        </is>
      </c>
      <c r="K351" s="74" t="n">
        <v>13.55</v>
      </c>
      <c r="L351" s="74" t="n">
        <v>15.15</v>
      </c>
      <c r="M351" s="74" t="n">
        <v>13.55</v>
      </c>
      <c r="N351" s="71" t="inlineStr">
        <is>
          <t>N</t>
        </is>
      </c>
      <c r="O351" s="75" t="n">
        <v>89.40000000000001</v>
      </c>
      <c r="P351" s="75" t="n">
        <v>0</v>
      </c>
      <c r="Q351" s="76" t="n">
        <v>1649.8</v>
      </c>
      <c r="R351" s="71" t="inlineStr">
        <is>
          <t>derived:price x shares upon listing</t>
        </is>
      </c>
      <c r="S351" s="77" t="n">
        <v>12.79</v>
      </c>
      <c r="T351" s="78" t="n">
        <v>1.01</v>
      </c>
      <c r="U351" s="79" t="n">
        <v>31.54</v>
      </c>
      <c r="V351" s="80" t="n">
        <v>110</v>
      </c>
      <c r="W351" s="75" t="n">
        <v>10</v>
      </c>
      <c r="X351" s="71" t="inlineStr">
        <is>
          <t>NO</t>
        </is>
      </c>
      <c r="Y351" s="76" t="n">
        <v>282.4</v>
      </c>
      <c r="Z351" s="76" t="n">
        <v>20839224</v>
      </c>
      <c r="AA351" s="75" t="n">
        <v>17.12</v>
      </c>
      <c r="AB351" s="71" t="inlineStr">
        <is>
          <t>Tongzhou International</t>
        </is>
      </c>
      <c r="AC351" s="71" t="inlineStr">
        <is>
          <t>tongzhou</t>
        </is>
      </c>
      <c r="AD351" s="75" t="n">
        <v>7.88</v>
      </c>
      <c r="AE351" s="71" t="inlineStr">
        <is>
          <t>lapsed (no over-allocation)</t>
        </is>
      </c>
      <c r="AF351" s="71" t="inlineStr">
        <is>
          <t>2025-08-03</t>
        </is>
      </c>
      <c r="AG351" s="71" t="inlineStr">
        <is>
          <t>DBS Asia Capital Limited</t>
        </is>
      </c>
      <c r="AH351" s="71" t="inlineStr">
        <is>
          <t>DBS</t>
        </is>
      </c>
      <c r="AI351" s="92" t="n">
        <v>1.697</v>
      </c>
      <c r="AJ351" s="82" t="n">
        <v>0.22</v>
      </c>
      <c r="AK351" s="82" t="n">
        <v>7.16</v>
      </c>
      <c r="AL351" s="82" t="n">
        <v>-6.48</v>
      </c>
      <c r="AM351" s="83" t="n">
        <v>0.73</v>
      </c>
      <c r="AN351" s="75" t="n">
        <v>15.98</v>
      </c>
      <c r="AO351" s="82" t="n">
        <v>-0.37</v>
      </c>
      <c r="AP351" s="82" t="n">
        <v>-0.37</v>
      </c>
      <c r="AQ351" s="82" t="n">
        <v>47.6</v>
      </c>
      <c r="AR351" s="82" t="n">
        <v>-0.59</v>
      </c>
      <c r="AS351" s="82" t="n">
        <v>-0.59</v>
      </c>
      <c r="AT351" s="82" t="n">
        <v>47.28</v>
      </c>
      <c r="AU351" s="82" t="n">
        <v>-2.18</v>
      </c>
      <c r="AV351" s="82" t="n">
        <v>-4.38</v>
      </c>
      <c r="AW351" s="82" t="n">
        <v>25.54</v>
      </c>
      <c r="AX351" s="82" t="n">
        <v>-6.31</v>
      </c>
      <c r="AY351" s="82" t="n">
        <v>4.01</v>
      </c>
      <c r="AZ351" s="82" t="n">
        <v>5.72</v>
      </c>
      <c r="BA351" s="71" t="inlineStr">
        <is>
          <t>HSTECH (Hang Seng TECH ETF)</t>
        </is>
      </c>
      <c r="BB351" s="82" t="n">
        <v>173.06</v>
      </c>
      <c r="BC351" s="72" t="inlineStr">
        <is>
          <t>2026-09-21</t>
        </is>
      </c>
      <c r="BD351" s="73" t="n">
        <v>1009.4</v>
      </c>
      <c r="BE351" s="76" t="n">
        <v>55.7</v>
      </c>
      <c r="BF351" s="71" t="inlineStr">
        <is>
          <t>Y</t>
        </is>
      </c>
      <c r="BG351" s="83" t="n">
        <v>29.6</v>
      </c>
      <c r="BH351" s="83" t="n">
        <v>21.1</v>
      </c>
      <c r="BI351" s="83" t="n">
        <v>50.8</v>
      </c>
      <c r="BJ351" s="83" t="n">
        <v>1.6</v>
      </c>
      <c r="BK351" s="84">
        <f>IF('BBG Verify'!S351="","not filed; run on terminal",'BBG Verify'!S351)</f>
        <v/>
      </c>
      <c r="BL351" s="85" t="inlineStr">
        <is>
          <t>N</t>
        </is>
      </c>
      <c r="BM351" s="86">
        <f>IF('BBG Verify'!K351="","not filed; run on terminal",'BBG Verify'!K351)</f>
        <v/>
      </c>
      <c r="BN351" s="71" t="inlineStr">
        <is>
          <t>N/A</t>
        </is>
      </c>
      <c r="BO351" s="71" t="inlineStr">
        <is>
          <t>N/A</t>
        </is>
      </c>
      <c r="BP351" s="71" t="inlineStr">
        <is>
          <t>N/A</t>
        </is>
      </c>
      <c r="BQ351" s="71" t="inlineStr">
        <is>
          <t>N/A</t>
        </is>
      </c>
      <c r="BR351" s="71" t="inlineStr">
        <is>
          <t>N/A</t>
        </is>
      </c>
      <c r="BS351" s="71" t="inlineStr">
        <is>
          <t>N/A</t>
        </is>
      </c>
      <c r="BT351" s="85" t="n"/>
      <c r="BU351" s="71" t="inlineStr">
        <is>
          <t>DBS Asia Capital Limited</t>
        </is>
      </c>
      <c r="BV351" s="71"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W351" s="71"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X351" s="87">
        <f>HYPERLINK("https://www1.hkexnews.hk/listedco/listconews/sehk/2025/0630/2025063000023.pdf","prospectus")</f>
        <v/>
      </c>
      <c r="BY351" s="87">
        <f>HYPERLINK("https://www1.hkexnews.hk/listedco/listconews/sehk/2025/0708/2025070801152.pdf","allotment")</f>
        <v/>
      </c>
      <c r="BZ351" s="87">
        <f>HYPERLINK("https://www1.hkexnews.hk/listedco/listconews/sehk/2025/0804/2025080400029.pdf","stabilisation")</f>
        <v/>
      </c>
      <c r="CA351" s="85" t="n"/>
      <c r="CB351" s="71" t="inlineStr">
        <is>
          <t>sponsor: English name not in the filing; AAStocks 保薦人 shown</t>
        </is>
      </c>
    </row>
    <row r="352" ht="15" customHeight="1">
      <c r="A352" s="70" t="inlineStr">
        <is>
          <t>1304</t>
        </is>
      </c>
      <c r="B352" s="71" t="inlineStr">
        <is>
          <t>FORTIOR</t>
        </is>
      </c>
      <c r="C352" s="71" t="inlineStr">
        <is>
          <t>FORTIOR</t>
        </is>
      </c>
      <c r="D352" s="71" t="inlineStr">
        <is>
          <t>Tech/AI</t>
        </is>
      </c>
      <c r="E352" s="71" t="inlineStr">
        <is>
          <t>AI chips &amp; semis</t>
        </is>
      </c>
      <c r="F352" s="71" t="inlineStr">
        <is>
          <t>Semiconductors &amp; Semiconductor Equipment</t>
        </is>
      </c>
      <c r="G352" s="71" t="inlineStr">
        <is>
          <t>Standard</t>
        </is>
      </c>
      <c r="H352" s="72" t="n">
        <v>45847</v>
      </c>
      <c r="I352" s="73" t="n">
        <v>2258.7</v>
      </c>
      <c r="J352" s="71" t="inlineStr">
        <is>
          <t>gross (stated)</t>
        </is>
      </c>
      <c r="K352" s="74" t="n"/>
      <c r="L352" s="74" t="n">
        <v>120.5</v>
      </c>
      <c r="M352" s="74" t="n">
        <v>120.5</v>
      </c>
      <c r="N352" s="71" t="inlineStr">
        <is>
          <t>Y</t>
        </is>
      </c>
      <c r="O352" s="75" t="n">
        <v>100</v>
      </c>
      <c r="P352" s="75" t="n"/>
      <c r="Q352" s="76" t="n">
        <v>13070.6</v>
      </c>
      <c r="R352" s="71" t="inlineStr">
        <is>
          <t>prospectus:stated market capitalisation</t>
        </is>
      </c>
      <c r="S352" s="77" t="n">
        <v>138.26</v>
      </c>
      <c r="T352" s="78" t="n">
        <v>8.609999999999999</v>
      </c>
      <c r="U352" s="79" t="n">
        <v>38.7</v>
      </c>
      <c r="V352" s="80" t="n">
        <v>103</v>
      </c>
      <c r="W352" s="75" t="n">
        <v>43.48</v>
      </c>
      <c r="X352" s="71" t="inlineStr">
        <is>
          <t>YES</t>
        </is>
      </c>
      <c r="Y352" s="76" t="n">
        <v>1384.58</v>
      </c>
      <c r="Z352" s="76" t="n">
        <v>11490317</v>
      </c>
      <c r="AA352" s="75" t="n">
        <v>10.59</v>
      </c>
      <c r="AB352" s="71" t="inlineStr">
        <is>
          <t>Pinpoint; Wind Sabre; Mega Prime; Fourier Capital; Torus; Intac</t>
        </is>
      </c>
      <c r="AC352" s="71" t="inlineStr">
        <is>
          <t>pinpoint;wind;mega;fourier;torus;intac</t>
        </is>
      </c>
      <c r="AD352" s="75" t="n">
        <v>15</v>
      </c>
      <c r="AE352" s="71" t="inlineStr">
        <is>
          <t>full</t>
        </is>
      </c>
      <c r="AF352" s="71" t="n"/>
      <c r="AG352" s="71" t="n"/>
      <c r="AH352" s="71" t="n"/>
      <c r="AI352" s="81" t="n">
        <v>6.971</v>
      </c>
      <c r="AJ352" s="82" t="n">
        <v>16.02</v>
      </c>
      <c r="AK352" s="82" t="n">
        <v>8.550000000000001</v>
      </c>
      <c r="AL352" s="82" t="n">
        <v>6.88</v>
      </c>
      <c r="AM352" s="83" t="n">
        <v>1.11</v>
      </c>
      <c r="AN352" s="75" t="n">
        <v>12.08</v>
      </c>
      <c r="AO352" s="82" t="n">
        <v>25.81</v>
      </c>
      <c r="AP352" s="82" t="n">
        <v>30.87</v>
      </c>
      <c r="AQ352" s="82" t="n">
        <v>65.06</v>
      </c>
      <c r="AR352" s="82" t="n">
        <v>8.44</v>
      </c>
      <c r="AS352" s="82" t="n">
        <v>12.8</v>
      </c>
      <c r="AT352" s="82" t="n">
        <v>42.27</v>
      </c>
      <c r="AU352" s="82" t="n">
        <v>24</v>
      </c>
      <c r="AV352" s="82" t="n">
        <v>26.86</v>
      </c>
      <c r="AW352" s="82" t="n">
        <v>43</v>
      </c>
      <c r="AX352" s="82" t="n">
        <v>7.08</v>
      </c>
      <c r="AY352" s="82" t="n">
        <v>4.01</v>
      </c>
      <c r="AZ352" s="82" t="n">
        <v>5.72</v>
      </c>
      <c r="BA352" s="71" t="inlineStr">
        <is>
          <t>HSTECH (Hang Seng TECH ETF)</t>
        </is>
      </c>
      <c r="BB352" s="82" t="n">
        <v>7.97</v>
      </c>
      <c r="BC352" s="72" t="inlineStr">
        <is>
          <t>2026-09-23</t>
        </is>
      </c>
      <c r="BD352" s="73" t="n">
        <v>660.4</v>
      </c>
      <c r="BE352" s="76" t="n">
        <v>156.2</v>
      </c>
      <c r="BF352" s="71" t="inlineStr">
        <is>
          <t>Y</t>
        </is>
      </c>
      <c r="BG352" s="83" t="n">
        <v>83.7</v>
      </c>
      <c r="BH352" s="83" t="n">
        <v>53.1</v>
      </c>
      <c r="BI352" s="83" t="n">
        <v>48.1</v>
      </c>
      <c r="BJ352" s="83" t="n">
        <v>19.8</v>
      </c>
      <c r="BK352" s="84">
        <f>IF('BBG Verify'!S352="","not filed; run on terminal",'BBG Verify'!S352)</f>
        <v/>
      </c>
      <c r="BL352" s="85" t="inlineStr">
        <is>
          <t>Y</t>
        </is>
      </c>
      <c r="BM352" s="71" t="inlineStr">
        <is>
          <t>688279.SS</t>
        </is>
      </c>
      <c r="BN352" s="82" t="n">
        <v>66.31999999999999</v>
      </c>
      <c r="BO352" s="74" t="n">
        <v>200.418</v>
      </c>
      <c r="BP352" s="89" t="n">
        <v>0.8836000000000001</v>
      </c>
      <c r="BQ352" s="76" t="n">
        <v>29026.1</v>
      </c>
      <c r="BR352" s="84">
        <f>IF('BBG Verify'!Q352="","run on terminal",'BBG Verify'!Q352)</f>
        <v/>
      </c>
      <c r="BS352" s="84">
        <f>IF('BBG Verify'!R352="","run on terminal",'BBG Verify'!R352)</f>
        <v/>
      </c>
      <c r="BT352" s="85" t="inlineStr">
        <is>
          <t>China International Capital Corporation Hong Kong Securities Limited</t>
        </is>
      </c>
      <c r="BU352" s="71" t="inlineStr">
        <is>
          <t>China International Capital Corporation Hong Kong Securities Limited</t>
        </is>
      </c>
      <c r="BV352" s="71" t="inlineStr">
        <is>
          <t>China International Capital Corporation Hong Kong Securities Limited; BOCI Asia Limited; GF Securities (Hong Kong) Brokerage Limited</t>
        </is>
      </c>
      <c r="BW352" s="71" t="inlineStr">
        <is>
          <t>BOCI Asia Limited; China International Capital Corporation Hong Kong Securities Limited; GF Securities (Hong Kong) Brokerage Limited</t>
        </is>
      </c>
      <c r="BX352" s="87">
        <f>HYPERLINK("https://www1.hkexnews.hk/listedco/listconews/sehk/2025/0630/2025063000015.pdf","prospectus")</f>
        <v/>
      </c>
      <c r="BY352" s="87">
        <f>HYPERLINK("https://www1.hkexnews.hk/listedco/listconews/sehk/2025/0708/2025070801154.pdf","allotment")</f>
        <v/>
      </c>
      <c r="BZ352" s="87">
        <f>HYPERLINK("https://www1.hkexnews.hk/listedco/listconews/sehk/2025/0803/2025080300007.pdf","stabilisation")</f>
        <v/>
      </c>
      <c r="CA352" s="85" t="n"/>
      <c r="CB352" s="71" t="inlineStr">
        <is>
          <t>greenshoe: outcome published; expiry date not in the notice; range low: maximum offer price only, no floor published; A/H: Jul 2025 H listing (BLDC motor-driver chips); stabilising manager: not named in the allotment notice or prospectus glossary</t>
        </is>
      </c>
    </row>
    <row r="353" ht="15" customHeight="1">
      <c r="A353" s="70" t="inlineStr">
        <is>
          <t>6613</t>
        </is>
      </c>
      <c r="B353" s="71" t="inlineStr">
        <is>
          <t>LENS</t>
        </is>
      </c>
      <c r="C353" s="71" t="inlineStr">
        <is>
          <t>藍思科技</t>
        </is>
      </c>
      <c r="D353" s="71" t="inlineStr">
        <is>
          <t>Tech/AI</t>
        </is>
      </c>
      <c r="E353" s="71" t="inlineStr">
        <is>
          <t>Smart hardware / consumer electronics</t>
        </is>
      </c>
      <c r="F353" s="71" t="inlineStr">
        <is>
          <t>Next-generation information technology</t>
        </is>
      </c>
      <c r="G353" s="71" t="inlineStr">
        <is>
          <t>Standard</t>
        </is>
      </c>
      <c r="H353" s="72" t="n">
        <v>45847</v>
      </c>
      <c r="I353" s="73" t="n">
        <v>4767.83</v>
      </c>
      <c r="J353" s="71" t="inlineStr">
        <is>
          <t>gross (stated)</t>
        </is>
      </c>
      <c r="K353" s="74" t="n"/>
      <c r="L353" s="74" t="n">
        <v>18.18</v>
      </c>
      <c r="M353" s="74" t="n">
        <v>18.18</v>
      </c>
      <c r="N353" s="71" t="inlineStr">
        <is>
          <t>Y</t>
        </is>
      </c>
      <c r="O353" s="75" t="n">
        <v>100</v>
      </c>
      <c r="P353" s="75" t="n"/>
      <c r="Q353" s="76" t="n">
        <v>96069.8</v>
      </c>
      <c r="R353" s="71" t="inlineStr">
        <is>
          <t>aastocks:上市市值 at the struck price</t>
        </is>
      </c>
      <c r="S353" s="77" t="n">
        <v>462.76</v>
      </c>
      <c r="T353" s="78" t="n">
        <v>16.68</v>
      </c>
      <c r="U353" s="79" t="n">
        <v>32.2</v>
      </c>
      <c r="V353" s="80" t="n">
        <v>165</v>
      </c>
      <c r="W353" s="75" t="n">
        <v>45</v>
      </c>
      <c r="X353" s="71" t="inlineStr">
        <is>
          <t>YES</t>
        </is>
      </c>
      <c r="Y353" s="76" t="n">
        <v>3232.59</v>
      </c>
      <c r="Z353" s="76" t="n">
        <v>177810110</v>
      </c>
      <c r="AA353" s="75" t="n">
        <v>3.36</v>
      </c>
      <c r="AB353" s="71" t="inlineStr">
        <is>
          <t>Green Better; Olympic Country; UBS AM Singapore; Poly Platinum; Infini; Verition</t>
        </is>
      </c>
      <c r="AC353" s="71" t="inlineStr">
        <is>
          <t>green;olympic;ubs;poly;infini;verition</t>
        </is>
      </c>
      <c r="AD353" s="75" t="n">
        <v>15</v>
      </c>
      <c r="AE353" s="71" t="inlineStr">
        <is>
          <t>full</t>
        </is>
      </c>
      <c r="AF353" s="71" t="inlineStr">
        <is>
          <t>2025-08-03</t>
        </is>
      </c>
      <c r="AG353" s="71" t="inlineStr">
        <is>
          <t>C LSA Limited</t>
        </is>
      </c>
      <c r="AH353" s="71" t="inlineStr">
        <is>
          <t>C LSA</t>
        </is>
      </c>
      <c r="AI353" s="81" t="n">
        <v>3.52</v>
      </c>
      <c r="AJ353" s="82" t="n">
        <v>9.130000000000001</v>
      </c>
      <c r="AK353" s="82" t="n">
        <v>3.85</v>
      </c>
      <c r="AL353" s="82" t="n">
        <v>5.08</v>
      </c>
      <c r="AM353" s="83" t="n">
        <v>1.19</v>
      </c>
      <c r="AN353" s="75" t="n">
        <v>7.63</v>
      </c>
      <c r="AO353" s="82" t="n">
        <v>6.38</v>
      </c>
      <c r="AP353" s="82" t="n">
        <v>16.06</v>
      </c>
      <c r="AQ353" s="82" t="n">
        <v>76.79000000000001</v>
      </c>
      <c r="AR353" s="82" t="n">
        <v>-2.52</v>
      </c>
      <c r="AS353" s="82" t="n">
        <v>6.35</v>
      </c>
      <c r="AT353" s="82" t="n">
        <v>62</v>
      </c>
      <c r="AU353" s="82" t="n">
        <v>4.57</v>
      </c>
      <c r="AV353" s="82" t="n">
        <v>12.05</v>
      </c>
      <c r="AW353" s="82" t="n">
        <v>54.73</v>
      </c>
      <c r="AX353" s="82" t="n">
        <v>0.63</v>
      </c>
      <c r="AY353" s="82" t="n">
        <v>4.01</v>
      </c>
      <c r="AZ353" s="82" t="n">
        <v>5.72</v>
      </c>
      <c r="BA353" s="71" t="inlineStr">
        <is>
          <t>HSTECH (Hang Seng TECH ETF)</t>
        </is>
      </c>
      <c r="BB353" s="82" t="n">
        <v>20.79</v>
      </c>
      <c r="BC353" s="72" t="inlineStr">
        <is>
          <t>2026-09-23</t>
        </is>
      </c>
      <c r="BD353" s="73" t="n"/>
      <c r="BE353" s="76" t="n">
        <v>4044.5</v>
      </c>
      <c r="BF353" s="71" t="inlineStr">
        <is>
          <t>Y</t>
        </is>
      </c>
      <c r="BG353" s="83" t="n">
        <v>23.8</v>
      </c>
      <c r="BH353" s="83" t="n">
        <v>22.9</v>
      </c>
      <c r="BI353" s="83" t="n">
        <v>30.1</v>
      </c>
      <c r="BJ353" s="83" t="n"/>
      <c r="BK353" s="84">
        <f>IF('BBG Verify'!S353="","not filed; run on terminal",'BBG Verify'!S353)</f>
        <v/>
      </c>
      <c r="BL353" s="85" t="inlineStr">
        <is>
          <t>Y</t>
        </is>
      </c>
      <c r="BM353" s="71" t="inlineStr">
        <is>
          <t>300433.SZ</t>
        </is>
      </c>
      <c r="BN353" s="82" t="n">
        <v>40.38</v>
      </c>
      <c r="BO353" s="74" t="n">
        <v>25.5213</v>
      </c>
      <c r="BP353" s="89" t="n">
        <v>0.8132</v>
      </c>
      <c r="BQ353" s="76" t="n">
        <v>215539.1</v>
      </c>
      <c r="BR353" s="84">
        <f>IF('BBG Verify'!Q353="","run on terminal",'BBG Verify'!Q353)</f>
        <v/>
      </c>
      <c r="BS353" s="84">
        <f>IF('BBG Verify'!R353="","run on terminal",'BBG Verify'!R353)</f>
        <v/>
      </c>
      <c r="BT353" s="85" t="inlineStr">
        <is>
          <t>CITIC Securities (Hong Kong) Limited</t>
        </is>
      </c>
      <c r="BU353" s="71" t="inlineStr">
        <is>
          <t>CITIC Securities (Hong Kong) Limited</t>
        </is>
      </c>
      <c r="BV353" s="71" t="inlineStr">
        <is>
          <t>CLSA Limited; Merrill Lynch (Asia Pacific) Limited; ABCI Capital Limited; BOCI Asia Limited; Futu Securities International (Hong Kong) Limited; AVICT Global Asset Management Limited</t>
        </is>
      </c>
      <c r="BW353" s="71" t="inlineStr">
        <is>
          <t>ABCI Securities Company Limited; AVICT Global Asset Management Limited; BOCI Asia Limited; CLSA Limited; Futu Securities International (Hong Kong) Limited; Merrill Lynch (Asia Pacific) Limited</t>
        </is>
      </c>
      <c r="BX353" s="87">
        <f>HYPERLINK("https://www1.hkexnews.hk/listedco/listconews/sehk/2025/0630/2025063000031.pdf","prospectus")</f>
        <v/>
      </c>
      <c r="BY353" s="87">
        <f>HYPERLINK("https://www1.hkexnews.hk/listedco/listconews/sehk/2025/0708/2025070801180.pdf","allotment")</f>
        <v/>
      </c>
      <c r="BZ353" s="87">
        <f>HYPERLINK("https://www1.hkexnews.hk/listedco/listconews/sehk/2025/0803/2025080300029.pdf","stabilisation")</f>
        <v/>
      </c>
      <c r="CA353" s="85" t="n"/>
      <c r="CB353" s="71" t="inlineStr">
        <is>
          <t>range low: maximum offer price only, no floor published; A/H: Jul 2025 H listing (cover glass, Apple chain); P/S: revenue not extractable; financials: not extractable; pre-IPO year outside the AAStocks window</t>
        </is>
      </c>
    </row>
    <row r="354" ht="15" customHeight="1">
      <c r="A354" s="70" t="inlineStr">
        <is>
          <t>9887</t>
        </is>
      </c>
      <c r="B354" s="71" t="inlineStr">
        <is>
          <t>LEADS BIOLABS-B</t>
        </is>
      </c>
      <c r="C354" s="71" t="inlineStr">
        <is>
          <t>維立志博－Ｂ</t>
        </is>
      </c>
      <c r="D354" s="71" t="inlineStr">
        <is>
          <t>Healthcare</t>
        </is>
      </c>
      <c r="E354" s="71" t="inlineStr">
        <is>
          <t>Biotech pre-revenue (18A)</t>
        </is>
      </c>
      <c r="F354" s="71" t="inlineStr">
        <is>
          <t>Biotechnology - Pharmaceuticals</t>
        </is>
      </c>
      <c r="G354" s="71" t="inlineStr">
        <is>
          <t>18A</t>
        </is>
      </c>
      <c r="H354" s="72" t="n">
        <v>45863</v>
      </c>
      <c r="I354" s="73" t="n">
        <v>1290.2</v>
      </c>
      <c r="J354" s="71" t="inlineStr">
        <is>
          <t>gross (stated)</t>
        </is>
      </c>
      <c r="K354" s="74" t="n">
        <v>31.6</v>
      </c>
      <c r="L354" s="74" t="n">
        <v>35</v>
      </c>
      <c r="M354" s="74" t="n">
        <v>35</v>
      </c>
      <c r="N354" s="71" t="inlineStr">
        <is>
          <t>Y</t>
        </is>
      </c>
      <c r="O354" s="75" t="n">
        <v>100</v>
      </c>
      <c r="P354" s="75" t="n">
        <v>100</v>
      </c>
      <c r="Q354" s="76" t="n">
        <v>5958.3</v>
      </c>
      <c r="R354" s="71" t="inlineStr">
        <is>
          <t>prospectus:stated market capitalisation</t>
        </is>
      </c>
      <c r="S354" s="77" t="n">
        <v>3494.78</v>
      </c>
      <c r="T354" s="78" t="n">
        <v>40.78</v>
      </c>
      <c r="U354" s="79" t="n">
        <v>10.63</v>
      </c>
      <c r="V354" s="80" t="n">
        <v>141</v>
      </c>
      <c r="W354" s="75" t="n">
        <v>43.48</v>
      </c>
      <c r="X354" s="71" t="inlineStr">
        <is>
          <t>YES</t>
        </is>
      </c>
      <c r="Y354" s="76" t="n">
        <v>1153.05</v>
      </c>
      <c r="Z354" s="76" t="n">
        <v>32944016</v>
      </c>
      <c r="AA354" s="75" t="n">
        <v>19.35</v>
      </c>
      <c r="AB354" s="71" t="inlineStr">
        <is>
          <t>Loyal Valley Fund III; Vision Fund</t>
        </is>
      </c>
      <c r="AC354" s="71" t="inlineStr">
        <is>
          <t>loyal;vision</t>
        </is>
      </c>
      <c r="AD354" s="75" t="n">
        <v>15</v>
      </c>
      <c r="AE354" s="71" t="inlineStr">
        <is>
          <t>full</t>
        </is>
      </c>
      <c r="AF354" s="71" t="n"/>
      <c r="AG354" s="71" t="inlineStr">
        <is>
          <t>Morgan Stanley Asia Limited</t>
        </is>
      </c>
      <c r="AH354" s="71" t="inlineStr">
        <is>
          <t>Morgan Stanley</t>
        </is>
      </c>
      <c r="AI354" s="81" t="n">
        <v>99.286</v>
      </c>
      <c r="AJ354" s="82" t="n">
        <v>91.70999999999999</v>
      </c>
      <c r="AK354" s="82" t="n">
        <v>106.86</v>
      </c>
      <c r="AL354" s="82" t="n">
        <v>-7.32</v>
      </c>
      <c r="AM354" s="83" t="n">
        <v>2.07</v>
      </c>
      <c r="AN354" s="75" t="n">
        <v>17.27</v>
      </c>
      <c r="AO354" s="82" t="n">
        <v>100</v>
      </c>
      <c r="AP354" s="82" t="n">
        <v>94.29000000000001</v>
      </c>
      <c r="AQ354" s="82" t="n">
        <v>69.14</v>
      </c>
      <c r="AR354" s="82" t="n">
        <v>4.32</v>
      </c>
      <c r="AS354" s="82" t="n">
        <v>1.35</v>
      </c>
      <c r="AT354" s="82" t="n">
        <v>-11.77</v>
      </c>
      <c r="AU354" s="82" t="n">
        <v>96.86</v>
      </c>
      <c r="AV354" s="82" t="n">
        <v>84.23999999999999</v>
      </c>
      <c r="AW354" s="82" t="n">
        <v>66.01000000000001</v>
      </c>
      <c r="AX354" s="82" t="n">
        <v>-8.779999999999999</v>
      </c>
      <c r="AY354" s="82" t="n">
        <v>10.05</v>
      </c>
      <c r="AZ354" s="82" t="n">
        <v>10.13</v>
      </c>
      <c r="BA354" s="71" t="inlineStr">
        <is>
          <t>China Biotech ETF (HS biotech proxy)</t>
        </is>
      </c>
      <c r="BB354" s="82" t="n">
        <v>60.57</v>
      </c>
      <c r="BC354" s="72" t="inlineStr">
        <is>
          <t>2026-09-23</t>
        </is>
      </c>
      <c r="BD354" s="73" t="n">
        <v>9.800000000000001</v>
      </c>
      <c r="BE354" s="76" t="n">
        <v>-95.2</v>
      </c>
      <c r="BF354" s="71" t="inlineStr">
        <is>
          <t>N</t>
        </is>
      </c>
      <c r="BG354" s="71" t="inlineStr">
        <is>
          <t>n/m</t>
        </is>
      </c>
      <c r="BH354" s="83" t="n"/>
      <c r="BI354" s="83" t="n"/>
      <c r="BJ354" s="83" t="n">
        <v>608</v>
      </c>
      <c r="BK354" s="84">
        <f>IF('BBG Verify'!S354="","not filed; run on terminal",'BBG Verify'!S354)</f>
        <v/>
      </c>
      <c r="BL354" s="85" t="inlineStr">
        <is>
          <t>N</t>
        </is>
      </c>
      <c r="BM354" s="86">
        <f>IF('BBG Verify'!K354="","not filed; run on terminal",'BBG Verify'!K354)</f>
        <v/>
      </c>
      <c r="BN354" s="71" t="inlineStr">
        <is>
          <t>N/A</t>
        </is>
      </c>
      <c r="BO354" s="71" t="inlineStr">
        <is>
          <t>N/A</t>
        </is>
      </c>
      <c r="BP354" s="71" t="inlineStr">
        <is>
          <t>N/A</t>
        </is>
      </c>
      <c r="BQ354" s="71" t="inlineStr">
        <is>
          <t>N/A</t>
        </is>
      </c>
      <c r="BR354" s="71" t="inlineStr">
        <is>
          <t>N/A</t>
        </is>
      </c>
      <c r="BS354" s="71" t="inlineStr">
        <is>
          <t>N/A</t>
        </is>
      </c>
      <c r="BT354" s="85" t="inlineStr">
        <is>
          <t>Morgan StanleyAsia Limited; CITIC Securities (Hong Kong) Limited; CLSA Limited</t>
        </is>
      </c>
      <c r="BU354" s="71" t="inlineStr">
        <is>
          <t>Morgan Stanley Asia Limited; CITIC Securities (Hong Kong) Limited</t>
        </is>
      </c>
      <c r="BV354" s="71" t="inlineStr">
        <is>
          <t>CCB International Capital Limited; CLSA Limited; CMB International Capital Limited; Futu Securities International (Hong Kong) Limited; Morgan Stanley Asia Limited</t>
        </is>
      </c>
      <c r="BW354" s="71" t="inlineStr">
        <is>
          <t>CCB International Capital Limited; CLSA Limited; CMB International Capital Limited; Futu Securities International (Hong Kong) Limited; Morgan Stanley Asia Limited</t>
        </is>
      </c>
      <c r="BX354" s="87">
        <f>HYPERLINK("https://www1.hkexnews.hk/listedco/listconews/sehk/2025/0717/2025071700005.pdf","prospectus")</f>
        <v/>
      </c>
      <c r="BY354" s="87">
        <f>HYPERLINK("https://www1.hkexnews.hk/listedco/listconews/sehk/2025/0724/2025072401812.pdf","allotment")</f>
        <v/>
      </c>
      <c r="BZ354" s="87">
        <f>HYPERLINK("https://www1.hkexnews.hk/listedco/listconews/sehk/2025/0821/2025082100862.pdf","stabilisation")</f>
        <v/>
      </c>
      <c r="CA354" s="85" t="n"/>
      <c r="CB354" s="71" t="inlineStr">
        <is>
          <t>P/E: loss-making at IPO, use P/S; greenshoe: outcome published; expiry date not in the notice; P/S: 608x on HK$9.8m revenue, effectively pre-revenue; not comparable</t>
        </is>
      </c>
    </row>
    <row r="355" ht="15" customHeight="1">
      <c r="A355" s="70" t="inlineStr">
        <is>
          <t>2627</t>
        </is>
      </c>
      <c r="B355" s="71" t="inlineStr">
        <is>
          <t>AB&amp;B BIO-TECH-B</t>
        </is>
      </c>
      <c r="C355" s="71" t="inlineStr">
        <is>
          <t>中慧生物－Ｂ</t>
        </is>
      </c>
      <c r="D355" s="71" t="inlineStr">
        <is>
          <t>Healthcare</t>
        </is>
      </c>
      <c r="E355" s="71" t="inlineStr">
        <is>
          <t>Biotech pre-revenue (18A)</t>
        </is>
      </c>
      <c r="F355" s="71" t="inlineStr">
        <is>
          <t>Biotechnology - Pharmaceuticals</t>
        </is>
      </c>
      <c r="G355" s="71" t="inlineStr">
        <is>
          <t>18A</t>
        </is>
      </c>
      <c r="H355" s="72" t="n">
        <v>45880</v>
      </c>
      <c r="I355" s="73" t="n">
        <v>431.4</v>
      </c>
      <c r="J355" s="71" t="inlineStr">
        <is>
          <t>gross (stated)</t>
        </is>
      </c>
      <c r="K355" s="74" t="n">
        <v>12.9</v>
      </c>
      <c r="L355" s="74" t="n">
        <v>15.5</v>
      </c>
      <c r="M355" s="74" t="n">
        <v>12.9</v>
      </c>
      <c r="N355" s="71" t="inlineStr">
        <is>
          <t>N</t>
        </is>
      </c>
      <c r="O355" s="75" t="n">
        <v>83.2</v>
      </c>
      <c r="P355" s="75" t="n">
        <v>0</v>
      </c>
      <c r="Q355" s="76" t="n">
        <v>5075.4</v>
      </c>
      <c r="R355" s="71" t="inlineStr">
        <is>
          <t>derived:price x shares upon listing</t>
        </is>
      </c>
      <c r="S355" s="77" t="n">
        <v>4007.64</v>
      </c>
      <c r="T355" s="78" t="n">
        <v>0.99</v>
      </c>
      <c r="U355" s="79" t="n">
        <v>33.3</v>
      </c>
      <c r="V355" s="80" t="n">
        <v>152</v>
      </c>
      <c r="W355" s="75" t="n">
        <v>11.95</v>
      </c>
      <c r="X355" s="71" t="inlineStr">
        <is>
          <t>NO</t>
        </is>
      </c>
      <c r="Y355" s="76" t="n">
        <v>287.74</v>
      </c>
      <c r="Z355" s="76" t="n">
        <v>22306214</v>
      </c>
      <c r="AA355" s="75" t="n">
        <v>5.67</v>
      </c>
      <c r="AB355" s="71" t="n"/>
      <c r="AC355" s="71" t="n"/>
      <c r="AD355" s="75" t="n"/>
      <c r="AE355" s="71" t="n"/>
      <c r="AF355" s="71" t="n"/>
      <c r="AG355" s="71" t="n"/>
      <c r="AH355" s="71" t="n"/>
      <c r="AI355" s="81" t="n">
        <v>162.6</v>
      </c>
      <c r="AJ355" s="82" t="n">
        <v>157.98</v>
      </c>
      <c r="AK355" s="82" t="n">
        <v>155.81</v>
      </c>
      <c r="AL355" s="82" t="n">
        <v>0.85</v>
      </c>
      <c r="AM355" s="83" t="n">
        <v>2.25</v>
      </c>
      <c r="AN355" s="75" t="n">
        <v>5.45</v>
      </c>
      <c r="AO355" s="82" t="n">
        <v>314.73</v>
      </c>
      <c r="AP355" s="82" t="n">
        <v>261.09</v>
      </c>
      <c r="AQ355" s="82" t="n">
        <v>212.71</v>
      </c>
      <c r="AR355" s="82" t="n">
        <v>60.76</v>
      </c>
      <c r="AS355" s="82" t="n">
        <v>39.97</v>
      </c>
      <c r="AT355" s="82" t="n">
        <v>21.21</v>
      </c>
      <c r="AU355" s="82" t="n">
        <v>307.69</v>
      </c>
      <c r="AV355" s="82" t="n">
        <v>248.23</v>
      </c>
      <c r="AW355" s="82" t="n">
        <v>212.81</v>
      </c>
      <c r="AX355" s="82" t="n">
        <v>27.97</v>
      </c>
      <c r="AY355" s="82" t="n">
        <v>12.86</v>
      </c>
      <c r="AZ355" s="82" t="n">
        <v>12</v>
      </c>
      <c r="BA355" s="71" t="inlineStr">
        <is>
          <t>China Biotech ETF (HS biotech proxy)</t>
        </is>
      </c>
      <c r="BB355" s="82" t="n">
        <v>127.29</v>
      </c>
      <c r="BC355" s="72" t="inlineStr">
        <is>
          <t>2026-09-18</t>
        </is>
      </c>
      <c r="BD355" s="73" t="n">
        <v>0.3</v>
      </c>
      <c r="BE355" s="76" t="n">
        <v>0</v>
      </c>
      <c r="BF355" s="71" t="inlineStr">
        <is>
          <t>N</t>
        </is>
      </c>
      <c r="BG355" s="71" t="inlineStr">
        <is>
          <t>n/m</t>
        </is>
      </c>
      <c r="BH355" s="83" t="n"/>
      <c r="BI355" s="83" t="n"/>
      <c r="BJ355" s="83" t="n">
        <v>16918</v>
      </c>
      <c r="BK355" s="84">
        <f>IF('BBG Verify'!S355="","not filed; run on terminal",'BBG Verify'!S355)</f>
        <v/>
      </c>
      <c r="BL355" s="85" t="inlineStr">
        <is>
          <t>N</t>
        </is>
      </c>
      <c r="BM355" s="86">
        <f>IF('BBG Verify'!K355="","not filed; run on terminal",'BBG Verify'!K355)</f>
        <v/>
      </c>
      <c r="BN355" s="71" t="inlineStr">
        <is>
          <t>N/A</t>
        </is>
      </c>
      <c r="BO355" s="71" t="inlineStr">
        <is>
          <t>N/A</t>
        </is>
      </c>
      <c r="BP355" s="71" t="inlineStr">
        <is>
          <t>N/A</t>
        </is>
      </c>
      <c r="BQ355" s="71" t="inlineStr">
        <is>
          <t>N/A</t>
        </is>
      </c>
      <c r="BR355" s="71" t="inlineStr">
        <is>
          <t>N/A</t>
        </is>
      </c>
      <c r="BS355" s="71" t="inlineStr">
        <is>
          <t>N/A</t>
        </is>
      </c>
      <c r="BT355" s="85" t="inlineStr">
        <is>
          <t>CITIC Securities (Hong Kong) Limited; CMB International Capital Limited</t>
        </is>
      </c>
      <c r="BU355" s="71" t="inlineStr">
        <is>
          <t>CITIC Securities (Hong Kong) Limited; CMB International Capital Limited</t>
        </is>
      </c>
      <c r="BV355" s="71" t="inlineStr">
        <is>
          <t>CLSA Limited; CMB International Capital Limited; Livermore Holdings Limited; Funde Securities Limited; Aristo Securities Limited; BOCI Asia Limited; ICBC International Securities Limited</t>
        </is>
      </c>
      <c r="BW355" s="71" t="inlineStr">
        <is>
          <t>Aristo Securities Limited; BOCI Asia Limited; CLSA Limited; CMB International Capital Limited; Funde Securities Limited; ICBC International Securities Limited; Livermore Holdings Limited</t>
        </is>
      </c>
      <c r="BX355" s="87">
        <f>HYPERLINK("https://www1.hkexnews.hk/listedco/listconews/sehk/2025/0731/2025073100087.pdf","prospectus")</f>
        <v/>
      </c>
      <c r="BY355" s="87">
        <f>HYPERLINK("https://www1.hkexnews.hk/listedco/listconews/sehk/2025/0808/2025080801368.pdf","allotment")</f>
        <v/>
      </c>
      <c r="BZ355" s="71" t="n"/>
      <c r="CA355" s="85" t="n"/>
      <c r="CB355" s="71"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t>
        </is>
      </c>
    </row>
    <row r="356" ht="15" customHeight="1">
      <c r="A356" s="70" t="inlineStr">
        <is>
          <t>2591</t>
        </is>
      </c>
      <c r="B356" s="71" t="inlineStr">
        <is>
          <t>INNOGEN-B</t>
        </is>
      </c>
      <c r="C356" s="71" t="inlineStr">
        <is>
          <t>銀諾醫藥－Ｂ</t>
        </is>
      </c>
      <c r="D356" s="71" t="inlineStr">
        <is>
          <t>Healthcare</t>
        </is>
      </c>
      <c r="E356" s="71" t="inlineStr">
        <is>
          <t>Biotech pre-revenue (18A)</t>
        </is>
      </c>
      <c r="F356" s="71" t="inlineStr">
        <is>
          <t>Pharmaceuticals</t>
        </is>
      </c>
      <c r="G356" s="71" t="inlineStr">
        <is>
          <t>18A</t>
        </is>
      </c>
      <c r="H356" s="72" t="n">
        <v>45884</v>
      </c>
      <c r="I356" s="73" t="n">
        <v>682.9</v>
      </c>
      <c r="J356" s="71" t="inlineStr">
        <is>
          <t>gross (stated)</t>
        </is>
      </c>
      <c r="K356" s="74" t="n"/>
      <c r="L356" s="74" t="n">
        <v>18.68</v>
      </c>
      <c r="M356" s="74" t="n">
        <v>18.68</v>
      </c>
      <c r="N356" s="71" t="inlineStr">
        <is>
          <t>Y</t>
        </is>
      </c>
      <c r="O356" s="75" t="n">
        <v>100</v>
      </c>
      <c r="P356" s="75" t="n"/>
      <c r="Q356" s="76" t="n">
        <v>8533.4</v>
      </c>
      <c r="R356" s="71" t="inlineStr">
        <is>
          <t>derived:price x shares upon listing</t>
        </is>
      </c>
      <c r="S356" s="77" t="n">
        <v>5341.66</v>
      </c>
      <c r="T356" s="78" t="n">
        <v>10.67</v>
      </c>
      <c r="U356" s="79" t="n">
        <v>11.49</v>
      </c>
      <c r="V356" s="80" t="n">
        <v>143</v>
      </c>
      <c r="W356" s="75" t="n">
        <v>10</v>
      </c>
      <c r="X356" s="71" t="inlineStr">
        <is>
          <t>NA</t>
        </is>
      </c>
      <c r="Y356" s="76" t="n">
        <v>604.4299999999999</v>
      </c>
      <c r="Z356" s="76" t="n">
        <v>32356070</v>
      </c>
      <c r="AA356" s="75" t="n">
        <v>7.08</v>
      </c>
      <c r="AB356" s="71" t="inlineStr">
        <is>
          <t>LI Huifeng ( ኇᅆჾ); June Star Global Limited; SPC-XtalPi AI Fund SP; Marketingforce Management Ltd; DENG Haifeng; Palace Investments Pte. Ltd; BioTrack AA Limited; BioTrack BZ Limited</t>
        </is>
      </c>
      <c r="AC356" s="71" t="inlineStr">
        <is>
          <t>li-huifeng;june;xtalpi;marketingforce;deng-haifeng;palace;biotrack</t>
        </is>
      </c>
      <c r="AD356" s="75" t="n">
        <v>11.19</v>
      </c>
      <c r="AE356" s="71" t="n"/>
      <c r="AF356" s="71" t="n"/>
      <c r="AG356" s="71" t="inlineStr">
        <is>
          <t>CLSA Limited</t>
        </is>
      </c>
      <c r="AH356" s="71" t="inlineStr">
        <is>
          <t>CLSA</t>
        </is>
      </c>
      <c r="AI356" s="81" t="n">
        <v>274.732</v>
      </c>
      <c r="AJ356" s="82" t="n">
        <v>206.48</v>
      </c>
      <c r="AK356" s="82" t="n">
        <v>285.44</v>
      </c>
      <c r="AL356" s="82" t="n">
        <v>-20.49</v>
      </c>
      <c r="AM356" s="83" t="n">
        <v>4.44</v>
      </c>
      <c r="AN356" s="75" t="n">
        <v>34.03</v>
      </c>
      <c r="AO356" s="82" t="n">
        <v>183.73</v>
      </c>
      <c r="AP356" s="82" t="n">
        <v>137.37</v>
      </c>
      <c r="AQ356" s="82" t="n">
        <v>84.58</v>
      </c>
      <c r="AR356" s="82" t="n">
        <v>-7.42</v>
      </c>
      <c r="AS356" s="82" t="n">
        <v>-22.55</v>
      </c>
      <c r="AT356" s="82" t="n">
        <v>-39.77</v>
      </c>
      <c r="AU356" s="82" t="n">
        <v>180.94</v>
      </c>
      <c r="AV356" s="82" t="n">
        <v>131.52</v>
      </c>
      <c r="AW356" s="82" t="n">
        <v>86.28</v>
      </c>
      <c r="AX356" s="82" t="n">
        <v>-26.92</v>
      </c>
      <c r="AY356" s="82" t="n">
        <v>5.85</v>
      </c>
      <c r="AZ356" s="82" t="n">
        <v>4.37</v>
      </c>
      <c r="BA356" s="71" t="inlineStr">
        <is>
          <t>China Biotech ETF (HS biotech proxy)</t>
        </is>
      </c>
      <c r="BB356" s="82" t="n">
        <v>-77.92</v>
      </c>
      <c r="BC356" s="72" t="inlineStr">
        <is>
          <t>2026-09-23</t>
        </is>
      </c>
      <c r="BD356" s="73" t="n">
        <v>42</v>
      </c>
      <c r="BE356" s="76" t="n">
        <v>-68.09999999999999</v>
      </c>
      <c r="BF356" s="71" t="inlineStr">
        <is>
          <t>N</t>
        </is>
      </c>
      <c r="BG356" s="71" t="inlineStr">
        <is>
          <t>n/m</t>
        </is>
      </c>
      <c r="BH356" s="83" t="n"/>
      <c r="BI356" s="83" t="n"/>
      <c r="BJ356" s="83" t="n">
        <v>203.2</v>
      </c>
      <c r="BK356" s="84">
        <f>IF('BBG Verify'!S356="","not filed; run on terminal",'BBG Verify'!S356)</f>
        <v/>
      </c>
      <c r="BL356" s="85" t="inlineStr">
        <is>
          <t>N</t>
        </is>
      </c>
      <c r="BM356" s="86">
        <f>IF('BBG Verify'!K356="","not filed; run on terminal",'BBG Verify'!K356)</f>
        <v/>
      </c>
      <c r="BN356" s="71" t="inlineStr">
        <is>
          <t>N/A</t>
        </is>
      </c>
      <c r="BO356" s="71" t="inlineStr">
        <is>
          <t>N/A</t>
        </is>
      </c>
      <c r="BP356" s="71" t="inlineStr">
        <is>
          <t>N/A</t>
        </is>
      </c>
      <c r="BQ356" s="71" t="inlineStr">
        <is>
          <t>N/A</t>
        </is>
      </c>
      <c r="BR356" s="71" t="inlineStr">
        <is>
          <t>N/A</t>
        </is>
      </c>
      <c r="BS356" s="71" t="inlineStr">
        <is>
          <t>N/A</t>
        </is>
      </c>
      <c r="BT356" s="85" t="inlineStr">
        <is>
          <t>CITIC Securities (Hong Kong) Limited; China International Capital Corporation Hong Kong Securities Limited</t>
        </is>
      </c>
      <c r="BU356" s="71" t="inlineStr">
        <is>
          <t>China International Capital Corporation Hong Kong Securities Limited; CITIC Securities (Hong Kong) Limited</t>
        </is>
      </c>
      <c r="BV356" s="71"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W356" s="71"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X356" s="87">
        <f>HYPERLINK("https://www1.hkexnews.hk/listedco/listconews/sehk/2025/0807/2025080700013.pdf","prospectus")</f>
        <v/>
      </c>
      <c r="BY356" s="87">
        <f>HYPERLINK("https://www1.hkexnews.hk/listedco/listconews/sehk/2025/0814/2025081401622.pdf","allotment")</f>
        <v/>
      </c>
      <c r="BZ356" s="71" t="n"/>
      <c r="CA356" s="85" t="n"/>
      <c r="CB356" s="71" t="inlineStr">
        <is>
          <t>P/E: loss-making at IPO, use P/S; greenshoe: end-of-stabilisation notice not found; range low: maximum offer price only, no floor published</t>
        </is>
      </c>
    </row>
    <row r="357" ht="15" customHeight="1">
      <c r="A357" s="70" t="inlineStr">
        <is>
          <t>2631</t>
        </is>
      </c>
      <c r="B357" s="71" t="inlineStr">
        <is>
          <t>SICC</t>
        </is>
      </c>
      <c r="C357" s="71" t="inlineStr">
        <is>
          <t>天岳先進</t>
        </is>
      </c>
      <c r="D357" s="71" t="inlineStr">
        <is>
          <t>Tech/AI</t>
        </is>
      </c>
      <c r="E357" s="71" t="inlineStr">
        <is>
          <t>AI chips &amp; semis</t>
        </is>
      </c>
      <c r="F357" s="71" t="inlineStr">
        <is>
          <t>Semiconductors &amp; Semiconductor Equipment</t>
        </is>
      </c>
      <c r="G357" s="71" t="inlineStr">
        <is>
          <t>Standard</t>
        </is>
      </c>
      <c r="H357" s="72" t="n">
        <v>45889</v>
      </c>
      <c r="I357" s="73" t="n">
        <v>2043.5</v>
      </c>
      <c r="J357" s="71" t="inlineStr">
        <is>
          <t>gross (stated)</t>
        </is>
      </c>
      <c r="K357" s="74" t="n"/>
      <c r="L357" s="74" t="n">
        <v>42.8</v>
      </c>
      <c r="M357" s="74" t="n">
        <v>42.8</v>
      </c>
      <c r="N357" s="71" t="inlineStr">
        <is>
          <t>Y</t>
        </is>
      </c>
      <c r="O357" s="75" t="n">
        <v>100</v>
      </c>
      <c r="P357" s="75" t="n"/>
      <c r="Q357" s="76" t="n">
        <v>18084.1</v>
      </c>
      <c r="R357" s="71" t="inlineStr">
        <is>
          <t>derived:deal size / offer % of enlarged capital</t>
        </is>
      </c>
      <c r="S357" s="77" t="n">
        <v>2809.19</v>
      </c>
      <c r="T357" s="78" t="n">
        <v>9.039999999999999</v>
      </c>
      <c r="U357" s="79" t="n">
        <v>36.2</v>
      </c>
      <c r="V357" s="80" t="n">
        <v>146</v>
      </c>
      <c r="W357" s="75" t="n">
        <v>35</v>
      </c>
      <c r="X357" s="71" t="inlineStr">
        <is>
          <t>YES</t>
        </is>
      </c>
      <c r="Y357" s="76" t="n">
        <v>1303.75</v>
      </c>
      <c r="Z357" s="76" t="n">
        <v>30461757</v>
      </c>
      <c r="AA357" s="75" t="n">
        <v>7.21</v>
      </c>
      <c r="AB357" s="71" t="inlineStr">
        <is>
          <t>H&amp;T Intelligent Control International Co., Limited; Mr. Lan Kun ( ᚆտ)</t>
        </is>
      </c>
      <c r="AC357" s="71" t="inlineStr">
        <is>
          <t>intelligent;mr-lan</t>
        </is>
      </c>
      <c r="AD357" s="75" t="n">
        <v>15</v>
      </c>
      <c r="AE357" s="71" t="inlineStr">
        <is>
          <t>full</t>
        </is>
      </c>
      <c r="AF357" s="71" t="inlineStr">
        <is>
          <t>2025-09-14</t>
        </is>
      </c>
      <c r="AG357" s="71" t="inlineStr">
        <is>
          <t>China International Capital Corporation Hong Kong Securities Limited</t>
        </is>
      </c>
      <c r="AH357" s="71" t="inlineStr">
        <is>
          <t>China International</t>
        </is>
      </c>
      <c r="AI357" s="81" t="n">
        <v>12.056</v>
      </c>
      <c r="AJ357" s="82" t="n">
        <v>6.4</v>
      </c>
      <c r="AK357" s="82" t="n">
        <v>6.54</v>
      </c>
      <c r="AL357" s="82" t="n">
        <v>-0.13</v>
      </c>
      <c r="AM357" s="83" t="n">
        <v>1.55</v>
      </c>
      <c r="AN357" s="75" t="n">
        <v>7.02</v>
      </c>
      <c r="AO357" s="82" t="n">
        <v>2.34</v>
      </c>
      <c r="AP357" s="82" t="n">
        <v>42.29</v>
      </c>
      <c r="AQ357" s="82" t="n">
        <v>23.25</v>
      </c>
      <c r="AR357" s="82" t="n">
        <v>-3.82</v>
      </c>
      <c r="AS357" s="82" t="n">
        <v>33.73</v>
      </c>
      <c r="AT357" s="82" t="n">
        <v>15.84</v>
      </c>
      <c r="AU357" s="82" t="n">
        <v>-0.41</v>
      </c>
      <c r="AV357" s="82" t="n">
        <v>29.25</v>
      </c>
      <c r="AW357" s="82" t="n">
        <v>22.79</v>
      </c>
      <c r="AX357" s="82" t="n">
        <v>20.59</v>
      </c>
      <c r="AY357" s="82" t="n">
        <v>13.04</v>
      </c>
      <c r="AZ357" s="82" t="n">
        <v>13.14</v>
      </c>
      <c r="BA357" s="71" t="inlineStr">
        <is>
          <t>HSTECH (Hang Seng TECH ETF)</t>
        </is>
      </c>
      <c r="BB357" s="82" t="n">
        <v>64.02</v>
      </c>
      <c r="BC357" s="72" t="inlineStr">
        <is>
          <t>2026-09-23</t>
        </is>
      </c>
      <c r="BD357" s="73" t="n">
        <v>1945</v>
      </c>
      <c r="BE357" s="76" t="n">
        <v>196.9</v>
      </c>
      <c r="BF357" s="71" t="inlineStr">
        <is>
          <t>Y</t>
        </is>
      </c>
      <c r="BG357" s="83" t="n">
        <v>91.8</v>
      </c>
      <c r="BH357" s="83" t="n">
        <v>203.2</v>
      </c>
      <c r="BI357" s="83" t="n"/>
      <c r="BJ357" s="83" t="n">
        <v>9.300000000000001</v>
      </c>
      <c r="BK357" s="84">
        <f>IF('BBG Verify'!S357="","not filed; run on terminal",'BBG Verify'!S357)</f>
        <v/>
      </c>
      <c r="BL357" s="85" t="inlineStr">
        <is>
          <t>Y</t>
        </is>
      </c>
      <c r="BM357" s="71" t="inlineStr">
        <is>
          <t>688234.SS</t>
        </is>
      </c>
      <c r="BN357" s="82" t="n">
        <v>70.04000000000001</v>
      </c>
      <c r="BO357" s="74" t="n">
        <v>72.779</v>
      </c>
      <c r="BP357" s="89" t="n">
        <v>0.8218</v>
      </c>
      <c r="BQ357" s="76" t="n">
        <v>60432.1</v>
      </c>
      <c r="BR357" s="84">
        <f>IF('BBG Verify'!Q357="","run on terminal",'BBG Verify'!Q357)</f>
        <v/>
      </c>
      <c r="BS357" s="84">
        <f>IF('BBG Verify'!R357="","run on terminal",'BBG Verify'!R357)</f>
        <v/>
      </c>
      <c r="BT357" s="85" t="inlineStr">
        <is>
          <t>China International Capital Corporation Hong Kong Securities Limited; CITIC Securities (Hong Kong) Limited; Sponsor-OC China International Capital Corporation Hong Kong Securities Limited; CLSA Limited</t>
        </is>
      </c>
      <c r="BU357" s="71" t="inlineStr">
        <is>
          <t>China International Capital Corporation Hong Kong Securities Limited; CITIC Securities (Hong Kong) Limited</t>
        </is>
      </c>
      <c r="BV357" s="71"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W357" s="71"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X357" s="87">
        <f>HYPERLINK("https://www1.hkexnews.hk/listedco/listconews/sehk/2025/0811/2025081100005.pdf","prospectus")</f>
        <v/>
      </c>
      <c r="BY357" s="87">
        <f>HYPERLINK("https://www1.hkexnews.hk/listedco/listconews/sehk/2025/0819/2025081901728.pdf","allotment")</f>
        <v/>
      </c>
      <c r="BZ357" s="87">
        <f>HYPERLINK("https://www1.hkexnews.hk/listedco/listconews/sehk/2025/0914/2025091400109.pdf","stabilisation")</f>
        <v/>
      </c>
      <c r="CA357" s="85" t="n"/>
      <c r="CB357" s="71" t="inlineStr">
        <is>
          <t>range low: maximum offer price only, no floor published; A/H: Aug 2025 H listing (SiC substrates)</t>
        </is>
      </c>
    </row>
    <row r="358" ht="15" customHeight="1">
      <c r="A358" s="70" t="inlineStr">
        <is>
          <t>6960</t>
        </is>
      </c>
      <c r="B358" s="71" t="inlineStr">
        <is>
          <t>SHUANGDENG</t>
        </is>
      </c>
      <c r="C358" s="71" t="inlineStr">
        <is>
          <t>雙登股份</t>
        </is>
      </c>
      <c r="D358" s="71" t="inlineStr">
        <is>
          <t>Industrials</t>
        </is>
      </c>
      <c r="E358" s="71" t="inlineStr">
        <is>
          <t>Batteries / energy storage</t>
        </is>
      </c>
      <c r="F358" s="71" t="inlineStr">
        <is>
          <t>Battery Products</t>
        </is>
      </c>
      <c r="G358" s="71" t="inlineStr">
        <is>
          <t>Standard</t>
        </is>
      </c>
      <c r="H358" s="72" t="n">
        <v>45895</v>
      </c>
      <c r="I358" s="73" t="n">
        <v>849.66</v>
      </c>
      <c r="J358" s="71" t="inlineStr">
        <is>
          <t>gross (stated)</t>
        </is>
      </c>
      <c r="K358" s="74" t="n"/>
      <c r="L358" s="74" t="n">
        <v>14.51</v>
      </c>
      <c r="M358" s="74" t="n">
        <v>14.51</v>
      </c>
      <c r="N358" s="71" t="inlineStr">
        <is>
          <t>Y</t>
        </is>
      </c>
      <c r="O358" s="75" t="n">
        <v>100</v>
      </c>
      <c r="P358" s="75" t="n"/>
      <c r="Q358" s="76" t="n">
        <v>6048.1</v>
      </c>
      <c r="R358" s="71" t="inlineStr">
        <is>
          <t>prospectus:stated market capitalisation</t>
        </is>
      </c>
      <c r="S358" s="77" t="n">
        <v>3876.25</v>
      </c>
      <c r="T358" s="78" t="n">
        <v>18.75</v>
      </c>
      <c r="U358" s="79" t="n">
        <v>28.47</v>
      </c>
      <c r="V358" s="80" t="n">
        <v>137</v>
      </c>
      <c r="W358" s="75" t="n">
        <v>10</v>
      </c>
      <c r="X358" s="71" t="inlineStr">
        <is>
          <t>NO</t>
        </is>
      </c>
      <c r="Y358" s="76" t="n">
        <v>607.76</v>
      </c>
      <c r="Z358" s="76" t="n">
        <v>41885822</v>
      </c>
      <c r="AA358" s="75" t="n">
        <v>10.05</v>
      </c>
      <c r="AB358" s="71" t="inlineStr">
        <is>
          <t>CCB International Capital Limited; Huatai Capital Investment Limited; Connected Client CSOP Asset Management Limited</t>
        </is>
      </c>
      <c r="AC358" s="71" t="inlineStr">
        <is>
          <t>ccb;huatai;connected</t>
        </is>
      </c>
      <c r="AD358" s="75" t="n">
        <v>15</v>
      </c>
      <c r="AE358" s="71" t="inlineStr">
        <is>
          <t>full</t>
        </is>
      </c>
      <c r="AF358" s="71" t="n"/>
      <c r="AG358" s="71" t="n"/>
      <c r="AH358" s="71" t="n"/>
      <c r="AI358" s="81" t="n">
        <v>72.98399999999999</v>
      </c>
      <c r="AJ358" s="82" t="n">
        <v>31.29</v>
      </c>
      <c r="AK358" s="82" t="n">
        <v>55.07</v>
      </c>
      <c r="AL358" s="82" t="n">
        <v>-15.34</v>
      </c>
      <c r="AM358" s="83" t="n">
        <v>7.41</v>
      </c>
      <c r="AN358" s="75" t="n">
        <v>19.2</v>
      </c>
      <c r="AO358" s="82" t="n">
        <v>20.06</v>
      </c>
      <c r="AP358" s="82" t="n">
        <v>24.4</v>
      </c>
      <c r="AQ358" s="82" t="n">
        <v>20.06</v>
      </c>
      <c r="AR358" s="82" t="n">
        <v>-8.550000000000001</v>
      </c>
      <c r="AS358" s="82" t="n">
        <v>-5.25</v>
      </c>
      <c r="AT358" s="82" t="n">
        <v>-8.550000000000001</v>
      </c>
      <c r="AU358" s="82" t="n">
        <v>20.83</v>
      </c>
      <c r="AV358" s="82" t="n">
        <v>18.63</v>
      </c>
      <c r="AW358" s="82" t="n">
        <v>22.09</v>
      </c>
      <c r="AX358" s="82" t="n">
        <v>-11.98</v>
      </c>
      <c r="AY358" s="82" t="n">
        <v>5.77</v>
      </c>
      <c r="AZ358" s="82" t="n">
        <v>6.73</v>
      </c>
      <c r="BA358" s="71" t="inlineStr">
        <is>
          <t>Hang Seng Commerce &amp; Industry sub-index</t>
        </is>
      </c>
      <c r="BB358" s="82" t="n">
        <v>-56.93</v>
      </c>
      <c r="BC358" s="72" t="inlineStr">
        <is>
          <t>2026-09-23</t>
        </is>
      </c>
      <c r="BD358" s="73" t="n">
        <v>4948.4</v>
      </c>
      <c r="BE358" s="76" t="n">
        <v>388.7</v>
      </c>
      <c r="BF358" s="71" t="inlineStr">
        <is>
          <t>Y</t>
        </is>
      </c>
      <c r="BG358" s="83" t="n">
        <v>15.6</v>
      </c>
      <c r="BH358" s="83" t="n"/>
      <c r="BI358" s="83" t="n">
        <v>10.2</v>
      </c>
      <c r="BJ358" s="83" t="n">
        <v>1.2</v>
      </c>
      <c r="BK358" s="84">
        <f>IF('BBG Verify'!S358="","not filed; run on terminal",'BBG Verify'!S358)</f>
        <v/>
      </c>
      <c r="BL358" s="85" t="inlineStr">
        <is>
          <t>N</t>
        </is>
      </c>
      <c r="BM358" s="86">
        <f>IF('BBG Verify'!K358="","not filed; run on terminal",'BBG Verify'!K358)</f>
        <v/>
      </c>
      <c r="BN358" s="71" t="inlineStr">
        <is>
          <t>N/A</t>
        </is>
      </c>
      <c r="BO358" s="71" t="inlineStr">
        <is>
          <t>N/A</t>
        </is>
      </c>
      <c r="BP358" s="71" t="inlineStr">
        <is>
          <t>N/A</t>
        </is>
      </c>
      <c r="BQ358" s="71" t="inlineStr">
        <is>
          <t>N/A</t>
        </is>
      </c>
      <c r="BR358" s="71" t="inlineStr">
        <is>
          <t>N/A</t>
        </is>
      </c>
      <c r="BS358" s="71" t="inlineStr">
        <is>
          <t>N/A</t>
        </is>
      </c>
      <c r="BT358" s="85" t="inlineStr">
        <is>
          <t>China International Capital Corporation Hong Kong Securities Limited; Huatai Financial Holdings (Hong Kong) Limited; CCB International Capital Limited</t>
        </is>
      </c>
      <c r="BU358" s="71" t="inlineStr">
        <is>
          <t>China International Capital Corporation Hong Kong Securities Limited; CCB International Capital Limited; Huatai Financial Holdings (Hong Kong) Limited</t>
        </is>
      </c>
      <c r="BV358" s="71"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W358" s="71"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X358" s="87">
        <f>HYPERLINK("https://www1.hkexnews.hk/listedco/listconews/sehk/2025/0818/2025081800011.pdf","prospectus")</f>
        <v/>
      </c>
      <c r="BY358" s="87">
        <f>HYPERLINK("https://www1.hkexnews.hk/listedco/listconews/sehk/2025/0825/2025082502151.pdf","allotment")</f>
        <v/>
      </c>
      <c r="BZ358" s="87">
        <f>HYPERLINK("https://www1.hkexnews.hk/listedco/listconews/sehk/2025/0921/2025092100013.pdf","stabilisation")</f>
        <v/>
      </c>
      <c r="CA358" s="85" t="n"/>
      <c r="CB358" s="71" t="inlineStr">
        <is>
          <t>greenshoe: outcome published; expiry date not in the notice; range low: maximum offer price only, no floor published; stabilising manager: not named in the allotment notice or prospectus glossary</t>
        </is>
      </c>
    </row>
    <row r="359" ht="15" customHeight="1">
      <c r="A359" s="70" t="inlineStr">
        <is>
          <t>3858</t>
        </is>
      </c>
      <c r="B359" s="71" t="inlineStr">
        <is>
          <t>JIAXIN INTL RES</t>
        </is>
      </c>
      <c r="C359" s="71" t="inlineStr">
        <is>
          <t>佳鑫國際資源</t>
        </is>
      </c>
      <c r="D359" s="71" t="inlineStr">
        <is>
          <t>Materials/Energy</t>
        </is>
      </c>
      <c r="E359" s="71" t="inlineStr">
        <is>
          <t>Mining / metals</t>
        </is>
      </c>
      <c r="F359" s="71" t="inlineStr">
        <is>
          <t>Diversified Metals &amp; Minerals</t>
        </is>
      </c>
      <c r="G359" s="71" t="inlineStr">
        <is>
          <t>Standard</t>
        </is>
      </c>
      <c r="H359" s="72" t="n">
        <v>45897</v>
      </c>
      <c r="I359" s="73" t="n">
        <v>1199.1</v>
      </c>
      <c r="J359" s="71" t="inlineStr">
        <is>
          <t>gross (stated)</t>
        </is>
      </c>
      <c r="K359" s="74" t="n"/>
      <c r="L359" s="74" t="n">
        <v>10.92</v>
      </c>
      <c r="M359" s="74" t="n">
        <v>10.92</v>
      </c>
      <c r="N359" s="71" t="inlineStr">
        <is>
          <t>Y</t>
        </is>
      </c>
      <c r="O359" s="75" t="n">
        <v>100</v>
      </c>
      <c r="P359" s="75" t="n"/>
      <c r="Q359" s="76" t="n">
        <v>4796.4</v>
      </c>
      <c r="R359" s="71" t="inlineStr">
        <is>
          <t>prospectus:stated market capitalisation</t>
        </is>
      </c>
      <c r="S359" s="77" t="n">
        <v>2041.62</v>
      </c>
      <c r="T359" s="78" t="n">
        <v>21.11</v>
      </c>
      <c r="U359" s="79" t="n">
        <v>31.7</v>
      </c>
      <c r="V359" s="80" t="n">
        <v>6</v>
      </c>
      <c r="W359" s="75" t="n">
        <v>10</v>
      </c>
      <c r="X359" s="71" t="inlineStr">
        <is>
          <t>NO</t>
        </is>
      </c>
      <c r="Y359" s="76" t="n">
        <v>818.99</v>
      </c>
      <c r="Z359" s="76" t="n">
        <v>74999410</v>
      </c>
      <c r="AA359" s="75" t="n">
        <v>17.07</v>
      </c>
      <c r="AB359" s="71" t="inlineStr">
        <is>
          <t>GF Fund Management Co., Ltd; Fullgoal Asset Management (HK) Limited; Fullgoal Fund Management Co., Ltd; CICC Financial Trading Limited</t>
        </is>
      </c>
      <c r="AC359" s="71" t="inlineStr">
        <is>
          <t>gf;fullgoal;china-international</t>
        </is>
      </c>
      <c r="AD359" s="75" t="n">
        <v>15</v>
      </c>
      <c r="AE359" s="71" t="inlineStr">
        <is>
          <t>full</t>
        </is>
      </c>
      <c r="AF359" s="71" t="n"/>
      <c r="AG359" s="71" t="inlineStr">
        <is>
          <t>China International Capital Corporation Hong Kong Securities Limited</t>
        </is>
      </c>
      <c r="AH359" s="71" t="inlineStr">
        <is>
          <t>China International</t>
        </is>
      </c>
      <c r="AI359" s="81" t="n">
        <v>102.93</v>
      </c>
      <c r="AJ359" s="82" t="n">
        <v>177.84</v>
      </c>
      <c r="AK359" s="82" t="n">
        <v>108.79</v>
      </c>
      <c r="AL359" s="82" t="n">
        <v>33.07</v>
      </c>
      <c r="AM359" s="83" t="n">
        <v>4.93</v>
      </c>
      <c r="AN359" s="75" t="n">
        <v>39.91</v>
      </c>
      <c r="AO359" s="82" t="n">
        <v>193.59</v>
      </c>
      <c r="AP359" s="82" t="n">
        <v>146.34</v>
      </c>
      <c r="AQ359" s="82" t="n">
        <v>225.09</v>
      </c>
      <c r="AR359" s="82" t="n">
        <v>5.67</v>
      </c>
      <c r="AS359" s="82" t="n">
        <v>-11.34</v>
      </c>
      <c r="AT359" s="82" t="n">
        <v>17.01</v>
      </c>
      <c r="AU359" s="82" t="n">
        <v>194.12</v>
      </c>
      <c r="AV359" s="82" t="n">
        <v>140.11</v>
      </c>
      <c r="AW359" s="82" t="n">
        <v>225.18</v>
      </c>
      <c r="AX359" s="82" t="n">
        <v>-19.23</v>
      </c>
      <c r="AY359" s="82" t="n">
        <v>6.23</v>
      </c>
      <c r="AZ359" s="82" t="n">
        <v>7.89</v>
      </c>
      <c r="BA359" s="71" t="inlineStr">
        <is>
          <t>Hang Seng Commerce &amp; Industry sub-index</t>
        </is>
      </c>
      <c r="BB359" s="82" t="n">
        <v>356.04</v>
      </c>
      <c r="BC359" s="72" t="inlineStr">
        <is>
          <t>2026-09-23</t>
        </is>
      </c>
      <c r="BD359" s="73" t="n">
        <v>126.3</v>
      </c>
      <c r="BE359" s="76" t="n">
        <v>-176.5</v>
      </c>
      <c r="BF359" s="71" t="inlineStr">
        <is>
          <t>N</t>
        </is>
      </c>
      <c r="BG359" s="71" t="inlineStr">
        <is>
          <t>n/m</t>
        </is>
      </c>
      <c r="BH359" s="83" t="n"/>
      <c r="BI359" s="83" t="n">
        <v>76.59999999999999</v>
      </c>
      <c r="BJ359" s="83" t="n">
        <v>38</v>
      </c>
      <c r="BK359" s="84">
        <f>IF('BBG Verify'!S359="","not filed; run on terminal",'BBG Verify'!S359)</f>
        <v/>
      </c>
      <c r="BL359" s="85" t="inlineStr">
        <is>
          <t>N</t>
        </is>
      </c>
      <c r="BM359" s="86">
        <f>IF('BBG Verify'!K359="","not filed; run on terminal",'BBG Verify'!K359)</f>
        <v/>
      </c>
      <c r="BN359" s="71" t="inlineStr">
        <is>
          <t>N/A</t>
        </is>
      </c>
      <c r="BO359" s="71" t="inlineStr">
        <is>
          <t>N/A</t>
        </is>
      </c>
      <c r="BP359" s="71" t="inlineStr">
        <is>
          <t>N/A</t>
        </is>
      </c>
      <c r="BQ359" s="71" t="inlineStr">
        <is>
          <t>N/A</t>
        </is>
      </c>
      <c r="BR359" s="71" t="inlineStr">
        <is>
          <t>N/A</t>
        </is>
      </c>
      <c r="BS359" s="71" t="inlineStr">
        <is>
          <t>N/A</t>
        </is>
      </c>
      <c r="BT359" s="85" t="inlineStr">
        <is>
          <t>China International Capital Corporation Hong Kong Securities Limited</t>
        </is>
      </c>
      <c r="BU359" s="71" t="inlineStr">
        <is>
          <t>China International Capital Corporation Hong Kong Securities Limited</t>
        </is>
      </c>
      <c r="BV359" s="71" t="inlineStr">
        <is>
          <t>China International Capital Corporation Hong Kong Securities Limited; China Galaxy International Securities (Hong Kong) Co., Limited; CMB International Capital Limited; Celestial Securities Limited; ABCI Capital Limited; Tiger Brokers (HK) Global Limited</t>
        </is>
      </c>
      <c r="BW359" s="71"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X359" s="87">
        <f>HYPERLINK("https://www1.hkexnews.hk/listedco/listconews/sehk/2025/0820/2025082000021.pdf","prospectus")</f>
        <v/>
      </c>
      <c r="BY359" s="87">
        <f>HYPERLINK("https://www1.hkexnews.hk/listedco/listconews/sehk/2025/0827/2025082702293.pdf","allotment")</f>
        <v/>
      </c>
      <c r="BZ359" s="87">
        <f>HYPERLINK("https://www1.hkexnews.hk/listedco/listconews/sehk/2025/0924/2025092401050.pdf","stabilisation")</f>
        <v/>
      </c>
      <c r="CA359" s="85" t="n"/>
      <c r="CB359" s="71" t="inlineStr">
        <is>
          <t>P/E: loss-making at IPO, use P/S; greenshoe: outcome published; expiry date not in the notice; range low: maximum offer price only, no floor published</t>
        </is>
      </c>
    </row>
    <row r="360" ht="15" customHeight="1">
      <c r="A360" s="70" t="inlineStr">
        <is>
          <t>2580</t>
        </is>
      </c>
      <c r="B360" s="71" t="inlineStr">
        <is>
          <t>AUX ELECTRIC</t>
        </is>
      </c>
      <c r="C360" s="71" t="inlineStr">
        <is>
          <t>奧克斯電氣</t>
        </is>
      </c>
      <c r="D360" s="71" t="inlineStr">
        <is>
          <t>Tech/AI</t>
        </is>
      </c>
      <c r="E360" s="71" t="inlineStr">
        <is>
          <t>Smart hardware / consumer electronics</t>
        </is>
      </c>
      <c r="F360" s="71" t="inlineStr">
        <is>
          <t>Household Appliances</t>
        </is>
      </c>
      <c r="G360" s="71" t="inlineStr">
        <is>
          <t>Standard</t>
        </is>
      </c>
      <c r="H360" s="72" t="n">
        <v>45902</v>
      </c>
      <c r="I360" s="73" t="n">
        <v>4150.1</v>
      </c>
      <c r="J360" s="71" t="inlineStr">
        <is>
          <t>gross (stated)</t>
        </is>
      </c>
      <c r="K360" s="74" t="n"/>
      <c r="L360" s="74" t="n">
        <v>17.42</v>
      </c>
      <c r="M360" s="74" t="n">
        <v>17.42</v>
      </c>
      <c r="N360" s="71" t="inlineStr">
        <is>
          <t>Y</t>
        </is>
      </c>
      <c r="O360" s="75" t="n">
        <v>100</v>
      </c>
      <c r="P360" s="75" t="n"/>
      <c r="Q360" s="76" t="n">
        <v>24914.6</v>
      </c>
      <c r="R360" s="71" t="inlineStr">
        <is>
          <t>prospectus:stated market capitalisation</t>
        </is>
      </c>
      <c r="S360" s="77" t="n">
        <v>557.2</v>
      </c>
      <c r="T360" s="78" t="n">
        <v>8.300000000000001</v>
      </c>
      <c r="U360" s="79" t="n">
        <v>33.9</v>
      </c>
      <c r="V360" s="80" t="n">
        <v>135</v>
      </c>
      <c r="W360" s="75" t="n">
        <v>35</v>
      </c>
      <c r="X360" s="71" t="inlineStr">
        <is>
          <t>YES</t>
        </is>
      </c>
      <c r="Y360" s="76" t="n">
        <v>2743.22</v>
      </c>
      <c r="Z360" s="76" t="n">
        <v>157473467</v>
      </c>
      <c r="AA360" s="75" t="n">
        <v>11.01</v>
      </c>
      <c r="AB360" s="71" t="inlineStr">
        <is>
          <t>China Post Insurance; PSBC WM</t>
        </is>
      </c>
      <c r="AC360" s="71" t="inlineStr">
        <is>
          <t>post;psbc</t>
        </is>
      </c>
      <c r="AD360" s="75" t="n">
        <v>15</v>
      </c>
      <c r="AE360" s="71" t="inlineStr">
        <is>
          <t>lapsed</t>
        </is>
      </c>
      <c r="AF360" s="71" t="inlineStr">
        <is>
          <t>2025-09-27</t>
        </is>
      </c>
      <c r="AG360" s="71" t="inlineStr">
        <is>
          <t>China International Capital Corporation Hong Kong Securities Limited</t>
        </is>
      </c>
      <c r="AH360" s="71" t="inlineStr">
        <is>
          <t>China International</t>
        </is>
      </c>
      <c r="AI360" s="81" t="n">
        <v>-4.133</v>
      </c>
      <c r="AJ360" s="82" t="n">
        <v>-5.4</v>
      </c>
      <c r="AK360" s="82" t="n">
        <v>-7.58</v>
      </c>
      <c r="AL360" s="82" t="n">
        <v>2.36</v>
      </c>
      <c r="AM360" s="83" t="n">
        <v>0.63</v>
      </c>
      <c r="AN360" s="75" t="n">
        <v>6.89</v>
      </c>
      <c r="AO360" s="82" t="n">
        <v>-7.58</v>
      </c>
      <c r="AP360" s="82" t="n">
        <v>-20.49</v>
      </c>
      <c r="AQ360" s="82" t="n">
        <v>-9.300000000000001</v>
      </c>
      <c r="AR360" s="82" t="n">
        <v>-2.3</v>
      </c>
      <c r="AS360" s="82" t="n">
        <v>-15.95</v>
      </c>
      <c r="AT360" s="82" t="n">
        <v>-4.12</v>
      </c>
      <c r="AU360" s="82" t="n">
        <v>-8.109999999999999</v>
      </c>
      <c r="AV360" s="82" t="n">
        <v>-35.88</v>
      </c>
      <c r="AW360" s="82" t="n">
        <v>-4.64</v>
      </c>
      <c r="AX360" s="82" t="n">
        <v>-32.47</v>
      </c>
      <c r="AY360" s="82" t="n">
        <v>15.39</v>
      </c>
      <c r="AZ360" s="82" t="n">
        <v>16.52</v>
      </c>
      <c r="BA360" s="71" t="inlineStr">
        <is>
          <t>HSTECH (Hang Seng TECH ETF)</t>
        </is>
      </c>
      <c r="BB360" s="82" t="n">
        <v>-50.32</v>
      </c>
      <c r="BC360" s="72" t="inlineStr">
        <is>
          <t>2026-09-23</t>
        </is>
      </c>
      <c r="BD360" s="73" t="n">
        <v>32735.3</v>
      </c>
      <c r="BE360" s="76" t="n">
        <v>3201.2</v>
      </c>
      <c r="BF360" s="71" t="inlineStr">
        <is>
          <t>Y</t>
        </is>
      </c>
      <c r="BG360" s="83" t="n">
        <v>7.8</v>
      </c>
      <c r="BH360" s="83" t="n">
        <v>6.8</v>
      </c>
      <c r="BI360" s="83" t="n">
        <v>5.6</v>
      </c>
      <c r="BJ360" s="83" t="n">
        <v>0.8</v>
      </c>
      <c r="BK360" s="84">
        <f>IF('BBG Verify'!S360="","not filed; run on terminal",'BBG Verify'!S360)</f>
        <v/>
      </c>
      <c r="BL360" s="85" t="inlineStr">
        <is>
          <t>N</t>
        </is>
      </c>
      <c r="BM360" s="86">
        <f>IF('BBG Verify'!K360="","not filed; run on terminal",'BBG Verify'!K360)</f>
        <v/>
      </c>
      <c r="BN360" s="71" t="inlineStr">
        <is>
          <t>N/A</t>
        </is>
      </c>
      <c r="BO360" s="71" t="inlineStr">
        <is>
          <t>N/A</t>
        </is>
      </c>
      <c r="BP360" s="71" t="inlineStr">
        <is>
          <t>N/A</t>
        </is>
      </c>
      <c r="BQ360" s="71" t="inlineStr">
        <is>
          <t>N/A</t>
        </is>
      </c>
      <c r="BR360" s="71" t="inlineStr">
        <is>
          <t>N/A</t>
        </is>
      </c>
      <c r="BS360" s="71" t="inlineStr">
        <is>
          <t>N/A</t>
        </is>
      </c>
      <c r="BT360" s="85" t="inlineStr">
        <is>
          <t>CICC</t>
        </is>
      </c>
      <c r="BU360" s="71" t="inlineStr">
        <is>
          <t>China International Capital Corporation Hong Kong Securities Limited</t>
        </is>
      </c>
      <c r="BV360" s="71" t="inlineStr">
        <is>
          <t>ABCI Securities Company Limited; China International Capital Corporation Hong Kong Securities Limited; Futu Securities International (Hong Kong) Limited; ICBC International Securities Limited; Orient Securities (Hong Kong) Limited</t>
        </is>
      </c>
      <c r="BW360" s="71" t="inlineStr">
        <is>
          <t>ABCI Securities Company Limited; China International Capital Corporation Hong Kong Securities Limited; Futu Securities International (Hong Kong) Limited; ICBC International Securities Limited; Orient Securities (Hong Kong) Limited</t>
        </is>
      </c>
      <c r="BX360" s="87">
        <f>HYPERLINK("https://www1.hkexnews.hk/listedco/listconews/sehk/2025/0825/2025082500020.htm","prospectus")</f>
        <v/>
      </c>
      <c r="BY360" s="87">
        <f>HYPERLINK("https://www1.hkexnews.hk/listedco/listconews/sehk/2025/0901/2025090103683.pdf","allotment")</f>
        <v/>
      </c>
      <c r="BZ360" s="87">
        <f>HYPERLINK("https://www1.hkexnews.hk/listedco/listconews/sehk/2025/0928/2025092800005.pdf","stabilisation")</f>
        <v/>
      </c>
      <c r="CA360" s="85" t="n"/>
      <c r="CB360" s="71" t="inlineStr">
        <is>
          <t>range low: maximum offer price only, no floor published</t>
        </is>
      </c>
    </row>
    <row r="361" ht="15" customHeight="1">
      <c r="A361" s="70" t="inlineStr">
        <is>
          <t>2543</t>
        </is>
      </c>
      <c r="B361" s="71" t="inlineStr">
        <is>
          <t>DAHON TECH</t>
        </is>
      </c>
      <c r="C361" s="71" t="inlineStr">
        <is>
          <t>大行科工</t>
        </is>
      </c>
      <c r="D361" s="71" t="inlineStr">
        <is>
          <t>Tech/AI</t>
        </is>
      </c>
      <c r="E361" s="71" t="inlineStr">
        <is>
          <t>Smart hardware / consumer electronics</t>
        </is>
      </c>
      <c r="F361" s="71" t="inlineStr">
        <is>
          <t>Leisure Products</t>
        </is>
      </c>
      <c r="G361" s="71" t="inlineStr">
        <is>
          <t>Standard</t>
        </is>
      </c>
      <c r="H361" s="72" t="n">
        <v>45909</v>
      </c>
      <c r="I361" s="73" t="n">
        <v>392.04</v>
      </c>
      <c r="J361" s="71" t="inlineStr">
        <is>
          <t>gross (stated)</t>
        </is>
      </c>
      <c r="K361" s="74" t="n"/>
      <c r="L361" s="74" t="n">
        <v>49.5</v>
      </c>
      <c r="M361" s="74" t="n">
        <v>49.5</v>
      </c>
      <c r="N361" s="71" t="inlineStr">
        <is>
          <t>Y</t>
        </is>
      </c>
      <c r="O361" s="75" t="n">
        <v>100</v>
      </c>
      <c r="P361" s="75" t="n"/>
      <c r="Q361" s="76" t="n">
        <v>1567.6</v>
      </c>
      <c r="R361" s="71" t="inlineStr">
        <is>
          <t>prospectus:stated market capitalisation</t>
        </is>
      </c>
      <c r="S361" s="77" t="n">
        <v>7558.4</v>
      </c>
      <c r="T361" s="78" t="n">
        <v>21.65</v>
      </c>
      <c r="U361" s="79" t="n">
        <v>25.43</v>
      </c>
      <c r="V361" s="80" t="n">
        <v>442</v>
      </c>
      <c r="W361" s="75" t="n">
        <v>10</v>
      </c>
      <c r="X361" s="71" t="inlineStr">
        <is>
          <t>NO</t>
        </is>
      </c>
      <c r="Y361" s="76" t="n">
        <v>292.34</v>
      </c>
      <c r="Z361" s="76" t="n">
        <v>5905944</v>
      </c>
      <c r="AA361" s="75" t="n">
        <v>18.65</v>
      </c>
      <c r="AB361" s="71" t="inlineStr">
        <is>
          <t>Asia Pacific Limited; Allianz Global Investors Asia Pacific Limited; GBAD Fund Management; Dahon Tech Enterprise LP</t>
        </is>
      </c>
      <c r="AC361" s="71" t="inlineStr">
        <is>
          <t>asia-pacific;allianz;gbad;dahon</t>
        </is>
      </c>
      <c r="AD361" s="75" t="n">
        <v>14.9</v>
      </c>
      <c r="AE361" s="71" t="inlineStr">
        <is>
          <t>partial</t>
        </is>
      </c>
      <c r="AF361" s="71" t="inlineStr">
        <is>
          <t>2025-10-04</t>
        </is>
      </c>
      <c r="AG361" s="71" t="inlineStr">
        <is>
          <t>China Securities</t>
        </is>
      </c>
      <c r="AH361" s="71" t="inlineStr">
        <is>
          <t>China Securities</t>
        </is>
      </c>
      <c r="AI361" s="81" t="n">
        <v>37.576</v>
      </c>
      <c r="AJ361" s="82" t="n">
        <v>14.95</v>
      </c>
      <c r="AK361" s="82" t="n">
        <v>36.36</v>
      </c>
      <c r="AL361" s="82" t="n">
        <v>-15.7</v>
      </c>
      <c r="AM361" s="83" t="n">
        <v>10.4</v>
      </c>
      <c r="AN361" s="75" t="n">
        <v>18.67</v>
      </c>
      <c r="AO361" s="82" t="n">
        <v>30</v>
      </c>
      <c r="AP361" s="82" t="n">
        <v>0.89</v>
      </c>
      <c r="AQ361" s="82" t="n">
        <v>-17.45</v>
      </c>
      <c r="AR361" s="82" t="n">
        <v>13.09</v>
      </c>
      <c r="AS361" s="82" t="n">
        <v>-12.23</v>
      </c>
      <c r="AT361" s="82" t="n">
        <v>-28.19</v>
      </c>
      <c r="AU361" s="82" t="n">
        <v>24.33</v>
      </c>
      <c r="AV361" s="82" t="n">
        <v>-8.15</v>
      </c>
      <c r="AW361" s="82" t="n">
        <v>-14.17</v>
      </c>
      <c r="AX361" s="82" t="n">
        <v>-19.84</v>
      </c>
      <c r="AY361" s="82" t="n">
        <v>9.039999999999999</v>
      </c>
      <c r="AZ361" s="82" t="n">
        <v>7.61</v>
      </c>
      <c r="BA361" s="71" t="inlineStr">
        <is>
          <t>HSTECH (Hang Seng TECH ETF)</t>
        </is>
      </c>
      <c r="BB361" s="82" t="n">
        <v>-33.7</v>
      </c>
      <c r="BC361" s="72" t="inlineStr">
        <is>
          <t>2026-09-23</t>
        </is>
      </c>
      <c r="BD361" s="73" t="n">
        <v>495.8</v>
      </c>
      <c r="BE361" s="76" t="n">
        <v>57.5</v>
      </c>
      <c r="BF361" s="71" t="inlineStr">
        <is>
          <t>Y</t>
        </is>
      </c>
      <c r="BG361" s="83" t="n">
        <v>27.3</v>
      </c>
      <c r="BH361" s="83" t="n"/>
      <c r="BI361" s="83" t="n"/>
      <c r="BJ361" s="83" t="n">
        <v>3.2</v>
      </c>
      <c r="BK361" s="84">
        <f>IF('BBG Verify'!S361="","not filed; run on terminal",'BBG Verify'!S361)</f>
        <v/>
      </c>
      <c r="BL361" s="85" t="inlineStr">
        <is>
          <t>N</t>
        </is>
      </c>
      <c r="BM361" s="86">
        <f>IF('BBG Verify'!K361="","not filed; run on terminal",'BBG Verify'!K361)</f>
        <v/>
      </c>
      <c r="BN361" s="71" t="inlineStr">
        <is>
          <t>N/A</t>
        </is>
      </c>
      <c r="BO361" s="71" t="inlineStr">
        <is>
          <t>N/A</t>
        </is>
      </c>
      <c r="BP361" s="71" t="inlineStr">
        <is>
          <t>N/A</t>
        </is>
      </c>
      <c r="BQ361" s="71" t="inlineStr">
        <is>
          <t>N/A</t>
        </is>
      </c>
      <c r="BR361" s="71" t="inlineStr">
        <is>
          <t>N/A</t>
        </is>
      </c>
      <c r="BS361" s="71" t="inlineStr">
        <is>
          <t>N/A</t>
        </is>
      </c>
      <c r="BT361" s="85" t="inlineStr">
        <is>
          <t>China Securities (International) Corporate Finance Company Limited</t>
        </is>
      </c>
      <c r="BU361" s="71" t="inlineStr">
        <is>
          <t>China Securities (International) Corporate Finance Company Limited</t>
        </is>
      </c>
      <c r="BV361" s="71" t="inlineStr">
        <is>
          <t>China Securities (International) Corporate Finance Company Limited; ABCI Capital Limited; BOCI Asia Limited; CCB International Capital Limited; CMB International Capital Limited; Futu Securities International (Hong Kong) Limited</t>
        </is>
      </c>
      <c r="BW361" s="71" t="inlineStr">
        <is>
          <t>ABCI Securities Company Limited; BOCI Asia Limited; CCB International Capital Limited; CMB International Capital Corporation Limited; China Securities (International) Corporate Finance Company Limited; Futu Securities International (Hong Kong) Limited</t>
        </is>
      </c>
      <c r="BX361" s="87">
        <f>HYPERLINK("https://www1.hkexnews.hk/listedco/listconews/sehk/2025/0901/2025090100007.pdf","prospectus")</f>
        <v/>
      </c>
      <c r="BY361" s="87">
        <f>HYPERLINK("https://www1.hkexnews.hk/listedco/listconews/sehk/2025/0908/2025090801334.pdf","allotment")</f>
        <v/>
      </c>
      <c r="BZ361" s="87">
        <f>HYPERLINK("https://www1.hkexnews.hk/listedco/listconews/sehk/2025/1005/2025100500245.pdf","stabilisation")</f>
        <v/>
      </c>
      <c r="CA361" s="85" t="n"/>
      <c r="CB361" s="71" t="inlineStr">
        <is>
          <t>range low: maximum offer price only, no floor published</t>
        </is>
      </c>
    </row>
    <row r="362" ht="15" customHeight="1">
      <c r="A362" s="70" t="inlineStr">
        <is>
          <t>2525</t>
        </is>
      </c>
      <c r="B362" s="71" t="inlineStr">
        <is>
          <t>HESAI-W</t>
        </is>
      </c>
      <c r="C362" s="71" t="inlineStr">
        <is>
          <t>禾賽科技</t>
        </is>
      </c>
      <c r="D362" s="71" t="inlineStr">
        <is>
          <t>Tech/AI</t>
        </is>
      </c>
      <c r="E362" s="71" t="inlineStr">
        <is>
          <t>Robotics &amp; autonomous driving</t>
        </is>
      </c>
      <c r="F362" s="71" t="inlineStr">
        <is>
          <t>Systems Software</t>
        </is>
      </c>
      <c r="G362" s="71" t="inlineStr">
        <is>
          <t>WVR</t>
        </is>
      </c>
      <c r="H362" s="72" t="n">
        <v>45916</v>
      </c>
      <c r="I362" s="73" t="n">
        <v>4160.24</v>
      </c>
      <c r="J362" s="71" t="inlineStr">
        <is>
          <t>gross (stated)</t>
        </is>
      </c>
      <c r="K362" s="74" t="n"/>
      <c r="L362" s="74" t="n">
        <v>228</v>
      </c>
      <c r="M362" s="74" t="n">
        <v>212.8</v>
      </c>
      <c r="N362" s="71" t="inlineStr">
        <is>
          <t>N</t>
        </is>
      </c>
      <c r="O362" s="75" t="n">
        <v>93.3</v>
      </c>
      <c r="P362" s="75" t="n"/>
      <c r="Q362" s="76" t="n">
        <v>244720</v>
      </c>
      <c r="R362" s="71" t="inlineStr">
        <is>
          <t>derived:deal size / offer % of enlarged capital</t>
        </is>
      </c>
      <c r="S362" s="77" t="n">
        <v>168.65</v>
      </c>
      <c r="T362" s="78" t="n">
        <v>14.09</v>
      </c>
      <c r="U362" s="79" t="n">
        <v>4.3</v>
      </c>
      <c r="V362" s="80" t="n">
        <v>237</v>
      </c>
      <c r="W362" s="75" t="n">
        <v>10</v>
      </c>
      <c r="X362" s="71" t="inlineStr">
        <is>
          <t>NA</t>
        </is>
      </c>
      <c r="Y362" s="76" t="n">
        <v>3981.35</v>
      </c>
      <c r="Z362" s="76" t="n">
        <v>18709350</v>
      </c>
      <c r="AA362" s="75" t="n">
        <v>1.63</v>
      </c>
      <c r="AB362" s="71" t="inlineStr">
        <is>
          <t>HHLRA; Taikang Life; Hongda Group; Trading Limited; WT Asset Management Limited; Grab Inc; Commando Global Fund</t>
        </is>
      </c>
      <c r="AC362" s="71" t="inlineStr">
        <is>
          <t>hhlra;taikang;hongda;trading;wt;grab;commando</t>
        </is>
      </c>
      <c r="AD362" s="75" t="n">
        <v>15</v>
      </c>
      <c r="AE362" s="71" t="inlineStr">
        <is>
          <t>full</t>
        </is>
      </c>
      <c r="AF362" s="71" t="inlineStr">
        <is>
          <t>2025-10-11</t>
        </is>
      </c>
      <c r="AG362" s="71" t="inlineStr">
        <is>
          <t>China International Capital Corporation Hong Kong Securities Limited</t>
        </is>
      </c>
      <c r="AH362" s="71" t="inlineStr">
        <is>
          <t>China International</t>
        </is>
      </c>
      <c r="AI362" s="81" t="n">
        <v>7.237</v>
      </c>
      <c r="AJ362" s="82" t="n">
        <v>9.960000000000001</v>
      </c>
      <c r="AK362" s="82" t="n">
        <v>7.71</v>
      </c>
      <c r="AL362" s="82" t="n">
        <v>2.09</v>
      </c>
      <c r="AM362" s="83" t="n">
        <v>2.89</v>
      </c>
      <c r="AN362" s="75" t="n">
        <v>6.46</v>
      </c>
      <c r="AO362" s="82" t="n">
        <v>8.08</v>
      </c>
      <c r="AP362" s="82" t="n">
        <v>-20.49</v>
      </c>
      <c r="AQ362" s="82" t="n">
        <v>-20.39</v>
      </c>
      <c r="AR362" s="82" t="n">
        <v>-1.71</v>
      </c>
      <c r="AS362" s="82" t="n">
        <v>-27.69</v>
      </c>
      <c r="AT362" s="82" t="n">
        <v>-27.6</v>
      </c>
      <c r="AU362" s="82" t="n">
        <v>6.14</v>
      </c>
      <c r="AV362" s="82" t="n">
        <v>-15.52</v>
      </c>
      <c r="AW362" s="82" t="n">
        <v>-10.61</v>
      </c>
      <c r="AX362" s="82" t="n">
        <v>-22.24</v>
      </c>
      <c r="AY362" s="82" t="n">
        <v>-4.97</v>
      </c>
      <c r="AZ362" s="82" t="n">
        <v>-5.45</v>
      </c>
      <c r="BA362" s="71" t="inlineStr">
        <is>
          <t>HSTECH (Hang Seng TECH ETF)</t>
        </is>
      </c>
      <c r="BB362" s="82" t="n">
        <v>-38.53</v>
      </c>
      <c r="BC362" s="72" t="inlineStr">
        <is>
          <t>2026-09-23</t>
        </is>
      </c>
      <c r="BD362" s="73" t="n">
        <v>2284.9</v>
      </c>
      <c r="BE362" s="76" t="n">
        <v>-112.6</v>
      </c>
      <c r="BF362" s="71" t="inlineStr">
        <is>
          <t>N</t>
        </is>
      </c>
      <c r="BG362" s="71" t="inlineStr">
        <is>
          <t>n/m</t>
        </is>
      </c>
      <c r="BH362" s="83" t="n">
        <v>293.1</v>
      </c>
      <c r="BI362" s="83" t="n">
        <v>39.2</v>
      </c>
      <c r="BJ362" s="83" t="n">
        <v>107.1</v>
      </c>
      <c r="BK362" s="84">
        <f>IF('BBG Verify'!S362="","not filed; run on terminal",'BBG Verify'!S362)</f>
        <v/>
      </c>
      <c r="BL362" s="85" t="inlineStr">
        <is>
          <t>N</t>
        </is>
      </c>
      <c r="BM362" s="86">
        <f>IF('BBG Verify'!K362="","not filed; run on terminal",'BBG Verify'!K362)</f>
        <v/>
      </c>
      <c r="BN362" s="71" t="inlineStr">
        <is>
          <t>N/A</t>
        </is>
      </c>
      <c r="BO362" s="71" t="inlineStr">
        <is>
          <t>N/A</t>
        </is>
      </c>
      <c r="BP362" s="71" t="inlineStr">
        <is>
          <t>N/A</t>
        </is>
      </c>
      <c r="BQ362" s="71" t="inlineStr">
        <is>
          <t>N/A</t>
        </is>
      </c>
      <c r="BR362" s="71" t="inlineStr">
        <is>
          <t>N/A</t>
        </is>
      </c>
      <c r="BS362" s="71" t="inlineStr">
        <is>
          <t>N/A</t>
        </is>
      </c>
      <c r="BT362" s="85"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U362" s="71" t="inlineStr">
        <is>
          <t>China International Capital Corporation Hong Kong Securities Limited; Guotai Junan Capital Limited; CMB International Capital Limited</t>
        </is>
      </c>
      <c r="BV362" s="71"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W362" s="71"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X362" s="87">
        <f>HYPERLINK("https://www1.hkexnews.hk/listedco/listconews/sehk/2025/0908/2025090800017.pdf","prospectus")</f>
        <v/>
      </c>
      <c r="BY362" s="87">
        <f>HYPERLINK("https://www1.hkexnews.hk/listedco/listconews/sehk/2025/0915/2025091501458.pdf","allotment")</f>
        <v/>
      </c>
      <c r="BZ362" s="87">
        <f>HYPERLINK("https://www1.hkexnews.hk/listedco/listconews/sehk/2025/1012/2025101200001.pdf","stabilisation")</f>
        <v/>
      </c>
      <c r="CA362" s="85" t="n"/>
      <c r="CB362" s="71" t="inlineStr">
        <is>
          <t>P/E: loss-making at IPO, use P/S; range low: maximum offer price only, no floor published</t>
        </is>
      </c>
    </row>
    <row r="363" ht="15" customHeight="1">
      <c r="A363" s="70" t="inlineStr">
        <is>
          <t>2656</t>
        </is>
      </c>
      <c r="B363" s="71" t="inlineStr">
        <is>
          <t>160 HEALTH</t>
        </is>
      </c>
      <c r="C363" s="71" t="inlineStr">
        <is>
          <t>健康１６０</t>
        </is>
      </c>
      <c r="D363" s="71" t="inlineStr">
        <is>
          <t>Healthcare</t>
        </is>
      </c>
      <c r="E363" s="71" t="inlineStr">
        <is>
          <t>Digital health</t>
        </is>
      </c>
      <c r="F363" s="71" t="inlineStr">
        <is>
          <t>Health Care Supplies</t>
        </is>
      </c>
      <c r="G363" s="71" t="inlineStr">
        <is>
          <t>Standard</t>
        </is>
      </c>
      <c r="H363" s="72" t="n">
        <v>45917</v>
      </c>
      <c r="I363" s="73" t="n">
        <v>400</v>
      </c>
      <c r="J363" s="71" t="inlineStr">
        <is>
          <t>gross (stated)</t>
        </is>
      </c>
      <c r="K363" s="74" t="n"/>
      <c r="L363" s="74" t="n">
        <v>14.86</v>
      </c>
      <c r="M363" s="74" t="n">
        <v>11.89</v>
      </c>
      <c r="N363" s="71" t="inlineStr">
        <is>
          <t>N</t>
        </is>
      </c>
      <c r="O363" s="75" t="n">
        <v>80</v>
      </c>
      <c r="P363" s="75" t="n"/>
      <c r="Q363" s="76" t="n">
        <v>4000.4</v>
      </c>
      <c r="R363" s="71" t="inlineStr">
        <is>
          <t>derived:price x shares upon listing</t>
        </is>
      </c>
      <c r="S363" s="77" t="n">
        <v>751.77</v>
      </c>
      <c r="T363" s="78" t="n">
        <v>1.92</v>
      </c>
      <c r="U363" s="79" t="n">
        <v>0</v>
      </c>
      <c r="V363" s="80" t="n">
        <v>128</v>
      </c>
      <c r="W363" s="75" t="n">
        <v>10</v>
      </c>
      <c r="X363" s="71" t="inlineStr">
        <is>
          <t>NA</t>
        </is>
      </c>
      <c r="Y363" s="76" t="n">
        <v>400</v>
      </c>
      <c r="Z363" s="76" t="n">
        <v>33645500</v>
      </c>
      <c r="AA363" s="75" t="n">
        <v>10</v>
      </c>
      <c r="AB363" s="71" t="n"/>
      <c r="AC363" s="71" t="n"/>
      <c r="AD363" s="75" t="n">
        <v>11.33</v>
      </c>
      <c r="AE363" s="71" t="n"/>
      <c r="AF363" s="71" t="inlineStr">
        <is>
          <t>2025-10-12</t>
        </is>
      </c>
      <c r="AG363" s="71" t="inlineStr">
        <is>
          <t>Shenwan Hongyuan Securities</t>
        </is>
      </c>
      <c r="AH363" s="71" t="inlineStr">
        <is>
          <t>Shenwan Hongyuan</t>
        </is>
      </c>
      <c r="AI363" s="81" t="n">
        <v>143.902</v>
      </c>
      <c r="AJ363" s="82" t="n">
        <v>137.34</v>
      </c>
      <c r="AK363" s="82" t="n">
        <v>152.14</v>
      </c>
      <c r="AL363" s="82" t="n">
        <v>-5.87</v>
      </c>
      <c r="AM363" s="83" t="n">
        <v>2.1</v>
      </c>
      <c r="AN363" s="75" t="n">
        <v>21.95</v>
      </c>
      <c r="AO363" s="82" t="n">
        <v>139.7</v>
      </c>
      <c r="AP363" s="82" t="n">
        <v>236.92</v>
      </c>
      <c r="AQ363" s="82" t="n">
        <v>337.76</v>
      </c>
      <c r="AR363" s="82" t="n">
        <v>0.99</v>
      </c>
      <c r="AS363" s="82" t="n">
        <v>41.96</v>
      </c>
      <c r="AT363" s="82" t="n">
        <v>84.44</v>
      </c>
      <c r="AU363" s="82" t="n">
        <v>140.29</v>
      </c>
      <c r="AV363" s="82" t="n">
        <v>243.75</v>
      </c>
      <c r="AW363" s="82" t="n">
        <v>351.57</v>
      </c>
      <c r="AX363" s="82" t="n">
        <v>48.93</v>
      </c>
      <c r="AY363" s="82" t="n">
        <v>-6.83</v>
      </c>
      <c r="AZ363" s="82" t="n">
        <v>-6.97</v>
      </c>
      <c r="BA363" s="71" t="inlineStr">
        <is>
          <t>China Biotech ETF (HS biotech proxy)</t>
        </is>
      </c>
      <c r="BB363" s="82" t="n">
        <v>-62.66</v>
      </c>
      <c r="BC363" s="72" t="inlineStr">
        <is>
          <t>2026-09-23</t>
        </is>
      </c>
      <c r="BD363" s="73" t="n">
        <v>682.8</v>
      </c>
      <c r="BE363" s="76" t="n">
        <v>-119.1</v>
      </c>
      <c r="BF363" s="71" t="inlineStr">
        <is>
          <t>N</t>
        </is>
      </c>
      <c r="BG363" s="71" t="inlineStr">
        <is>
          <t>n/m</t>
        </is>
      </c>
      <c r="BH363" s="83" t="n"/>
      <c r="BI363" s="83" t="n"/>
      <c r="BJ363" s="83" t="n">
        <v>5.9</v>
      </c>
      <c r="BK363" s="84">
        <f>IF('BBG Verify'!S363="","not filed; run on terminal",'BBG Verify'!S363)</f>
        <v/>
      </c>
      <c r="BL363" s="85" t="inlineStr">
        <is>
          <t>N</t>
        </is>
      </c>
      <c r="BM363" s="86">
        <f>IF('BBG Verify'!K363="","not filed; run on terminal",'BBG Verify'!K363)</f>
        <v/>
      </c>
      <c r="BN363" s="71" t="inlineStr">
        <is>
          <t>N/A</t>
        </is>
      </c>
      <c r="BO363" s="71" t="inlineStr">
        <is>
          <t>N/A</t>
        </is>
      </c>
      <c r="BP363" s="71" t="inlineStr">
        <is>
          <t>N/A</t>
        </is>
      </c>
      <c r="BQ363" s="71" t="inlineStr">
        <is>
          <t>N/A</t>
        </is>
      </c>
      <c r="BR363" s="71" t="inlineStr">
        <is>
          <t>N/A</t>
        </is>
      </c>
      <c r="BS363" s="71" t="inlineStr">
        <is>
          <t>N/A</t>
        </is>
      </c>
      <c r="BT363" s="85" t="inlineStr">
        <is>
          <t>Shenwan Hongyuan Capital (H.K.) Limited; Zero2IPO Capital Limited</t>
        </is>
      </c>
      <c r="BU363" s="71" t="inlineStr">
        <is>
          <t>Zero2IPO Capital Limited; Shenwan Hongyuan Capital (H.K.) Limited</t>
        </is>
      </c>
      <c r="BV363" s="71"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W363" s="71" t="inlineStr">
        <is>
          <t>ABCI Securities Company Limited; BOCI Asia Limited; Eddid Securities and Futures Limited; Innovation Securities Co., Limited; Livermore Holdings Limited; South China Securities Limited; Shenwan Hongyuan Securities (H.K.) Limited; Sun Securities Limited</t>
        </is>
      </c>
      <c r="BX363" s="87">
        <f>HYPERLINK("https://www1.hkexnews.hk/listedco/listconews/sehk/2025/0909/2025090900019.pdf","prospectus")</f>
        <v/>
      </c>
      <c r="BY363" s="87">
        <f>HYPERLINK("https://www1.hkexnews.hk/listedco/listconews/sehk/2025/0916/2025091601472.pdf","allotment")</f>
        <v/>
      </c>
      <c r="BZ363" s="71" t="n"/>
      <c r="CA363" s="85" t="n"/>
      <c r="CB363" s="71"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70" t="inlineStr">
        <is>
          <t>2595</t>
        </is>
      </c>
      <c r="B364" s="71" t="inlineStr">
        <is>
          <t>GENFLEET-B</t>
        </is>
      </c>
      <c r="C364" s="71" t="inlineStr">
        <is>
          <t>勁方醫藥－Ｂ</t>
        </is>
      </c>
      <c r="D364" s="71" t="inlineStr">
        <is>
          <t>Healthcare</t>
        </is>
      </c>
      <c r="E364" s="71" t="inlineStr">
        <is>
          <t>Biotech pre-revenue (18A)</t>
        </is>
      </c>
      <c r="F364" s="71" t="inlineStr">
        <is>
          <t>Biotechnology - Pharmaceuticals</t>
        </is>
      </c>
      <c r="G364" s="71" t="inlineStr">
        <is>
          <t>18A</t>
        </is>
      </c>
      <c r="H364" s="72" t="n">
        <v>45919</v>
      </c>
      <c r="I364" s="73" t="n">
        <v>1819.6</v>
      </c>
      <c r="J364" s="71" t="inlineStr">
        <is>
          <t>gross (stated)</t>
        </is>
      </c>
      <c r="K364" s="74" t="n"/>
      <c r="L364" s="74" t="n">
        <v>20.39</v>
      </c>
      <c r="M364" s="74" t="n">
        <v>20.39</v>
      </c>
      <c r="N364" s="71" t="inlineStr">
        <is>
          <t>Y</t>
        </is>
      </c>
      <c r="O364" s="75" t="n">
        <v>100</v>
      </c>
      <c r="P364" s="75" t="n"/>
      <c r="Q364" s="76" t="n">
        <v>7041.5</v>
      </c>
      <c r="R364" s="71" t="inlineStr">
        <is>
          <t>prospectus:stated market capitalisation</t>
        </is>
      </c>
      <c r="S364" s="77" t="n">
        <v>2662.79</v>
      </c>
      <c r="T364" s="78" t="n">
        <v>39.05</v>
      </c>
      <c r="U364" s="79" t="n">
        <v>42.84</v>
      </c>
      <c r="V364" s="80" t="n">
        <v>162</v>
      </c>
      <c r="W364" s="75" t="n">
        <v>8.699999999999999</v>
      </c>
      <c r="X364" s="71" t="inlineStr">
        <is>
          <t>NA</t>
        </is>
      </c>
      <c r="Y364" s="76" t="n">
        <v>1040.08</v>
      </c>
      <c r="Z364" s="76" t="n">
        <v>51009584</v>
      </c>
      <c r="AA364" s="75" t="n">
        <v>14.77</v>
      </c>
      <c r="AB364" s="71" t="inlineStr">
        <is>
          <t>RTW Master Fund, Ltd; The Biotech Growth Trust PLC; LBC HK Opportunity Fund Limited; Lake Bleu Innovation Fund; GF International; Value Partners Limited; E Fund Hong Kong</t>
        </is>
      </c>
      <c r="AC364" s="71" t="inlineStr">
        <is>
          <t>rtw;biotech;lbc;lake;gf;value;fund-hong</t>
        </is>
      </c>
      <c r="AD364" s="75" t="n">
        <v>15</v>
      </c>
      <c r="AE364" s="71" t="inlineStr">
        <is>
          <t>full</t>
        </is>
      </c>
      <c r="AF364" s="71" t="inlineStr">
        <is>
          <t>2025-10-16</t>
        </is>
      </c>
      <c r="AG364" s="71" t="inlineStr">
        <is>
          <t>CLSA Limited</t>
        </is>
      </c>
      <c r="AH364" s="71" t="inlineStr">
        <is>
          <t>CLSA</t>
        </is>
      </c>
      <c r="AI364" s="81" t="n">
        <v>102.158</v>
      </c>
      <c r="AJ364" s="82" t="n">
        <v>106.47</v>
      </c>
      <c r="AK364" s="82" t="n">
        <v>115.79</v>
      </c>
      <c r="AL364" s="82" t="n">
        <v>-4.32</v>
      </c>
      <c r="AM364" s="83" t="n">
        <v>4.5</v>
      </c>
      <c r="AN364" s="75" t="n">
        <v>18.64</v>
      </c>
      <c r="AO364" s="82" t="n">
        <v>87.34999999999999</v>
      </c>
      <c r="AP364" s="82" t="n">
        <v>30.06</v>
      </c>
      <c r="AQ364" s="82" t="n">
        <v>25.75</v>
      </c>
      <c r="AR364" s="82" t="n">
        <v>-9.26</v>
      </c>
      <c r="AS364" s="82" t="n">
        <v>-37.01</v>
      </c>
      <c r="AT364" s="82" t="n">
        <v>-39.1</v>
      </c>
      <c r="AU364" s="82" t="n">
        <v>89.94</v>
      </c>
      <c r="AV364" s="82" t="n">
        <v>37.77</v>
      </c>
      <c r="AW364" s="82" t="n">
        <v>39.29</v>
      </c>
      <c r="AX364" s="82" t="n">
        <v>-30.89</v>
      </c>
      <c r="AY364" s="82" t="n">
        <v>-7.71</v>
      </c>
      <c r="AZ364" s="82" t="n">
        <v>-6.12</v>
      </c>
      <c r="BA364" s="71" t="inlineStr">
        <is>
          <t>China Biotech ETF (HS biotech proxy)</t>
        </is>
      </c>
      <c r="BB364" s="82" t="n">
        <v>51.35</v>
      </c>
      <c r="BC364" s="72" t="inlineStr">
        <is>
          <t>2026-09-23</t>
        </is>
      </c>
      <c r="BD364" s="73" t="n">
        <v>115.2</v>
      </c>
      <c r="BE364" s="76" t="n">
        <v>-745.4</v>
      </c>
      <c r="BF364" s="71" t="inlineStr">
        <is>
          <t>N</t>
        </is>
      </c>
      <c r="BG364" s="71" t="inlineStr">
        <is>
          <t>n/m</t>
        </is>
      </c>
      <c r="BH364" s="83" t="n"/>
      <c r="BI364" s="83" t="n"/>
      <c r="BJ364" s="83" t="n">
        <v>61.1</v>
      </c>
      <c r="BK364" s="84">
        <f>IF('BBG Verify'!S364="","not filed; run on terminal",'BBG Verify'!S364)</f>
        <v/>
      </c>
      <c r="BL364" s="85" t="inlineStr">
        <is>
          <t>N</t>
        </is>
      </c>
      <c r="BM364" s="86">
        <f>IF('BBG Verify'!K364="","not filed; run on terminal",'BBG Verify'!K364)</f>
        <v/>
      </c>
      <c r="BN364" s="71" t="inlineStr">
        <is>
          <t>N/A</t>
        </is>
      </c>
      <c r="BO364" s="71" t="inlineStr">
        <is>
          <t>N/A</t>
        </is>
      </c>
      <c r="BP364" s="71" t="inlineStr">
        <is>
          <t>N/A</t>
        </is>
      </c>
      <c r="BQ364" s="71" t="inlineStr">
        <is>
          <t>N/A</t>
        </is>
      </c>
      <c r="BR364" s="71" t="inlineStr">
        <is>
          <t>N/A</t>
        </is>
      </c>
      <c r="BS364" s="71" t="inlineStr">
        <is>
          <t>N/A</t>
        </is>
      </c>
      <c r="BT364" s="85" t="inlineStr">
        <is>
          <t>CITIC Securities (Hong Kong) Limited; CLSA Limited</t>
        </is>
      </c>
      <c r="BU364" s="71" t="inlineStr">
        <is>
          <t>CITIC Securities (Hong Kong) Limited</t>
        </is>
      </c>
      <c r="BV364" s="71" t="inlineStr">
        <is>
          <t>CLSA Limited; Fosun International Securities Limited; ABCI Capital Limited; CCB International Capital Limited; BOCOM International Securities Limited; China Renaissance Securities (Hong Kong) Limited; GF Securities (Hong Kong) Brokerage Limited</t>
        </is>
      </c>
      <c r="BW364" s="71" t="inlineStr">
        <is>
          <t>ABCI Securities Company Limited; BOCOM International Securities Limited; CCB International Capital Limited; CLSA Limited; China Renaissance Securities (Hong Kong) Limited; Fosun International Securities Limited; GF Securities (Hong Kong) Brokerage Limited</t>
        </is>
      </c>
      <c r="BX364" s="87">
        <f>HYPERLINK("https://www1.hkexnews.hk/listedco/listconews/sehk/2025/0911/2025091100031.pdf","prospectus")</f>
        <v/>
      </c>
      <c r="BY364" s="87">
        <f>HYPERLINK("https://www1.hkexnews.hk/listedco/listconews/sehk/2025/0918/2025091801757.pdf","allotment")</f>
        <v/>
      </c>
      <c r="BZ364" s="87">
        <f>HYPERLINK("https://www1.hkexnews.hk/listedco/listconews/sehk/2025/1016/2025101601000.pdf","stabilisation")</f>
        <v/>
      </c>
      <c r="CA364" s="85" t="n"/>
      <c r="CB364" s="71" t="inlineStr">
        <is>
          <t>P/E: loss-making at IPO, use P/S; range low: maximum offer price only, no floor published</t>
        </is>
      </c>
    </row>
    <row r="365" ht="15" customHeight="1">
      <c r="A365" s="70" t="inlineStr">
        <is>
          <t>6090</t>
        </is>
      </c>
      <c r="B365" s="71" t="inlineStr">
        <is>
          <t>BUTONG GROUP</t>
        </is>
      </c>
      <c r="C365" s="71" t="inlineStr">
        <is>
          <t>不同集團</t>
        </is>
      </c>
      <c r="D365" s="71" t="inlineStr">
        <is>
          <t>Consumer</t>
        </is>
      </c>
      <c r="E365" s="71" t="inlineStr">
        <is>
          <t>Retail / distribution</t>
        </is>
      </c>
      <c r="F365" s="71" t="inlineStr">
        <is>
          <t>Children's and Infant Products</t>
        </is>
      </c>
      <c r="G365" s="71" t="inlineStr">
        <is>
          <t>Standard</t>
        </is>
      </c>
      <c r="H365" s="72" t="n">
        <v>45923</v>
      </c>
      <c r="I365" s="73" t="n">
        <v>781.84</v>
      </c>
      <c r="J365" s="71" t="inlineStr">
        <is>
          <t>gross (stated)</t>
        </is>
      </c>
      <c r="K365" s="74" t="n"/>
      <c r="L365" s="74" t="n">
        <v>71.2</v>
      </c>
      <c r="M365" s="74" t="n">
        <v>71.2</v>
      </c>
      <c r="N365" s="71" t="inlineStr">
        <is>
          <t>Y</t>
        </is>
      </c>
      <c r="O365" s="75" t="n">
        <v>100</v>
      </c>
      <c r="P365" s="75" t="n"/>
      <c r="Q365" s="76" t="n">
        <v>6461.5</v>
      </c>
      <c r="R365" s="71" t="inlineStr">
        <is>
          <t>derived:price x shares upon listing</t>
        </is>
      </c>
      <c r="S365" s="77" t="n">
        <v>3317.47</v>
      </c>
      <c r="T365" s="78" t="n">
        <v>7.37</v>
      </c>
      <c r="U365" s="79" t="n">
        <v>14.96</v>
      </c>
      <c r="V365" s="80" t="n">
        <v>333</v>
      </c>
      <c r="W365" s="75" t="n">
        <v>10</v>
      </c>
      <c r="X365" s="71" t="inlineStr">
        <is>
          <t>NA</t>
        </is>
      </c>
      <c r="Y365" s="76" t="n">
        <v>664.88</v>
      </c>
      <c r="Z365" s="76" t="n">
        <v>9338157</v>
      </c>
      <c r="AA365" s="75" t="n">
        <v>10.29</v>
      </c>
      <c r="AB365" s="71" t="inlineStr">
        <is>
          <t>Cithara Fund; Great Praise</t>
        </is>
      </c>
      <c r="AC365" s="71" t="inlineStr">
        <is>
          <t>cithara;great-praise</t>
        </is>
      </c>
      <c r="AD365" s="75" t="n"/>
      <c r="AE365" s="71" t="n"/>
      <c r="AF365" s="71" t="inlineStr">
        <is>
          <t>2025-10-17</t>
        </is>
      </c>
      <c r="AG365" s="71" t="inlineStr">
        <is>
          <t>CLSA Limited</t>
        </is>
      </c>
      <c r="AH365" s="71" t="inlineStr">
        <is>
          <t>CLSA</t>
        </is>
      </c>
      <c r="AI365" s="81" t="n">
        <v>54.213</v>
      </c>
      <c r="AJ365" s="82" t="n">
        <v>43.96</v>
      </c>
      <c r="AK365" s="82" t="n">
        <v>41.01</v>
      </c>
      <c r="AL365" s="82" t="n">
        <v>2.09</v>
      </c>
      <c r="AM365" s="83" t="n">
        <v>3.42</v>
      </c>
      <c r="AN365" s="75" t="n">
        <v>17.63</v>
      </c>
      <c r="AO365" s="82" t="n">
        <v>46.07</v>
      </c>
      <c r="AP365" s="82" t="n">
        <v>36.31</v>
      </c>
      <c r="AQ365" s="82" t="n">
        <v>44.66</v>
      </c>
      <c r="AR365" s="82" t="n">
        <v>1.47</v>
      </c>
      <c r="AS365" s="82" t="n">
        <v>-5.31</v>
      </c>
      <c r="AT365" s="82" t="n">
        <v>0.49</v>
      </c>
      <c r="AU365" s="82" t="n">
        <v>43.57</v>
      </c>
      <c r="AV365" s="82" t="n">
        <v>38.3</v>
      </c>
      <c r="AW365" s="82" t="n">
        <v>53.02</v>
      </c>
      <c r="AX365" s="82" t="n">
        <v>-4.43</v>
      </c>
      <c r="AY365" s="82" t="n">
        <v>-1.99</v>
      </c>
      <c r="AZ365" s="82" t="n">
        <v>-0.88</v>
      </c>
      <c r="BA365" s="71" t="inlineStr">
        <is>
          <t>Hang Seng Commerce &amp; Industry sub-index</t>
        </is>
      </c>
      <c r="BB365" s="82" t="n">
        <v>-39.44</v>
      </c>
      <c r="BC365" s="72" t="inlineStr">
        <is>
          <t>2026-09-23</t>
        </is>
      </c>
      <c r="BD365" s="73" t="n">
        <v>1373.8</v>
      </c>
      <c r="BE365" s="76" t="n">
        <v>64.40000000000001</v>
      </c>
      <c r="BF365" s="71" t="inlineStr">
        <is>
          <t>Y</t>
        </is>
      </c>
      <c r="BG365" s="83" t="n">
        <v>100.3</v>
      </c>
      <c r="BH365" s="83" t="n"/>
      <c r="BI365" s="83" t="n"/>
      <c r="BJ365" s="83" t="n">
        <v>4.7</v>
      </c>
      <c r="BK365" s="84">
        <f>IF('BBG Verify'!S365="","not filed; run on terminal",'BBG Verify'!S365)</f>
        <v/>
      </c>
      <c r="BL365" s="85" t="inlineStr">
        <is>
          <t>N</t>
        </is>
      </c>
      <c r="BM365" s="86">
        <f>IF('BBG Verify'!K365="","not filed; run on terminal",'BBG Verify'!K365)</f>
        <v/>
      </c>
      <c r="BN365" s="71" t="inlineStr">
        <is>
          <t>N/A</t>
        </is>
      </c>
      <c r="BO365" s="71" t="inlineStr">
        <is>
          <t>N/A</t>
        </is>
      </c>
      <c r="BP365" s="71" t="inlineStr">
        <is>
          <t>N/A</t>
        </is>
      </c>
      <c r="BQ365" s="71" t="inlineStr">
        <is>
          <t>N/A</t>
        </is>
      </c>
      <c r="BR365" s="71" t="inlineStr">
        <is>
          <t>N/A</t>
        </is>
      </c>
      <c r="BS365" s="71" t="inlineStr">
        <is>
          <t>N/A</t>
        </is>
      </c>
      <c r="BT365" s="85" t="n"/>
      <c r="BU365" s="71" t="inlineStr">
        <is>
          <t>Haitong International Capital Limited; CITIC Securities (Hong Kong) Limited</t>
        </is>
      </c>
      <c r="BV365" s="71" t="inlineStr">
        <is>
          <t>CLSA Limited; Futu Securities International (Hong Kong) Limited; Huatai Financial Holdings (Hong Kong) Limited; Haitong International Securities Company Limited; Livermore Holdings Limited; Patrons Securities Limited</t>
        </is>
      </c>
      <c r="BW365" s="71" t="inlineStr">
        <is>
          <t>CLSA Limited; Futu Securities International (Hong Kong) Limited; Huatai Financial Holdings (Hong Kong) Limited; Haitong International Securities Company Limited; Livermore Holdings Limited; Patrons Securities Limited; SPDB International Capital Limited</t>
        </is>
      </c>
      <c r="BX365" s="71" t="n"/>
      <c r="BY365" s="87">
        <f>HYPERLINK("https://www1.hkexnews.hk/listedco/listconews/sehk/2025/0922/2025092201984.pdf","allotment")</f>
        <v/>
      </c>
      <c r="BZ365" s="71" t="n"/>
      <c r="CA365" s="85" t="n"/>
      <c r="CB365" s="71"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366" ht="15" customHeight="1">
      <c r="A366" s="70" t="inlineStr">
        <is>
          <t>9973</t>
        </is>
      </c>
      <c r="B366" s="71" t="inlineStr">
        <is>
          <t>CHERY AUTO</t>
        </is>
      </c>
      <c r="C366" s="71" t="inlineStr">
        <is>
          <t>奇瑞汽車</t>
        </is>
      </c>
      <c r="D366" s="71" t="inlineStr">
        <is>
          <t>Consumer</t>
        </is>
      </c>
      <c r="E366" s="71" t="inlineStr">
        <is>
          <t>Autos (NEV OEM)</t>
        </is>
      </c>
      <c r="F366" s="71" t="inlineStr">
        <is>
          <t>Automobile Manufacturers</t>
        </is>
      </c>
      <c r="G366" s="71" t="inlineStr">
        <is>
          <t>Standard</t>
        </is>
      </c>
      <c r="H366" s="72" t="n">
        <v>45925</v>
      </c>
      <c r="I366" s="73" t="n">
        <v>9145</v>
      </c>
      <c r="J366" s="71" t="inlineStr">
        <is>
          <t>gross (stated)</t>
        </is>
      </c>
      <c r="K366" s="74" t="n"/>
      <c r="L366" s="74" t="n">
        <v>30.75</v>
      </c>
      <c r="M366" s="74" t="n">
        <v>30.75</v>
      </c>
      <c r="N366" s="71" t="inlineStr">
        <is>
          <t>Y</t>
        </is>
      </c>
      <c r="O366" s="75" t="n">
        <v>100</v>
      </c>
      <c r="P366" s="75" t="n"/>
      <c r="Q366" s="76" t="n">
        <v>160041</v>
      </c>
      <c r="R366" s="71" t="inlineStr">
        <is>
          <t>prospectus:stated market capitalisation</t>
        </is>
      </c>
      <c r="S366" s="77" t="n">
        <v>308.18</v>
      </c>
      <c r="T366" s="78" t="n">
        <v>11.61</v>
      </c>
      <c r="U366" s="79" t="n">
        <v>50.1</v>
      </c>
      <c r="V366" s="80" t="n">
        <v>251</v>
      </c>
      <c r="W366" s="75" t="n">
        <v>10</v>
      </c>
      <c r="X366" s="71" t="inlineStr">
        <is>
          <t>NA</t>
        </is>
      </c>
      <c r="Y366" s="76" t="n">
        <v>4563.35</v>
      </c>
      <c r="Z366" s="76" t="n">
        <v>148401103</v>
      </c>
      <c r="AA366" s="75" t="n">
        <v>2.85</v>
      </c>
      <c r="AB366" s="71" t="inlineStr">
        <is>
          <t>HHLR Advisors, Ltd; Martis Fund, L.P; Xingyu Automotive Lighting (Hong Kong) Company Limited; Gotion; HK Greenwoods; Horizon Together; Dajia Life; Tulip Fund, L.P; CICC FT; GF Global Capital Limited</t>
        </is>
      </c>
      <c r="AC366" s="71" t="inlineStr">
        <is>
          <t>hhlr;martis;xingyu;gotion;greenwoods;horizon;dajia;tulip;china-international;gf</t>
        </is>
      </c>
      <c r="AD366" s="75" t="n">
        <v>15</v>
      </c>
      <c r="AE366" s="71" t="inlineStr">
        <is>
          <t>partial</t>
        </is>
      </c>
      <c r="AF366" s="71" t="n"/>
      <c r="AG366" s="71" t="inlineStr">
        <is>
          <t>China International Capital Corporation Hong Kong Securities Limited</t>
        </is>
      </c>
      <c r="AH366" s="71" t="inlineStr">
        <is>
          <t>China International</t>
        </is>
      </c>
      <c r="AI366" s="81" t="n">
        <v>9.528</v>
      </c>
      <c r="AJ366" s="82" t="n">
        <v>3.8</v>
      </c>
      <c r="AK366" s="82" t="n">
        <v>11.22</v>
      </c>
      <c r="AL366" s="82" t="n">
        <v>-6.67</v>
      </c>
      <c r="AM366" s="83" t="n">
        <v>2.63</v>
      </c>
      <c r="AN366" s="75" t="n">
        <v>9.529999999999999</v>
      </c>
      <c r="AO366" s="82" t="n">
        <v>3.67</v>
      </c>
      <c r="AP366" s="82" t="n">
        <v>6.41</v>
      </c>
      <c r="AQ366" s="82" t="n">
        <v>-0.16</v>
      </c>
      <c r="AR366" s="82" t="n">
        <v>-0.13</v>
      </c>
      <c r="AS366" s="82" t="n">
        <v>2.51</v>
      </c>
      <c r="AT366" s="82" t="n">
        <v>-3.82</v>
      </c>
      <c r="AU366" s="82" t="n">
        <v>0.61</v>
      </c>
      <c r="AV366" s="82" t="n">
        <v>9.49</v>
      </c>
      <c r="AW366" s="82" t="n">
        <v>9.07</v>
      </c>
      <c r="AX366" s="82" t="n">
        <v>5.94</v>
      </c>
      <c r="AY366" s="82" t="n">
        <v>-3.08</v>
      </c>
      <c r="AZ366" s="82" t="n">
        <v>-3.43</v>
      </c>
      <c r="BA366" s="71" t="inlineStr">
        <is>
          <t>Hang Seng Commerce &amp; Industry sub-index</t>
        </is>
      </c>
      <c r="BB366" s="82" t="n">
        <v>-17.27</v>
      </c>
      <c r="BC366" s="72" t="inlineStr">
        <is>
          <t>2026-09-23</t>
        </is>
      </c>
      <c r="BD366" s="73" t="n">
        <v>296886.7</v>
      </c>
      <c r="BE366" s="76" t="n">
        <v>15548.5</v>
      </c>
      <c r="BF366" s="71" t="inlineStr">
        <is>
          <t>Y</t>
        </is>
      </c>
      <c r="BG366" s="83" t="n">
        <v>10.3</v>
      </c>
      <c r="BH366" s="83" t="n">
        <v>10</v>
      </c>
      <c r="BI366" s="83" t="n">
        <v>6.5</v>
      </c>
      <c r="BJ366" s="83" t="n">
        <v>0.5</v>
      </c>
      <c r="BK366" s="84">
        <f>IF('BBG Verify'!S366="","not filed; run on terminal",'BBG Verify'!S366)</f>
        <v/>
      </c>
      <c r="BL366" s="85" t="inlineStr">
        <is>
          <t>N</t>
        </is>
      </c>
      <c r="BM366" s="86">
        <f>IF('BBG Verify'!K366="","not filed; run on terminal",'BBG Verify'!K366)</f>
        <v/>
      </c>
      <c r="BN366" s="71" t="inlineStr">
        <is>
          <t>N/A</t>
        </is>
      </c>
      <c r="BO366" s="71" t="inlineStr">
        <is>
          <t>N/A</t>
        </is>
      </c>
      <c r="BP366" s="71" t="inlineStr">
        <is>
          <t>N/A</t>
        </is>
      </c>
      <c r="BQ366" s="71" t="inlineStr">
        <is>
          <t>N/A</t>
        </is>
      </c>
      <c r="BR366" s="71" t="inlineStr">
        <is>
          <t>N/A</t>
        </is>
      </c>
      <c r="BS366" s="71" t="inlineStr">
        <is>
          <t>N/A</t>
        </is>
      </c>
      <c r="BT366" s="85" t="inlineStr">
        <is>
          <t>China International Capital Corporation Hong Kong Securities Limited; Huatai Financial Holdings (Hong Kong) Limited; GF Capital (Hong Kong) Limited</t>
        </is>
      </c>
      <c r="BU366" s="71" t="inlineStr">
        <is>
          <t>China International Capital Corporation Hong Kong Securities Limited; Huatai Financial Holdings (Hong Kong) Limited; GF Capital (Hong Kong) Limited</t>
        </is>
      </c>
      <c r="BV366" s="71"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W366" s="71"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X366" s="87">
        <f>HYPERLINK("https://www1.hkexnews.hk/listedco/listconews/sehk/2025/0917/2025091700013.pdf","prospectus")</f>
        <v/>
      </c>
      <c r="BY366" s="87">
        <f>HYPERLINK("https://www1.hkexnews.hk/listedco/listconews/sehk/2025/0924/2025092401262.pdf","allotment")</f>
        <v/>
      </c>
      <c r="BZ366" s="87">
        <f>HYPERLINK("https://www1.hkexnews.hk/listedco/listconews/sehk/2025/1022/2025102201148.pdf","stabilisation")</f>
        <v/>
      </c>
      <c r="CA366" s="85" t="n"/>
      <c r="CB366" s="71" t="inlineStr">
        <is>
          <t>greenshoe: outcome published; expiry date not in the notice; range low: maximum offer price only, no floor published</t>
        </is>
      </c>
    </row>
    <row r="367" ht="15" customHeight="1">
      <c r="A367" s="70" t="inlineStr">
        <is>
          <t>2583</t>
        </is>
      </c>
      <c r="B367" s="71" t="inlineStr">
        <is>
          <t>HIPINE</t>
        </is>
      </c>
      <c r="C367" s="71" t="inlineStr">
        <is>
          <t>西普尼</t>
        </is>
      </c>
      <c r="D367" s="71" t="inlineStr">
        <is>
          <t>Consumer</t>
        </is>
      </c>
      <c r="E367" s="71" t="inlineStr">
        <is>
          <t>Apparel / luxury</t>
        </is>
      </c>
      <c r="F367" s="71" t="inlineStr">
        <is>
          <t>Watch &amp; Jewellery</t>
        </is>
      </c>
      <c r="G367" s="71" t="inlineStr">
        <is>
          <t>Standard</t>
        </is>
      </c>
      <c r="H367" s="72" t="n">
        <v>45930</v>
      </c>
      <c r="I367" s="73" t="n">
        <v>313.76</v>
      </c>
      <c r="J367" s="71" t="inlineStr">
        <is>
          <t>gross (stated)</t>
        </is>
      </c>
      <c r="K367" s="74" t="n">
        <v>27</v>
      </c>
      <c r="L367" s="74" t="n">
        <v>29.6</v>
      </c>
      <c r="M367" s="74" t="n">
        <v>29.6</v>
      </c>
      <c r="N367" s="71" t="inlineStr">
        <is>
          <t>Y</t>
        </is>
      </c>
      <c r="O367" s="75" t="n">
        <v>100</v>
      </c>
      <c r="P367" s="75" t="n">
        <v>100</v>
      </c>
      <c r="Q367" s="76" t="n">
        <v>1741.2</v>
      </c>
      <c r="R367" s="71" t="inlineStr">
        <is>
          <t>derived:price x shares upon listing</t>
        </is>
      </c>
      <c r="S367" s="77" t="n">
        <v>2505.9</v>
      </c>
      <c r="T367" s="78" t="n">
        <v>3.9</v>
      </c>
      <c r="U367" s="79" t="n"/>
      <c r="V367" s="80" t="n">
        <v>136</v>
      </c>
      <c r="W367" s="75" t="n">
        <v>10</v>
      </c>
      <c r="X367" s="71" t="inlineStr">
        <is>
          <t>NO</t>
        </is>
      </c>
      <c r="Y367" s="76" t="n"/>
      <c r="Z367" s="76" t="n"/>
      <c r="AA367" s="75" t="n"/>
      <c r="AB367" s="71" t="inlineStr">
        <is>
          <t>Ms. Fan; Jinyingu Investment</t>
        </is>
      </c>
      <c r="AC367" s="71" t="inlineStr">
        <is>
          <t>ms-fan;jinyingu</t>
        </is>
      </c>
      <c r="AD367" s="75" t="n"/>
      <c r="AE367" s="71" t="n"/>
      <c r="AF367" s="71" t="n"/>
      <c r="AG367" s="71" t="n"/>
      <c r="AH367" s="71" t="n"/>
      <c r="AI367" s="81" t="n">
        <v>189.358</v>
      </c>
      <c r="AJ367" s="82" t="n">
        <v>258.11</v>
      </c>
      <c r="AK367" s="82" t="n">
        <v>183.78</v>
      </c>
      <c r="AL367" s="82" t="n">
        <v>26.19</v>
      </c>
      <c r="AM367" s="83" t="n">
        <v>2.66</v>
      </c>
      <c r="AN367" s="75" t="n">
        <v>59.52</v>
      </c>
      <c r="AO367" s="82" t="n">
        <v>457.43</v>
      </c>
      <c r="AP367" s="82" t="n">
        <v>456.42</v>
      </c>
      <c r="AQ367" s="82" t="n">
        <v>467.23</v>
      </c>
      <c r="AR367" s="82" t="n">
        <v>55.66</v>
      </c>
      <c r="AS367" s="82" t="n">
        <v>55.38</v>
      </c>
      <c r="AT367" s="82" t="n">
        <v>58.4</v>
      </c>
      <c r="AU367" s="82" t="n">
        <v>456.21</v>
      </c>
      <c r="AV367" s="82" t="n">
        <v>461.42</v>
      </c>
      <c r="AW367" s="82" t="n">
        <v>474.36</v>
      </c>
      <c r="AX367" s="82" t="n">
        <v>61.55</v>
      </c>
      <c r="AY367" s="82" t="n">
        <v>-5</v>
      </c>
      <c r="AZ367" s="82" t="n">
        <v>-6.17</v>
      </c>
      <c r="BA367" s="71" t="inlineStr">
        <is>
          <t>Hang Seng Commerce &amp; Industry sub-index</t>
        </is>
      </c>
      <c r="BB367" s="82" t="n">
        <v>65.47</v>
      </c>
      <c r="BC367" s="72" t="inlineStr">
        <is>
          <t>2026-09-23</t>
        </is>
      </c>
      <c r="BD367" s="73" t="n">
        <v>502.2</v>
      </c>
      <c r="BE367" s="76" t="n">
        <v>54.3</v>
      </c>
      <c r="BF367" s="71" t="inlineStr">
        <is>
          <t>Y</t>
        </is>
      </c>
      <c r="BG367" s="83" t="n">
        <v>32.1</v>
      </c>
      <c r="BH367" s="83" t="n"/>
      <c r="BI367" s="83" t="n">
        <v>25</v>
      </c>
      <c r="BJ367" s="83" t="n">
        <v>3.5</v>
      </c>
      <c r="BK367" s="84">
        <f>IF('BBG Verify'!S367="","not filed; run on terminal",'BBG Verify'!S367)</f>
        <v/>
      </c>
      <c r="BL367" s="85" t="inlineStr">
        <is>
          <t>N</t>
        </is>
      </c>
      <c r="BM367" s="86">
        <f>IF('BBG Verify'!K367="","not filed; run on terminal",'BBG Verify'!K367)</f>
        <v/>
      </c>
      <c r="BN367" s="71" t="inlineStr">
        <is>
          <t>N/A</t>
        </is>
      </c>
      <c r="BO367" s="71" t="inlineStr">
        <is>
          <t>N/A</t>
        </is>
      </c>
      <c r="BP367" s="71" t="inlineStr">
        <is>
          <t>N/A</t>
        </is>
      </c>
      <c r="BQ367" s="71" t="inlineStr">
        <is>
          <t>N/A</t>
        </is>
      </c>
      <c r="BR367" s="71" t="inlineStr">
        <is>
          <t>N/A</t>
        </is>
      </c>
      <c r="BS367" s="71" t="inlineStr">
        <is>
          <t>N/A</t>
        </is>
      </c>
      <c r="BT367" s="85" t="inlineStr">
        <is>
          <t>Ping An of China Capital (Hong Kong) Company Limited</t>
        </is>
      </c>
      <c r="BU367" s="71" t="inlineStr">
        <is>
          <t>Ping An of China Capital (Hong Kong) Company Limited</t>
        </is>
      </c>
      <c r="BV367" s="71" t="inlineStr">
        <is>
          <t>Ping An Securities (Hong Kong) Company Limited; A VICT Global Asset Management Limited; uSMART Securities Limited; ABCI Capital Limited</t>
        </is>
      </c>
      <c r="BW367" s="71" t="inlineStr">
        <is>
          <t>ABCI Securities Company Limited; AVICT Global Asset Management Limited; Ping An Securities (Hong Kong) Company Limited; Patrons Securities Limited; Ruibang Securities Limited</t>
        </is>
      </c>
      <c r="BX367" s="87">
        <f>HYPERLINK("https://www1.hkexnews.hk/listedco/listconews/sehk/2025/0919/2025091900019.pdf","prospectus")</f>
        <v/>
      </c>
      <c r="BY367" s="87">
        <f>HYPERLINK("https://www1.hkexnews.hk/listedco/listconews/sehk/2025/0929/2025092902274.pdf","allotment")</f>
        <v/>
      </c>
      <c r="BZ367" s="71" t="n"/>
      <c r="CA367" s="85" t="n"/>
      <c r="CB367" s="71"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70" t="inlineStr">
        <is>
          <t>2889</t>
        </is>
      </c>
      <c r="B368" s="71" t="inlineStr">
        <is>
          <t>PATEO</t>
        </is>
      </c>
      <c r="C368" s="71" t="inlineStr">
        <is>
          <t>博泰車聯</t>
        </is>
      </c>
      <c r="D368" s="71" t="inlineStr">
        <is>
          <t>Consumer</t>
        </is>
      </c>
      <c r="E368" s="71" t="inlineStr">
        <is>
          <t>Auto parts / supply chain</t>
        </is>
      </c>
      <c r="F368" s="71" t="inlineStr">
        <is>
          <t>Auto Parts &amp; Equipment</t>
        </is>
      </c>
      <c r="G368" s="71" t="inlineStr">
        <is>
          <t>Standard</t>
        </is>
      </c>
      <c r="H368" s="72" t="n">
        <v>45930</v>
      </c>
      <c r="I368" s="73" t="n">
        <v>1066.96</v>
      </c>
      <c r="J368" s="71" t="inlineStr">
        <is>
          <t>gross (stated)</t>
        </is>
      </c>
      <c r="K368" s="74" t="n"/>
      <c r="L368" s="74" t="n">
        <v>102.23</v>
      </c>
      <c r="M368" s="74" t="n">
        <v>102.23</v>
      </c>
      <c r="N368" s="71" t="inlineStr">
        <is>
          <t>Y</t>
        </is>
      </c>
      <c r="O368" s="75" t="n">
        <v>100</v>
      </c>
      <c r="P368" s="75" t="n"/>
      <c r="Q368" s="76" t="n">
        <v>15334</v>
      </c>
      <c r="R368" s="71" t="inlineStr">
        <is>
          <t>press:sina: 按102.23港元发行价计总市值153.34亿</t>
        </is>
      </c>
      <c r="S368" s="77" t="n">
        <v>529.79</v>
      </c>
      <c r="T368" s="78" t="n">
        <v>3.72</v>
      </c>
      <c r="U368" s="79" t="n">
        <v>22.8</v>
      </c>
      <c r="V368" s="80" t="n">
        <v>50</v>
      </c>
      <c r="W368" s="75" t="n">
        <v>10</v>
      </c>
      <c r="X368" s="71" t="inlineStr">
        <is>
          <t>NO</t>
        </is>
      </c>
      <c r="Y368" s="76" t="n">
        <v>823.6900000000001</v>
      </c>
      <c r="Z368" s="76" t="n">
        <v>8057287</v>
      </c>
      <c r="AA368" s="75" t="n">
        <v>5.37</v>
      </c>
      <c r="AB368" s="71" t="n"/>
      <c r="AC368" s="71" t="n"/>
      <c r="AD368" s="75" t="n"/>
      <c r="AE368" s="71" t="n"/>
      <c r="AF368" s="71" t="n"/>
      <c r="AG368" s="71" t="inlineStr">
        <is>
          <t>China International Capital Corporation Hong Kong Securities Limited</t>
        </is>
      </c>
      <c r="AH368" s="71" t="inlineStr">
        <is>
          <t>China International</t>
        </is>
      </c>
      <c r="AI368" s="81" t="n">
        <v>29.708</v>
      </c>
      <c r="AJ368" s="82" t="n">
        <v>53.58</v>
      </c>
      <c r="AK368" s="82" t="n">
        <v>32.06</v>
      </c>
      <c r="AL368" s="82" t="n">
        <v>16.3</v>
      </c>
      <c r="AM368" s="83" t="n">
        <v>1.57</v>
      </c>
      <c r="AN368" s="75" t="n">
        <v>19.93</v>
      </c>
      <c r="AO368" s="82" t="n">
        <v>98.95999999999999</v>
      </c>
      <c r="AP368" s="82" t="n">
        <v>68.05</v>
      </c>
      <c r="AQ368" s="82" t="n">
        <v>110.51</v>
      </c>
      <c r="AR368" s="82" t="n">
        <v>29.55</v>
      </c>
      <c r="AS368" s="82" t="n">
        <v>9.42</v>
      </c>
      <c r="AT368" s="82" t="n">
        <v>37.07</v>
      </c>
      <c r="AU368" s="82" t="n">
        <v>97.73999999999999</v>
      </c>
      <c r="AV368" s="82" t="n">
        <v>73.05</v>
      </c>
      <c r="AW368" s="82" t="n">
        <v>117.64</v>
      </c>
      <c r="AX368" s="82" t="n">
        <v>15.59</v>
      </c>
      <c r="AY368" s="82" t="n">
        <v>-5</v>
      </c>
      <c r="AZ368" s="82" t="n">
        <v>-6.17</v>
      </c>
      <c r="BA368" s="71" t="inlineStr">
        <is>
          <t>Hang Seng Commerce &amp; Industry sub-index</t>
        </is>
      </c>
      <c r="BB368" s="82" t="n">
        <v>-24.39</v>
      </c>
      <c r="BC368" s="72" t="inlineStr">
        <is>
          <t>2026-09-23</t>
        </is>
      </c>
      <c r="BD368" s="73" t="n">
        <v>2812.7</v>
      </c>
      <c r="BE368" s="76" t="n">
        <v>-595.4</v>
      </c>
      <c r="BF368" s="71" t="inlineStr">
        <is>
          <t>N</t>
        </is>
      </c>
      <c r="BG368" s="71" t="inlineStr">
        <is>
          <t>n/m</t>
        </is>
      </c>
      <c r="BH368" s="83" t="n"/>
      <c r="BI368" s="83" t="n"/>
      <c r="BJ368" s="83" t="n">
        <v>5.5</v>
      </c>
      <c r="BK368" s="84">
        <f>IF('BBG Verify'!S368="","not filed; run on terminal",'BBG Verify'!S368)</f>
        <v/>
      </c>
      <c r="BL368" s="85" t="inlineStr">
        <is>
          <t>N</t>
        </is>
      </c>
      <c r="BM368" s="86">
        <f>IF('BBG Verify'!K368="","not filed; run on terminal",'BBG Verify'!K368)</f>
        <v/>
      </c>
      <c r="BN368" s="71" t="inlineStr">
        <is>
          <t>N/A</t>
        </is>
      </c>
      <c r="BO368" s="71" t="inlineStr">
        <is>
          <t>N/A</t>
        </is>
      </c>
      <c r="BP368" s="71" t="inlineStr">
        <is>
          <t>N/A</t>
        </is>
      </c>
      <c r="BQ368" s="71" t="inlineStr">
        <is>
          <t>N/A</t>
        </is>
      </c>
      <c r="BR368" s="71" t="inlineStr">
        <is>
          <t>N/A</t>
        </is>
      </c>
      <c r="BS368" s="71" t="inlineStr">
        <is>
          <t>N/A</t>
        </is>
      </c>
      <c r="BT368" s="85" t="n"/>
      <c r="BU368" s="71" t="inlineStr">
        <is>
          <t>China International Capital Corporation Hong Kong Securities Limited; Huatai Financial Holdings (Hong Kong) Limited; CITIC Securities (Hong Kong) Limited; Guotai Junan Capital Limited; CMB International Capital Limited</t>
        </is>
      </c>
      <c r="BV368" s="71" t="inlineStr">
        <is>
          <t>ABCI Securities Company Limited; BOCI Asia Limited; China International Capital Corporation Hong Kong Securities Limited; CLSA Limited; CMB International Capital Limited; Guotai Junan Securities (Hong Kong) Limited</t>
        </is>
      </c>
      <c r="BW368" s="71"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X368" s="71" t="n"/>
      <c r="BY368" s="87">
        <f>HYPERLINK("https://www1.hkexnews.hk/listedco/listconews/sehk/2025/0929/2025092903622.pdf","allotment")</f>
        <v/>
      </c>
      <c r="BZ368" s="71" t="n"/>
      <c r="CA368" s="85" t="n"/>
      <c r="CB368" s="71"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t>
        </is>
      </c>
    </row>
    <row r="369" ht="15" customHeight="1">
      <c r="A369" s="70" t="inlineStr">
        <is>
          <t>2259</t>
        </is>
      </c>
      <c r="B369" s="71" t="inlineStr">
        <is>
          <t>ZIJIN GOLD INTL</t>
        </is>
      </c>
      <c r="C369" s="71" t="inlineStr">
        <is>
          <t>紫金黃金國際</t>
        </is>
      </c>
      <c r="D369" s="71" t="inlineStr">
        <is>
          <t>Materials/Energy</t>
        </is>
      </c>
      <c r="E369" s="71" t="inlineStr">
        <is>
          <t>Mining / metals</t>
        </is>
      </c>
      <c r="F369" s="71" t="inlineStr">
        <is>
          <t>Gold &amp; Precious Metals</t>
        </is>
      </c>
      <c r="G369" s="71" t="inlineStr">
        <is>
          <t>Standard</t>
        </is>
      </c>
      <c r="H369" s="72" t="n">
        <v>45930</v>
      </c>
      <c r="I369" s="73" t="n">
        <v>24984.2</v>
      </c>
      <c r="J369" s="71" t="inlineStr">
        <is>
          <t>gross (stated)</t>
        </is>
      </c>
      <c r="K369" s="74" t="n"/>
      <c r="L369" s="74" t="n">
        <v>71.59</v>
      </c>
      <c r="M369" s="74" t="n">
        <v>71.59</v>
      </c>
      <c r="N369" s="71" t="inlineStr">
        <is>
          <t>Y</t>
        </is>
      </c>
      <c r="O369" s="75" t="n">
        <v>100</v>
      </c>
      <c r="P369" s="75" t="n"/>
      <c r="Q369" s="76" t="n">
        <v>187900</v>
      </c>
      <c r="R369" s="71" t="inlineStr">
        <is>
          <t>prospectus:stated market capitalisation</t>
        </is>
      </c>
      <c r="S369" s="77" t="n">
        <v>240.74</v>
      </c>
      <c r="T369" s="78" t="n">
        <v>20.38</v>
      </c>
      <c r="U369" s="79" t="n">
        <v>1.6</v>
      </c>
      <c r="V369" s="80" t="n">
        <v>438</v>
      </c>
      <c r="W369" s="75" t="n">
        <v>10</v>
      </c>
      <c r="X369" s="71" t="inlineStr">
        <is>
          <t>NO</t>
        </is>
      </c>
      <c r="Y369" s="76" t="n">
        <v>24584.45</v>
      </c>
      <c r="Z369" s="76" t="n">
        <v>343406849</v>
      </c>
      <c r="AA369" s="75" t="n">
        <v>13.08</v>
      </c>
      <c r="AB369" s="71" t="inlineStr">
        <is>
          <t>UBS AM Singapore</t>
        </is>
      </c>
      <c r="AC369" s="71" t="inlineStr">
        <is>
          <t>ubs</t>
        </is>
      </c>
      <c r="AD369" s="75" t="n">
        <v>5</v>
      </c>
      <c r="AE369" s="71" t="n"/>
      <c r="AF369" s="71" t="n"/>
      <c r="AG369" s="71" t="inlineStr">
        <is>
          <t>Morgan Stanley Asia Limited</t>
        </is>
      </c>
      <c r="AH369" s="71" t="inlineStr">
        <is>
          <t>Morgan Stanley</t>
        </is>
      </c>
      <c r="AI369" s="81" t="n">
        <v>51.418</v>
      </c>
      <c r="AJ369" s="82" t="n">
        <v>68.45999999999999</v>
      </c>
      <c r="AK369" s="82" t="n">
        <v>55.75</v>
      </c>
      <c r="AL369" s="82" t="n">
        <v>8.16</v>
      </c>
      <c r="AM369" s="83" t="n">
        <v>2.8</v>
      </c>
      <c r="AN369" s="75" t="n">
        <v>10.76</v>
      </c>
      <c r="AO369" s="82" t="n">
        <v>97.37</v>
      </c>
      <c r="AP369" s="82" t="n">
        <v>81.45</v>
      </c>
      <c r="AQ369" s="82" t="n">
        <v>100.73</v>
      </c>
      <c r="AR369" s="82" t="n">
        <v>17.16</v>
      </c>
      <c r="AS369" s="82" t="n">
        <v>7.71</v>
      </c>
      <c r="AT369" s="82" t="n">
        <v>19.16</v>
      </c>
      <c r="AU369" s="82" t="n">
        <v>96.15000000000001</v>
      </c>
      <c r="AV369" s="82" t="n">
        <v>86.45</v>
      </c>
      <c r="AW369" s="82" t="n">
        <v>107.86</v>
      </c>
      <c r="AX369" s="82" t="n">
        <v>13.88</v>
      </c>
      <c r="AY369" s="82" t="n">
        <v>-5</v>
      </c>
      <c r="AZ369" s="82" t="n">
        <v>-6.17</v>
      </c>
      <c r="BA369" s="71" t="inlineStr">
        <is>
          <t>Hang Seng Commerce &amp; Industry sub-index</t>
        </is>
      </c>
      <c r="BB369" s="82" t="n">
        <v>104.78</v>
      </c>
      <c r="BC369" s="72" t="inlineStr">
        <is>
          <t>2026-09-23</t>
        </is>
      </c>
      <c r="BD369" s="73" t="n">
        <v>23293</v>
      </c>
      <c r="BE369" s="76" t="n">
        <v>4840.7</v>
      </c>
      <c r="BF369" s="71" t="inlineStr">
        <is>
          <t>Y</t>
        </is>
      </c>
      <c r="BG369" s="83" t="n">
        <v>38.8</v>
      </c>
      <c r="BH369" s="83" t="n">
        <v>21.6</v>
      </c>
      <c r="BI369" s="83" t="n">
        <v>14.3</v>
      </c>
      <c r="BJ369" s="83" t="n">
        <v>8.1</v>
      </c>
      <c r="BK369" s="84">
        <f>IF('BBG Verify'!S369="","not filed; run on terminal",'BBG Verify'!S369)</f>
        <v/>
      </c>
      <c r="BL369" s="85" t="inlineStr">
        <is>
          <t>N</t>
        </is>
      </c>
      <c r="BM369" s="86">
        <f>IF('BBG Verify'!K369="","not filed; run on terminal",'BBG Verify'!K369)</f>
        <v/>
      </c>
      <c r="BN369" s="71" t="inlineStr">
        <is>
          <t>N/A</t>
        </is>
      </c>
      <c r="BO369" s="71" t="inlineStr">
        <is>
          <t>N/A</t>
        </is>
      </c>
      <c r="BP369" s="71" t="inlineStr">
        <is>
          <t>N/A</t>
        </is>
      </c>
      <c r="BQ369" s="71" t="inlineStr">
        <is>
          <t>N/A</t>
        </is>
      </c>
      <c r="BR369" s="71" t="inlineStr">
        <is>
          <t>N/A</t>
        </is>
      </c>
      <c r="BS369" s="71" t="inlineStr">
        <is>
          <t>N/A</t>
        </is>
      </c>
      <c r="BT369" s="85" t="inlineStr">
        <is>
          <t>Morgan Stanley Asia Limited; CITIC Securities (Hong Kong) Limited</t>
        </is>
      </c>
      <c r="BU369" s="71" t="inlineStr">
        <is>
          <t>Morgan Stanley Asia Limited; CITIC Securities (Hong Kong) Limited</t>
        </is>
      </c>
      <c r="BV369" s="71" t="inlineStr">
        <is>
          <t>Morgan Stanley &amp; Co. International plc; Canary Wharf London E14 4QA United Kingdom CLSA Limited; GF Securities (Hong Kong) Brokerage Limited; Huatai Financial Holdings (Hong Kong) Limited</t>
        </is>
      </c>
      <c r="BW369" s="71" t="inlineStr">
        <is>
          <t>China Industrial Securities International Capital Limited; CLSA Limited; GF Securities (Hong Kong) Brokerage Limited; Huatai Financial Holdings (Hong Kong) Limited; Macquarie Capital Limited; Morgan Stanley Asia Limited</t>
        </is>
      </c>
      <c r="BX369" s="87">
        <f>HYPERLINK("https://www1.hkexnews.hk/listedco/listconews/sehk/2025/0919/2025091900073.pdf","prospectus")</f>
        <v/>
      </c>
      <c r="BY369" s="87">
        <f>HYPERLINK("https://www1.hkexnews.hk/listedco/listconews/sehk/2025/0929/2025092903788.pdf","allotment")</f>
        <v/>
      </c>
      <c r="BZ369" s="87">
        <f>HYPERLINK("https://www1.hkexnews.hk/listedco/listconews/sehk/2025/1026/2025102600001.pdf","stabilisation")</f>
        <v/>
      </c>
      <c r="CA369" s="85" t="n"/>
      <c r="CB369" s="71" t="inlineStr">
        <is>
          <t>greenshoe: end-of-stabilisation notice not found; range low: maximum offer price only, no floor published; stabilisation notice: notice linked; outcome wording not recognised, result left blank</t>
        </is>
      </c>
    </row>
    <row r="370" ht="15" customHeight="1">
      <c r="A370" s="70" t="inlineStr">
        <is>
          <t>2652</t>
        </is>
      </c>
      <c r="B370" s="71" t="inlineStr">
        <is>
          <t>CF PHARMTECH</t>
        </is>
      </c>
      <c r="C370" s="71" t="inlineStr">
        <is>
          <t>長風藥業</t>
        </is>
      </c>
      <c r="D370" s="71" t="inlineStr">
        <is>
          <t>Healthcare</t>
        </is>
      </c>
      <c r="E370" s="71" t="inlineStr">
        <is>
          <t>Biopharma commercial</t>
        </is>
      </c>
      <c r="F370" s="71" t="inlineStr">
        <is>
          <t>Pharmaceuticals</t>
        </is>
      </c>
      <c r="G370" s="71" t="inlineStr">
        <is>
          <t>Standard</t>
        </is>
      </c>
      <c r="H370" s="72" t="n">
        <v>45938</v>
      </c>
      <c r="I370" s="73" t="n">
        <v>607.7</v>
      </c>
      <c r="J370" s="71" t="inlineStr">
        <is>
          <t>gross (price x shares)</t>
        </is>
      </c>
      <c r="K370" s="74" t="n"/>
      <c r="L370" s="74" t="n">
        <v>14.75</v>
      </c>
      <c r="M370" s="74" t="n">
        <v>14.75</v>
      </c>
      <c r="N370" s="71" t="inlineStr">
        <is>
          <t>Y</t>
        </is>
      </c>
      <c r="O370" s="75" t="n">
        <v>100</v>
      </c>
      <c r="P370" s="75" t="n"/>
      <c r="Q370" s="76" t="n">
        <v>6076.7</v>
      </c>
      <c r="R370" s="71" t="inlineStr">
        <is>
          <t>derived:price x shares upon listing</t>
        </is>
      </c>
      <c r="S370" s="77" t="n">
        <v>6697.8</v>
      </c>
      <c r="T370" s="78" t="n">
        <v>12.74</v>
      </c>
      <c r="U370" s="79" t="n"/>
      <c r="V370" s="80" t="n">
        <v>70</v>
      </c>
      <c r="W370" s="75" t="n">
        <v>10</v>
      </c>
      <c r="X370" s="71" t="inlineStr">
        <is>
          <t>NA</t>
        </is>
      </c>
      <c r="Y370" s="76" t="n"/>
      <c r="Z370" s="76" t="n"/>
      <c r="AA370" s="75" t="n"/>
      <c r="AB370" s="71" t="inlineStr">
        <is>
          <t>Shanghai Yangtze River Delta Industry Upgrade Equity Investment</t>
        </is>
      </c>
      <c r="AC370" s="71" t="inlineStr">
        <is>
          <t>shanghai-yangtze</t>
        </is>
      </c>
      <c r="AD370" s="75" t="n"/>
      <c r="AE370" s="71" t="n"/>
      <c r="AF370" s="71" t="n"/>
      <c r="AG370" s="71" t="n"/>
      <c r="AH370" s="71" t="n"/>
      <c r="AI370" s="81" t="n">
        <v>227.458</v>
      </c>
      <c r="AJ370" s="82" t="n">
        <v>161.02</v>
      </c>
      <c r="AK370" s="82" t="n">
        <v>218.64</v>
      </c>
      <c r="AL370" s="82" t="n">
        <v>-18.08</v>
      </c>
      <c r="AM370" s="83" t="n">
        <v>3.29</v>
      </c>
      <c r="AN370" s="75" t="n">
        <v>24.13</v>
      </c>
      <c r="AO370" s="82" t="n">
        <v>94.58</v>
      </c>
      <c r="AP370" s="82" t="n">
        <v>89.83</v>
      </c>
      <c r="AQ370" s="82" t="n">
        <v>112.88</v>
      </c>
      <c r="AR370" s="82" t="n">
        <v>-25.45</v>
      </c>
      <c r="AS370" s="82" t="n">
        <v>-27.27</v>
      </c>
      <c r="AT370" s="82" t="n">
        <v>-18.44</v>
      </c>
      <c r="AU370" s="82" t="n">
        <v>103.84</v>
      </c>
      <c r="AV370" s="82" t="n">
        <v>102.26</v>
      </c>
      <c r="AW370" s="82" t="n">
        <v>122.87</v>
      </c>
      <c r="AX370" s="82" t="n">
        <v>-13.89</v>
      </c>
      <c r="AY370" s="82" t="n">
        <v>-12.43</v>
      </c>
      <c r="AZ370" s="82" t="n">
        <v>-13.38</v>
      </c>
      <c r="BA370" s="71" t="inlineStr">
        <is>
          <t>China Biotech ETF (HS biotech proxy)</t>
        </is>
      </c>
      <c r="BB370" s="82" t="n">
        <v>-36.37</v>
      </c>
      <c r="BC370" s="72" t="inlineStr">
        <is>
          <t>2026-09-23</t>
        </is>
      </c>
      <c r="BD370" s="73" t="n">
        <v>668.5</v>
      </c>
      <c r="BE370" s="76" t="n"/>
      <c r="BF370" s="71" t="inlineStr">
        <is>
          <t>Y</t>
        </is>
      </c>
      <c r="BG370" s="84">
        <f>IF('BBG Verify'!O370="","not filed; run on terminal",'BBG Verify'!O370)</f>
        <v/>
      </c>
      <c r="BH370" s="83" t="n"/>
      <c r="BI370" s="83" t="n"/>
      <c r="BJ370" s="83" t="n">
        <v>9.1</v>
      </c>
      <c r="BK370" s="84">
        <f>IF('BBG Verify'!S370="","not filed; run on terminal",'BBG Verify'!S370)</f>
        <v/>
      </c>
      <c r="BL370" s="85" t="inlineStr">
        <is>
          <t>N</t>
        </is>
      </c>
      <c r="BM370" s="86">
        <f>IF('BBG Verify'!K370="","not filed; run on terminal",'BBG Verify'!K370)</f>
        <v/>
      </c>
      <c r="BN370" s="71" t="inlineStr">
        <is>
          <t>N/A</t>
        </is>
      </c>
      <c r="BO370" s="71" t="inlineStr">
        <is>
          <t>N/A</t>
        </is>
      </c>
      <c r="BP370" s="71" t="inlineStr">
        <is>
          <t>N/A</t>
        </is>
      </c>
      <c r="BQ370" s="71" t="inlineStr">
        <is>
          <t>N/A</t>
        </is>
      </c>
      <c r="BR370" s="71" t="inlineStr">
        <is>
          <t>N/A</t>
        </is>
      </c>
      <c r="BS370" s="71" t="inlineStr">
        <is>
          <t>N/A</t>
        </is>
      </c>
      <c r="BT370" s="85" t="inlineStr">
        <is>
          <t>CITIC Securities (Hong Kong) Limited; CMB International Capital Limited</t>
        </is>
      </c>
      <c r="BU370" s="71" t="inlineStr">
        <is>
          <t>CITIC Securities (Hong Kong) Limited</t>
        </is>
      </c>
      <c r="BV370" s="71"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W370" s="71"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X370" s="87">
        <f>HYPERLINK("https://www1.hkexnews.hk/listedco/listconews/sehk/2025/0926/2025092600041.pdf","prospectus")</f>
        <v/>
      </c>
      <c r="BY370" s="87">
        <f>HYPERLINK("https://www1.hkexnews.hk/listedco/listconews/sehk/2025/1006/2025100601430.pdf","allotment")</f>
        <v/>
      </c>
      <c r="BZ370" s="71" t="n"/>
      <c r="CA370" s="85" t="n"/>
      <c r="CB370" s="71"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eff free float: % of cap not computable: cornerstone % unknown</t>
        </is>
      </c>
    </row>
    <row r="371" ht="15" customHeight="1">
      <c r="A371" s="70" t="inlineStr">
        <is>
          <t>2650</t>
        </is>
      </c>
      <c r="B371" s="71" t="inlineStr">
        <is>
          <t>ZHIDA TECH</t>
        </is>
      </c>
      <c r="C371" s="71" t="inlineStr">
        <is>
          <t>摯達科技</t>
        </is>
      </c>
      <c r="D371" s="71" t="inlineStr">
        <is>
          <t>Consumer</t>
        </is>
      </c>
      <c r="E371" s="71" t="inlineStr">
        <is>
          <t>Auto parts / supply chain</t>
        </is>
      </c>
      <c r="F371" s="71" t="inlineStr">
        <is>
          <t>Auto Parts &amp; Equipment</t>
        </is>
      </c>
      <c r="G371" s="71" t="inlineStr">
        <is>
          <t>Standard</t>
        </is>
      </c>
      <c r="H371" s="72" t="n">
        <v>45940</v>
      </c>
      <c r="I371" s="73" t="n">
        <v>400.12</v>
      </c>
      <c r="J371" s="71" t="inlineStr">
        <is>
          <t>gross (stated)</t>
        </is>
      </c>
      <c r="K371" s="74" t="n">
        <v>66.92</v>
      </c>
      <c r="L371" s="74" t="n">
        <v>83.63</v>
      </c>
      <c r="M371" s="74" t="n">
        <v>66.92</v>
      </c>
      <c r="N371" s="71" t="inlineStr">
        <is>
          <t>N</t>
        </is>
      </c>
      <c r="O371" s="75" t="n">
        <v>80</v>
      </c>
      <c r="P371" s="75" t="n">
        <v>0</v>
      </c>
      <c r="Q371" s="76" t="n">
        <v>4001.1</v>
      </c>
      <c r="R371" s="71" t="inlineStr">
        <is>
          <t>derived:price x shares upon listing</t>
        </is>
      </c>
      <c r="S371" s="77" t="n">
        <v>5440.8</v>
      </c>
      <c r="T371" s="78" t="n">
        <v>2.37</v>
      </c>
      <c r="U371" s="79" t="n">
        <v>0</v>
      </c>
      <c r="V371" s="80" t="n">
        <v>129</v>
      </c>
      <c r="W371" s="75" t="n">
        <v>10</v>
      </c>
      <c r="X371" s="71" t="inlineStr">
        <is>
          <t>NA</t>
        </is>
      </c>
      <c r="Y371" s="76" t="n">
        <v>400.12</v>
      </c>
      <c r="Z371" s="76" t="n">
        <v>5978900</v>
      </c>
      <c r="AA371" s="75" t="n">
        <v>10</v>
      </c>
      <c r="AB371" s="71" t="n"/>
      <c r="AC371" s="71" t="n"/>
      <c r="AD371" s="75" t="n">
        <v>11.33</v>
      </c>
      <c r="AE371" s="71" t="inlineStr">
        <is>
          <t>lapsed</t>
        </is>
      </c>
      <c r="AF371" s="71" t="inlineStr">
        <is>
          <t>2025-11-05</t>
        </is>
      </c>
      <c r="AG371" s="71" t="inlineStr">
        <is>
          <t>Shenwan Hongyuan Securities</t>
        </is>
      </c>
      <c r="AH371" s="71" t="inlineStr">
        <is>
          <t>Shenwan Hongyuan</t>
        </is>
      </c>
      <c r="AI371" s="81" t="n">
        <v>181.381</v>
      </c>
      <c r="AJ371" s="82" t="n">
        <v>192.14</v>
      </c>
      <c r="AK371" s="82" t="n">
        <v>183.92</v>
      </c>
      <c r="AL371" s="82" t="n">
        <v>2.9</v>
      </c>
      <c r="AM371" s="83" t="n">
        <v>2.61</v>
      </c>
      <c r="AN371" s="75" t="n">
        <v>13.58</v>
      </c>
      <c r="AO371" s="82" t="n">
        <v>171.22</v>
      </c>
      <c r="AP371" s="82" t="n">
        <v>167.04</v>
      </c>
      <c r="AQ371" s="82" t="n">
        <v>258.64</v>
      </c>
      <c r="AR371" s="82" t="n">
        <v>-7.16</v>
      </c>
      <c r="AS371" s="82" t="n">
        <v>-8.59</v>
      </c>
      <c r="AT371" s="82" t="n">
        <v>22.76</v>
      </c>
      <c r="AU371" s="82" t="n">
        <v>179.37</v>
      </c>
      <c r="AV371" s="82" t="n">
        <v>172.3</v>
      </c>
      <c r="AW371" s="82" t="n">
        <v>265.13</v>
      </c>
      <c r="AX371" s="82" t="n">
        <v>-5.91</v>
      </c>
      <c r="AY371" s="82" t="n">
        <v>-5.26</v>
      </c>
      <c r="AZ371" s="82" t="n">
        <v>-2.68</v>
      </c>
      <c r="BA371" s="71" t="inlineStr">
        <is>
          <t>Hang Seng Commerce &amp; Industry sub-index</t>
        </is>
      </c>
      <c r="BB371" s="82" t="n">
        <v>-19.98</v>
      </c>
      <c r="BC371" s="72" t="inlineStr">
        <is>
          <t>2026-09-23</t>
        </is>
      </c>
      <c r="BD371" s="73" t="n">
        <v>652.7</v>
      </c>
      <c r="BE371" s="76" t="n">
        <v>-259.5</v>
      </c>
      <c r="BF371" s="71" t="inlineStr">
        <is>
          <t>N</t>
        </is>
      </c>
      <c r="BG371" s="71" t="inlineStr">
        <is>
          <t>n/m</t>
        </is>
      </c>
      <c r="BH371" s="83" t="n"/>
      <c r="BI371" s="83" t="n"/>
      <c r="BJ371" s="83" t="n">
        <v>6.1</v>
      </c>
      <c r="BK371" s="84">
        <f>IF('BBG Verify'!S371="","not filed; run on terminal",'BBG Verify'!S371)</f>
        <v/>
      </c>
      <c r="BL371" s="85" t="inlineStr">
        <is>
          <t>N</t>
        </is>
      </c>
      <c r="BM371" s="86">
        <f>IF('BBG Verify'!K371="","not filed; run on terminal",'BBG Verify'!K371)</f>
        <v/>
      </c>
      <c r="BN371" s="71" t="inlineStr">
        <is>
          <t>N/A</t>
        </is>
      </c>
      <c r="BO371" s="71" t="inlineStr">
        <is>
          <t>N/A</t>
        </is>
      </c>
      <c r="BP371" s="71" t="inlineStr">
        <is>
          <t>N/A</t>
        </is>
      </c>
      <c r="BQ371" s="71" t="inlineStr">
        <is>
          <t>N/A</t>
        </is>
      </c>
      <c r="BR371" s="71" t="inlineStr">
        <is>
          <t>N/A</t>
        </is>
      </c>
      <c r="BS371" s="71" t="inlineStr">
        <is>
          <t>N/A</t>
        </is>
      </c>
      <c r="BT371" s="85" t="inlineStr">
        <is>
          <t>Shenwan Hongyuan Capital (H.K.) Limited</t>
        </is>
      </c>
      <c r="BU371" s="71" t="inlineStr">
        <is>
          <t>Shenwan Hongyuan Capital (H.K.) Limited</t>
        </is>
      </c>
      <c r="BV371" s="71" t="inlineStr">
        <is>
          <t>Shenwan Hongyuan Securities (H.K.) Limited; BOCOM International Securities Limited; First Shanghai Securities Limited; China Industrial Securities International Capital Limited; Livermore Holdings Limited; SPDB International Capital Limited</t>
        </is>
      </c>
      <c r="BW371" s="71"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X371" s="87">
        <f>HYPERLINK("https://www1.hkexnews.hk/listedco/listconews/sehk/2025/0930/2025093000033.pdf","prospectus")</f>
        <v/>
      </c>
      <c r="BY371" s="87">
        <f>HYPERLINK("https://www1.hkexnews.hk/listedco/listconews/sehk/2025/1009/2025100901252.pdf","allotment")</f>
        <v/>
      </c>
      <c r="BZ371" s="87">
        <f>HYPERLINK("https://www1.hkexnews.hk/listedco/listconews/sehk/2025/1105/2025110500584.pdf","stabilisation")</f>
        <v/>
      </c>
      <c r="CA371" s="85" t="n"/>
      <c r="CB371" s="71" t="inlineStr">
        <is>
          <t>P/E: loss-making at IPO, use P/S; market cap: prospectus 'market capitalisation' line is the listing-rule threshold, not the issuer's figure; rejected; cornerstone list: no cornerstone tranche</t>
        </is>
      </c>
    </row>
    <row r="372" ht="15" customHeight="1">
      <c r="A372" s="70" t="inlineStr">
        <is>
          <t>2575</t>
        </is>
      </c>
      <c r="B372" s="71" t="inlineStr">
        <is>
          <t>XUANZHUBIO-B</t>
        </is>
      </c>
      <c r="C372" s="71" t="inlineStr">
        <is>
          <t>軒竹生物－Ｂ</t>
        </is>
      </c>
      <c r="D372" s="71" t="inlineStr">
        <is>
          <t>Healthcare</t>
        </is>
      </c>
      <c r="E372" s="71" t="inlineStr">
        <is>
          <t>Biotech pre-revenue (18A)</t>
        </is>
      </c>
      <c r="F372" s="71" t="inlineStr">
        <is>
          <t>Biotechnology - Pharmaceuticals</t>
        </is>
      </c>
      <c r="G372" s="71" t="inlineStr">
        <is>
          <t>18A</t>
        </is>
      </c>
      <c r="H372" s="72" t="n">
        <v>45945</v>
      </c>
      <c r="I372" s="73" t="n">
        <v>781.1</v>
      </c>
      <c r="J372" s="71" t="inlineStr">
        <is>
          <t>gross (stated)</t>
        </is>
      </c>
      <c r="K372" s="74" t="n"/>
      <c r="L372" s="74" t="n">
        <v>11.6</v>
      </c>
      <c r="M372" s="74" t="n">
        <v>11.6</v>
      </c>
      <c r="N372" s="71" t="inlineStr">
        <is>
          <t>Y</t>
        </is>
      </c>
      <c r="O372" s="75" t="n">
        <v>100</v>
      </c>
      <c r="P372" s="75" t="n"/>
      <c r="Q372" s="76" t="n">
        <v>6008.2</v>
      </c>
      <c r="R372" s="71" t="inlineStr">
        <is>
          <t>derived:price x shares upon listing</t>
        </is>
      </c>
      <c r="S372" s="77" t="n">
        <v>4908.33</v>
      </c>
      <c r="T372" s="78" t="n">
        <v>10.15</v>
      </c>
      <c r="U372" s="79" t="n">
        <v>78</v>
      </c>
      <c r="V372" s="80" t="n">
        <v>105</v>
      </c>
      <c r="W372" s="75" t="n"/>
      <c r="X372" s="71" t="inlineStr">
        <is>
          <t>NA</t>
        </is>
      </c>
      <c r="Y372" s="76" t="n">
        <v>171.84</v>
      </c>
      <c r="Z372" s="76" t="n">
        <v>14813370</v>
      </c>
      <c r="AA372" s="75" t="n">
        <v>2.86</v>
      </c>
      <c r="AB372" s="71" t="inlineStr">
        <is>
          <t>Xu Yanjun; Li Jia Kui</t>
        </is>
      </c>
      <c r="AC372" s="71" t="inlineStr">
        <is>
          <t>xu-yanjun;li-jia</t>
        </is>
      </c>
      <c r="AD372" s="75" t="n">
        <v>15</v>
      </c>
      <c r="AE372" s="71" t="n"/>
      <c r="AF372" s="71" t="n"/>
      <c r="AG372" s="71" t="n"/>
      <c r="AH372" s="71" t="n"/>
      <c r="AI372" s="81" t="n">
        <v>172.414</v>
      </c>
      <c r="AJ372" s="82" t="n">
        <v>126.72</v>
      </c>
      <c r="AK372" s="82" t="n">
        <v>153.97</v>
      </c>
      <c r="AL372" s="82" t="n">
        <v>-10.73</v>
      </c>
      <c r="AM372" s="83" t="n"/>
      <c r="AN372" s="75" t="n">
        <v>15.95</v>
      </c>
      <c r="AO372" s="82" t="n">
        <v>417.24</v>
      </c>
      <c r="AP372" s="82" t="n">
        <v>451.29</v>
      </c>
      <c r="AQ372" s="82" t="n">
        <v>509.05</v>
      </c>
      <c r="AR372" s="82" t="n">
        <v>128.14</v>
      </c>
      <c r="AS372" s="82" t="n">
        <v>143.16</v>
      </c>
      <c r="AT372" s="82" t="n">
        <v>168.64</v>
      </c>
      <c r="AU372" s="82" t="n">
        <v>416.05</v>
      </c>
      <c r="AV372" s="82" t="n">
        <v>448.13</v>
      </c>
      <c r="AW372" s="82" t="n">
        <v>508.14</v>
      </c>
      <c r="AX372" s="82" t="n">
        <v>141.98</v>
      </c>
      <c r="AY372" s="82" t="n">
        <v>3.16</v>
      </c>
      <c r="AZ372" s="82" t="n">
        <v>1.18</v>
      </c>
      <c r="BA372" s="71" t="inlineStr">
        <is>
          <t>China Biotech ETF (HS biotech proxy)</t>
        </is>
      </c>
      <c r="BB372" s="82" t="n">
        <v>-25.91</v>
      </c>
      <c r="BC372" s="72" t="inlineStr">
        <is>
          <t>2026-09-23</t>
        </is>
      </c>
      <c r="BD372" s="73" t="n">
        <v>17.6</v>
      </c>
      <c r="BE372" s="76" t="n">
        <v>-612.1</v>
      </c>
      <c r="BF372" s="71" t="inlineStr">
        <is>
          <t>N</t>
        </is>
      </c>
      <c r="BG372" s="71" t="inlineStr">
        <is>
          <t>n/m</t>
        </is>
      </c>
      <c r="BH372" s="83" t="n"/>
      <c r="BI372" s="83" t="n"/>
      <c r="BJ372" s="83" t="n">
        <v>341.4</v>
      </c>
      <c r="BK372" s="84">
        <f>IF('BBG Verify'!S372="","not filed; run on terminal",'BBG Verify'!S372)</f>
        <v/>
      </c>
      <c r="BL372" s="85" t="inlineStr">
        <is>
          <t>N</t>
        </is>
      </c>
      <c r="BM372" s="86">
        <f>IF('BBG Verify'!K372="","not filed; run on terminal",'BBG Verify'!K372)</f>
        <v/>
      </c>
      <c r="BN372" s="71" t="inlineStr">
        <is>
          <t>N/A</t>
        </is>
      </c>
      <c r="BO372" s="71" t="inlineStr">
        <is>
          <t>N/A</t>
        </is>
      </c>
      <c r="BP372" s="71" t="inlineStr">
        <is>
          <t>N/A</t>
        </is>
      </c>
      <c r="BQ372" s="71" t="inlineStr">
        <is>
          <t>N/A</t>
        </is>
      </c>
      <c r="BR372" s="71" t="inlineStr">
        <is>
          <t>N/A</t>
        </is>
      </c>
      <c r="BS372" s="71" t="inlineStr">
        <is>
          <t>N/A</t>
        </is>
      </c>
      <c r="BT372" s="85" t="inlineStr">
        <is>
          <t>First Shanghai Capital Limited; CMB Wing Lung Bank Limited; China CITIC Bank International Limited; Ms. Wang Y u ( ˮρ) H Share Registrar Computershare Hong Kong Investor Services Limited</t>
        </is>
      </c>
      <c r="BU372" s="71" t="inlineStr">
        <is>
          <t>China International Capital Corporation Hong Kong Securities Limited</t>
        </is>
      </c>
      <c r="BV372" s="71" t="inlineStr">
        <is>
          <t>China International Capital Corporation Hong Kong Securities Limited; CMB International Capital Limited</t>
        </is>
      </c>
      <c r="BW372" s="71" t="inlineStr">
        <is>
          <t>China International Capital Corporation Hong Kong Securities Limited; CMB International Capital Limited</t>
        </is>
      </c>
      <c r="BX372" s="87">
        <f>HYPERLINK("https://www1.hkexnews.hk/listedco/listconews/sehk/2025/1006/2025100600007.pdf","prospectus")</f>
        <v/>
      </c>
      <c r="BY372" s="87">
        <f>HYPERLINK("https://www1.hkexnews.hk/listedco/listconews/sehk/2025/1014/2025101401222.pdf","allotment")</f>
        <v/>
      </c>
      <c r="BZ372" s="71" t="n"/>
      <c r="CA372" s="85" t="n"/>
      <c r="CB372" s="71"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73" ht="15" customHeight="1">
      <c r="A373" s="70" t="inlineStr">
        <is>
          <t>2670</t>
        </is>
      </c>
      <c r="B373" s="71" t="inlineStr">
        <is>
          <t>YUNJI</t>
        </is>
      </c>
      <c r="C373" s="71" t="inlineStr">
        <is>
          <t>雲迹</t>
        </is>
      </c>
      <c r="D373" s="71" t="inlineStr">
        <is>
          <t>Tech/AI</t>
        </is>
      </c>
      <c r="E373" s="71" t="inlineStr">
        <is>
          <t>Robotics &amp; autonomous driving</t>
        </is>
      </c>
      <c r="F373" s="71" t="inlineStr">
        <is>
          <t>Advanced hardware and software</t>
        </is>
      </c>
      <c r="G373" s="71" t="inlineStr">
        <is>
          <t>18C</t>
        </is>
      </c>
      <c r="H373" s="72" t="n">
        <v>45946</v>
      </c>
      <c r="I373" s="73" t="n">
        <v>659.6</v>
      </c>
      <c r="J373" s="71" t="inlineStr">
        <is>
          <t>gross (stated)</t>
        </is>
      </c>
      <c r="K373" s="74" t="n"/>
      <c r="L373" s="74" t="n">
        <v>95.59999999999999</v>
      </c>
      <c r="M373" s="74" t="n">
        <v>95.59999999999999</v>
      </c>
      <c r="N373" s="71" t="inlineStr">
        <is>
          <t>Y</t>
        </is>
      </c>
      <c r="O373" s="75" t="n">
        <v>100</v>
      </c>
      <c r="P373" s="75" t="n"/>
      <c r="Q373" s="76" t="n">
        <v>5886</v>
      </c>
      <c r="R373" s="71" t="inlineStr">
        <is>
          <t>prospectus:stated market capitalisation</t>
        </is>
      </c>
      <c r="S373" s="77" t="n">
        <v>5657.2</v>
      </c>
      <c r="T373" s="78" t="n">
        <v>18.62</v>
      </c>
      <c r="U373" s="79" t="n"/>
      <c r="V373" s="80" t="n">
        <v>83</v>
      </c>
      <c r="W373" s="75" t="n">
        <v>20</v>
      </c>
      <c r="X373" s="71" t="inlineStr">
        <is>
          <t>YES</t>
        </is>
      </c>
      <c r="Y373" s="76" t="n">
        <v>659.6</v>
      </c>
      <c r="Z373" s="76" t="n">
        <v>6900000</v>
      </c>
      <c r="AA373" s="75" t="n">
        <v>11.21</v>
      </c>
      <c r="AB373" s="71" t="n"/>
      <c r="AC373" s="71" t="n"/>
      <c r="AD373" s="75" t="n">
        <v>15</v>
      </c>
      <c r="AE373" s="71" t="inlineStr">
        <is>
          <t>full</t>
        </is>
      </c>
      <c r="AF373" s="71" t="inlineStr">
        <is>
          <t>2025-11-12</t>
        </is>
      </c>
      <c r="AG373" s="71" t="inlineStr">
        <is>
          <t>CLSA Limited</t>
        </is>
      </c>
      <c r="AH373" s="71" t="inlineStr">
        <is>
          <t>CLSA</t>
        </is>
      </c>
      <c r="AI373" s="81" t="n">
        <v>53.766</v>
      </c>
      <c r="AJ373" s="82" t="n">
        <v>26.05</v>
      </c>
      <c r="AK373" s="82" t="n">
        <v>49.37</v>
      </c>
      <c r="AL373" s="82" t="n">
        <v>-15.61</v>
      </c>
      <c r="AM373" s="83" t="n">
        <v>2.34</v>
      </c>
      <c r="AN373" s="75" t="n">
        <v>15.9</v>
      </c>
      <c r="AO373" s="82" t="n">
        <v>29.18</v>
      </c>
      <c r="AP373" s="82" t="n">
        <v>18.2</v>
      </c>
      <c r="AQ373" s="82" t="n">
        <v>23.74</v>
      </c>
      <c r="AR373" s="82" t="n">
        <v>2.48</v>
      </c>
      <c r="AS373" s="82" t="n">
        <v>-6.23</v>
      </c>
      <c r="AT373" s="82" t="n">
        <v>-1.83</v>
      </c>
      <c r="AU373" s="82" t="n">
        <v>31.36</v>
      </c>
      <c r="AV373" s="82" t="n">
        <v>23.4</v>
      </c>
      <c r="AW373" s="82" t="n">
        <v>29.28</v>
      </c>
      <c r="AX373" s="82" t="n">
        <v>-2.15</v>
      </c>
      <c r="AY373" s="82" t="n">
        <v>-5.2</v>
      </c>
      <c r="AZ373" s="82" t="n">
        <v>-4.08</v>
      </c>
      <c r="BA373" s="71" t="inlineStr">
        <is>
          <t>HSTECH (Hang Seng TECH ETF)</t>
        </is>
      </c>
      <c r="BB373" s="82" t="n">
        <v>-91.53</v>
      </c>
      <c r="BC373" s="72" t="inlineStr">
        <is>
          <t>2026-09-23</t>
        </is>
      </c>
      <c r="BD373" s="73" t="n">
        <v>269.3</v>
      </c>
      <c r="BE373" s="76" t="n">
        <v>-64</v>
      </c>
      <c r="BF373" s="71" t="inlineStr">
        <is>
          <t>N</t>
        </is>
      </c>
      <c r="BG373" s="71" t="inlineStr">
        <is>
          <t>n/m</t>
        </is>
      </c>
      <c r="BH373" s="83" t="n"/>
      <c r="BI373" s="83" t="n"/>
      <c r="BJ373" s="83" t="n">
        <v>21.9</v>
      </c>
      <c r="BK373" s="84">
        <f>IF('BBG Verify'!S373="","not filed; run on terminal",'BBG Verify'!S373)</f>
        <v/>
      </c>
      <c r="BL373" s="85" t="inlineStr">
        <is>
          <t>N</t>
        </is>
      </c>
      <c r="BM373" s="86">
        <f>IF('BBG Verify'!K373="","not filed; run on terminal",'BBG Verify'!K373)</f>
        <v/>
      </c>
      <c r="BN373" s="71" t="inlineStr">
        <is>
          <t>N/A</t>
        </is>
      </c>
      <c r="BO373" s="71" t="inlineStr">
        <is>
          <t>N/A</t>
        </is>
      </c>
      <c r="BP373" s="71" t="inlineStr">
        <is>
          <t>N/A</t>
        </is>
      </c>
      <c r="BQ373" s="71" t="inlineStr">
        <is>
          <t>N/A</t>
        </is>
      </c>
      <c r="BR373" s="71" t="inlineStr">
        <is>
          <t>N/A</t>
        </is>
      </c>
      <c r="BS373" s="71" t="inlineStr">
        <is>
          <t>N/A</t>
        </is>
      </c>
      <c r="BT373" s="85" t="inlineStr">
        <is>
          <t>CITIC Securities (Hong Kong) Limited; CCB International Capital Limited</t>
        </is>
      </c>
      <c r="BU373" s="71" t="inlineStr">
        <is>
          <t>CCB International Capital Limited; CITIC Securities (Hong Kong) Limited</t>
        </is>
      </c>
      <c r="BV373" s="71" t="inlineStr">
        <is>
          <t>CLSA Limited; CCB International Capital Limited; SDICS International Securities (Hong Kong) Limited; Futu Securities International (Hong Kong) Limited; Fuze Securities (International) Limited; SPDB International Capital Limited; Tiger Brokers (HK) Global Limited</t>
        </is>
      </c>
      <c r="BW373" s="71"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X373" s="87">
        <f>HYPERLINK("https://www1.hkexnews.hk/listedco/listconews/sehk/2025/1008/2025100800003.pdf","prospectus")</f>
        <v/>
      </c>
      <c r="BY373" s="87">
        <f>HYPERLINK("https://www1.hkexnews.hk/listedco/listconews/sehk/2025/1015/2025101501398.pdf","allotment")</f>
        <v/>
      </c>
      <c r="BZ373" s="87">
        <f>HYPERLINK("https://www1.hkexnews.hk/listedco/listconews/sehk/2025/1112/2025111201502.pdf","stabilisation")</f>
        <v/>
      </c>
      <c r="CA373" s="85" t="n"/>
      <c r="CB373" s="71" t="inlineStr">
        <is>
          <t>P/E: loss-making at IPO, use P/S; range low: maximum offer price only, no floor published; cornerstone list: names not extractable, see the prospectus; cornerstone %: aggregate not stated in the filing</t>
        </is>
      </c>
    </row>
    <row r="374" ht="15" customHeight="1">
      <c r="A374" s="70" t="inlineStr">
        <is>
          <t>2637</t>
        </is>
      </c>
      <c r="B374" s="71" t="inlineStr">
        <is>
          <t>HAIXI PHARMA</t>
        </is>
      </c>
      <c r="C374" s="71" t="inlineStr">
        <is>
          <t>海西新藥</t>
        </is>
      </c>
      <c r="D374" s="71" t="inlineStr">
        <is>
          <t>Healthcare</t>
        </is>
      </c>
      <c r="E374" s="71" t="inlineStr">
        <is>
          <t>Biopharma commercial</t>
        </is>
      </c>
      <c r="F374" s="71" t="inlineStr">
        <is>
          <t>Pharmaceuticals</t>
        </is>
      </c>
      <c r="G374" s="71" t="inlineStr">
        <is>
          <t>Standard</t>
        </is>
      </c>
      <c r="H374" s="72" t="n">
        <v>45950</v>
      </c>
      <c r="I374" s="73" t="n">
        <v>993.6</v>
      </c>
      <c r="J374" s="71" t="inlineStr">
        <is>
          <t>gross (stated)</t>
        </is>
      </c>
      <c r="K374" s="74" t="n">
        <v>69.88</v>
      </c>
      <c r="L374" s="74" t="n">
        <v>86.40000000000001</v>
      </c>
      <c r="M374" s="74" t="n">
        <v>86.40000000000001</v>
      </c>
      <c r="N374" s="71" t="inlineStr">
        <is>
          <t>Y</t>
        </is>
      </c>
      <c r="O374" s="75" t="n">
        <v>100</v>
      </c>
      <c r="P374" s="75" t="n">
        <v>100</v>
      </c>
      <c r="Q374" s="76" t="n">
        <v>6800.3</v>
      </c>
      <c r="R374" s="71" t="inlineStr">
        <is>
          <t>derived:price x shares upon listing</t>
        </is>
      </c>
      <c r="S374" s="77" t="n">
        <v>3165.1</v>
      </c>
      <c r="T374" s="78" t="n">
        <v>6.3</v>
      </c>
      <c r="U374" s="79" t="n">
        <v>21.79</v>
      </c>
      <c r="V374" s="80" t="n">
        <v>46</v>
      </c>
      <c r="W374" s="75" t="n">
        <v>10</v>
      </c>
      <c r="X374" s="71" t="inlineStr">
        <is>
          <t>NO</t>
        </is>
      </c>
      <c r="Y374" s="76" t="n">
        <v>777.09</v>
      </c>
      <c r="Z374" s="76" t="n">
        <v>8994150</v>
      </c>
      <c r="AA374" s="75" t="n">
        <v>11.43</v>
      </c>
      <c r="AB374" s="71" t="inlineStr">
        <is>
          <t>Huatai Capital Investment Limited; Guosen (HK) Financial Products Company Limited</t>
        </is>
      </c>
      <c r="AC374" s="71" t="inlineStr">
        <is>
          <t>huatai;guosen</t>
        </is>
      </c>
      <c r="AD374" s="75" t="n"/>
      <c r="AE374" s="71" t="n"/>
      <c r="AF374" s="71" t="n"/>
      <c r="AG374" s="71" t="n"/>
      <c r="AH374" s="71" t="n"/>
      <c r="AI374" s="81" t="n">
        <v>24.537</v>
      </c>
      <c r="AJ374" s="82" t="n">
        <v>20.6</v>
      </c>
      <c r="AK374" s="82" t="n">
        <v>18.06</v>
      </c>
      <c r="AL374" s="82" t="n">
        <v>2.15</v>
      </c>
      <c r="AM374" s="83" t="n">
        <v>2.09</v>
      </c>
      <c r="AN374" s="75" t="n">
        <v>17.45</v>
      </c>
      <c r="AO374" s="82" t="n">
        <v>30.67</v>
      </c>
      <c r="AP374" s="82" t="n">
        <v>47.57</v>
      </c>
      <c r="AQ374" s="82" t="n">
        <v>62.85</v>
      </c>
      <c r="AR374" s="82" t="n">
        <v>8.35</v>
      </c>
      <c r="AS374" s="82" t="n">
        <v>22.36</v>
      </c>
      <c r="AT374" s="82" t="n">
        <v>35.03</v>
      </c>
      <c r="AU374" s="82" t="n">
        <v>29.21</v>
      </c>
      <c r="AV374" s="82" t="n">
        <v>49.17</v>
      </c>
      <c r="AW374" s="82" t="n">
        <v>66.48</v>
      </c>
      <c r="AX374" s="82" t="n">
        <v>24.54</v>
      </c>
      <c r="AY374" s="82" t="n">
        <v>-1.6</v>
      </c>
      <c r="AZ374" s="82" t="n">
        <v>-2.18</v>
      </c>
      <c r="BA374" s="71" t="inlineStr">
        <is>
          <t>China Biotech ETF (HS biotech proxy)</t>
        </is>
      </c>
      <c r="BB374" s="82" t="n">
        <v>103.24</v>
      </c>
      <c r="BC374" s="72" t="inlineStr">
        <is>
          <t>2026-09-23</t>
        </is>
      </c>
      <c r="BD374" s="73" t="n">
        <v>513.4</v>
      </c>
      <c r="BE374" s="76" t="n">
        <v>149.7</v>
      </c>
      <c r="BF374" s="71" t="inlineStr">
        <is>
          <t>Y</t>
        </is>
      </c>
      <c r="BG374" s="83" t="n">
        <v>45.4</v>
      </c>
      <c r="BH374" s="83" t="n"/>
      <c r="BI374" s="83" t="n"/>
      <c r="BJ374" s="83" t="n">
        <v>13.2</v>
      </c>
      <c r="BK374" s="84">
        <f>IF('BBG Verify'!S374="","not filed; run on terminal",'BBG Verify'!S374)</f>
        <v/>
      </c>
      <c r="BL374" s="85" t="inlineStr">
        <is>
          <t>N</t>
        </is>
      </c>
      <c r="BM374" s="86">
        <f>IF('BBG Verify'!K374="","not filed; run on terminal",'BBG Verify'!K374)</f>
        <v/>
      </c>
      <c r="BN374" s="71" t="inlineStr">
        <is>
          <t>N/A</t>
        </is>
      </c>
      <c r="BO374" s="71" t="inlineStr">
        <is>
          <t>N/A</t>
        </is>
      </c>
      <c r="BP374" s="71" t="inlineStr">
        <is>
          <t>N/A</t>
        </is>
      </c>
      <c r="BQ374" s="71" t="inlineStr">
        <is>
          <t>N/A</t>
        </is>
      </c>
      <c r="BR374" s="71" t="inlineStr">
        <is>
          <t>N/A</t>
        </is>
      </c>
      <c r="BS374" s="71" t="inlineStr">
        <is>
          <t>N/A</t>
        </is>
      </c>
      <c r="BT374" s="85" t="inlineStr">
        <is>
          <t>Huatai Financial Holdings (Hong Kong) Limited; CMB International Capital Limited</t>
        </is>
      </c>
      <c r="BU374" s="71" t="inlineStr">
        <is>
          <t>Huatai Financial Holdings (Hong Kong) Limited; CMB International Capital Limited</t>
        </is>
      </c>
      <c r="BV374" s="71"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W374" s="71"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X374" s="87">
        <f>HYPERLINK("https://www1.hkexnews.hk/listedco/listconews/sehk/2025/1009/2025100900041.pdf","prospectus")</f>
        <v/>
      </c>
      <c r="BY374" s="87">
        <f>HYPERLINK("https://www1.hkexnews.hk/listedco/listconews/sehk/2025/1017/2025101701654.pdf","allotment")</f>
        <v/>
      </c>
      <c r="BZ374" s="71" t="n"/>
      <c r="CA374" s="85" t="n"/>
      <c r="CB374" s="71" t="inlineStr">
        <is>
          <t>greenshoe: no over-allotment option; greenshoe size: no over-allotment option; stabilising manager: no over-allotment option, so none appointed</t>
        </is>
      </c>
    </row>
    <row r="375" ht="15" customHeight="1">
      <c r="A375" s="70" t="inlineStr">
        <is>
          <t>6687</t>
        </is>
      </c>
      <c r="B375" s="71" t="inlineStr">
        <is>
          <t>JST GROUP</t>
        </is>
      </c>
      <c r="C375" s="71" t="inlineStr">
        <is>
          <t>聚水潭</t>
        </is>
      </c>
      <c r="D375" s="71" t="inlineStr">
        <is>
          <t>Tech/AI</t>
        </is>
      </c>
      <c r="E375" s="71" t="inlineStr">
        <is>
          <t>SaaS / enterprise software</t>
        </is>
      </c>
      <c r="F375" s="71" t="inlineStr">
        <is>
          <t>Application Software</t>
        </is>
      </c>
      <c r="G375" s="71" t="inlineStr">
        <is>
          <t>Standard</t>
        </is>
      </c>
      <c r="H375" s="72" t="n">
        <v>45951</v>
      </c>
      <c r="I375" s="73" t="n">
        <v>2085.89</v>
      </c>
      <c r="J375" s="71" t="inlineStr">
        <is>
          <t>gross (stated)</t>
        </is>
      </c>
      <c r="K375" s="74" t="n"/>
      <c r="L375" s="74" t="n">
        <v>30.6</v>
      </c>
      <c r="M375" s="74" t="n">
        <v>30.6</v>
      </c>
      <c r="N375" s="71" t="inlineStr">
        <is>
          <t>Y</t>
        </is>
      </c>
      <c r="O375" s="75" t="n">
        <v>100</v>
      </c>
      <c r="P375" s="75" t="n"/>
      <c r="Q375" s="76" t="n">
        <v>13000</v>
      </c>
      <c r="R375" s="71" t="inlineStr">
        <is>
          <t>prospectus:stated market capitalisation</t>
        </is>
      </c>
      <c r="S375" s="77" t="n">
        <v>1952.95</v>
      </c>
      <c r="T375" s="78" t="n">
        <v>22.89</v>
      </c>
      <c r="U375" s="79" t="n">
        <v>48.5</v>
      </c>
      <c r="V375" s="80" t="n">
        <v>632</v>
      </c>
      <c r="W375" s="75" t="n">
        <v>10</v>
      </c>
      <c r="X375" s="71" t="inlineStr">
        <is>
          <t>NA</t>
        </is>
      </c>
      <c r="Y375" s="76" t="n">
        <v>1074.23</v>
      </c>
      <c r="Z375" s="76" t="n">
        <v>35105593</v>
      </c>
      <c r="AA375" s="75" t="n">
        <v>8.26</v>
      </c>
      <c r="AB375" s="71" t="inlineStr">
        <is>
          <t>Stoneylake Global Alpha Fund; Blue Lake Capital Opportunity Fund; Zhou Keting; CUAM Entities; Fourier Capital; GTCS Holdings; Jain Global Master Fund Ltd; Perseverance Asset Management; WT Asset Management Limited</t>
        </is>
      </c>
      <c r="AC375" s="71" t="inlineStr">
        <is>
          <t>stoneylake;blue;zhou-keting;cuam;fourier;gtcs;jain;perseverance;wt</t>
        </is>
      </c>
      <c r="AD375" s="75" t="n">
        <v>15</v>
      </c>
      <c r="AE375" s="71" t="inlineStr">
        <is>
          <t>full</t>
        </is>
      </c>
      <c r="AF375" s="71" t="n"/>
      <c r="AG375" s="71" t="inlineStr">
        <is>
          <t>China International Capital Corporation Hong Kong Securities Limited</t>
        </is>
      </c>
      <c r="AH375" s="71" t="inlineStr">
        <is>
          <t>China International</t>
        </is>
      </c>
      <c r="AI375" s="81" t="n">
        <v>37.255</v>
      </c>
      <c r="AJ375" s="82" t="n">
        <v>23.86</v>
      </c>
      <c r="AK375" s="82" t="n">
        <v>24.18</v>
      </c>
      <c r="AL375" s="82" t="n">
        <v>-0.26</v>
      </c>
      <c r="AM375" s="83" t="n">
        <v>5.5</v>
      </c>
      <c r="AN375" s="75" t="n">
        <v>14.42</v>
      </c>
      <c r="AO375" s="82" t="n">
        <v>8.5</v>
      </c>
      <c r="AP375" s="82" t="n">
        <v>-15.1</v>
      </c>
      <c r="AQ375" s="82" t="n">
        <v>-6.27</v>
      </c>
      <c r="AR375" s="82" t="n">
        <v>-12.4</v>
      </c>
      <c r="AS375" s="82" t="n">
        <v>-31.45</v>
      </c>
      <c r="AT375" s="82" t="n">
        <v>-24.33</v>
      </c>
      <c r="AU375" s="82" t="n">
        <v>6.01</v>
      </c>
      <c r="AV375" s="82" t="n">
        <v>-9.17</v>
      </c>
      <c r="AW375" s="82" t="n">
        <v>-3.26</v>
      </c>
      <c r="AX375" s="82" t="n">
        <v>-24.32</v>
      </c>
      <c r="AY375" s="82" t="n">
        <v>-5.93</v>
      </c>
      <c r="AZ375" s="82" t="n">
        <v>-7.13</v>
      </c>
      <c r="BA375" s="71" t="inlineStr">
        <is>
          <t>HSTECH (Hang Seng TECH ETF)</t>
        </is>
      </c>
      <c r="BB375" s="82" t="n">
        <v>-58.66</v>
      </c>
      <c r="BC375" s="72" t="inlineStr">
        <is>
          <t>2026-09-23</t>
        </is>
      </c>
      <c r="BD375" s="73" t="n">
        <v>1000.7</v>
      </c>
      <c r="BE375" s="76" t="n"/>
      <c r="BF375" s="71" t="inlineStr">
        <is>
          <t>Y</t>
        </is>
      </c>
      <c r="BG375" s="84">
        <f>IF('BBG Verify'!O375="","not filed; run on terminal",'BBG Verify'!O375)</f>
        <v/>
      </c>
      <c r="BH375" s="83" t="n"/>
      <c r="BI375" s="83" t="n"/>
      <c r="BJ375" s="83" t="n">
        <v>13</v>
      </c>
      <c r="BK375" s="84">
        <f>IF('BBG Verify'!S375="","not filed; run on terminal",'BBG Verify'!S375)</f>
        <v/>
      </c>
      <c r="BL375" s="85" t="inlineStr">
        <is>
          <t>N</t>
        </is>
      </c>
      <c r="BM375" s="86">
        <f>IF('BBG Verify'!K375="","not filed; run on terminal",'BBG Verify'!K375)</f>
        <v/>
      </c>
      <c r="BN375" s="71" t="inlineStr">
        <is>
          <t>N/A</t>
        </is>
      </c>
      <c r="BO375" s="71" t="inlineStr">
        <is>
          <t>N/A</t>
        </is>
      </c>
      <c r="BP375" s="71" t="inlineStr">
        <is>
          <t>N/A</t>
        </is>
      </c>
      <c r="BQ375" s="71" t="inlineStr">
        <is>
          <t>N/A</t>
        </is>
      </c>
      <c r="BR375" s="71" t="inlineStr">
        <is>
          <t>N/A</t>
        </is>
      </c>
      <c r="BS375" s="71" t="inlineStr">
        <is>
          <t>N/A</t>
        </is>
      </c>
      <c r="BT375" s="85" t="inlineStr">
        <is>
          <t>China International Capital Corporation Hong Kong Securities Limited; J.P. Morgan Securities (Far East) Limited</t>
        </is>
      </c>
      <c r="BU375" s="71" t="inlineStr">
        <is>
          <t>China International Capital Corporation Hong Kong Securities Limited; J.P. Morgan Securities (Far East) Limited</t>
        </is>
      </c>
      <c r="BV375" s="71" t="inlineStr">
        <is>
          <t>China International Capital Corporation Hong Kong Securities Limited; J.P. Morgan Securities (Asia Pacific) Limited</t>
        </is>
      </c>
      <c r="BW375" s="71" t="inlineStr">
        <is>
          <t>China International Capital Corporation Hong Kong Securities Limited; Futu Securities International (Hong Kong) Limited; J.P. Morgan Securities (Asia Pacific) Limited</t>
        </is>
      </c>
      <c r="BX375" s="87">
        <f>HYPERLINK("https://www1.hkexnews.hk/listedco/listconews/sehk/2025/1013/2025101300005.pdf","prospectus")</f>
        <v/>
      </c>
      <c r="BY375" s="87">
        <f>HYPERLINK("https://www1.hkexnews.hk/listedco/listconews/sehk/2025/1020/2025102001624.pdf","allotment")</f>
        <v/>
      </c>
      <c r="BZ375" s="87">
        <f>HYPERLINK("https://www1.hkexnews.hk/listedco/listconews/sehk/2025/1116/2025111600017.pdf","stabilisation")</f>
        <v/>
      </c>
      <c r="CA375" s="85" t="n"/>
      <c r="CB375" s="71"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70" t="inlineStr">
        <is>
          <t>0638</t>
        </is>
      </c>
      <c r="B376" s="71" t="inlineStr">
        <is>
          <t>FIBOCOM</t>
        </is>
      </c>
      <c r="C376" s="71" t="inlineStr">
        <is>
          <t>廣和通</t>
        </is>
      </c>
      <c r="D376" s="71" t="inlineStr">
        <is>
          <t>Tech/AI</t>
        </is>
      </c>
      <c r="E376" s="71" t="inlineStr">
        <is>
          <t>Smart hardware / consumer electronics</t>
        </is>
      </c>
      <c r="F376" s="71" t="inlineStr">
        <is>
          <t>Telecommunication Services</t>
        </is>
      </c>
      <c r="G376" s="71" t="inlineStr">
        <is>
          <t>Standard</t>
        </is>
      </c>
      <c r="H376" s="72" t="n">
        <v>45952</v>
      </c>
      <c r="I376" s="73" t="n">
        <v>2904.2</v>
      </c>
      <c r="J376" s="71" t="inlineStr">
        <is>
          <t>gross (stated)</t>
        </is>
      </c>
      <c r="K376" s="74" t="n"/>
      <c r="L376" s="74" t="n">
        <v>21.5</v>
      </c>
      <c r="M376" s="74" t="n">
        <v>21.5</v>
      </c>
      <c r="N376" s="71" t="inlineStr">
        <is>
          <t>Y</t>
        </is>
      </c>
      <c r="O376" s="75" t="n">
        <v>100</v>
      </c>
      <c r="P376" s="75" t="n"/>
      <c r="Q376" s="76" t="n">
        <v>18632</v>
      </c>
      <c r="R376" s="71" t="inlineStr">
        <is>
          <t>aastocks:上市市值 at the struck price</t>
        </is>
      </c>
      <c r="S376" s="77" t="n">
        <v>550.99</v>
      </c>
      <c r="T376" s="78" t="n">
        <v>9.16</v>
      </c>
      <c r="U376" s="79" t="n">
        <v>43.04</v>
      </c>
      <c r="V376" s="80" t="n">
        <v>118</v>
      </c>
      <c r="W376" s="75" t="n">
        <v>10</v>
      </c>
      <c r="X376" s="71" t="inlineStr">
        <is>
          <t>NA</t>
        </is>
      </c>
      <c r="Y376" s="76" t="n">
        <v>1654.23</v>
      </c>
      <c r="Z376" s="76" t="n">
        <v>76941682</v>
      </c>
      <c r="AA376" s="75" t="n">
        <v>8.880000000000001</v>
      </c>
      <c r="AB376" s="71" t="inlineStr">
        <is>
          <t>Qindao Gantong; Pacific Asset Management Co., Limited; CPIC; GF Fund Management Co., Ltd; GF International; Ruihua Investment; Genimous Investment; Mr. Zhang Xiaolei; GTINV; Dreamee HK Fund</t>
        </is>
      </c>
      <c r="AC376" s="71" t="inlineStr">
        <is>
          <t>qindao;pacific-asset;cpic;gf;ruihua;genimous;mr-zhang;gtinv;dreamee</t>
        </is>
      </c>
      <c r="AD376" s="75" t="n">
        <v>15</v>
      </c>
      <c r="AE376" s="71" t="n"/>
      <c r="AF376" s="71" t="inlineStr">
        <is>
          <t>2025-11-16</t>
        </is>
      </c>
      <c r="AG376" s="71" t="n"/>
      <c r="AH376" s="71" t="n"/>
      <c r="AI376" s="81" t="n">
        <v>0</v>
      </c>
      <c r="AJ376" s="82" t="n">
        <v>-11.72</v>
      </c>
      <c r="AK376" s="82" t="n">
        <v>0</v>
      </c>
      <c r="AL376" s="82" t="n">
        <v>-11.72</v>
      </c>
      <c r="AM376" s="83" t="n">
        <v>2.35</v>
      </c>
      <c r="AN376" s="75" t="n">
        <v>12.6</v>
      </c>
      <c r="AO376" s="82" t="n">
        <v>-10.23</v>
      </c>
      <c r="AP376" s="82" t="n">
        <v>-27.91</v>
      </c>
      <c r="AQ376" s="82" t="n">
        <v>-24.88</v>
      </c>
      <c r="AR376" s="82" t="n">
        <v>1.69</v>
      </c>
      <c r="AS376" s="82" t="n">
        <v>-18.34</v>
      </c>
      <c r="AT376" s="82" t="n">
        <v>-14.91</v>
      </c>
      <c r="AU376" s="82" t="n">
        <v>-10.99</v>
      </c>
      <c r="AV376" s="82" t="n">
        <v>-17.38</v>
      </c>
      <c r="AW376" s="82" t="n">
        <v>-21.14</v>
      </c>
      <c r="AX376" s="82" t="n">
        <v>-9.039999999999999</v>
      </c>
      <c r="AY376" s="82" t="n">
        <v>-10.53</v>
      </c>
      <c r="AZ376" s="82" t="n">
        <v>-9.300000000000001</v>
      </c>
      <c r="BA376" s="71" t="inlineStr">
        <is>
          <t>HSTECH (Hang Seng TECH ETF)</t>
        </is>
      </c>
      <c r="BB376" s="82" t="n">
        <v>-65.05</v>
      </c>
      <c r="BC376" s="72" t="inlineStr">
        <is>
          <t>2026-09-23</t>
        </is>
      </c>
      <c r="BD376" s="73" t="n">
        <v>9007.700000000001</v>
      </c>
      <c r="BE376" s="76" t="n">
        <v>734.8</v>
      </c>
      <c r="BF376" s="71" t="inlineStr">
        <is>
          <t>Y</t>
        </is>
      </c>
      <c r="BG376" s="83" t="n">
        <v>25.4</v>
      </c>
      <c r="BH376" s="83" t="n"/>
      <c r="BI376" s="83" t="n"/>
      <c r="BJ376" s="83" t="n">
        <v>2.1</v>
      </c>
      <c r="BK376" s="84">
        <f>IF('BBG Verify'!S376="","not filed; run on terminal",'BBG Verify'!S376)</f>
        <v/>
      </c>
      <c r="BL376" s="85" t="inlineStr">
        <is>
          <t>Y</t>
        </is>
      </c>
      <c r="BM376" s="71" t="inlineStr">
        <is>
          <t>300638.SZ</t>
        </is>
      </c>
      <c r="BN376" s="82" t="n">
        <v>51.88</v>
      </c>
      <c r="BO376" s="74" t="n">
        <v>32.6548</v>
      </c>
      <c r="BP376" s="89" t="n">
        <v>2.1716</v>
      </c>
      <c r="BQ376" s="76" t="n">
        <v>21406.2</v>
      </c>
      <c r="BR376" s="84">
        <f>IF('BBG Verify'!Q376="","run on terminal",'BBG Verify'!Q376)</f>
        <v/>
      </c>
      <c r="BS376" s="84">
        <f>IF('BBG Verify'!R376="","run on terminal",'BBG Verify'!R376)</f>
        <v/>
      </c>
      <c r="BT376" s="85" t="n"/>
      <c r="BU376" s="71" t="inlineStr">
        <is>
          <t>CITIC Securities (Hong Kong) Limited</t>
        </is>
      </c>
      <c r="BV376" s="71" t="inlineStr">
        <is>
          <t>ABCI Securities Company Limited; CLSA Limited; CMB International Capital Limited; China Sunrise Securities (International) Limited; Futu Securities International (Hong Kong) Limited; SDICS International Securities (Hong Kong) Limited</t>
        </is>
      </c>
      <c r="BW376" s="71" t="inlineStr">
        <is>
          <t>ABCI Securities Company Limited; CLSA Limited; CMB International Capital Limited; China Sunrise Securities (International) Limited; Futu Securities International (Hong Kong) Limited; SDICS International Securities (Hong Kong) Limited</t>
        </is>
      </c>
      <c r="BX376" s="71" t="n"/>
      <c r="BY376" s="87">
        <f>HYPERLINK("https://www1.hkexnews.hk/listedco/listconews/sehk/2025/1021/2025102101036.pdf","allotment")</f>
        <v/>
      </c>
      <c r="BZ376" s="71" t="n"/>
      <c r="CA376" s="85" t="n"/>
      <c r="CB376" s="71"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70" t="inlineStr">
        <is>
          <t>1384</t>
        </is>
      </c>
      <c r="B377" s="71" t="inlineStr">
        <is>
          <t>DEEPEXI TECH</t>
        </is>
      </c>
      <c r="C377" s="71" t="inlineStr">
        <is>
          <t>滴普科技</t>
        </is>
      </c>
      <c r="D377" s="71" t="inlineStr">
        <is>
          <t>Tech/AI</t>
        </is>
      </c>
      <c r="E377" s="71" t="inlineStr">
        <is>
          <t>AI application / agent software</t>
        </is>
      </c>
      <c r="F377" s="71" t="inlineStr">
        <is>
          <t>Advanced hardware and software</t>
        </is>
      </c>
      <c r="G377" s="71" t="inlineStr">
        <is>
          <t>18C</t>
        </is>
      </c>
      <c r="H377" s="72" t="n">
        <v>45958</v>
      </c>
      <c r="I377" s="73" t="n">
        <v>710.01</v>
      </c>
      <c r="J377" s="71" t="inlineStr">
        <is>
          <t>gross (stated)</t>
        </is>
      </c>
      <c r="K377" s="74" t="n"/>
      <c r="L377" s="74" t="n">
        <v>26.66</v>
      </c>
      <c r="M377" s="74" t="n">
        <v>26.66</v>
      </c>
      <c r="N377" s="71" t="inlineStr">
        <is>
          <t>Y</t>
        </is>
      </c>
      <c r="O377" s="75" t="n">
        <v>100</v>
      </c>
      <c r="P377" s="75" t="n"/>
      <c r="Q377" s="76" t="n">
        <v>8708</v>
      </c>
      <c r="R377" s="71" t="inlineStr">
        <is>
          <t>derived:price x shares upon listing</t>
        </is>
      </c>
      <c r="S377" s="77" t="n">
        <v>7569.83</v>
      </c>
      <c r="T377" s="78" t="n">
        <v>16.61</v>
      </c>
      <c r="U377" s="79" t="n">
        <v>0</v>
      </c>
      <c r="V377" s="80" t="n">
        <v>159</v>
      </c>
      <c r="W377" s="75" t="n">
        <v>20</v>
      </c>
      <c r="X377" s="71" t="inlineStr">
        <is>
          <t>YES</t>
        </is>
      </c>
      <c r="Y377" s="76" t="n">
        <v>710.01</v>
      </c>
      <c r="Z377" s="76" t="n">
        <v>26632000</v>
      </c>
      <c r="AA377" s="75" t="n">
        <v>8.15</v>
      </c>
      <c r="AB377" s="71" t="n"/>
      <c r="AC377" s="71" t="n"/>
      <c r="AD377" s="75" t="n"/>
      <c r="AE377" s="71" t="n"/>
      <c r="AF377" s="71" t="n"/>
      <c r="AG377" s="71" t="n"/>
      <c r="AH377" s="71" t="n"/>
      <c r="AI377" s="81" t="n">
        <v>94.67400000000001</v>
      </c>
      <c r="AJ377" s="82" t="n">
        <v>150.56</v>
      </c>
      <c r="AK377" s="82" t="n">
        <v>111.93</v>
      </c>
      <c r="AL377" s="82" t="n">
        <v>18.23</v>
      </c>
      <c r="AM377" s="83" t="n">
        <v>2.2</v>
      </c>
      <c r="AN377" s="75" t="n">
        <v>28.85</v>
      </c>
      <c r="AO377" s="82" t="n">
        <v>278.84</v>
      </c>
      <c r="AP377" s="82" t="n">
        <v>169.5</v>
      </c>
      <c r="AQ377" s="82" t="n">
        <v>205.51</v>
      </c>
      <c r="AR377" s="82" t="n">
        <v>51.2</v>
      </c>
      <c r="AS377" s="82" t="n">
        <v>7.56</v>
      </c>
      <c r="AT377" s="82" t="n">
        <v>21.93</v>
      </c>
      <c r="AU377" s="82" t="n">
        <v>285.12</v>
      </c>
      <c r="AV377" s="82" t="n">
        <v>178.84</v>
      </c>
      <c r="AW377" s="82" t="n">
        <v>211.13</v>
      </c>
      <c r="AX377" s="82" t="n">
        <v>15.53</v>
      </c>
      <c r="AY377" s="82" t="n">
        <v>-9.34</v>
      </c>
      <c r="AZ377" s="82" t="n">
        <v>-7.97</v>
      </c>
      <c r="BA377" s="71" t="inlineStr">
        <is>
          <t>HSTECH (Hang Seng TECH ETF)</t>
        </is>
      </c>
      <c r="BB377" s="82" t="n">
        <v>9.380000000000001</v>
      </c>
      <c r="BC377" s="72" t="inlineStr">
        <is>
          <t>2026-09-23</t>
        </is>
      </c>
      <c r="BD377" s="73" t="n">
        <v>267.2</v>
      </c>
      <c r="BE377" s="76" t="n">
        <v>-1380.5</v>
      </c>
      <c r="BF377" s="71" t="inlineStr">
        <is>
          <t>N</t>
        </is>
      </c>
      <c r="BG377" s="71" t="inlineStr">
        <is>
          <t>n/m</t>
        </is>
      </c>
      <c r="BH377" s="83" t="n"/>
      <c r="BI377" s="83" t="n"/>
      <c r="BJ377" s="83" t="n">
        <v>32.6</v>
      </c>
      <c r="BK377" s="84">
        <f>IF('BBG Verify'!S377="","not filed; run on terminal",'BBG Verify'!S377)</f>
        <v/>
      </c>
      <c r="BL377" s="85" t="inlineStr">
        <is>
          <t>N</t>
        </is>
      </c>
      <c r="BM377" s="86">
        <f>IF('BBG Verify'!K377="","not filed; run on terminal",'BBG Verify'!K377)</f>
        <v/>
      </c>
      <c r="BN377" s="71" t="inlineStr">
        <is>
          <t>N/A</t>
        </is>
      </c>
      <c r="BO377" s="71" t="inlineStr">
        <is>
          <t>N/A</t>
        </is>
      </c>
      <c r="BP377" s="71" t="inlineStr">
        <is>
          <t>N/A</t>
        </is>
      </c>
      <c r="BQ377" s="71" t="inlineStr">
        <is>
          <t>N/A</t>
        </is>
      </c>
      <c r="BR377" s="71" t="inlineStr">
        <is>
          <t>N/A</t>
        </is>
      </c>
      <c r="BS377" s="71" t="inlineStr">
        <is>
          <t>N/A</t>
        </is>
      </c>
      <c r="BT377" s="85" t="inlineStr">
        <is>
          <t>CITIC Securities (Hong Kong) Limited; CMBC International Capital Limited; Guotai Junan Capital Limited; SPDB International Capital Limited; BOCOM International (Asia) Limited</t>
        </is>
      </c>
      <c r="BU377" s="71" t="inlineStr">
        <is>
          <t>CITIC Securities (Hong Kong) Limited; BOCOM International (Asia) Limited; Guotai Junan Capital Limited; CMBC International Capital Limited; SPDB International Capital Limited</t>
        </is>
      </c>
      <c r="BV377" s="71" t="inlineStr">
        <is>
          <t>BOCOM International Securities Limited; CLSA Limited; CMBC Securities Company Limited; Guotai Junan Securities (Hong Kong) Limited; Livermore Holdings Limited; SPDB International Capital Limited</t>
        </is>
      </c>
      <c r="BW377" s="71" t="inlineStr">
        <is>
          <t>BOCOM International Securities Limited; CLSA Limited; CMBC Securities Company Limited; Guotai Junan Securities (Hong Kong) Limited; Livermore Holdings Limited; SPDB International Capital Limited; Yellow River Securities Limited</t>
        </is>
      </c>
      <c r="BX377" s="87">
        <f>HYPERLINK("https://www1.hkexnews.hk/listedco/listconews/sehk/2025/1020/2025102000015.pdf","prospectus")</f>
        <v/>
      </c>
      <c r="BY377" s="87">
        <f>HYPERLINK("https://www1.hkexnews.hk/listedco/listconews/sehk/2025/1027/2025102701434.pdf","allotment")</f>
        <v/>
      </c>
      <c r="BZ377" s="71" t="n"/>
      <c r="CA377" s="85" t="n"/>
      <c r="CB377" s="71" t="inlineStr">
        <is>
          <t>P/E: loss-making at IPO, use P/S; greenshoe: no over-allotment option; range low: maximum offer price only, no floor published; cornerstone list: no cornerstone tranche; greenshoe size: no over-allotment option; stabilising manager: no over-allotment option, so none appointed</t>
        </is>
      </c>
    </row>
    <row r="378" ht="15" customHeight="1">
      <c r="A378" s="70" t="inlineStr">
        <is>
          <t>6031</t>
        </is>
      </c>
      <c r="B378" s="71" t="inlineStr">
        <is>
          <t>SANY HEAVY IND</t>
        </is>
      </c>
      <c r="C378" s="71" t="inlineStr">
        <is>
          <t>三一重工</t>
        </is>
      </c>
      <c r="D378" s="71" t="inlineStr">
        <is>
          <t>Industrials</t>
        </is>
      </c>
      <c r="E378" s="71" t="inlineStr">
        <is>
          <t>Capital goods / machinery</t>
        </is>
      </c>
      <c r="F378" s="71" t="inlineStr">
        <is>
          <t>Heavy Electrical Equipment</t>
        </is>
      </c>
      <c r="G378" s="71" t="inlineStr">
        <is>
          <t>Standard</t>
        </is>
      </c>
      <c r="H378" s="72" t="n">
        <v>45958</v>
      </c>
      <c r="I378" s="73" t="n">
        <v>13453.1</v>
      </c>
      <c r="J378" s="71" t="inlineStr">
        <is>
          <t>gross (stated)</t>
        </is>
      </c>
      <c r="K378" s="74" t="n"/>
      <c r="L378" s="74" t="n">
        <v>21.3</v>
      </c>
      <c r="M378" s="74" t="n">
        <v>21.3</v>
      </c>
      <c r="N378" s="71" t="inlineStr">
        <is>
          <t>Y</t>
        </is>
      </c>
      <c r="O378" s="75" t="n">
        <v>100</v>
      </c>
      <c r="P378" s="75" t="n"/>
      <c r="Q378" s="76" t="n">
        <v>184289</v>
      </c>
      <c r="R378" s="71" t="inlineStr">
        <is>
          <t>derived:deal size / offer % of enlarged capital</t>
        </is>
      </c>
      <c r="S378" s="77" t="n">
        <v>52.93</v>
      </c>
      <c r="T378" s="78" t="n">
        <v>13.96</v>
      </c>
      <c r="U378" s="79" t="n">
        <v>43.8</v>
      </c>
      <c r="V378" s="80" t="n">
        <v>270</v>
      </c>
      <c r="W378" s="75" t="n">
        <v>9.19</v>
      </c>
      <c r="X378" s="71" t="inlineStr">
        <is>
          <t>NA</t>
        </is>
      </c>
      <c r="Y378" s="76" t="n">
        <v>7560.64</v>
      </c>
      <c r="Z378" s="76" t="n">
        <v>354958526</v>
      </c>
      <c r="AA378" s="75" t="n">
        <v>4.1</v>
      </c>
      <c r="AB378" s="71" t="inlineStr">
        <is>
          <t>Temasek; Hillhouse (HHLR); BlackRock, Inc; UBS Asset Management; Infore Capital; Oaktree Capital; Jane Street; Weichai Power</t>
        </is>
      </c>
      <c r="AC378" s="71" t="inlineStr">
        <is>
          <t>temasek;hillhouse;blackrock;ubs;infore;oaktree;jane;weichai</t>
        </is>
      </c>
      <c r="AD378" s="75" t="n">
        <v>15</v>
      </c>
      <c r="AE378" s="71" t="inlineStr">
        <is>
          <t>partial</t>
        </is>
      </c>
      <c r="AF378" s="71" t="inlineStr">
        <is>
          <t>2025-11-22</t>
        </is>
      </c>
      <c r="AG378" s="71" t="inlineStr">
        <is>
          <t>CLSA Limited</t>
        </is>
      </c>
      <c r="AH378" s="71" t="inlineStr">
        <is>
          <t>CLSA</t>
        </is>
      </c>
      <c r="AI378" s="81" t="n">
        <v>-2.535</v>
      </c>
      <c r="AJ378" s="82" t="n">
        <v>2.82</v>
      </c>
      <c r="AK378" s="82" t="n">
        <v>0</v>
      </c>
      <c r="AL378" s="82" t="n">
        <v>2.82</v>
      </c>
      <c r="AM378" s="83" t="n">
        <v>2.38</v>
      </c>
      <c r="AN378" s="75" t="n">
        <v>4.69</v>
      </c>
      <c r="AO378" s="82" t="n">
        <v>6.67</v>
      </c>
      <c r="AP378" s="82" t="n">
        <v>0.19</v>
      </c>
      <c r="AQ378" s="82" t="n">
        <v>18.78</v>
      </c>
      <c r="AR378" s="82" t="n">
        <v>3.74</v>
      </c>
      <c r="AS378" s="82" t="n">
        <v>-2.56</v>
      </c>
      <c r="AT378" s="82" t="n">
        <v>15.52</v>
      </c>
      <c r="AU378" s="82" t="n">
        <v>11.46</v>
      </c>
      <c r="AV378" s="82" t="n">
        <v>6.17</v>
      </c>
      <c r="AW378" s="82" t="n">
        <v>19.75</v>
      </c>
      <c r="AX378" s="82" t="n">
        <v>2.09</v>
      </c>
      <c r="AY378" s="82" t="n">
        <v>-5.98</v>
      </c>
      <c r="AZ378" s="82" t="n">
        <v>-4.65</v>
      </c>
      <c r="BA378" s="71" t="inlineStr">
        <is>
          <t>Hang Seng Commerce &amp; Industry sub-index</t>
        </is>
      </c>
      <c r="BB378" s="82" t="n">
        <v>-19.2</v>
      </c>
      <c r="BC378" s="72" t="inlineStr">
        <is>
          <t>2026-09-23</t>
        </is>
      </c>
      <c r="BD378" s="73" t="n">
        <v>86221.7</v>
      </c>
      <c r="BE378" s="76" t="n">
        <v>6701.8</v>
      </c>
      <c r="BF378" s="71" t="inlineStr">
        <is>
          <t>Y</t>
        </is>
      </c>
      <c r="BG378" s="83" t="n">
        <v>27.5</v>
      </c>
      <c r="BH378" s="83" t="n">
        <v>22.3</v>
      </c>
      <c r="BI378" s="83" t="n">
        <v>16.3</v>
      </c>
      <c r="BJ378" s="83" t="n">
        <v>2.1</v>
      </c>
      <c r="BK378" s="84">
        <f>IF('BBG Verify'!S378="","not filed; run on terminal",'BBG Verify'!S378)</f>
        <v/>
      </c>
      <c r="BL378" s="85" t="inlineStr">
        <is>
          <t>Y</t>
        </is>
      </c>
      <c r="BM378" s="71" t="inlineStr">
        <is>
          <t>600031.SS</t>
        </is>
      </c>
      <c r="BN378" s="82" t="n">
        <v>15.4</v>
      </c>
      <c r="BO378" s="74" t="n">
        <v>24.5793</v>
      </c>
      <c r="BP378" s="89" t="n">
        <v>0.1648</v>
      </c>
      <c r="BQ378" s="76" t="n">
        <v>191436.6</v>
      </c>
      <c r="BR378" s="84">
        <f>IF('BBG Verify'!Q378="","run on terminal",'BBG Verify'!Q378)</f>
        <v/>
      </c>
      <c r="BS378" s="84">
        <f>IF('BBG Verify'!R378="","run on terminal",'BBG Verify'!R378)</f>
        <v/>
      </c>
      <c r="BT378" s="85" t="inlineStr">
        <is>
          <t>CITIC Securities (Hong Kong) Limited</t>
        </is>
      </c>
      <c r="BU378" s="71" t="inlineStr">
        <is>
          <t>CITIC Securities (Hong Kong) Limited</t>
        </is>
      </c>
      <c r="BV378" s="71" t="inlineStr">
        <is>
          <t>CLSA Limited; China International Capital Corporation Hong Kong Securities Limited; BOCI Asia Limited; ABCI Capital Limited; ICBC International Securities Limited; China Merchants Securities (HK) Co., Limited</t>
        </is>
      </c>
      <c r="BW378" s="71" t="inlineStr">
        <is>
          <t>ABCI Securities Company Limited; BOCI Asia Limited; China International Capital Corporation Hong Kong Securities Limited; CLSA Limited; China Merchants Securities (HK) Company Limited; ICBC International Securities Limited</t>
        </is>
      </c>
      <c r="BX378" s="87">
        <f>HYPERLINK("https://www1.hkexnews.hk/listedco/listconews/sehk/2025/1020/2025102000017.pdf","prospectus")</f>
        <v/>
      </c>
      <c r="BY378" s="87">
        <f>HYPERLINK("https://www1.hkexnews.hk/listedco/listconews/sehk/2025/1027/2025102701586.pdf","allotment")</f>
        <v/>
      </c>
      <c r="BZ378" s="87">
        <f>HYPERLINK("https://www1.hkexnews.hk/listedco/listconews/sehk/2025/1123/2025112300093.pdf","stabilisation")</f>
        <v/>
      </c>
      <c r="CA378" s="85" t="n"/>
      <c r="CB378" s="71" t="inlineStr">
        <is>
          <t>range low: maximum offer price only, no floor published; A/H: Oct 2025, ~US$1.72bn</t>
        </is>
      </c>
    </row>
    <row r="379" ht="15" customHeight="1">
      <c r="A379" s="70" t="inlineStr">
        <is>
          <t>6166</t>
        </is>
      </c>
      <c r="B379" s="71" t="inlineStr">
        <is>
          <t>CIG</t>
        </is>
      </c>
      <c r="C379" s="71" t="inlineStr">
        <is>
          <t>劍橋科技</t>
        </is>
      </c>
      <c r="D379" s="71" t="inlineStr">
        <is>
          <t>Tech/AI</t>
        </is>
      </c>
      <c r="E379" s="71" t="inlineStr">
        <is>
          <t>Smart hardware / consumer electronics</t>
        </is>
      </c>
      <c r="F379" s="71" t="inlineStr">
        <is>
          <t>Telecommunications &amp; Networking Equipment</t>
        </is>
      </c>
      <c r="G379" s="71" t="inlineStr">
        <is>
          <t>Standard</t>
        </is>
      </c>
      <c r="H379" s="72" t="n">
        <v>45958</v>
      </c>
      <c r="I379" s="73" t="n">
        <v>4615.7</v>
      </c>
      <c r="J379" s="71" t="inlineStr">
        <is>
          <t>gross (stated)</t>
        </is>
      </c>
      <c r="K379" s="74" t="n"/>
      <c r="L379" s="74" t="n">
        <v>68.88</v>
      </c>
      <c r="M379" s="74" t="n">
        <v>68.88</v>
      </c>
      <c r="N379" s="71" t="inlineStr">
        <is>
          <t>Y</t>
        </is>
      </c>
      <c r="O379" s="75" t="n">
        <v>100</v>
      </c>
      <c r="P379" s="75" t="n"/>
      <c r="Q379" s="76" t="n">
        <v>25365.2</v>
      </c>
      <c r="R379" s="71" t="inlineStr">
        <is>
          <t>derived:A-line total share capital x H offer price</t>
        </is>
      </c>
      <c r="S379" s="77" t="n">
        <v>338.7</v>
      </c>
      <c r="T379" s="78" t="n">
        <v>16.5</v>
      </c>
      <c r="U379" s="79" t="n">
        <v>48.9</v>
      </c>
      <c r="V379" s="80" t="n">
        <v>119</v>
      </c>
      <c r="W379" s="75" t="n">
        <v>10</v>
      </c>
      <c r="X379" s="71" t="inlineStr">
        <is>
          <t>NO</t>
        </is>
      </c>
      <c r="Y379" s="76" t="n">
        <v>2358.62</v>
      </c>
      <c r="Z379" s="76" t="n">
        <v>34242366</v>
      </c>
      <c r="AA379" s="75" t="n">
        <v>9.300000000000001</v>
      </c>
      <c r="AB379" s="71" t="inlineStr">
        <is>
          <t>Barings; Morgan Stanley Investment Management; HCEP (HongShan); Boyu Capital; Taikang Life; ICBC Wealth Management Co., Ltd; Schonfeld; Dymon Asia</t>
        </is>
      </c>
      <c r="AC379" s="71" t="inlineStr">
        <is>
          <t>barings;morgan;hcep;boyu;taikang;icbc;schonfeld;dymon</t>
        </is>
      </c>
      <c r="AD379" s="75" t="n">
        <v>15</v>
      </c>
      <c r="AE379" s="71" t="n"/>
      <c r="AF379" s="71" t="inlineStr">
        <is>
          <t>2025-11-22</t>
        </is>
      </c>
      <c r="AG379" s="71" t="inlineStr">
        <is>
          <t>Guotai Junan Securities</t>
        </is>
      </c>
      <c r="AH379" s="71" t="inlineStr">
        <is>
          <t>Guotai Junan</t>
        </is>
      </c>
      <c r="AI379" s="81" t="n">
        <v>44.164</v>
      </c>
      <c r="AJ379" s="82" t="n">
        <v>33.86</v>
      </c>
      <c r="AK379" s="82" t="n">
        <v>36.47</v>
      </c>
      <c r="AL379" s="82" t="n">
        <v>-1.91</v>
      </c>
      <c r="AM379" s="83" t="n">
        <v>4.31</v>
      </c>
      <c r="AN379" s="75" t="n">
        <v>20</v>
      </c>
      <c r="AO379" s="82" t="n">
        <v>13.53</v>
      </c>
      <c r="AP379" s="82" t="n">
        <v>14.76</v>
      </c>
      <c r="AQ379" s="82" t="n">
        <v>19.05</v>
      </c>
      <c r="AR379" s="82" t="n">
        <v>-15.19</v>
      </c>
      <c r="AS379" s="82" t="n">
        <v>-14.27</v>
      </c>
      <c r="AT379" s="82" t="n">
        <v>-11.06</v>
      </c>
      <c r="AU379" s="82" t="n">
        <v>19.81</v>
      </c>
      <c r="AV379" s="82" t="n">
        <v>24.1</v>
      </c>
      <c r="AW379" s="82" t="n">
        <v>24.67</v>
      </c>
      <c r="AX379" s="82" t="n">
        <v>-6.3</v>
      </c>
      <c r="AY379" s="82" t="n">
        <v>-9.34</v>
      </c>
      <c r="AZ379" s="82" t="n">
        <v>-7.97</v>
      </c>
      <c r="BA379" s="71" t="inlineStr">
        <is>
          <t>HSTECH (Hang Seng TECH ETF)</t>
        </is>
      </c>
      <c r="BB379" s="82" t="n">
        <v>78.72</v>
      </c>
      <c r="BC379" s="72" t="inlineStr">
        <is>
          <t>2026-09-23</t>
        </is>
      </c>
      <c r="BD379" s="73" t="n">
        <v>4014.9</v>
      </c>
      <c r="BE379" s="76" t="n">
        <v>183.3</v>
      </c>
      <c r="BF379" s="71" t="inlineStr">
        <is>
          <t>Y</t>
        </is>
      </c>
      <c r="BG379" s="83" t="n">
        <v>138.4</v>
      </c>
      <c r="BH379" s="83" t="n">
        <v>107.9</v>
      </c>
      <c r="BI379" s="83" t="n">
        <v>93.7</v>
      </c>
      <c r="BJ379" s="83" t="n">
        <v>6.3</v>
      </c>
      <c r="BK379" s="84">
        <f>IF('BBG Verify'!S379="","not filed; run on terminal",'BBG Verify'!S379)</f>
        <v/>
      </c>
      <c r="BL379" s="85" t="inlineStr">
        <is>
          <t>Y</t>
        </is>
      </c>
      <c r="BM379" s="71" t="inlineStr">
        <is>
          <t>603083.SS</t>
        </is>
      </c>
      <c r="BN379" s="82" t="n">
        <v>88.48</v>
      </c>
      <c r="BO379" s="74" t="n">
        <v>129.8239</v>
      </c>
      <c r="BP379" s="89" t="n">
        <v>1.0713</v>
      </c>
      <c r="BQ379" s="76" t="n">
        <v>96410</v>
      </c>
      <c r="BR379" s="84">
        <f>IF('BBG Verify'!Q379="","run on terminal",'BBG Verify'!Q379)</f>
        <v/>
      </c>
      <c r="BS379" s="84">
        <f>IF('BBG Verify'!R379="","run on terminal",'BBG Verify'!R379)</f>
        <v/>
      </c>
      <c r="BT379" s="85" t="n"/>
      <c r="BU379" s="71" t="inlineStr">
        <is>
          <t>Guotai Junan Capital Limited</t>
        </is>
      </c>
      <c r="BV379" s="71" t="inlineStr">
        <is>
          <t>CLSA Limited; DBS Asia Capital Limited; Guotai Junan Securities (Hong Kong) Limited; Star River Securities Limited</t>
        </is>
      </c>
      <c r="BW379" s="71" t="inlineStr">
        <is>
          <t>CLSA Limited; DBS Asia Capital Limited; Guotai Junan Securities (Hong Kong) Limited; Star River Securities Limited</t>
        </is>
      </c>
      <c r="BX379" s="71" t="n"/>
      <c r="BY379" s="87">
        <f>HYPERLINK("https://www1.hkexnews.hk/listedco/listconews/sehk/2025/1027/2025102701698.pdf","allotment")</f>
        <v/>
      </c>
      <c r="BZ379" s="71" t="n"/>
      <c r="CA379" s="85" t="n"/>
      <c r="CB379" s="71"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t>
        </is>
      </c>
    </row>
    <row r="380" ht="15" customHeight="1">
      <c r="A380" s="70" t="inlineStr">
        <is>
          <t>6980</t>
        </is>
      </c>
      <c r="B380" s="71" t="inlineStr">
        <is>
          <t>BAMA TEA</t>
        </is>
      </c>
      <c r="C380" s="71" t="inlineStr">
        <is>
          <t>八馬茶業</t>
        </is>
      </c>
      <c r="D380" s="71" t="inlineStr">
        <is>
          <t>Consumer</t>
        </is>
      </c>
      <c r="E380" s="71" t="inlineStr">
        <is>
          <t>Beverages / packaged food</t>
        </is>
      </c>
      <c r="F380" s="71" t="inlineStr">
        <is>
          <t>Beverages (Non-alcoholic)</t>
        </is>
      </c>
      <c r="G380" s="71" t="inlineStr">
        <is>
          <t>Standard</t>
        </is>
      </c>
      <c r="H380" s="72" t="n">
        <v>45958</v>
      </c>
      <c r="I380" s="73" t="n">
        <v>450</v>
      </c>
      <c r="J380" s="71" t="inlineStr">
        <is>
          <t>gross (stated)</t>
        </is>
      </c>
      <c r="K380" s="74" t="n"/>
      <c r="L380" s="74" t="n">
        <v>50</v>
      </c>
      <c r="M380" s="74" t="n">
        <v>50</v>
      </c>
      <c r="N380" s="71" t="inlineStr">
        <is>
          <t>Y</t>
        </is>
      </c>
      <c r="O380" s="75" t="n">
        <v>100</v>
      </c>
      <c r="P380" s="75" t="n"/>
      <c r="Q380" s="76" t="n">
        <v>4250</v>
      </c>
      <c r="R380" s="71" t="inlineStr">
        <is>
          <t>derived:price x shares upon listing</t>
        </is>
      </c>
      <c r="S380" s="77" t="n">
        <v>2680.04</v>
      </c>
      <c r="T380" s="78" t="n">
        <v>13.58</v>
      </c>
      <c r="U380" s="79" t="n">
        <v>0</v>
      </c>
      <c r="V380" s="80" t="n">
        <v>113</v>
      </c>
      <c r="W380" s="75" t="n">
        <v>10</v>
      </c>
      <c r="X380" s="71" t="inlineStr">
        <is>
          <t>NO</t>
        </is>
      </c>
      <c r="Y380" s="76" t="n">
        <v>450</v>
      </c>
      <c r="Z380" s="76" t="n">
        <v>9000000</v>
      </c>
      <c r="AA380" s="75" t="n">
        <v>10.59</v>
      </c>
      <c r="AB380" s="71" t="n"/>
      <c r="AC380" s="71" t="n"/>
      <c r="AD380" s="75" t="n">
        <v>15</v>
      </c>
      <c r="AE380" s="71" t="n"/>
      <c r="AF380" s="71" t="n"/>
      <c r="AG380" s="71" t="n"/>
      <c r="AH380" s="71" t="n"/>
      <c r="AI380" s="81" t="n">
        <v>60.2</v>
      </c>
      <c r="AJ380" s="82" t="n">
        <v>86.7</v>
      </c>
      <c r="AK380" s="82" t="n">
        <v>60.2</v>
      </c>
      <c r="AL380" s="82" t="n">
        <v>16.54</v>
      </c>
      <c r="AM380" s="83" t="n">
        <v>4.68</v>
      </c>
      <c r="AN380" s="75" t="n">
        <v>22.35</v>
      </c>
      <c r="AO380" s="82" t="n">
        <v>46</v>
      </c>
      <c r="AP380" s="82" t="n">
        <v>5</v>
      </c>
      <c r="AQ380" s="82" t="n">
        <v>-40.04</v>
      </c>
      <c r="AR380" s="82" t="n">
        <v>-21.8</v>
      </c>
      <c r="AS380" s="82" t="n">
        <v>-43.76</v>
      </c>
      <c r="AT380" s="82" t="n">
        <v>-67.88</v>
      </c>
      <c r="AU380" s="82" t="n">
        <v>50.79</v>
      </c>
      <c r="AV380" s="82" t="n">
        <v>10.98</v>
      </c>
      <c r="AW380" s="82" t="n">
        <v>-39.07</v>
      </c>
      <c r="AX380" s="82" t="n">
        <v>-39.11</v>
      </c>
      <c r="AY380" s="82" t="n">
        <v>-5.98</v>
      </c>
      <c r="AZ380" s="82" t="n">
        <v>-4.65</v>
      </c>
      <c r="BA380" s="71" t="inlineStr">
        <is>
          <t>Hang Seng Commerce &amp; Industry sub-index</t>
        </is>
      </c>
      <c r="BB380" s="82" t="n">
        <v>-43.52</v>
      </c>
      <c r="BC380" s="72" t="inlineStr">
        <is>
          <t>2026-09-23</t>
        </is>
      </c>
      <c r="BD380" s="73" t="n">
        <v>2357.6</v>
      </c>
      <c r="BE380" s="76" t="n">
        <v>246.6</v>
      </c>
      <c r="BF380" s="71" t="inlineStr">
        <is>
          <t>Y</t>
        </is>
      </c>
      <c r="BG380" s="83" t="n">
        <v>17.2</v>
      </c>
      <c r="BH380" s="83" t="n">
        <v>32.7</v>
      </c>
      <c r="BI380" s="83" t="n">
        <v>7.7</v>
      </c>
      <c r="BJ380" s="83" t="n">
        <v>1.8</v>
      </c>
      <c r="BK380" s="84">
        <f>IF('BBG Verify'!S380="","not filed; run on terminal",'BBG Verify'!S380)</f>
        <v/>
      </c>
      <c r="BL380" s="85" t="inlineStr">
        <is>
          <t>N</t>
        </is>
      </c>
      <c r="BM380" s="86">
        <f>IF('BBG Verify'!K380="","not filed; run on terminal",'BBG Verify'!K380)</f>
        <v/>
      </c>
      <c r="BN380" s="71" t="inlineStr">
        <is>
          <t>N/A</t>
        </is>
      </c>
      <c r="BO380" s="71" t="inlineStr">
        <is>
          <t>N/A</t>
        </is>
      </c>
      <c r="BP380" s="71" t="inlineStr">
        <is>
          <t>N/A</t>
        </is>
      </c>
      <c r="BQ380" s="71" t="inlineStr">
        <is>
          <t>N/A</t>
        </is>
      </c>
      <c r="BR380" s="71" t="inlineStr">
        <is>
          <t>N/A</t>
        </is>
      </c>
      <c r="BS380" s="71" t="inlineStr">
        <is>
          <t>N/A</t>
        </is>
      </c>
      <c r="BT380" s="85" t="inlineStr">
        <is>
          <t>Huatai Financial Holdings (Hong Kong) Limited; ABCI Capital Limited; TFI Capital Limited</t>
        </is>
      </c>
      <c r="BU380" s="71" t="inlineStr">
        <is>
          <t>Huatai Financial Holdings (Hong Kong) Limited; TFI Capital Limited; ABCI Capital Limited</t>
        </is>
      </c>
      <c r="BV380" s="71"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W380" s="71"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X380" s="87">
        <f>HYPERLINK("https://www1.hkexnews.hk/listedco/listconews/sehk/2025/1020/2025102000021.pdf","prospectus")</f>
        <v/>
      </c>
      <c r="BY380" s="87">
        <f>HYPERLINK("https://www1.hkexnews.hk/listedco/listconews/sehk/2025/1027/2025102701732.pdf","allotment")</f>
        <v/>
      </c>
      <c r="BZ380" s="71" t="n"/>
      <c r="CA380" s="85" t="n"/>
      <c r="CB380" s="71"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70" t="inlineStr">
        <is>
          <t>2718</t>
        </is>
      </c>
      <c r="B381" s="71" t="inlineStr">
        <is>
          <t>MININGLAMP-W</t>
        </is>
      </c>
      <c r="C381" s="71" t="inlineStr">
        <is>
          <t>明略科技－Ｗ</t>
        </is>
      </c>
      <c r="D381" s="71" t="inlineStr">
        <is>
          <t>Tech/AI</t>
        </is>
      </c>
      <c r="E381" s="71" t="inlineStr">
        <is>
          <t>AI application / agent software</t>
        </is>
      </c>
      <c r="F381" s="71" t="inlineStr">
        <is>
          <t>Advanced hardware and software</t>
        </is>
      </c>
      <c r="G381" s="71" t="inlineStr">
        <is>
          <t>WVR</t>
        </is>
      </c>
      <c r="H381" s="72" t="n">
        <v>45964</v>
      </c>
      <c r="I381" s="73" t="n">
        <v>1017.9</v>
      </c>
      <c r="J381" s="71" t="inlineStr">
        <is>
          <t>gross (stated)</t>
        </is>
      </c>
      <c r="K381" s="74" t="n"/>
      <c r="L381" s="74" t="n">
        <v>141</v>
      </c>
      <c r="M381" s="74" t="n">
        <v>141</v>
      </c>
      <c r="N381" s="71" t="inlineStr">
        <is>
          <t>Y</t>
        </is>
      </c>
      <c r="O381" s="75" t="n">
        <v>100</v>
      </c>
      <c r="P381" s="75" t="n"/>
      <c r="Q381" s="76" t="n">
        <v>20357</v>
      </c>
      <c r="R381" s="71" t="inlineStr">
        <is>
          <t>press:chiefgroup 2718: 上市價141.0 市值203.57億</t>
        </is>
      </c>
      <c r="S381" s="77" t="n">
        <v>4452.86</v>
      </c>
      <c r="T381" s="78" t="n">
        <v>13.93</v>
      </c>
      <c r="U381" s="79" t="n">
        <v>45.1</v>
      </c>
      <c r="V381" s="80" t="n">
        <v>117</v>
      </c>
      <c r="W381" s="75" t="n">
        <v>10</v>
      </c>
      <c r="X381" s="71" t="inlineStr">
        <is>
          <t>NA</t>
        </is>
      </c>
      <c r="Y381" s="76" t="n">
        <v>558.83</v>
      </c>
      <c r="Z381" s="76" t="n">
        <v>3963231</v>
      </c>
      <c r="AA381" s="75" t="n">
        <v>2.75</v>
      </c>
      <c r="AB381" s="71" t="inlineStr">
        <is>
          <t>Huang River Investment Limited; Hundreds Capital; GFH Financial Group B.S.C; QuantumPharm Limited; International Capital Management Limited; China AMC; Huatai Capital Investment Limited</t>
        </is>
      </c>
      <c r="AC381" s="71" t="inlineStr">
        <is>
          <t>huang-river;hundreds;gfh;quantumpharm;international-capital;amc;huatai</t>
        </is>
      </c>
      <c r="AD381" s="75" t="n">
        <v>15</v>
      </c>
      <c r="AE381" s="71" t="n"/>
      <c r="AF381" s="71" t="inlineStr">
        <is>
          <t>2025-11-27</t>
        </is>
      </c>
      <c r="AG381" s="71" t="inlineStr">
        <is>
          <t>China International Capital Corporation Hong Kong Securities Limited</t>
        </is>
      </c>
      <c r="AH381" s="71" t="inlineStr">
        <is>
          <t>China International</t>
        </is>
      </c>
      <c r="AI381" s="81" t="n">
        <v>110.638</v>
      </c>
      <c r="AJ381" s="82" t="n">
        <v>106.1</v>
      </c>
      <c r="AK381" s="82" t="n">
        <v>98.58</v>
      </c>
      <c r="AL381" s="82" t="n">
        <v>3.79</v>
      </c>
      <c r="AM381" s="83" t="n">
        <v>2.99</v>
      </c>
      <c r="AN381" s="75" t="n">
        <v>13.5</v>
      </c>
      <c r="AO381" s="82" t="n">
        <v>57.16</v>
      </c>
      <c r="AP381" s="82" t="n">
        <v>45.25</v>
      </c>
      <c r="AQ381" s="82" t="n">
        <v>77.87</v>
      </c>
      <c r="AR381" s="82" t="n">
        <v>-23.75</v>
      </c>
      <c r="AS381" s="82" t="n">
        <v>-29.52</v>
      </c>
      <c r="AT381" s="82" t="n">
        <v>-13.7</v>
      </c>
      <c r="AU381" s="82" t="n">
        <v>57.42</v>
      </c>
      <c r="AV381" s="82" t="n">
        <v>50.16</v>
      </c>
      <c r="AW381" s="82" t="n">
        <v>85.79000000000001</v>
      </c>
      <c r="AX381" s="82" t="n">
        <v>-24.52</v>
      </c>
      <c r="AY381" s="82" t="n">
        <v>-4.91</v>
      </c>
      <c r="AZ381" s="82" t="n">
        <v>-5</v>
      </c>
      <c r="BA381" s="71" t="inlineStr">
        <is>
          <t>HSTECH (Hang Seng TECH ETF)</t>
        </is>
      </c>
      <c r="BB381" s="82" t="n">
        <v>-71.02</v>
      </c>
      <c r="BC381" s="72" t="inlineStr">
        <is>
          <t>2026-09-23</t>
        </is>
      </c>
      <c r="BD381" s="73" t="n">
        <v>1519.5</v>
      </c>
      <c r="BE381" s="76" t="n"/>
      <c r="BF381" s="71" t="inlineStr">
        <is>
          <t>Y</t>
        </is>
      </c>
      <c r="BG381" s="84">
        <f>IF('BBG Verify'!O381="","not filed; run on terminal",'BBG Verify'!O381)</f>
        <v/>
      </c>
      <c r="BH381" s="83" t="n"/>
      <c r="BI381" s="83" t="n"/>
      <c r="BJ381" s="83" t="n">
        <v>13.4</v>
      </c>
      <c r="BK381" s="84">
        <f>IF('BBG Verify'!S381="","not filed; run on terminal",'BBG Verify'!S381)</f>
        <v/>
      </c>
      <c r="BL381" s="85" t="inlineStr">
        <is>
          <t>N</t>
        </is>
      </c>
      <c r="BM381" s="86">
        <f>IF('BBG Verify'!K381="","not filed; run on terminal",'BBG Verify'!K381)</f>
        <v/>
      </c>
      <c r="BN381" s="71" t="inlineStr">
        <is>
          <t>N/A</t>
        </is>
      </c>
      <c r="BO381" s="71" t="inlineStr">
        <is>
          <t>N/A</t>
        </is>
      </c>
      <c r="BP381" s="71" t="inlineStr">
        <is>
          <t>N/A</t>
        </is>
      </c>
      <c r="BQ381" s="71" t="inlineStr">
        <is>
          <t>N/A</t>
        </is>
      </c>
      <c r="BR381" s="71" t="inlineStr">
        <is>
          <t>N/A</t>
        </is>
      </c>
      <c r="BS381" s="71" t="inlineStr">
        <is>
          <t>N/A</t>
        </is>
      </c>
      <c r="BT381" s="85" t="n"/>
      <c r="BU381" s="71" t="inlineStr">
        <is>
          <t>China International Capital Corporation Hong Kong Securities Limited</t>
        </is>
      </c>
      <c r="BV381" s="71" t="inlineStr">
        <is>
          <t>China International Capital Corporation Hong Kong Securities Limited; Citrus Securities Limited; CLSA Limited; China Renaissance Securities (Hong Kong) Limited; Futu Securities International (Hong Kong) Limited; FUZE SECURITIES (INTERNATIONAL) LIMITED</t>
        </is>
      </c>
      <c r="BW381" s="71"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X381" s="71" t="n"/>
      <c r="BY381" s="87">
        <f>HYPERLINK("https://www1.hkexnews.hk/listedco/listconews/sehk/2025/1031/2025103103042.pdf","allotment")</f>
        <v/>
      </c>
      <c r="BZ381" s="71" t="n"/>
      <c r="CA381" s="85" t="n"/>
      <c r="CB381" s="71"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70" t="inlineStr">
        <is>
          <t>9927</t>
        </is>
      </c>
      <c r="B382" s="71" t="inlineStr">
        <is>
          <t>SERES</t>
        </is>
      </c>
      <c r="C382" s="71" t="inlineStr">
        <is>
          <t>賽力斯</t>
        </is>
      </c>
      <c r="D382" s="71" t="inlineStr">
        <is>
          <t>Consumer</t>
        </is>
      </c>
      <c r="E382" s="71" t="inlineStr">
        <is>
          <t>Autos (NEV OEM)</t>
        </is>
      </c>
      <c r="F382" s="71" t="inlineStr">
        <is>
          <t>Automobile Manufacturers</t>
        </is>
      </c>
      <c r="G382" s="71" t="inlineStr">
        <is>
          <t>Standard</t>
        </is>
      </c>
      <c r="H382" s="72" t="n">
        <v>45966</v>
      </c>
      <c r="I382" s="73" t="n">
        <v>14283.4</v>
      </c>
      <c r="J382" s="71" t="inlineStr">
        <is>
          <t>gross (stated)</t>
        </is>
      </c>
      <c r="K382" s="74" t="n"/>
      <c r="L382" s="74" t="n">
        <v>131.5</v>
      </c>
      <c r="M382" s="74" t="n">
        <v>131.5</v>
      </c>
      <c r="N382" s="71" t="inlineStr">
        <is>
          <t>Y</t>
        </is>
      </c>
      <c r="O382" s="75" t="n">
        <v>100</v>
      </c>
      <c r="P382" s="75" t="n"/>
      <c r="Q382" s="76" t="n">
        <v>216743.6</v>
      </c>
      <c r="R382" s="71" t="inlineStr">
        <is>
          <t>derived:deal size / offer % of enlarged capital</t>
        </is>
      </c>
      <c r="S382" s="77" t="n">
        <v>132.68</v>
      </c>
      <c r="T382" s="78" t="n">
        <v>8.609999999999999</v>
      </c>
      <c r="U382" s="79" t="n">
        <v>44.8</v>
      </c>
      <c r="V382" s="80" t="n">
        <v>234</v>
      </c>
      <c r="W382" s="75" t="n">
        <v>10</v>
      </c>
      <c r="X382" s="71" t="inlineStr">
        <is>
          <t>NA</t>
        </is>
      </c>
      <c r="Y382" s="76" t="n">
        <v>7884.44</v>
      </c>
      <c r="Z382" s="76" t="n">
        <v>59957688</v>
      </c>
      <c r="AA382" s="75" t="n">
        <v>3.64</v>
      </c>
      <c r="AB382" s="71"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AC382" s="71" t="inlineStr">
        <is>
          <t>lin-yuan;gf;new;sanhua;zhink;gold;honour;hichain;schroder;mirae;new-alternative;meidong;ghisallo</t>
        </is>
      </c>
      <c r="AD382" s="75" t="n">
        <v>5.78</v>
      </c>
      <c r="AE382" s="71" t="inlineStr">
        <is>
          <t>partial</t>
        </is>
      </c>
      <c r="AF382" s="71" t="inlineStr">
        <is>
          <t>2025-11-30</t>
        </is>
      </c>
      <c r="AG382" s="71" t="inlineStr">
        <is>
          <t>China International Capital Corporation Hong Kong Securities Limited</t>
        </is>
      </c>
      <c r="AH382" s="71" t="inlineStr">
        <is>
          <t>China International</t>
        </is>
      </c>
      <c r="AI382" s="81" t="n">
        <v>0.6840000000000001</v>
      </c>
      <c r="AJ382" s="82" t="n">
        <v>0</v>
      </c>
      <c r="AK382" s="82" t="n">
        <v>-1.98</v>
      </c>
      <c r="AL382" s="82" t="n">
        <v>2.02</v>
      </c>
      <c r="AM382" s="83" t="n">
        <v>1.71</v>
      </c>
      <c r="AN382" s="75" t="n">
        <v>10.47</v>
      </c>
      <c r="AO382" s="82" t="n">
        <v>-12.17</v>
      </c>
      <c r="AP382" s="82" t="n">
        <v>-11.94</v>
      </c>
      <c r="AQ382" s="82" t="n">
        <v>-26.2</v>
      </c>
      <c r="AR382" s="82" t="n">
        <v>-12.17</v>
      </c>
      <c r="AS382" s="82" t="n">
        <v>-11.94</v>
      </c>
      <c r="AT382" s="82" t="n">
        <v>-26.2</v>
      </c>
      <c r="AU382" s="82" t="n">
        <v>-15.09</v>
      </c>
      <c r="AV382" s="82" t="n">
        <v>-11.49</v>
      </c>
      <c r="AW382" s="82" t="n">
        <v>-24.44</v>
      </c>
      <c r="AX382" s="82" t="n">
        <v>-11.54</v>
      </c>
      <c r="AY382" s="82" t="n">
        <v>-0.45</v>
      </c>
      <c r="AZ382" s="82" t="n">
        <v>-0.4</v>
      </c>
      <c r="BA382" s="71" t="inlineStr">
        <is>
          <t>Hang Seng Commerce &amp; Industry sub-index</t>
        </is>
      </c>
      <c r="BB382" s="82" t="n">
        <v>-73.98</v>
      </c>
      <c r="BC382" s="72" t="inlineStr">
        <is>
          <t>2026-09-23</t>
        </is>
      </c>
      <c r="BD382" s="73" t="n">
        <v>159625</v>
      </c>
      <c r="BE382" s="76" t="n">
        <v>-1527.6</v>
      </c>
      <c r="BF382" s="71" t="inlineStr">
        <is>
          <t>N</t>
        </is>
      </c>
      <c r="BG382" s="71" t="inlineStr">
        <is>
          <t>n/m</t>
        </is>
      </c>
      <c r="BH382" s="83" t="n">
        <v>25.5</v>
      </c>
      <c r="BI382" s="83" t="n">
        <v>9.699999999999999</v>
      </c>
      <c r="BJ382" s="83" t="n">
        <v>1.4</v>
      </c>
      <c r="BK382" s="84">
        <f>IF('BBG Verify'!S382="","not filed; run on terminal",'BBG Verify'!S382)</f>
        <v/>
      </c>
      <c r="BL382" s="85" t="inlineStr">
        <is>
          <t>Y</t>
        </is>
      </c>
      <c r="BM382" s="71" t="inlineStr">
        <is>
          <t>601127.SS</t>
        </is>
      </c>
      <c r="BN382" s="82" t="n">
        <v>27.41</v>
      </c>
      <c r="BO382" s="74" t="n">
        <v>167.5467</v>
      </c>
      <c r="BP382" s="89" t="n">
        <v>0.6059</v>
      </c>
      <c r="BQ382" s="76" t="n">
        <v>97535.39999999999</v>
      </c>
      <c r="BR382" s="84">
        <f>IF('BBG Verify'!Q382="","run on terminal",'BBG Verify'!Q382)</f>
        <v/>
      </c>
      <c r="BS382" s="84">
        <f>IF('BBG Verify'!R382="","run on terminal",'BBG Verify'!R382)</f>
        <v/>
      </c>
      <c r="BT382" s="85" t="inlineStr">
        <is>
          <t>CICC; China Galaxy International</t>
        </is>
      </c>
      <c r="BU382" s="71" t="inlineStr">
        <is>
          <t>China International Capital Corporation Hong Kong Securities Limited; China Galaxy International Securities (Hong Kong) Company Limited</t>
        </is>
      </c>
      <c r="BV382" s="71" t="inlineStr">
        <is>
          <t>China International Capital Corporation Hong Kong Securities Limited; China Galaxy International Securities (Hong Kong) Co., Limited; Huatai Financial Holdings (Hong Kong) Limited</t>
        </is>
      </c>
      <c r="BW382" s="71" t="inlineStr">
        <is>
          <t>China Galaxy International Securities (Hong Kong) Company Limited; China International Capital Corporation Hong Kong Securities Limited; Huatai Financial Holdings (Hong Kong) Limited</t>
        </is>
      </c>
      <c r="BX382" s="87">
        <f>HYPERLINK("https://www1.hkexnews.hk/listedco/listconews/sehk/2025/1027/2025102700059.pdf","prospectus")</f>
        <v/>
      </c>
      <c r="BY382" s="87">
        <f>HYPERLINK("https://www1.hkexnews.hk/listedco/listconews/sehk/2025/1104/2025110402282.pdf","allotment")</f>
        <v/>
      </c>
      <c r="BZ382" s="87">
        <f>HYPERLINK("https://www1.hkexnews.hk/listedco/listconews/sehk/2025/1130/2025113000281.pdf","stabilisation")</f>
        <v/>
      </c>
      <c r="CA382" s="85" t="n"/>
      <c r="CB382" s="71" t="inlineStr">
        <is>
          <t>P/E: loss-making at IPO, use P/S; range low: maximum offer price only, no floor published; A/H: Nov 2025, HK$14.28bn (~US$1.8bn); 3rd-largest HK IPO of 2025; flat debut</t>
        </is>
      </c>
    </row>
    <row r="383" ht="15" customHeight="1">
      <c r="A383" s="70" t="inlineStr">
        <is>
          <t>2630</t>
        </is>
      </c>
      <c r="B383" s="71" t="inlineStr">
        <is>
          <t>VIGONVITA-B</t>
        </is>
      </c>
      <c r="C383" s="71" t="inlineStr">
        <is>
          <t>旺山旺水－Ｂ</t>
        </is>
      </c>
      <c r="D383" s="71" t="inlineStr">
        <is>
          <t>Healthcare</t>
        </is>
      </c>
      <c r="E383" s="71" t="inlineStr">
        <is>
          <t>Biotech pre-revenue (18A)</t>
        </is>
      </c>
      <c r="F383" s="71" t="inlineStr">
        <is>
          <t>Biotechnology - Pharmaceuticals</t>
        </is>
      </c>
      <c r="G383" s="71" t="inlineStr">
        <is>
          <t>18A</t>
        </is>
      </c>
      <c r="H383" s="72" t="n">
        <v>45967</v>
      </c>
      <c r="I383" s="73" t="n">
        <v>587.24</v>
      </c>
      <c r="J383" s="71" t="inlineStr">
        <is>
          <t>gross (stated)</t>
        </is>
      </c>
      <c r="K383" s="74" t="n"/>
      <c r="L383" s="74" t="n">
        <v>34</v>
      </c>
      <c r="M383" s="74" t="n">
        <v>33.37</v>
      </c>
      <c r="N383" s="71" t="inlineStr">
        <is>
          <t>N</t>
        </is>
      </c>
      <c r="O383" s="75" t="n">
        <v>98.09999999999999</v>
      </c>
      <c r="P383" s="75" t="n"/>
      <c r="Q383" s="76" t="n">
        <v>5592.7</v>
      </c>
      <c r="R383" s="71" t="inlineStr">
        <is>
          <t>derived:price x shares upon listing</t>
        </is>
      </c>
      <c r="S383" s="77" t="n">
        <v>6238.42</v>
      </c>
      <c r="T383" s="78" t="n">
        <v>16.87</v>
      </c>
      <c r="U383" s="79" t="n"/>
      <c r="V383" s="80" t="n">
        <v>70</v>
      </c>
      <c r="W383" s="75" t="n">
        <v>10</v>
      </c>
      <c r="X383" s="71" t="inlineStr">
        <is>
          <t>NO</t>
        </is>
      </c>
      <c r="Y383" s="76" t="n"/>
      <c r="Z383" s="76" t="n"/>
      <c r="AA383" s="75" t="n"/>
      <c r="AB383" s="71" t="inlineStr">
        <is>
          <t>Ms. Jin Jie; Dr. Shen; Suzhou Industrial Investment</t>
        </is>
      </c>
      <c r="AC383" s="71" t="inlineStr">
        <is>
          <t>ms-jin;dr-shen;suzhou</t>
        </is>
      </c>
      <c r="AD383" s="75" t="n">
        <v>6.24</v>
      </c>
      <c r="AE383" s="71" t="inlineStr">
        <is>
          <t>lapsed (no over-allocation)</t>
        </is>
      </c>
      <c r="AF383" s="71" t="inlineStr">
        <is>
          <t>2025-12-03</t>
        </is>
      </c>
      <c r="AG383" s="71" t="inlineStr">
        <is>
          <t>CLSA Limited</t>
        </is>
      </c>
      <c r="AH383" s="71" t="inlineStr">
        <is>
          <t>CLSA</t>
        </is>
      </c>
      <c r="AI383" s="81" t="n">
        <v>154.72</v>
      </c>
      <c r="AJ383" s="82" t="n">
        <v>145.73</v>
      </c>
      <c r="AK383" s="82" t="n">
        <v>184.69</v>
      </c>
      <c r="AL383" s="82" t="n">
        <v>-13.69</v>
      </c>
      <c r="AM383" s="83" t="n">
        <v>3.14</v>
      </c>
      <c r="AN383" s="75" t="n">
        <v>16.05</v>
      </c>
      <c r="AO383" s="82" t="n">
        <v>64.97</v>
      </c>
      <c r="AP383" s="82" t="n">
        <v>131.05</v>
      </c>
      <c r="AQ383" s="82" t="n">
        <v>216.15</v>
      </c>
      <c r="AR383" s="82" t="n">
        <v>-32.87</v>
      </c>
      <c r="AS383" s="82" t="n">
        <v>-5.97</v>
      </c>
      <c r="AT383" s="82" t="n">
        <v>28.66</v>
      </c>
      <c r="AU383" s="82" t="n">
        <v>61.71</v>
      </c>
      <c r="AV383" s="82" t="n">
        <v>132.59</v>
      </c>
      <c r="AW383" s="82" t="n">
        <v>223.02</v>
      </c>
      <c r="AX383" s="82" t="n">
        <v>-4.04</v>
      </c>
      <c r="AY383" s="82" t="n">
        <v>-1.54</v>
      </c>
      <c r="AZ383" s="82" t="n">
        <v>-1.93</v>
      </c>
      <c r="BA383" s="71" t="inlineStr">
        <is>
          <t>China Biotech ETF (HS biotech proxy)</t>
        </is>
      </c>
      <c r="BB383" s="82" t="n">
        <v>139.74</v>
      </c>
      <c r="BC383" s="72" t="inlineStr">
        <is>
          <t>2026-09-23</t>
        </is>
      </c>
      <c r="BD383" s="73" t="n">
        <v>3.5</v>
      </c>
      <c r="BE383" s="76" t="n">
        <v>-81.2</v>
      </c>
      <c r="BF383" s="71" t="inlineStr">
        <is>
          <t>N</t>
        </is>
      </c>
      <c r="BG383" s="71" t="inlineStr">
        <is>
          <t>n/m</t>
        </is>
      </c>
      <c r="BH383" s="83" t="n"/>
      <c r="BI383" s="83" t="n"/>
      <c r="BJ383" s="83" t="n">
        <v>1597.9</v>
      </c>
      <c r="BK383" s="84">
        <f>IF('BBG Verify'!S383="","not filed; run on terminal",'BBG Verify'!S383)</f>
        <v/>
      </c>
      <c r="BL383" s="85" t="inlineStr">
        <is>
          <t>N</t>
        </is>
      </c>
      <c r="BM383" s="86">
        <f>IF('BBG Verify'!K383="","not filed; run on terminal",'BBG Verify'!K383)</f>
        <v/>
      </c>
      <c r="BN383" s="71" t="inlineStr">
        <is>
          <t>N/A</t>
        </is>
      </c>
      <c r="BO383" s="71" t="inlineStr">
        <is>
          <t>N/A</t>
        </is>
      </c>
      <c r="BP383" s="71" t="inlineStr">
        <is>
          <t>N/A</t>
        </is>
      </c>
      <c r="BQ383" s="71" t="inlineStr">
        <is>
          <t>N/A</t>
        </is>
      </c>
      <c r="BR383" s="71" t="inlineStr">
        <is>
          <t>N/A</t>
        </is>
      </c>
      <c r="BS383" s="71" t="inlineStr">
        <is>
          <t>N/A</t>
        </is>
      </c>
      <c r="BT383" s="85" t="inlineStr">
        <is>
          <t>CITIC Securities (Hong Kong) Limited</t>
        </is>
      </c>
      <c r="BU383" s="71" t="inlineStr">
        <is>
          <t>CITIC Securities (Hong Kong) Limited</t>
        </is>
      </c>
      <c r="BV383" s="71"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W383" s="71"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X383" s="87">
        <f>HYPERLINK("https://www1.hkexnews.hk/listedco/listconews/sehk/2025/1028/2025102800017.pdf","prospectus")</f>
        <v/>
      </c>
      <c r="BY383" s="87">
        <f>HYPERLINK("https://www1.hkexnews.hk/listedco/listconews/sehk/2025/1105/2025110502006.pdf","allotment")</f>
        <v/>
      </c>
      <c r="BZ383" s="87">
        <f>HYPERLINK("https://www1.hkexnews.hk/listedco/listconews/sehk/2025/1203/2025120300845.pdf","stabilisation")</f>
        <v/>
      </c>
      <c r="CA383" s="85" t="n"/>
      <c r="CB383" s="71"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70" t="inlineStr">
        <is>
          <t>2026</t>
        </is>
      </c>
      <c r="B384" s="71" t="inlineStr">
        <is>
          <t>PONY-W</t>
        </is>
      </c>
      <c r="C384" s="71" t="inlineStr">
        <is>
          <t>小馬智行</t>
        </is>
      </c>
      <c r="D384" s="71" t="inlineStr">
        <is>
          <t>Tech/AI</t>
        </is>
      </c>
      <c r="E384" s="71" t="inlineStr">
        <is>
          <t>Robotics &amp; autonomous driving</t>
        </is>
      </c>
      <c r="F384" s="71" t="inlineStr">
        <is>
          <t>Trucking</t>
        </is>
      </c>
      <c r="G384" s="71" t="inlineStr">
        <is>
          <t>WVR</t>
        </is>
      </c>
      <c r="H384" s="72" t="n">
        <v>45967</v>
      </c>
      <c r="I384" s="73" t="n">
        <v>6706.61</v>
      </c>
      <c r="J384" s="71" t="inlineStr">
        <is>
          <t>gross (stated)</t>
        </is>
      </c>
      <c r="K384" s="74" t="n"/>
      <c r="L384" s="74" t="n">
        <v>180</v>
      </c>
      <c r="M384" s="74" t="n">
        <v>139</v>
      </c>
      <c r="N384" s="71" t="inlineStr">
        <is>
          <t>N</t>
        </is>
      </c>
      <c r="O384" s="75" t="n">
        <v>77.2</v>
      </c>
      <c r="P384" s="75" t="n"/>
      <c r="Q384" s="76" t="n">
        <v>60419.9</v>
      </c>
      <c r="R384" s="71" t="inlineStr">
        <is>
          <t>derived:deal size / offer % of enlarged capital</t>
        </is>
      </c>
      <c r="S384" s="77" t="n">
        <v>15.88</v>
      </c>
      <c r="T384" s="78" t="n">
        <v>7.72</v>
      </c>
      <c r="U384" s="79" t="n">
        <v>1.9</v>
      </c>
      <c r="V384" s="80" t="n">
        <v>122</v>
      </c>
      <c r="W384" s="75" t="n">
        <v>8.699999999999999</v>
      </c>
      <c r="X384" s="71" t="inlineStr">
        <is>
          <t>NA</t>
        </is>
      </c>
      <c r="Y384" s="76" t="n">
        <v>6579.18</v>
      </c>
      <c r="Z384" s="76" t="n">
        <v>47332269</v>
      </c>
      <c r="AA384" s="75" t="n">
        <v>10.89</v>
      </c>
      <c r="AB384" s="71" t="inlineStr">
        <is>
          <t>Ghisallo Fund Master Ltd; Athos Capital Limited; Hel Ved Master Fund; Ocean Arete Limited; Eastspring</t>
        </is>
      </c>
      <c r="AC384" s="71" t="inlineStr">
        <is>
          <t>ghisallo;athos;hel;ocean;eastspring</t>
        </is>
      </c>
      <c r="AD384" s="75" t="n">
        <v>15</v>
      </c>
      <c r="AE384" s="71" t="inlineStr">
        <is>
          <t>lapsed</t>
        </is>
      </c>
      <c r="AF384" s="71" t="inlineStr">
        <is>
          <t>2025-12-03</t>
        </is>
      </c>
      <c r="AG384" s="71" t="inlineStr">
        <is>
          <t>Goldman Sachs</t>
        </is>
      </c>
      <c r="AH384" s="71" t="inlineStr">
        <is>
          <t>Goldman Sachs</t>
        </is>
      </c>
      <c r="AI384" s="81" t="n">
        <v>-11.367</v>
      </c>
      <c r="AJ384" s="82" t="n">
        <v>-9.279999999999999</v>
      </c>
      <c r="AK384" s="82" t="n">
        <v>-10.79</v>
      </c>
      <c r="AL384" s="82" t="n">
        <v>1.69</v>
      </c>
      <c r="AM384" s="83" t="n">
        <v>2.07</v>
      </c>
      <c r="AN384" s="75" t="n">
        <v>5.89</v>
      </c>
      <c r="AO384" s="82" t="n">
        <v>-22.3</v>
      </c>
      <c r="AP384" s="82" t="n">
        <v>-16.47</v>
      </c>
      <c r="AQ384" s="82" t="n">
        <v>-25.4</v>
      </c>
      <c r="AR384" s="82" t="n">
        <v>-14.35</v>
      </c>
      <c r="AS384" s="82" t="n">
        <v>-7.93</v>
      </c>
      <c r="AT384" s="82" t="n">
        <v>-17.77</v>
      </c>
      <c r="AU384" s="82" t="n">
        <v>-25.56</v>
      </c>
      <c r="AV384" s="82" t="n">
        <v>-14.18</v>
      </c>
      <c r="AW384" s="82" t="n">
        <v>-17.64</v>
      </c>
      <c r="AX384" s="82" t="n">
        <v>-3.04</v>
      </c>
      <c r="AY384" s="82" t="n">
        <v>-2.29</v>
      </c>
      <c r="AZ384" s="82" t="n">
        <v>-4.89</v>
      </c>
      <c r="BA384" s="71" t="inlineStr">
        <is>
          <t>HSTECH (Hang Seng TECH ETF)</t>
        </is>
      </c>
      <c r="BB384" s="82" t="n">
        <v>-59.71</v>
      </c>
      <c r="BC384" s="72" t="inlineStr">
        <is>
          <t>2026-09-23</t>
        </is>
      </c>
      <c r="BD384" s="73" t="n">
        <v>585.2</v>
      </c>
      <c r="BE384" s="76" t="n">
        <v>-2138.1</v>
      </c>
      <c r="BF384" s="71" t="inlineStr">
        <is>
          <t>N</t>
        </is>
      </c>
      <c r="BG384" s="71" t="inlineStr">
        <is>
          <t>n/m</t>
        </is>
      </c>
      <c r="BH384" s="83" t="n"/>
      <c r="BI384" s="83" t="n"/>
      <c r="BJ384" s="83" t="n">
        <v>103.2</v>
      </c>
      <c r="BK384" s="84">
        <f>IF('BBG Verify'!S384="","not filed; run on terminal",'BBG Verify'!S384)</f>
        <v/>
      </c>
      <c r="BL384" s="85" t="inlineStr">
        <is>
          <t>N</t>
        </is>
      </c>
      <c r="BM384" s="86">
        <f>IF('BBG Verify'!K384="","not filed; run on terminal",'BBG Verify'!K384)</f>
        <v/>
      </c>
      <c r="BN384" s="71" t="inlineStr">
        <is>
          <t>N/A</t>
        </is>
      </c>
      <c r="BO384" s="71" t="inlineStr">
        <is>
          <t>N/A</t>
        </is>
      </c>
      <c r="BP384" s="71" t="inlineStr">
        <is>
          <t>N/A</t>
        </is>
      </c>
      <c r="BQ384" s="71" t="inlineStr">
        <is>
          <t>N/A</t>
        </is>
      </c>
      <c r="BR384" s="71" t="inlineStr">
        <is>
          <t>N/A</t>
        </is>
      </c>
      <c r="BS384" s="71" t="inlineStr">
        <is>
          <t>N/A</t>
        </is>
      </c>
      <c r="BT384" s="93" t="inlineStr">
        <is>
          <t>Goldman Sachs (Asia) L.L.C; Merrill Lynch (Asia Pacific) Limited; Deutsche Securities Asia Limited; Huatai Financial Holdings (Hong Kong) Limited</t>
        </is>
      </c>
      <c r="BU384" s="71" t="inlineStr">
        <is>
          <t>Merrill Lynch (Asia Pacific) Limited; Goldman Sachs (Asia) L.L.C.; Huatai Financial Holdings (Hong Kong) Limited; Deutsche Securities Asia Limited</t>
        </is>
      </c>
      <c r="BV384" s="71" t="inlineStr">
        <is>
          <t>Goldman Sachs (Asia) L.L.C; Merrill Lynch (Asia Pacific) Limited; Deutsche Bank AG, Hong Kong Branch; Huatai Financial Holdings (Hong Kong) Limited; CLSA Limited; BOCI Asia Limited</t>
        </is>
      </c>
      <c r="BW384" s="71"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X384" s="87">
        <f>HYPERLINK("https://www1.hkexnews.hk/listedco/listconews/sehk/2025/1028/2025102800087.pdf","prospectus")</f>
        <v/>
      </c>
      <c r="BY384" s="87">
        <f>HYPERLINK("https://www1.hkexnews.hk/listedco/listconews/sehk/2025/1105/2025110502018.pdf","allotment")</f>
        <v/>
      </c>
      <c r="BZ384" s="87">
        <f>HYPERLINK("https://www1.hkexnews.hk/listedco/listconews/sehk/2025/1203/2025120302148.pdf","stabilisation")</f>
        <v/>
      </c>
      <c r="CA384" s="85" t="n"/>
      <c r="CB384" s="71" t="inlineStr">
        <is>
          <t>P/E: loss-making at IPO, use P/S; range low: maximum offer price only, no floor published</t>
        </is>
      </c>
    </row>
    <row r="385" ht="15" customHeight="1">
      <c r="A385" s="70" t="inlineStr">
        <is>
          <t>0699</t>
        </is>
      </c>
      <c r="B385" s="71" t="inlineStr">
        <is>
          <t>JOYSON ELEC</t>
        </is>
      </c>
      <c r="C385" s="71" t="inlineStr">
        <is>
          <t>均勝電子</t>
        </is>
      </c>
      <c r="D385" s="71" t="inlineStr">
        <is>
          <t>Consumer</t>
        </is>
      </c>
      <c r="E385" s="71" t="inlineStr">
        <is>
          <t>Auto parts / supply chain</t>
        </is>
      </c>
      <c r="F385" s="71" t="inlineStr">
        <is>
          <t>Auto Parts &amp; Equipment</t>
        </is>
      </c>
      <c r="G385" s="71" t="inlineStr">
        <is>
          <t>Standard</t>
        </is>
      </c>
      <c r="H385" s="72" t="n">
        <v>45967</v>
      </c>
      <c r="I385" s="73" t="n">
        <v>3412.2</v>
      </c>
      <c r="J385" s="71" t="inlineStr">
        <is>
          <t>gross (stated)</t>
        </is>
      </c>
      <c r="K385" s="74" t="n"/>
      <c r="L385" s="74" t="n">
        <v>23.6</v>
      </c>
      <c r="M385" s="74" t="n">
        <v>22</v>
      </c>
      <c r="N385" s="71" t="inlineStr">
        <is>
          <t>N</t>
        </is>
      </c>
      <c r="O385" s="75" t="n">
        <v>93.2</v>
      </c>
      <c r="P385" s="75" t="n"/>
      <c r="Q385" s="76" t="n">
        <v>34117.3</v>
      </c>
      <c r="R385" s="71" t="inlineStr">
        <is>
          <t>derived:A-line total share capital x H offer price</t>
        </is>
      </c>
      <c r="S385" s="77" t="n">
        <v>147.67</v>
      </c>
      <c r="T385" s="78" t="n">
        <v>9.779999999999999</v>
      </c>
      <c r="U385" s="79" t="n">
        <v>24.5</v>
      </c>
      <c r="V385" s="80" t="n">
        <v>129</v>
      </c>
      <c r="W385" s="75" t="n">
        <v>10</v>
      </c>
      <c r="X385" s="71" t="inlineStr">
        <is>
          <t>NA</t>
        </is>
      </c>
      <c r="Y385" s="76" t="n">
        <v>2576.21</v>
      </c>
      <c r="Z385" s="76" t="n">
        <v>117100500</v>
      </c>
      <c r="AA385" s="75" t="n">
        <v>7.55</v>
      </c>
      <c r="AB385" s="71" t="inlineStr">
        <is>
          <t>JSC (chairman vehicle); Ningbo Xinzhi; Jump Trading; Zhongding Capital Fund VIII; China Post Wealth Management; Vandi (CCB International); Fidelidade (Fosun)</t>
        </is>
      </c>
      <c r="AC385" s="71" t="inlineStr">
        <is>
          <t>jsc;ningbo;jump;zhongding;post;vandi;fidelidade</t>
        </is>
      </c>
      <c r="AD385" s="75" t="n">
        <v>15</v>
      </c>
      <c r="AE385" s="71" t="n"/>
      <c r="AF385" s="71" t="n"/>
      <c r="AG385" s="71" t="inlineStr">
        <is>
          <t>China International Capital Corporation Hong Kong Securities Limited</t>
        </is>
      </c>
      <c r="AH385" s="71" t="inlineStr">
        <is>
          <t>China International</t>
        </is>
      </c>
      <c r="AI385" s="81" t="n">
        <v>-2.727</v>
      </c>
      <c r="AJ385" s="82" t="n">
        <v>-8</v>
      </c>
      <c r="AK385" s="82" t="n">
        <v>-2.27</v>
      </c>
      <c r="AL385" s="82" t="n">
        <v>-5.86</v>
      </c>
      <c r="AM385" s="83" t="n">
        <v>2.24</v>
      </c>
      <c r="AN385" s="75" t="n">
        <v>7.67</v>
      </c>
      <c r="AO385" s="82" t="n">
        <v>-20.45</v>
      </c>
      <c r="AP385" s="82" t="n">
        <v>-20.82</v>
      </c>
      <c r="AQ385" s="82" t="n">
        <v>-22.86</v>
      </c>
      <c r="AR385" s="82" t="n">
        <v>-13.53</v>
      </c>
      <c r="AS385" s="82" t="n">
        <v>-13.93</v>
      </c>
      <c r="AT385" s="82" t="n">
        <v>-16.15</v>
      </c>
      <c r="AU385" s="82" t="n">
        <v>-24.17</v>
      </c>
      <c r="AV385" s="82" t="n">
        <v>-20.92</v>
      </c>
      <c r="AW385" s="82" t="n">
        <v>-20.29</v>
      </c>
      <c r="AX385" s="82" t="n">
        <v>-11.74</v>
      </c>
      <c r="AY385" s="82" t="n">
        <v>0.1</v>
      </c>
      <c r="AZ385" s="82" t="n">
        <v>-2.19</v>
      </c>
      <c r="BA385" s="71" t="inlineStr">
        <is>
          <t>Hang Seng Commerce &amp; Industry sub-index</t>
        </is>
      </c>
      <c r="BB385" s="82" t="n">
        <v>-44.55</v>
      </c>
      <c r="BC385" s="72" t="inlineStr">
        <is>
          <t>2026-09-23</t>
        </is>
      </c>
      <c r="BD385" s="73" t="n">
        <v>61449.9</v>
      </c>
      <c r="BE385" s="76" t="n">
        <v>1049.7</v>
      </c>
      <c r="BF385" s="71" t="inlineStr">
        <is>
          <t>Y</t>
        </is>
      </c>
      <c r="BG385" s="83" t="n">
        <v>32.5</v>
      </c>
      <c r="BH385" s="83" t="n"/>
      <c r="BI385" s="83" t="n"/>
      <c r="BJ385" s="83" t="n">
        <v>0.6</v>
      </c>
      <c r="BK385" s="84">
        <f>IF('BBG Verify'!S385="","not filed; run on terminal",'BBG Verify'!S385)</f>
        <v/>
      </c>
      <c r="BL385" s="85" t="inlineStr">
        <is>
          <t>Y</t>
        </is>
      </c>
      <c r="BM385" s="71" t="inlineStr">
        <is>
          <t>600699.SS</t>
        </is>
      </c>
      <c r="BN385" s="82" t="n">
        <v>48.18</v>
      </c>
      <c r="BO385" s="74" t="n">
        <v>32.5992</v>
      </c>
      <c r="BP385" s="89" t="n">
        <v>1.0101</v>
      </c>
      <c r="BQ385" s="76" t="n">
        <v>38088</v>
      </c>
      <c r="BR385" s="84">
        <f>IF('BBG Verify'!Q385="","run on terminal",'BBG Verify'!Q385)</f>
        <v/>
      </c>
      <c r="BS385" s="84">
        <f>IF('BBG Verify'!R385="","run on terminal",'BBG Verify'!R385)</f>
        <v/>
      </c>
      <c r="BT385" s="85" t="inlineStr">
        <is>
          <t>China International Capital Corporation Hong Kong Securities Limited; UBS Securities Hong Kong Limited</t>
        </is>
      </c>
      <c r="BU385" s="71" t="inlineStr">
        <is>
          <t>China International Capital Corporation Hong Kong Securities Limited; UBS Securities Hong Kong Limited</t>
        </is>
      </c>
      <c r="BV385" s="71" t="inlineStr">
        <is>
          <t>ABCI Securities Company Limited; China International Capital Corporation Hong Kong Securities Limited; China Renaissance Securities (Hong Kong) Limited; GF Securities (Hong Kong) Brokerage Limited; UBS AG Hong Kong Branch</t>
        </is>
      </c>
      <c r="BW385" s="71" t="inlineStr">
        <is>
          <t>ABCI Securities Company Limited; China International Capital Corporation Hong Kong Securities Limited; China Renaissance Securities (Hong Kong) Limited; GF Securities (Hong Kong) Brokerage Limited; UBS AG Hong Kong Branch</t>
        </is>
      </c>
      <c r="BX385" s="71" t="n"/>
      <c r="BY385" s="87">
        <f>HYPERLINK("https://www1.hkexnews.hk/listedco/listconews/sehk/2025/1105/2025110502028.pdf","allotment")</f>
        <v/>
      </c>
      <c r="BZ385" s="71" t="n"/>
      <c r="CA385" s="85" t="n"/>
      <c r="CB385" s="71"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t>
        </is>
      </c>
    </row>
    <row r="386" ht="15" customHeight="1">
      <c r="A386" s="70" t="inlineStr">
        <is>
          <t>2698</t>
        </is>
      </c>
      <c r="B386" s="71" t="inlineStr">
        <is>
          <t>SOFTCARE</t>
        </is>
      </c>
      <c r="C386" s="71" t="inlineStr">
        <is>
          <t>樂舒適</t>
        </is>
      </c>
      <c r="D386" s="71" t="inlineStr">
        <is>
          <t>Consumer</t>
        </is>
      </c>
      <c r="E386" s="71" t="inlineStr">
        <is>
          <t>Retail / distribution</t>
        </is>
      </c>
      <c r="F386" s="71" t="inlineStr">
        <is>
          <t>Children's and Infant Products</t>
        </is>
      </c>
      <c r="G386" s="71" t="inlineStr">
        <is>
          <t>Standard</t>
        </is>
      </c>
      <c r="H386" s="72" t="n">
        <v>45971</v>
      </c>
      <c r="I386" s="73" t="n">
        <v>2381.16</v>
      </c>
      <c r="J386" s="71" t="inlineStr">
        <is>
          <t>gross (stated)</t>
        </is>
      </c>
      <c r="K386" s="74" t="n"/>
      <c r="L386" s="74" t="n">
        <v>26.2</v>
      </c>
      <c r="M386" s="74" t="n">
        <v>26.2</v>
      </c>
      <c r="N386" s="71" t="inlineStr">
        <is>
          <t>Y</t>
        </is>
      </c>
      <c r="O386" s="75" t="n">
        <v>100</v>
      </c>
      <c r="P386" s="75" t="n"/>
      <c r="Q386" s="76" t="n">
        <v>15611.8</v>
      </c>
      <c r="R386" s="71" t="inlineStr">
        <is>
          <t>aastocks:上市市值 at the struck price</t>
        </is>
      </c>
      <c r="S386" s="77" t="n">
        <v>1813.77</v>
      </c>
      <c r="T386" s="78" t="n">
        <v>34.33</v>
      </c>
      <c r="U386" s="79" t="n">
        <v>4.6</v>
      </c>
      <c r="V386" s="80" t="n">
        <v>277</v>
      </c>
      <c r="W386" s="75" t="n">
        <v>10</v>
      </c>
      <c r="X386" s="71" t="inlineStr">
        <is>
          <t>NO</t>
        </is>
      </c>
      <c r="Y386" s="76" t="n">
        <v>2271.63</v>
      </c>
      <c r="Z386" s="76" t="n">
        <v>86703336</v>
      </c>
      <c r="AA386" s="75" t="n">
        <v>14.55</v>
      </c>
      <c r="AB386" s="71" t="inlineStr">
        <is>
          <t>NewTrails Capital; NewTrails Forest; Co Limited (China Southern); Fullgoal Fund; E Fund Management Co., Ltd; Relationship E Fund; CICC FT; Qihui Runjin; China AMC; Relationship CITIC AM</t>
        </is>
      </c>
      <c r="AC386" s="71" t="inlineStr">
        <is>
          <t>newtrails;co-limited;fullgoal;fund-management;relationship;china-international;qihui;amc</t>
        </is>
      </c>
      <c r="AD386" s="75" t="n">
        <v>15</v>
      </c>
      <c r="AE386" s="71" t="n"/>
      <c r="AF386" s="71" t="inlineStr">
        <is>
          <t>2025-12-05</t>
        </is>
      </c>
      <c r="AG386" s="71" t="inlineStr">
        <is>
          <t>China International Capital Corporation Hong Kong Securities Limited</t>
        </is>
      </c>
      <c r="AH386" s="71" t="inlineStr">
        <is>
          <t>China International</t>
        </is>
      </c>
      <c r="AI386" s="81" t="n">
        <v>35.878</v>
      </c>
      <c r="AJ386" s="82" t="n">
        <v>25.95</v>
      </c>
      <c r="AK386" s="82" t="n">
        <v>33.51</v>
      </c>
      <c r="AL386" s="82" t="n">
        <v>-5.66</v>
      </c>
      <c r="AM386" s="83" t="n">
        <v>4.69</v>
      </c>
      <c r="AN386" s="75" t="n">
        <v>10.86</v>
      </c>
      <c r="AO386" s="82" t="n">
        <v>17.71</v>
      </c>
      <c r="AP386" s="82" t="n">
        <v>14.5</v>
      </c>
      <c r="AQ386" s="82" t="n">
        <v>17.1</v>
      </c>
      <c r="AR386" s="82" t="n">
        <v>-6.54</v>
      </c>
      <c r="AS386" s="82" t="n">
        <v>-9.09</v>
      </c>
      <c r="AT386" s="82" t="n">
        <v>-7.03</v>
      </c>
      <c r="AU386" s="82" t="n">
        <v>17.93</v>
      </c>
      <c r="AV386" s="82" t="n">
        <v>17.89</v>
      </c>
      <c r="AW386" s="82" t="n">
        <v>18.47</v>
      </c>
      <c r="AX386" s="82" t="n">
        <v>-3.92</v>
      </c>
      <c r="AY386" s="82" t="n">
        <v>-3.39</v>
      </c>
      <c r="AZ386" s="82" t="n">
        <v>-5.17</v>
      </c>
      <c r="BA386" s="71" t="inlineStr">
        <is>
          <t>Hang Seng Commerce &amp; Industry sub-index</t>
        </is>
      </c>
      <c r="BB386" s="82" t="n">
        <v>6.72</v>
      </c>
      <c r="BC386" s="72" t="inlineStr">
        <is>
          <t>2026-09-23</t>
        </is>
      </c>
      <c r="BD386" s="73" t="n">
        <v>3544.2</v>
      </c>
      <c r="BE386" s="76" t="n">
        <v>741.9</v>
      </c>
      <c r="BF386" s="71" t="inlineStr">
        <is>
          <t>Y</t>
        </is>
      </c>
      <c r="BG386" s="83" t="n">
        <v>21</v>
      </c>
      <c r="BH386" s="83" t="n">
        <v>22.3</v>
      </c>
      <c r="BI386" s="83" t="n">
        <v>19.1</v>
      </c>
      <c r="BJ386" s="83" t="n">
        <v>4.4</v>
      </c>
      <c r="BK386" s="84">
        <f>IF('BBG Verify'!S386="","not filed; run on terminal",'BBG Verify'!S386)</f>
        <v/>
      </c>
      <c r="BL386" s="85" t="inlineStr">
        <is>
          <t>N</t>
        </is>
      </c>
      <c r="BM386" s="86">
        <f>IF('BBG Verify'!K386="","not filed; run on terminal",'BBG Verify'!K386)</f>
        <v/>
      </c>
      <c r="BN386" s="71" t="inlineStr">
        <is>
          <t>N/A</t>
        </is>
      </c>
      <c r="BO386" s="71" t="inlineStr">
        <is>
          <t>N/A</t>
        </is>
      </c>
      <c r="BP386" s="71" t="inlineStr">
        <is>
          <t>N/A</t>
        </is>
      </c>
      <c r="BQ386" s="71" t="inlineStr">
        <is>
          <t>N/A</t>
        </is>
      </c>
      <c r="BR386" s="71" t="inlineStr">
        <is>
          <t>N/A</t>
        </is>
      </c>
      <c r="BS386" s="71" t="inlineStr">
        <is>
          <t>N/A</t>
        </is>
      </c>
      <c r="BT386" s="85" t="n"/>
      <c r="BU386" s="71" t="inlineStr">
        <is>
          <t>China International Capital Corporation Hong Kong Securities Limited; CITIC Securities (Hong Kong) Limited; GF Capital (Hong Kong) Limited</t>
        </is>
      </c>
      <c r="BV386" s="71" t="inlineStr">
        <is>
          <t>China International Capital Corporation Hong Kong Securities Limited; CLSA Limited; GF Securities (Hong Kong) Brokerage Limited</t>
        </is>
      </c>
      <c r="BW386" s="71" t="inlineStr">
        <is>
          <t>China International Capital Corporation Hong Kong Securities Limited; CLSA Limited; GF Securities (Hong Kong) Brokerage Limited</t>
        </is>
      </c>
      <c r="BX386" s="71" t="n"/>
      <c r="BY386" s="87">
        <f>HYPERLINK("https://www1.hkexnews.hk/listedco/listconews/sehk/2025/1107/2025110701708.pdf","allotment")</f>
        <v/>
      </c>
      <c r="BZ386" s="71" t="n"/>
      <c r="CA386" s="85" t="n"/>
      <c r="CB38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387" ht="15" customHeight="1">
      <c r="A387" s="70" t="inlineStr">
        <is>
          <t>2579</t>
        </is>
      </c>
      <c r="B387" s="71" t="inlineStr">
        <is>
          <t>CNGR</t>
        </is>
      </c>
      <c r="C387" s="71" t="inlineStr">
        <is>
          <t>中偉新材</t>
        </is>
      </c>
      <c r="D387" s="71" t="inlineStr">
        <is>
          <t>Industrials</t>
        </is>
      </c>
      <c r="E387" s="71" t="inlineStr">
        <is>
          <t>Batteries / energy storage</t>
        </is>
      </c>
      <c r="F387" s="71" t="inlineStr">
        <is>
          <t>Diversified Chemicals</t>
        </is>
      </c>
      <c r="G387" s="71" t="inlineStr">
        <is>
          <t>Standard</t>
        </is>
      </c>
      <c r="H387" s="72" t="n">
        <v>45978</v>
      </c>
      <c r="I387" s="73" t="n">
        <v>3543.7</v>
      </c>
      <c r="J387" s="71" t="inlineStr">
        <is>
          <t>gross (price x shares)</t>
        </is>
      </c>
      <c r="K387" s="74" t="n"/>
      <c r="L387" s="74" t="n">
        <v>37.8</v>
      </c>
      <c r="M387" s="74" t="n">
        <v>34</v>
      </c>
      <c r="N387" s="71" t="inlineStr">
        <is>
          <t>N</t>
        </is>
      </c>
      <c r="O387" s="75" t="n">
        <v>89.90000000000001</v>
      </c>
      <c r="P387" s="75" t="n"/>
      <c r="Q387" s="76" t="n">
        <v>38999</v>
      </c>
      <c r="R387" s="71" t="inlineStr">
        <is>
          <t>aastocks:上市市值 at the struck price</t>
        </is>
      </c>
      <c r="S387" s="77" t="n">
        <v>27.9</v>
      </c>
      <c r="T387" s="78" t="n">
        <v>4.08</v>
      </c>
      <c r="U387" s="79" t="n">
        <v>46.8</v>
      </c>
      <c r="V387" s="80" t="n">
        <v>81</v>
      </c>
      <c r="W387" s="75" t="n">
        <v>10</v>
      </c>
      <c r="X387" s="71" t="inlineStr">
        <is>
          <t>NO</t>
        </is>
      </c>
      <c r="Y387" s="76" t="n">
        <v>1885.25</v>
      </c>
      <c r="Z387" s="76" t="n">
        <v>55447913</v>
      </c>
      <c r="AA387" s="75" t="n">
        <v>4.83</v>
      </c>
      <c r="AB387" s="71" t="inlineStr">
        <is>
          <t>Guizhou New Industrialization Fund; Baoda Investment; CALB Co., Ltd; LENS TECHNOLOGY (HK) CO., LIMITED; Sunwoda; Gaoyi Asset Management; North Rock; Hunan Xingxiang Industry Fund</t>
        </is>
      </c>
      <c r="AC387" s="71" t="inlineStr">
        <is>
          <t>guizhou;baoda;calb;lens;sunwoda;gaoyi;north-rock;hunan</t>
        </is>
      </c>
      <c r="AD387" s="75" t="n">
        <v>15</v>
      </c>
      <c r="AE387" s="71" t="inlineStr">
        <is>
          <t>lapsed</t>
        </is>
      </c>
      <c r="AF387" s="71" t="n"/>
      <c r="AG387" s="71" t="inlineStr">
        <is>
          <t>Morgan Stanley Asia Limited</t>
        </is>
      </c>
      <c r="AH387" s="71" t="inlineStr">
        <is>
          <t>Morgan Stanley</t>
        </is>
      </c>
      <c r="AI387" s="92" t="n">
        <v>-2.412</v>
      </c>
      <c r="AJ387" s="82" t="n">
        <v>-0.12</v>
      </c>
      <c r="AK387" s="82" t="n">
        <v>0</v>
      </c>
      <c r="AL387" s="82" t="n">
        <v>-0.12</v>
      </c>
      <c r="AM387" s="83" t="n">
        <v>1.64</v>
      </c>
      <c r="AN387" s="75" t="n">
        <v>5.88</v>
      </c>
      <c r="AO387" s="82" t="n">
        <v>-10.88</v>
      </c>
      <c r="AP387" s="82" t="n">
        <v>-22.65</v>
      </c>
      <c r="AQ387" s="82" t="n">
        <v>2.53</v>
      </c>
      <c r="AR387" s="82" t="n">
        <v>-10.77</v>
      </c>
      <c r="AS387" s="82" t="n">
        <v>-22.56</v>
      </c>
      <c r="AT387" s="82" t="n">
        <v>2.65</v>
      </c>
      <c r="AU387" s="82" t="n">
        <v>-7.61</v>
      </c>
      <c r="AV387" s="82" t="n">
        <v>-16.86</v>
      </c>
      <c r="AW387" s="82" t="n">
        <v>7.46</v>
      </c>
      <c r="AX387" s="82" t="n">
        <v>-17.39</v>
      </c>
      <c r="AY387" s="82" t="n">
        <v>-5.79</v>
      </c>
      <c r="AZ387" s="82" t="n">
        <v>-5.17</v>
      </c>
      <c r="BA387" s="71" t="inlineStr">
        <is>
          <t>Hang Seng Commerce &amp; Industry sub-index</t>
        </is>
      </c>
      <c r="BB387" s="82" t="n">
        <v>-34.06</v>
      </c>
      <c r="BC387" s="72" t="inlineStr">
        <is>
          <t>2026-09-23</t>
        </is>
      </c>
      <c r="BD387" s="73" t="n">
        <v>44245.2</v>
      </c>
      <c r="BE387" s="76" t="n">
        <v>1966.5</v>
      </c>
      <c r="BF387" s="71" t="inlineStr">
        <is>
          <t>Y</t>
        </is>
      </c>
      <c r="BG387" s="83" t="n">
        <v>19.8</v>
      </c>
      <c r="BH387" s="83" t="n">
        <v>21.5</v>
      </c>
      <c r="BI387" s="83" t="n">
        <v>13.4</v>
      </c>
      <c r="BJ387" s="83" t="n">
        <v>0.9</v>
      </c>
      <c r="BK387" s="84">
        <f>IF('BBG Verify'!S387="","not filed; run on terminal",'BBG Verify'!S387)</f>
        <v/>
      </c>
      <c r="BL387" s="85" t="inlineStr">
        <is>
          <t>Y</t>
        </is>
      </c>
      <c r="BM387" s="71" t="inlineStr">
        <is>
          <t>300919.SZ</t>
        </is>
      </c>
      <c r="BN387" s="82" t="n">
        <v>59.33</v>
      </c>
      <c r="BO387" s="74" t="n">
        <v>54.1727</v>
      </c>
      <c r="BP387" s="89" t="n">
        <v>0.979</v>
      </c>
      <c r="BQ387" s="76" t="n">
        <v>46716.2</v>
      </c>
      <c r="BR387" s="84">
        <f>IF('BBG Verify'!Q387="","run on terminal",'BBG Verify'!Q387)</f>
        <v/>
      </c>
      <c r="BS387" s="84">
        <f>IF('BBG Verify'!R387="","run on terminal",'BBG Verify'!R387)</f>
        <v/>
      </c>
      <c r="BT387" s="85" t="n"/>
      <c r="BU387" s="71" t="inlineStr">
        <is>
          <t>Morgan Stanley Asia Limited; Huatai Financial Holdings (Hong Kong) Limited</t>
        </is>
      </c>
      <c r="BV387" s="71" t="inlineStr">
        <is>
          <t>ABCI Capital Limited; BNP Paribas Securities (Asia) Limited; BOCI Asia Limited; CCB International Capital Limited; China International Capital Corporation Hong Kong Securities Limited; First Shanghai Securities Limited</t>
        </is>
      </c>
      <c r="BW387" s="71"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X387" s="87">
        <f>HYPERLINK("https://www1.hkexnews.hk/listedco/listconews/sehk/2025/1107/2025110700058.htm","prospectus")</f>
        <v/>
      </c>
      <c r="BY387" s="87">
        <f>HYPERLINK("https://www1.hkexnews.hk/listedco/listconews/sehk/2025/1116/2025111600003.pdf","allotment")</f>
        <v/>
      </c>
      <c r="BZ387" s="87">
        <f>HYPERLINK("https://www1.hkexnews.hk/listedco/listconews/sehk/2025/1212/2025121200406.pdf","stabilisation")</f>
        <v/>
      </c>
      <c r="CA387" s="85" t="n"/>
      <c r="CB387" s="71"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70" t="inlineStr">
        <is>
          <t>2788</t>
        </is>
      </c>
      <c r="B388" s="71" t="inlineStr">
        <is>
          <t>CHUANGXIN IND</t>
        </is>
      </c>
      <c r="C388" s="71" t="inlineStr">
        <is>
          <t>創新實業</t>
        </is>
      </c>
      <c r="D388" s="71" t="inlineStr">
        <is>
          <t>Materials/Energy</t>
        </is>
      </c>
      <c r="E388" s="71" t="inlineStr">
        <is>
          <t>Mining / metals</t>
        </is>
      </c>
      <c r="F388" s="71" t="inlineStr">
        <is>
          <t>Aluminum</t>
        </is>
      </c>
      <c r="G388" s="71" t="inlineStr">
        <is>
          <t>Standard</t>
        </is>
      </c>
      <c r="H388" s="72" t="n">
        <v>45985</v>
      </c>
      <c r="I388" s="73" t="n">
        <v>5495</v>
      </c>
      <c r="J388" s="71" t="inlineStr">
        <is>
          <t>gross (stated)</t>
        </is>
      </c>
      <c r="K388" s="74" t="n"/>
      <c r="L388" s="74" t="n">
        <v>10.99</v>
      </c>
      <c r="M388" s="74" t="n">
        <v>10.99</v>
      </c>
      <c r="N388" s="71" t="inlineStr">
        <is>
          <t>Y</t>
        </is>
      </c>
      <c r="O388" s="75" t="n">
        <v>100</v>
      </c>
      <c r="P388" s="75" t="n"/>
      <c r="Q388" s="76" t="n">
        <v>21963.8</v>
      </c>
      <c r="R388" s="71" t="inlineStr">
        <is>
          <t>aastocks:上市市值 at the struck price</t>
        </is>
      </c>
      <c r="S388" s="77" t="n">
        <v>447.2</v>
      </c>
      <c r="T388" s="78" t="n">
        <v>19.85</v>
      </c>
      <c r="U388" s="79" t="n">
        <v>49.66</v>
      </c>
      <c r="V388" s="80" t="n">
        <v>219</v>
      </c>
      <c r="W388" s="75" t="n">
        <v>10</v>
      </c>
      <c r="X388" s="71" t="inlineStr">
        <is>
          <t>NA</t>
        </is>
      </c>
      <c r="Y388" s="76" t="n">
        <v>2766.18</v>
      </c>
      <c r="Z388" s="76" t="n">
        <v>251700000</v>
      </c>
      <c r="AA388" s="75" t="n">
        <v>12.59</v>
      </c>
      <c r="AB388" s="71" t="inlineStr">
        <is>
          <t>HHLR Advisors, Ltd; China Hongqiao Group Limited; Jane Street Asia Trading Limited; Management (HK) Limited</t>
        </is>
      </c>
      <c r="AC388" s="71" t="inlineStr">
        <is>
          <t>hhlr;hongqiao;jane;management-limited</t>
        </is>
      </c>
      <c r="AD388" s="75" t="n">
        <v>15</v>
      </c>
      <c r="AE388" s="71" t="n"/>
      <c r="AF388" s="71" t="inlineStr">
        <is>
          <t>2025-12-19</t>
        </is>
      </c>
      <c r="AG388" s="71" t="inlineStr">
        <is>
          <t>China International Capital Corporation Hong Kong Securities Limited</t>
        </is>
      </c>
      <c r="AH388" s="71" t="inlineStr">
        <is>
          <t>China International</t>
        </is>
      </c>
      <c r="AI388" s="81" t="n">
        <v>30.573</v>
      </c>
      <c r="AJ388" s="82" t="n">
        <v>32.76</v>
      </c>
      <c r="AK388" s="82" t="n">
        <v>38.31</v>
      </c>
      <c r="AL388" s="82" t="n">
        <v>-4.01</v>
      </c>
      <c r="AM388" s="83" t="n">
        <v>3.41</v>
      </c>
      <c r="AN388" s="75" t="n">
        <v>10.66</v>
      </c>
      <c r="AO388" s="82" t="n">
        <v>59.42</v>
      </c>
      <c r="AP388" s="82" t="n">
        <v>78.34</v>
      </c>
      <c r="AQ388" s="82" t="n">
        <v>115.65</v>
      </c>
      <c r="AR388" s="82" t="n">
        <v>20.08</v>
      </c>
      <c r="AS388" s="82" t="n">
        <v>34.33</v>
      </c>
      <c r="AT388" s="82" t="n">
        <v>62.44</v>
      </c>
      <c r="AU388" s="82" t="n">
        <v>55.74</v>
      </c>
      <c r="AV388" s="82" t="n">
        <v>77.44</v>
      </c>
      <c r="AW388" s="82" t="n">
        <v>115.98</v>
      </c>
      <c r="AX388" s="82" t="n">
        <v>35.65</v>
      </c>
      <c r="AY388" s="82" t="n">
        <v>0.9</v>
      </c>
      <c r="AZ388" s="82" t="n">
        <v>-1.32</v>
      </c>
      <c r="BA388" s="71" t="inlineStr">
        <is>
          <t>Hang Seng Commerce &amp; Industry sub-index</t>
        </is>
      </c>
      <c r="BB388" s="82" t="n">
        <v>44.13</v>
      </c>
      <c r="BC388" s="72" t="inlineStr">
        <is>
          <t>2026-09-23</t>
        </is>
      </c>
      <c r="BD388" s="73" t="n">
        <v>16679.5</v>
      </c>
      <c r="BE388" s="76" t="n">
        <v>2261.8</v>
      </c>
      <c r="BF388" s="71" t="inlineStr">
        <is>
          <t>Y</t>
        </is>
      </c>
      <c r="BG388" s="83" t="n">
        <v>9.699999999999999</v>
      </c>
      <c r="BH388" s="83" t="n"/>
      <c r="BI388" s="83" t="n"/>
      <c r="BJ388" s="83" t="n">
        <v>1.3</v>
      </c>
      <c r="BK388" s="84">
        <f>IF('BBG Verify'!S388="","not filed; run on terminal",'BBG Verify'!S388)</f>
        <v/>
      </c>
      <c r="BL388" s="85" t="inlineStr">
        <is>
          <t>N</t>
        </is>
      </c>
      <c r="BM388" s="86">
        <f>IF('BBG Verify'!K388="","not filed; run on terminal",'BBG Verify'!K388)</f>
        <v/>
      </c>
      <c r="BN388" s="71" t="inlineStr">
        <is>
          <t>N/A</t>
        </is>
      </c>
      <c r="BO388" s="71" t="inlineStr">
        <is>
          <t>N/A</t>
        </is>
      </c>
      <c r="BP388" s="71" t="inlineStr">
        <is>
          <t>N/A</t>
        </is>
      </c>
      <c r="BQ388" s="71" t="inlineStr">
        <is>
          <t>N/A</t>
        </is>
      </c>
      <c r="BR388" s="71" t="inlineStr">
        <is>
          <t>N/A</t>
        </is>
      </c>
      <c r="BS388" s="71" t="inlineStr">
        <is>
          <t>N/A</t>
        </is>
      </c>
      <c r="BT388" s="85" t="n"/>
      <c r="BU388" s="71" t="inlineStr">
        <is>
          <t>China International Capital Corporation Hong Kong Securities Limited; Huatai Financial Holdings (Hong Kong) Limited</t>
        </is>
      </c>
      <c r="BV388" s="71" t="inlineStr">
        <is>
          <t>AVICT Global Asset Management Limited; BOCI Asia Limited; China International Capital Corporation Hong Kong Securities Limited; CMB International Capital Limited; Futu Securities International (Hong Kong) Limited; Huatai Financial Holdings (Hong Kong) Limited</t>
        </is>
      </c>
      <c r="BW388" s="71"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X388" s="71" t="n"/>
      <c r="BY388" s="87">
        <f>HYPERLINK("https://www1.hkexnews.hk/listedco/listconews/sehk/2025/1121/2025112101421.pdf","allotment")</f>
        <v/>
      </c>
      <c r="BZ388" s="71" t="n"/>
      <c r="CA388" s="85" t="n"/>
      <c r="CB388"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389" ht="15" customHeight="1">
      <c r="A389" s="70" t="inlineStr">
        <is>
          <t>2685</t>
        </is>
      </c>
      <c r="B389" s="71" t="inlineStr">
        <is>
          <t>QUANTGROUP</t>
        </is>
      </c>
      <c r="C389" s="71" t="inlineStr">
        <is>
          <t>量化派</t>
        </is>
      </c>
      <c r="D389" s="71" t="inlineStr">
        <is>
          <t>Tech/AI</t>
        </is>
      </c>
      <c r="E389" s="71" t="inlineStr">
        <is>
          <t>Internet platform / e-commerce</t>
        </is>
      </c>
      <c r="F389" s="71" t="inlineStr">
        <is>
          <t>e-Commerce &amp; Internet Services</t>
        </is>
      </c>
      <c r="G389" s="71" t="inlineStr">
        <is>
          <t>Standard</t>
        </is>
      </c>
      <c r="H389" s="72" t="n">
        <v>45988</v>
      </c>
      <c r="I389" s="73" t="n">
        <v>130.81</v>
      </c>
      <c r="J389" s="71" t="inlineStr">
        <is>
          <t>gross (stated)</t>
        </is>
      </c>
      <c r="K389" s="74" t="n">
        <v>8.800000000000001</v>
      </c>
      <c r="L389" s="74" t="n">
        <v>9.800000000000001</v>
      </c>
      <c r="M389" s="74" t="n">
        <v>9.800000000000001</v>
      </c>
      <c r="N389" s="71" t="inlineStr">
        <is>
          <t>Y</t>
        </is>
      </c>
      <c r="O389" s="75" t="n">
        <v>100</v>
      </c>
      <c r="P389" s="75" t="n">
        <v>100</v>
      </c>
      <c r="Q389" s="76" t="n">
        <v>5031.2</v>
      </c>
      <c r="R389" s="71" t="inlineStr">
        <is>
          <t>derived:deal size / offer % of enlarged capital</t>
        </is>
      </c>
      <c r="S389" s="77" t="n">
        <v>9366.280000000001</v>
      </c>
      <c r="T389" s="78" t="n">
        <v>15.07</v>
      </c>
      <c r="U389" s="79" t="n">
        <v>0</v>
      </c>
      <c r="V389" s="80" t="n">
        <v>97</v>
      </c>
      <c r="W389" s="75" t="n">
        <v>10</v>
      </c>
      <c r="X389" s="71" t="inlineStr">
        <is>
          <t>NO</t>
        </is>
      </c>
      <c r="Y389" s="76" t="n">
        <v>130.81</v>
      </c>
      <c r="Z389" s="76" t="n"/>
      <c r="AA389" s="75" t="n">
        <v>2.6</v>
      </c>
      <c r="AB389" s="71" t="n"/>
      <c r="AC389" s="71" t="n"/>
      <c r="AD389" s="75" t="n">
        <v>15</v>
      </c>
      <c r="AE389" s="71" t="inlineStr">
        <is>
          <t>partial</t>
        </is>
      </c>
      <c r="AF389" s="71" t="inlineStr">
        <is>
          <t>2025-12-24</t>
        </is>
      </c>
      <c r="AG389" s="71" t="inlineStr">
        <is>
          <t>China International Capital Corporation Hong Kong Securities Limited</t>
        </is>
      </c>
      <c r="AH389" s="71" t="inlineStr">
        <is>
          <t>China International</t>
        </is>
      </c>
      <c r="AI389" s="81" t="n">
        <v>185.714</v>
      </c>
      <c r="AJ389" s="82" t="n">
        <v>88.78</v>
      </c>
      <c r="AK389" s="82" t="n">
        <v>165.31</v>
      </c>
      <c r="AL389" s="82" t="n">
        <v>-28.85</v>
      </c>
      <c r="AM389" s="83" t="n">
        <v>3.67</v>
      </c>
      <c r="AN389" s="75" t="n">
        <v>36.54</v>
      </c>
      <c r="AO389" s="82" t="n">
        <v>189.8</v>
      </c>
      <c r="AP389" s="82" t="n">
        <v>177.76</v>
      </c>
      <c r="AQ389" s="82" t="n">
        <v>208.98</v>
      </c>
      <c r="AR389" s="82" t="n">
        <v>53.51</v>
      </c>
      <c r="AS389" s="82" t="n">
        <v>47.13</v>
      </c>
      <c r="AT389" s="82" t="n">
        <v>63.67</v>
      </c>
      <c r="AU389" s="82" t="n">
        <v>189.89</v>
      </c>
      <c r="AV389" s="82" t="n">
        <v>178.58</v>
      </c>
      <c r="AW389" s="82" t="n">
        <v>223.24</v>
      </c>
      <c r="AX389" s="82" t="n">
        <v>47.59</v>
      </c>
      <c r="AY389" s="82" t="n">
        <v>-0.82</v>
      </c>
      <c r="AZ389" s="82" t="n">
        <v>-0.46</v>
      </c>
      <c r="BA389" s="71" t="inlineStr">
        <is>
          <t>HSTECH (Hang Seng TECH ETF)</t>
        </is>
      </c>
      <c r="BB389" s="82" t="n">
        <v>-61.53</v>
      </c>
      <c r="BC389" s="72" t="inlineStr">
        <is>
          <t>2026-09-23</t>
        </is>
      </c>
      <c r="BD389" s="73" t="n">
        <v>1092.3</v>
      </c>
      <c r="BE389" s="76" t="n">
        <v>161.8</v>
      </c>
      <c r="BF389" s="71" t="inlineStr">
        <is>
          <t>Y</t>
        </is>
      </c>
      <c r="BG389" s="83" t="n">
        <v>31.1</v>
      </c>
      <c r="BH389" s="83" t="n"/>
      <c r="BI389" s="83" t="n"/>
      <c r="BJ389" s="83" t="n">
        <v>4.6</v>
      </c>
      <c r="BK389" s="84">
        <f>IF('BBG Verify'!S389="","not filed; run on terminal",'BBG Verify'!S389)</f>
        <v/>
      </c>
      <c r="BL389" s="85" t="inlineStr">
        <is>
          <t>N</t>
        </is>
      </c>
      <c r="BM389" s="86">
        <f>IF('BBG Verify'!K389="","not filed; run on terminal",'BBG Verify'!K389)</f>
        <v/>
      </c>
      <c r="BN389" s="71" t="inlineStr">
        <is>
          <t>N/A</t>
        </is>
      </c>
      <c r="BO389" s="71" t="inlineStr">
        <is>
          <t>N/A</t>
        </is>
      </c>
      <c r="BP389" s="71" t="inlineStr">
        <is>
          <t>N/A</t>
        </is>
      </c>
      <c r="BQ389" s="71" t="inlineStr">
        <is>
          <t>N/A</t>
        </is>
      </c>
      <c r="BR389" s="71" t="inlineStr">
        <is>
          <t>N/A</t>
        </is>
      </c>
      <c r="BS389" s="71" t="inlineStr">
        <is>
          <t>N/A</t>
        </is>
      </c>
      <c r="BT389" s="85" t="inlineStr">
        <is>
          <t>China International Capital Corporation Hong Kong Securities Limited; Hong Kong SAR CITIC Securities (Hong Kong) Limited</t>
        </is>
      </c>
      <c r="BU389" s="71" t="inlineStr">
        <is>
          <t>China International Capital Corporation Hong Kong Securities Limited; CITIC Securities (Hong Kong) Limited</t>
        </is>
      </c>
      <c r="BV389" s="71"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W389" s="71" t="inlineStr">
        <is>
          <t>China International Capital Corporation Hong Kong Securities Limited; CLSA Limited; Fosun International Securities Limited; Futu Securities International (Hong Kong) Limited; Tiger Brokers (HK) Global Limited</t>
        </is>
      </c>
      <c r="BX389" s="87">
        <f>HYPERLINK("https://www1.hkexnews.hk/listedco/listconews/sehk/2025/1119/2025111900009.pdf","prospectus")</f>
        <v/>
      </c>
      <c r="BY389" s="87">
        <f>HYPERLINK("https://www1.hkexnews.hk/listedco/listconews/sehk/2025/1126/2025112601522.pdf","allotment")</f>
        <v/>
      </c>
      <c r="BZ389" s="87">
        <f>HYPERLINK("https://www1.hkexnews.hk/listedco/listconews/sehk/2025/1224/2025122401992.pdf","stabilisation")</f>
        <v/>
      </c>
      <c r="CA389" s="85" t="n"/>
      <c r="CB389" s="71" t="inlineStr">
        <is>
          <t>cornerstone list: no cornerstone tranche; eff float shares: share count unavailable; the HK$m figure is exact</t>
        </is>
      </c>
    </row>
    <row r="390" ht="15" customHeight="1">
      <c r="A390" s="70" t="inlineStr">
        <is>
          <t>9609</t>
        </is>
      </c>
      <c r="B390" s="71" t="inlineStr">
        <is>
          <t>HAIWEI ELEC</t>
        </is>
      </c>
      <c r="C390" s="71" t="inlineStr">
        <is>
          <t>海偉股份</t>
        </is>
      </c>
      <c r="D390" s="71" t="inlineStr">
        <is>
          <t>Materials/Energy</t>
        </is>
      </c>
      <c r="E390" s="71" t="inlineStr">
        <is>
          <t>Chemicals</t>
        </is>
      </c>
      <c r="F390" s="71" t="inlineStr">
        <is>
          <t>Electrical Components &amp; Equipment</t>
        </is>
      </c>
      <c r="G390" s="71" t="inlineStr">
        <is>
          <t>Standard</t>
        </is>
      </c>
      <c r="H390" s="72" t="n">
        <v>45989</v>
      </c>
      <c r="I390" s="73" t="n">
        <v>506.31</v>
      </c>
      <c r="J390" s="71" t="inlineStr">
        <is>
          <t>gross (stated)</t>
        </is>
      </c>
      <c r="K390" s="74" t="n"/>
      <c r="L390" s="74" t="n">
        <v>14.28</v>
      </c>
      <c r="M390" s="74" t="n">
        <v>14.28</v>
      </c>
      <c r="N390" s="71" t="inlineStr">
        <is>
          <t>Y</t>
        </is>
      </c>
      <c r="O390" s="75" t="n">
        <v>100</v>
      </c>
      <c r="P390" s="75" t="n"/>
      <c r="Q390" s="76" t="n">
        <v>17399</v>
      </c>
      <c r="R390" s="71" t="inlineStr">
        <is>
          <t>derived:deal size / offer % of enlarged capital</t>
        </is>
      </c>
      <c r="S390" s="77" t="n">
        <v>5426.27</v>
      </c>
      <c r="T390" s="78" t="n">
        <v>6.11</v>
      </c>
      <c r="U390" s="79" t="n">
        <v>43.1</v>
      </c>
      <c r="V390" s="80" t="n">
        <v>54</v>
      </c>
      <c r="W390" s="75" t="n">
        <v>10</v>
      </c>
      <c r="X390" s="71" t="inlineStr">
        <is>
          <t>NA</t>
        </is>
      </c>
      <c r="Y390" s="76" t="n">
        <v>288.09</v>
      </c>
      <c r="Z390" s="76" t="n">
        <v>20174464</v>
      </c>
      <c r="AA390" s="75" t="n">
        <v>1.66</v>
      </c>
      <c r="AB390" s="71" t="inlineStr">
        <is>
          <t>Huatai Capital Investment Limited; BYD Company Limited –; Sungrow Power Note 1 –; CICC Pucheng Investment Co., Ltd. –; Horizon Splendor</t>
        </is>
      </c>
      <c r="AC390" s="71" t="inlineStr">
        <is>
          <t>huatai;byd;sungrow;china-international;horizon</t>
        </is>
      </c>
      <c r="AD390" s="75" t="n">
        <v>15</v>
      </c>
      <c r="AE390" s="71" t="inlineStr">
        <is>
          <t>partial</t>
        </is>
      </c>
      <c r="AF390" s="71" t="inlineStr">
        <is>
          <t>2025-12-25</t>
        </is>
      </c>
      <c r="AG390" s="71" t="inlineStr">
        <is>
          <t>China International Capital Corporation Hong Kong Securities Limited</t>
        </is>
      </c>
      <c r="AH390" s="71" t="inlineStr">
        <is>
          <t>China International</t>
        </is>
      </c>
      <c r="AI390" s="92" t="n">
        <v>0.49</v>
      </c>
      <c r="AJ390" s="82" t="n">
        <v>-22.97</v>
      </c>
      <c r="AK390" s="82" t="n">
        <v>-5.46</v>
      </c>
      <c r="AL390" s="82" t="n">
        <v>-18.52</v>
      </c>
      <c r="AM390" s="83" t="n">
        <v>4.55</v>
      </c>
      <c r="AN390" s="75" t="n">
        <v>18.52</v>
      </c>
      <c r="AO390" s="82" t="n">
        <v>-21.5</v>
      </c>
      <c r="AP390" s="82" t="n">
        <v>-35.43</v>
      </c>
      <c r="AQ390" s="82" t="n">
        <v>-36.2</v>
      </c>
      <c r="AR390" s="82" t="n">
        <v>1.91</v>
      </c>
      <c r="AS390" s="82" t="n">
        <v>-16.18</v>
      </c>
      <c r="AT390" s="82" t="n">
        <v>-17.18</v>
      </c>
      <c r="AU390" s="82" t="n">
        <v>-22.87</v>
      </c>
      <c r="AV390" s="82" t="n">
        <v>-32.73</v>
      </c>
      <c r="AW390" s="82" t="n">
        <v>-27.85</v>
      </c>
      <c r="AX390" s="82" t="n">
        <v>-13.63</v>
      </c>
      <c r="AY390" s="82" t="n">
        <v>-2.7</v>
      </c>
      <c r="AZ390" s="82" t="n">
        <v>-2.55</v>
      </c>
      <c r="BA390" s="71" t="inlineStr">
        <is>
          <t>Hang Seng Commerce &amp; Industry sub-index</t>
        </is>
      </c>
      <c r="BB390" s="82" t="n">
        <v>-50.84</v>
      </c>
      <c r="BC390" s="72" t="inlineStr">
        <is>
          <t>2026-09-23</t>
        </is>
      </c>
      <c r="BD390" s="73" t="n">
        <v>463.9</v>
      </c>
      <c r="BE390" s="76" t="n">
        <v>95.09999999999999</v>
      </c>
      <c r="BF390" s="71" t="inlineStr">
        <is>
          <t>Y</t>
        </is>
      </c>
      <c r="BG390" s="83" t="n">
        <v>183</v>
      </c>
      <c r="BH390" s="83" t="n"/>
      <c r="BI390" s="83" t="n"/>
      <c r="BJ390" s="83" t="n">
        <v>37.5</v>
      </c>
      <c r="BK390" s="84">
        <f>IF('BBG Verify'!S390="","not filed; run on terminal",'BBG Verify'!S390)</f>
        <v/>
      </c>
      <c r="BL390" s="85" t="inlineStr">
        <is>
          <t>N</t>
        </is>
      </c>
      <c r="BM390" s="86">
        <f>IF('BBG Verify'!K390="","not filed; run on terminal",'BBG Verify'!K390)</f>
        <v/>
      </c>
      <c r="BN390" s="71" t="inlineStr">
        <is>
          <t>N/A</t>
        </is>
      </c>
      <c r="BO390" s="71" t="inlineStr">
        <is>
          <t>N/A</t>
        </is>
      </c>
      <c r="BP390" s="71" t="inlineStr">
        <is>
          <t>N/A</t>
        </is>
      </c>
      <c r="BQ390" s="71" t="inlineStr">
        <is>
          <t>N/A</t>
        </is>
      </c>
      <c r="BR390" s="71" t="inlineStr">
        <is>
          <t>N/A</t>
        </is>
      </c>
      <c r="BS390" s="71" t="inlineStr">
        <is>
          <t>N/A</t>
        </is>
      </c>
      <c r="BT390" s="85" t="inlineStr">
        <is>
          <t>China International Capital Corporation Hong Kong Securities Limited</t>
        </is>
      </c>
      <c r="BU390" s="71" t="inlineStr">
        <is>
          <t>China International Capital Corporation Hong Kong Securities Limited</t>
        </is>
      </c>
      <c r="BV390" s="71" t="inlineStr">
        <is>
          <t>China International Capital Corporation Hong Kong Securities Limited; China Securities (International) Corporate Finance Company Limited; CLSA Limited; CCB International Capital Limited; BOCI Asia Limited; Huizhi International Capital Holdings Co., Limited</t>
        </is>
      </c>
      <c r="BW390" s="71"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X390" s="87">
        <f>HYPERLINK("https://www1.hkexnews.hk/listedco/listconews/sehk/2025/1120/2025112000009.pdf","prospectus")</f>
        <v/>
      </c>
      <c r="BY390" s="87">
        <f>HYPERLINK("https://www1.hkexnews.hk/listedco/listconews/sehk/2025/1127/2025112701630.pdf","allotment")</f>
        <v/>
      </c>
      <c r="BZ390" s="87">
        <f>HYPERLINK("https://www1.hkexnews.hk/listedco/listconews/sehk/2025/1228/2025122800169.pdf","stabilisation")</f>
        <v/>
      </c>
      <c r="CA390" s="85" t="n"/>
      <c r="CB390" s="71" t="inlineStr">
        <is>
          <t>range low: maximum offer price only, no floor published</t>
        </is>
      </c>
    </row>
    <row r="391" ht="15" customHeight="1">
      <c r="A391" s="70" t="inlineStr">
        <is>
          <t>2539</t>
        </is>
      </c>
      <c r="B391" s="71" t="inlineStr">
        <is>
          <t>LEMO SERVICES</t>
        </is>
      </c>
      <c r="C391" s="71" t="inlineStr">
        <is>
          <t>樂摩科技</t>
        </is>
      </c>
      <c r="D391" s="71" t="inlineStr">
        <is>
          <t>Real Estate</t>
        </is>
      </c>
      <c r="E391" s="71" t="inlineStr">
        <is>
          <t>Property management</t>
        </is>
      </c>
      <c r="F391" s="71" t="inlineStr">
        <is>
          <t>Leisure Products</t>
        </is>
      </c>
      <c r="G391" s="71" t="inlineStr">
        <is>
          <t>Standard</t>
        </is>
      </c>
      <c r="H391" s="72" t="n">
        <v>45994</v>
      </c>
      <c r="I391" s="73" t="n">
        <v>222.22</v>
      </c>
      <c r="J391" s="71" t="inlineStr">
        <is>
          <t>gross (stated)</t>
        </is>
      </c>
      <c r="K391" s="74" t="n">
        <v>27</v>
      </c>
      <c r="L391" s="74" t="n">
        <v>40</v>
      </c>
      <c r="M391" s="74" t="n">
        <v>40</v>
      </c>
      <c r="N391" s="71" t="inlineStr">
        <is>
          <t>Y</t>
        </is>
      </c>
      <c r="O391" s="75" t="n">
        <v>100</v>
      </c>
      <c r="P391" s="75" t="n">
        <v>100</v>
      </c>
      <c r="Q391" s="76" t="n">
        <v>2222.2</v>
      </c>
      <c r="R391" s="71" t="inlineStr">
        <is>
          <t>derived:price x shares upon listing</t>
        </is>
      </c>
      <c r="S391" s="77" t="n">
        <v>7324.29</v>
      </c>
      <c r="T391" s="78" t="n">
        <v>6.78</v>
      </c>
      <c r="U391" s="79" t="n">
        <v>0</v>
      </c>
      <c r="V391" s="80" t="n">
        <v>131</v>
      </c>
      <c r="W391" s="75" t="n">
        <v>10</v>
      </c>
      <c r="X391" s="71" t="inlineStr">
        <is>
          <t>NA</t>
        </is>
      </c>
      <c r="Y391" s="76" t="n">
        <v>222.22</v>
      </c>
      <c r="Z391" s="76" t="n">
        <v>5555600</v>
      </c>
      <c r="AA391" s="75" t="n">
        <v>10</v>
      </c>
      <c r="AB391" s="71" t="n"/>
      <c r="AC391" s="71" t="n"/>
      <c r="AD391" s="75" t="n"/>
      <c r="AE391" s="71" t="n"/>
      <c r="AF391" s="71" t="n"/>
      <c r="AG391" s="71" t="n"/>
      <c r="AH391" s="71" t="n"/>
      <c r="AI391" s="81" t="n">
        <v>62.5</v>
      </c>
      <c r="AJ391" s="82" t="n">
        <v>36.25</v>
      </c>
      <c r="AK391" s="82" t="n">
        <v>62</v>
      </c>
      <c r="AL391" s="82" t="n">
        <v>-15.9</v>
      </c>
      <c r="AM391" s="83" t="n">
        <v>4.6</v>
      </c>
      <c r="AN391" s="75" t="n">
        <v>45.29</v>
      </c>
      <c r="AO391" s="82" t="n">
        <v>66.75</v>
      </c>
      <c r="AP391" s="82" t="n">
        <v>-16.05</v>
      </c>
      <c r="AQ391" s="82" t="n">
        <v>-55.7</v>
      </c>
      <c r="AR391" s="82" t="n">
        <v>22.39</v>
      </c>
      <c r="AS391" s="82" t="n">
        <v>-38.39</v>
      </c>
      <c r="AT391" s="82" t="n">
        <v>-67.48999999999999</v>
      </c>
      <c r="AU391" s="82" t="n">
        <v>71.5</v>
      </c>
      <c r="AV391" s="82" t="n">
        <v>-14.01</v>
      </c>
      <c r="AW391" s="82" t="n">
        <v>-68.91</v>
      </c>
      <c r="AX391" s="82" t="n">
        <v>-37.95</v>
      </c>
      <c r="AY391" s="82" t="n">
        <v>-2.04</v>
      </c>
      <c r="AZ391" s="82" t="n">
        <v>-0.44</v>
      </c>
      <c r="BA391" s="71" t="inlineStr">
        <is>
          <t>Hang Seng Properties sub-index</t>
        </is>
      </c>
      <c r="BB391" s="82" t="n">
        <v>-78.88</v>
      </c>
      <c r="BC391" s="72" t="inlineStr">
        <is>
          <t>2026-09-23</t>
        </is>
      </c>
      <c r="BD391" s="73" t="n">
        <v>877.8</v>
      </c>
      <c r="BE391" s="76" t="n">
        <v>94.40000000000001</v>
      </c>
      <c r="BF391" s="71" t="inlineStr">
        <is>
          <t>Y</t>
        </is>
      </c>
      <c r="BG391" s="83" t="n">
        <v>23.5</v>
      </c>
      <c r="BH391" s="83" t="n"/>
      <c r="BI391" s="83" t="n"/>
      <c r="BJ391" s="83" t="n">
        <v>2.5</v>
      </c>
      <c r="BK391" s="84">
        <f>IF('BBG Verify'!S391="","not filed; run on terminal",'BBG Verify'!S391)</f>
        <v/>
      </c>
      <c r="BL391" s="85" t="inlineStr">
        <is>
          <t>N</t>
        </is>
      </c>
      <c r="BM391" s="86">
        <f>IF('BBG Verify'!K391="","not filed; run on terminal",'BBG Verify'!K391)</f>
        <v/>
      </c>
      <c r="BN391" s="71" t="inlineStr">
        <is>
          <t>N/A</t>
        </is>
      </c>
      <c r="BO391" s="71" t="inlineStr">
        <is>
          <t>N/A</t>
        </is>
      </c>
      <c r="BP391" s="71" t="inlineStr">
        <is>
          <t>N/A</t>
        </is>
      </c>
      <c r="BQ391" s="71" t="inlineStr">
        <is>
          <t>N/A</t>
        </is>
      </c>
      <c r="BR391" s="71" t="inlineStr">
        <is>
          <t>N/A</t>
        </is>
      </c>
      <c r="BS391" s="71" t="inlineStr">
        <is>
          <t>N/A</t>
        </is>
      </c>
      <c r="BT391" s="85" t="inlineStr">
        <is>
          <t>China Securities (International) Corporate Finance Company Limited; Shenwan Hongyuan Capital (H.K.) Limited</t>
        </is>
      </c>
      <c r="BU391" s="71" t="inlineStr">
        <is>
          <t>China Securities (International) Corporate Finance Company Limited; Shenwan Hongyuan Capital (H.K.) Limited</t>
        </is>
      </c>
      <c r="BV391" s="71"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W391" s="71"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X391" s="87">
        <f>HYPERLINK("https://www1.hkexnews.hk/listedco/listconews/sehk/2025/1125/2025112500051.pdf","prospectus")</f>
        <v/>
      </c>
      <c r="BY391" s="87">
        <f>HYPERLINK("https://www1.hkexnews.hk/listedco/listconews/sehk/2025/1202/2025120202454.pdf","allotment")</f>
        <v/>
      </c>
      <c r="BZ391" s="71" t="n"/>
      <c r="CA391" s="85" t="n"/>
      <c r="CB391"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70" t="inlineStr">
        <is>
          <t>2693</t>
        </is>
      </c>
      <c r="B392" s="71" t="inlineStr">
        <is>
          <t>JINYAN KAOLIN</t>
        </is>
      </c>
      <c r="C392" s="71" t="inlineStr">
        <is>
          <t>金岩高嶺新材</t>
        </is>
      </c>
      <c r="D392" s="71" t="inlineStr">
        <is>
          <t>Materials/Energy</t>
        </is>
      </c>
      <c r="E392" s="71" t="inlineStr">
        <is>
          <t>Mining / metals</t>
        </is>
      </c>
      <c r="F392" s="71" t="inlineStr">
        <is>
          <t>Diversified Metals &amp; Minerals</t>
        </is>
      </c>
      <c r="G392" s="71" t="inlineStr">
        <is>
          <t>Standard</t>
        </is>
      </c>
      <c r="H392" s="72" t="n">
        <v>45994</v>
      </c>
      <c r="I392" s="73" t="n">
        <v>177.4</v>
      </c>
      <c r="J392" s="71" t="inlineStr">
        <is>
          <t>gross (price x shares)</t>
        </is>
      </c>
      <c r="K392" s="74" t="n"/>
      <c r="L392" s="74" t="n">
        <v>7.3</v>
      </c>
      <c r="M392" s="74" t="n">
        <v>7.3</v>
      </c>
      <c r="N392" s="71" t="inlineStr">
        <is>
          <t>Y</t>
        </is>
      </c>
      <c r="O392" s="75" t="n">
        <v>100</v>
      </c>
      <c r="P392" s="75" t="n"/>
      <c r="Q392" s="76" t="n">
        <v>709.5</v>
      </c>
      <c r="R392" s="71" t="inlineStr">
        <is>
          <t>derived:price x shares upon listing</t>
        </is>
      </c>
      <c r="S392" s="77" t="n">
        <v>6876.17</v>
      </c>
      <c r="T392" s="78" t="n">
        <v>2.01</v>
      </c>
      <c r="U392" s="79" t="n">
        <v>80.2</v>
      </c>
      <c r="V392" s="80" t="n">
        <v>94</v>
      </c>
      <c r="W392" s="75" t="n">
        <v>10</v>
      </c>
      <c r="X392" s="71" t="inlineStr">
        <is>
          <t>NO</t>
        </is>
      </c>
      <c r="Y392" s="76" t="n">
        <v>35.13</v>
      </c>
      <c r="Z392" s="76" t="n">
        <v>4811400</v>
      </c>
      <c r="AA392" s="75" t="n">
        <v>4.95</v>
      </c>
      <c r="AB392" s="71" t="n"/>
      <c r="AC392" s="71" t="n"/>
      <c r="AD392" s="75" t="n">
        <v>6.1</v>
      </c>
      <c r="AE392" s="71" t="inlineStr">
        <is>
          <t>lapsed</t>
        </is>
      </c>
      <c r="AF392" s="71" t="n"/>
      <c r="AG392" s="71" t="inlineStr">
        <is>
          <t>Guoyuan Securities Brokerage</t>
        </is>
      </c>
      <c r="AH392" s="71" t="inlineStr">
        <is>
          <t>Guoyuan</t>
        </is>
      </c>
      <c r="AI392" s="81" t="n">
        <v>35.753</v>
      </c>
      <c r="AJ392" s="82" t="n">
        <v>2.19</v>
      </c>
      <c r="AK392" s="82" t="n">
        <v>27.4</v>
      </c>
      <c r="AL392" s="82" t="n">
        <v>-19.79</v>
      </c>
      <c r="AM392" s="83" t="n">
        <v>4.65</v>
      </c>
      <c r="AN392" s="75" t="n">
        <v>27.42</v>
      </c>
      <c r="AO392" s="82" t="n">
        <v>-11.51</v>
      </c>
      <c r="AP392" s="82" t="n">
        <v>-41.1</v>
      </c>
      <c r="AQ392" s="82" t="n">
        <v>-39.04</v>
      </c>
      <c r="AR392" s="82" t="n">
        <v>-13.41</v>
      </c>
      <c r="AS392" s="82" t="n">
        <v>-42.36</v>
      </c>
      <c r="AT392" s="82" t="n">
        <v>-40.35</v>
      </c>
      <c r="AU392" s="82" t="n">
        <v>-9.6</v>
      </c>
      <c r="AV392" s="82" t="n">
        <v>-41.44</v>
      </c>
      <c r="AW392" s="82" t="n">
        <v>-33.29</v>
      </c>
      <c r="AX392" s="82" t="n">
        <v>-43.88</v>
      </c>
      <c r="AY392" s="82" t="n">
        <v>0.34</v>
      </c>
      <c r="AZ392" s="82" t="n">
        <v>1.52</v>
      </c>
      <c r="BA392" s="71" t="inlineStr">
        <is>
          <t>Hang Seng Commerce &amp; Industry sub-index</t>
        </is>
      </c>
      <c r="BB392" s="82" t="n">
        <v>-60.75</v>
      </c>
      <c r="BC392" s="72" t="inlineStr">
        <is>
          <t>2026-09-23</t>
        </is>
      </c>
      <c r="BD392" s="73" t="n">
        <v>293.9</v>
      </c>
      <c r="BE392" s="76" t="n">
        <v>57.9</v>
      </c>
      <c r="BF392" s="71" t="inlineStr">
        <is>
          <t>Y</t>
        </is>
      </c>
      <c r="BG392" s="83" t="n">
        <v>12.3</v>
      </c>
      <c r="BH392" s="83" t="n"/>
      <c r="BI392" s="83" t="n"/>
      <c r="BJ392" s="83" t="n">
        <v>2.4</v>
      </c>
      <c r="BK392" s="84">
        <f>IF('BBG Verify'!S392="","not filed; run on terminal",'BBG Verify'!S392)</f>
        <v/>
      </c>
      <c r="BL392" s="85" t="inlineStr">
        <is>
          <t>N</t>
        </is>
      </c>
      <c r="BM392" s="86">
        <f>IF('BBG Verify'!K392="","not filed; run on terminal",'BBG Verify'!K392)</f>
        <v/>
      </c>
      <c r="BN392" s="71" t="inlineStr">
        <is>
          <t>N/A</t>
        </is>
      </c>
      <c r="BO392" s="71" t="inlineStr">
        <is>
          <t>N/A</t>
        </is>
      </c>
      <c r="BP392" s="71" t="inlineStr">
        <is>
          <t>N/A</t>
        </is>
      </c>
      <c r="BQ392" s="71" t="inlineStr">
        <is>
          <t>N/A</t>
        </is>
      </c>
      <c r="BR392" s="71" t="inlineStr">
        <is>
          <t>N/A</t>
        </is>
      </c>
      <c r="BS392" s="71" t="inlineStr">
        <is>
          <t>N/A</t>
        </is>
      </c>
      <c r="BT392" s="85" t="inlineStr">
        <is>
          <t>Guoyuan Capital (Hong Kong) Limited; CMBC International Capital Limited</t>
        </is>
      </c>
      <c r="BU392" s="71" t="inlineStr">
        <is>
          <t>Guoyuan Capital (Hong Kong) Limited; CMBC International Capital Limited</t>
        </is>
      </c>
      <c r="BV392" s="71" t="inlineStr">
        <is>
          <t>China Sunrise Securities (International) Limited; First Shanghai Securities Limited; Futu Securities International (Hong Kong) Limited; ICBC International Securities Limited; Shenwan Hongyuan Securities (H.K.) Limited; uSmart Securities Limited</t>
        </is>
      </c>
      <c r="BW392" s="71"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X392" s="87">
        <f>HYPERLINK("https://www1.hkexnews.hk/listedco/listconews/sehk/2025/1125/2025112500049.pdf","prospectus")</f>
        <v/>
      </c>
      <c r="BY392" s="87">
        <f>HYPERLINK("https://www1.hkexnews.hk/listedco/listconews/sehk/2025/1202/2025120202632.pdf","allotment")</f>
        <v/>
      </c>
      <c r="BZ392" s="87">
        <f>HYPERLINK("https://www1.hkexnews.hk/listedco/listconews/sehk/2025/1228/2025122800123.pdf","stabilisation")</f>
        <v/>
      </c>
      <c r="CA392" s="85" t="n"/>
      <c r="CB392" s="71" t="inlineStr">
        <is>
          <t>greenshoe: outcome published; expiry date not in the notice; range low: maximum offer price only, no floor published; cornerstone list: 80.2% locked; investor table not extractable, names are in the prospectus</t>
        </is>
      </c>
    </row>
    <row r="393" ht="15" customHeight="1">
      <c r="A393" s="70" t="inlineStr">
        <is>
          <t>2408</t>
        </is>
      </c>
      <c r="B393" s="71" t="inlineStr">
        <is>
          <t>XIAO NOODLES</t>
        </is>
      </c>
      <c r="C393" s="71" t="inlineStr">
        <is>
          <t>遇見小麵</t>
        </is>
      </c>
      <c r="D393" s="71" t="inlineStr">
        <is>
          <t>Consumer</t>
        </is>
      </c>
      <c r="E393" s="71" t="inlineStr">
        <is>
          <t>F&amp;B chains / restaurants</t>
        </is>
      </c>
      <c r="F393" s="71" t="inlineStr">
        <is>
          <t>Restaurants</t>
        </is>
      </c>
      <c r="G393" s="71" t="inlineStr">
        <is>
          <t>Standard</t>
        </is>
      </c>
      <c r="H393" s="72" t="n">
        <v>45996</v>
      </c>
      <c r="I393" s="73" t="n">
        <v>685.4</v>
      </c>
      <c r="J393" s="71" t="inlineStr">
        <is>
          <t>gross (stated)</t>
        </is>
      </c>
      <c r="K393" s="74" t="n">
        <v>5.64</v>
      </c>
      <c r="L393" s="74" t="n">
        <v>7.04</v>
      </c>
      <c r="M393" s="74" t="n">
        <v>7.04</v>
      </c>
      <c r="N393" s="71" t="inlineStr">
        <is>
          <t>Y</t>
        </is>
      </c>
      <c r="O393" s="75" t="n">
        <v>100</v>
      </c>
      <c r="P393" s="75" t="n">
        <v>100</v>
      </c>
      <c r="Q393" s="76" t="n">
        <v>4796.4</v>
      </c>
      <c r="R393" s="71" t="inlineStr">
        <is>
          <t>derived:deal size / offer % of enlarged capital</t>
        </is>
      </c>
      <c r="S393" s="77" t="n">
        <v>425.97</v>
      </c>
      <c r="T393" s="78" t="n">
        <v>4.99</v>
      </c>
      <c r="U393" s="79" t="n">
        <v>24.95</v>
      </c>
      <c r="V393" s="80" t="n">
        <v>108</v>
      </c>
      <c r="W393" s="75" t="n">
        <v>10</v>
      </c>
      <c r="X393" s="71" t="inlineStr">
        <is>
          <t>NO</t>
        </is>
      </c>
      <c r="Y393" s="76" t="n">
        <v>514.39</v>
      </c>
      <c r="Z393" s="76" t="n">
        <v>73072057</v>
      </c>
      <c r="AA393" s="75" t="n">
        <v>10.72</v>
      </c>
      <c r="AB393" s="71" t="inlineStr">
        <is>
          <t>Qingcong Capital; Mr. Su; Mr. Gao Defu; Hong Kong Shengying Investment Limited; Hai Di Lao Holdings Pte. Ltd; Pusheng Fund; China Galaxy International Investment Company Limited</t>
        </is>
      </c>
      <c r="AC393" s="71" t="inlineStr">
        <is>
          <t>qingcong;mr-su;mr-gao;shengying;hai;pusheng;galaxy</t>
        </is>
      </c>
      <c r="AD393" s="75" t="n">
        <v>5</v>
      </c>
      <c r="AE393" s="71" t="inlineStr">
        <is>
          <t>lapsed</t>
        </is>
      </c>
      <c r="AF393" s="71" t="inlineStr">
        <is>
          <t>2026-01-01</t>
        </is>
      </c>
      <c r="AG393" s="71" t="inlineStr">
        <is>
          <t>CMB International Global Markets Limited</t>
        </is>
      </c>
      <c r="AH393" s="71" t="inlineStr">
        <is>
          <t>CMB</t>
        </is>
      </c>
      <c r="AI393" s="81" t="n">
        <v>-14.205</v>
      </c>
      <c r="AJ393" s="82" t="n">
        <v>-27.84</v>
      </c>
      <c r="AK393" s="82" t="n">
        <v>-28.98</v>
      </c>
      <c r="AL393" s="82" t="n">
        <v>1.61</v>
      </c>
      <c r="AM393" s="83" t="n">
        <v>3.7</v>
      </c>
      <c r="AN393" s="75" t="n">
        <v>10.4</v>
      </c>
      <c r="AO393" s="82" t="n">
        <v>-28.69</v>
      </c>
      <c r="AP393" s="82" t="n">
        <v>-37.22</v>
      </c>
      <c r="AQ393" s="82" t="n">
        <v>-33.66</v>
      </c>
      <c r="AR393" s="82" t="n">
        <v>-1.18</v>
      </c>
      <c r="AS393" s="82" t="n">
        <v>-13</v>
      </c>
      <c r="AT393" s="82" t="n">
        <v>-8.07</v>
      </c>
      <c r="AU393" s="82" t="n">
        <v>-28.28</v>
      </c>
      <c r="AV393" s="82" t="n">
        <v>-35.45</v>
      </c>
      <c r="AW393" s="82" t="n">
        <v>-27.83</v>
      </c>
      <c r="AX393" s="82" t="n">
        <v>-10.73</v>
      </c>
      <c r="AY393" s="82" t="n">
        <v>-1.77</v>
      </c>
      <c r="AZ393" s="82" t="n">
        <v>-2.27</v>
      </c>
      <c r="BA393" s="71" t="inlineStr">
        <is>
          <t>Hang Seng Commerce &amp; Industry sub-index</t>
        </is>
      </c>
      <c r="BB393" s="82" t="n">
        <v>-40.77</v>
      </c>
      <c r="BC393" s="72" t="inlineStr">
        <is>
          <t>2026-09-23</t>
        </is>
      </c>
      <c r="BD393" s="73" t="n">
        <v>1269.9</v>
      </c>
      <c r="BE393" s="76" t="n">
        <v>82.40000000000001</v>
      </c>
      <c r="BF393" s="71" t="inlineStr">
        <is>
          <t>Y</t>
        </is>
      </c>
      <c r="BG393" s="83" t="n">
        <v>58.2</v>
      </c>
      <c r="BH393" s="83" t="n">
        <v>32.8</v>
      </c>
      <c r="BI393" s="83" t="n">
        <v>14.1</v>
      </c>
      <c r="BJ393" s="83" t="n">
        <v>3.8</v>
      </c>
      <c r="BK393" s="84">
        <f>IF('BBG Verify'!S393="","not filed; run on terminal",'BBG Verify'!S393)</f>
        <v/>
      </c>
      <c r="BL393" s="85" t="inlineStr">
        <is>
          <t>N</t>
        </is>
      </c>
      <c r="BM393" s="86">
        <f>IF('BBG Verify'!K393="","not filed; run on terminal",'BBG Verify'!K393)</f>
        <v/>
      </c>
      <c r="BN393" s="71" t="inlineStr">
        <is>
          <t>N/A</t>
        </is>
      </c>
      <c r="BO393" s="71" t="inlineStr">
        <is>
          <t>N/A</t>
        </is>
      </c>
      <c r="BP393" s="71" t="inlineStr">
        <is>
          <t>N/A</t>
        </is>
      </c>
      <c r="BQ393" s="71" t="inlineStr">
        <is>
          <t>N/A</t>
        </is>
      </c>
      <c r="BR393" s="71" t="inlineStr">
        <is>
          <t>N/A</t>
        </is>
      </c>
      <c r="BS393" s="71" t="inlineStr">
        <is>
          <t>N/A</t>
        </is>
      </c>
      <c r="BT393" s="85" t="inlineStr">
        <is>
          <t>CMB International Capital Limited</t>
        </is>
      </c>
      <c r="BU393" s="71" t="inlineStr">
        <is>
          <t>CMB International Capital Limited</t>
        </is>
      </c>
      <c r="BV393" s="71"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W393" s="71"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X393" s="87">
        <f>HYPERLINK("https://www1.hkexnews.hk/listedco/listconews/sehk/2025/1127/2025112700009.pdf","prospectus")</f>
        <v/>
      </c>
      <c r="BY393" s="87">
        <f>HYPERLINK("https://www1.hkexnews.hk/listedco/listconews/sehk/2025/1204/2025120402156.pdf","allotment")</f>
        <v/>
      </c>
      <c r="BZ393" s="87">
        <f>HYPERLINK("https://www1.hkexnews.hk/listedco/listconews/sehk/2026/0101/2026010100007.pdf","stabilisation")</f>
        <v/>
      </c>
      <c r="CA393" s="85" t="n"/>
      <c r="CB393" s="71" t="inlineStr">
        <is>
          <t>market cap: prospectus 'market capitalisation' line is the listing-rule threshold, not the issuer's figure; rejected</t>
        </is>
      </c>
    </row>
    <row r="394" ht="15" customHeight="1">
      <c r="A394" s="70" t="inlineStr">
        <is>
          <t>2658</t>
        </is>
      </c>
      <c r="B394" s="71" t="inlineStr">
        <is>
          <t>TIANYU SEMI</t>
        </is>
      </c>
      <c r="C394" s="71" t="inlineStr">
        <is>
          <t>天域半導體</t>
        </is>
      </c>
      <c r="D394" s="71" t="inlineStr">
        <is>
          <t>Tech/AI</t>
        </is>
      </c>
      <c r="E394" s="71" t="inlineStr">
        <is>
          <t>AI chips &amp; semis</t>
        </is>
      </c>
      <c r="F394" s="71" t="inlineStr">
        <is>
          <t>Semiconductors &amp; Semiconductor Equipment</t>
        </is>
      </c>
      <c r="G394" s="71" t="inlineStr">
        <is>
          <t>Standard</t>
        </is>
      </c>
      <c r="H394" s="72" t="n">
        <v>45996</v>
      </c>
      <c r="I394" s="73" t="n">
        <v>1744.1</v>
      </c>
      <c r="J394" s="71" t="inlineStr">
        <is>
          <t>gross (stated)</t>
        </is>
      </c>
      <c r="K394" s="74" t="n"/>
      <c r="L394" s="74" t="n">
        <v>58</v>
      </c>
      <c r="M394" s="74" t="n">
        <v>58</v>
      </c>
      <c r="N394" s="71" t="inlineStr">
        <is>
          <t>Y</t>
        </is>
      </c>
      <c r="O394" s="75" t="n">
        <v>100</v>
      </c>
      <c r="P394" s="75" t="n"/>
      <c r="Q394" s="76" t="n">
        <v>22810</v>
      </c>
      <c r="R394" s="71" t="inlineStr">
        <is>
          <t>prospectus:stated market capitalisation</t>
        </is>
      </c>
      <c r="S394" s="77" t="n">
        <v>60.63</v>
      </c>
      <c r="T394" s="78" t="n">
        <v>2.47</v>
      </c>
      <c r="U394" s="79" t="n">
        <v>9.26</v>
      </c>
      <c r="V394" s="80" t="n">
        <v>57</v>
      </c>
      <c r="W394" s="75" t="n">
        <v>10</v>
      </c>
      <c r="X394" s="71" t="inlineStr">
        <is>
          <t>NO</t>
        </is>
      </c>
      <c r="Y394" s="76" t="n">
        <v>1582.6</v>
      </c>
      <c r="Z394" s="76" t="n">
        <v>27285972</v>
      </c>
      <c r="AA394" s="75" t="n">
        <v>6.94</v>
      </c>
      <c r="AB394" s="71" t="inlineStr">
        <is>
          <t>Mr. Mao Xiangyu; GF International; GF Global Capital Limited; GF Securities; GF Fund</t>
        </is>
      </c>
      <c r="AC394" s="71" t="inlineStr">
        <is>
          <t>mr-mao;gf</t>
        </is>
      </c>
      <c r="AD394" s="75" t="n">
        <v>7.3537</v>
      </c>
      <c r="AE394" s="71" t="inlineStr">
        <is>
          <t>lapsed (no over-allocation)</t>
        </is>
      </c>
      <c r="AF394" s="71" t="n"/>
      <c r="AG394" s="71" t="inlineStr">
        <is>
          <t>CLSA Limited</t>
        </is>
      </c>
      <c r="AH394" s="71" t="inlineStr">
        <is>
          <t>CLSA</t>
        </is>
      </c>
      <c r="AI394" s="81" t="n">
        <v>-14.586</v>
      </c>
      <c r="AJ394" s="82" t="n">
        <v>-30.17</v>
      </c>
      <c r="AK394" s="82" t="n">
        <v>-34.48</v>
      </c>
      <c r="AL394" s="82" t="n">
        <v>6.58</v>
      </c>
      <c r="AM394" s="83" t="n">
        <v>1.24</v>
      </c>
      <c r="AN394" s="75" t="n">
        <v>25.89</v>
      </c>
      <c r="AO394" s="82" t="n">
        <v>-21.69</v>
      </c>
      <c r="AP394" s="82" t="n">
        <v>-17.79</v>
      </c>
      <c r="AQ394" s="82" t="n">
        <v>-17.93</v>
      </c>
      <c r="AR394" s="82" t="n">
        <v>12.14</v>
      </c>
      <c r="AS394" s="82" t="n">
        <v>17.73</v>
      </c>
      <c r="AT394" s="82" t="n">
        <v>17.53</v>
      </c>
      <c r="AU394" s="82" t="n">
        <v>-21.96</v>
      </c>
      <c r="AV394" s="82" t="n">
        <v>-18.79</v>
      </c>
      <c r="AW394" s="82" t="n">
        <v>-7.46</v>
      </c>
      <c r="AX394" s="82" t="n">
        <v>17.46</v>
      </c>
      <c r="AY394" s="82" t="n">
        <v>1</v>
      </c>
      <c r="AZ394" s="82" t="n">
        <v>0.27</v>
      </c>
      <c r="BA394" s="71" t="inlineStr">
        <is>
          <t>HSTECH (Hang Seng TECH ETF)</t>
        </is>
      </c>
      <c r="BB394" s="82" t="n">
        <v>-22</v>
      </c>
      <c r="BC394" s="72" t="inlineStr">
        <is>
          <t>2026-09-23</t>
        </is>
      </c>
      <c r="BD394" s="73" t="n">
        <v>571.6</v>
      </c>
      <c r="BE394" s="76" t="n">
        <v>-610.1</v>
      </c>
      <c r="BF394" s="71" t="inlineStr">
        <is>
          <t>N</t>
        </is>
      </c>
      <c r="BG394" s="71" t="inlineStr">
        <is>
          <t>n/m</t>
        </is>
      </c>
      <c r="BH394" s="83" t="n"/>
      <c r="BI394" s="83" t="n"/>
      <c r="BJ394" s="83" t="n">
        <v>39.9</v>
      </c>
      <c r="BK394" s="84">
        <f>IF('BBG Verify'!S394="","not filed; run on terminal",'BBG Verify'!S394)</f>
        <v/>
      </c>
      <c r="BL394" s="85" t="inlineStr">
        <is>
          <t>N</t>
        </is>
      </c>
      <c r="BM394" s="86">
        <f>IF('BBG Verify'!K394="","not filed; run on terminal",'BBG Verify'!K394)</f>
        <v/>
      </c>
      <c r="BN394" s="71" t="inlineStr">
        <is>
          <t>N/A</t>
        </is>
      </c>
      <c r="BO394" s="71" t="inlineStr">
        <is>
          <t>N/A</t>
        </is>
      </c>
      <c r="BP394" s="71" t="inlineStr">
        <is>
          <t>N/A</t>
        </is>
      </c>
      <c r="BQ394" s="71" t="inlineStr">
        <is>
          <t>N/A</t>
        </is>
      </c>
      <c r="BR394" s="71" t="inlineStr">
        <is>
          <t>N/A</t>
        </is>
      </c>
      <c r="BS394" s="71" t="inlineStr">
        <is>
          <t>N/A</t>
        </is>
      </c>
      <c r="BT394" s="85" t="inlineStr">
        <is>
          <t>CITIC Securities (Hong Kong) Limited</t>
        </is>
      </c>
      <c r="BU394" s="71" t="inlineStr">
        <is>
          <t>CITIC Securities (Hong Kong) Limited</t>
        </is>
      </c>
      <c r="BV394" s="71"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W394" s="71"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X394" s="87">
        <f>HYPERLINK("https://www1.hkexnews.hk/listedco/listconews/sehk/2025/1127/2025112700013.pdf","prospectus")</f>
        <v/>
      </c>
      <c r="BY394" s="87">
        <f>HYPERLINK("https://www1.hkexnews.hk/listedco/listconews/sehk/2025/1204/2025120402598.pdf","allotment")</f>
        <v/>
      </c>
      <c r="BZ394" s="87">
        <f>HYPERLINK("https://www1.hkexnews.hk/listedco/listconews/sehk/2026/0101/2026010100003.pdf","stabilisation")</f>
        <v/>
      </c>
      <c r="CA394" s="85" t="n"/>
      <c r="CB394" s="71" t="inlineStr">
        <is>
          <t>P/E: loss-making at IPO, use P/S; greenshoe: outcome published; expiry date not in the notice; range low: maximum offer price only, no floor published</t>
        </is>
      </c>
    </row>
    <row r="395" ht="15" customHeight="1">
      <c r="A395" s="70" t="inlineStr">
        <is>
          <t>2676</t>
        </is>
      </c>
      <c r="B395" s="71" t="inlineStr">
        <is>
          <t>NOVOSENSE</t>
        </is>
      </c>
      <c r="C395" s="71" t="inlineStr">
        <is>
          <t>納芯微</t>
        </is>
      </c>
      <c r="D395" s="71" t="inlineStr">
        <is>
          <t>Tech/AI</t>
        </is>
      </c>
      <c r="E395" s="71" t="inlineStr">
        <is>
          <t>AI chips &amp; semis</t>
        </is>
      </c>
      <c r="F395" s="71" t="inlineStr">
        <is>
          <t>Semiconductors &amp; Semiconductor Equipment</t>
        </is>
      </c>
      <c r="G395" s="71" t="inlineStr">
        <is>
          <t>Standard</t>
        </is>
      </c>
      <c r="H395" s="72" t="n">
        <v>45999</v>
      </c>
      <c r="I395" s="73" t="n">
        <v>2211.9</v>
      </c>
      <c r="J395" s="71" t="inlineStr">
        <is>
          <t>gross (stated)</t>
        </is>
      </c>
      <c r="K395" s="74" t="n"/>
      <c r="L395" s="74" t="n">
        <v>116</v>
      </c>
      <c r="M395" s="74" t="n">
        <v>116</v>
      </c>
      <c r="N395" s="71" t="inlineStr">
        <is>
          <t>Y</t>
        </is>
      </c>
      <c r="O395" s="75" t="n">
        <v>100</v>
      </c>
      <c r="P395" s="75" t="n"/>
      <c r="Q395" s="76" t="n">
        <v>18745.2</v>
      </c>
      <c r="R395" s="71" t="inlineStr">
        <is>
          <t>derived:price x shares upon listing</t>
        </is>
      </c>
      <c r="S395" s="77" t="n">
        <v>25.33</v>
      </c>
      <c r="T395" s="78" t="n">
        <v>2.65</v>
      </c>
      <c r="U395" s="79" t="n">
        <v>49.23</v>
      </c>
      <c r="V395" s="80" t="n">
        <v>70</v>
      </c>
      <c r="W395" s="75" t="n">
        <v>10</v>
      </c>
      <c r="X395" s="71" t="inlineStr">
        <is>
          <t>NO</t>
        </is>
      </c>
      <c r="Y395" s="76" t="n">
        <v>1122.98</v>
      </c>
      <c r="Z395" s="76" t="n">
        <v>9681027</v>
      </c>
      <c r="AA395" s="75" t="n">
        <v>5.99</v>
      </c>
      <c r="AB395" s="71" t="inlineStr">
        <is>
          <t>Golden Link; Hield International; Perseverance Asset Management; Green Better; Dreamee HK Fund; Oriza Naxin</t>
        </is>
      </c>
      <c r="AC395" s="71" t="inlineStr">
        <is>
          <t>golden-link;hield;perseverance;green;dreamee;oriza</t>
        </is>
      </c>
      <c r="AD395" s="75" t="n">
        <v>15</v>
      </c>
      <c r="AE395" s="71" t="inlineStr">
        <is>
          <t>partial</t>
        </is>
      </c>
      <c r="AF395" s="71" t="inlineStr">
        <is>
          <t>2026-01-02</t>
        </is>
      </c>
      <c r="AG395" s="71" t="inlineStr">
        <is>
          <t>China International Capital Corporation Hong Kong Securities Limited</t>
        </is>
      </c>
      <c r="AH395" s="71" t="inlineStr">
        <is>
          <t>China International</t>
        </is>
      </c>
      <c r="AI395" s="81" t="n">
        <v>-8.879</v>
      </c>
      <c r="AJ395" s="82" t="n">
        <v>-4.31</v>
      </c>
      <c r="AK395" s="82" t="n">
        <v>0</v>
      </c>
      <c r="AL395" s="82" t="n">
        <v>-4.31</v>
      </c>
      <c r="AM395" s="83" t="n">
        <v>1.06</v>
      </c>
      <c r="AN395" s="75" t="n">
        <v>9.31</v>
      </c>
      <c r="AO395" s="82" t="n">
        <v>-2.5</v>
      </c>
      <c r="AP395" s="82" t="n">
        <v>20.78</v>
      </c>
      <c r="AQ395" s="82" t="n">
        <v>8.619999999999999</v>
      </c>
      <c r="AR395" s="82" t="n">
        <v>1.89</v>
      </c>
      <c r="AS395" s="82" t="n">
        <v>26.22</v>
      </c>
      <c r="AT395" s="82" t="n">
        <v>13.51</v>
      </c>
      <c r="AU395" s="82" t="n">
        <v>0.3</v>
      </c>
      <c r="AV395" s="82" t="n">
        <v>20.33</v>
      </c>
      <c r="AW395" s="82" t="n">
        <v>20.71</v>
      </c>
      <c r="AX395" s="82" t="n">
        <v>25.86</v>
      </c>
      <c r="AY395" s="82" t="n">
        <v>0.45</v>
      </c>
      <c r="AZ395" s="82" t="n">
        <v>0.36</v>
      </c>
      <c r="BA395" s="71" t="inlineStr">
        <is>
          <t>HSTECH (Hang Seng TECH ETF)</t>
        </is>
      </c>
      <c r="BB395" s="82" t="n">
        <v>57.33</v>
      </c>
      <c r="BC395" s="72" t="inlineStr">
        <is>
          <t>2026-09-23</t>
        </is>
      </c>
      <c r="BD395" s="73" t="n">
        <v>2156.3</v>
      </c>
      <c r="BE395" s="76" t="n">
        <v>-419.5</v>
      </c>
      <c r="BF395" s="71" t="inlineStr">
        <is>
          <t>N</t>
        </is>
      </c>
      <c r="BG395" s="71" t="inlineStr">
        <is>
          <t>n/m</t>
        </is>
      </c>
      <c r="BH395" s="83" t="n"/>
      <c r="BI395" s="83" t="n"/>
      <c r="BJ395" s="83" t="n">
        <v>8.699999999999999</v>
      </c>
      <c r="BK395" s="84">
        <f>IF('BBG Verify'!S395="","not filed; run on terminal",'BBG Verify'!S395)</f>
        <v/>
      </c>
      <c r="BL395" s="85" t="inlineStr">
        <is>
          <t>Y</t>
        </is>
      </c>
      <c r="BM395" s="71" t="inlineStr">
        <is>
          <t>688052.SS</t>
        </is>
      </c>
      <c r="BN395" s="82" t="n">
        <v>50.14</v>
      </c>
      <c r="BO395" s="74" t="n">
        <v>174.1672</v>
      </c>
      <c r="BP395" s="89" t="n">
        <v>0.737</v>
      </c>
      <c r="BQ395" s="76" t="n">
        <v>48322.2</v>
      </c>
      <c r="BR395" s="84">
        <f>IF('BBG Verify'!Q395="","run on terminal",'BBG Verify'!Q395)</f>
        <v/>
      </c>
      <c r="BS395" s="84">
        <f>IF('BBG Verify'!R395="","run on terminal",'BBG Verify'!R395)</f>
        <v/>
      </c>
      <c r="BT395" s="85" t="inlineStr">
        <is>
          <t>China International Capital Corporation Hong Kong Securities Limited; CITIC Securities (Hong Kong) Limited; CCB International Capital Limited</t>
        </is>
      </c>
      <c r="BU395" s="71" t="inlineStr">
        <is>
          <t>China International Capital Corporation Hong Kong Securities Limited; CCB International Capital Limited; CITIC Securities (Hong Kong) Limited</t>
        </is>
      </c>
      <c r="BV395" s="71"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W395" s="71"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X395" s="87">
        <f>HYPERLINK("https://www1.hkexnews.hk/listedco/listconews/sehk/2025/1128/2025112800015.pdf","prospectus")</f>
        <v/>
      </c>
      <c r="BY395" s="87">
        <f>HYPERLINK("https://www1.hkexnews.hk/listedco/listconews/sehk/2025/1205/2025120501747.pdf","allotment")</f>
        <v/>
      </c>
      <c r="BZ395" s="87">
        <f>HYPERLINK("https://www1.hkexnews.hk/listedco/listconews/sehk/2026/0102/2026010203002.pdf","stabilisation")</f>
        <v/>
      </c>
      <c r="CA395" s="85" t="n"/>
      <c r="CB395" s="71" t="inlineStr">
        <is>
          <t>P/E: loss-making at IPO, use P/S; range low: maximum offer price only, no floor published; A/H: Dec 2025 H listing (analog/mixed-signal chips)</t>
        </is>
      </c>
    </row>
    <row r="396" ht="15" customHeight="1">
      <c r="A396" s="70" t="inlineStr">
        <is>
          <t>2687</t>
        </is>
      </c>
      <c r="B396" s="71" t="inlineStr">
        <is>
          <t>ABLE DIGITAL</t>
        </is>
      </c>
      <c r="C396" s="71" t="inlineStr">
        <is>
          <t>卓越睿新</t>
        </is>
      </c>
      <c r="D396" s="71" t="inlineStr">
        <is>
          <t>Tech/AI</t>
        </is>
      </c>
      <c r="E396" s="71" t="inlineStr">
        <is>
          <t>SaaS / enterprise software</t>
        </is>
      </c>
      <c r="F396" s="71" t="inlineStr">
        <is>
          <t>Education Services</t>
        </is>
      </c>
      <c r="G396" s="71" t="inlineStr">
        <is>
          <t>Standard</t>
        </is>
      </c>
      <c r="H396" s="72" t="n">
        <v>45999</v>
      </c>
      <c r="I396" s="73" t="n">
        <v>450</v>
      </c>
      <c r="J396" s="71" t="inlineStr">
        <is>
          <t>gross (stated)</t>
        </is>
      </c>
      <c r="K396" s="74" t="n">
        <v>62.26</v>
      </c>
      <c r="L396" s="74" t="n">
        <v>76.09999999999999</v>
      </c>
      <c r="M396" s="74" t="n">
        <v>67.5</v>
      </c>
      <c r="N396" s="71" t="inlineStr">
        <is>
          <t>N</t>
        </is>
      </c>
      <c r="O396" s="75" t="n">
        <v>88.7</v>
      </c>
      <c r="P396" s="75" t="n">
        <v>37.9</v>
      </c>
      <c r="Q396" s="76" t="n">
        <v>4500</v>
      </c>
      <c r="R396" s="71" t="inlineStr">
        <is>
          <t>derived:price x shares upon listing</t>
        </is>
      </c>
      <c r="S396" s="77" t="n">
        <v>4813.4</v>
      </c>
      <c r="T396" s="78" t="n">
        <v>2.33</v>
      </c>
      <c r="U396" s="79" t="n">
        <v>0</v>
      </c>
      <c r="V396" s="80" t="n">
        <v>77</v>
      </c>
      <c r="W396" s="75" t="n">
        <v>10</v>
      </c>
      <c r="X396" s="71" t="inlineStr">
        <is>
          <t>NA</t>
        </is>
      </c>
      <c r="Y396" s="76" t="n">
        <v>450</v>
      </c>
      <c r="Z396" s="76" t="n">
        <v>6666700</v>
      </c>
      <c r="AA396" s="75" t="n">
        <v>10</v>
      </c>
      <c r="AB396" s="71" t="n"/>
      <c r="AC396" s="71" t="n"/>
      <c r="AD396" s="75" t="n"/>
      <c r="AE396" s="71" t="n"/>
      <c r="AF396" s="71" t="n"/>
      <c r="AG396" s="71" t="n"/>
      <c r="AH396" s="71" t="n"/>
      <c r="AI396" s="81" t="n">
        <v>29.704</v>
      </c>
      <c r="AJ396" s="82" t="n">
        <v>87.26000000000001</v>
      </c>
      <c r="AK396" s="82" t="n">
        <v>23.85</v>
      </c>
      <c r="AL396" s="82" t="n">
        <v>51.2</v>
      </c>
      <c r="AM396" s="83" t="n">
        <v>2.27</v>
      </c>
      <c r="AN396" s="75" t="n">
        <v>72.37</v>
      </c>
      <c r="AO396" s="82" t="n">
        <v>140</v>
      </c>
      <c r="AP396" s="82" t="n">
        <v>138.52</v>
      </c>
      <c r="AQ396" s="82" t="n">
        <v>107.7</v>
      </c>
      <c r="AR396" s="82" t="n">
        <v>28.16</v>
      </c>
      <c r="AS396" s="82" t="n">
        <v>27.37</v>
      </c>
      <c r="AT396" s="82" t="n">
        <v>10.92</v>
      </c>
      <c r="AU396" s="82" t="n">
        <v>142.8</v>
      </c>
      <c r="AV396" s="82" t="n">
        <v>138.07</v>
      </c>
      <c r="AW396" s="82" t="n">
        <v>119.79</v>
      </c>
      <c r="AX396" s="82" t="n">
        <v>27.01</v>
      </c>
      <c r="AY396" s="82" t="n">
        <v>0.45</v>
      </c>
      <c r="AZ396" s="82" t="n">
        <v>0.36</v>
      </c>
      <c r="BA396" s="71" t="inlineStr">
        <is>
          <t>HSTECH (Hang Seng TECH ETF)</t>
        </is>
      </c>
      <c r="BB396" s="82" t="n">
        <v>406.67</v>
      </c>
      <c r="BC396" s="72" t="inlineStr">
        <is>
          <t>2026-09-23</t>
        </is>
      </c>
      <c r="BD396" s="73" t="n">
        <v>933</v>
      </c>
      <c r="BE396" s="76" t="n">
        <v>117.3</v>
      </c>
      <c r="BF396" s="71" t="inlineStr">
        <is>
          <t>Y</t>
        </is>
      </c>
      <c r="BG396" s="83" t="n">
        <v>38.4</v>
      </c>
      <c r="BH396" s="83" t="n">
        <v>72.59999999999999</v>
      </c>
      <c r="BI396" s="83" t="n">
        <v>113.4</v>
      </c>
      <c r="BJ396" s="83" t="n">
        <v>4.8</v>
      </c>
      <c r="BK396" s="84">
        <f>IF('BBG Verify'!S396="","not filed; run on terminal",'BBG Verify'!S396)</f>
        <v/>
      </c>
      <c r="BL396" s="85" t="inlineStr">
        <is>
          <t>N</t>
        </is>
      </c>
      <c r="BM396" s="86">
        <f>IF('BBG Verify'!K396="","not filed; run on terminal",'BBG Verify'!K396)</f>
        <v/>
      </c>
      <c r="BN396" s="71" t="inlineStr">
        <is>
          <t>N/A</t>
        </is>
      </c>
      <c r="BO396" s="71" t="inlineStr">
        <is>
          <t>N/A</t>
        </is>
      </c>
      <c r="BP396" s="71" t="inlineStr">
        <is>
          <t>N/A</t>
        </is>
      </c>
      <c r="BQ396" s="71" t="inlineStr">
        <is>
          <t>N/A</t>
        </is>
      </c>
      <c r="BR396" s="71" t="inlineStr">
        <is>
          <t>N/A</t>
        </is>
      </c>
      <c r="BS396" s="71" t="inlineStr">
        <is>
          <t>N/A</t>
        </is>
      </c>
      <c r="BT396" s="85" t="inlineStr">
        <is>
          <t>ABCI Capital Limited</t>
        </is>
      </c>
      <c r="BU396" s="71" t="inlineStr">
        <is>
          <t>ABCI Capital Limited</t>
        </is>
      </c>
      <c r="BV396" s="71" t="inlineStr">
        <is>
          <t>ABCI Capital Limited</t>
        </is>
      </c>
      <c r="BW396" s="71" t="inlineStr">
        <is>
          <t>ABCI Securities Company Limited; Livermore Holdings Limited; Tiger Brokers (HK) Global Limited</t>
        </is>
      </c>
      <c r="BX396" s="87">
        <f>HYPERLINK("https://www1.hkexnews.hk/listedco/listconews/sehk/2025/1128/2025112800005.pdf","prospectus")</f>
        <v/>
      </c>
      <c r="BY396" s="87">
        <f>HYPERLINK("https://www1.hkexnews.hk/listedco/listconews/sehk/2025/1205/2025120501787.pdf","allotment")</f>
        <v/>
      </c>
      <c r="BZ396" s="71" t="n"/>
      <c r="CA396" s="85" t="n"/>
      <c r="CB396"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70" t="inlineStr">
        <is>
          <t>2659</t>
        </is>
      </c>
      <c r="B397" s="71" t="inlineStr">
        <is>
          <t>BAO PHARMA-B</t>
        </is>
      </c>
      <c r="C397" s="71" t="inlineStr">
        <is>
          <t>寶濟藥業－Ｂ</t>
        </is>
      </c>
      <c r="D397" s="71" t="inlineStr">
        <is>
          <t>Healthcare</t>
        </is>
      </c>
      <c r="E397" s="71" t="inlineStr">
        <is>
          <t>Biotech pre-revenue (18A)</t>
        </is>
      </c>
      <c r="F397" s="71" t="inlineStr">
        <is>
          <t>Biotechnology - Pharmaceuticals</t>
        </is>
      </c>
      <c r="G397" s="71" t="inlineStr">
        <is>
          <t>18A</t>
        </is>
      </c>
      <c r="H397" s="72" t="n">
        <v>46001</v>
      </c>
      <c r="I397" s="73" t="n">
        <v>1000.1</v>
      </c>
      <c r="J397" s="71" t="inlineStr">
        <is>
          <t>gross (stated)</t>
        </is>
      </c>
      <c r="K397" s="74" t="n"/>
      <c r="L397" s="74" t="n">
        <v>26.38</v>
      </c>
      <c r="M397" s="74" t="n">
        <v>26.38</v>
      </c>
      <c r="N397" s="71" t="inlineStr">
        <is>
          <t>Y</t>
        </is>
      </c>
      <c r="O397" s="75" t="n">
        <v>100</v>
      </c>
      <c r="P397" s="75" t="n"/>
      <c r="Q397" s="76" t="n">
        <v>8599.4</v>
      </c>
      <c r="R397" s="71" t="inlineStr">
        <is>
          <t>derived:price x shares upon listing</t>
        </is>
      </c>
      <c r="S397" s="77" t="n">
        <v>3526.34</v>
      </c>
      <c r="T397" s="78" t="n">
        <v>6.59</v>
      </c>
      <c r="U397" s="79" t="n">
        <v>20.1</v>
      </c>
      <c r="V397" s="80" t="n">
        <v>97</v>
      </c>
      <c r="W397" s="75" t="n">
        <v>10</v>
      </c>
      <c r="X397" s="71" t="inlineStr">
        <is>
          <t>NA</t>
        </is>
      </c>
      <c r="Y397" s="76" t="n">
        <v>799.08</v>
      </c>
      <c r="Z397" s="76" t="n">
        <v>30291448</v>
      </c>
      <c r="AA397" s="75" t="n">
        <v>9.289999999999999</v>
      </c>
      <c r="AB397" s="71" t="inlineStr">
        <is>
          <t>Center Lab; Zhang Yahong (ߎ2,838,885; Fan Hong (ߎ2,365,735; Zheng Keqing (ڡ222,220; Nie Miao ( ᔗ↿) –; Wang Jufang (ٹ581,930; Cui Hongyan (ᜮ) –; Liu Jintao (ᏹ) –; Huang Haitao ( රऎᏹ); Xu Sumin ( ஢९ઽ) –; Song Aihui ( ҂ฌฯ); Zhao Liping ( Ⴛ஁റ)</t>
        </is>
      </c>
      <c r="AC397" s="71" t="inlineStr">
        <is>
          <t>center;zhang-yahong;fan;zheng-keqing;nie;wang-jufang;cui;liu-jintao;huang-haitao;xu-sumin;song-aihui;zhao-liping</t>
        </is>
      </c>
      <c r="AD397" s="75" t="n">
        <v>15</v>
      </c>
      <c r="AE397" s="71" t="n"/>
      <c r="AF397" s="71" t="n"/>
      <c r="AG397" s="71" t="n"/>
      <c r="AH397" s="71" t="n"/>
      <c r="AI397" s="81" t="n">
        <v>112.282</v>
      </c>
      <c r="AJ397" s="82" t="n">
        <v>138.82</v>
      </c>
      <c r="AK397" s="82" t="n">
        <v>129.34</v>
      </c>
      <c r="AL397" s="82" t="n">
        <v>4.13</v>
      </c>
      <c r="AM397" s="83" t="n">
        <v>2.09</v>
      </c>
      <c r="AN397" s="75" t="n">
        <v>11.82</v>
      </c>
      <c r="AO397" s="82" t="n">
        <v>173.69</v>
      </c>
      <c r="AP397" s="82" t="n">
        <v>226.76</v>
      </c>
      <c r="AQ397" s="82" t="n">
        <v>249.32</v>
      </c>
      <c r="AR397" s="82" t="n">
        <v>14.6</v>
      </c>
      <c r="AS397" s="82" t="n">
        <v>36.82</v>
      </c>
      <c r="AT397" s="82" t="n">
        <v>46.27</v>
      </c>
      <c r="AU397" s="82" t="n">
        <v>177.04</v>
      </c>
      <c r="AV397" s="82" t="n">
        <v>221.06</v>
      </c>
      <c r="AW397" s="82" t="n">
        <v>245.4</v>
      </c>
      <c r="AX397" s="82" t="n">
        <v>31.2</v>
      </c>
      <c r="AY397" s="82" t="n">
        <v>5.7</v>
      </c>
      <c r="AZ397" s="82" t="n">
        <v>5.62</v>
      </c>
      <c r="BA397" s="71" t="inlineStr">
        <is>
          <t>China Biotech ETF (HS biotech proxy)</t>
        </is>
      </c>
      <c r="BB397" s="82" t="n">
        <v>-49.81</v>
      </c>
      <c r="BC397" s="72" t="inlineStr">
        <is>
          <t>2026-09-23</t>
        </is>
      </c>
      <c r="BD397" s="73" t="n">
        <v>1.6</v>
      </c>
      <c r="BE397" s="76" t="n">
        <v>-184</v>
      </c>
      <c r="BF397" s="71" t="inlineStr">
        <is>
          <t>N</t>
        </is>
      </c>
      <c r="BG397" s="71" t="inlineStr">
        <is>
          <t>n/m</t>
        </is>
      </c>
      <c r="BH397" s="83" t="n"/>
      <c r="BI397" s="83" t="n"/>
      <c r="BJ397" s="83" t="n">
        <v>5374.6</v>
      </c>
      <c r="BK397" s="84">
        <f>IF('BBG Verify'!S397="","not filed; run on terminal",'BBG Verify'!S397)</f>
        <v/>
      </c>
      <c r="BL397" s="85" t="inlineStr">
        <is>
          <t>N</t>
        </is>
      </c>
      <c r="BM397" s="86">
        <f>IF('BBG Verify'!K397="","not filed; run on terminal",'BBG Verify'!K397)</f>
        <v/>
      </c>
      <c r="BN397" s="71" t="inlineStr">
        <is>
          <t>N/A</t>
        </is>
      </c>
      <c r="BO397" s="71" t="inlineStr">
        <is>
          <t>N/A</t>
        </is>
      </c>
      <c r="BP397" s="71" t="inlineStr">
        <is>
          <t>N/A</t>
        </is>
      </c>
      <c r="BQ397" s="71" t="inlineStr">
        <is>
          <t>N/A</t>
        </is>
      </c>
      <c r="BR397" s="71" t="inlineStr">
        <is>
          <t>N/A</t>
        </is>
      </c>
      <c r="BS397" s="71" t="inlineStr">
        <is>
          <t>N/A</t>
        </is>
      </c>
      <c r="BT397" s="85" t="inlineStr">
        <is>
          <t>CITIC Securities (Hong Kong) Limited; Haitong International Capital Limited</t>
        </is>
      </c>
      <c r="BU397" s="71" t="inlineStr">
        <is>
          <t>Haitong International Capital Limited; CITIC Securities (Hong Kong) Limited</t>
        </is>
      </c>
      <c r="BV397" s="71"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W397" s="71"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X397" s="87">
        <f>HYPERLINK("https://www1.hkexnews.hk/listedco/listconews/sehk/2025/1202/2025120200034.pdf","prospectus")</f>
        <v/>
      </c>
      <c r="BY397" s="87">
        <f>HYPERLINK("https://www1.hkexnews.hk/listedco/listconews/sehk/2025/1209/2025120901444.pdf","allotment")</f>
        <v/>
      </c>
      <c r="BZ397" s="71" t="n"/>
      <c r="CA397" s="85" t="n"/>
      <c r="CB397" s="71"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t>
        </is>
      </c>
    </row>
    <row r="398" ht="15" customHeight="1">
      <c r="A398" s="70" t="inlineStr">
        <is>
          <t>7618</t>
        </is>
      </c>
      <c r="B398" s="71" t="inlineStr">
        <is>
          <t>JD INDUSTRIALS</t>
        </is>
      </c>
      <c r="C398" s="71" t="inlineStr">
        <is>
          <t>京東工業</t>
        </is>
      </c>
      <c r="D398" s="71" t="inlineStr">
        <is>
          <t>Tech/AI</t>
        </is>
      </c>
      <c r="E398" s="71" t="inlineStr">
        <is>
          <t>Internet platform / e-commerce</t>
        </is>
      </c>
      <c r="F398" s="71" t="inlineStr">
        <is>
          <t>Commercial &amp; Professional Services</t>
        </is>
      </c>
      <c r="G398" s="71" t="inlineStr">
        <is>
          <t>Standard</t>
        </is>
      </c>
      <c r="H398" s="72" t="n">
        <v>46002</v>
      </c>
      <c r="I398" s="73" t="n">
        <v>2978</v>
      </c>
      <c r="J398" s="71" t="inlineStr">
        <is>
          <t>gross (stated)</t>
        </is>
      </c>
      <c r="K398" s="74" t="n"/>
      <c r="L398" s="74" t="n">
        <v>15.5</v>
      </c>
      <c r="M398" s="74" t="n">
        <v>14.1</v>
      </c>
      <c r="N398" s="71" t="inlineStr">
        <is>
          <t>N</t>
        </is>
      </c>
      <c r="O398" s="75" t="n">
        <v>91</v>
      </c>
      <c r="P398" s="75" t="n"/>
      <c r="Q398" s="76" t="n">
        <v>41038</v>
      </c>
      <c r="R398" s="71" t="inlineStr">
        <is>
          <t>aastocks:上市市值 at the struck price</t>
        </is>
      </c>
      <c r="S398" s="77" t="n">
        <v>60.52</v>
      </c>
      <c r="T398" s="78" t="n">
        <v>7.88</v>
      </c>
      <c r="U398" s="79" t="n">
        <v>44.45</v>
      </c>
      <c r="V398" s="80" t="n">
        <v>93</v>
      </c>
      <c r="W398" s="75" t="n">
        <v>10</v>
      </c>
      <c r="X398" s="71" t="inlineStr">
        <is>
          <t>NA</t>
        </is>
      </c>
      <c r="Y398" s="76" t="n">
        <v>1654.28</v>
      </c>
      <c r="Z398" s="76" t="n">
        <v>117326488</v>
      </c>
      <c r="AA398" s="75" t="n">
        <v>4.03</v>
      </c>
      <c r="AB398" s="71" t="inlineStr">
        <is>
          <t>CPE Investment; IvyRock; CoreView; Schonfeld; Burkehill</t>
        </is>
      </c>
      <c r="AC398" s="71" t="inlineStr">
        <is>
          <t>cpe;ivyrock;coreview;schonfeld;burkehill</t>
        </is>
      </c>
      <c r="AD398" s="75" t="n">
        <v>15</v>
      </c>
      <c r="AE398" s="71" t="inlineStr">
        <is>
          <t>partial</t>
        </is>
      </c>
      <c r="AF398" s="71" t="inlineStr">
        <is>
          <t>2026-01-07</t>
        </is>
      </c>
      <c r="AG398" s="71" t="inlineStr">
        <is>
          <t>Merrill Lynch</t>
        </is>
      </c>
      <c r="AH398" s="71" t="inlineStr">
        <is>
          <t>Merrill Lynch</t>
        </is>
      </c>
      <c r="AI398" s="81" t="n">
        <v>-2.624</v>
      </c>
      <c r="AJ398" s="82" t="n">
        <v>0</v>
      </c>
      <c r="AK398" s="82" t="n">
        <v>-7.8</v>
      </c>
      <c r="AL398" s="82" t="n">
        <v>8.460000000000001</v>
      </c>
      <c r="AM398" s="83" t="n">
        <v>1.87</v>
      </c>
      <c r="AN398" s="75" t="n">
        <v>11.46</v>
      </c>
      <c r="AO398" s="82" t="n">
        <v>-1.28</v>
      </c>
      <c r="AP398" s="82" t="n">
        <v>-3.4</v>
      </c>
      <c r="AQ398" s="82" t="n">
        <v>-8.44</v>
      </c>
      <c r="AR398" s="82" t="n">
        <v>-1.28</v>
      </c>
      <c r="AS398" s="82" t="n">
        <v>-3.4</v>
      </c>
      <c r="AT398" s="82" t="n">
        <v>-8.44</v>
      </c>
      <c r="AU398" s="82" t="n">
        <v>1.38</v>
      </c>
      <c r="AV398" s="82" t="n">
        <v>-9.17</v>
      </c>
      <c r="AW398" s="82" t="n">
        <v>-0.1</v>
      </c>
      <c r="AX398" s="82" t="n">
        <v>-9.75</v>
      </c>
      <c r="AY398" s="82" t="n">
        <v>5.77</v>
      </c>
      <c r="AZ398" s="82" t="n">
        <v>6.35</v>
      </c>
      <c r="BA398" s="71" t="inlineStr">
        <is>
          <t>HSTECH (Hang Seng TECH ETF)</t>
        </is>
      </c>
      <c r="BB398" s="82" t="n">
        <v>-5.82</v>
      </c>
      <c r="BC398" s="72" t="inlineStr">
        <is>
          <t>2026-09-23</t>
        </is>
      </c>
      <c r="BD398" s="73" t="n">
        <v>22437.5</v>
      </c>
      <c r="BE398" s="76" t="n">
        <v>837.8</v>
      </c>
      <c r="BF398" s="71" t="inlineStr">
        <is>
          <t>Y</t>
        </is>
      </c>
      <c r="BG398" s="83" t="n">
        <v>49</v>
      </c>
      <c r="BH398" s="83" t="n">
        <v>28.4</v>
      </c>
      <c r="BI398" s="83" t="n">
        <v>10</v>
      </c>
      <c r="BJ398" s="83" t="n">
        <v>1.8</v>
      </c>
      <c r="BK398" s="84">
        <f>IF('BBG Verify'!S398="","not filed; run on terminal",'BBG Verify'!S398)</f>
        <v/>
      </c>
      <c r="BL398" s="85" t="inlineStr">
        <is>
          <t>N</t>
        </is>
      </c>
      <c r="BM398" s="86">
        <f>IF('BBG Verify'!K398="","not filed; run on terminal",'BBG Verify'!K398)</f>
        <v/>
      </c>
      <c r="BN398" s="71" t="inlineStr">
        <is>
          <t>N/A</t>
        </is>
      </c>
      <c r="BO398" s="71" t="inlineStr">
        <is>
          <t>N/A</t>
        </is>
      </c>
      <c r="BP398" s="71" t="inlineStr">
        <is>
          <t>N/A</t>
        </is>
      </c>
      <c r="BQ398" s="71" t="inlineStr">
        <is>
          <t>N/A</t>
        </is>
      </c>
      <c r="BR398" s="71" t="inlineStr">
        <is>
          <t>N/A</t>
        </is>
      </c>
      <c r="BS398" s="71" t="inlineStr">
        <is>
          <t>N/A</t>
        </is>
      </c>
      <c r="BT398" s="85" t="inlineStr">
        <is>
          <t>Merrill Lynch (Asia Pacific) Limited; UBS Securities Hong Kong Limited; Haitong International Capital Limited; Goldman Sachs (Asia) L.L.C; Haitong International Securities Company Limited</t>
        </is>
      </c>
      <c r="BU398" s="71" t="inlineStr">
        <is>
          <t>Haitong International Capital Limited; UBS Securities Hong Kong Limited; Merrill Lynch (Asia Pacific) Limited; Goldman Sachs (Asia) L.L.C.</t>
        </is>
      </c>
      <c r="BV398" s="71"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W398" s="71"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X398" s="87">
        <f>HYPERLINK("https://www1.hkexnews.hk/listedco/listconews/sehk/2025/1203/2025120300086.pdf","prospectus")</f>
        <v/>
      </c>
      <c r="BY398" s="87">
        <f>HYPERLINK("https://www1.hkexnews.hk/listedco/listconews/sehk/2025/1210/2025121001474.pdf","allotment")</f>
        <v/>
      </c>
      <c r="BZ398" s="87">
        <f>HYPERLINK("https://www1.hkexnews.hk/listedco/listconews/sehk/2026/0107/2026010701764.pdf","stabilisation")</f>
        <v/>
      </c>
      <c r="CA398" s="85" t="n"/>
      <c r="CB398" s="71" t="inlineStr">
        <is>
          <t>range low: maximum offer price only, no floor published; market cap: prospectus 'market capitalisation' line is the listing-rule threshold, not the issuer's figure; rejected</t>
        </is>
      </c>
    </row>
    <row r="399" ht="15" customHeight="1">
      <c r="A399" s="70" t="inlineStr">
        <is>
          <t>2655</t>
        </is>
      </c>
      <c r="B399" s="71" t="inlineStr">
        <is>
          <t>GUOXIA TECH</t>
        </is>
      </c>
      <c r="C399" s="71" t="inlineStr">
        <is>
          <t>果下科技</t>
        </is>
      </c>
      <c r="D399" s="71" t="inlineStr">
        <is>
          <t>Tech/AI</t>
        </is>
      </c>
      <c r="E399" s="71" t="inlineStr">
        <is>
          <t>SaaS / enterprise software</t>
        </is>
      </c>
      <c r="F399" s="71" t="inlineStr">
        <is>
          <t>New energy and environmental protection</t>
        </is>
      </c>
      <c r="G399" s="71" t="inlineStr">
        <is>
          <t>Standard</t>
        </is>
      </c>
      <c r="H399" s="72" t="n">
        <v>46007</v>
      </c>
      <c r="I399" s="73" t="n">
        <v>782.51</v>
      </c>
      <c r="J399" s="71" t="inlineStr">
        <is>
          <t>gross (stated)</t>
        </is>
      </c>
      <c r="K399" s="74" t="n"/>
      <c r="L399" s="74" t="n">
        <v>20.1</v>
      </c>
      <c r="M399" s="74" t="n">
        <v>20.1</v>
      </c>
      <c r="N399" s="71" t="inlineStr">
        <is>
          <t>Y</t>
        </is>
      </c>
      <c r="O399" s="75" t="n">
        <v>100</v>
      </c>
      <c r="P399" s="75" t="n"/>
      <c r="Q399" s="76" t="n">
        <v>9099</v>
      </c>
      <c r="R399" s="71" t="inlineStr">
        <is>
          <t>derived:deal size / offer % of enlarged capital</t>
        </is>
      </c>
      <c r="S399" s="77" t="n">
        <v>1890.73</v>
      </c>
      <c r="T399" s="78" t="n">
        <v>3.63</v>
      </c>
      <c r="U399" s="79" t="n">
        <v>10.9</v>
      </c>
      <c r="V399" s="80" t="n">
        <v>157</v>
      </c>
      <c r="W399" s="75" t="n">
        <v>8.699999999999999</v>
      </c>
      <c r="X399" s="71" t="inlineStr">
        <is>
          <t>NO</t>
        </is>
      </c>
      <c r="Y399" s="76" t="n">
        <v>697.22</v>
      </c>
      <c r="Z399" s="76" t="n">
        <v>34687343</v>
      </c>
      <c r="AA399" s="75" t="n">
        <v>7.66</v>
      </c>
      <c r="AB399" s="71" t="inlineStr">
        <is>
          <t>Dreamee HK Fund; RIME Capital Limited</t>
        </is>
      </c>
      <c r="AC399" s="71" t="inlineStr">
        <is>
          <t>dreamee;rime</t>
        </is>
      </c>
      <c r="AD399" s="75" t="n">
        <v>15</v>
      </c>
      <c r="AE399" s="71" t="inlineStr">
        <is>
          <t>full</t>
        </is>
      </c>
      <c r="AF399" s="71" t="inlineStr">
        <is>
          <t>2026-01-10</t>
        </is>
      </c>
      <c r="AG399" s="71" t="inlineStr">
        <is>
          <t>Livermore Holdings Limited</t>
        </is>
      </c>
      <c r="AH399" s="71" t="inlineStr">
        <is>
          <t>Livermore</t>
        </is>
      </c>
      <c r="AI399" s="81" t="n">
        <v>88.06</v>
      </c>
      <c r="AJ399" s="82" t="n">
        <v>117.91</v>
      </c>
      <c r="AK399" s="82" t="n">
        <v>89.05</v>
      </c>
      <c r="AL399" s="82" t="n">
        <v>15.27</v>
      </c>
      <c r="AM399" s="83" t="n">
        <v>2.58</v>
      </c>
      <c r="AN399" s="75" t="n">
        <v>30.16</v>
      </c>
      <c r="AO399" s="82" t="n">
        <v>107.76</v>
      </c>
      <c r="AP399" s="82" t="n">
        <v>222.39</v>
      </c>
      <c r="AQ399" s="82" t="n">
        <v>141.79</v>
      </c>
      <c r="AR399" s="82" t="n">
        <v>-4.66</v>
      </c>
      <c r="AS399" s="82" t="n">
        <v>47.95</v>
      </c>
      <c r="AT399" s="82" t="n">
        <v>10.96</v>
      </c>
      <c r="AU399" s="82" t="n">
        <v>108.04</v>
      </c>
      <c r="AV399" s="82" t="n">
        <v>217.84</v>
      </c>
      <c r="AW399" s="82" t="n">
        <v>156.26</v>
      </c>
      <c r="AX399" s="82" t="n">
        <v>41.53</v>
      </c>
      <c r="AY399" s="82" t="n">
        <v>4.55</v>
      </c>
      <c r="AZ399" s="82" t="n">
        <v>6.42</v>
      </c>
      <c r="BA399" s="71" t="inlineStr">
        <is>
          <t>HSTECH (Hang Seng TECH ETF)</t>
        </is>
      </c>
      <c r="BB399" s="82" t="n">
        <v>-26.37</v>
      </c>
      <c r="BC399" s="72" t="inlineStr">
        <is>
          <t>2026-09-23</t>
        </is>
      </c>
      <c r="BD399" s="73" t="n">
        <v>1128.2</v>
      </c>
      <c r="BE399" s="76" t="n">
        <v>35</v>
      </c>
      <c r="BF399" s="71" t="inlineStr">
        <is>
          <t>Y</t>
        </is>
      </c>
      <c r="BG399" s="83" t="n">
        <v>260</v>
      </c>
      <c r="BH399" s="83" t="n">
        <v>32</v>
      </c>
      <c r="BI399" s="83" t="n">
        <v>86.8</v>
      </c>
      <c r="BJ399" s="83" t="n">
        <v>8.1</v>
      </c>
      <c r="BK399" s="84">
        <f>IF('BBG Verify'!S399="","not filed; run on terminal",'BBG Verify'!S399)</f>
        <v/>
      </c>
      <c r="BL399" s="85" t="inlineStr">
        <is>
          <t>N</t>
        </is>
      </c>
      <c r="BM399" s="86">
        <f>IF('BBG Verify'!K399="","not filed; run on terminal",'BBG Verify'!K399)</f>
        <v/>
      </c>
      <c r="BN399" s="71" t="inlineStr">
        <is>
          <t>N/A</t>
        </is>
      </c>
      <c r="BO399" s="71" t="inlineStr">
        <is>
          <t>N/A</t>
        </is>
      </c>
      <c r="BP399" s="71" t="inlineStr">
        <is>
          <t>N/A</t>
        </is>
      </c>
      <c r="BQ399" s="71" t="inlineStr">
        <is>
          <t>N/A</t>
        </is>
      </c>
      <c r="BR399" s="71" t="inlineStr">
        <is>
          <t>N/A</t>
        </is>
      </c>
      <c r="BS399" s="71" t="inlineStr">
        <is>
          <t>N/A</t>
        </is>
      </c>
      <c r="BT399" s="85" t="inlineStr">
        <is>
          <t>China Everbright Capital Limited</t>
        </is>
      </c>
      <c r="BU399" s="71" t="inlineStr">
        <is>
          <t>China Everbright Capital Limited</t>
        </is>
      </c>
      <c r="BV399" s="71"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W399" s="71"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X399" s="87">
        <f>HYPERLINK("https://www1.hkexnews.hk/listedco/listconews/sehk/2025/1208/2025120800011.pdf","prospectus")</f>
        <v/>
      </c>
      <c r="BY399" s="87">
        <f>HYPERLINK("https://www1.hkexnews.hk/listedco/listconews/sehk/2025/1215/2025121501608.pdf","allotment")</f>
        <v/>
      </c>
      <c r="BZ399" s="87">
        <f>HYPERLINK("https://www1.hkexnews.hk/listedco/listconews/sehk/2026/0109/2026010901587.pdf","stabilisation")</f>
        <v/>
      </c>
      <c r="CA399" s="85" t="n"/>
      <c r="CB399" s="71" t="inlineStr">
        <is>
          <t>range low: maximum offer price only, no floor published</t>
        </is>
      </c>
    </row>
    <row r="400" ht="15" customHeight="1">
      <c r="A400" s="70" t="inlineStr">
        <is>
          <t>3887</t>
        </is>
      </c>
      <c r="B400" s="71" t="inlineStr">
        <is>
          <t>HASHKEY HLDGS</t>
        </is>
      </c>
      <c r="C400" s="71" t="inlineStr">
        <is>
          <t>HASHKEY HLDGS</t>
        </is>
      </c>
      <c r="D400" s="71" t="inlineStr">
        <is>
          <t>Tech/AI</t>
        </is>
      </c>
      <c r="E400" s="71" t="inlineStr">
        <is>
          <t>Fintech platform</t>
        </is>
      </c>
      <c r="F400" s="71" t="inlineStr">
        <is>
          <t>Investment Holdings &amp; Assets Management</t>
        </is>
      </c>
      <c r="G400" s="71" t="inlineStr">
        <is>
          <t>Standard</t>
        </is>
      </c>
      <c r="H400" s="72" t="n">
        <v>46008</v>
      </c>
      <c r="I400" s="73" t="n">
        <v>1607</v>
      </c>
      <c r="J400" s="71" t="inlineStr">
        <is>
          <t>gross (price x shares)</t>
        </is>
      </c>
      <c r="K400" s="74" t="n"/>
      <c r="L400" s="74" t="n">
        <v>6.95</v>
      </c>
      <c r="M400" s="74" t="n">
        <v>6.68</v>
      </c>
      <c r="N400" s="71" t="inlineStr">
        <is>
          <t>N</t>
        </is>
      </c>
      <c r="O400" s="75" t="n">
        <v>96.09999999999999</v>
      </c>
      <c r="P400" s="75" t="n"/>
      <c r="Q400" s="76" t="n">
        <v>19116.7</v>
      </c>
      <c r="R400" s="71" t="inlineStr">
        <is>
          <t>aastocks:上市市值 at the struck price</t>
        </is>
      </c>
      <c r="S400" s="77" t="n">
        <v>393.71</v>
      </c>
      <c r="T400" s="78" t="n">
        <v>5.46</v>
      </c>
      <c r="U400" s="79" t="n">
        <v>39.43</v>
      </c>
      <c r="V400" s="80" t="n">
        <v>86</v>
      </c>
      <c r="W400" s="75" t="n">
        <v>10</v>
      </c>
      <c r="X400" s="71" t="inlineStr">
        <is>
          <t>NO</t>
        </is>
      </c>
      <c r="Y400" s="76" t="n">
        <v>973.36</v>
      </c>
      <c r="Z400" s="76" t="n">
        <v>145713249</v>
      </c>
      <c r="AA400" s="75" t="n">
        <v>5.09</v>
      </c>
      <c r="AB400" s="71" t="inlineStr">
        <is>
          <t>Space Z PTE. LTD; Cithara Fund; UBS AM Singapore; Epoch Vantage Limited; Mr. Lu Weiding; XChainX Limited; Black Shadows, L.P; Fidelity Funds; TDR Investment Inc; Tomars Limited</t>
        </is>
      </c>
      <c r="AC400" s="71" t="inlineStr">
        <is>
          <t>space;cithara;ubs;epoch;mr-lu;xchainx;black;fidelity;tdr;tomars</t>
        </is>
      </c>
      <c r="AD400" s="75" t="n">
        <v>15</v>
      </c>
      <c r="AE400" s="71" t="inlineStr">
        <is>
          <t>partial</t>
        </is>
      </c>
      <c r="AF400" s="71" t="inlineStr">
        <is>
          <t>2026-01-11</t>
        </is>
      </c>
      <c r="AG400" s="71" t="inlineStr">
        <is>
          <t>J.P. Morgan Securities</t>
        </is>
      </c>
      <c r="AH400" s="71" t="inlineStr">
        <is>
          <t>JP Morgan</t>
        </is>
      </c>
      <c r="AI400" s="81" t="n">
        <v>-1.048</v>
      </c>
      <c r="AJ400" s="82" t="n">
        <v>-0.15</v>
      </c>
      <c r="AK400" s="82" t="n">
        <v>0.3</v>
      </c>
      <c r="AL400" s="82" t="n">
        <v>-0.45</v>
      </c>
      <c r="AM400" s="83" t="n">
        <v>4.11</v>
      </c>
      <c r="AN400" s="75" t="n">
        <v>14.93</v>
      </c>
      <c r="AO400" s="82" t="n">
        <v>-14.22</v>
      </c>
      <c r="AP400" s="82" t="n">
        <v>7.34</v>
      </c>
      <c r="AQ400" s="82" t="n">
        <v>-29.34</v>
      </c>
      <c r="AR400" s="82" t="n">
        <v>-14.09</v>
      </c>
      <c r="AS400" s="82" t="n">
        <v>7.5</v>
      </c>
      <c r="AT400" s="82" t="n">
        <v>-29.23</v>
      </c>
      <c r="AU400" s="82" t="n">
        <v>-15.83</v>
      </c>
      <c r="AV400" s="82" t="n">
        <v>2.14</v>
      </c>
      <c r="AW400" s="82" t="n">
        <v>-18.53</v>
      </c>
      <c r="AX400" s="82" t="n">
        <v>3.48</v>
      </c>
      <c r="AY400" s="82" t="n">
        <v>5.2</v>
      </c>
      <c r="AZ400" s="82" t="n">
        <v>4.02</v>
      </c>
      <c r="BA400" s="71" t="inlineStr">
        <is>
          <t>HSTECH (Hang Seng TECH ETF)</t>
        </is>
      </c>
      <c r="BB400" s="82" t="n">
        <v>-59.88</v>
      </c>
      <c r="BC400" s="72" t="inlineStr">
        <is>
          <t>2026-09-23</t>
        </is>
      </c>
      <c r="BD400" s="73" t="n">
        <v>720.7</v>
      </c>
      <c r="BE400" s="76" t="n">
        <v>-1189.6</v>
      </c>
      <c r="BF400" s="71" t="inlineStr">
        <is>
          <t>N</t>
        </is>
      </c>
      <c r="BG400" s="71" t="inlineStr">
        <is>
          <t>n/m</t>
        </is>
      </c>
      <c r="BH400" s="83" t="n"/>
      <c r="BI400" s="83" t="n"/>
      <c r="BJ400" s="83" t="n">
        <v>26.5</v>
      </c>
      <c r="BK400" s="84">
        <f>IF('BBG Verify'!S400="","not filed; run on terminal",'BBG Verify'!S400)</f>
        <v/>
      </c>
      <c r="BL400" s="85" t="inlineStr">
        <is>
          <t>N</t>
        </is>
      </c>
      <c r="BM400" s="86">
        <f>IF('BBG Verify'!K400="","not filed; run on terminal",'BBG Verify'!K400)</f>
        <v/>
      </c>
      <c r="BN400" s="71" t="inlineStr">
        <is>
          <t>N/A</t>
        </is>
      </c>
      <c r="BO400" s="71" t="inlineStr">
        <is>
          <t>N/A</t>
        </is>
      </c>
      <c r="BP400" s="71" t="inlineStr">
        <is>
          <t>N/A</t>
        </is>
      </c>
      <c r="BQ400" s="71" t="inlineStr">
        <is>
          <t>N/A</t>
        </is>
      </c>
      <c r="BR400" s="71" t="inlineStr">
        <is>
          <t>N/A</t>
        </is>
      </c>
      <c r="BS400" s="71" t="inlineStr">
        <is>
          <t>N/A</t>
        </is>
      </c>
      <c r="BT400" s="85" t="inlineStr">
        <is>
          <t>J.P. Morgan Securities (Far East) Limited; Guotai Junan Capital Limited</t>
        </is>
      </c>
      <c r="BU400" s="71" t="inlineStr">
        <is>
          <t>J.P. Morgan Securities (Far East) Limited; Guotai Junan Capital Limited</t>
        </is>
      </c>
      <c r="BV400" s="71" t="inlineStr">
        <is>
          <t>( in alphabetical order ) CMB International Capital Limited; Tiger Brokers (HK) Global Limited; Victory Securities Company Limited</t>
        </is>
      </c>
      <c r="BW400" s="71"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X400" s="87">
        <f>HYPERLINK("https://www1.hkexnews.hk/listedco/listconews/sehk/2025/1209/2025120900025.pdf","prospectus")</f>
        <v/>
      </c>
      <c r="BY400" s="87">
        <f>HYPERLINK("https://www1.hkexnews.hk/listedco/listconews/sehk/2025/1216/2025121601390.pdf","allotment")</f>
        <v/>
      </c>
      <c r="BZ400" s="87">
        <f>HYPERLINK("https://www1.hkexnews.hk/listedco/listconews/sehk/2026/0112/2026011200057.pdf","stabilisation")</f>
        <v/>
      </c>
      <c r="CA400" s="85" t="n"/>
      <c r="CB400" s="71" t="inlineStr">
        <is>
          <t>P/E: loss-making at IPO, use P/S; range low: maximum offer price only, no floor published; market cap: published listing cap used; the estimate from deal size / offer % of enlarged capital disagreed</t>
        </is>
      </c>
    </row>
    <row r="401" ht="15" customHeight="1">
      <c r="A401" s="70" t="inlineStr">
        <is>
          <t>2546</t>
        </is>
      </c>
      <c r="B401" s="71" t="inlineStr">
        <is>
          <t>ZHIHUI MINING</t>
        </is>
      </c>
      <c r="C401" s="71" t="inlineStr">
        <is>
          <t>智匯礦業</t>
        </is>
      </c>
      <c r="D401" s="71" t="inlineStr">
        <is>
          <t>Materials/Energy</t>
        </is>
      </c>
      <c r="E401" s="71" t="inlineStr">
        <is>
          <t>Mining / metals</t>
        </is>
      </c>
      <c r="F401" s="71" t="inlineStr">
        <is>
          <t>Diversified Metals &amp; Minerals</t>
        </is>
      </c>
      <c r="G401" s="71" t="inlineStr">
        <is>
          <t>Standard</t>
        </is>
      </c>
      <c r="H401" s="72" t="n">
        <v>46010</v>
      </c>
      <c r="I401" s="73" t="n">
        <v>550</v>
      </c>
      <c r="J401" s="71" t="inlineStr">
        <is>
          <t>gross (stated)</t>
        </is>
      </c>
      <c r="K401" s="74" t="n"/>
      <c r="L401" s="74" t="n">
        <v>4.51</v>
      </c>
      <c r="M401" s="74" t="n">
        <v>4.51</v>
      </c>
      <c r="N401" s="71" t="inlineStr">
        <is>
          <t>Y</t>
        </is>
      </c>
      <c r="O401" s="75" t="n">
        <v>100</v>
      </c>
      <c r="P401" s="75" t="n"/>
      <c r="Q401" s="76" t="n">
        <v>2200</v>
      </c>
      <c r="R401" s="71" t="inlineStr">
        <is>
          <t>derived:price x shares upon listing</t>
        </is>
      </c>
      <c r="S401" s="77" t="n">
        <v>5248.15</v>
      </c>
      <c r="T401" s="78" t="n">
        <v>2.68</v>
      </c>
      <c r="U401" s="79" t="n">
        <v>40.78</v>
      </c>
      <c r="V401" s="80" t="n">
        <v>164</v>
      </c>
      <c r="W401" s="75" t="n">
        <v>10</v>
      </c>
      <c r="X401" s="71" t="inlineStr">
        <is>
          <t>NO</t>
        </is>
      </c>
      <c r="Y401" s="76" t="n">
        <v>325.71</v>
      </c>
      <c r="Z401" s="76" t="n">
        <v>72219974</v>
      </c>
      <c r="AA401" s="75" t="n">
        <v>14.81</v>
      </c>
      <c r="AB401" s="71" t="inlineStr">
        <is>
          <t>Sparky International Company Limited; GIGA Industries Limited; Enterprises Limited</t>
        </is>
      </c>
      <c r="AC401" s="71" t="inlineStr">
        <is>
          <t>sparky;giga;enterprises</t>
        </is>
      </c>
      <c r="AD401" s="75" t="n"/>
      <c r="AE401" s="71" t="n"/>
      <c r="AF401" s="71" t="n"/>
      <c r="AG401" s="71" t="n"/>
      <c r="AH401" s="71" t="n"/>
      <c r="AI401" s="81" t="n">
        <v>126.608</v>
      </c>
      <c r="AJ401" s="82" t="n">
        <v>90.69</v>
      </c>
      <c r="AK401" s="82" t="n">
        <v>139.47</v>
      </c>
      <c r="AL401" s="82" t="n">
        <v>-20.37</v>
      </c>
      <c r="AM401" s="83" t="n">
        <v>2.49</v>
      </c>
      <c r="AN401" s="75" t="n">
        <v>27.04</v>
      </c>
      <c r="AO401" s="82" t="n">
        <v>109.31</v>
      </c>
      <c r="AP401" s="82" t="n">
        <v>186.03</v>
      </c>
      <c r="AQ401" s="82" t="n">
        <v>212.64</v>
      </c>
      <c r="AR401" s="82" t="n">
        <v>9.76</v>
      </c>
      <c r="AS401" s="82" t="n">
        <v>50</v>
      </c>
      <c r="AT401" s="82" t="n">
        <v>63.95</v>
      </c>
      <c r="AU401" s="82" t="n">
        <v>108.33</v>
      </c>
      <c r="AV401" s="82" t="n">
        <v>181.75</v>
      </c>
      <c r="AW401" s="82" t="n">
        <v>219.56</v>
      </c>
      <c r="AX401" s="82" t="n">
        <v>46.58</v>
      </c>
      <c r="AY401" s="82" t="n">
        <v>4.28</v>
      </c>
      <c r="AZ401" s="82" t="n">
        <v>3.42</v>
      </c>
      <c r="BA401" s="71" t="inlineStr">
        <is>
          <t>Hang Seng Commerce &amp; Industry sub-index</t>
        </is>
      </c>
      <c r="BB401" s="82" t="n">
        <v>398.89</v>
      </c>
      <c r="BC401" s="72" t="inlineStr">
        <is>
          <t>2026-09-23</t>
        </is>
      </c>
      <c r="BD401" s="73" t="n">
        <v>331.6</v>
      </c>
      <c r="BE401" s="76" t="n">
        <v>69.09999999999999</v>
      </c>
      <c r="BF401" s="71" t="inlineStr">
        <is>
          <t>Y</t>
        </is>
      </c>
      <c r="BG401" s="83" t="n">
        <v>31.8</v>
      </c>
      <c r="BH401" s="83" t="n"/>
      <c r="BI401" s="83" t="n"/>
      <c r="BJ401" s="83" t="n">
        <v>6.6</v>
      </c>
      <c r="BK401" s="84">
        <f>IF('BBG Verify'!S401="","not filed; run on terminal",'BBG Verify'!S401)</f>
        <v/>
      </c>
      <c r="BL401" s="85" t="inlineStr">
        <is>
          <t>N</t>
        </is>
      </c>
      <c r="BM401" s="86">
        <f>IF('BBG Verify'!K401="","not filed; run on terminal",'BBG Verify'!K401)</f>
        <v/>
      </c>
      <c r="BN401" s="71" t="inlineStr">
        <is>
          <t>N/A</t>
        </is>
      </c>
      <c r="BO401" s="71" t="inlineStr">
        <is>
          <t>N/A</t>
        </is>
      </c>
      <c r="BP401" s="71" t="inlineStr">
        <is>
          <t>N/A</t>
        </is>
      </c>
      <c r="BQ401" s="71" t="inlineStr">
        <is>
          <t>N/A</t>
        </is>
      </c>
      <c r="BR401" s="71" t="inlineStr">
        <is>
          <t>N/A</t>
        </is>
      </c>
      <c r="BS401" s="71" t="inlineStr">
        <is>
          <t>N/A</t>
        </is>
      </c>
      <c r="BT401" s="85" t="inlineStr">
        <is>
          <t>Sinolink Securities (Hong Kong) Company Limited; Maxa Capital Limited</t>
        </is>
      </c>
      <c r="BU401" s="71" t="inlineStr">
        <is>
          <t>Maxa Capital Limited; Sinolink Securities (Hong Kong) Company Limited</t>
        </is>
      </c>
      <c r="BV401" s="71" t="inlineStr">
        <is>
          <t>Sinolink Securities (Hong Kong) Company Limited; Maxa Capital Limited; ABCI Capital Limited; ABCI Securities Company Limited</t>
        </is>
      </c>
      <c r="BW401" s="71"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X401" s="87">
        <f>HYPERLINK("https://www1.hkexnews.hk/listedco/listconews/sehk/2025/1211/2025121100043.pdf","prospectus")</f>
        <v/>
      </c>
      <c r="BY401" s="87">
        <f>HYPERLINK("https://www1.hkexnews.hk/listedco/listconews/sehk/2025/1218/2025121801566.pdf","allotment")</f>
        <v/>
      </c>
      <c r="BZ401" s="71" t="n"/>
      <c r="CA401" s="85" t="n"/>
      <c r="CB401" s="71" t="inlineStr">
        <is>
          <t>greenshoe: no over-allotment option; range low: maximum offer price only, no floor published; greenshoe size: no over-allotment option; stabilising manager: no over-allotment option, so none appointed</t>
        </is>
      </c>
    </row>
    <row r="402" ht="15" customHeight="1">
      <c r="A402" s="70" t="inlineStr">
        <is>
          <t>3881</t>
        </is>
      </c>
      <c r="B402" s="71" t="inlineStr">
        <is>
          <t>CIDI</t>
        </is>
      </c>
      <c r="C402" s="71" t="inlineStr">
        <is>
          <t>希迪智駕</t>
        </is>
      </c>
      <c r="D402" s="71" t="inlineStr">
        <is>
          <t>Tech/AI</t>
        </is>
      </c>
      <c r="E402" s="71" t="inlineStr">
        <is>
          <t>Robotics &amp; autonomous driving</t>
        </is>
      </c>
      <c r="F402" s="71" t="inlineStr">
        <is>
          <t>Advanced hardware and software</t>
        </is>
      </c>
      <c r="G402" s="71" t="inlineStr">
        <is>
          <t>18C</t>
        </is>
      </c>
      <c r="H402" s="72" t="n">
        <v>46010</v>
      </c>
      <c r="I402" s="73" t="n">
        <v>1422.3</v>
      </c>
      <c r="J402" s="71" t="inlineStr">
        <is>
          <t>gross (stated)</t>
        </is>
      </c>
      <c r="K402" s="74" t="n"/>
      <c r="L402" s="74" t="n">
        <v>263</v>
      </c>
      <c r="M402" s="74" t="n">
        <v>263</v>
      </c>
      <c r="N402" s="71" t="inlineStr">
        <is>
          <t>Y</t>
        </is>
      </c>
      <c r="O402" s="75" t="n">
        <v>100</v>
      </c>
      <c r="P402" s="75" t="n"/>
      <c r="Q402" s="76" t="n">
        <v>11516.6</v>
      </c>
      <c r="R402" s="71" t="inlineStr">
        <is>
          <t>prospectus:stated market capitalisation</t>
        </is>
      </c>
      <c r="S402" s="77" t="n">
        <v>22.55</v>
      </c>
      <c r="T402" s="78" t="n">
        <v>2.1</v>
      </c>
      <c r="U402" s="79" t="n">
        <v>38.39</v>
      </c>
      <c r="V402" s="80" t="n">
        <v>42</v>
      </c>
      <c r="W402" s="75" t="n">
        <v>10</v>
      </c>
      <c r="X402" s="71" t="inlineStr">
        <is>
          <t>YES</t>
        </is>
      </c>
      <c r="Y402" s="76" t="n">
        <v>876.28</v>
      </c>
      <c r="Z402" s="76" t="n">
        <v>3331856</v>
      </c>
      <c r="AA402" s="75" t="n">
        <v>7.61</v>
      </c>
      <c r="AB402" s="71" t="inlineStr">
        <is>
          <t>Xiangjiang Zhicheng (Hunan state fund); Zhijia No. 1 (Nanning Ruiyue LP); ICBC UBS Asset Management (International); Qianhai Kaiyuan Qunwei QDII Plan</t>
        </is>
      </c>
      <c r="AC402" s="71" t="inlineStr">
        <is>
          <t>xiangjiang;zhijia;icbc;qianhai</t>
        </is>
      </c>
      <c r="AD402" s="75" t="n">
        <v>10</v>
      </c>
      <c r="AE402" s="71" t="inlineStr">
        <is>
          <t>lapsed</t>
        </is>
      </c>
      <c r="AF402" s="71" t="n"/>
      <c r="AG402" s="71" t="inlineStr">
        <is>
          <t>China International Capital Corporation Hong Kong Securities Limited</t>
        </is>
      </c>
      <c r="AH402" s="71" t="inlineStr">
        <is>
          <t>China International</t>
        </is>
      </c>
      <c r="AI402" s="81" t="n">
        <v>-6.084</v>
      </c>
      <c r="AJ402" s="82" t="n">
        <v>-13.69</v>
      </c>
      <c r="AK402" s="82" t="n">
        <v>0</v>
      </c>
      <c r="AL402" s="82" t="n">
        <v>-13.69</v>
      </c>
      <c r="AM402" s="83" t="n">
        <v>1.5</v>
      </c>
      <c r="AN402" s="75" t="n">
        <v>17.11</v>
      </c>
      <c r="AO402" s="82" t="n">
        <v>-15.21</v>
      </c>
      <c r="AP402" s="82" t="n">
        <v>-7.83</v>
      </c>
      <c r="AQ402" s="82" t="n">
        <v>-11.79</v>
      </c>
      <c r="AR402" s="82" t="n">
        <v>-1.76</v>
      </c>
      <c r="AS402" s="82" t="n">
        <v>6.79</v>
      </c>
      <c r="AT402" s="82" t="n">
        <v>2.2</v>
      </c>
      <c r="AU402" s="82" t="n">
        <v>-18.03</v>
      </c>
      <c r="AV402" s="82" t="n">
        <v>-14.04</v>
      </c>
      <c r="AW402" s="82" t="n">
        <v>0.53</v>
      </c>
      <c r="AX402" s="82" t="n">
        <v>1.57</v>
      </c>
      <c r="AY402" s="82" t="n">
        <v>6.21</v>
      </c>
      <c r="AZ402" s="82" t="n">
        <v>5.22</v>
      </c>
      <c r="BA402" s="71" t="inlineStr">
        <is>
          <t>HSTECH (Hang Seng TECH ETF)</t>
        </is>
      </c>
      <c r="BB402" s="82" t="n">
        <v>-18.71</v>
      </c>
      <c r="BC402" s="72" t="inlineStr">
        <is>
          <t>2026-09-23</t>
        </is>
      </c>
      <c r="BD402" s="73" t="n">
        <v>451</v>
      </c>
      <c r="BE402" s="76" t="n">
        <v>-638.8</v>
      </c>
      <c r="BF402" s="71" t="inlineStr">
        <is>
          <t>N</t>
        </is>
      </c>
      <c r="BG402" s="71" t="inlineStr">
        <is>
          <t>n/m</t>
        </is>
      </c>
      <c r="BH402" s="83" t="n"/>
      <c r="BI402" s="83" t="n"/>
      <c r="BJ402" s="83" t="n">
        <v>25.5</v>
      </c>
      <c r="BK402" s="84">
        <f>IF('BBG Verify'!S402="","not filed; run on terminal",'BBG Verify'!S402)</f>
        <v/>
      </c>
      <c r="BL402" s="85" t="inlineStr">
        <is>
          <t>N</t>
        </is>
      </c>
      <c r="BM402" s="86">
        <f>IF('BBG Verify'!K402="","not filed; run on terminal",'BBG Verify'!K402)</f>
        <v/>
      </c>
      <c r="BN402" s="71" t="inlineStr">
        <is>
          <t>N/A</t>
        </is>
      </c>
      <c r="BO402" s="71" t="inlineStr">
        <is>
          <t>N/A</t>
        </is>
      </c>
      <c r="BP402" s="71" t="inlineStr">
        <is>
          <t>N/A</t>
        </is>
      </c>
      <c r="BQ402" s="71" t="inlineStr">
        <is>
          <t>N/A</t>
        </is>
      </c>
      <c r="BR402" s="71" t="inlineStr">
        <is>
          <t>N/A</t>
        </is>
      </c>
      <c r="BS402" s="71" t="inlineStr">
        <is>
          <t>N/A</t>
        </is>
      </c>
      <c r="BT402" s="85" t="inlineStr">
        <is>
          <t>China International Capital Corporation Hong Kong Securities Limited; China Securities (International) Corporate Finance Company Limited; Ping An of China Capital (Hong Kong) Company Limited</t>
        </is>
      </c>
      <c r="BU402" s="71" t="inlineStr">
        <is>
          <t>China International Capital Corporation Hong Kong Securities Limited; Ping An of China Capital (Hong Kong) Company Limited; China Securities (International) Corporate Finance Company Limited</t>
        </is>
      </c>
      <c r="BV402" s="71"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W402" s="71"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X402" s="87">
        <f>HYPERLINK("https://www1.hkexnews.hk/listedco/listconews/sehk/2025/1211/2025121100007.pdf","prospectus")</f>
        <v/>
      </c>
      <c r="BY402" s="87">
        <f>HYPERLINK("https://www1.hkexnews.hk/listedco/listconews/sehk/2025/1218/2025121801904.pdf","allotment")</f>
        <v/>
      </c>
      <c r="BZ402" s="87">
        <f>HYPERLINK("https://www1.hkexnews.hk/listedco/listconews/sehk/2026/0116/2026011600161.pdf","stabilisation")</f>
        <v/>
      </c>
      <c r="CA402" s="85" t="n"/>
      <c r="CB402" s="71" t="inlineStr">
        <is>
          <t>P/E: loss-making at IPO, use P/S; greenshoe: conflict: notice read 'lapsed' but Bloomberg records 540,800 shares exercised; check the notice; range low: maximum offer price only, no floor published</t>
        </is>
      </c>
    </row>
    <row r="403" ht="15" customHeight="1">
      <c r="A403" s="70" t="inlineStr">
        <is>
          <t>2695</t>
        </is>
      </c>
      <c r="B403" s="71" t="inlineStr">
        <is>
          <t>IMPRESSION DHP</t>
        </is>
      </c>
      <c r="C403" s="71" t="inlineStr">
        <is>
          <t>印象大紅袍</t>
        </is>
      </c>
      <c r="D403" s="71" t="inlineStr">
        <is>
          <t>TMT-other</t>
        </is>
      </c>
      <c r="E403" s="71" t="inlineStr">
        <is>
          <t>Media / advertising</t>
        </is>
      </c>
      <c r="F403" s="71" t="inlineStr">
        <is>
          <t>Tourism</t>
        </is>
      </c>
      <c r="G403" s="71" t="inlineStr">
        <is>
          <t>Standard</t>
        </is>
      </c>
      <c r="H403" s="72" t="n">
        <v>46013</v>
      </c>
      <c r="I403" s="73" t="n">
        <v>129.96</v>
      </c>
      <c r="J403" s="71" t="inlineStr">
        <is>
          <t>gross (stated)</t>
        </is>
      </c>
      <c r="K403" s="74" t="n">
        <v>3.47</v>
      </c>
      <c r="L403" s="74" t="n">
        <v>4.1</v>
      </c>
      <c r="M403" s="74" t="n">
        <v>3.6</v>
      </c>
      <c r="N403" s="71" t="inlineStr">
        <is>
          <t>N</t>
        </is>
      </c>
      <c r="O403" s="75" t="n">
        <v>87.8</v>
      </c>
      <c r="P403" s="75" t="n">
        <v>20.6</v>
      </c>
      <c r="Q403" s="76" t="n">
        <v>519</v>
      </c>
      <c r="R403" s="71" t="inlineStr">
        <is>
          <t>derived:price x shares upon listing</t>
        </is>
      </c>
      <c r="S403" s="77" t="n">
        <v>3397.48</v>
      </c>
      <c r="T403" s="78" t="n">
        <v>1.91</v>
      </c>
      <c r="U403" s="79" t="n">
        <v>0</v>
      </c>
      <c r="V403" s="80" t="n">
        <v>109</v>
      </c>
      <c r="W403" s="75" t="n">
        <v>10</v>
      </c>
      <c r="X403" s="71" t="inlineStr">
        <is>
          <t>NO</t>
        </is>
      </c>
      <c r="Y403" s="76" t="n">
        <v>129.96</v>
      </c>
      <c r="Z403" s="76" t="n">
        <v>36100000</v>
      </c>
      <c r="AA403" s="75" t="n">
        <v>25.04</v>
      </c>
      <c r="AB403" s="71" t="n"/>
      <c r="AC403" s="71" t="n"/>
      <c r="AD403" s="75" t="n">
        <v>11.4</v>
      </c>
      <c r="AE403" s="71" t="n"/>
      <c r="AF403" s="71" t="n"/>
      <c r="AG403" s="71" t="inlineStr">
        <is>
          <t>China Industrial Securities International Capital Limited</t>
        </is>
      </c>
      <c r="AH403" s="71" t="inlineStr">
        <is>
          <t>China Industrial</t>
        </is>
      </c>
      <c r="AI403" s="81" t="n">
        <v>-4.444</v>
      </c>
      <c r="AJ403" s="82" t="n">
        <v>-35.28</v>
      </c>
      <c r="AK403" s="82" t="n">
        <v>-9.44</v>
      </c>
      <c r="AL403" s="82" t="n">
        <v>-28.53</v>
      </c>
      <c r="AM403" s="83" t="n">
        <v>11.82</v>
      </c>
      <c r="AN403" s="75" t="n">
        <v>32.82</v>
      </c>
      <c r="AO403" s="82" t="n">
        <v>-41.11</v>
      </c>
      <c r="AP403" s="82" t="n">
        <v>-35.56</v>
      </c>
      <c r="AQ403" s="82" t="n">
        <v>-50.28</v>
      </c>
      <c r="AR403" s="82" t="n">
        <v>-9.01</v>
      </c>
      <c r="AS403" s="82" t="n">
        <v>-0.43</v>
      </c>
      <c r="AT403" s="82" t="n">
        <v>-23.18</v>
      </c>
      <c r="AU403" s="82" t="n">
        <v>-40.88</v>
      </c>
      <c r="AV403" s="82" t="n">
        <v>-39.68</v>
      </c>
      <c r="AW403" s="82" t="n">
        <v>-47.4</v>
      </c>
      <c r="AX403" s="82" t="n">
        <v>-4.1</v>
      </c>
      <c r="AY403" s="82" t="n">
        <v>4.12</v>
      </c>
      <c r="AZ403" s="82" t="n">
        <v>3.67</v>
      </c>
      <c r="BA403" s="71" t="inlineStr">
        <is>
          <t>Hang Seng Index</t>
        </is>
      </c>
      <c r="BB403" s="82" t="n">
        <v>-68.33</v>
      </c>
      <c r="BC403" s="72" t="inlineStr">
        <is>
          <t>2026-09-23</t>
        </is>
      </c>
      <c r="BD403" s="73" t="n">
        <v>150.9</v>
      </c>
      <c r="BE403" s="76" t="n">
        <v>-2.9</v>
      </c>
      <c r="BF403" s="71" t="inlineStr">
        <is>
          <t>N</t>
        </is>
      </c>
      <c r="BG403" s="71" t="inlineStr">
        <is>
          <t>n/m</t>
        </is>
      </c>
      <c r="BH403" s="83" t="n">
        <v>5.6</v>
      </c>
      <c r="BI403" s="83" t="n">
        <v>3.1</v>
      </c>
      <c r="BJ403" s="83" t="n">
        <v>3.4</v>
      </c>
      <c r="BK403" s="84">
        <f>IF('BBG Verify'!S403="","not filed; run on terminal",'BBG Verify'!S403)</f>
        <v/>
      </c>
      <c r="BL403" s="85" t="inlineStr">
        <is>
          <t>N</t>
        </is>
      </c>
      <c r="BM403" s="86">
        <f>IF('BBG Verify'!K403="","not filed; run on terminal",'BBG Verify'!K403)</f>
        <v/>
      </c>
      <c r="BN403" s="71" t="inlineStr">
        <is>
          <t>N/A</t>
        </is>
      </c>
      <c r="BO403" s="71" t="inlineStr">
        <is>
          <t>N/A</t>
        </is>
      </c>
      <c r="BP403" s="71" t="inlineStr">
        <is>
          <t>N/A</t>
        </is>
      </c>
      <c r="BQ403" s="71" t="inlineStr">
        <is>
          <t>N/A</t>
        </is>
      </c>
      <c r="BR403" s="71" t="inlineStr">
        <is>
          <t>N/A</t>
        </is>
      </c>
      <c r="BS403" s="71" t="inlineStr">
        <is>
          <t>N/A</t>
        </is>
      </c>
      <c r="BT403" s="85" t="inlineStr">
        <is>
          <t>China Industrial Securities International Capital Limited; Halcyon Capital Limited</t>
        </is>
      </c>
      <c r="BU403" s="71" t="inlineStr">
        <is>
          <t>China Industrial Securities International Capital Limited; Halcyon Capital Limited</t>
        </is>
      </c>
      <c r="BV403" s="71" t="inlineStr">
        <is>
          <t>China Industrial Securities International Capital Limited; Halcyon Securities Limited; ABCI Capital Limited; ABCI Securities Company Limited</t>
        </is>
      </c>
      <c r="BW403" s="71"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X403" s="87">
        <f>HYPERLINK("https://www1.hkexnews.hk/listedco/listconews/sehk/2025/1212/2025121200055.pdf","prospectus")</f>
        <v/>
      </c>
      <c r="BY403" s="87">
        <f>HYPERLINK("https://www1.hkexnews.hk/listedco/listconews/sehk/2025/1219/2025121901141.pdf","allotment")</f>
        <v/>
      </c>
      <c r="BZ403" s="71" t="n"/>
      <c r="CA403" s="85" t="n"/>
      <c r="CB403" s="71"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70" t="inlineStr">
        <is>
          <t>2396</t>
        </is>
      </c>
      <c r="B404" s="71" t="inlineStr">
        <is>
          <t>B&amp;K CORP-B</t>
        </is>
      </c>
      <c r="C404" s="71" t="inlineStr">
        <is>
          <t>青城新藥－Ｂ</t>
        </is>
      </c>
      <c r="D404" s="71" t="inlineStr">
        <is>
          <t>Healthcare</t>
        </is>
      </c>
      <c r="E404" s="71" t="inlineStr">
        <is>
          <t>Biotech pre-revenue (18A)</t>
        </is>
      </c>
      <c r="F404" s="71" t="inlineStr">
        <is>
          <t>Biotechnology - Pharmaceuticals</t>
        </is>
      </c>
      <c r="G404" s="71" t="inlineStr">
        <is>
          <t>18A</t>
        </is>
      </c>
      <c r="H404" s="72" t="n">
        <v>46013</v>
      </c>
      <c r="I404" s="73" t="n">
        <v>674.2</v>
      </c>
      <c r="J404" s="71" t="inlineStr">
        <is>
          <t>gross (price x shares)</t>
        </is>
      </c>
      <c r="K404" s="74" t="n"/>
      <c r="L404" s="74" t="n">
        <v>51</v>
      </c>
      <c r="M404" s="74" t="n">
        <v>38.2</v>
      </c>
      <c r="N404" s="71" t="inlineStr">
        <is>
          <t>N</t>
        </is>
      </c>
      <c r="O404" s="75" t="n">
        <v>74.90000000000001</v>
      </c>
      <c r="P404" s="75" t="n"/>
      <c r="Q404" s="76" t="n">
        <v>4494.5</v>
      </c>
      <c r="R404" s="71" t="inlineStr">
        <is>
          <t>derived:price x shares upon listing</t>
        </is>
      </c>
      <c r="S404" s="77" t="n">
        <v>791.95</v>
      </c>
      <c r="T404" s="78" t="n">
        <v>6.05</v>
      </c>
      <c r="U404" s="79" t="n">
        <v>0</v>
      </c>
      <c r="V404" s="80" t="n">
        <v>73</v>
      </c>
      <c r="W404" s="75" t="n">
        <v>10</v>
      </c>
      <c r="X404" s="71" t="inlineStr">
        <is>
          <t>NA</t>
        </is>
      </c>
      <c r="Y404" s="76" t="n">
        <v>674.2</v>
      </c>
      <c r="Z404" s="76" t="n">
        <v>17648800</v>
      </c>
      <c r="AA404" s="75" t="n">
        <v>15</v>
      </c>
      <c r="AB404" s="71" t="n"/>
      <c r="AC404" s="71" t="n"/>
      <c r="AD404" s="75" t="n">
        <v>15</v>
      </c>
      <c r="AE404" s="71" t="inlineStr">
        <is>
          <t>lapsed (no over-allocation)</t>
        </is>
      </c>
      <c r="AF404" s="71" t="inlineStr">
        <is>
          <t>2026-01-16</t>
        </is>
      </c>
      <c r="AG404" s="71" t="inlineStr">
        <is>
          <t>CLSA Limited</t>
        </is>
      </c>
      <c r="AH404" s="71" t="inlineStr">
        <is>
          <t>CLSA</t>
        </is>
      </c>
      <c r="AI404" s="92" t="n">
        <v>0.576</v>
      </c>
      <c r="AJ404" s="82" t="n">
        <v>-29.32</v>
      </c>
      <c r="AK404" s="82" t="n">
        <v>-11.52</v>
      </c>
      <c r="AL404" s="82" t="n">
        <v>-20.12</v>
      </c>
      <c r="AM404" s="83" t="n">
        <v>2.83</v>
      </c>
      <c r="AN404" s="75" t="n">
        <v>30.18</v>
      </c>
      <c r="AO404" s="82" t="n">
        <v>-57.67</v>
      </c>
      <c r="AP404" s="82" t="n">
        <v>-71.95999999999999</v>
      </c>
      <c r="AQ404" s="82" t="n">
        <v>-81.02</v>
      </c>
      <c r="AR404" s="82" t="n">
        <v>-40.11</v>
      </c>
      <c r="AS404" s="82" t="n">
        <v>-60.33</v>
      </c>
      <c r="AT404" s="82" t="n">
        <v>-73.15000000000001</v>
      </c>
      <c r="AU404" s="82" t="n">
        <v>-53.08</v>
      </c>
      <c r="AV404" s="82" t="n">
        <v>-73.8</v>
      </c>
      <c r="AW404" s="82" t="n">
        <v>-86.11</v>
      </c>
      <c r="AX404" s="82" t="n">
        <v>-63.24</v>
      </c>
      <c r="AY404" s="82" t="n">
        <v>1.84</v>
      </c>
      <c r="AZ404" s="82" t="n">
        <v>2.91</v>
      </c>
      <c r="BA404" s="71" t="inlineStr">
        <is>
          <t>China Biotech ETF (HS biotech proxy)</t>
        </is>
      </c>
      <c r="BB404" s="82" t="n">
        <v>-88.48999999999999</v>
      </c>
      <c r="BC404" s="72" t="inlineStr">
        <is>
          <t>2026-09-23</t>
        </is>
      </c>
      <c r="BD404" s="73" t="n">
        <v>0.3</v>
      </c>
      <c r="BE404" s="76" t="n">
        <v>-180.5</v>
      </c>
      <c r="BF404" s="71" t="inlineStr">
        <is>
          <t>N</t>
        </is>
      </c>
      <c r="BG404" s="71" t="inlineStr">
        <is>
          <t>n/m</t>
        </is>
      </c>
      <c r="BH404" s="83" t="n"/>
      <c r="BI404" s="83" t="n"/>
      <c r="BJ404" s="83" t="n">
        <v>14981.7</v>
      </c>
      <c r="BK404" s="84">
        <f>IF('BBG Verify'!S404="","not filed; run on terminal",'BBG Verify'!S404)</f>
        <v/>
      </c>
      <c r="BL404" s="85" t="inlineStr">
        <is>
          <t>N</t>
        </is>
      </c>
      <c r="BM404" s="86">
        <f>IF('BBG Verify'!K404="","not filed; run on terminal",'BBG Verify'!K404)</f>
        <v/>
      </c>
      <c r="BN404" s="71" t="inlineStr">
        <is>
          <t>N/A</t>
        </is>
      </c>
      <c r="BO404" s="71" t="inlineStr">
        <is>
          <t>N/A</t>
        </is>
      </c>
      <c r="BP404" s="71" t="inlineStr">
        <is>
          <t>N/A</t>
        </is>
      </c>
      <c r="BQ404" s="71" t="inlineStr">
        <is>
          <t>N/A</t>
        </is>
      </c>
      <c r="BR404" s="71" t="inlineStr">
        <is>
          <t>N/A</t>
        </is>
      </c>
      <c r="BS404" s="71" t="inlineStr">
        <is>
          <t>N/A</t>
        </is>
      </c>
      <c r="BT404" s="85" t="inlineStr">
        <is>
          <t>Huatai Financial Holdings (Hong Kong) Limited; CITIC Securities (Hong Kong) Limited</t>
        </is>
      </c>
      <c r="BU404" s="71" t="inlineStr">
        <is>
          <t>Huatai Financial Holdings (Hong Kong) Limited; CITIC Securities (Hong Kong) Limited</t>
        </is>
      </c>
      <c r="BV404" s="71"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W404" s="71"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X404" s="87">
        <f>HYPERLINK("https://www1.hkexnews.hk/listedco/listconews/sehk/2025/1212/2025121200081.pdf","prospectus")</f>
        <v/>
      </c>
      <c r="BY404" s="87">
        <f>HYPERLINK("https://www1.hkexnews.hk/listedco/listconews/sehk/2025/1219/2025121901577.pdf","allotment")</f>
        <v/>
      </c>
      <c r="BZ404" s="87">
        <f>HYPERLINK("https://www1.hkexnews.hk/listedco/listconews/sehk/2026/0118/2026011800013.pdf","stabilisation")</f>
        <v/>
      </c>
      <c r="CA404" s="85" t="n"/>
      <c r="CB404" s="71"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70" t="inlineStr">
        <is>
          <t>2581</t>
        </is>
      </c>
      <c r="B405" s="71" t="inlineStr">
        <is>
          <t>BENQ HOLDING</t>
        </is>
      </c>
      <c r="C405" s="71" t="inlineStr">
        <is>
          <t>明基醫院</t>
        </is>
      </c>
      <c r="D405" s="71" t="inlineStr">
        <is>
          <t>Tech/AI</t>
        </is>
      </c>
      <c r="E405" s="71" t="inlineStr">
        <is>
          <t>Smart hardware / consumer electronics</t>
        </is>
      </c>
      <c r="F405" s="71" t="inlineStr">
        <is>
          <t>Health Care Services</t>
        </is>
      </c>
      <c r="G405" s="71" t="inlineStr">
        <is>
          <t>Standard</t>
        </is>
      </c>
      <c r="H405" s="72" t="n">
        <v>46013</v>
      </c>
      <c r="I405" s="73" t="n">
        <v>625.8</v>
      </c>
      <c r="J405" s="71" t="inlineStr">
        <is>
          <t>gross (stated)</t>
        </is>
      </c>
      <c r="K405" s="74" t="n">
        <v>9.34</v>
      </c>
      <c r="L405" s="74" t="n">
        <v>11.68</v>
      </c>
      <c r="M405" s="74" t="n">
        <v>9.34</v>
      </c>
      <c r="N405" s="71" t="inlineStr">
        <is>
          <t>N</t>
        </is>
      </c>
      <c r="O405" s="75" t="n">
        <v>80</v>
      </c>
      <c r="P405" s="75" t="n">
        <v>0</v>
      </c>
      <c r="Q405" s="76" t="n">
        <v>2913.6</v>
      </c>
      <c r="R405" s="71" t="inlineStr">
        <is>
          <t>derived:price x shares upon listing</t>
        </is>
      </c>
      <c r="S405" s="77" t="n">
        <v>6.28</v>
      </c>
      <c r="T405" s="78" t="n">
        <v>1.28</v>
      </c>
      <c r="U405" s="79" t="n">
        <v>49.63</v>
      </c>
      <c r="V405" s="80" t="n">
        <v>40</v>
      </c>
      <c r="W405" s="75" t="n">
        <v>10</v>
      </c>
      <c r="X405" s="71" t="inlineStr">
        <is>
          <t>NA</t>
        </is>
      </c>
      <c r="Y405" s="76" t="n">
        <v>315.22</v>
      </c>
      <c r="Z405" s="76" t="n">
        <v>33747900</v>
      </c>
      <c r="AA405" s="75" t="n">
        <v>10.82</v>
      </c>
      <c r="AB405" s="71" t="inlineStr">
        <is>
          <t>Heron Neutron Medical; Cowealth (China); Suzhou Zhanxingtou</t>
        </is>
      </c>
      <c r="AC405" s="71" t="inlineStr">
        <is>
          <t>heron;cowealth;suzhou</t>
        </is>
      </c>
      <c r="AD405" s="75" t="n"/>
      <c r="AE405" s="71" t="n"/>
      <c r="AF405" s="71" t="n"/>
      <c r="AG405" s="71" t="n"/>
      <c r="AH405" s="71" t="n"/>
      <c r="AI405" s="81" t="n">
        <v>-25.375</v>
      </c>
      <c r="AJ405" s="82" t="n">
        <v>-49.46</v>
      </c>
      <c r="AK405" s="82" t="n">
        <v>-30.41</v>
      </c>
      <c r="AL405" s="82" t="n">
        <v>-27.37</v>
      </c>
      <c r="AM405" s="83" t="n">
        <v>1.17</v>
      </c>
      <c r="AN405" s="75" t="n">
        <v>27.38</v>
      </c>
      <c r="AO405" s="82" t="n">
        <v>-56</v>
      </c>
      <c r="AP405" s="82" t="n">
        <v>-56.21</v>
      </c>
      <c r="AQ405" s="82" t="n">
        <v>-63.06</v>
      </c>
      <c r="AR405" s="82" t="n">
        <v>-12.94</v>
      </c>
      <c r="AS405" s="82" t="n">
        <v>-13.36</v>
      </c>
      <c r="AT405" s="82" t="n">
        <v>-26.91</v>
      </c>
      <c r="AU405" s="82" t="n">
        <v>-56.56</v>
      </c>
      <c r="AV405" s="82" t="n">
        <v>-61.99</v>
      </c>
      <c r="AW405" s="82" t="n">
        <v>-50.37</v>
      </c>
      <c r="AX405" s="82" t="n">
        <v>-18.06</v>
      </c>
      <c r="AY405" s="82" t="n">
        <v>5.78</v>
      </c>
      <c r="AZ405" s="82" t="n">
        <v>4.7</v>
      </c>
      <c r="BA405" s="71" t="inlineStr">
        <is>
          <t>HSTECH (Hang Seng TECH ETF)</t>
        </is>
      </c>
      <c r="BB405" s="82" t="n">
        <v>-70.06999999999999</v>
      </c>
      <c r="BC405" s="72" t="inlineStr">
        <is>
          <t>2026-09-22</t>
        </is>
      </c>
      <c r="BD405" s="73" t="n">
        <v>2924.9</v>
      </c>
      <c r="BE405" s="76" t="n">
        <v>119.8</v>
      </c>
      <c r="BF405" s="71" t="inlineStr">
        <is>
          <t>Y</t>
        </is>
      </c>
      <c r="BG405" s="83" t="n">
        <v>24.3</v>
      </c>
      <c r="BH405" s="83" t="n">
        <v>11.1</v>
      </c>
      <c r="BI405" s="83" t="n">
        <v>6.2</v>
      </c>
      <c r="BJ405" s="83" t="n">
        <v>1</v>
      </c>
      <c r="BK405" s="84">
        <f>IF('BBG Verify'!S405="","not filed; run on terminal",'BBG Verify'!S405)</f>
        <v/>
      </c>
      <c r="BL405" s="85" t="inlineStr">
        <is>
          <t>N</t>
        </is>
      </c>
      <c r="BM405" s="86">
        <f>IF('BBG Verify'!K405="","not filed; run on terminal",'BBG Verify'!K405)</f>
        <v/>
      </c>
      <c r="BN405" s="71" t="inlineStr">
        <is>
          <t>N/A</t>
        </is>
      </c>
      <c r="BO405" s="71" t="inlineStr">
        <is>
          <t>N/A</t>
        </is>
      </c>
      <c r="BP405" s="71" t="inlineStr">
        <is>
          <t>N/A</t>
        </is>
      </c>
      <c r="BQ405" s="71" t="inlineStr">
        <is>
          <t>N/A</t>
        </is>
      </c>
      <c r="BR405" s="71" t="inlineStr">
        <is>
          <t>N/A</t>
        </is>
      </c>
      <c r="BS405" s="71" t="inlineStr">
        <is>
          <t>N/A</t>
        </is>
      </c>
      <c r="BT405" s="85" t="n"/>
      <c r="BU405" s="71" t="inlineStr">
        <is>
          <t>China International Capital Corporation Hong Kong Securities Limited; Citigroup Global Markets Asia Limited</t>
        </is>
      </c>
      <c r="BV405" s="71"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W405" s="71"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X405" s="87">
        <f>HYPERLINK("https://www1.hkexnews.hk/listedco/listconews/sehk/2025/1212/2025121200057.pdf","prospectus")</f>
        <v/>
      </c>
      <c r="BY405" s="87">
        <f>HYPERLINK("https://www1.hkexnews.hk/listedco/listconews/sehk/2025/1219/2025121901603.pdf","allotment")</f>
        <v/>
      </c>
      <c r="BZ405" s="71" t="n"/>
      <c r="CA405" s="85" t="n"/>
      <c r="CB405" s="71"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70" t="inlineStr">
        <is>
          <t>2691</t>
        </is>
      </c>
      <c r="B406" s="71" t="inlineStr">
        <is>
          <t>NANHUA FUTURES</t>
        </is>
      </c>
      <c r="C406" s="71" t="inlineStr">
        <is>
          <t>南華期貨股份</t>
        </is>
      </c>
      <c r="D406" s="71" t="inlineStr">
        <is>
          <t>Financials</t>
        </is>
      </c>
      <c r="E406" s="71" t="inlineStr">
        <is>
          <t>Brokers / asset management</t>
        </is>
      </c>
      <c r="F406" s="71" t="inlineStr">
        <is>
          <t>Investment Banking &amp; Brokerage</t>
        </is>
      </c>
      <c r="G406" s="71" t="inlineStr">
        <is>
          <t>Standard</t>
        </is>
      </c>
      <c r="H406" s="72" t="n">
        <v>46013</v>
      </c>
      <c r="I406" s="73" t="n">
        <v>1291.91</v>
      </c>
      <c r="J406" s="71" t="inlineStr">
        <is>
          <t>gross (stated)</t>
        </is>
      </c>
      <c r="K406" s="74" t="n"/>
      <c r="L406" s="74" t="n">
        <v>16</v>
      </c>
      <c r="M406" s="74" t="n">
        <v>12</v>
      </c>
      <c r="N406" s="71" t="inlineStr">
        <is>
          <t>N</t>
        </is>
      </c>
      <c r="O406" s="75" t="n">
        <v>75</v>
      </c>
      <c r="P406" s="75" t="n"/>
      <c r="Q406" s="76" t="n">
        <v>10491.8</v>
      </c>
      <c r="R406" s="71" t="inlineStr">
        <is>
          <t>prospectus:stated market capitalisation, rescaled to the offer price</t>
        </is>
      </c>
      <c r="S406" s="77" t="n">
        <v>1.91</v>
      </c>
      <c r="T406" s="78" t="n">
        <v>0.99</v>
      </c>
      <c r="U406" s="79" t="n">
        <v>0</v>
      </c>
      <c r="V406" s="80" t="n">
        <v>32</v>
      </c>
      <c r="W406" s="75" t="n">
        <v>15</v>
      </c>
      <c r="X406" s="71" t="n"/>
      <c r="Y406" s="76" t="n">
        <v>1291.91</v>
      </c>
      <c r="Z406" s="76" t="n">
        <v>107659000</v>
      </c>
      <c r="AA406" s="75" t="n">
        <v>12.31</v>
      </c>
      <c r="AB406" s="71" t="n"/>
      <c r="AC406" s="71" t="n"/>
      <c r="AD406" s="75" t="n">
        <v>5</v>
      </c>
      <c r="AE406" s="71" t="inlineStr">
        <is>
          <t>lapsed (no over-allocation)</t>
        </is>
      </c>
      <c r="AF406" s="71" t="n"/>
      <c r="AG406" s="71" t="inlineStr">
        <is>
          <t>CLSA Limited</t>
        </is>
      </c>
      <c r="AH406" s="71" t="inlineStr">
        <is>
          <t>CLSA</t>
        </is>
      </c>
      <c r="AI406" s="81" t="n">
        <v>-7.417</v>
      </c>
      <c r="AJ406" s="82" t="n">
        <v>-24.17</v>
      </c>
      <c r="AK406" s="82" t="n">
        <v>-23.92</v>
      </c>
      <c r="AL406" s="82" t="n">
        <v>-0.33</v>
      </c>
      <c r="AM406" s="83" t="n">
        <v>0.49</v>
      </c>
      <c r="AN406" s="75" t="n">
        <v>18.62</v>
      </c>
      <c r="AO406" s="82" t="n">
        <v>-17.42</v>
      </c>
      <c r="AP406" s="82" t="n">
        <v>-12.75</v>
      </c>
      <c r="AQ406" s="82" t="n">
        <v>-9.5</v>
      </c>
      <c r="AR406" s="82" t="n">
        <v>8.9</v>
      </c>
      <c r="AS406" s="82" t="n">
        <v>15.06</v>
      </c>
      <c r="AT406" s="82" t="n">
        <v>19.35</v>
      </c>
      <c r="AU406" s="82" t="n">
        <v>-18.24</v>
      </c>
      <c r="AV406" s="82" t="n">
        <v>-16.12</v>
      </c>
      <c r="AW406" s="82" t="n">
        <v>-12.35</v>
      </c>
      <c r="AX406" s="82" t="n">
        <v>12.22</v>
      </c>
      <c r="AY406" s="82" t="n">
        <v>3.37</v>
      </c>
      <c r="AZ406" s="82" t="n">
        <v>2.84</v>
      </c>
      <c r="BA406" s="71" t="inlineStr">
        <is>
          <t>Hang Seng Finance sub-index</t>
        </is>
      </c>
      <c r="BB406" s="82" t="n">
        <v>-20.13</v>
      </c>
      <c r="BC406" s="72" t="inlineStr">
        <is>
          <t>2026-09-23</t>
        </is>
      </c>
      <c r="BD406" s="73" t="n">
        <v>0</v>
      </c>
      <c r="BE406" s="76" t="n">
        <v>503.8</v>
      </c>
      <c r="BF406" s="71" t="inlineStr">
        <is>
          <t>Y</t>
        </is>
      </c>
      <c r="BG406" s="83" t="n">
        <v>20.8</v>
      </c>
      <c r="BH406" s="83" t="n">
        <v>10.9</v>
      </c>
      <c r="BI406" s="83" t="n">
        <v>5.8</v>
      </c>
      <c r="BJ406" s="71" t="inlineStr">
        <is>
          <t>pre-rev</t>
        </is>
      </c>
      <c r="BK406" s="84">
        <f>IF('BBG Verify'!S406="","not filed; run on terminal",'BBG Verify'!S406)</f>
        <v/>
      </c>
      <c r="BL406" s="85" t="inlineStr">
        <is>
          <t>Y</t>
        </is>
      </c>
      <c r="BM406" s="71" t="inlineStr">
        <is>
          <t>603093.SS</t>
        </is>
      </c>
      <c r="BN406" s="82" t="n">
        <v>77.34999999999999</v>
      </c>
      <c r="BO406" s="74" t="n">
        <v>21.2816</v>
      </c>
      <c r="BP406" s="89" t="n">
        <v>1.4062</v>
      </c>
      <c r="BQ406" s="76" t="n">
        <v>17021.8</v>
      </c>
      <c r="BR406" s="84">
        <f>IF('BBG Verify'!Q406="","run on terminal",'BBG Verify'!Q406)</f>
        <v/>
      </c>
      <c r="BS406" s="84">
        <f>IF('BBG Verify'!R406="","run on terminal",'BBG Verify'!R406)</f>
        <v/>
      </c>
      <c r="BT406" s="85" t="inlineStr">
        <is>
          <t>CITIC Securities (Hong Kong) Limited</t>
        </is>
      </c>
      <c r="BU406" s="71" t="inlineStr">
        <is>
          <t>CITIC Securities (Hong Kong) Limited</t>
        </is>
      </c>
      <c r="BV406" s="71"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W406" s="71"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X406" s="87">
        <f>HYPERLINK("https://www1.hkexnews.hk/listedco/listconews/sehk/2025/1212/2025121200021.pdf","prospectus")</f>
        <v/>
      </c>
      <c r="BY406" s="87">
        <f>HYPERLINK("https://www1.hkexnews.hk/listedco/listconews/sehk/2025/1219/2025121902017.pdf","allotment")</f>
        <v/>
      </c>
      <c r="BZ406" s="87">
        <f>HYPERLINK("https://www1.hkexnews.hk/listedco/listconews/sehk/2026/0116/2026011600262.pdf","stabilisation")</f>
        <v/>
      </c>
      <c r="CA406" s="85" t="n"/>
      <c r="CB406" s="71"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t>
        </is>
      </c>
    </row>
    <row r="407" ht="15" customHeight="1">
      <c r="A407" s="70" t="inlineStr">
        <is>
          <t>2635</t>
        </is>
      </c>
      <c r="B407" s="71" t="inlineStr">
        <is>
          <t>NUOBIKAN</t>
        </is>
      </c>
      <c r="C407" s="71" t="inlineStr">
        <is>
          <t>諾比侃</t>
        </is>
      </c>
      <c r="D407" s="71" t="inlineStr">
        <is>
          <t>Tech/AI</t>
        </is>
      </c>
      <c r="E407" s="71" t="inlineStr">
        <is>
          <t>SaaS / enterprise software</t>
        </is>
      </c>
      <c r="F407" s="71" t="inlineStr">
        <is>
          <t>Advanced hardware and software</t>
        </is>
      </c>
      <c r="G407" s="71" t="inlineStr">
        <is>
          <t>Standard</t>
        </is>
      </c>
      <c r="H407" s="72" t="n">
        <v>46014</v>
      </c>
      <c r="I407" s="73" t="n">
        <v>302.93</v>
      </c>
      <c r="J407" s="71" t="inlineStr">
        <is>
          <t>gross (stated)</t>
        </is>
      </c>
      <c r="K407" s="74" t="n"/>
      <c r="L407" s="74" t="n">
        <v>106</v>
      </c>
      <c r="M407" s="74" t="n">
        <v>80</v>
      </c>
      <c r="N407" s="71" t="inlineStr">
        <is>
          <t>N</t>
        </is>
      </c>
      <c r="O407" s="75" t="n">
        <v>75.5</v>
      </c>
      <c r="P407" s="75" t="n"/>
      <c r="Q407" s="76" t="n">
        <v>3029.3</v>
      </c>
      <c r="R407" s="71" t="inlineStr">
        <is>
          <t>derived:price x shares upon listing</t>
        </is>
      </c>
      <c r="S407" s="77" t="n">
        <v>188.74</v>
      </c>
      <c r="T407" s="78" t="n">
        <v>2.08</v>
      </c>
      <c r="U407" s="79" t="n">
        <v>0</v>
      </c>
      <c r="V407" s="80" t="n">
        <v>79</v>
      </c>
      <c r="W407" s="75" t="n">
        <v>10</v>
      </c>
      <c r="X407" s="71" t="inlineStr">
        <is>
          <t>NO</t>
        </is>
      </c>
      <c r="Y407" s="76" t="n">
        <v>302.93</v>
      </c>
      <c r="Z407" s="76" t="n">
        <v>3786600</v>
      </c>
      <c r="AA407" s="75" t="n">
        <v>10</v>
      </c>
      <c r="AB407" s="71" t="n"/>
      <c r="AC407" s="71" t="n"/>
      <c r="AD407" s="75" t="n">
        <v>19.6</v>
      </c>
      <c r="AE407" s="71" t="inlineStr">
        <is>
          <t>lapsed (no over-allocation)</t>
        </is>
      </c>
      <c r="AF407" s="71" t="n"/>
      <c r="AG407" s="71" t="inlineStr">
        <is>
          <t>China International Capital Corporation Hong Kong Securities Limited</t>
        </is>
      </c>
      <c r="AH407" s="71" t="inlineStr">
        <is>
          <t>China International</t>
        </is>
      </c>
      <c r="AI407" s="81" t="n">
        <v>275.75</v>
      </c>
      <c r="AJ407" s="82" t="n">
        <v>363.75</v>
      </c>
      <c r="AK407" s="82" t="n">
        <v>299.75</v>
      </c>
      <c r="AL407" s="82" t="n">
        <v>16.01</v>
      </c>
      <c r="AM407" s="83" t="n">
        <v>2.29</v>
      </c>
      <c r="AN407" s="75" t="n">
        <v>19.07</v>
      </c>
      <c r="AO407" s="82" t="n">
        <v>331.75</v>
      </c>
      <c r="AP407" s="82" t="n">
        <v>388.5</v>
      </c>
      <c r="AQ407" s="82" t="n">
        <v>505</v>
      </c>
      <c r="AR407" s="82" t="n">
        <v>-6.9</v>
      </c>
      <c r="AS407" s="82" t="n">
        <v>5.34</v>
      </c>
      <c r="AT407" s="82" t="n">
        <v>30.46</v>
      </c>
      <c r="AU407" s="82" t="n">
        <v>328.15</v>
      </c>
      <c r="AV407" s="82" t="n">
        <v>384.99</v>
      </c>
      <c r="AW407" s="82" t="n">
        <v>520.24</v>
      </c>
      <c r="AX407" s="82" t="n">
        <v>0.96</v>
      </c>
      <c r="AY407" s="82" t="n">
        <v>3.51</v>
      </c>
      <c r="AZ407" s="82" t="n">
        <v>4.38</v>
      </c>
      <c r="BA407" s="71" t="inlineStr">
        <is>
          <t>HSTECH (Hang Seng TECH ETF)</t>
        </is>
      </c>
      <c r="BB407" s="82" t="n">
        <v>26.25</v>
      </c>
      <c r="BC407" s="72" t="inlineStr">
        <is>
          <t>2026-09-23</t>
        </is>
      </c>
      <c r="BD407" s="73" t="n">
        <v>442.9</v>
      </c>
      <c r="BE407" s="76" t="n">
        <v>126.9</v>
      </c>
      <c r="BF407" s="71" t="inlineStr">
        <is>
          <t>Y</t>
        </is>
      </c>
      <c r="BG407" s="83" t="n">
        <v>23.9</v>
      </c>
      <c r="BH407" s="83" t="n"/>
      <c r="BI407" s="83" t="n"/>
      <c r="BJ407" s="83" t="n">
        <v>6.8</v>
      </c>
      <c r="BK407" s="84">
        <f>IF('BBG Verify'!S407="","not filed; run on terminal",'BBG Verify'!S407)</f>
        <v/>
      </c>
      <c r="BL407" s="85" t="inlineStr">
        <is>
          <t>N</t>
        </is>
      </c>
      <c r="BM407" s="86">
        <f>IF('BBG Verify'!K407="","not filed; run on terminal",'BBG Verify'!K407)</f>
        <v/>
      </c>
      <c r="BN407" s="71" t="inlineStr">
        <is>
          <t>N/A</t>
        </is>
      </c>
      <c r="BO407" s="71" t="inlineStr">
        <is>
          <t>N/A</t>
        </is>
      </c>
      <c r="BP407" s="71" t="inlineStr">
        <is>
          <t>N/A</t>
        </is>
      </c>
      <c r="BQ407" s="71" t="inlineStr">
        <is>
          <t>N/A</t>
        </is>
      </c>
      <c r="BR407" s="71" t="inlineStr">
        <is>
          <t>N/A</t>
        </is>
      </c>
      <c r="BS407" s="71" t="inlineStr">
        <is>
          <t>N/A</t>
        </is>
      </c>
      <c r="BT407" s="85" t="n"/>
      <c r="BU407" s="71" t="inlineStr">
        <is>
          <t>China International Capital Corporation Hong Kong Securities Limited</t>
        </is>
      </c>
      <c r="BV407" s="71" t="inlineStr">
        <is>
          <t>China International Capital Corporation Hong Kong Securities Limited; Livermore Holdings Limited; Patrons Securities Limited</t>
        </is>
      </c>
      <c r="BW407" s="71" t="inlineStr">
        <is>
          <t>China International Capital Corporation Hong Kong Securities Limited; Livermore Holdings Limited; Patrons Securities Limited</t>
        </is>
      </c>
      <c r="BX407" s="87">
        <f>HYPERLINK("https://www1.hkexnews.hk/listedco/listconews/sehk/2025/1215/2025121500019.pdf","prospectus")</f>
        <v/>
      </c>
      <c r="BY407" s="87">
        <f>HYPERLINK("https://www1.hkexnews.hk/listedco/listconews/sehk/2025/1222/2025122201578.pdf","allotment")</f>
        <v/>
      </c>
      <c r="BZ407" s="87">
        <f>HYPERLINK("https://www1.hkexnews.hk/listedco/listconews/sehk/2026/0119/2026011900805.pdf","stabilisation")</f>
        <v/>
      </c>
      <c r="CA407" s="85" t="n"/>
      <c r="CB407" s="71" t="inlineStr">
        <is>
          <t>greenshoe: outcome published; expiry date not in the notice; range low: maximum offer price only, no floor published; sponsor: English name not in the filing; AAStocks 保薦人 shown; cornerstone list: no cornerstone tranche</t>
        </is>
      </c>
    </row>
    <row r="408" ht="15" customHeight="1">
      <c r="A408" s="70" t="inlineStr">
        <is>
          <t>2661</t>
        </is>
      </c>
      <c r="B408" s="71" t="inlineStr">
        <is>
          <t>QINGSONG HEALTH</t>
        </is>
      </c>
      <c r="C408" s="71" t="inlineStr">
        <is>
          <t>輕鬆健康</t>
        </is>
      </c>
      <c r="D408" s="71" t="inlineStr">
        <is>
          <t>Financials</t>
        </is>
      </c>
      <c r="E408" s="71" t="inlineStr">
        <is>
          <t>Insurance</t>
        </is>
      </c>
      <c r="F408" s="71" t="inlineStr">
        <is>
          <t>Health Care Services</t>
        </is>
      </c>
      <c r="G408" s="71" t="inlineStr">
        <is>
          <t>Standard</t>
        </is>
      </c>
      <c r="H408" s="72" t="n">
        <v>46014</v>
      </c>
      <c r="I408" s="73" t="n">
        <v>601.9299999999999</v>
      </c>
      <c r="J408" s="71" t="inlineStr">
        <is>
          <t>gross (stated)</t>
        </is>
      </c>
      <c r="K408" s="74" t="n"/>
      <c r="L408" s="74" t="n">
        <v>22.68</v>
      </c>
      <c r="M408" s="74" t="n">
        <v>22.68</v>
      </c>
      <c r="N408" s="71" t="inlineStr">
        <is>
          <t>Y</t>
        </is>
      </c>
      <c r="O408" s="75" t="n">
        <v>100</v>
      </c>
      <c r="P408" s="75" t="n"/>
      <c r="Q408" s="76" t="n">
        <v>4680.6</v>
      </c>
      <c r="R408" s="71" t="inlineStr">
        <is>
          <t>derived:price x shares upon listing</t>
        </is>
      </c>
      <c r="S408" s="77" t="n">
        <v>1421.47</v>
      </c>
      <c r="T408" s="78" t="n">
        <v>2.9</v>
      </c>
      <c r="U408" s="79" t="n">
        <v>2.33</v>
      </c>
      <c r="V408" s="80" t="n">
        <v>113</v>
      </c>
      <c r="W408" s="75" t="n">
        <v>10</v>
      </c>
      <c r="X408" s="71" t="inlineStr">
        <is>
          <t>NO</t>
        </is>
      </c>
      <c r="Y408" s="76" t="n">
        <v>587.91</v>
      </c>
      <c r="Z408" s="76" t="n">
        <v>25921618</v>
      </c>
      <c r="AA408" s="75" t="n">
        <v>12.56</v>
      </c>
      <c r="AB408" s="71" t="inlineStr">
        <is>
          <t>Aoqin Heming; Discretionary basis</t>
        </is>
      </c>
      <c r="AC408" s="71" t="inlineStr">
        <is>
          <t>aoqin;discretionary</t>
        </is>
      </c>
      <c r="AD408" s="75" t="n">
        <v>13.61</v>
      </c>
      <c r="AE408" s="71" t="inlineStr">
        <is>
          <t>lapsed (no over-allocation)</t>
        </is>
      </c>
      <c r="AF408" s="71" t="inlineStr">
        <is>
          <t>2026-01-17</t>
        </is>
      </c>
      <c r="AG408" s="71" t="inlineStr">
        <is>
          <t>China International Capital Corporation Hong Kong Securities Limited</t>
        </is>
      </c>
      <c r="AH408" s="71" t="inlineStr">
        <is>
          <t>China International</t>
        </is>
      </c>
      <c r="AI408" s="81" t="n">
        <v>127.954</v>
      </c>
      <c r="AJ408" s="82" t="n">
        <v>158.82</v>
      </c>
      <c r="AK408" s="82" t="n">
        <v>120.46</v>
      </c>
      <c r="AL408" s="82" t="n">
        <v>17.4</v>
      </c>
      <c r="AM408" s="83" t="n">
        <v>2.35</v>
      </c>
      <c r="AN408" s="75" t="n">
        <v>21.6</v>
      </c>
      <c r="AO408" s="82" t="n">
        <v>229.37</v>
      </c>
      <c r="AP408" s="82" t="n">
        <v>338.71</v>
      </c>
      <c r="AQ408" s="82" t="n">
        <v>592.6799999999999</v>
      </c>
      <c r="AR408" s="82" t="n">
        <v>27.26</v>
      </c>
      <c r="AS408" s="82" t="n">
        <v>69.5</v>
      </c>
      <c r="AT408" s="82" t="n">
        <v>167.63</v>
      </c>
      <c r="AU408" s="82" t="n">
        <v>226.94</v>
      </c>
      <c r="AV408" s="82" t="n">
        <v>335.11</v>
      </c>
      <c r="AW408" s="82" t="n">
        <v>590.54</v>
      </c>
      <c r="AX408" s="82" t="n">
        <v>66.5</v>
      </c>
      <c r="AY408" s="82" t="n">
        <v>3.6</v>
      </c>
      <c r="AZ408" s="82" t="n">
        <v>3</v>
      </c>
      <c r="BA408" s="71" t="inlineStr">
        <is>
          <t>Hang Seng Finance sub-index</t>
        </is>
      </c>
      <c r="BB408" s="82" t="n">
        <v>-81.33</v>
      </c>
      <c r="BC408" s="72" t="inlineStr">
        <is>
          <t>2026-09-23</t>
        </is>
      </c>
      <c r="BD408" s="73" t="n">
        <v>1039.5</v>
      </c>
      <c r="BE408" s="76" t="n">
        <v>-0</v>
      </c>
      <c r="BF408" s="71" t="inlineStr">
        <is>
          <t>N</t>
        </is>
      </c>
      <c r="BG408" s="71" t="inlineStr">
        <is>
          <t>n/m</t>
        </is>
      </c>
      <c r="BH408" s="83" t="n"/>
      <c r="BI408" s="83" t="n"/>
      <c r="BJ408" s="83" t="n">
        <v>4.5</v>
      </c>
      <c r="BK408" s="84">
        <f>IF('BBG Verify'!S408="","not filed; run on terminal",'BBG Verify'!S408)</f>
        <v/>
      </c>
      <c r="BL408" s="85" t="inlineStr">
        <is>
          <t>N</t>
        </is>
      </c>
      <c r="BM408" s="86">
        <f>IF('BBG Verify'!K408="","not filed; run on terminal",'BBG Verify'!K408)</f>
        <v/>
      </c>
      <c r="BN408" s="71" t="inlineStr">
        <is>
          <t>N/A</t>
        </is>
      </c>
      <c r="BO408" s="71" t="inlineStr">
        <is>
          <t>N/A</t>
        </is>
      </c>
      <c r="BP408" s="71" t="inlineStr">
        <is>
          <t>N/A</t>
        </is>
      </c>
      <c r="BQ408" s="71" t="inlineStr">
        <is>
          <t>N/A</t>
        </is>
      </c>
      <c r="BR408" s="71" t="inlineStr">
        <is>
          <t>N/A</t>
        </is>
      </c>
      <c r="BS408" s="71" t="inlineStr">
        <is>
          <t>N/A</t>
        </is>
      </c>
      <c r="BT408" s="85" t="inlineStr">
        <is>
          <t>China International Capital Corporation Hong Kong Securities Limited; China Merchants Securities (HK) Co., Limited</t>
        </is>
      </c>
      <c r="BU408" s="71" t="inlineStr">
        <is>
          <t>China International Capital Corporation Hong Kong Securities Limited; China Merchants Securities (HK) Company Limited</t>
        </is>
      </c>
      <c r="BV408" s="71" t="inlineStr">
        <is>
          <t>China International Capital Corporation Hong Kong Securities Limited; China Merchants Securities (HK) Co., Limited; Futu Securities International (Hong Kong) Limited; SPDB International Capital Limited</t>
        </is>
      </c>
      <c r="BW408" s="71" t="inlineStr">
        <is>
          <t>China International Capital Corporation Hong Kong Securities Limited; China Merchants Securities (HK) Company Limited; Futu Securities International (Hong Kong) Limited; SPDB International Capital Limited</t>
        </is>
      </c>
      <c r="BX408" s="87">
        <f>HYPERLINK("https://www1.hkexnews.hk/listedco/listconews/sehk/2025/1215/2025121500031.pdf","prospectus")</f>
        <v/>
      </c>
      <c r="BY408" s="87">
        <f>HYPERLINK("https://www1.hkexnews.hk/listedco/listconews/sehk/2025/1222/2025122201716.pdf","allotment")</f>
        <v/>
      </c>
      <c r="BZ408" s="87">
        <f>HYPERLINK("https://www1.hkexnews.hk/listedco/listconews/sehk/2026/0118/2026011800009.pdf","stabilisation")</f>
        <v/>
      </c>
      <c r="CA408" s="85" t="n"/>
      <c r="CB408" s="71" t="inlineStr">
        <is>
          <t>P/E: loss-making at IPO, use P/S; range low: maximum offer price only, no floor published</t>
        </is>
      </c>
    </row>
    <row r="409" ht="15" customHeight="1">
      <c r="A409" s="70" t="inlineStr">
        <is>
          <t>3378</t>
        </is>
      </c>
      <c r="B409" s="71" t="inlineStr">
        <is>
          <t>HANXBIO-B</t>
        </is>
      </c>
      <c r="C409" s="71" t="inlineStr">
        <is>
          <t>翰思艾泰－Ｂ</t>
        </is>
      </c>
      <c r="D409" s="71" t="inlineStr">
        <is>
          <t>Healthcare</t>
        </is>
      </c>
      <c r="E409" s="71" t="inlineStr">
        <is>
          <t>Biotech pre-revenue (18A)</t>
        </is>
      </c>
      <c r="F409" s="71" t="inlineStr">
        <is>
          <t>Biotechnology - Pharmaceuticals</t>
        </is>
      </c>
      <c r="G409" s="71" t="inlineStr">
        <is>
          <t>18A</t>
        </is>
      </c>
      <c r="H409" s="72" t="n">
        <v>46014</v>
      </c>
      <c r="I409" s="73" t="n">
        <v>586.3</v>
      </c>
      <c r="J409" s="71" t="inlineStr">
        <is>
          <t>gross (stated)</t>
        </is>
      </c>
      <c r="K409" s="74" t="n"/>
      <c r="L409" s="74" t="n">
        <v>32</v>
      </c>
      <c r="M409" s="74" t="n">
        <v>32</v>
      </c>
      <c r="N409" s="71" t="inlineStr">
        <is>
          <t>Y</t>
        </is>
      </c>
      <c r="O409" s="75" t="n">
        <v>100</v>
      </c>
      <c r="P409" s="75" t="n"/>
      <c r="Q409" s="76" t="n">
        <v>4359</v>
      </c>
      <c r="R409" s="71" t="inlineStr">
        <is>
          <t>derived:price x shares upon listing</t>
        </is>
      </c>
      <c r="S409" s="77" t="n">
        <v>3074.09</v>
      </c>
      <c r="T409" s="78" t="n">
        <v>5.78</v>
      </c>
      <c r="U409" s="79" t="n"/>
      <c r="V409" s="80" t="n">
        <v>65</v>
      </c>
      <c r="W409" s="75" t="n">
        <v>10</v>
      </c>
      <c r="X409" s="71" t="inlineStr">
        <is>
          <t>NO</t>
        </is>
      </c>
      <c r="Y409" s="76" t="n"/>
      <c r="Z409" s="76" t="n"/>
      <c r="AA409" s="75" t="n"/>
      <c r="AB409" s="71" t="inlineStr">
        <is>
          <t>Sage Partners Master Fund; Main Source Capital Limited; YStem Holding Limited; Awaken Thunder Capital Limited; Betta Pharmaceuticals Co., Ltd; Yangtze Investment (HK) Limited; Lapam Capital HK Co., Limited; Xiao Jieyu; Zou Zhiyong; Liao Tong</t>
        </is>
      </c>
      <c r="AC409" s="71" t="inlineStr">
        <is>
          <t>sage;main;ystem;awaken;betta;yangtze;lapam;xiao-jieyu;zou;liao</t>
        </is>
      </c>
      <c r="AD409" s="75" t="n"/>
      <c r="AE409" s="71" t="n"/>
      <c r="AF409" s="71" t="n"/>
      <c r="AG409" s="71" t="n"/>
      <c r="AH409" s="71" t="n"/>
      <c r="AI409" s="81" t="n">
        <v>2.062</v>
      </c>
      <c r="AJ409" s="82" t="n">
        <v>-46.25</v>
      </c>
      <c r="AK409" s="82" t="n">
        <v>-9.69</v>
      </c>
      <c r="AL409" s="82" t="n">
        <v>-40.48</v>
      </c>
      <c r="AM409" s="83" t="n">
        <v>5.41</v>
      </c>
      <c r="AN409" s="75" t="n">
        <v>42.49</v>
      </c>
      <c r="AO409" s="82" t="n">
        <v>-46.69</v>
      </c>
      <c r="AP409" s="82" t="n">
        <v>-46.97</v>
      </c>
      <c r="AQ409" s="82" t="n">
        <v>-3.5</v>
      </c>
      <c r="AR409" s="82" t="n">
        <v>-0.82</v>
      </c>
      <c r="AS409" s="82" t="n">
        <v>-1.34</v>
      </c>
      <c r="AT409" s="82" t="n">
        <v>79.53</v>
      </c>
      <c r="AU409" s="82" t="n">
        <v>-44.11</v>
      </c>
      <c r="AV409" s="82" t="n">
        <v>-48.39</v>
      </c>
      <c r="AW409" s="82" t="n">
        <v>-9.859999999999999</v>
      </c>
      <c r="AX409" s="82" t="n">
        <v>-3.42</v>
      </c>
      <c r="AY409" s="82" t="n">
        <v>1.42</v>
      </c>
      <c r="AZ409" s="82" t="n">
        <v>2.08</v>
      </c>
      <c r="BA409" s="71" t="inlineStr">
        <is>
          <t>China Biotech ETF (HS biotech proxy)</t>
        </is>
      </c>
      <c r="BB409" s="82" t="n">
        <v>-12.62</v>
      </c>
      <c r="BC409" s="72" t="inlineStr">
        <is>
          <t>2026-09-23</t>
        </is>
      </c>
      <c r="BD409" s="73" t="n">
        <v>0</v>
      </c>
      <c r="BE409" s="76" t="n">
        <v>-128.6</v>
      </c>
      <c r="BF409" s="71" t="inlineStr">
        <is>
          <t>N</t>
        </is>
      </c>
      <c r="BG409" s="71" t="inlineStr">
        <is>
          <t>n/m</t>
        </is>
      </c>
      <c r="BH409" s="83" t="n"/>
      <c r="BI409" s="83" t="n"/>
      <c r="BJ409" s="71" t="inlineStr">
        <is>
          <t>pre-rev</t>
        </is>
      </c>
      <c r="BK409" s="84">
        <f>IF('BBG Verify'!S409="","not filed; run on terminal",'BBG Verify'!S409)</f>
        <v/>
      </c>
      <c r="BL409" s="85" t="inlineStr">
        <is>
          <t>N</t>
        </is>
      </c>
      <c r="BM409" s="86">
        <f>IF('BBG Verify'!K409="","not filed; run on terminal",'BBG Verify'!K409)</f>
        <v/>
      </c>
      <c r="BN409" s="71" t="inlineStr">
        <is>
          <t>N/A</t>
        </is>
      </c>
      <c r="BO409" s="71" t="inlineStr">
        <is>
          <t>N/A</t>
        </is>
      </c>
      <c r="BP409" s="71" t="inlineStr">
        <is>
          <t>N/A</t>
        </is>
      </c>
      <c r="BQ409" s="71" t="inlineStr">
        <is>
          <t>N/A</t>
        </is>
      </c>
      <c r="BR409" s="71" t="inlineStr">
        <is>
          <t>N/A</t>
        </is>
      </c>
      <c r="BS409" s="71" t="inlineStr">
        <is>
          <t>N/A</t>
        </is>
      </c>
      <c r="BT409" s="85" t="n"/>
      <c r="BU409" s="71" t="inlineStr">
        <is>
          <t>ICBC International Capital Limited</t>
        </is>
      </c>
      <c r="BV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W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X409" s="71" t="n"/>
      <c r="BY409" s="87">
        <f>HYPERLINK("https://www1.hkexnews.hk/listedco/listconews/sehk/2025/1222/2025122201726.pdf","allotment")</f>
        <v/>
      </c>
      <c r="BZ409" s="71" t="n"/>
      <c r="CA409" s="85" t="n"/>
      <c r="CB409" s="71"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eff free float: % of cap not computable: cornerstone % unknown</t>
        </is>
      </c>
    </row>
    <row r="410" ht="15" customHeight="1">
      <c r="A410" s="70" t="inlineStr">
        <is>
          <t>3317</t>
        </is>
      </c>
      <c r="B410" s="71" t="inlineStr">
        <is>
          <t>XUNCE</t>
        </is>
      </c>
      <c r="C410" s="71" t="inlineStr">
        <is>
          <t>迅策</t>
        </is>
      </c>
      <c r="D410" s="71" t="inlineStr">
        <is>
          <t>Tech/AI</t>
        </is>
      </c>
      <c r="E410" s="71" t="inlineStr">
        <is>
          <t>SaaS / enterprise software</t>
        </is>
      </c>
      <c r="F410" s="71" t="inlineStr">
        <is>
          <t>Application Software</t>
        </is>
      </c>
      <c r="G410" s="71" t="inlineStr">
        <is>
          <t>Standard</t>
        </is>
      </c>
      <c r="H410" s="72" t="n">
        <v>46021</v>
      </c>
      <c r="I410" s="73" t="n">
        <v>1080</v>
      </c>
      <c r="J410" s="71" t="inlineStr">
        <is>
          <t>gross (stated)</t>
        </is>
      </c>
      <c r="K410" s="74" t="n">
        <v>48</v>
      </c>
      <c r="L410" s="74" t="n">
        <v>55</v>
      </c>
      <c r="M410" s="74" t="n">
        <v>48</v>
      </c>
      <c r="N410" s="71" t="inlineStr">
        <is>
          <t>N</t>
        </is>
      </c>
      <c r="O410" s="75" t="n">
        <v>87.3</v>
      </c>
      <c r="P410" s="75" t="n">
        <v>0</v>
      </c>
      <c r="Q410" s="76" t="n">
        <v>17460.7</v>
      </c>
      <c r="R410" s="71" t="inlineStr">
        <is>
          <t>aastocks:上市市值 at the struck price</t>
        </is>
      </c>
      <c r="S410" s="77" t="n">
        <v>7.24</v>
      </c>
      <c r="T410" s="78" t="n">
        <v>3.1</v>
      </c>
      <c r="U410" s="79" t="n">
        <v>28.5</v>
      </c>
      <c r="V410" s="80" t="n">
        <v>49</v>
      </c>
      <c r="W410" s="75" t="n">
        <v>10</v>
      </c>
      <c r="X410" s="71" t="inlineStr">
        <is>
          <t>NO</t>
        </is>
      </c>
      <c r="Y410" s="76" t="n">
        <v>772.2</v>
      </c>
      <c r="Z410" s="76" t="n">
        <v>16087500</v>
      </c>
      <c r="AA410" s="75" t="n">
        <v>4.42</v>
      </c>
      <c r="AB410" s="71" t="inlineStr">
        <is>
          <t>Mr. Wang Wei; Ms. Pan Honglan; Relationship SinoMedia; Relationship WSH</t>
        </is>
      </c>
      <c r="AC410" s="71" t="inlineStr">
        <is>
          <t>mr-wang;ms-pan;relationship</t>
        </is>
      </c>
      <c r="AD410" s="75" t="n">
        <v>15</v>
      </c>
      <c r="AE410" s="71" t="inlineStr">
        <is>
          <t>partial</t>
        </is>
      </c>
      <c r="AF410" s="71" t="inlineStr">
        <is>
          <t>2026-01-22</t>
        </is>
      </c>
      <c r="AG410" s="71" t="inlineStr">
        <is>
          <t>Guotai Junan Securities</t>
        </is>
      </c>
      <c r="AH410" s="71" t="inlineStr">
        <is>
          <t>Guotai Junan</t>
        </is>
      </c>
      <c r="AI410" s="81" t="n">
        <v>2.042</v>
      </c>
      <c r="AJ410" s="82" t="n">
        <v>1.04</v>
      </c>
      <c r="AK410" s="82" t="n">
        <v>0.04</v>
      </c>
      <c r="AL410" s="82" t="n">
        <v>1</v>
      </c>
      <c r="AM410" s="83" t="n">
        <v>1.95</v>
      </c>
      <c r="AN410" s="75" t="n">
        <v>22.53</v>
      </c>
      <c r="AO410" s="82" t="n">
        <v>1.54</v>
      </c>
      <c r="AP410" s="82" t="n">
        <v>23.75</v>
      </c>
      <c r="AQ410" s="82" t="n">
        <v>313.54</v>
      </c>
      <c r="AR410" s="82" t="n">
        <v>0.49</v>
      </c>
      <c r="AS410" s="82" t="n">
        <v>22.48</v>
      </c>
      <c r="AT410" s="82" t="n">
        <v>309.28</v>
      </c>
      <c r="AU410" s="82" t="n">
        <v>-3.21</v>
      </c>
      <c r="AV410" s="82" t="n">
        <v>17.42</v>
      </c>
      <c r="AW410" s="82" t="n">
        <v>328.44</v>
      </c>
      <c r="AX410" s="82" t="n">
        <v>17.91</v>
      </c>
      <c r="AY410" s="82" t="n">
        <v>6.33</v>
      </c>
      <c r="AZ410" s="82" t="n">
        <v>4.57</v>
      </c>
      <c r="BA410" s="71" t="inlineStr">
        <is>
          <t>HSTECH (Hang Seng TECH ETF)</t>
        </is>
      </c>
      <c r="BB410" s="82" t="n">
        <v>110.62</v>
      </c>
      <c r="BC410" s="72" t="inlineStr">
        <is>
          <t>2026-09-23</t>
        </is>
      </c>
      <c r="BD410" s="73" t="n">
        <v>695.2</v>
      </c>
      <c r="BE410" s="76" t="n">
        <v>-107.6</v>
      </c>
      <c r="BF410" s="71" t="inlineStr">
        <is>
          <t>N</t>
        </is>
      </c>
      <c r="BG410" s="71" t="inlineStr">
        <is>
          <t>n/m</t>
        </is>
      </c>
      <c r="BH410" s="83" t="n"/>
      <c r="BI410" s="83" t="n"/>
      <c r="BJ410" s="83" t="n">
        <v>25.1</v>
      </c>
      <c r="BK410" s="84">
        <f>IF('BBG Verify'!S410="","not filed; run on terminal",'BBG Verify'!S410)</f>
        <v/>
      </c>
      <c r="BL410" s="85" t="inlineStr">
        <is>
          <t>N</t>
        </is>
      </c>
      <c r="BM410" s="86">
        <f>IF('BBG Verify'!K410="","not filed; run on terminal",'BBG Verify'!K410)</f>
        <v/>
      </c>
      <c r="BN410" s="71" t="inlineStr">
        <is>
          <t>N/A</t>
        </is>
      </c>
      <c r="BO410" s="71" t="inlineStr">
        <is>
          <t>N/A</t>
        </is>
      </c>
      <c r="BP410" s="71" t="inlineStr">
        <is>
          <t>N/A</t>
        </is>
      </c>
      <c r="BQ410" s="71" t="inlineStr">
        <is>
          <t>N/A</t>
        </is>
      </c>
      <c r="BR410" s="71" t="inlineStr">
        <is>
          <t>N/A</t>
        </is>
      </c>
      <c r="BS410" s="71" t="inlineStr">
        <is>
          <t>N/A</t>
        </is>
      </c>
      <c r="BT410" s="85" t="inlineStr">
        <is>
          <t>Guotai Junan Capital Limited</t>
        </is>
      </c>
      <c r="BU410" s="71" t="inlineStr">
        <is>
          <t>Guotai Junan Capital Limited</t>
        </is>
      </c>
      <c r="BV410" s="71"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W410" s="71"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X410" s="87">
        <f>HYPERLINK("https://www1.hkexnews.hk/listedco/listconews/sehk/2025/1218/2025121800027.pdf","prospectus")</f>
        <v/>
      </c>
      <c r="BY410" s="87">
        <f>HYPERLINK("https://www1.hkexnews.hk/listedco/listconews/sehk/2025/1229/2025122902057.pdf","allotment")</f>
        <v/>
      </c>
      <c r="BZ410" s="87">
        <f>HYPERLINK("https://www1.hkexnews.hk/listedco/listconews/sehk/2026/0123/2026012300001.pdf","stabilisation")</f>
        <v/>
      </c>
      <c r="CA410" s="85" t="n"/>
      <c r="CB410" s="71" t="inlineStr">
        <is>
          <t>P/E: loss-making at IPO, use P/S; market cap: published listing cap used; the estimate from deal size / offer % of enlarged capital disagreed</t>
        </is>
      </c>
    </row>
    <row r="411" ht="15" customHeight="1">
      <c r="A411" s="70" t="inlineStr">
        <is>
          <t>2657</t>
        </is>
      </c>
      <c r="B411" s="71" t="inlineStr">
        <is>
          <t>FOREST CABIN</t>
        </is>
      </c>
      <c r="C411" s="71" t="inlineStr">
        <is>
          <t>林清軒</t>
        </is>
      </c>
      <c r="D411" s="71" t="inlineStr">
        <is>
          <t>Consumer</t>
        </is>
      </c>
      <c r="E411" s="71" t="inlineStr">
        <is>
          <t>Beauty / personal care</t>
        </is>
      </c>
      <c r="F411" s="71" t="inlineStr">
        <is>
          <t>Beauty &amp; Toiletries Products and Services</t>
        </is>
      </c>
      <c r="G411" s="71" t="inlineStr">
        <is>
          <t>Standard</t>
        </is>
      </c>
      <c r="H411" s="72" t="n">
        <v>46021</v>
      </c>
      <c r="I411" s="73" t="n">
        <v>1086.2</v>
      </c>
      <c r="J411" s="71" t="inlineStr">
        <is>
          <t>gross (stated)</t>
        </is>
      </c>
      <c r="K411" s="74" t="n"/>
      <c r="L411" s="74" t="n">
        <v>77.77</v>
      </c>
      <c r="M411" s="74" t="n">
        <v>77.77</v>
      </c>
      <c r="N411" s="71" t="inlineStr">
        <is>
          <t>Y</t>
        </is>
      </c>
      <c r="O411" s="75" t="n">
        <v>100</v>
      </c>
      <c r="P411" s="75" t="n"/>
      <c r="Q411" s="76" t="n">
        <v>10861.7</v>
      </c>
      <c r="R411" s="71" t="inlineStr">
        <is>
          <t>prospectus:stated market capitalisation</t>
        </is>
      </c>
      <c r="S411" s="77" t="n">
        <v>1235.81</v>
      </c>
      <c r="T411" s="78" t="n">
        <v>19.79</v>
      </c>
      <c r="U411" s="79" t="n">
        <v>87.3</v>
      </c>
      <c r="V411" s="80" t="n">
        <v>149</v>
      </c>
      <c r="W411" s="75" t="n">
        <v>10</v>
      </c>
      <c r="X411" s="71" t="inlineStr">
        <is>
          <t>NO</t>
        </is>
      </c>
      <c r="Y411" s="76" t="n">
        <v>137.95</v>
      </c>
      <c r="Z411" s="76" t="n">
        <v>1773739</v>
      </c>
      <c r="AA411" s="75" t="n">
        <v>1.27</v>
      </c>
      <c r="AB411" s="71" t="inlineStr">
        <is>
          <t>Loyal Valley Capital; SynerSuccess Capital Ltd; Mega Prime Development Limited; Tulip Fund, L.P; Dajia Life Insurance Co., Ltd; Mr. Sun Laichun; FIL Investment; Duckling Fund, L.P; SS Capital; Yield Royal Investment; Mr. Sun Fuchun –; Youngor Fashion –; Toutoushidao –</t>
        </is>
      </c>
      <c r="AC411" s="71" t="inlineStr">
        <is>
          <t>loyal;synersuccess;mega;tulip;dajia;mr-sun;fil;duckling;ss;yield;youngor;toutoushidao</t>
        </is>
      </c>
      <c r="AD411" s="75" t="n">
        <v>11.33</v>
      </c>
      <c r="AE411" s="71" t="n"/>
      <c r="AF411" s="71" t="inlineStr">
        <is>
          <t>2026-01-22</t>
        </is>
      </c>
      <c r="AG411" s="71" t="inlineStr">
        <is>
          <t>CLSA Limited</t>
        </is>
      </c>
      <c r="AH411" s="71" t="inlineStr">
        <is>
          <t>CLSA</t>
        </is>
      </c>
      <c r="AI411" s="81" t="n">
        <v>17.847</v>
      </c>
      <c r="AJ411" s="82" t="n">
        <v>9.300000000000001</v>
      </c>
      <c r="AK411" s="82" t="n">
        <v>9.300000000000001</v>
      </c>
      <c r="AL411" s="82" t="n">
        <v>0</v>
      </c>
      <c r="AM411" s="83" t="n">
        <v>3.75</v>
      </c>
      <c r="AN411" s="75" t="n">
        <v>7.82</v>
      </c>
      <c r="AO411" s="82" t="n">
        <v>6.72</v>
      </c>
      <c r="AP411" s="82" t="n">
        <v>3.64</v>
      </c>
      <c r="AQ411" s="82" t="n">
        <v>-18.28</v>
      </c>
      <c r="AR411" s="82" t="n">
        <v>-2.36</v>
      </c>
      <c r="AS411" s="82" t="n">
        <v>-5.18</v>
      </c>
      <c r="AT411" s="82" t="n">
        <v>-25.23</v>
      </c>
      <c r="AU411" s="82" t="n">
        <v>3.48</v>
      </c>
      <c r="AV411" s="82" t="n">
        <v>-4.82</v>
      </c>
      <c r="AW411" s="82" t="n">
        <v>-11.47</v>
      </c>
      <c r="AX411" s="82" t="n">
        <v>-12.41</v>
      </c>
      <c r="AY411" s="82" t="n">
        <v>8.460000000000001</v>
      </c>
      <c r="AZ411" s="82" t="n">
        <v>7.23</v>
      </c>
      <c r="BA411" s="71" t="inlineStr">
        <is>
          <t>Hang Seng Commerce &amp; Industry sub-index</t>
        </is>
      </c>
      <c r="BB411" s="82" t="n">
        <v>-31.85</v>
      </c>
      <c r="BC411" s="72" t="inlineStr">
        <is>
          <t>2026-09-23</t>
        </is>
      </c>
      <c r="BD411" s="73" t="n">
        <v>1330.6</v>
      </c>
      <c r="BE411" s="76" t="n">
        <v>-0.1</v>
      </c>
      <c r="BF411" s="71" t="inlineStr">
        <is>
          <t>N</t>
        </is>
      </c>
      <c r="BG411" s="71" t="inlineStr">
        <is>
          <t>n/m</t>
        </is>
      </c>
      <c r="BH411" s="83" t="n">
        <v>6.8</v>
      </c>
      <c r="BI411" s="83" t="n">
        <v>5.5</v>
      </c>
      <c r="BJ411" s="83" t="n">
        <v>8.199999999999999</v>
      </c>
      <c r="BK411" s="84">
        <f>IF('BBG Verify'!S411="","not filed; run on terminal",'BBG Verify'!S411)</f>
        <v/>
      </c>
      <c r="BL411" s="85" t="inlineStr">
        <is>
          <t>N</t>
        </is>
      </c>
      <c r="BM411" s="86">
        <f>IF('BBG Verify'!K411="","not filed; run on terminal",'BBG Verify'!K411)</f>
        <v/>
      </c>
      <c r="BN411" s="71" t="inlineStr">
        <is>
          <t>N/A</t>
        </is>
      </c>
      <c r="BO411" s="71" t="inlineStr">
        <is>
          <t>N/A</t>
        </is>
      </c>
      <c r="BP411" s="71" t="inlineStr">
        <is>
          <t>N/A</t>
        </is>
      </c>
      <c r="BQ411" s="71" t="inlineStr">
        <is>
          <t>N/A</t>
        </is>
      </c>
      <c r="BR411" s="71" t="inlineStr">
        <is>
          <t>N/A</t>
        </is>
      </c>
      <c r="BS411" s="71" t="inlineStr">
        <is>
          <t>N/A</t>
        </is>
      </c>
      <c r="BT411" s="85" t="inlineStr">
        <is>
          <t>CITIC Securities (Hong Kong) Limited; Huatai Financial Holdings (Hong Kong) Limited</t>
        </is>
      </c>
      <c r="BU411" s="71" t="inlineStr">
        <is>
          <t>Huatai Financial Holdings (Hong Kong) Limited; CITIC Securities (Hong Kong) Limited</t>
        </is>
      </c>
      <c r="BV411" s="71" t="inlineStr">
        <is>
          <t>CLSA Limited; Huatai Financial Holdings (Hong Kong) Limited; Futu Securities International (Hong Kong) Limited; Tiger Brokers (HK) Global Limited</t>
        </is>
      </c>
      <c r="BW411" s="71" t="inlineStr">
        <is>
          <t>CLSA Limited; Futu Securities International (Hong Kong) Limited; Huatai Financial Holdings (Hong Kong) Limited; Tiger Brokers (HK) Global Limited</t>
        </is>
      </c>
      <c r="BX411" s="87">
        <f>HYPERLINK("https://www1.hkexnews.hk/listedco/listconews/sehk/2025/1218/2025121800221.pdf","prospectus")</f>
        <v/>
      </c>
      <c r="BY411" s="87">
        <f>HYPERLINK("https://www1.hkexnews.hk/listedco/listconews/sehk/2025/1229/2025122902127.pdf","allotment")</f>
        <v/>
      </c>
      <c r="BZ411" s="87">
        <f>HYPERLINK("https://www1.hkexnews.hk/listedco/listconews/sehk/2026/0122/2026012201117.pdf","stabilisation")</f>
        <v/>
      </c>
      <c r="CA411" s="85" t="n"/>
      <c r="CB411" s="71" t="inlineStr">
        <is>
          <t>P/E: loss-making at IPO, use P/S; greenshoe: end-of-stabilisation notice not found; range low: maximum offer price only, no floor published; stabilisation notice: notice linked; outcome wording not recognised, result left blank</t>
        </is>
      </c>
    </row>
    <row r="412" ht="15" customHeight="1">
      <c r="A412" s="70" t="inlineStr">
        <is>
          <t>2671</t>
        </is>
      </c>
      <c r="B412" s="71" t="inlineStr">
        <is>
          <t>USAS BUILDING</t>
        </is>
      </c>
      <c r="C412" s="71" t="inlineStr">
        <is>
          <t>美聯股份</t>
        </is>
      </c>
      <c r="D412" s="71" t="inlineStr">
        <is>
          <t>Industrials</t>
        </is>
      </c>
      <c r="E412" s="71" t="inlineStr">
        <is>
          <t>Construction / engineering</t>
        </is>
      </c>
      <c r="F412" s="71" t="inlineStr">
        <is>
          <t>Building Construction</t>
        </is>
      </c>
      <c r="G412" s="71" t="inlineStr">
        <is>
          <t>Standard</t>
        </is>
      </c>
      <c r="H412" s="72" t="n">
        <v>46021</v>
      </c>
      <c r="I412" s="73" t="n">
        <v>174.7</v>
      </c>
      <c r="J412" s="71" t="inlineStr">
        <is>
          <t>gross (price x shares)</t>
        </is>
      </c>
      <c r="K412" s="74" t="n">
        <v>7.1</v>
      </c>
      <c r="L412" s="74" t="n">
        <v>9.16</v>
      </c>
      <c r="M412" s="74" t="n">
        <v>7.1</v>
      </c>
      <c r="N412" s="71" t="inlineStr">
        <is>
          <t>N</t>
        </is>
      </c>
      <c r="O412" s="75" t="n">
        <v>77.5</v>
      </c>
      <c r="P412" s="75" t="n">
        <v>0</v>
      </c>
      <c r="Q412" s="76" t="n">
        <v>855.9</v>
      </c>
      <c r="R412" s="71" t="inlineStr">
        <is>
          <t>derived:price x shares upon listing</t>
        </is>
      </c>
      <c r="S412" s="77" t="n">
        <v>146.25</v>
      </c>
      <c r="T412" s="78" t="n">
        <v>1.48</v>
      </c>
      <c r="U412" s="79" t="n">
        <v>22.9</v>
      </c>
      <c r="V412" s="80" t="n">
        <v>81</v>
      </c>
      <c r="W412" s="75" t="n">
        <v>10</v>
      </c>
      <c r="X412" s="71" t="inlineStr">
        <is>
          <t>NA</t>
        </is>
      </c>
      <c r="Y412" s="76" t="n">
        <v>134.69</v>
      </c>
      <c r="Z412" s="76" t="n">
        <v>18966600</v>
      </c>
      <c r="AA412" s="75" t="n">
        <v>15.74</v>
      </c>
      <c r="AB412" s="71" t="inlineStr">
        <is>
          <t>Colorful Cloud; Tiny Jade; Mr. Wu Xing Hua; Logic Selective</t>
        </is>
      </c>
      <c r="AC412" s="71" t="inlineStr">
        <is>
          <t>colorful;tiny;mr-wu;logic</t>
        </is>
      </c>
      <c r="AD412" s="75" t="n">
        <v>14.4</v>
      </c>
      <c r="AE412" s="71" t="n"/>
      <c r="AF412" s="71" t="n"/>
      <c r="AG412" s="71" t="n"/>
      <c r="AH412" s="71" t="n"/>
      <c r="AI412" s="81" t="n">
        <v>13.662</v>
      </c>
      <c r="AJ412" s="82" t="n">
        <v>7.61</v>
      </c>
      <c r="AK412" s="82" t="n">
        <v>15.63</v>
      </c>
      <c r="AL412" s="82" t="n">
        <v>-6.94</v>
      </c>
      <c r="AM412" s="83" t="n">
        <v>5.63</v>
      </c>
      <c r="AN412" s="75" t="n">
        <v>56.03</v>
      </c>
      <c r="AO412" s="82" t="n">
        <v>4.23</v>
      </c>
      <c r="AP412" s="82" t="n">
        <v>-29.58</v>
      </c>
      <c r="AQ412" s="82" t="n">
        <v>-42.25</v>
      </c>
      <c r="AR412" s="82" t="n">
        <v>-3.14</v>
      </c>
      <c r="AS412" s="82" t="n">
        <v>-34.56</v>
      </c>
      <c r="AT412" s="82" t="n">
        <v>-46.33</v>
      </c>
      <c r="AU412" s="82" t="n">
        <v>0.99</v>
      </c>
      <c r="AV412" s="82" t="n">
        <v>-38.04</v>
      </c>
      <c r="AW412" s="82" t="n">
        <v>-35.44</v>
      </c>
      <c r="AX412" s="82" t="n">
        <v>-41.79</v>
      </c>
      <c r="AY412" s="82" t="n">
        <v>8.460000000000001</v>
      </c>
      <c r="AZ412" s="82" t="n">
        <v>7.23</v>
      </c>
      <c r="BA412" s="71" t="inlineStr">
        <is>
          <t>Hang Seng Commerce &amp; Industry sub-index</t>
        </is>
      </c>
      <c r="BB412" s="82" t="n">
        <v>-15.49</v>
      </c>
      <c r="BC412" s="72" t="inlineStr">
        <is>
          <t>2026-09-22</t>
        </is>
      </c>
      <c r="BD412" s="73" t="n"/>
      <c r="BE412" s="76" t="n"/>
      <c r="BF412" s="71" t="inlineStr">
        <is>
          <t>Y</t>
        </is>
      </c>
      <c r="BG412" s="83" t="n">
        <v>5.4</v>
      </c>
      <c r="BH412" s="83" t="n">
        <v>5.4</v>
      </c>
      <c r="BI412" s="83" t="n">
        <v>6.3</v>
      </c>
      <c r="BJ412" s="83" t="n"/>
      <c r="BK412" s="84">
        <f>IF('BBG Verify'!S412="","not filed; run on terminal",'BBG Verify'!S412)</f>
        <v/>
      </c>
      <c r="BL412" s="85" t="inlineStr">
        <is>
          <t>N</t>
        </is>
      </c>
      <c r="BM412" s="86">
        <f>IF('BBG Verify'!K412="","not filed; run on terminal",'BBG Verify'!K412)</f>
        <v/>
      </c>
      <c r="BN412" s="71" t="inlineStr">
        <is>
          <t>N/A</t>
        </is>
      </c>
      <c r="BO412" s="71" t="inlineStr">
        <is>
          <t>N/A</t>
        </is>
      </c>
      <c r="BP412" s="71" t="inlineStr">
        <is>
          <t>N/A</t>
        </is>
      </c>
      <c r="BQ412" s="71" t="inlineStr">
        <is>
          <t>N/A</t>
        </is>
      </c>
      <c r="BR412" s="71" t="inlineStr">
        <is>
          <t>N/A</t>
        </is>
      </c>
      <c r="BS412" s="71" t="inlineStr">
        <is>
          <t>N/A</t>
        </is>
      </c>
      <c r="BT412" s="85" t="inlineStr">
        <is>
          <t>Shenwan Hongyuan Capital (H.K.) Limited</t>
        </is>
      </c>
      <c r="BU412" s="71" t="inlineStr">
        <is>
          <t>Shenwan Hongyuan Capital (H.K.) Limited</t>
        </is>
      </c>
      <c r="BV412" s="71" t="inlineStr">
        <is>
          <t>Shenwan Hongyuan Securities (H.K.) Limited; ABCI Capital Limited; BOCI Asia Limited; Patrons Securities Limited; SPDB International Capital Limited; TradeGo Markets Limited</t>
        </is>
      </c>
      <c r="BW412" s="71" t="inlineStr">
        <is>
          <t>ABCI Securities Company Limited; BOCI Asia Limited; Patrons Securities Limited; Shenwan Hongyuan Securities (H.K.) Limited; SPDB International Capital Limited; TradeGo Markets Limited</t>
        </is>
      </c>
      <c r="BX412" s="87">
        <f>HYPERLINK("https://www1.hkexnews.hk/listedco/listconews/sehk/2025/1218/2025121800035.pdf","prospectus")</f>
        <v/>
      </c>
      <c r="BY412" s="87">
        <f>HYPERLINK("https://www1.hkexnews.hk/listedco/listconews/sehk/2025/1229/2025122902215.pdf","allotment")</f>
        <v/>
      </c>
      <c r="BZ412" s="71" t="n"/>
      <c r="CA412" s="85" t="n"/>
      <c r="CB412" s="71"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70" t="inlineStr">
        <is>
          <t>3696</t>
        </is>
      </c>
      <c r="B413" s="71" t="inlineStr">
        <is>
          <t>INSILICO</t>
        </is>
      </c>
      <c r="C413" s="71" t="inlineStr">
        <is>
          <t>英矽智能</t>
        </is>
      </c>
      <c r="D413" s="71" t="inlineStr">
        <is>
          <t>Tech/AI</t>
        </is>
      </c>
      <c r="E413" s="71" t="inlineStr">
        <is>
          <t>AI application / agent software</t>
        </is>
      </c>
      <c r="F413" s="71" t="inlineStr">
        <is>
          <t>Biotechnology - Pharmaceuticals</t>
        </is>
      </c>
      <c r="G413" s="71" t="inlineStr">
        <is>
          <t>Standard</t>
        </is>
      </c>
      <c r="H413" s="72" t="n">
        <v>46021</v>
      </c>
      <c r="I413" s="73" t="n">
        <v>2277.3</v>
      </c>
      <c r="J413" s="71" t="inlineStr">
        <is>
          <t>gross (stated)</t>
        </is>
      </c>
      <c r="K413" s="74" t="n"/>
      <c r="L413" s="74" t="n">
        <v>24.05</v>
      </c>
      <c r="M413" s="74" t="n">
        <v>24.05</v>
      </c>
      <c r="N413" s="71" t="inlineStr">
        <is>
          <t>Y</t>
        </is>
      </c>
      <c r="O413" s="75" t="n">
        <v>100</v>
      </c>
      <c r="P413" s="75" t="n"/>
      <c r="Q413" s="76" t="n">
        <v>13406</v>
      </c>
      <c r="R413" s="71" t="inlineStr">
        <is>
          <t>prospectus:stated market capitalisation</t>
        </is>
      </c>
      <c r="S413" s="77" t="n">
        <v>1427.37</v>
      </c>
      <c r="T413" s="78" t="n">
        <v>26.27</v>
      </c>
      <c r="U413" s="79" t="n">
        <v>39.29</v>
      </c>
      <c r="V413" s="80" t="n">
        <v>216</v>
      </c>
      <c r="W413" s="75" t="n">
        <v>10</v>
      </c>
      <c r="X413" s="71" t="inlineStr">
        <is>
          <t>NA</t>
        </is>
      </c>
      <c r="Y413" s="76" t="n">
        <v>1382.55</v>
      </c>
      <c r="Z413" s="76" t="n">
        <v>57486603</v>
      </c>
      <c r="AA413" s="75" t="n">
        <v>10.31</v>
      </c>
      <c r="AB413" s="71" t="inlineStr">
        <is>
          <t>Tencent; Oaktree; Schroders; China AMC; E Fund Management Co., Ltd; Fullgoal Fund; Harvest; Taikang Life; Infini; Taibai Investments Pte. Ltd; UBS AM Singapore</t>
        </is>
      </c>
      <c r="AC413" s="71" t="inlineStr">
        <is>
          <t>tencent;oaktree;schroders;amc;fund-management;fullgoal;harvest;taikang;infini;taibai;ubs</t>
        </is>
      </c>
      <c r="AD413" s="75" t="n">
        <v>15</v>
      </c>
      <c r="AE413" s="71" t="inlineStr">
        <is>
          <t>full</t>
        </is>
      </c>
      <c r="AF413" s="71" t="inlineStr">
        <is>
          <t>2026-01-22</t>
        </is>
      </c>
      <c r="AG413" s="71" t="inlineStr">
        <is>
          <t>Morgan Stanley Asia Limited</t>
        </is>
      </c>
      <c r="AH413" s="71" t="inlineStr">
        <is>
          <t>Morgan Stanley</t>
        </is>
      </c>
      <c r="AI413" s="81" t="n">
        <v>53.264</v>
      </c>
      <c r="AJ413" s="82" t="n">
        <v>24.66</v>
      </c>
      <c r="AK413" s="82" t="n">
        <v>45.53</v>
      </c>
      <c r="AL413" s="82" t="n">
        <v>-14.34</v>
      </c>
      <c r="AM413" s="83" t="n">
        <v>3.98</v>
      </c>
      <c r="AN413" s="75" t="n">
        <v>16.34</v>
      </c>
      <c r="AO413" s="82" t="n">
        <v>68.40000000000001</v>
      </c>
      <c r="AP413" s="82" t="n">
        <v>172.35</v>
      </c>
      <c r="AQ413" s="82" t="n">
        <v>138.05</v>
      </c>
      <c r="AR413" s="82" t="n">
        <v>35.09</v>
      </c>
      <c r="AS413" s="82" t="n">
        <v>118.47</v>
      </c>
      <c r="AT413" s="82" t="n">
        <v>90.95999999999999</v>
      </c>
      <c r="AU413" s="82" t="n">
        <v>63.65</v>
      </c>
      <c r="AV413" s="82" t="n">
        <v>166.02</v>
      </c>
      <c r="AW413" s="82" t="n">
        <v>152.95</v>
      </c>
      <c r="AX413" s="82" t="n">
        <v>113.9</v>
      </c>
      <c r="AY413" s="82" t="n">
        <v>6.33</v>
      </c>
      <c r="AZ413" s="82" t="n">
        <v>4.57</v>
      </c>
      <c r="BA413" s="71" t="inlineStr">
        <is>
          <t>HSTECH (Hang Seng TECH ETF)</t>
        </is>
      </c>
      <c r="BB413" s="82" t="n">
        <v>143.87</v>
      </c>
      <c r="BC413" s="72" t="inlineStr">
        <is>
          <t>2026-09-23</t>
        </is>
      </c>
      <c r="BD413" s="73" t="n">
        <v>669.5</v>
      </c>
      <c r="BE413" s="76" t="n">
        <v>-133.3</v>
      </c>
      <c r="BF413" s="71" t="inlineStr">
        <is>
          <t>N</t>
        </is>
      </c>
      <c r="BG413" s="71" t="inlineStr">
        <is>
          <t>n/m</t>
        </is>
      </c>
      <c r="BH413" s="83" t="n"/>
      <c r="BI413" s="83" t="n"/>
      <c r="BJ413" s="83" t="n">
        <v>20</v>
      </c>
      <c r="BK413" s="84">
        <f>IF('BBG Verify'!S413="","not filed; run on terminal",'BBG Verify'!S413)</f>
        <v/>
      </c>
      <c r="BL413" s="85" t="inlineStr">
        <is>
          <t>N</t>
        </is>
      </c>
      <c r="BM413" s="86">
        <f>IF('BBG Verify'!K413="","not filed; run on terminal",'BBG Verify'!K413)</f>
        <v/>
      </c>
      <c r="BN413" s="71" t="inlineStr">
        <is>
          <t>N/A</t>
        </is>
      </c>
      <c r="BO413" s="71" t="inlineStr">
        <is>
          <t>N/A</t>
        </is>
      </c>
      <c r="BP413" s="71" t="inlineStr">
        <is>
          <t>N/A</t>
        </is>
      </c>
      <c r="BQ413" s="71" t="inlineStr">
        <is>
          <t>N/A</t>
        </is>
      </c>
      <c r="BR413" s="71" t="inlineStr">
        <is>
          <t>N/A</t>
        </is>
      </c>
      <c r="BS413" s="71" t="inlineStr">
        <is>
          <t>N/A</t>
        </is>
      </c>
      <c r="BT413" s="85" t="inlineStr">
        <is>
          <t>Morgan Stanley Asia Limited; China International Capital Corporation Hong Kong Securities Limited; GF Capital (Hong Kong) Limited</t>
        </is>
      </c>
      <c r="BU413" s="71" t="inlineStr">
        <is>
          <t>China International Capital Corporation Hong Kong Securities Limited; Morgan Stanley Asia Limited; GF Capital (Hong Kong) Limited</t>
        </is>
      </c>
      <c r="BV413" s="71" t="inlineStr">
        <is>
          <t>Morgan Stanley Asia Limited; GF Securities (Hong Kong) Brokerage Limited; BNP Paribas Securities (Asia) Limited; Sinolink Securities (Hong Kong) Company Limited; BOCI Asia Limited</t>
        </is>
      </c>
      <c r="BW413" s="71" t="inlineStr">
        <is>
          <t>BNP Paribas Securities (Asia) Limited; BOCI Asia Limited; China International Capital Corporation Hong Kong Securities Limited; GF Securities (Hong Kong) Brokerage Limited; Morgan Stanley Asia Limited; Sinolink Securities (Hong Kong) Company Limited</t>
        </is>
      </c>
      <c r="BX413" s="87">
        <f>HYPERLINK("https://www1.hkexnews.hk/listedco/listconews/sehk/2025/1218/2025121800031.pdf","prospectus")</f>
        <v/>
      </c>
      <c r="BY413" s="87">
        <f>HYPERLINK("https://www1.hkexnews.hk/listedco/listconews/sehk/2025/1229/2025122902395.pdf","allotment")</f>
        <v/>
      </c>
      <c r="BZ413" s="87">
        <f>HYPERLINK("https://www1.hkexnews.hk/listedco/listconews/sehk/2026/0122/2026012201223.pdf","stabilisation")</f>
        <v/>
      </c>
      <c r="CA413" s="85" t="n"/>
      <c r="CB413" s="71" t="inlineStr">
        <is>
          <t>P/E: loss-making at IPO, use P/S; range low: maximum offer price only, no floor published</t>
        </is>
      </c>
    </row>
    <row r="414" ht="15" customHeight="1">
      <c r="A414" s="70" t="inlineStr">
        <is>
          <t>6651</t>
        </is>
      </c>
      <c r="B414" s="71" t="inlineStr">
        <is>
          <t>51WORLD</t>
        </is>
      </c>
      <c r="C414" s="71" t="inlineStr">
        <is>
          <t>五一視界</t>
        </is>
      </c>
      <c r="D414" s="71" t="inlineStr">
        <is>
          <t>Tech/AI</t>
        </is>
      </c>
      <c r="E414" s="71" t="inlineStr">
        <is>
          <t>SaaS / enterprise software</t>
        </is>
      </c>
      <c r="F414" s="71" t="inlineStr">
        <is>
          <t>Advanced hardware and software</t>
        </is>
      </c>
      <c r="G414" s="71" t="inlineStr">
        <is>
          <t>18C</t>
        </is>
      </c>
      <c r="H414" s="72" t="n">
        <v>46021</v>
      </c>
      <c r="I414" s="73" t="n">
        <v>731.3</v>
      </c>
      <c r="J414" s="71" t="inlineStr">
        <is>
          <t>gross (stated)</t>
        </is>
      </c>
      <c r="K414" s="74" t="n"/>
      <c r="L414" s="74" t="n">
        <v>30.5</v>
      </c>
      <c r="M414" s="74" t="n">
        <v>30.5</v>
      </c>
      <c r="N414" s="71" t="inlineStr">
        <is>
          <t>Y</t>
        </is>
      </c>
      <c r="O414" s="75" t="n">
        <v>100</v>
      </c>
      <c r="P414" s="75" t="n"/>
      <c r="Q414" s="76" t="n">
        <v>12393.9</v>
      </c>
      <c r="R414" s="71" t="inlineStr">
        <is>
          <t>derived:price x shares upon listing</t>
        </is>
      </c>
      <c r="S414" s="77" t="n">
        <v>256.01</v>
      </c>
      <c r="T414" s="78" t="n">
        <v>2.6</v>
      </c>
      <c r="U414" s="79" t="n"/>
      <c r="V414" s="80" t="n">
        <v>84</v>
      </c>
      <c r="W414" s="75" t="n">
        <v>20</v>
      </c>
      <c r="X414" s="71" t="inlineStr">
        <is>
          <t>YES</t>
        </is>
      </c>
      <c r="Y414" s="76" t="n"/>
      <c r="Z414" s="76" t="n"/>
      <c r="AA414" s="75" t="n"/>
      <c r="AB414" s="71" t="inlineStr">
        <is>
          <t>Mr. Li Yi</t>
        </is>
      </c>
      <c r="AC414" s="71" t="inlineStr">
        <is>
          <t>mr-li</t>
        </is>
      </c>
      <c r="AD414" s="75" t="n">
        <v>16.3</v>
      </c>
      <c r="AE414" s="71" t="inlineStr">
        <is>
          <t>lapsed (no over-allocation)</t>
        </is>
      </c>
      <c r="AF414" s="71" t="n"/>
      <c r="AG414" s="71" t="inlineStr">
        <is>
          <t>China International Capital Corporation Hong Kong Securities Limited 19 DEFINITIONS</t>
        </is>
      </c>
      <c r="AH414" s="71" t="inlineStr">
        <is>
          <t>China International</t>
        </is>
      </c>
      <c r="AI414" s="81" t="n">
        <v>23.541</v>
      </c>
      <c r="AJ414" s="82" t="n">
        <v>29.9</v>
      </c>
      <c r="AK414" s="82" t="n">
        <v>14.75</v>
      </c>
      <c r="AL414" s="82" t="n">
        <v>13.2</v>
      </c>
      <c r="AM414" s="83" t="n">
        <v>1.11</v>
      </c>
      <c r="AN414" s="75" t="n">
        <v>13.71</v>
      </c>
      <c r="AO414" s="82" t="n">
        <v>51.48</v>
      </c>
      <c r="AP414" s="82" t="n">
        <v>212.46</v>
      </c>
      <c r="AQ414" s="82" t="n">
        <v>18.82</v>
      </c>
      <c r="AR414" s="82" t="n">
        <v>16.61</v>
      </c>
      <c r="AS414" s="82" t="n">
        <v>140.54</v>
      </c>
      <c r="AT414" s="82" t="n">
        <v>-8.529999999999999</v>
      </c>
      <c r="AU414" s="82" t="n">
        <v>46.73</v>
      </c>
      <c r="AV414" s="82" t="n">
        <v>206.13</v>
      </c>
      <c r="AW414" s="82" t="n">
        <v>33.72</v>
      </c>
      <c r="AX414" s="82" t="n">
        <v>135.97</v>
      </c>
      <c r="AY414" s="82" t="n">
        <v>6.33</v>
      </c>
      <c r="AZ414" s="82" t="n">
        <v>4.57</v>
      </c>
      <c r="BA414" s="71" t="inlineStr">
        <is>
          <t>HSTECH (Hang Seng TECH ETF)</t>
        </is>
      </c>
      <c r="BB414" s="82" t="n">
        <v>85.25</v>
      </c>
      <c r="BC414" s="72" t="inlineStr">
        <is>
          <t>2026-09-23</t>
        </is>
      </c>
      <c r="BD414" s="73" t="n">
        <v>316.1</v>
      </c>
      <c r="BE414" s="76" t="n">
        <v>-86.90000000000001</v>
      </c>
      <c r="BF414" s="71" t="inlineStr">
        <is>
          <t>N</t>
        </is>
      </c>
      <c r="BG414" s="71" t="inlineStr">
        <is>
          <t>n/m</t>
        </is>
      </c>
      <c r="BH414" s="83" t="n"/>
      <c r="BI414" s="83" t="n"/>
      <c r="BJ414" s="83" t="n">
        <v>39.2</v>
      </c>
      <c r="BK414" s="84">
        <f>IF('BBG Verify'!S414="","not filed; run on terminal",'BBG Verify'!S414)</f>
        <v/>
      </c>
      <c r="BL414" s="85" t="inlineStr">
        <is>
          <t>N</t>
        </is>
      </c>
      <c r="BM414" s="86">
        <f>IF('BBG Verify'!K414="","not filed; run on terminal",'BBG Verify'!K414)</f>
        <v/>
      </c>
      <c r="BN414" s="71" t="inlineStr">
        <is>
          <t>N/A</t>
        </is>
      </c>
      <c r="BO414" s="71" t="inlineStr">
        <is>
          <t>N/A</t>
        </is>
      </c>
      <c r="BP414" s="71" t="inlineStr">
        <is>
          <t>N/A</t>
        </is>
      </c>
      <c r="BQ414" s="71" t="inlineStr">
        <is>
          <t>N/A</t>
        </is>
      </c>
      <c r="BR414" s="71" t="inlineStr">
        <is>
          <t>N/A</t>
        </is>
      </c>
      <c r="BS414" s="71" t="inlineStr">
        <is>
          <t>N/A</t>
        </is>
      </c>
      <c r="BT414" s="85" t="inlineStr">
        <is>
          <t>and Sponsor-OCs China International Capital Corporation Hong Kong Securities Limited; Huatai Financial Holdings (Hong Kong) Limited</t>
        </is>
      </c>
      <c r="BU414" s="71" t="inlineStr">
        <is>
          <t>China International Capital Corporation Hong Kong Securities Limited; Huatai Financial Holdings (Hong Kong) Limited</t>
        </is>
      </c>
      <c r="BV414" s="71"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W414" s="71"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X414" s="87">
        <f>HYPERLINK("https://www1.hkexnews.hk/listedco/listconews/sehk/2025/1218/2025121800029.pdf","prospectus")</f>
        <v/>
      </c>
      <c r="BY414" s="87">
        <f>HYPERLINK("https://www1.hkexnews.hk/listedco/listconews/sehk/2025/1229/2025122902393.pdf","allotment")</f>
        <v/>
      </c>
      <c r="BZ414" s="87">
        <f>HYPERLINK("https://www1.hkexnews.hk/listedco/listconews/sehk/2026/0122/2026012200344.pdf","stabilisation")</f>
        <v/>
      </c>
      <c r="CA414" s="85" t="n"/>
      <c r="CB414" s="71"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eff free float: % of cap not computable: cornerstone % unknown</t>
        </is>
      </c>
    </row>
    <row r="415" ht="15" customHeight="1">
      <c r="A415" s="70" t="inlineStr">
        <is>
          <t>6600</t>
        </is>
      </c>
      <c r="B415" s="71" t="inlineStr">
        <is>
          <t>ONEROBOTICS</t>
        </is>
      </c>
      <c r="C415" s="71" t="inlineStr">
        <is>
          <t>臥安機器人</t>
        </is>
      </c>
      <c r="D415" s="71" t="inlineStr">
        <is>
          <t>Tech/AI</t>
        </is>
      </c>
      <c r="E415" s="71" t="inlineStr">
        <is>
          <t>Robotics &amp; autonomous driving</t>
        </is>
      </c>
      <c r="F415" s="71" t="inlineStr">
        <is>
          <t>Consumer Electronics</t>
        </is>
      </c>
      <c r="G415" s="71" t="inlineStr">
        <is>
          <t>Standard</t>
        </is>
      </c>
      <c r="H415" s="72" t="n">
        <v>46021</v>
      </c>
      <c r="I415" s="73" t="n">
        <v>1640.01</v>
      </c>
      <c r="J415" s="71" t="inlineStr">
        <is>
          <t>gross (stated)</t>
        </is>
      </c>
      <c r="K415" s="74" t="n"/>
      <c r="L415" s="74" t="n">
        <v>73.8</v>
      </c>
      <c r="M415" s="74" t="n">
        <v>73.8</v>
      </c>
      <c r="N415" s="71" t="inlineStr">
        <is>
          <t>Y</t>
        </is>
      </c>
      <c r="O415" s="75" t="n">
        <v>100</v>
      </c>
      <c r="P415" s="75" t="n"/>
      <c r="Q415" s="76" t="n">
        <v>16400</v>
      </c>
      <c r="R415" s="71" t="inlineStr">
        <is>
          <t>derived:price x shares upon listing</t>
        </is>
      </c>
      <c r="S415" s="77" t="n">
        <v>254.5</v>
      </c>
      <c r="T415" s="78" t="n">
        <v>8.9</v>
      </c>
      <c r="U415" s="79" t="n"/>
      <c r="V415" s="80" t="n">
        <v>80</v>
      </c>
      <c r="W415" s="75" t="n">
        <v>10</v>
      </c>
      <c r="X415" s="71" t="inlineStr">
        <is>
          <t>NA</t>
        </is>
      </c>
      <c r="Y415" s="76" t="n"/>
      <c r="Z415" s="76" t="n"/>
      <c r="AA415" s="75" t="n"/>
      <c r="AB415" s="71" t="inlineStr">
        <is>
          <t>HHLR Advisors, Ltd; Infini Global Master Fund; Hunter Ventures Limited; Sage Partners Master Fund; Huatai Capital Investment Limited; Li Zhichen / 李志晨; Pan Yang / 潘陽; Brizan Ventures V LP; HACF, L.P</t>
        </is>
      </c>
      <c r="AC415" s="71" t="inlineStr">
        <is>
          <t>hhlr;infini;hunter;sage;huatai;li-zhichen;pan-yang;brizan;hacf</t>
        </is>
      </c>
      <c r="AD415" s="75" t="n">
        <v>15</v>
      </c>
      <c r="AE415" s="71" t="n"/>
      <c r="AF415" s="71" t="n"/>
      <c r="AG415" s="71" t="n"/>
      <c r="AH415" s="71" t="n"/>
      <c r="AI415" s="81" t="n">
        <v>-8.672000000000001</v>
      </c>
      <c r="AJ415" s="82" t="n">
        <v>0.07000000000000001</v>
      </c>
      <c r="AK415" s="82" t="n">
        <v>0</v>
      </c>
      <c r="AL415" s="82" t="n">
        <v>0.07000000000000001</v>
      </c>
      <c r="AM415" s="83" t="n">
        <v>2.13</v>
      </c>
      <c r="AN415" s="75" t="n">
        <v>1.63</v>
      </c>
      <c r="AO415" s="82" t="n">
        <v>40.24</v>
      </c>
      <c r="AP415" s="82" t="n">
        <v>129.27</v>
      </c>
      <c r="AQ415" s="82" t="n">
        <v>33.4</v>
      </c>
      <c r="AR415" s="82" t="n">
        <v>40.14</v>
      </c>
      <c r="AS415" s="82" t="n">
        <v>129.11</v>
      </c>
      <c r="AT415" s="82" t="n">
        <v>33.31</v>
      </c>
      <c r="AU415" s="82" t="n">
        <v>35.49</v>
      </c>
      <c r="AV415" s="82" t="n">
        <v>122.94</v>
      </c>
      <c r="AW415" s="82" t="n">
        <v>48.3</v>
      </c>
      <c r="AX415" s="82" t="n">
        <v>124.54</v>
      </c>
      <c r="AY415" s="82" t="n">
        <v>6.33</v>
      </c>
      <c r="AZ415" s="82" t="n">
        <v>4.57</v>
      </c>
      <c r="BA415" s="71" t="inlineStr">
        <is>
          <t>HSTECH (Hang Seng TECH ETF)</t>
        </is>
      </c>
      <c r="BB415" s="82" t="n">
        <v>-39.02</v>
      </c>
      <c r="BC415" s="72" t="inlineStr">
        <is>
          <t>2026-09-23</t>
        </is>
      </c>
      <c r="BD415" s="73" t="n">
        <v>990.6</v>
      </c>
      <c r="BE415" s="76" t="n">
        <v>-27.1</v>
      </c>
      <c r="BF415" s="71" t="inlineStr">
        <is>
          <t>N</t>
        </is>
      </c>
      <c r="BG415" s="71" t="inlineStr">
        <is>
          <t>n/m</t>
        </is>
      </c>
      <c r="BH415" s="83" t="n"/>
      <c r="BI415" s="83" t="n"/>
      <c r="BJ415" s="83" t="n">
        <v>16.6</v>
      </c>
      <c r="BK415" s="84">
        <f>IF('BBG Verify'!S415="","not filed; run on terminal",'BBG Verify'!S415)</f>
        <v/>
      </c>
      <c r="BL415" s="85" t="inlineStr">
        <is>
          <t>N</t>
        </is>
      </c>
      <c r="BM415" s="86">
        <f>IF('BBG Verify'!K415="","not filed; run on terminal",'BBG Verify'!K415)</f>
        <v/>
      </c>
      <c r="BN415" s="71" t="inlineStr">
        <is>
          <t>N/A</t>
        </is>
      </c>
      <c r="BO415" s="71" t="inlineStr">
        <is>
          <t>N/A</t>
        </is>
      </c>
      <c r="BP415" s="71" t="inlineStr">
        <is>
          <t>N/A</t>
        </is>
      </c>
      <c r="BQ415" s="71" t="inlineStr">
        <is>
          <t>N/A</t>
        </is>
      </c>
      <c r="BR415" s="71" t="inlineStr">
        <is>
          <t>N/A</t>
        </is>
      </c>
      <c r="BS415" s="71" t="inlineStr">
        <is>
          <t>N/A</t>
        </is>
      </c>
      <c r="BT415" s="85" t="n"/>
      <c r="BU415" s="71" t="inlineStr">
        <is>
          <t>Huatai Financial Holdings (Hong Kong) Limited; Guotai Junan Capital Limited</t>
        </is>
      </c>
      <c r="BV415" s="71" t="inlineStr">
        <is>
          <t>BOCI Asia Limited; China Galaxy International Securities (Hong Kong) Company Limited; Futu Securities International (Hong Kong) Limited; Guotai Junan Securities (Hong Kong) Limited; Huatai Financial Holdings (Hong Kong) Limited</t>
        </is>
      </c>
      <c r="BW415" s="71" t="inlineStr">
        <is>
          <t>BOCI Asia Limited; China Galaxy International Securities (Hong Kong) Company Limited; Futu Securities International (Hong Kong) Limited; Guotai Junan Securities (Hong Kong) Limited; Huatai Financial Holdings (Hong Kong) Limited</t>
        </is>
      </c>
      <c r="BX415" s="71" t="n"/>
      <c r="BY415" s="87">
        <f>HYPERLINK("https://www1.hkexnews.hk/listedco/listconews/sehk/2025/1229/2025122902399.pdf","allotment")</f>
        <v/>
      </c>
      <c r="BZ415" s="71" t="n"/>
      <c r="CA415" s="85" t="n"/>
      <c r="CB415" s="71"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eff free float: % of cap not computable: cornerstone % unknown</t>
        </is>
      </c>
    </row>
    <row r="416" ht="15" customHeight="1">
      <c r="A416" s="70" t="inlineStr">
        <is>
          <t>6082</t>
        </is>
      </c>
      <c r="B416" s="71" t="inlineStr">
        <is>
          <t>BIREN TECH</t>
        </is>
      </c>
      <c r="C416" s="71" t="inlineStr">
        <is>
          <t>壁仞科技</t>
        </is>
      </c>
      <c r="D416" s="71" t="inlineStr">
        <is>
          <t>Tech/AI</t>
        </is>
      </c>
      <c r="E416" s="71" t="inlineStr">
        <is>
          <t>AI chips &amp; semis</t>
        </is>
      </c>
      <c r="F416" s="71" t="inlineStr">
        <is>
          <t>Advanced hardware and software</t>
        </is>
      </c>
      <c r="G416" s="71" t="inlineStr">
        <is>
          <t>18C</t>
        </is>
      </c>
      <c r="H416" s="72" t="n">
        <v>46024</v>
      </c>
      <c r="I416" s="73" t="n">
        <v>5583</v>
      </c>
      <c r="J416" s="71" t="inlineStr">
        <is>
          <t>gross (stated)</t>
        </is>
      </c>
      <c r="K416" s="74" t="n">
        <v>17</v>
      </c>
      <c r="L416" s="74" t="n">
        <v>19.6</v>
      </c>
      <c r="M416" s="74" t="n">
        <v>19.6</v>
      </c>
      <c r="N416" s="71" t="inlineStr">
        <is>
          <t>Y</t>
        </is>
      </c>
      <c r="O416" s="75" t="n">
        <v>100</v>
      </c>
      <c r="P416" s="75" t="n">
        <v>100</v>
      </c>
      <c r="Q416" s="76" t="n">
        <v>40103</v>
      </c>
      <c r="R416" s="71" t="inlineStr">
        <is>
          <t>prospectus:stated market capitalisation</t>
        </is>
      </c>
      <c r="S416" s="77" t="n">
        <v>2347.53</v>
      </c>
      <c r="T416" s="78" t="n">
        <v>25.95</v>
      </c>
      <c r="U416" s="79" t="n">
        <v>51.93</v>
      </c>
      <c r="V416" s="80" t="n">
        <v>359</v>
      </c>
      <c r="W416" s="75" t="n">
        <v>17.39</v>
      </c>
      <c r="X416" s="71" t="inlineStr">
        <is>
          <t>YES</t>
        </is>
      </c>
      <c r="Y416" s="76" t="n">
        <v>2683.75</v>
      </c>
      <c r="Z416" s="76" t="n">
        <v>136925761</v>
      </c>
      <c r="AA416" s="75" t="n">
        <v>6.69</v>
      </c>
      <c r="AB416" s="71" t="inlineStr">
        <is>
          <t>Qiming Venture Partners; Aspex Master Fund; Hao Great China Focus Fund; Master Fund, L.P; 有限公司)</t>
        </is>
      </c>
      <c r="AC416" s="71" t="inlineStr">
        <is>
          <t>qiming;aspex;hao;master-fund;有限公司</t>
        </is>
      </c>
      <c r="AD416" s="75" t="n">
        <v>15</v>
      </c>
      <c r="AE416" s="71" t="inlineStr">
        <is>
          <t>full</t>
        </is>
      </c>
      <c r="AF416" s="71" t="inlineStr">
        <is>
          <t>2026-01-28</t>
        </is>
      </c>
      <c r="AG416" s="71" t="inlineStr">
        <is>
          <t>China International Capital Corporation Hong Kong Securities Limited</t>
        </is>
      </c>
      <c r="AH416" s="71" t="inlineStr">
        <is>
          <t>China International</t>
        </is>
      </c>
      <c r="AI416" s="81" t="n">
        <v>79</v>
      </c>
      <c r="AJ416" s="82" t="n">
        <v>75.81999999999999</v>
      </c>
      <c r="AK416" s="82" t="n">
        <v>82.14</v>
      </c>
      <c r="AL416" s="82" t="n">
        <v>-3.47</v>
      </c>
      <c r="AM416" s="83" t="n">
        <v>3.04</v>
      </c>
      <c r="AN416" s="75" t="n">
        <v>26.27</v>
      </c>
      <c r="AO416" s="82" t="n">
        <v>73.78</v>
      </c>
      <c r="AP416" s="82" t="n">
        <v>67.34999999999999</v>
      </c>
      <c r="AQ416" s="82" t="n">
        <v>75.31</v>
      </c>
      <c r="AR416" s="82" t="n">
        <v>-1.16</v>
      </c>
      <c r="AS416" s="82" t="n">
        <v>-4.82</v>
      </c>
      <c r="AT416" s="82" t="n">
        <v>-0.29</v>
      </c>
      <c r="AU416" s="82" t="n">
        <v>70.53</v>
      </c>
      <c r="AV416" s="82" t="n">
        <v>67.16</v>
      </c>
      <c r="AW416" s="82" t="n">
        <v>87.84999999999999</v>
      </c>
      <c r="AX416" s="82" t="n">
        <v>-1.08</v>
      </c>
      <c r="AY416" s="82" t="n">
        <v>0.19</v>
      </c>
      <c r="AZ416" s="82" t="n">
        <v>-3.74</v>
      </c>
      <c r="BA416" s="71" t="inlineStr">
        <is>
          <t>HSTECH (Hang Seng TECH ETF)</t>
        </is>
      </c>
      <c r="BB416" s="82" t="n">
        <v>104.9</v>
      </c>
      <c r="BC416" s="72" t="inlineStr">
        <is>
          <t>2026-09-23</t>
        </is>
      </c>
      <c r="BD416" s="73" t="n">
        <v>370.5</v>
      </c>
      <c r="BE416" s="76" t="n">
        <v>-1691.9</v>
      </c>
      <c r="BF416" s="71" t="inlineStr">
        <is>
          <t>N</t>
        </is>
      </c>
      <c r="BG416" s="71" t="inlineStr">
        <is>
          <t>n/m</t>
        </is>
      </c>
      <c r="BH416" s="83" t="n"/>
      <c r="BI416" s="83" t="n"/>
      <c r="BJ416" s="83" t="n">
        <v>108.2</v>
      </c>
      <c r="BK416" s="84">
        <f>IF('BBG Verify'!S416="","not filed; run on terminal",'BBG Verify'!S416)</f>
        <v/>
      </c>
      <c r="BL416" s="85" t="inlineStr">
        <is>
          <t>N</t>
        </is>
      </c>
      <c r="BM416" s="86">
        <f>IF('BBG Verify'!K416="","not filed; run on terminal",'BBG Verify'!K416)</f>
        <v/>
      </c>
      <c r="BN416" s="71" t="inlineStr">
        <is>
          <t>N/A</t>
        </is>
      </c>
      <c r="BO416" s="71" t="inlineStr">
        <is>
          <t>N/A</t>
        </is>
      </c>
      <c r="BP416" s="71" t="inlineStr">
        <is>
          <t>N/A</t>
        </is>
      </c>
      <c r="BQ416" s="71" t="inlineStr">
        <is>
          <t>N/A</t>
        </is>
      </c>
      <c r="BR416" s="71" t="inlineStr">
        <is>
          <t>N/A</t>
        </is>
      </c>
      <c r="BS416" s="71" t="inlineStr">
        <is>
          <t>N/A</t>
        </is>
      </c>
      <c r="BT416" s="85" t="inlineStr">
        <is>
          <t>China International Capital Corporation Hong Kong Securities Limited; Ping An of China Capital (Hong Kong) Company Limited; BOCI Asia Limited; Ping An Securities (Hong Kong) Company Limited</t>
        </is>
      </c>
      <c r="BU416" s="71" t="inlineStr">
        <is>
          <t>China International Capital Corporation Hong Kong Securities Limited; Ping An of China Capital (Hong Kong) Company Limited; BOCI Asia Limited</t>
        </is>
      </c>
      <c r="BV416" s="71"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W416" s="71"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X416" s="87">
        <f>HYPERLINK("https://www1.hkexnews.hk/listedco/listconews/sehk/2025/1222/2025122200019.pdf","prospectus")</f>
        <v/>
      </c>
      <c r="BY416" s="87">
        <f>HYPERLINK("https://www1.hkexnews.hk/listedco/listconews/sehk/2025/1231/2025123102783.pdf","allotment")</f>
        <v/>
      </c>
      <c r="BZ416" s="87">
        <f>HYPERLINK("https://www1.hkexnews.hk/listedco/listconews/sehk/2026/0128/2026012800772.pdf","stabilisation")</f>
        <v/>
      </c>
      <c r="CA416" s="85" t="n"/>
      <c r="CB416" s="71" t="inlineStr">
        <is>
          <t>P/E: loss-making at IPO, use P/S; A/H: no A-share listing; nearest A proxy Cambricon Technologies (688256.SS)</t>
        </is>
      </c>
    </row>
    <row r="417" ht="15" customHeight="1">
      <c r="A417" s="70" t="inlineStr">
        <is>
          <t>2513</t>
        </is>
      </c>
      <c r="B417" s="71" t="inlineStr">
        <is>
          <t>KNOWLEDGE ATLAS</t>
        </is>
      </c>
      <c r="C417" s="71" t="inlineStr">
        <is>
          <t>智譜</t>
        </is>
      </c>
      <c r="D417" s="71" t="inlineStr">
        <is>
          <t>Tech/AI</t>
        </is>
      </c>
      <c r="E417" s="71" t="inlineStr">
        <is>
          <t>LLM / foundation model</t>
        </is>
      </c>
      <c r="F417" s="71" t="inlineStr">
        <is>
          <t>Next-generation information technology</t>
        </is>
      </c>
      <c r="G417" s="71" t="inlineStr">
        <is>
          <t>18C</t>
        </is>
      </c>
      <c r="H417" s="72" t="n">
        <v>46030</v>
      </c>
      <c r="I417" s="73" t="n">
        <v>4348.1</v>
      </c>
      <c r="J417" s="71" t="inlineStr">
        <is>
          <t>gross (stated)</t>
        </is>
      </c>
      <c r="K417" s="74" t="n"/>
      <c r="L417" s="74" t="n">
        <v>116.2</v>
      </c>
      <c r="M417" s="74" t="n">
        <v>116.2</v>
      </c>
      <c r="N417" s="71" t="inlineStr">
        <is>
          <t>Y</t>
        </is>
      </c>
      <c r="O417" s="75" t="n">
        <v>100</v>
      </c>
      <c r="P417" s="75" t="n"/>
      <c r="Q417" s="76" t="n">
        <v>45058</v>
      </c>
      <c r="R417" s="71" t="inlineStr">
        <is>
          <t>derived:deal size / offer % of enlarged capital</t>
        </is>
      </c>
      <c r="S417" s="77" t="n">
        <v>1159.46</v>
      </c>
      <c r="T417" s="78" t="n">
        <v>15.28</v>
      </c>
      <c r="U417" s="79" t="n">
        <v>68.63</v>
      </c>
      <c r="V417" s="80" t="n">
        <v>221</v>
      </c>
      <c r="W417" s="75" t="n">
        <v>20</v>
      </c>
      <c r="X417" s="71" t="inlineStr">
        <is>
          <t>YES</t>
        </is>
      </c>
      <c r="Y417" s="76" t="n">
        <v>1364</v>
      </c>
      <c r="Z417" s="76" t="n">
        <v>11738497</v>
      </c>
      <c r="AA417" s="75" t="n">
        <v>3.03</v>
      </c>
      <c r="AB417" s="71" t="inlineStr">
        <is>
          <t>Taikang Life; GF Fund</t>
        </is>
      </c>
      <c r="AC417" s="71" t="inlineStr">
        <is>
          <t>taikang;gf</t>
        </is>
      </c>
      <c r="AD417" s="75" t="n">
        <v>15</v>
      </c>
      <c r="AE417" s="71" t="inlineStr">
        <is>
          <t>full</t>
        </is>
      </c>
      <c r="AF417" s="71" t="inlineStr">
        <is>
          <t>2026-02-04</t>
        </is>
      </c>
      <c r="AG417" s="71" t="inlineStr">
        <is>
          <t>China International Capital Corporation Hong Kong Securities Limited</t>
        </is>
      </c>
      <c r="AH417" s="71" t="inlineStr">
        <is>
          <t>China International</t>
        </is>
      </c>
      <c r="AI417" s="81" t="n">
        <v>6.024</v>
      </c>
      <c r="AJ417" s="82" t="n">
        <v>13.17</v>
      </c>
      <c r="AK417" s="82" t="n">
        <v>3.27</v>
      </c>
      <c r="AL417" s="82" t="n">
        <v>9.59</v>
      </c>
      <c r="AM417" s="83" t="n">
        <v>2.34</v>
      </c>
      <c r="AN417" s="75" t="n">
        <v>15.75</v>
      </c>
      <c r="AO417" s="82" t="n">
        <v>107.4</v>
      </c>
      <c r="AP417" s="82" t="n">
        <v>74.87</v>
      </c>
      <c r="AQ417" s="82" t="n">
        <v>646.13</v>
      </c>
      <c r="AR417" s="82" t="n">
        <v>83.26000000000001</v>
      </c>
      <c r="AS417" s="82" t="n">
        <v>54.52</v>
      </c>
      <c r="AT417" s="82" t="n">
        <v>559.3</v>
      </c>
      <c r="AU417" s="82" t="n">
        <v>105.98</v>
      </c>
      <c r="AV417" s="82" t="n">
        <v>81.89</v>
      </c>
      <c r="AW417" s="82" t="n">
        <v>660.55</v>
      </c>
      <c r="AX417" s="82" t="n">
        <v>60.37</v>
      </c>
      <c r="AY417" s="82" t="n">
        <v>-7.02</v>
      </c>
      <c r="AZ417" s="82" t="n">
        <v>-5.85</v>
      </c>
      <c r="BA417" s="71" t="inlineStr">
        <is>
          <t>HSTECH (Hang Seng TECH ETF)</t>
        </is>
      </c>
      <c r="BB417" s="82" t="n">
        <v>459.38</v>
      </c>
      <c r="BC417" s="72" t="inlineStr">
        <is>
          <t>2026-09-23</t>
        </is>
      </c>
      <c r="BD417" s="73" t="n">
        <v>343.7</v>
      </c>
      <c r="BE417" s="76" t="n">
        <v>-2110.3</v>
      </c>
      <c r="BF417" s="71" t="inlineStr">
        <is>
          <t>N</t>
        </is>
      </c>
      <c r="BG417" s="71" t="inlineStr">
        <is>
          <t>n/m</t>
        </is>
      </c>
      <c r="BH417" s="83" t="n"/>
      <c r="BI417" s="83" t="n"/>
      <c r="BJ417" s="83" t="n">
        <v>131.1</v>
      </c>
      <c r="BK417" s="84">
        <f>IF('BBG Verify'!S417="","not filed; run on terminal",'BBG Verify'!S417)</f>
        <v/>
      </c>
      <c r="BL417" s="85" t="inlineStr">
        <is>
          <t>N</t>
        </is>
      </c>
      <c r="BM417" s="86">
        <f>IF('BBG Verify'!K417="","not filed; run on terminal",'BBG Verify'!K417)</f>
        <v/>
      </c>
      <c r="BN417" s="71" t="inlineStr">
        <is>
          <t>N/A</t>
        </is>
      </c>
      <c r="BO417" s="71" t="inlineStr">
        <is>
          <t>N/A</t>
        </is>
      </c>
      <c r="BP417" s="71" t="inlineStr">
        <is>
          <t>N/A</t>
        </is>
      </c>
      <c r="BQ417" s="71" t="inlineStr">
        <is>
          <t>N/A</t>
        </is>
      </c>
      <c r="BR417" s="71" t="inlineStr">
        <is>
          <t>N/A</t>
        </is>
      </c>
      <c r="BS417" s="71" t="inlineStr">
        <is>
          <t>N/A</t>
        </is>
      </c>
      <c r="BT417" s="85" t="inlineStr">
        <is>
          <t>CICC</t>
        </is>
      </c>
      <c r="BU417" s="71" t="inlineStr">
        <is>
          <t>China International Capital Corporation Hong Kong Securities Limited</t>
        </is>
      </c>
      <c r="BV417" s="71"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W417" s="71"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X417" s="87">
        <f>HYPERLINK("https://www1.hkexnews.hk/listedco/listconews/sehk/2025/1230/2025123000017.pdf","prospectus")</f>
        <v/>
      </c>
      <c r="BY417" s="87">
        <f>HYPERLINK("https://www1.hkexnews.hk/listedco/listconews/sehk/2026/0107/2026010701798.pdf","allotment")</f>
        <v/>
      </c>
      <c r="BZ417" s="87">
        <f>HYPERLINK("https://www1.hkexnews.hk/listedco/listconews/sehk/2026/0204/2026020402110.pdf","stabilisation")</f>
        <v/>
      </c>
      <c r="CA417" s="85" t="n"/>
      <c r="CB417" s="71" t="inlineStr">
        <is>
          <t>P/E: loss-making at IPO, use P/S; range low: maximum offer price only, no floor published</t>
        </is>
      </c>
    </row>
    <row r="418" ht="15" customHeight="1">
      <c r="A418" s="70" t="inlineStr">
        <is>
          <t>9903</t>
        </is>
      </c>
      <c r="B418" s="71" t="inlineStr">
        <is>
          <t>ILUVATAR COREX</t>
        </is>
      </c>
      <c r="C418" s="71" t="inlineStr">
        <is>
          <t>天數智芯</t>
        </is>
      </c>
      <c r="D418" s="71" t="inlineStr">
        <is>
          <t>Tech/AI</t>
        </is>
      </c>
      <c r="E418" s="71" t="inlineStr">
        <is>
          <t>AI chips &amp; semis</t>
        </is>
      </c>
      <c r="F418" s="71" t="inlineStr">
        <is>
          <t>Semiconductors &amp; Semiconductor Equipment</t>
        </is>
      </c>
      <c r="G418" s="71" t="inlineStr">
        <is>
          <t>Standard</t>
        </is>
      </c>
      <c r="H418" s="72" t="n">
        <v>46030</v>
      </c>
      <c r="I418" s="73" t="n">
        <v>3677.4</v>
      </c>
      <c r="J418" s="71" t="inlineStr">
        <is>
          <t>gross (stated)</t>
        </is>
      </c>
      <c r="K418" s="74" t="n"/>
      <c r="L418" s="74" t="n">
        <v>144.6</v>
      </c>
      <c r="M418" s="74" t="n">
        <v>144.6</v>
      </c>
      <c r="N418" s="71" t="inlineStr">
        <is>
          <t>Y</t>
        </is>
      </c>
      <c r="O418" s="75" t="n">
        <v>100</v>
      </c>
      <c r="P418" s="75" t="n"/>
      <c r="Q418" s="76" t="n">
        <v>36774.3</v>
      </c>
      <c r="R418" s="71" t="inlineStr">
        <is>
          <t>derived:price x shares upon listing</t>
        </is>
      </c>
      <c r="S418" s="77" t="n">
        <v>414.24</v>
      </c>
      <c r="T418" s="78" t="n">
        <v>10.68</v>
      </c>
      <c r="U418" s="79" t="n">
        <v>43.02</v>
      </c>
      <c r="V418" s="80" t="n">
        <v>121</v>
      </c>
      <c r="W418" s="75" t="n"/>
      <c r="X418" s="71" t="inlineStr">
        <is>
          <t>NA</t>
        </is>
      </c>
      <c r="Y418" s="76" t="n">
        <v>2095.38</v>
      </c>
      <c r="Z418" s="76" t="n">
        <v>14491040</v>
      </c>
      <c r="AA418" s="75" t="n">
        <v>5.7</v>
      </c>
      <c r="AB418" s="71"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AC418" s="71" t="inlineStr">
        <is>
          <t>wind;alphahill;cmb;xn;huatai;engine;duckling;deeproot;orient;cfig;york</t>
        </is>
      </c>
      <c r="AD418" s="75" t="n"/>
      <c r="AE418" s="71" t="n"/>
      <c r="AF418" s="71" t="n"/>
      <c r="AG418" s="71" t="n"/>
      <c r="AH418" s="71" t="n"/>
      <c r="AI418" s="81" t="n">
        <v>36.929</v>
      </c>
      <c r="AJ418" s="82" t="n">
        <v>8.44</v>
      </c>
      <c r="AK418" s="82" t="n">
        <v>31.54</v>
      </c>
      <c r="AL418" s="82" t="n">
        <v>-17.56</v>
      </c>
      <c r="AM418" s="83" t="n"/>
      <c r="AN418" s="75" t="n">
        <v>22.66</v>
      </c>
      <c r="AO418" s="82" t="n">
        <v>21.72</v>
      </c>
      <c r="AP418" s="82" t="n">
        <v>14.25</v>
      </c>
      <c r="AQ418" s="82" t="n">
        <v>156.57</v>
      </c>
      <c r="AR418" s="82" t="n">
        <v>12.25</v>
      </c>
      <c r="AS418" s="82" t="n">
        <v>5.36</v>
      </c>
      <c r="AT418" s="82" t="n">
        <v>136.6</v>
      </c>
      <c r="AU418" s="82" t="n">
        <v>20.3</v>
      </c>
      <c r="AV418" s="82" t="n">
        <v>21.27</v>
      </c>
      <c r="AW418" s="82" t="n">
        <v>170.99</v>
      </c>
      <c r="AX418" s="82" t="n">
        <v>11.21</v>
      </c>
      <c r="AY418" s="82" t="n">
        <v>-7.02</v>
      </c>
      <c r="AZ418" s="82" t="n">
        <v>-5.85</v>
      </c>
      <c r="BA418" s="71" t="inlineStr">
        <is>
          <t>HSTECH (Hang Seng TECH ETF)</t>
        </is>
      </c>
      <c r="BB418" s="82" t="n">
        <v>-12.03</v>
      </c>
      <c r="BC418" s="72" t="inlineStr">
        <is>
          <t>2026-09-23</t>
        </is>
      </c>
      <c r="BD418" s="73" t="n">
        <v>593.5</v>
      </c>
      <c r="BE418" s="76" t="n">
        <v>-1104</v>
      </c>
      <c r="BF418" s="71" t="inlineStr">
        <is>
          <t>N</t>
        </is>
      </c>
      <c r="BG418" s="71" t="inlineStr">
        <is>
          <t>n/m</t>
        </is>
      </c>
      <c r="BH418" s="83" t="n"/>
      <c r="BI418" s="83" t="n"/>
      <c r="BJ418" s="83" t="n">
        <v>62</v>
      </c>
      <c r="BK418" s="84">
        <f>IF('BBG Verify'!S418="","not filed; run on terminal",'BBG Verify'!S418)</f>
        <v/>
      </c>
      <c r="BL418" s="85" t="inlineStr">
        <is>
          <t>N</t>
        </is>
      </c>
      <c r="BM418" s="86">
        <f>IF('BBG Verify'!K418="","not filed; run on terminal",'BBG Verify'!K418)</f>
        <v/>
      </c>
      <c r="BN418" s="71" t="inlineStr">
        <is>
          <t>N/A</t>
        </is>
      </c>
      <c r="BO418" s="71" t="inlineStr">
        <is>
          <t>N/A</t>
        </is>
      </c>
      <c r="BP418" s="71" t="inlineStr">
        <is>
          <t>N/A</t>
        </is>
      </c>
      <c r="BQ418" s="71" t="inlineStr">
        <is>
          <t>N/A</t>
        </is>
      </c>
      <c r="BR418" s="71" t="inlineStr">
        <is>
          <t>N/A</t>
        </is>
      </c>
      <c r="BS418" s="71" t="inlineStr">
        <is>
          <t>N/A</t>
        </is>
      </c>
      <c r="BT418" s="85" t="inlineStr">
        <is>
          <t>Huatai Financial Holdings (Hong Kong) Limited</t>
        </is>
      </c>
      <c r="BU418" s="71" t="inlineStr">
        <is>
          <t>Huatai Financial Holdings (Hong Kong) Limited</t>
        </is>
      </c>
      <c r="BV418" s="71"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W418" s="71"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X418" s="87">
        <f>HYPERLINK("https://www1.hkexnews.hk/listedco/listconews/sehk/2025/1230/2025123000019.pdf","prospectus")</f>
        <v/>
      </c>
      <c r="BY418" s="87">
        <f>HYPERLINK("https://www1.hkexnews.hk/listedco/listconews/sehk/2026/0107/2026010701802.pdf","allotment")</f>
        <v/>
      </c>
      <c r="BZ418" s="71" t="n"/>
      <c r="CA418" s="85" t="n"/>
      <c r="CB418" s="71"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419" ht="15" customHeight="1">
      <c r="A419" s="70" t="inlineStr">
        <is>
          <t>2675</t>
        </is>
      </c>
      <c r="B419" s="71" t="inlineStr">
        <is>
          <t>EDGE MEDICAL-B</t>
        </is>
      </c>
      <c r="C419" s="71" t="inlineStr">
        <is>
          <t>精鋒醫療－Ｂ</t>
        </is>
      </c>
      <c r="D419" s="71" t="inlineStr">
        <is>
          <t>Healthcare</t>
        </is>
      </c>
      <c r="E419" s="71" t="inlineStr">
        <is>
          <t>Medical devices</t>
        </is>
      </c>
      <c r="F419" s="71" t="inlineStr">
        <is>
          <t>Biotechnology - Medical Devices</t>
        </is>
      </c>
      <c r="G419" s="71" t="inlineStr">
        <is>
          <t>18A</t>
        </is>
      </c>
      <c r="H419" s="72" t="n">
        <v>46030</v>
      </c>
      <c r="I419" s="73" t="n">
        <v>1198.7</v>
      </c>
      <c r="J419" s="71" t="inlineStr">
        <is>
          <t>gross (stated)</t>
        </is>
      </c>
      <c r="K419" s="74" t="n"/>
      <c r="L419" s="74" t="n">
        <v>43.24</v>
      </c>
      <c r="M419" s="74" t="n">
        <v>43.24</v>
      </c>
      <c r="N419" s="71" t="inlineStr">
        <is>
          <t>Y</t>
        </is>
      </c>
      <c r="O419" s="75" t="n">
        <v>100</v>
      </c>
      <c r="P419" s="75" t="n"/>
      <c r="Q419" s="76" t="n">
        <v>16765.1</v>
      </c>
      <c r="R419" s="71" t="inlineStr">
        <is>
          <t>derived:price x shares upon listing</t>
        </is>
      </c>
      <c r="S419" s="77" t="n">
        <v>1091.94</v>
      </c>
      <c r="T419" s="78" t="n">
        <v>25.18</v>
      </c>
      <c r="U419" s="79" t="n">
        <v>48.68</v>
      </c>
      <c r="V419" s="80" t="n">
        <v>175</v>
      </c>
      <c r="W419" s="75" t="n">
        <v>10</v>
      </c>
      <c r="X419" s="71" t="inlineStr">
        <is>
          <t>NO</t>
        </is>
      </c>
      <c r="Y419" s="76" t="n">
        <v>615.17</v>
      </c>
      <c r="Z419" s="76" t="n">
        <v>14227033</v>
      </c>
      <c r="AA419" s="75" t="n">
        <v>3.67</v>
      </c>
      <c r="AB419" s="71"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AC419" s="71" t="inlineStr">
        <is>
          <t>abu;orbimed;huang-river;lyfe;poly;mega;china-asset;alpha;tekful;integrated;sage;panjing;infini</t>
        </is>
      </c>
      <c r="AD419" s="75" t="n">
        <v>15</v>
      </c>
      <c r="AE419" s="71" t="inlineStr">
        <is>
          <t>full</t>
        </is>
      </c>
      <c r="AF419" s="71" t="n"/>
      <c r="AG419" s="71" t="inlineStr">
        <is>
          <t>Morgan Stanley Asia Limited</t>
        </is>
      </c>
      <c r="AH419" s="71" t="inlineStr">
        <is>
          <t>Morgan Stanley</t>
        </is>
      </c>
      <c r="AI419" s="81" t="n">
        <v>39.107</v>
      </c>
      <c r="AJ419" s="82" t="n">
        <v>30.9</v>
      </c>
      <c r="AK419" s="82" t="n">
        <v>36.45</v>
      </c>
      <c r="AL419" s="82" t="n">
        <v>-4.07</v>
      </c>
      <c r="AM419" s="83" t="n">
        <v>4.57</v>
      </c>
      <c r="AN419" s="75" t="n">
        <v>20.34</v>
      </c>
      <c r="AO419" s="82" t="n">
        <v>55.53</v>
      </c>
      <c r="AP419" s="82" t="n">
        <v>37.72</v>
      </c>
      <c r="AQ419" s="82" t="n">
        <v>24.88</v>
      </c>
      <c r="AR419" s="82" t="n">
        <v>18.82</v>
      </c>
      <c r="AS419" s="82" t="n">
        <v>5.21</v>
      </c>
      <c r="AT419" s="82" t="n">
        <v>-4.6</v>
      </c>
      <c r="AU419" s="82" t="n">
        <v>54.65</v>
      </c>
      <c r="AV419" s="82" t="n">
        <v>44.87</v>
      </c>
      <c r="AW419" s="82" t="n">
        <v>14.69</v>
      </c>
      <c r="AX419" s="82" t="n">
        <v>11.68</v>
      </c>
      <c r="AY419" s="82" t="n">
        <v>-7.15</v>
      </c>
      <c r="AZ419" s="82" t="n">
        <v>-6.47</v>
      </c>
      <c r="BA419" s="71" t="inlineStr">
        <is>
          <t>China Biotech ETF (HS biotech proxy)</t>
        </is>
      </c>
      <c r="BB419" s="82" t="n">
        <v>-12.95</v>
      </c>
      <c r="BC419" s="72" t="inlineStr">
        <is>
          <t>2026-09-23</t>
        </is>
      </c>
      <c r="BD419" s="73" t="n">
        <v>33.3</v>
      </c>
      <c r="BE419" s="76" t="n">
        <v>-145.8</v>
      </c>
      <c r="BF419" s="71" t="inlineStr">
        <is>
          <t>N</t>
        </is>
      </c>
      <c r="BG419" s="71" t="inlineStr">
        <is>
          <t>n/m</t>
        </is>
      </c>
      <c r="BH419" s="83" t="n"/>
      <c r="BI419" s="83" t="n"/>
      <c r="BJ419" s="83" t="n">
        <v>503.5</v>
      </c>
      <c r="BK419" s="84">
        <f>IF('BBG Verify'!S419="","not filed; run on terminal",'BBG Verify'!S419)</f>
        <v/>
      </c>
      <c r="BL419" s="85" t="inlineStr">
        <is>
          <t>N</t>
        </is>
      </c>
      <c r="BM419" s="86">
        <f>IF('BBG Verify'!K419="","not filed; run on terminal",'BBG Verify'!K419)</f>
        <v/>
      </c>
      <c r="BN419" s="71" t="inlineStr">
        <is>
          <t>N/A</t>
        </is>
      </c>
      <c r="BO419" s="71" t="inlineStr">
        <is>
          <t>N/A</t>
        </is>
      </c>
      <c r="BP419" s="71" t="inlineStr">
        <is>
          <t>N/A</t>
        </is>
      </c>
      <c r="BQ419" s="71" t="inlineStr">
        <is>
          <t>N/A</t>
        </is>
      </c>
      <c r="BR419" s="71" t="inlineStr">
        <is>
          <t>N/A</t>
        </is>
      </c>
      <c r="BS419" s="71" t="inlineStr">
        <is>
          <t>N/A</t>
        </is>
      </c>
      <c r="BT419" s="85" t="inlineStr">
        <is>
          <t>Morgan Stanley Asia Limited; GF Capital (Hong Kong) Limited</t>
        </is>
      </c>
      <c r="BU419" s="71" t="inlineStr">
        <is>
          <t>Morgan Stanley Asia Limited; GF Capital (Hong Kong) Limited</t>
        </is>
      </c>
      <c r="BV419" s="71" t="inlineStr">
        <is>
          <t>China International Capital Corporation Hong Kong Securities Limited; CLSA Limited; CMBC Securities Company Limited; GF Securities (Hong Kong) Brokerage Limited; Morgan Stanley Asia Limited</t>
        </is>
      </c>
      <c r="BW419" s="71" t="inlineStr">
        <is>
          <t>China International Capital Corporation Hong Kong Securities Limited; CLSA Limited; CMBC Securities Company Limited; GF Securities (Hong Kong) Brokerage Limited; Morgan Stanley Asia Limited</t>
        </is>
      </c>
      <c r="BX419" s="87">
        <f>HYPERLINK("https://www1.hkexnews.hk/listedco/listconews/sehk/2025/1230/2025123000029.pdf","prospectus")</f>
        <v/>
      </c>
      <c r="BY419" s="87">
        <f>HYPERLINK("https://www1.hkexnews.hk/listedco/listconews/sehk/2026/0107/2026010701900.pdf","allotment")</f>
        <v/>
      </c>
      <c r="BZ419" s="87">
        <f>HYPERLINK("https://www1.hkexnews.hk/listedco/listconews/sehk/2026/0204/2026020402144.pdf","stabilisation")</f>
        <v/>
      </c>
      <c r="CA419" s="85" t="n"/>
      <c r="CB419" s="71" t="inlineStr">
        <is>
          <t>P/E: loss-making at IPO, use P/S; greenshoe: outcome published; expiry date not in the notice; range low: maximum offer price only, no floor published; P/S: 504x on HK$33.3m revenue, effectively pre-revenue; not comparable</t>
        </is>
      </c>
    </row>
    <row r="420" ht="15" customHeight="1">
      <c r="A420" s="70" t="inlineStr">
        <is>
          <t>0100</t>
        </is>
      </c>
      <c r="B420" s="71" t="inlineStr">
        <is>
          <t>MINIMAX-WP</t>
        </is>
      </c>
      <c r="C420" s="71" t="inlineStr">
        <is>
          <t>MINIMAX-W</t>
        </is>
      </c>
      <c r="D420" s="71" t="inlineStr">
        <is>
          <t>Tech/AI</t>
        </is>
      </c>
      <c r="E420" s="71" t="inlineStr">
        <is>
          <t>LLM / foundation model</t>
        </is>
      </c>
      <c r="F420" s="71" t="inlineStr">
        <is>
          <t>Next-generation information technology</t>
        </is>
      </c>
      <c r="G420" s="71" t="inlineStr">
        <is>
          <t>WVR + 18C</t>
        </is>
      </c>
      <c r="H420" s="72" t="n">
        <v>46031</v>
      </c>
      <c r="I420" s="73" t="n">
        <v>4817.6</v>
      </c>
      <c r="J420" s="71" t="inlineStr">
        <is>
          <t>gross (stated)</t>
        </is>
      </c>
      <c r="K420" s="74" t="n"/>
      <c r="L420" s="74" t="n">
        <v>165</v>
      </c>
      <c r="M420" s="74" t="n">
        <v>165</v>
      </c>
      <c r="N420" s="71" t="inlineStr">
        <is>
          <t>Y</t>
        </is>
      </c>
      <c r="O420" s="75" t="n">
        <v>100</v>
      </c>
      <c r="P420" s="75" t="n"/>
      <c r="Q420" s="76" t="n">
        <v>49554.4</v>
      </c>
      <c r="R420" s="71" t="inlineStr">
        <is>
          <t>aastocks:上市市值 at the struck price</t>
        </is>
      </c>
      <c r="S420" s="77" t="n">
        <v>1837.17</v>
      </c>
      <c r="T420" s="78" t="n">
        <v>36.76</v>
      </c>
      <c r="U420" s="79" t="n">
        <v>56.53</v>
      </c>
      <c r="V420" s="80" t="n">
        <v>376</v>
      </c>
      <c r="W420" s="75" t="n">
        <v>17.39</v>
      </c>
      <c r="X420" s="71" t="inlineStr">
        <is>
          <t>YES</t>
        </is>
      </c>
      <c r="Y420" s="76" t="n">
        <v>2094.21</v>
      </c>
      <c r="Z420" s="76" t="n">
        <v>12692197</v>
      </c>
      <c r="AA420" s="75" t="n">
        <v>4.23</v>
      </c>
      <c r="AB420" s="71" t="inlineStr">
        <is>
          <t>Authority; Aspex Master Fund; Abstract Enigma Limited; Universal (HK)); Martis Fund, L.P; MPC VII Pte. Ltd; (Perseverance; Alisoft China</t>
        </is>
      </c>
      <c r="AC420" s="71" t="inlineStr">
        <is>
          <t>authority;aspex;abstract;universal;martis;mpc;perseverance;alisoft</t>
        </is>
      </c>
      <c r="AD420" s="75" t="n">
        <v>15</v>
      </c>
      <c r="AE420" s="71" t="n"/>
      <c r="AF420" s="71" t="inlineStr">
        <is>
          <t>2026-02-05</t>
        </is>
      </c>
      <c r="AG420" s="71" t="inlineStr">
        <is>
          <t>China International Capital Corporation Hong Kong Securities Limited</t>
        </is>
      </c>
      <c r="AH420" s="71" t="inlineStr">
        <is>
          <t>China International</t>
        </is>
      </c>
      <c r="AI420" s="81" t="n">
        <v>24.6</v>
      </c>
      <c r="AJ420" s="82" t="n">
        <v>109.09</v>
      </c>
      <c r="AK420" s="82" t="n">
        <v>42.67</v>
      </c>
      <c r="AL420" s="82" t="n">
        <v>46.55</v>
      </c>
      <c r="AM420" s="83" t="n">
        <v>3.14</v>
      </c>
      <c r="AN420" s="75" t="n">
        <v>55.99</v>
      </c>
      <c r="AO420" s="82" t="n">
        <v>165.45</v>
      </c>
      <c r="AP420" s="82" t="n">
        <v>212.12</v>
      </c>
      <c r="AQ420" s="82" t="n">
        <v>445.76</v>
      </c>
      <c r="AR420" s="82" t="n">
        <v>26.95</v>
      </c>
      <c r="AS420" s="82" t="n">
        <v>49.28</v>
      </c>
      <c r="AT420" s="82" t="n">
        <v>161.02</v>
      </c>
      <c r="AU420" s="82" t="n">
        <v>162.84</v>
      </c>
      <c r="AV420" s="82" t="n">
        <v>216.71</v>
      </c>
      <c r="AW420" s="82" t="n">
        <v>455.86</v>
      </c>
      <c r="AX420" s="82" t="n">
        <v>54.04</v>
      </c>
      <c r="AY420" s="82" t="n">
        <v>-4.59</v>
      </c>
      <c r="AZ420" s="82" t="n">
        <v>-4.76</v>
      </c>
      <c r="BA420" s="71" t="inlineStr">
        <is>
          <t>HSTECH (Hang Seng TECH ETF)</t>
        </is>
      </c>
      <c r="BB420" s="82" t="n">
        <v>66.67</v>
      </c>
      <c r="BC420" s="72" t="inlineStr">
        <is>
          <t>2026-09-23</t>
        </is>
      </c>
      <c r="BD420" s="73" t="n">
        <v>616.2</v>
      </c>
      <c r="BE420" s="76" t="n">
        <v>-14598.6</v>
      </c>
      <c r="BF420" s="71" t="inlineStr">
        <is>
          <t>N</t>
        </is>
      </c>
      <c r="BG420" s="71" t="inlineStr">
        <is>
          <t>n/m</t>
        </is>
      </c>
      <c r="BH420" s="83" t="n"/>
      <c r="BI420" s="83" t="n"/>
      <c r="BJ420" s="83" t="n">
        <v>80.40000000000001</v>
      </c>
      <c r="BK420" s="84">
        <f>IF('BBG Verify'!S420="","not filed; run on terminal",'BBG Verify'!S420)</f>
        <v/>
      </c>
      <c r="BL420" s="85" t="inlineStr">
        <is>
          <t>N</t>
        </is>
      </c>
      <c r="BM420" s="86">
        <f>IF('BBG Verify'!K420="","not filed; run on terminal",'BBG Verify'!K420)</f>
        <v/>
      </c>
      <c r="BN420" s="71" t="inlineStr">
        <is>
          <t>N/A</t>
        </is>
      </c>
      <c r="BO420" s="71" t="inlineStr">
        <is>
          <t>N/A</t>
        </is>
      </c>
      <c r="BP420" s="71" t="inlineStr">
        <is>
          <t>N/A</t>
        </is>
      </c>
      <c r="BQ420" s="71" t="inlineStr">
        <is>
          <t>N/A</t>
        </is>
      </c>
      <c r="BR420" s="71" t="inlineStr">
        <is>
          <t>N/A</t>
        </is>
      </c>
      <c r="BS420" s="71" t="inlineStr">
        <is>
          <t>N/A</t>
        </is>
      </c>
      <c r="BT420" s="85" t="inlineStr">
        <is>
          <t>CICC</t>
        </is>
      </c>
      <c r="BU420" s="71" t="inlineStr">
        <is>
          <t>China International Capital Corporation Hong Kong Securities Limited; UBS Securities Hong Kong Limited</t>
        </is>
      </c>
      <c r="BV420" s="71" t="inlineStr">
        <is>
          <t>China International Capital Corporation Hong Kong Securities Limited; Futu Securities International (Hong Kong) Limited; Goldman Sachs (Asia) L.L.C.; Morgan Stanley Asia Limited; Tiger Brokers (HK) Global Limited; UBS AG Hong Kong Branch</t>
        </is>
      </c>
      <c r="BW420" s="71" t="inlineStr">
        <is>
          <t>China International Capital Corporation Hong Kong Securities Limited; Futu Securities International (Hong Kong) Limited; Goldman Sachs (Asia) L.L.C.; Morgan Stanley Asia Limited; Tiger Brokers (HK) Global Limited; UBS AG Hong Kong Branch</t>
        </is>
      </c>
      <c r="BX420" s="71" t="n"/>
      <c r="BY420" s="87">
        <f>HYPERLINK("https://www1.hkexnews.hk/listedco/listconews/sehk/2026/0108/2026010801342.pdf","allotment")</f>
        <v/>
      </c>
      <c r="BZ420" s="71" t="n"/>
      <c r="CA420" s="85" t="n"/>
      <c r="CB420" s="71"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70" t="inlineStr">
        <is>
          <t>6938</t>
        </is>
      </c>
      <c r="B421" s="71" t="inlineStr">
        <is>
          <t>RIBOLIFE-B</t>
        </is>
      </c>
      <c r="C421" s="71" t="inlineStr">
        <is>
          <t>瑞博生物－Ｂ</t>
        </is>
      </c>
      <c r="D421" s="71" t="inlineStr">
        <is>
          <t>Healthcare</t>
        </is>
      </c>
      <c r="E421" s="71" t="inlineStr">
        <is>
          <t>Biotech pre-revenue (18A)</t>
        </is>
      </c>
      <c r="F421" s="71" t="inlineStr">
        <is>
          <t>Biotechnology - Pharmaceuticals</t>
        </is>
      </c>
      <c r="G421" s="71" t="inlineStr">
        <is>
          <t>18A</t>
        </is>
      </c>
      <c r="H421" s="72" t="n">
        <v>46031</v>
      </c>
      <c r="I421" s="73" t="n">
        <v>1832.45</v>
      </c>
      <c r="J421" s="71" t="inlineStr">
        <is>
          <t>gross (stated)</t>
        </is>
      </c>
      <c r="K421" s="74" t="n"/>
      <c r="L421" s="74" t="n">
        <v>57.97</v>
      </c>
      <c r="M421" s="74" t="n">
        <v>57.97</v>
      </c>
      <c r="N421" s="71" t="inlineStr">
        <is>
          <t>Y</t>
        </is>
      </c>
      <c r="O421" s="75" t="n">
        <v>100</v>
      </c>
      <c r="P421" s="75" t="n"/>
      <c r="Q421" s="76" t="n">
        <v>9373.200000000001</v>
      </c>
      <c r="R421" s="71" t="inlineStr">
        <is>
          <t>prospectus:stated market capitalisation</t>
        </is>
      </c>
      <c r="S421" s="77" t="n">
        <v>101.06</v>
      </c>
      <c r="T421" s="78" t="n">
        <v>16.7</v>
      </c>
      <c r="U421" s="79" t="n">
        <v>42.5</v>
      </c>
      <c r="V421" s="80" t="n">
        <v>177</v>
      </c>
      <c r="W421" s="75" t="n">
        <v>8.699999999999999</v>
      </c>
      <c r="X421" s="71" t="inlineStr">
        <is>
          <t>NA</t>
        </is>
      </c>
      <c r="Y421" s="76" t="n">
        <v>1053.66</v>
      </c>
      <c r="Z421" s="76" t="n">
        <v>18175980</v>
      </c>
      <c r="AA421" s="75" t="n">
        <v>11.24</v>
      </c>
      <c r="AB421" s="71"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AC421" s="71" t="inlineStr">
        <is>
          <t>arc;bright;china-asset;erik;himension;mingxin;springs;taikang;william;worldstar;blue;agricultural;icbc;fullgoal;wise</t>
        </is>
      </c>
      <c r="AD421" s="75" t="n">
        <v>15</v>
      </c>
      <c r="AE421" s="71" t="inlineStr">
        <is>
          <t>full</t>
        </is>
      </c>
      <c r="AF421" s="71" t="inlineStr">
        <is>
          <t>2026-02-05</t>
        </is>
      </c>
      <c r="AG421" s="71" t="inlineStr">
        <is>
          <t>China International Capital Corporation Hong Kong Securities Limited</t>
        </is>
      </c>
      <c r="AH421" s="71" t="inlineStr">
        <is>
          <t>China International</t>
        </is>
      </c>
      <c r="AI421" s="81" t="n">
        <v>29.032</v>
      </c>
      <c r="AJ421" s="82" t="n">
        <v>41.62</v>
      </c>
      <c r="AK421" s="82" t="n">
        <v>29.38</v>
      </c>
      <c r="AL421" s="82" t="n">
        <v>9.460000000000001</v>
      </c>
      <c r="AM421" s="83" t="n">
        <v>5.15</v>
      </c>
      <c r="AN421" s="75" t="n">
        <v>28.13</v>
      </c>
      <c r="AO421" s="82" t="n">
        <v>30.76</v>
      </c>
      <c r="AP421" s="82" t="n">
        <v>18.25</v>
      </c>
      <c r="AQ421" s="82" t="n">
        <v>14.63</v>
      </c>
      <c r="AR421" s="82" t="n">
        <v>-7.67</v>
      </c>
      <c r="AS421" s="82" t="n">
        <v>-16.5</v>
      </c>
      <c r="AT421" s="82" t="n">
        <v>-19.06</v>
      </c>
      <c r="AU421" s="82" t="n">
        <v>29.59</v>
      </c>
      <c r="AV421" s="82" t="n">
        <v>23.78</v>
      </c>
      <c r="AW421" s="82" t="n">
        <v>2.94</v>
      </c>
      <c r="AX421" s="82" t="n">
        <v>-9.67</v>
      </c>
      <c r="AY421" s="82" t="n">
        <v>-5.53</v>
      </c>
      <c r="AZ421" s="82" t="n">
        <v>-6.83</v>
      </c>
      <c r="BA421" s="71" t="inlineStr">
        <is>
          <t>China Biotech ETF (HS biotech proxy)</t>
        </is>
      </c>
      <c r="BB421" s="82" t="n">
        <v>-4.26</v>
      </c>
      <c r="BC421" s="72" t="inlineStr">
        <is>
          <t>2026-09-23</t>
        </is>
      </c>
      <c r="BD421" s="73" t="n">
        <v>72.90000000000001</v>
      </c>
      <c r="BE421" s="76" t="n">
        <v>-155.7</v>
      </c>
      <c r="BF421" s="71" t="inlineStr">
        <is>
          <t>N</t>
        </is>
      </c>
      <c r="BG421" s="71" t="inlineStr">
        <is>
          <t>n/m</t>
        </is>
      </c>
      <c r="BH421" s="83" t="n"/>
      <c r="BI421" s="83" t="n"/>
      <c r="BJ421" s="83" t="n">
        <v>128.6</v>
      </c>
      <c r="BK421" s="84">
        <f>IF('BBG Verify'!S421="","not filed; run on terminal",'BBG Verify'!S421)</f>
        <v/>
      </c>
      <c r="BL421" s="85" t="inlineStr">
        <is>
          <t>N</t>
        </is>
      </c>
      <c r="BM421" s="86">
        <f>IF('BBG Verify'!K421="","not filed; run on terminal",'BBG Verify'!K421)</f>
        <v/>
      </c>
      <c r="BN421" s="71" t="inlineStr">
        <is>
          <t>N/A</t>
        </is>
      </c>
      <c r="BO421" s="71" t="inlineStr">
        <is>
          <t>N/A</t>
        </is>
      </c>
      <c r="BP421" s="71" t="inlineStr">
        <is>
          <t>N/A</t>
        </is>
      </c>
      <c r="BQ421" s="71" t="inlineStr">
        <is>
          <t>N/A</t>
        </is>
      </c>
      <c r="BR421" s="71" t="inlineStr">
        <is>
          <t>N/A</t>
        </is>
      </c>
      <c r="BS421" s="71" t="inlineStr">
        <is>
          <t>N/A</t>
        </is>
      </c>
      <c r="BT421" s="85" t="inlineStr">
        <is>
          <t>Citigroup Global Markets Asia Limited</t>
        </is>
      </c>
      <c r="BU421" s="71" t="inlineStr">
        <is>
          <t>China International Capital Corporation Hong Kong Securities Limited; Citigroup Global Markets Asia Limited</t>
        </is>
      </c>
      <c r="BV421" s="71"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W421" s="71"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X421" s="87">
        <f>HYPERLINK("https://www1.hkexnews.hk/listedco/listconews/sehk/2025/1231/2025123100037.pdf","prospectus")</f>
        <v/>
      </c>
      <c r="BY421" s="87">
        <f>HYPERLINK("https://www1.hkexnews.hk/listedco/listconews/sehk/2026/0108/2026010801352.pdf","allotment")</f>
        <v/>
      </c>
      <c r="BZ421" s="87">
        <f>HYPERLINK("https://www1.hkexnews.hk/listedco/listconews/sehk/2026/0205/2026020502414.pdf","stabilisation")</f>
        <v/>
      </c>
      <c r="CA421" s="85" t="n"/>
      <c r="CB421" s="71" t="inlineStr">
        <is>
          <t>P/E: loss-making at IPO, use P/S; range low: maximum offer price only, no floor published</t>
        </is>
      </c>
    </row>
    <row r="422" ht="15" customHeight="1">
      <c r="A422" s="70" t="inlineStr">
        <is>
          <t>3636</t>
        </is>
      </c>
      <c r="B422" s="71" t="inlineStr">
        <is>
          <t>JINXUN RESOURCE</t>
        </is>
      </c>
      <c r="C422" s="71" t="inlineStr">
        <is>
          <t>金潯資源</t>
        </is>
      </c>
      <c r="D422" s="71" t="inlineStr">
        <is>
          <t>Materials/Energy</t>
        </is>
      </c>
      <c r="E422" s="71" t="inlineStr">
        <is>
          <t>Mining / metals</t>
        </is>
      </c>
      <c r="F422" s="71" t="inlineStr">
        <is>
          <t>Diversified Metals &amp; Minerals</t>
        </is>
      </c>
      <c r="G422" s="71" t="inlineStr">
        <is>
          <t>Standard</t>
        </is>
      </c>
      <c r="H422" s="72" t="n">
        <v>46031</v>
      </c>
      <c r="I422" s="73" t="n">
        <v>1102.97</v>
      </c>
      <c r="J422" s="71" t="inlineStr">
        <is>
          <t>gross (stated)</t>
        </is>
      </c>
      <c r="K422" s="74" t="n"/>
      <c r="L422" s="74" t="n">
        <v>30</v>
      </c>
      <c r="M422" s="74" t="n">
        <v>30</v>
      </c>
      <c r="N422" s="71" t="inlineStr">
        <is>
          <t>Y</t>
        </is>
      </c>
      <c r="O422" s="75" t="n">
        <v>100</v>
      </c>
      <c r="P422" s="75" t="n"/>
      <c r="Q422" s="90">
        <f>IF('BBG Verify'!M422="","not filed; run on terminal",'BBG Verify'!M422)</f>
        <v/>
      </c>
      <c r="R422" s="71" t="n"/>
      <c r="S422" s="77" t="n">
        <v>143.46</v>
      </c>
      <c r="T422" s="78" t="n">
        <v>12.78</v>
      </c>
      <c r="U422" s="79" t="n">
        <v>42.5</v>
      </c>
      <c r="V422" s="80" t="n">
        <v>96</v>
      </c>
      <c r="W422" s="75" t="n">
        <v>10</v>
      </c>
      <c r="X422" s="71" t="inlineStr">
        <is>
          <t>NO</t>
        </is>
      </c>
      <c r="Y422" s="76" t="n">
        <v>634.21</v>
      </c>
      <c r="Z422" s="76" t="n">
        <v>21140220</v>
      </c>
      <c r="AA422" s="75" t="n"/>
      <c r="AB422" s="71" t="inlineStr">
        <is>
          <t>Glencore International AG; Stoneylake Global Alpha Fund; Zhengxin Group Investment Limited; China Asset Management (Hong Kong) Limited; New Asia Ferrell Asset Management Limited; Bridge Zone Group Limited</t>
        </is>
      </c>
      <c r="AC422" s="71" t="inlineStr">
        <is>
          <t>glencore;stoneylake;zhengxin;china-asset;new-ferrell;bridge</t>
        </is>
      </c>
      <c r="AD422" s="75" t="n">
        <v>15</v>
      </c>
      <c r="AE422" s="71" t="n"/>
      <c r="AF422" s="71" t="inlineStr">
        <is>
          <t>2026-02-05</t>
        </is>
      </c>
      <c r="AG422" s="71" t="inlineStr">
        <is>
          <t>Huatai Financial Holdings</t>
        </is>
      </c>
      <c r="AH422" s="71" t="inlineStr">
        <is>
          <t>Huatai</t>
        </is>
      </c>
      <c r="AI422" s="81" t="n">
        <v>29</v>
      </c>
      <c r="AJ422" s="82" t="n">
        <v>26</v>
      </c>
      <c r="AK422" s="82" t="n">
        <v>26.67</v>
      </c>
      <c r="AL422" s="82" t="n">
        <v>-0.53</v>
      </c>
      <c r="AM422" s="83" t="n">
        <v>3.51</v>
      </c>
      <c r="AN422" s="75" t="n">
        <v>7.95</v>
      </c>
      <c r="AO422" s="82" t="n">
        <v>31.27</v>
      </c>
      <c r="AP422" s="82" t="n">
        <v>25.53</v>
      </c>
      <c r="AQ422" s="82" t="n">
        <v>-12.67</v>
      </c>
      <c r="AR422" s="82" t="n">
        <v>4.18</v>
      </c>
      <c r="AS422" s="82" t="n">
        <v>-0.37</v>
      </c>
      <c r="AT422" s="82" t="n">
        <v>-30.69</v>
      </c>
      <c r="AU422" s="82" t="n">
        <v>28.08</v>
      </c>
      <c r="AV422" s="82" t="n">
        <v>24.65</v>
      </c>
      <c r="AW422" s="82" t="n">
        <v>-9.619999999999999</v>
      </c>
      <c r="AX422" s="82" t="n">
        <v>-0.86</v>
      </c>
      <c r="AY422" s="82" t="n">
        <v>0.88</v>
      </c>
      <c r="AZ422" s="82" t="n">
        <v>0.49</v>
      </c>
      <c r="BA422" s="71" t="inlineStr">
        <is>
          <t>Hang Seng Commerce &amp; Industry sub-index</t>
        </is>
      </c>
      <c r="BB422" s="82" t="n">
        <v>-43.47</v>
      </c>
      <c r="BC422" s="72" t="inlineStr">
        <is>
          <t>2026-09-23</t>
        </is>
      </c>
      <c r="BD422" s="73" t="n">
        <v>2498.2</v>
      </c>
      <c r="BE422" s="76" t="n">
        <v>361.7</v>
      </c>
      <c r="BF422" s="71" t="inlineStr">
        <is>
          <t>Y</t>
        </is>
      </c>
      <c r="BG422" s="83" t="n">
        <v>11.4</v>
      </c>
      <c r="BH422" s="83" t="n">
        <v>11.4</v>
      </c>
      <c r="BI422" s="83" t="n">
        <v>5</v>
      </c>
      <c r="BJ422" s="83" t="n"/>
      <c r="BK422" s="84">
        <f>IF('BBG Verify'!S422="","not filed; run on terminal",'BBG Verify'!S422)</f>
        <v/>
      </c>
      <c r="BL422" s="85" t="inlineStr">
        <is>
          <t>N</t>
        </is>
      </c>
      <c r="BM422" s="86">
        <f>IF('BBG Verify'!K422="","not filed; run on terminal",'BBG Verify'!K422)</f>
        <v/>
      </c>
      <c r="BN422" s="71" t="inlineStr">
        <is>
          <t>N/A</t>
        </is>
      </c>
      <c r="BO422" s="71" t="inlineStr">
        <is>
          <t>N/A</t>
        </is>
      </c>
      <c r="BP422" s="71" t="inlineStr">
        <is>
          <t>N/A</t>
        </is>
      </c>
      <c r="BQ422" s="71" t="inlineStr">
        <is>
          <t>N/A</t>
        </is>
      </c>
      <c r="BR422" s="71" t="inlineStr">
        <is>
          <t>N/A</t>
        </is>
      </c>
      <c r="BS422" s="71" t="inlineStr">
        <is>
          <t>N/A</t>
        </is>
      </c>
      <c r="BT422" s="85" t="n"/>
      <c r="BU422" s="71" t="inlineStr">
        <is>
          <t>Huatai Financial Holdings (Hong Kong) Limited</t>
        </is>
      </c>
      <c r="BV422" s="71" t="inlineStr">
        <is>
          <t>ABCI Securities Company Limited; BOCI Asia Limited; CLSA Limited; Futu Securities International (Hong Kong) Limited; Huatai Financial Holdings (Hong Kong) Limited; Tiger Brokers (HK) Global Limited</t>
        </is>
      </c>
      <c r="BW422" s="71" t="inlineStr">
        <is>
          <t>ABCI Securities Company Limited; BOCI Asia Limited; CLSA Limited; Futu Securities International (Hong Kong) Limited; Huatai Financial Holdings (Hong Kong) Limited; Tiger Brokers (HK) Global Limited; TFI Securities and Futures Limited; UOB Kay Hian (Hong Kong) Limited</t>
        </is>
      </c>
      <c r="BX422" s="71" t="n"/>
      <c r="BY422" s="87">
        <f>HYPERLINK("https://www1.hkexnews.hk/listedco/listconews/sehk/2026/0108/2026010801368.pdf","allotment")</f>
        <v/>
      </c>
      <c r="BZ422" s="71" t="n"/>
      <c r="CA422" s="85" t="n"/>
      <c r="CB422" s="71"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eff free float: % of cap not computable: market cap not derivable</t>
        </is>
      </c>
    </row>
    <row r="423" ht="15" customHeight="1">
      <c r="A423" s="70" t="inlineStr">
        <is>
          <t>0501</t>
        </is>
      </c>
      <c r="B423" s="71" t="inlineStr">
        <is>
          <t>OMNIVISION</t>
        </is>
      </c>
      <c r="C423" s="71" t="inlineStr">
        <is>
          <t>豪威集團</t>
        </is>
      </c>
      <c r="D423" s="71" t="inlineStr">
        <is>
          <t>Tech/AI</t>
        </is>
      </c>
      <c r="E423" s="71" t="inlineStr">
        <is>
          <t>AI chips &amp; semis</t>
        </is>
      </c>
      <c r="F423" s="71" t="inlineStr">
        <is>
          <t>Semiconductors &amp; Semiconductor Equipment</t>
        </is>
      </c>
      <c r="G423" s="71" t="inlineStr">
        <is>
          <t>Standard</t>
        </is>
      </c>
      <c r="H423" s="72" t="n">
        <v>46034</v>
      </c>
      <c r="I423" s="73" t="n">
        <v>4799.8</v>
      </c>
      <c r="J423" s="71" t="inlineStr">
        <is>
          <t>gross (stated)</t>
        </is>
      </c>
      <c r="K423" s="74" t="n"/>
      <c r="L423" s="74" t="n">
        <v>104.8</v>
      </c>
      <c r="M423" s="74" t="n">
        <v>104.8</v>
      </c>
      <c r="N423" s="71" t="inlineStr">
        <is>
          <t>Y</t>
        </is>
      </c>
      <c r="O423" s="75" t="n">
        <v>100</v>
      </c>
      <c r="P423" s="75" t="n"/>
      <c r="Q423" s="76" t="n">
        <v>131817.3</v>
      </c>
      <c r="R423" s="71" t="inlineStr">
        <is>
          <t>derived:A-line total share capital x H offer price</t>
        </is>
      </c>
      <c r="S423" s="77" t="n">
        <v>9.279999999999999</v>
      </c>
      <c r="T423" s="78" t="n">
        <v>9.73</v>
      </c>
      <c r="U423" s="79" t="n">
        <v>45.3</v>
      </c>
      <c r="V423" s="80" t="n">
        <v>127</v>
      </c>
      <c r="W423" s="75" t="n"/>
      <c r="X423" s="71" t="inlineStr">
        <is>
          <t>NA</t>
        </is>
      </c>
      <c r="Y423" s="76" t="n">
        <v>2625.49</v>
      </c>
      <c r="Z423" s="76" t="n">
        <v>25052600</v>
      </c>
      <c r="AA423" s="75" t="n">
        <v>1.99</v>
      </c>
      <c r="AB423" s="71" t="inlineStr">
        <is>
          <t>Boyu Capital; UBS Asset Management; UG Investment; Huaqin (HK); OPPO (Tiantian Trading); Dajia Life Insurance Co., Ltd; China Post Wealth Management; Ghisallo</t>
        </is>
      </c>
      <c r="AC423" s="71" t="inlineStr">
        <is>
          <t>boyu;ubs;ug;huaqin;oppo;dajia;post;ghisallo</t>
        </is>
      </c>
      <c r="AD423" s="75" t="n"/>
      <c r="AE423" s="71" t="n"/>
      <c r="AF423" s="71" t="inlineStr">
        <is>
          <t>2026-02-06</t>
        </is>
      </c>
      <c r="AG423" s="71" t="inlineStr">
        <is>
          <t>China International Capital Corporation Hong Kong Securities Limited</t>
        </is>
      </c>
      <c r="AH423" s="71" t="inlineStr">
        <is>
          <t>China International</t>
        </is>
      </c>
      <c r="AI423" s="81" t="n">
        <v>-0.3</v>
      </c>
      <c r="AJ423" s="82" t="n">
        <v>16.22</v>
      </c>
      <c r="AK423" s="82" t="n">
        <v>3.05</v>
      </c>
      <c r="AL423" s="82" t="n">
        <v>12.78</v>
      </c>
      <c r="AM423" s="83" t="n"/>
      <c r="AN423" s="75" t="n">
        <v>12.78</v>
      </c>
      <c r="AO423" s="82" t="n">
        <v>11.16</v>
      </c>
      <c r="AP423" s="82" t="n">
        <v>-0.1</v>
      </c>
      <c r="AQ423" s="82" t="n">
        <v>-25.05</v>
      </c>
      <c r="AR423" s="82" t="n">
        <v>-4.35</v>
      </c>
      <c r="AS423" s="82" t="n">
        <v>-14.04</v>
      </c>
      <c r="AT423" s="82" t="n">
        <v>-35.51</v>
      </c>
      <c r="AU423" s="82" t="n">
        <v>9.99</v>
      </c>
      <c r="AV423" s="82" t="n">
        <v>4.21</v>
      </c>
      <c r="AW423" s="82" t="n">
        <v>-13.75</v>
      </c>
      <c r="AX423" s="82" t="n">
        <v>-6.82</v>
      </c>
      <c r="AY423" s="82" t="n">
        <v>-4.31</v>
      </c>
      <c r="AZ423" s="82" t="n">
        <v>-7.22</v>
      </c>
      <c r="BA423" s="71" t="inlineStr">
        <is>
          <t>HSTECH (Hang Seng TECH ETF)</t>
        </is>
      </c>
      <c r="BB423" s="82" t="n">
        <v>-30.63</v>
      </c>
      <c r="BC423" s="72" t="inlineStr">
        <is>
          <t>2026-09-23</t>
        </is>
      </c>
      <c r="BD423" s="73" t="n">
        <v>31740.3</v>
      </c>
      <c r="BE423" s="76" t="n">
        <v>4450</v>
      </c>
      <c r="BF423" s="71" t="inlineStr">
        <is>
          <t>Y</t>
        </is>
      </c>
      <c r="BG423" s="83" t="n">
        <v>29.6</v>
      </c>
      <c r="BH423" s="83" t="n"/>
      <c r="BI423" s="83" t="n"/>
      <c r="BJ423" s="83" t="n">
        <v>4.2</v>
      </c>
      <c r="BK423" s="84">
        <f>IF('BBG Verify'!S423="","not filed; run on terminal",'BBG Verify'!S423)</f>
        <v/>
      </c>
      <c r="BL423" s="85" t="inlineStr">
        <is>
          <t>Y</t>
        </is>
      </c>
      <c r="BM423" s="71" t="inlineStr">
        <is>
          <t>603501.SS</t>
        </is>
      </c>
      <c r="BN423" s="82" t="n">
        <v>40</v>
      </c>
      <c r="BO423" s="74" t="n">
        <v>146.7186</v>
      </c>
      <c r="BP423" s="89" t="n">
        <v>0.3151</v>
      </c>
      <c r="BQ423" s="76" t="n">
        <v>119105.7</v>
      </c>
      <c r="BR423" s="84">
        <f>IF('BBG Verify'!Q423="","run on terminal",'BBG Verify'!Q423)</f>
        <v/>
      </c>
      <c r="BS423" s="84">
        <f>IF('BBG Verify'!R423="","run on terminal",'BBG Verify'!R423)</f>
        <v/>
      </c>
      <c r="BT423" s="85" t="inlineStr">
        <is>
          <t>CICC; Ping An of China Capital (Hong Kong); GF Capital (Hong Kong)</t>
        </is>
      </c>
      <c r="BU423" s="71" t="inlineStr">
        <is>
          <t>China International Capital Corporation Hong Kong Securities Limited; UBS Securities Hong Kong Limited; GF Capital (Hong Kong) Limited; Ping An of China Capital (Hong Kong) Company Limited</t>
        </is>
      </c>
      <c r="BV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W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X423" s="71" t="n"/>
      <c r="BY423" s="87">
        <f>HYPERLINK("https://www1.hkexnews.hk/listedco/listconews/sehk/2026/0109/2026010901581.pdf","allotment")</f>
        <v/>
      </c>
      <c r="BZ423" s="71" t="n"/>
      <c r="CA423" s="85" t="n"/>
      <c r="CB423" s="71"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24" ht="15" customHeight="1">
      <c r="A424" s="70" t="inlineStr">
        <is>
          <t>1641</t>
        </is>
      </c>
      <c r="B424" s="71" t="inlineStr">
        <is>
          <t>HX COLDCHAIN</t>
        </is>
      </c>
      <c r="C424" s="71" t="inlineStr">
        <is>
          <t>紅星冷鏈</t>
        </is>
      </c>
      <c r="D424" s="71" t="inlineStr">
        <is>
          <t>Industrials</t>
        </is>
      </c>
      <c r="E424" s="71" t="inlineStr">
        <is>
          <t>Logistics</t>
        </is>
      </c>
      <c r="F424" s="71" t="inlineStr">
        <is>
          <t>Packaged Foods</t>
        </is>
      </c>
      <c r="G424" s="71" t="inlineStr">
        <is>
          <t>Standard</t>
        </is>
      </c>
      <c r="H424" s="72" t="n">
        <v>46035</v>
      </c>
      <c r="I424" s="73" t="n">
        <v>285.2</v>
      </c>
      <c r="J424" s="71" t="inlineStr">
        <is>
          <t>gross (stated)</t>
        </is>
      </c>
      <c r="K424" s="74" t="n"/>
      <c r="L424" s="74" t="n">
        <v>12.26</v>
      </c>
      <c r="M424" s="74" t="n">
        <v>12.26</v>
      </c>
      <c r="N424" s="71" t="inlineStr">
        <is>
          <t>Y</t>
        </is>
      </c>
      <c r="O424" s="75" t="n">
        <v>100</v>
      </c>
      <c r="P424" s="75" t="n"/>
      <c r="Q424" s="76" t="n">
        <v>1204.7</v>
      </c>
      <c r="R424" s="71" t="inlineStr">
        <is>
          <t>derived:price x shares upon listing</t>
        </is>
      </c>
      <c r="S424" s="77" t="n">
        <v>2309.25</v>
      </c>
      <c r="T424" s="78" t="n">
        <v>1.65</v>
      </c>
      <c r="U424" s="79" t="n">
        <v>7.66</v>
      </c>
      <c r="V424" s="80" t="n">
        <v>106</v>
      </c>
      <c r="W424" s="75" t="n">
        <v>10</v>
      </c>
      <c r="X424" s="71" t="inlineStr">
        <is>
          <t>NO</t>
        </is>
      </c>
      <c r="Y424" s="76" t="n">
        <v>263.35</v>
      </c>
      <c r="Z424" s="76" t="n">
        <v>21481054</v>
      </c>
      <c r="AA424" s="75" t="n">
        <v>21.86</v>
      </c>
      <c r="AB424" s="71" t="inlineStr">
        <is>
          <t>FUHUIDA HK; Huang Fusheng (黃福生); Cheng Yan (成燕); Luo Tiexing (羅鐵興); Li Changxiao (李昌孝); Kong Yu (孔昱); Zou Songqiu (鄒松球); Li Zhenbin (李振斌); Li Zhenwu (李振武); Li Dengyun (李登雲); Zhang Ying (張穎)</t>
        </is>
      </c>
      <c r="AC424" s="71" t="inlineStr">
        <is>
          <t>fuhuida;huang-fusheng;cheng-yan;luo-tiexing;li-changxiao;yu;zou;li-zhenbin;li-zhenwu;li-dengyun;zhang-ying</t>
        </is>
      </c>
      <c r="AD424" s="75" t="n">
        <v>15</v>
      </c>
      <c r="AE424" s="71" t="n"/>
      <c r="AF424" s="71" t="n"/>
      <c r="AG424" s="71" t="n"/>
      <c r="AH424" s="71" t="n"/>
      <c r="AI424" s="81" t="n">
        <v>47.39</v>
      </c>
      <c r="AJ424" s="82" t="n">
        <v>0.33</v>
      </c>
      <c r="AK424" s="82" t="n">
        <v>59.71</v>
      </c>
      <c r="AL424" s="82" t="n">
        <v>-37.18</v>
      </c>
      <c r="AM424" s="83" t="n">
        <v>5.96</v>
      </c>
      <c r="AN424" s="75" t="n">
        <v>39.33</v>
      </c>
      <c r="AO424" s="82" t="n">
        <v>-18.76</v>
      </c>
      <c r="AP424" s="82" t="n">
        <v>-30.51</v>
      </c>
      <c r="AQ424" s="82" t="n">
        <v>-42.09</v>
      </c>
      <c r="AR424" s="82" t="n">
        <v>-19.03</v>
      </c>
      <c r="AS424" s="82" t="n">
        <v>-30.74</v>
      </c>
      <c r="AT424" s="82" t="n">
        <v>-42.28</v>
      </c>
      <c r="AU424" s="82" t="n">
        <v>-17.31</v>
      </c>
      <c r="AV424" s="82" t="n">
        <v>-30.22</v>
      </c>
      <c r="AW424" s="82" t="n">
        <v>-36.03</v>
      </c>
      <c r="AX424" s="82" t="n">
        <v>-29.76</v>
      </c>
      <c r="AY424" s="82" t="n">
        <v>-0.29</v>
      </c>
      <c r="AZ424" s="82" t="n">
        <v>-0.98</v>
      </c>
      <c r="BA424" s="71" t="inlineStr">
        <is>
          <t>Hang Seng Commerce &amp; Industry sub-index</t>
        </is>
      </c>
      <c r="BB424" s="82" t="n">
        <v>-71.90000000000001</v>
      </c>
      <c r="BC424" s="72" t="inlineStr">
        <is>
          <t>2026-09-23</t>
        </is>
      </c>
      <c r="BD424" s="73" t="n">
        <v>256.9</v>
      </c>
      <c r="BE424" s="76" t="n">
        <v>91.2</v>
      </c>
      <c r="BF424" s="71" t="inlineStr">
        <is>
          <t>Y</t>
        </is>
      </c>
      <c r="BG424" s="83" t="n">
        <v>13.2</v>
      </c>
      <c r="BH424" s="83" t="n">
        <v>10.8</v>
      </c>
      <c r="BI424" s="83" t="n">
        <v>3.5</v>
      </c>
      <c r="BJ424" s="83" t="n">
        <v>4.7</v>
      </c>
      <c r="BK424" s="84">
        <f>IF('BBG Verify'!S424="","not filed; run on terminal",'BBG Verify'!S424)</f>
        <v/>
      </c>
      <c r="BL424" s="85" t="inlineStr">
        <is>
          <t>N</t>
        </is>
      </c>
      <c r="BM424" s="86">
        <f>IF('BBG Verify'!K424="","not filed; run on terminal",'BBG Verify'!K424)</f>
        <v/>
      </c>
      <c r="BN424" s="71" t="inlineStr">
        <is>
          <t>N/A</t>
        </is>
      </c>
      <c r="BO424" s="71" t="inlineStr">
        <is>
          <t>N/A</t>
        </is>
      </c>
      <c r="BP424" s="71" t="inlineStr">
        <is>
          <t>N/A</t>
        </is>
      </c>
      <c r="BQ424" s="71" t="inlineStr">
        <is>
          <t>N/A</t>
        </is>
      </c>
      <c r="BR424" s="71" t="inlineStr">
        <is>
          <t>N/A</t>
        </is>
      </c>
      <c r="BS424" s="71" t="inlineStr">
        <is>
          <t>N/A</t>
        </is>
      </c>
      <c r="BT424" s="85" t="inlineStr">
        <is>
          <t>CCB International Capital Limited; ABCI Capital Limited</t>
        </is>
      </c>
      <c r="BU424" s="71" t="inlineStr">
        <is>
          <t>CCB International Capital Limited; ABCI Capital Limited</t>
        </is>
      </c>
      <c r="BV424" s="71"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W424" s="71"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X424" s="87">
        <f>HYPERLINK("https://www1.hkexnews.hk/listedco/listconews/sehk/2025/1231/2025123100085.pdf","prospectus")</f>
        <v/>
      </c>
      <c r="BY424" s="87">
        <f>HYPERLINK("https://www1.hkexnews.hk/listedco/listconews/sehk/2026/0112/2026011201301.pdf","allotment")</f>
        <v/>
      </c>
      <c r="BZ424" s="71" t="n"/>
      <c r="CA424" s="85" t="n"/>
      <c r="CB424" s="71"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70" t="inlineStr">
        <is>
          <t>3986</t>
        </is>
      </c>
      <c r="B425" s="71" t="inlineStr">
        <is>
          <t>GIGADEVICE</t>
        </is>
      </c>
      <c r="C425" s="71" t="inlineStr">
        <is>
          <t>兆易創新</t>
        </is>
      </c>
      <c r="D425" s="71" t="inlineStr">
        <is>
          <t>Tech/AI</t>
        </is>
      </c>
      <c r="E425" s="71" t="inlineStr">
        <is>
          <t>AI chips &amp; semis</t>
        </is>
      </c>
      <c r="F425" s="71" t="inlineStr">
        <is>
          <t>Semiconductors &amp; Semiconductor Equipment</t>
        </is>
      </c>
      <c r="G425" s="71" t="inlineStr">
        <is>
          <t>Standard</t>
        </is>
      </c>
      <c r="H425" s="72" t="n">
        <v>46035</v>
      </c>
      <c r="I425" s="73" t="n">
        <v>4684.4</v>
      </c>
      <c r="J425" s="71" t="inlineStr">
        <is>
          <t>gross (stated)</t>
        </is>
      </c>
      <c r="K425" s="74" t="n"/>
      <c r="L425" s="74" t="n">
        <v>162</v>
      </c>
      <c r="M425" s="74" t="n">
        <v>162</v>
      </c>
      <c r="N425" s="71" t="inlineStr">
        <is>
          <t>Y</t>
        </is>
      </c>
      <c r="O425" s="75" t="n">
        <v>100</v>
      </c>
      <c r="P425" s="75" t="n"/>
      <c r="Q425" s="76" t="n">
        <v>113578.6</v>
      </c>
      <c r="R425" s="71" t="inlineStr">
        <is>
          <t>aastocks:上市市值 at the struck price</t>
        </is>
      </c>
      <c r="S425" s="77" t="n">
        <v>542.22</v>
      </c>
      <c r="T425" s="78" t="n">
        <v>18.52</v>
      </c>
      <c r="U425" s="79" t="n">
        <v>49.8</v>
      </c>
      <c r="V425" s="80" t="n">
        <v>177</v>
      </c>
      <c r="W425" s="75" t="n">
        <v>10</v>
      </c>
      <c r="X425" s="71" t="inlineStr">
        <is>
          <t>NA</t>
        </is>
      </c>
      <c r="Y425" s="76" t="n">
        <v>2351.57</v>
      </c>
      <c r="Z425" s="76" t="n">
        <v>14515732</v>
      </c>
      <c r="AA425" s="75" t="n">
        <v>2.07</v>
      </c>
      <c r="AB425" s="71" t="inlineStr">
        <is>
          <t>Yunfeng Capital; Xiaomi; TCL Industries; Huaqin Technology; China Pinnacle Equity Management Limited; Greenwoods (Jinglin)</t>
        </is>
      </c>
      <c r="AC425" s="71" t="inlineStr">
        <is>
          <t>yunfeng;xiaomi;tcl;huaqin;pinnacle;greenwoods</t>
        </is>
      </c>
      <c r="AD425" s="75" t="n">
        <v>15</v>
      </c>
      <c r="AE425" s="71" t="inlineStr">
        <is>
          <t>full</t>
        </is>
      </c>
      <c r="AF425" s="71" t="inlineStr">
        <is>
          <t>2026-02-07</t>
        </is>
      </c>
      <c r="AG425" s="71" t="inlineStr">
        <is>
          <t>Huatai Financial Holdings</t>
        </is>
      </c>
      <c r="AH425" s="71" t="inlineStr">
        <is>
          <t>Huatai</t>
        </is>
      </c>
      <c r="AI425" s="81" t="n">
        <v>40</v>
      </c>
      <c r="AJ425" s="82" t="n">
        <v>37.53</v>
      </c>
      <c r="AK425" s="82" t="n">
        <v>45.06</v>
      </c>
      <c r="AL425" s="82" t="n">
        <v>-5.19</v>
      </c>
      <c r="AM425" s="83" t="n">
        <v>3.61</v>
      </c>
      <c r="AN425" s="75" t="n">
        <v>12.26</v>
      </c>
      <c r="AO425" s="82" t="n">
        <v>88.89</v>
      </c>
      <c r="AP425" s="82" t="n">
        <v>82.72</v>
      </c>
      <c r="AQ425" s="82" t="n">
        <v>161.11</v>
      </c>
      <c r="AR425" s="82" t="n">
        <v>37.34</v>
      </c>
      <c r="AS425" s="82" t="n">
        <v>32.86</v>
      </c>
      <c r="AT425" s="82" t="n">
        <v>89.86</v>
      </c>
      <c r="AU425" s="82" t="n">
        <v>91.94</v>
      </c>
      <c r="AV425" s="82" t="n">
        <v>88.98999999999999</v>
      </c>
      <c r="AW425" s="82" t="n">
        <v>174.87</v>
      </c>
      <c r="AX425" s="82" t="n">
        <v>39.13</v>
      </c>
      <c r="AY425" s="82" t="n">
        <v>-6.27</v>
      </c>
      <c r="AZ425" s="82" t="n">
        <v>-6.27</v>
      </c>
      <c r="BA425" s="71" t="inlineStr">
        <is>
          <t>HSTECH (Hang Seng TECH ETF)</t>
        </is>
      </c>
      <c r="BB425" s="82" t="n">
        <v>218.52</v>
      </c>
      <c r="BC425" s="72" t="inlineStr">
        <is>
          <t>2026-09-23</t>
        </is>
      </c>
      <c r="BD425" s="73" t="n">
        <v>8091.6</v>
      </c>
      <c r="BE425" s="76" t="n">
        <v>1211</v>
      </c>
      <c r="BF425" s="71" t="inlineStr">
        <is>
          <t>Y</t>
        </is>
      </c>
      <c r="BG425" s="83" t="n">
        <v>93.8</v>
      </c>
      <c r="BH425" s="83" t="n">
        <v>80.3</v>
      </c>
      <c r="BI425" s="83" t="n">
        <v>191.8</v>
      </c>
      <c r="BJ425" s="83" t="n">
        <v>14</v>
      </c>
      <c r="BK425" s="84">
        <f>IF('BBG Verify'!S425="","not filed; run on terminal",'BBG Verify'!S425)</f>
        <v/>
      </c>
      <c r="BL425" s="85" t="inlineStr">
        <is>
          <t>Y</t>
        </is>
      </c>
      <c r="BM425" s="71" t="inlineStr">
        <is>
          <t>603986.SS</t>
        </is>
      </c>
      <c r="BN425" s="82" t="n">
        <v>80.54000000000001</v>
      </c>
      <c r="BO425" s="74" t="n">
        <v>292.4683</v>
      </c>
      <c r="BP425" s="89" t="n">
        <v>-0.1064</v>
      </c>
      <c r="BQ425" s="76" t="n">
        <v>323261.7</v>
      </c>
      <c r="BR425" s="84">
        <f>IF('BBG Verify'!Q425="","run on terminal",'BBG Verify'!Q425)</f>
        <v/>
      </c>
      <c r="BS425" s="84">
        <f>IF('BBG Verify'!R425="","run on terminal",'BBG Verify'!R425)</f>
        <v/>
      </c>
      <c r="BT425" s="85" t="inlineStr">
        <is>
          <t>China International Capital Corporation Hong Kong Securities Limited; Huatai Financial Holdings (Hong Kong) Limited</t>
        </is>
      </c>
      <c r="BU425" s="71" t="inlineStr">
        <is>
          <t>China International Capital Corporation Hong Kong Securities Limited; Huatai Financial Holdings (Hong Kong) Limited</t>
        </is>
      </c>
      <c r="BV425" s="71" t="inlineStr">
        <is>
          <t>China International Capital Corporation Hong Kong Securities Limited; Huatai Financial Holdings (Hong Kong) Limited</t>
        </is>
      </c>
      <c r="BW425" s="71" t="inlineStr">
        <is>
          <t>China International Capital Corporation Hong Kong Securities Limited; Huatai Financial Holdings (Hong Kong) Limited</t>
        </is>
      </c>
      <c r="BX425" s="87">
        <f>HYPERLINK("https://www1.hkexnews.hk/listedco/listconews/sehk/2025/1231/2025123100035.pdf","prospectus")</f>
        <v/>
      </c>
      <c r="BY425" s="87">
        <f>HYPERLINK("https://www1.hkexnews.hk/listedco/listconews/sehk/2026/0112/2026011201539.pdf","allotment")</f>
        <v/>
      </c>
      <c r="BZ425" s="87">
        <f>HYPERLINK("https://www1.hkexnews.hk/listedco/listconews/sehk/2026/0208/2026020800007.pdf","stabilisation")</f>
        <v/>
      </c>
      <c r="CA425" s="85" t="n"/>
      <c r="CB425" s="71" t="inlineStr">
        <is>
          <t>range low: maximum offer price only, no floor published; A/H: Jan 2026, ~US$600m at top of range; closed +37.5% on debut; market cap: published listing cap used; the estimate from stated market capitalisation disagreed</t>
        </is>
      </c>
    </row>
    <row r="426" ht="15" customHeight="1">
      <c r="A426" s="70" t="inlineStr">
        <is>
          <t>9611</t>
        </is>
      </c>
      <c r="B426" s="71" t="inlineStr">
        <is>
          <t>LONGCHEER</t>
        </is>
      </c>
      <c r="C426" s="71" t="inlineStr">
        <is>
          <t>龍旗科技</t>
        </is>
      </c>
      <c r="D426" s="71" t="inlineStr">
        <is>
          <t>Tech/AI</t>
        </is>
      </c>
      <c r="E426" s="71" t="inlineStr">
        <is>
          <t>Smart hardware / consumer electronics</t>
        </is>
      </c>
      <c r="F426" s="71" t="inlineStr">
        <is>
          <t>Smartphone</t>
        </is>
      </c>
      <c r="G426" s="71" t="inlineStr">
        <is>
          <t>Standard</t>
        </is>
      </c>
      <c r="H426" s="72" t="n">
        <v>46044</v>
      </c>
      <c r="I426" s="73" t="n">
        <v>1620</v>
      </c>
      <c r="J426" s="71" t="inlineStr">
        <is>
          <t>gross (stated)</t>
        </is>
      </c>
      <c r="K426" s="74" t="n"/>
      <c r="L426" s="74" t="n">
        <v>31</v>
      </c>
      <c r="M426" s="74" t="n">
        <v>31</v>
      </c>
      <c r="N426" s="71" t="inlineStr">
        <is>
          <t>Y</t>
        </is>
      </c>
      <c r="O426" s="75" t="n">
        <v>100</v>
      </c>
      <c r="P426" s="75" t="n"/>
      <c r="Q426" s="76" t="n">
        <v>16200.3</v>
      </c>
      <c r="R426" s="71" t="inlineStr">
        <is>
          <t>derived:price x shares upon listing</t>
        </is>
      </c>
      <c r="S426" s="77" t="n">
        <v>1149.76</v>
      </c>
      <c r="T426" s="78" t="n">
        <v>9.02</v>
      </c>
      <c r="U426" s="79" t="n">
        <v>27.17</v>
      </c>
      <c r="V426" s="80" t="n">
        <v>172</v>
      </c>
      <c r="W426" s="75" t="n">
        <v>10</v>
      </c>
      <c r="X426" s="71" t="inlineStr">
        <is>
          <t>NO</t>
        </is>
      </c>
      <c r="Y426" s="76" t="n">
        <v>1179.85</v>
      </c>
      <c r="Z426" s="76" t="n">
        <v>38060303</v>
      </c>
      <c r="AA426" s="75" t="n">
        <v>7.28</v>
      </c>
      <c r="AB426" s="71"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AC426" s="71" t="inlineStr">
        <is>
          <t>guokong;endless;qualcomm;yuto;fullgoal;huatai;agricultural;gf;fund-management;galaxy;guotai</t>
        </is>
      </c>
      <c r="AD426" s="75" t="n">
        <v>15</v>
      </c>
      <c r="AE426" s="71" t="inlineStr">
        <is>
          <t>lapsed</t>
        </is>
      </c>
      <c r="AF426" s="71" t="inlineStr">
        <is>
          <t>2026-02-18</t>
        </is>
      </c>
      <c r="AG426" s="71" t="inlineStr">
        <is>
          <t>Citigroup Global Markets Asia Limited</t>
        </is>
      </c>
      <c r="AH426" s="71" t="inlineStr">
        <is>
          <t>Citigroup</t>
        </is>
      </c>
      <c r="AI426" s="81" t="n">
        <v>16.839</v>
      </c>
      <c r="AJ426" s="82" t="n">
        <v>3.55</v>
      </c>
      <c r="AK426" s="82" t="n">
        <v>12.9</v>
      </c>
      <c r="AL426" s="82" t="n">
        <v>-8.279999999999999</v>
      </c>
      <c r="AM426" s="83" t="n">
        <v>4.71</v>
      </c>
      <c r="AN426" s="75" t="n">
        <v>16.11</v>
      </c>
      <c r="AO426" s="82" t="n">
        <v>-1.61</v>
      </c>
      <c r="AP426" s="82" t="n">
        <v>-3.68</v>
      </c>
      <c r="AQ426" s="82" t="n">
        <v>-29.1</v>
      </c>
      <c r="AR426" s="82" t="n">
        <v>-4.98</v>
      </c>
      <c r="AS426" s="82" t="n">
        <v>-6.98</v>
      </c>
      <c r="AT426" s="82" t="n">
        <v>-31.53</v>
      </c>
      <c r="AU426" s="82" t="n">
        <v>-3.21</v>
      </c>
      <c r="AV426" s="82" t="n">
        <v>4.86</v>
      </c>
      <c r="AW426" s="82" t="n">
        <v>-14.69</v>
      </c>
      <c r="AX426" s="82" t="n">
        <v>1.89</v>
      </c>
      <c r="AY426" s="82" t="n">
        <v>-8.539999999999999</v>
      </c>
      <c r="AZ426" s="82" t="n">
        <v>-8.869999999999999</v>
      </c>
      <c r="BA426" s="71" t="inlineStr">
        <is>
          <t>HSTECH (Hang Seng TECH ETF)</t>
        </is>
      </c>
      <c r="BB426" s="82" t="n">
        <v>-30.77</v>
      </c>
      <c r="BC426" s="72" t="inlineStr">
        <is>
          <t>2026-09-23</t>
        </is>
      </c>
      <c r="BD426" s="73" t="n">
        <v>51020.7</v>
      </c>
      <c r="BE426" s="76" t="n">
        <v>542.7</v>
      </c>
      <c r="BF426" s="71" t="inlineStr">
        <is>
          <t>Y</t>
        </is>
      </c>
      <c r="BG426" s="83" t="n">
        <v>29.9</v>
      </c>
      <c r="BH426" s="83" t="n">
        <v>22.6</v>
      </c>
      <c r="BI426" s="83" t="n">
        <v>16.3</v>
      </c>
      <c r="BJ426" s="83" t="n">
        <v>0.3</v>
      </c>
      <c r="BK426" s="84">
        <f>IF('BBG Verify'!S426="","not filed; run on terminal",'BBG Verify'!S426)</f>
        <v/>
      </c>
      <c r="BL426" s="85" t="inlineStr">
        <is>
          <t>Y</t>
        </is>
      </c>
      <c r="BM426" s="71" t="inlineStr">
        <is>
          <t>603341.SS</t>
        </is>
      </c>
      <c r="BN426" s="82" t="n">
        <v>75.63</v>
      </c>
      <c r="BO426" s="74" t="n">
        <v>54.4441</v>
      </c>
      <c r="BP426" s="89" t="n">
        <v>1.0367</v>
      </c>
      <c r="BQ426" s="76" t="n">
        <v>22672.3</v>
      </c>
      <c r="BR426" s="84">
        <f>IF('BBG Verify'!Q426="","run on terminal",'BBG Verify'!Q426)</f>
        <v/>
      </c>
      <c r="BS426" s="84">
        <f>IF('BBG Verify'!R426="","run on terminal",'BBG Verify'!R426)</f>
        <v/>
      </c>
      <c r="BT426" s="85" t="inlineStr">
        <is>
          <t>Citigroup Global Markets Asia Limited; Haitong International Capital Limited; Guotai Junan Capital Limited</t>
        </is>
      </c>
      <c r="BU426" s="71" t="inlineStr">
        <is>
          <t>Haitong International Capital Limited; Guotai Junan Capital Limited; Citigroup Global Markets Asia Limited</t>
        </is>
      </c>
      <c r="BV426" s="71"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W426" s="71"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X426" s="87">
        <f>HYPERLINK("https://www1.hkexnews.hk/listedco/listconews/sehk/2026/0114/2026011400011.pdf","prospectus")</f>
        <v/>
      </c>
      <c r="BY426" s="87">
        <f>HYPERLINK("https://www1.hkexnews.hk/listedco/listconews/sehk/2026/0121/2026012101145.pdf","allotment")</f>
        <v/>
      </c>
      <c r="BZ426" s="87">
        <f>HYPERLINK("https://www1.hkexnews.hk/listedco/listconews/sehk/2026/0223/2026022300424.pdf","stabilisation")</f>
        <v/>
      </c>
      <c r="CA426" s="85" t="n"/>
      <c r="CB426" s="71" t="inlineStr">
        <is>
          <t>range low: maximum offer price only, no floor published; A/H: Jan 2026 H listing (smart-device ODM)</t>
        </is>
      </c>
    </row>
    <row r="427" ht="15" customHeight="1">
      <c r="A427" s="70" t="inlineStr">
        <is>
          <t>1768</t>
        </is>
      </c>
      <c r="B427" s="71" t="inlineStr">
        <is>
          <t>BUSYMING</t>
        </is>
      </c>
      <c r="C427" s="71" t="inlineStr">
        <is>
          <t>鳴鳴很忙</t>
        </is>
      </c>
      <c r="D427" s="71" t="inlineStr">
        <is>
          <t>Consumer</t>
        </is>
      </c>
      <c r="E427" s="71" t="inlineStr">
        <is>
          <t>Beverages / packaged food</t>
        </is>
      </c>
      <c r="F427" s="71" t="inlineStr">
        <is>
          <t>Packaged Foods</t>
        </is>
      </c>
      <c r="G427" s="71" t="inlineStr">
        <is>
          <t>Standard</t>
        </is>
      </c>
      <c r="H427" s="72" t="n">
        <v>46050</v>
      </c>
      <c r="I427" s="73" t="n">
        <v>3670</v>
      </c>
      <c r="J427" s="71" t="inlineStr">
        <is>
          <t>gross (stated)</t>
        </is>
      </c>
      <c r="K427" s="74" t="n"/>
      <c r="L427" s="74" t="n">
        <v>236.6</v>
      </c>
      <c r="M427" s="74" t="n">
        <v>236.6</v>
      </c>
      <c r="N427" s="71" t="inlineStr">
        <is>
          <t>Y</t>
        </is>
      </c>
      <c r="O427" s="75" t="n">
        <v>100</v>
      </c>
      <c r="P427" s="75" t="n"/>
      <c r="Q427" s="76" t="n">
        <v>50989.9</v>
      </c>
      <c r="R427" s="71" t="inlineStr">
        <is>
          <t>derived:price x shares upon listing</t>
        </is>
      </c>
      <c r="S427" s="77" t="n">
        <v>1899.49</v>
      </c>
      <c r="T427" s="78" t="n">
        <v>44.44</v>
      </c>
      <c r="U427" s="79" t="n">
        <v>45.6</v>
      </c>
      <c r="V427" s="80" t="n">
        <v>306</v>
      </c>
      <c r="W427" s="75" t="n">
        <v>9.1</v>
      </c>
      <c r="X427" s="71" t="inlineStr">
        <is>
          <t>NO</t>
        </is>
      </c>
      <c r="Y427" s="76" t="n">
        <v>1996.48</v>
      </c>
      <c r="Z427" s="76" t="n">
        <v>8438093</v>
      </c>
      <c r="AA427" s="75" t="n">
        <v>3.92</v>
      </c>
      <c r="AB427" s="71" t="inlineStr">
        <is>
          <t>Mr. Zhao; Changsha Xunmang; Changsha Jianmang; Changsha Lingmang; Changsha Zhongmang; Shanghai Bird Nest; Yichun Yikouniao; HongShan Hanchen; Gaorong LKZN; Discounter Seed; HongShan Yaheng; Shanghai Yihai; Xiamen Black Ant</t>
        </is>
      </c>
      <c r="AC427" s="71" t="inlineStr">
        <is>
          <t>mr-zhao;changsha;shanghai-bird;yichun;hongshan;gaorong;discounter;shanghai-yihai;xiamen</t>
        </is>
      </c>
      <c r="AD427" s="75" t="n">
        <v>15</v>
      </c>
      <c r="AE427" s="71" t="n"/>
      <c r="AF427" s="71" t="n"/>
      <c r="AG427" s="71" t="inlineStr">
        <is>
          <t>Goldman Sachs</t>
        </is>
      </c>
      <c r="AH427" s="71" t="inlineStr">
        <is>
          <t>Goldman Sachs</t>
        </is>
      </c>
      <c r="AI427" s="81" t="n">
        <v>72.443</v>
      </c>
      <c r="AJ427" s="82" t="n">
        <v>69.06</v>
      </c>
      <c r="AK427" s="82" t="n">
        <v>88.08</v>
      </c>
      <c r="AL427" s="82" t="n">
        <v>-10.11</v>
      </c>
      <c r="AM427" s="83" t="n">
        <v>5.59</v>
      </c>
      <c r="AN427" s="75" t="n">
        <v>10.29</v>
      </c>
      <c r="AO427" s="82" t="n">
        <v>68.81</v>
      </c>
      <c r="AP427" s="82" t="n">
        <v>65.17</v>
      </c>
      <c r="AQ427" s="82" t="n">
        <v>84.11</v>
      </c>
      <c r="AR427" s="82" t="n">
        <v>-0.15</v>
      </c>
      <c r="AS427" s="82" t="n">
        <v>-2.3</v>
      </c>
      <c r="AT427" s="82" t="n">
        <v>8.9</v>
      </c>
      <c r="AU427" s="82" t="n">
        <v>72.29000000000001</v>
      </c>
      <c r="AV427" s="82" t="n">
        <v>73.93000000000001</v>
      </c>
      <c r="AW427" s="82" t="n">
        <v>92.84999999999999</v>
      </c>
      <c r="AX427" s="82" t="n">
        <v>8.77</v>
      </c>
      <c r="AY427" s="82" t="n">
        <v>-8.76</v>
      </c>
      <c r="AZ427" s="82" t="n">
        <v>-11.07</v>
      </c>
      <c r="BA427" s="71" t="inlineStr">
        <is>
          <t>Hang Seng Commerce &amp; Industry sub-index</t>
        </is>
      </c>
      <c r="BB427" s="82" t="n">
        <v>53.68</v>
      </c>
      <c r="BC427" s="72" t="inlineStr">
        <is>
          <t>2026-09-23</t>
        </is>
      </c>
      <c r="BD427" s="73" t="n">
        <v>72787.39999999999</v>
      </c>
      <c r="BE427" s="76" t="n">
        <v>2562.1</v>
      </c>
      <c r="BF427" s="71" t="inlineStr">
        <is>
          <t>Y</t>
        </is>
      </c>
      <c r="BG427" s="83" t="n">
        <v>19.9</v>
      </c>
      <c r="BH427" s="83" t="n"/>
      <c r="BI427" s="83" t="n"/>
      <c r="BJ427" s="83" t="n">
        <v>0.7</v>
      </c>
      <c r="BK427" s="84">
        <f>IF('BBG Verify'!S427="","not filed; run on terminal",'BBG Verify'!S427)</f>
        <v/>
      </c>
      <c r="BL427" s="85" t="inlineStr">
        <is>
          <t>N</t>
        </is>
      </c>
      <c r="BM427" s="86">
        <f>IF('BBG Verify'!K427="","not filed; run on terminal",'BBG Verify'!K427)</f>
        <v/>
      </c>
      <c r="BN427" s="71" t="inlineStr">
        <is>
          <t>N/A</t>
        </is>
      </c>
      <c r="BO427" s="71" t="inlineStr">
        <is>
          <t>N/A</t>
        </is>
      </c>
      <c r="BP427" s="71" t="inlineStr">
        <is>
          <t>N/A</t>
        </is>
      </c>
      <c r="BQ427" s="71" t="inlineStr">
        <is>
          <t>N/A</t>
        </is>
      </c>
      <c r="BR427" s="71" t="inlineStr">
        <is>
          <t>N/A</t>
        </is>
      </c>
      <c r="BS427" s="71" t="inlineStr">
        <is>
          <t>N/A</t>
        </is>
      </c>
      <c r="BT427" s="85" t="inlineStr">
        <is>
          <t>Goldman Sachs; Huatai Financial Holdings (Hong Kong)</t>
        </is>
      </c>
      <c r="BU427" s="71" t="inlineStr">
        <is>
          <t>Goldman Sachs (Asia) L.L.C.; Huatai Financial Holdings (Hong Kong) Limited</t>
        </is>
      </c>
      <c r="BV427" s="71" t="inlineStr">
        <is>
          <t>Deutsche Bank AG; Hong Kong Branch; Futu Securities International (Hong Kong) Limited; Goldman Sachs (Asia) L.L.C.; Huatai Financial Holdings (Hong Kong) Limited; Haitong International Securities Company Limited</t>
        </is>
      </c>
      <c r="BW427" s="71" t="inlineStr">
        <is>
          <t>Deutsche Bank AG; Hong Kong Branch; Futu Securities International (Hong Kong) Limited; Goldman Sachs (Asia) L.L.C.; Huatai Financial Holdings (Hong Kong) Limited; Haitong International Securities Company Limited; SPDB International Capital Limited</t>
        </is>
      </c>
      <c r="BX427" s="71" t="n"/>
      <c r="BY427" s="87">
        <f>HYPERLINK("https://www1.hkexnews.hk/listedco/listconews/sehk/2026/0127/2026012701713.pdf","allotment")</f>
        <v/>
      </c>
      <c r="BZ427" s="71" t="n"/>
      <c r="CA427" s="85" t="n"/>
      <c r="CB427" s="71" t="inlineStr">
        <is>
          <t>greenshoe: end-of-stabilisation notice not found; price range: fixed-price offering (no indicative range); range low: maximum offer price only, no floor published; filing links: prospectus not on the HKEX per-stock search; allotment notice linked</t>
        </is>
      </c>
    </row>
    <row r="428" ht="15" customHeight="1">
      <c r="A428" s="70" t="inlineStr">
        <is>
          <t>9980</t>
        </is>
      </c>
      <c r="B428" s="71" t="inlineStr">
        <is>
          <t>EASTROC</t>
        </is>
      </c>
      <c r="C428" s="71" t="inlineStr">
        <is>
          <t>東鵬飲料</t>
        </is>
      </c>
      <c r="D428" s="71" t="inlineStr">
        <is>
          <t>Consumer</t>
        </is>
      </c>
      <c r="E428" s="71" t="inlineStr">
        <is>
          <t>Beverages / packaged food</t>
        </is>
      </c>
      <c r="F428" s="71" t="inlineStr">
        <is>
          <t>Beverages (Non-alcoholic)</t>
        </is>
      </c>
      <c r="G428" s="71" t="inlineStr">
        <is>
          <t>Standard</t>
        </is>
      </c>
      <c r="H428" s="72" t="n">
        <v>46056</v>
      </c>
      <c r="I428" s="73" t="n">
        <v>10140.7</v>
      </c>
      <c r="J428" s="71" t="inlineStr">
        <is>
          <t>gross (stated)</t>
        </is>
      </c>
      <c r="K428" s="74" t="n"/>
      <c r="L428" s="74" t="n">
        <v>248</v>
      </c>
      <c r="M428" s="74" t="n">
        <v>248</v>
      </c>
      <c r="N428" s="71" t="inlineStr">
        <is>
          <t>Y</t>
        </is>
      </c>
      <c r="O428" s="75" t="n">
        <v>100</v>
      </c>
      <c r="P428" s="75" t="n"/>
      <c r="Q428" s="76" t="n">
        <v>139103.9</v>
      </c>
      <c r="R428" s="71" t="inlineStr">
        <is>
          <t>derived:price x shares upon listing</t>
        </is>
      </c>
      <c r="S428" s="77" t="n">
        <v>57.46</v>
      </c>
      <c r="T428" s="78" t="n">
        <v>15.6</v>
      </c>
      <c r="U428" s="79" t="n">
        <v>49.2</v>
      </c>
      <c r="V428" s="80" t="n">
        <v>219</v>
      </c>
      <c r="W428" s="75" t="n">
        <v>10</v>
      </c>
      <c r="X428" s="71" t="inlineStr">
        <is>
          <t>NO</t>
        </is>
      </c>
      <c r="Y428" s="76" t="n">
        <v>5151.48</v>
      </c>
      <c r="Z428" s="76" t="n"/>
      <c r="AA428" s="75" t="n">
        <v>3.7</v>
      </c>
      <c r="AB428" s="71"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AC428" s="71" t="inlineStr">
        <is>
          <t>al;taibai;true;huang-river;hsg;azure;taikang;investments-limited;velmar;pinpoint;amazing;phase</t>
        </is>
      </c>
      <c r="AD428" s="75" t="n">
        <v>7.29</v>
      </c>
      <c r="AE428" s="71" t="inlineStr">
        <is>
          <t>partial</t>
        </is>
      </c>
      <c r="AF428" s="71" t="n"/>
      <c r="AG428" s="71" t="inlineStr">
        <is>
          <t>Morgan Stanley Asia Limited</t>
        </is>
      </c>
      <c r="AH428" s="71" t="inlineStr">
        <is>
          <t>Morgan Stanley</t>
        </is>
      </c>
      <c r="AI428" s="81" t="n">
        <v>0.8</v>
      </c>
      <c r="AJ428" s="82" t="n">
        <v>1.53</v>
      </c>
      <c r="AK428" s="82" t="n">
        <v>0</v>
      </c>
      <c r="AL428" s="82" t="n">
        <v>1.53</v>
      </c>
      <c r="AM428" s="83" t="n">
        <v>1.35</v>
      </c>
      <c r="AN428" s="75" t="n">
        <v>2.5</v>
      </c>
      <c r="AO428" s="82" t="n">
        <v>0.8100000000000001</v>
      </c>
      <c r="AP428" s="82" t="n">
        <v>-13.87</v>
      </c>
      <c r="AQ428" s="82" t="n">
        <v>-12.46</v>
      </c>
      <c r="AR428" s="82" t="n">
        <v>-0.71</v>
      </c>
      <c r="AS428" s="82" t="n">
        <v>-15.17</v>
      </c>
      <c r="AT428" s="82" t="n">
        <v>-13.78</v>
      </c>
      <c r="AU428" s="82" t="n">
        <v>-0.05</v>
      </c>
      <c r="AV428" s="82" t="n">
        <v>-7.17</v>
      </c>
      <c r="AW428" s="82" t="n">
        <v>-6.91</v>
      </c>
      <c r="AX428" s="82" t="n">
        <v>-8.83</v>
      </c>
      <c r="AY428" s="82" t="n">
        <v>-6.7</v>
      </c>
      <c r="AZ428" s="82" t="n">
        <v>-6.34</v>
      </c>
      <c r="BA428" s="71" t="inlineStr">
        <is>
          <t>Hang Seng Commerce &amp; Industry sub-index</t>
        </is>
      </c>
      <c r="BB428" s="82" t="n">
        <v>-49.49</v>
      </c>
      <c r="BC428" s="72" t="inlineStr">
        <is>
          <t>2026-09-23</t>
        </is>
      </c>
      <c r="BD428" s="73" t="n">
        <v>17413.4</v>
      </c>
      <c r="BE428" s="76" t="n">
        <v>3659.1</v>
      </c>
      <c r="BF428" s="71" t="inlineStr">
        <is>
          <t>Y</t>
        </is>
      </c>
      <c r="BG428" s="83" t="n">
        <v>38</v>
      </c>
      <c r="BH428" s="83" t="n">
        <v>26.3</v>
      </c>
      <c r="BI428" s="83" t="n">
        <v>14.4</v>
      </c>
      <c r="BJ428" s="83" t="n">
        <v>8</v>
      </c>
      <c r="BK428" s="84">
        <f>IF('BBG Verify'!S428="","not filed; run on terminal",'BBG Verify'!S428)</f>
        <v/>
      </c>
      <c r="BL428" s="85" t="inlineStr">
        <is>
          <t>Y</t>
        </is>
      </c>
      <c r="BM428" s="71" t="inlineStr">
        <is>
          <t>605499.SS</t>
        </is>
      </c>
      <c r="BN428" s="82" t="n">
        <v>16.43</v>
      </c>
      <c r="BO428" s="74" t="n">
        <v>288.7582</v>
      </c>
      <c r="BP428" s="89" t="n">
        <v>0.3847</v>
      </c>
      <c r="BQ428" s="76" t="n">
        <v>97418.10000000001</v>
      </c>
      <c r="BR428" s="84">
        <f>IF('BBG Verify'!Q428="","run on terminal",'BBG Verify'!Q428)</f>
        <v/>
      </c>
      <c r="BS428" s="84">
        <f>IF('BBG Verify'!R428="","run on terminal",'BBG Verify'!R428)</f>
        <v/>
      </c>
      <c r="BT428" s="85" t="inlineStr">
        <is>
          <t>Huatai Financial Holdings (Hong Kong) Limited; Morgan Stanley Asia Limited; UBS Securities Hong Kong Limited</t>
        </is>
      </c>
      <c r="BU428" s="71" t="inlineStr">
        <is>
          <t>Morgan Stanley Asia Limited; UBS Securities Hong Kong Limited; Huatai Financial Holdings (Hong Kong) Limited</t>
        </is>
      </c>
      <c r="BV428" s="71" t="inlineStr">
        <is>
          <t>Huatai Financial Holdings (Hong Kong) Limited; Morgan Stanley Asia Limited; UBS AG Hong Kong Branch</t>
        </is>
      </c>
      <c r="BW428" s="71" t="inlineStr">
        <is>
          <t>Huatai Financial Holdings (Hong Kong) Limited; Morgan Stanley Asia Limited; UBS AG Hong Kong Branch</t>
        </is>
      </c>
      <c r="BX428" s="87">
        <f>HYPERLINK("https://www1.hkexnews.hk/listedco/listconews/sehk/2026/0126/2026012600003.pdf","prospectus")</f>
        <v/>
      </c>
      <c r="BY428" s="87">
        <f>HYPERLINK("https://www1.hkexnews.hk/listedco/listconews/sehk/2026/0202/2026020203212.pdf","allotment")</f>
        <v/>
      </c>
      <c r="BZ428" s="87">
        <f>HYPERLINK("https://www1.hkexnews.hk/listedco/listconews/sehk/2026/0301/2026030100013.pdf","stabilisation")</f>
        <v/>
      </c>
      <c r="CA428" s="85" t="n"/>
      <c r="CB428" s="71"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70" t="inlineStr">
        <is>
          <t>2768</t>
        </is>
      </c>
      <c r="B429" s="71" t="inlineStr">
        <is>
          <t>GON TECHNOLOGY</t>
        </is>
      </c>
      <c r="C429" s="71" t="inlineStr">
        <is>
          <t>國恩科技</t>
        </is>
      </c>
      <c r="D429" s="71" t="inlineStr">
        <is>
          <t>Tech/AI</t>
        </is>
      </c>
      <c r="E429" s="71" t="inlineStr">
        <is>
          <t>Smart hardware / consumer electronics</t>
        </is>
      </c>
      <c r="F429" s="71" t="inlineStr">
        <is>
          <t>Diversified Chemicals</t>
        </is>
      </c>
      <c r="G429" s="71" t="inlineStr">
        <is>
          <t>Standard</t>
        </is>
      </c>
      <c r="H429" s="72" t="n">
        <v>46057</v>
      </c>
      <c r="I429" s="73" t="n">
        <v>1080</v>
      </c>
      <c r="J429" s="71" t="inlineStr">
        <is>
          <t>gross (stated)</t>
        </is>
      </c>
      <c r="K429" s="74" t="n"/>
      <c r="L429" s="74" t="n">
        <v>36</v>
      </c>
      <c r="M429" s="74" t="n">
        <v>36</v>
      </c>
      <c r="N429" s="71" t="inlineStr">
        <is>
          <t>Y</t>
        </is>
      </c>
      <c r="O429" s="75" t="n">
        <v>100</v>
      </c>
      <c r="P429" s="75" t="n"/>
      <c r="Q429" s="76" t="n">
        <v>10845</v>
      </c>
      <c r="R429" s="71" t="inlineStr">
        <is>
          <t>derived:price x shares upon listing</t>
        </is>
      </c>
      <c r="S429" s="77" t="n">
        <v>2251.85</v>
      </c>
      <c r="T429" s="78" t="n">
        <v>10.03</v>
      </c>
      <c r="U429" s="79" t="n"/>
      <c r="V429" s="80" t="n">
        <v>88</v>
      </c>
      <c r="W429" s="75" t="n">
        <v>10</v>
      </c>
      <c r="X429" s="71" t="inlineStr">
        <is>
          <t>NO</t>
        </is>
      </c>
      <c r="Y429" s="76" t="n"/>
      <c r="Z429" s="76" t="n"/>
      <c r="AA429" s="75" t="n"/>
      <c r="AB429" s="71" t="inlineStr">
        <is>
          <t>Nice First Investments Limited; Zhou Wanyuan; GF Global Capital Limited; CMBI (Singapore) Pte. Limited; Fullgoal HK; E Fund Management Co., Ltd; SLD International Enterprises Limited; Cheng A International Co., Limited; First Seafront Fund Series SPC; Luminous Horizon</t>
        </is>
      </c>
      <c r="AC429" s="71" t="inlineStr">
        <is>
          <t>nice;zhou-wanyuan;gf;cmbi;fullgoal;fund-management;sld;cheng;first-seafront;luminous</t>
        </is>
      </c>
      <c r="AD429" s="75" t="n"/>
      <c r="AE429" s="71" t="n"/>
      <c r="AF429" s="71" t="n"/>
      <c r="AG429" s="71" t="n"/>
      <c r="AH429" s="71" t="n"/>
      <c r="AI429" s="81" t="n">
        <v>31.111</v>
      </c>
      <c r="AJ429" s="82" t="n">
        <v>11.56</v>
      </c>
      <c r="AK429" s="82" t="n">
        <v>25</v>
      </c>
      <c r="AL429" s="82" t="n">
        <v>-10.75</v>
      </c>
      <c r="AM429" s="83" t="n">
        <v>8.470000000000001</v>
      </c>
      <c r="AN429" s="75" t="n">
        <v>24.44</v>
      </c>
      <c r="AO429" s="82" t="n">
        <v>27.22</v>
      </c>
      <c r="AP429" s="82" t="n">
        <v>33.22</v>
      </c>
      <c r="AQ429" s="82" t="n">
        <v>43.75</v>
      </c>
      <c r="AR429" s="82" t="n">
        <v>14.04</v>
      </c>
      <c r="AS429" s="82" t="n">
        <v>19.42</v>
      </c>
      <c r="AT429" s="82" t="n">
        <v>28.85</v>
      </c>
      <c r="AU429" s="82" t="n">
        <v>26.57</v>
      </c>
      <c r="AV429" s="82" t="n">
        <v>40.68</v>
      </c>
      <c r="AW429" s="82" t="n">
        <v>50.43</v>
      </c>
      <c r="AX429" s="82" t="n">
        <v>25.2</v>
      </c>
      <c r="AY429" s="82" t="n">
        <v>-7.46</v>
      </c>
      <c r="AZ429" s="82" t="n">
        <v>-5.78</v>
      </c>
      <c r="BA429" s="71" t="inlineStr">
        <is>
          <t>HSTECH (Hang Seng TECH ETF)</t>
        </is>
      </c>
      <c r="BB429" s="82" t="n">
        <v>92.89</v>
      </c>
      <c r="BC429" s="72" t="inlineStr">
        <is>
          <t>2026-09-23</t>
        </is>
      </c>
      <c r="BD429" s="73" t="n">
        <v>23376.4</v>
      </c>
      <c r="BE429" s="76" t="n">
        <v>937.2</v>
      </c>
      <c r="BF429" s="71" t="inlineStr">
        <is>
          <t>Y</t>
        </is>
      </c>
      <c r="BG429" s="83" t="n">
        <v>11.6</v>
      </c>
      <c r="BH429" s="83" t="n">
        <v>11.2</v>
      </c>
      <c r="BI429" s="83" t="n">
        <v>16.5</v>
      </c>
      <c r="BJ429" s="83" t="n">
        <v>0.5</v>
      </c>
      <c r="BK429" s="84">
        <f>IF('BBG Verify'!S429="","not filed; run on terminal",'BBG Verify'!S429)</f>
        <v/>
      </c>
      <c r="BL429" s="85" t="inlineStr">
        <is>
          <t>Y</t>
        </is>
      </c>
      <c r="BM429" s="71" t="inlineStr">
        <is>
          <t>002768.SZ</t>
        </is>
      </c>
      <c r="BN429" s="82" t="n">
        <v>74.11</v>
      </c>
      <c r="BO429" s="74" t="n">
        <v>62.6783</v>
      </c>
      <c r="BP429" s="89" t="n">
        <v>0.8403</v>
      </c>
      <c r="BQ429" s="76" t="n">
        <v>34829</v>
      </c>
      <c r="BR429" s="84">
        <f>IF('BBG Verify'!Q429="","run on terminal",'BBG Verify'!Q429)</f>
        <v/>
      </c>
      <c r="BS429" s="84">
        <f>IF('BBG Verify'!R429="","run on terminal",'BBG Verify'!R429)</f>
        <v/>
      </c>
      <c r="BT429" s="85" t="n"/>
      <c r="BU429" s="71" t="inlineStr">
        <is>
          <t>China Merchants Securities (HK) Company Limited</t>
        </is>
      </c>
      <c r="BV429" s="71" t="inlineStr">
        <is>
          <t>China International Capital Corporation Hong Kong Securities Limited; CLSA Limited; CMB International Capital Limited; China Merchants Securities (HK) Company Limited; Livermore Holdings Limited; Tiger Brokers (HK) Global Limited</t>
        </is>
      </c>
      <c r="BW429" s="71" t="inlineStr">
        <is>
          <t>China International Capital Corporation Hong Kong Securities Limited; CLSA Limited; CMB International Capital Limited; China Merchants Securities (HK) Company Limited; Livermore Holdings Limited; Tiger Brokers (HK) Global Limited</t>
        </is>
      </c>
      <c r="BX429" s="71" t="n"/>
      <c r="BY429" s="87">
        <f>HYPERLINK("https://www1.hkexnews.hk/listedco/listconews/sehk/2026/0203/2026020302602.pdf","allotment")</f>
        <v/>
      </c>
      <c r="BZ429" s="71" t="n"/>
      <c r="CA429" s="85" t="n"/>
      <c r="CB429" s="71"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eff free float: % of cap not computable: cornerstone % unknown</t>
        </is>
      </c>
    </row>
    <row r="430" ht="15" customHeight="1">
      <c r="A430" s="70" t="inlineStr">
        <is>
          <t>2677</t>
        </is>
      </c>
      <c r="B430" s="71" t="inlineStr">
        <is>
          <t>DISTINCT HEALTH</t>
        </is>
      </c>
      <c r="C430" s="71" t="inlineStr">
        <is>
          <t>卓正醫療</t>
        </is>
      </c>
      <c r="D430" s="71" t="inlineStr">
        <is>
          <t>Healthcare</t>
        </is>
      </c>
      <c r="E430" s="71" t="inlineStr">
        <is>
          <t>Digital health</t>
        </is>
      </c>
      <c r="F430" s="71" t="inlineStr">
        <is>
          <t>Health Care Services</t>
        </is>
      </c>
      <c r="G430" s="71" t="inlineStr">
        <is>
          <t>Standard</t>
        </is>
      </c>
      <c r="H430" s="72" t="n">
        <v>46059</v>
      </c>
      <c r="I430" s="73" t="n">
        <v>284.53</v>
      </c>
      <c r="J430" s="71" t="inlineStr">
        <is>
          <t>gross (stated)</t>
        </is>
      </c>
      <c r="K430" s="74" t="n">
        <v>57.7</v>
      </c>
      <c r="L430" s="74" t="n">
        <v>66.59999999999999</v>
      </c>
      <c r="M430" s="74" t="n">
        <v>59.9</v>
      </c>
      <c r="N430" s="71" t="inlineStr">
        <is>
          <t>N</t>
        </is>
      </c>
      <c r="O430" s="75" t="n">
        <v>89.90000000000001</v>
      </c>
      <c r="P430" s="75" t="n">
        <v>24.7</v>
      </c>
      <c r="Q430" s="76" t="n">
        <v>3856.6</v>
      </c>
      <c r="R430" s="71" t="inlineStr">
        <is>
          <t>derived:price x shares upon listing</t>
        </is>
      </c>
      <c r="S430" s="77" t="n">
        <v>2730.73</v>
      </c>
      <c r="T430" s="78" t="n">
        <v>5.79</v>
      </c>
      <c r="U430" s="79" t="n">
        <v>29</v>
      </c>
      <c r="V430" s="80" t="n">
        <v>211</v>
      </c>
      <c r="W430" s="75" t="n">
        <v>10</v>
      </c>
      <c r="X430" s="71" t="inlineStr">
        <is>
          <t>NO</t>
        </is>
      </c>
      <c r="Y430" s="76" t="n">
        <v>202.02</v>
      </c>
      <c r="Z430" s="76" t="n">
        <v>3372500</v>
      </c>
      <c r="AA430" s="75" t="n">
        <v>5.24</v>
      </c>
      <c r="AB430" s="71" t="inlineStr">
        <is>
          <t>Health Vision Hong Kong Limited; KingMed Diagnostics (Hong Kong) Limited (ਹᏨ᜕ (ಥ)ʮ̡; Mininglamp Technology; Galaxy Dynasty Limited</t>
        </is>
      </c>
      <c r="AC430" s="71" t="inlineStr">
        <is>
          <t>health;kingmed;mininglamp;galaxy</t>
        </is>
      </c>
      <c r="AD430" s="75" t="n">
        <v>15</v>
      </c>
      <c r="AE430" s="71" t="inlineStr">
        <is>
          <t>partial</t>
        </is>
      </c>
      <c r="AF430" s="71" t="inlineStr">
        <is>
          <t>2026-03-05</t>
        </is>
      </c>
      <c r="AG430" s="71" t="n"/>
      <c r="AH430" s="71" t="n"/>
      <c r="AI430" s="81" t="n">
        <v>48.247</v>
      </c>
      <c r="AJ430" s="82" t="n">
        <v>13.36</v>
      </c>
      <c r="AK430" s="82" t="n">
        <v>35.23</v>
      </c>
      <c r="AL430" s="82" t="n">
        <v>-16.17</v>
      </c>
      <c r="AM430" s="83" t="n">
        <v>5.09</v>
      </c>
      <c r="AN430" s="75" t="n">
        <v>31.73</v>
      </c>
      <c r="AO430" s="82" t="n">
        <v>-3.17</v>
      </c>
      <c r="AP430" s="82" t="n">
        <v>9.1</v>
      </c>
      <c r="AQ430" s="82" t="n">
        <v>-54.49</v>
      </c>
      <c r="AR430" s="82" t="n">
        <v>-14.58</v>
      </c>
      <c r="AS430" s="82" t="n">
        <v>-3.76</v>
      </c>
      <c r="AT430" s="82" t="n">
        <v>-59.85</v>
      </c>
      <c r="AU430" s="82" t="n">
        <v>-4.64</v>
      </c>
      <c r="AV430" s="82" t="n">
        <v>14.97</v>
      </c>
      <c r="AW430" s="82" t="n">
        <v>-61.12</v>
      </c>
      <c r="AX430" s="82" t="n">
        <v>2.14</v>
      </c>
      <c r="AY430" s="82" t="n">
        <v>-5.87</v>
      </c>
      <c r="AZ430" s="82" t="n">
        <v>-5.9</v>
      </c>
      <c r="BA430" s="71" t="inlineStr">
        <is>
          <t>China Biotech ETF (HS biotech proxy)</t>
        </is>
      </c>
      <c r="BB430" s="82" t="n">
        <v>-60.6</v>
      </c>
      <c r="BC430" s="72" t="inlineStr">
        <is>
          <t>2026-09-23</t>
        </is>
      </c>
      <c r="BD430" s="73" t="n">
        <v>1054.4</v>
      </c>
      <c r="BE430" s="76" t="n">
        <v>88.2</v>
      </c>
      <c r="BF430" s="71" t="inlineStr">
        <is>
          <t>Y</t>
        </is>
      </c>
      <c r="BG430" s="83" t="n">
        <v>43.7</v>
      </c>
      <c r="BH430" s="83" t="n"/>
      <c r="BI430" s="83" t="n"/>
      <c r="BJ430" s="83" t="n">
        <v>3.7</v>
      </c>
      <c r="BK430" s="84">
        <f>IF('BBG Verify'!S430="","not filed; run on terminal",'BBG Verify'!S430)</f>
        <v/>
      </c>
      <c r="BL430" s="85" t="inlineStr">
        <is>
          <t>N</t>
        </is>
      </c>
      <c r="BM430" s="86">
        <f>IF('BBG Verify'!K430="","not filed; run on terminal",'BBG Verify'!K430)</f>
        <v/>
      </c>
      <c r="BN430" s="71" t="inlineStr">
        <is>
          <t>N/A</t>
        </is>
      </c>
      <c r="BO430" s="71" t="inlineStr">
        <is>
          <t>N/A</t>
        </is>
      </c>
      <c r="BP430" s="71" t="inlineStr">
        <is>
          <t>N/A</t>
        </is>
      </c>
      <c r="BQ430" s="71" t="inlineStr">
        <is>
          <t>N/A</t>
        </is>
      </c>
      <c r="BR430" s="71" t="inlineStr">
        <is>
          <t>N/A</t>
        </is>
      </c>
      <c r="BS430" s="71" t="inlineStr">
        <is>
          <t>N/A</t>
        </is>
      </c>
      <c r="BT430" s="85" t="inlineStr">
        <is>
          <t>Haitong International Capital Limited; SPDB International Capital Limited; Haitong International Securities Company Limited</t>
        </is>
      </c>
      <c r="BU430" s="71" t="inlineStr">
        <is>
          <t>Haitong International Capital Limited; SPDB International Capital Limited</t>
        </is>
      </c>
      <c r="BV430" s="71"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W430" s="71"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X430" s="87">
        <f>HYPERLINK("https://www1.hkexnews.hk/listedco/listconews/sehk/2026/0129/2026012900021.pdf","prospectus")</f>
        <v/>
      </c>
      <c r="BY430" s="87">
        <f>HYPERLINK("https://www1.hkexnews.hk/listedco/listconews/sehk/2026/0205/2026020501800.pdf","allotment")</f>
        <v/>
      </c>
      <c r="BZ430" s="87">
        <f>HYPERLINK("https://www1.hkexnews.hk/listedco/listconews/sehk/2026/0305/2026030502008.pdf","stabilisation")</f>
        <v/>
      </c>
      <c r="CA430" s="85" t="n"/>
      <c r="CB430" s="71" t="inlineStr">
        <is>
          <t>stabilising manager: not named in the allotment notice or prospectus glossary</t>
        </is>
      </c>
    </row>
    <row r="431" ht="15" customHeight="1">
      <c r="A431" s="70" t="inlineStr">
        <is>
          <t>3200</t>
        </is>
      </c>
      <c r="B431" s="71" t="inlineStr">
        <is>
          <t>HANS CNC</t>
        </is>
      </c>
      <c r="C431" s="71" t="inlineStr">
        <is>
          <t>大族數控</t>
        </is>
      </c>
      <c r="D431" s="71" t="inlineStr">
        <is>
          <t>Industrials</t>
        </is>
      </c>
      <c r="E431" s="71" t="inlineStr">
        <is>
          <t>Capital goods / machinery</t>
        </is>
      </c>
      <c r="F431" s="71" t="inlineStr">
        <is>
          <t>Printed Circuit Boards</t>
        </is>
      </c>
      <c r="G431" s="71" t="inlineStr">
        <is>
          <t>Standard</t>
        </is>
      </c>
      <c r="H431" s="72" t="n">
        <v>46059</v>
      </c>
      <c r="I431" s="73" t="n">
        <v>4833.3</v>
      </c>
      <c r="J431" s="71" t="inlineStr">
        <is>
          <t>gross (stated)</t>
        </is>
      </c>
      <c r="K431" s="74" t="n"/>
      <c r="L431" s="74" t="n">
        <v>95.8</v>
      </c>
      <c r="M431" s="74" t="n">
        <v>95.8</v>
      </c>
      <c r="N431" s="71" t="inlineStr">
        <is>
          <t>Y</t>
        </is>
      </c>
      <c r="O431" s="75" t="n">
        <v>100</v>
      </c>
      <c r="P431" s="75" t="n"/>
      <c r="Q431" s="76" t="n">
        <v>40277.5</v>
      </c>
      <c r="R431" s="71" t="inlineStr">
        <is>
          <t>derived:deal size / offer % of enlarged capital</t>
        </is>
      </c>
      <c r="S431" s="77" t="n">
        <v>446.39</v>
      </c>
      <c r="T431" s="78" t="n">
        <v>21.07</v>
      </c>
      <c r="U431" s="79" t="n">
        <v>50</v>
      </c>
      <c r="V431" s="80" t="n">
        <v>218</v>
      </c>
      <c r="W431" s="75" t="n">
        <v>10</v>
      </c>
      <c r="X431" s="71" t="inlineStr">
        <is>
          <t>NA</t>
        </is>
      </c>
      <c r="Y431" s="76" t="n">
        <v>2416.65</v>
      </c>
      <c r="Z431" s="76" t="n">
        <v>25225900</v>
      </c>
      <c r="AA431" s="75" t="n">
        <v>6</v>
      </c>
      <c r="AB431" s="71" t="inlineStr">
        <is>
          <t>Schroders; HHLR Advisors (Hillhouse); Limited, Morgan Stanley Asia Limited; Fullgoal Fund; Hongxing International; OmniVision HK; Industrial Bank WM</t>
        </is>
      </c>
      <c r="AC431" s="71" t="inlineStr">
        <is>
          <t>schroders;hhlr;morgan;fullgoal;hongxing;omnivision;industrial</t>
        </is>
      </c>
      <c r="AD431" s="75" t="n">
        <v>15</v>
      </c>
      <c r="AE431" s="71" t="inlineStr">
        <is>
          <t>full</t>
        </is>
      </c>
      <c r="AF431" s="71" t="inlineStr">
        <is>
          <t>2026-03-05</t>
        </is>
      </c>
      <c r="AG431" s="71" t="inlineStr">
        <is>
          <t>China International Capital Corporation Hong Kong Securities Limited</t>
        </is>
      </c>
      <c r="AH431" s="71" t="inlineStr">
        <is>
          <t>China International</t>
        </is>
      </c>
      <c r="AI431" s="81" t="n">
        <v>23.382</v>
      </c>
      <c r="AJ431" s="82" t="n">
        <v>14.82</v>
      </c>
      <c r="AK431" s="82" t="n">
        <v>10.65</v>
      </c>
      <c r="AL431" s="82" t="n">
        <v>3.77</v>
      </c>
      <c r="AM431" s="83" t="n">
        <v>2.6</v>
      </c>
      <c r="AN431" s="75" t="n">
        <v>10.28</v>
      </c>
      <c r="AO431" s="82" t="n">
        <v>17.54</v>
      </c>
      <c r="AP431" s="82" t="n">
        <v>21.92</v>
      </c>
      <c r="AQ431" s="82" t="n">
        <v>69.42</v>
      </c>
      <c r="AR431" s="82" t="n">
        <v>2.37</v>
      </c>
      <c r="AS431" s="82" t="n">
        <v>6.18</v>
      </c>
      <c r="AT431" s="82" t="n">
        <v>47.55</v>
      </c>
      <c r="AU431" s="82" t="n">
        <v>18.24</v>
      </c>
      <c r="AV431" s="82" t="n">
        <v>26.5</v>
      </c>
      <c r="AW431" s="82" t="n">
        <v>76.59999999999999</v>
      </c>
      <c r="AX431" s="82" t="n">
        <v>9.92</v>
      </c>
      <c r="AY431" s="82" t="n">
        <v>-4.58</v>
      </c>
      <c r="AZ431" s="82" t="n">
        <v>-3.74</v>
      </c>
      <c r="BA431" s="71" t="inlineStr">
        <is>
          <t>Hang Seng Commerce &amp; Industry sub-index</t>
        </is>
      </c>
      <c r="BB431" s="82" t="n">
        <v>13.57</v>
      </c>
      <c r="BC431" s="72" t="inlineStr">
        <is>
          <t>2026-09-23</t>
        </is>
      </c>
      <c r="BD431" s="73" t="n">
        <v>3677.4</v>
      </c>
      <c r="BE431" s="76" t="n">
        <v>329.5</v>
      </c>
      <c r="BF431" s="71" t="inlineStr">
        <is>
          <t>Y</t>
        </is>
      </c>
      <c r="BG431" s="83" t="n">
        <v>122.2</v>
      </c>
      <c r="BH431" s="83" t="n">
        <v>50.1</v>
      </c>
      <c r="BI431" s="83" t="n">
        <v>50.2</v>
      </c>
      <c r="BJ431" s="83" t="n">
        <v>11</v>
      </c>
      <c r="BK431" s="84">
        <f>IF('BBG Verify'!S431="","not filed; run on terminal",'BBG Verify'!S431)</f>
        <v/>
      </c>
      <c r="BL431" s="85" t="inlineStr">
        <is>
          <t>Y</t>
        </is>
      </c>
      <c r="BM431" s="71" t="inlineStr">
        <is>
          <t>301200.SZ</t>
        </is>
      </c>
      <c r="BN431" s="82" t="n">
        <v>84.04000000000001</v>
      </c>
      <c r="BO431" s="74" t="n">
        <v>176.3149</v>
      </c>
      <c r="BP431" s="89" t="n">
        <v>1.7495</v>
      </c>
      <c r="BQ431" s="76" t="n">
        <v>150171.6</v>
      </c>
      <c r="BR431" s="84">
        <f>IF('BBG Verify'!Q431="","run on terminal",'BBG Verify'!Q431)</f>
        <v/>
      </c>
      <c r="BS431" s="84">
        <f>IF('BBG Verify'!R431="","run on terminal",'BBG Verify'!R431)</f>
        <v/>
      </c>
      <c r="BT431" s="85" t="inlineStr">
        <is>
          <t>China International Capital Corporation Hong Kong Securities Limited</t>
        </is>
      </c>
      <c r="BU431" s="71" t="inlineStr">
        <is>
          <t>China International Capital Corporation Hong Kong Securities Limited</t>
        </is>
      </c>
      <c r="BV431" s="71" t="inlineStr">
        <is>
          <t>China International Capital Corporation Hong Kong Securities Limited; Deutsche Bank AG, Hong Kong Branch; Sinolink Securities (Hong Kong) Company Limited; SDIC Securities (Hong Kong) Limited; ABCI Capital Limited</t>
        </is>
      </c>
      <c r="BW431" s="71" t="inlineStr">
        <is>
          <t>ABCI Securities Company Limited; China International Capital Corporation Hong Kong Securities Limited; Deutsche Bank AG, Hong Kong Branch; SDIC Securities (Hong Kong) Limited; Sinolink Securities (Hong Kong) Company Limited</t>
        </is>
      </c>
      <c r="BX431" s="87">
        <f>HYPERLINK("https://www1.hkexnews.hk/listedco/listconews/sehk/2026/0129/2026012900019.pdf","prospectus")</f>
        <v/>
      </c>
      <c r="BY431" s="87">
        <f>HYPERLINK("https://www1.hkexnews.hk/listedco/listconews/sehk/2026/0205/2026020502290.pdf","allotment")</f>
        <v/>
      </c>
      <c r="BZ431" s="87">
        <f>HYPERLINK("https://www1.hkexnews.hk/listedco/listconews/sehk/2026/0305/2026030501746.pdf","stabilisation")</f>
        <v/>
      </c>
      <c r="CA431" s="85" t="n"/>
      <c r="CB431" s="71" t="inlineStr">
        <is>
          <t>range low: maximum offer price only, no floor published; A/H: Feb 2026 H listing (PCB drilling equipment)</t>
        </is>
      </c>
    </row>
    <row r="432" ht="15" customHeight="1">
      <c r="A432" s="70" t="inlineStr">
        <is>
          <t>2714</t>
        </is>
      </c>
      <c r="B432" s="71" t="inlineStr">
        <is>
          <t>MUYUAN</t>
        </is>
      </c>
      <c r="C432" s="71" t="inlineStr">
        <is>
          <t>牧原股份</t>
        </is>
      </c>
      <c r="D432" s="71" t="inlineStr">
        <is>
          <t>Consumer</t>
        </is>
      </c>
      <c r="E432" s="71" t="inlineStr">
        <is>
          <t>Beverages / packaged food</t>
        </is>
      </c>
      <c r="F432" s="71" t="inlineStr">
        <is>
          <t>Poultry, Meat and Seafood</t>
        </is>
      </c>
      <c r="G432" s="71" t="inlineStr">
        <is>
          <t>Standard</t>
        </is>
      </c>
      <c r="H432" s="72" t="n">
        <v>46059</v>
      </c>
      <c r="I432" s="73" t="n">
        <v>10684.1</v>
      </c>
      <c r="J432" s="71" t="inlineStr">
        <is>
          <t>gross (stated)</t>
        </is>
      </c>
      <c r="K432" s="74" t="n"/>
      <c r="L432" s="74" t="n">
        <v>39</v>
      </c>
      <c r="M432" s="74" t="n">
        <v>39</v>
      </c>
      <c r="N432" s="71" t="inlineStr">
        <is>
          <t>Y</t>
        </is>
      </c>
      <c r="O432" s="75" t="n">
        <v>100</v>
      </c>
      <c r="P432" s="75" t="n"/>
      <c r="Q432" s="76" t="n">
        <v>286002</v>
      </c>
      <c r="R432" s="71" t="inlineStr">
        <is>
          <t>prospectus:stated market capitalisation</t>
        </is>
      </c>
      <c r="S432" s="77" t="n">
        <v>5.88</v>
      </c>
      <c r="T432" s="78" t="n">
        <v>8.619999999999999</v>
      </c>
      <c r="U432" s="79" t="n">
        <v>50</v>
      </c>
      <c r="V432" s="80" t="n">
        <v>160</v>
      </c>
      <c r="W432" s="75" t="n"/>
      <c r="X432" s="71" t="inlineStr">
        <is>
          <t>NA</t>
        </is>
      </c>
      <c r="Y432" s="76" t="n">
        <v>5342.05</v>
      </c>
      <c r="Z432" s="76" t="n">
        <v>136975700</v>
      </c>
      <c r="AA432" s="75" t="n">
        <v>1.87</v>
      </c>
      <c r="AB432" s="71"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AC432" s="71" t="inlineStr">
        <is>
          <t>charoen;wii;hpry;sinochem;henan;fil;rbc;perseverance;shanghai-gaoyi;ping;dajia;ubs;midea;integrated;jane</t>
        </is>
      </c>
      <c r="AD432" s="75" t="n">
        <v>15</v>
      </c>
      <c r="AE432" s="71" t="inlineStr">
        <is>
          <t>partial</t>
        </is>
      </c>
      <c r="AF432" s="71" t="inlineStr">
        <is>
          <t>2026-03-05</t>
        </is>
      </c>
      <c r="AG432" s="71" t="inlineStr">
        <is>
          <t>Morgan Stanley Asia Limited</t>
        </is>
      </c>
      <c r="AH432" s="71" t="inlineStr">
        <is>
          <t>Morgan Stanley</t>
        </is>
      </c>
      <c r="AI432" s="81" t="n">
        <v>5.128</v>
      </c>
      <c r="AJ432" s="82" t="n">
        <v>3.9</v>
      </c>
      <c r="AK432" s="82" t="n">
        <v>0</v>
      </c>
      <c r="AL432" s="82" t="n">
        <v>3.9</v>
      </c>
      <c r="AM432" s="83" t="n"/>
      <c r="AN432" s="75" t="n">
        <v>7.03</v>
      </c>
      <c r="AO432" s="82" t="n">
        <v>0.51</v>
      </c>
      <c r="AP432" s="82" t="n">
        <v>19.69</v>
      </c>
      <c r="AQ432" s="82" t="n">
        <v>0.67</v>
      </c>
      <c r="AR432" s="82" t="n">
        <v>-3.26</v>
      </c>
      <c r="AS432" s="82" t="n">
        <v>15.2</v>
      </c>
      <c r="AT432" s="82" t="n">
        <v>-3.11</v>
      </c>
      <c r="AU432" s="82" t="n">
        <v>1.21</v>
      </c>
      <c r="AV432" s="82" t="n">
        <v>24.27</v>
      </c>
      <c r="AW432" s="82" t="n">
        <v>7.85</v>
      </c>
      <c r="AX432" s="82" t="n">
        <v>18.94</v>
      </c>
      <c r="AY432" s="82" t="n">
        <v>-4.58</v>
      </c>
      <c r="AZ432" s="82" t="n">
        <v>-3.74</v>
      </c>
      <c r="BA432" s="71" t="inlineStr">
        <is>
          <t>Hang Seng Commerce &amp; Industry sub-index</t>
        </is>
      </c>
      <c r="BB432" s="82" t="n">
        <v>-3.03</v>
      </c>
      <c r="BC432" s="72" t="inlineStr">
        <is>
          <t>2026-09-23</t>
        </is>
      </c>
      <c r="BD432" s="73" t="n">
        <v>158559.5</v>
      </c>
      <c r="BE432" s="76" t="n">
        <v>16992.9</v>
      </c>
      <c r="BF432" s="71" t="inlineStr">
        <is>
          <t>Y</t>
        </is>
      </c>
      <c r="BG432" s="83" t="n">
        <v>16.8</v>
      </c>
      <c r="BH432" s="83" t="n">
        <v>12.5</v>
      </c>
      <c r="BI432" s="83" t="n">
        <v>9.9</v>
      </c>
      <c r="BJ432" s="83" t="n">
        <v>1.8</v>
      </c>
      <c r="BK432" s="84">
        <f>IF('BBG Verify'!S432="","not filed; run on terminal",'BBG Verify'!S432)</f>
        <v/>
      </c>
      <c r="BL432" s="85" t="inlineStr">
        <is>
          <t>Y</t>
        </is>
      </c>
      <c r="BM432" s="71" t="inlineStr">
        <is>
          <t>002714.SZ</t>
        </is>
      </c>
      <c r="BN432" s="82" t="n">
        <v>34.91</v>
      </c>
      <c r="BO432" s="74" t="n">
        <v>52.613</v>
      </c>
      <c r="BP432" s="89" t="n">
        <v>0.2922</v>
      </c>
      <c r="BQ432" s="76" t="n">
        <v>286814.9</v>
      </c>
      <c r="BR432" s="84">
        <f>IF('BBG Verify'!Q432="","run on terminal",'BBG Verify'!Q432)</f>
        <v/>
      </c>
      <c r="BS432" s="84">
        <f>IF('BBG Verify'!R432="","run on terminal",'BBG Verify'!R432)</f>
        <v/>
      </c>
      <c r="BT432" s="85" t="inlineStr">
        <is>
          <t>Morgan Stanley Asia Limited; CITIC Securities (Hong Kong) Limited; Goldman Sachs (Asia) L.L.C</t>
        </is>
      </c>
      <c r="BU432" s="71" t="inlineStr">
        <is>
          <t>Morgan Stanley Asia Limited; Goldman Sachs (Asia) L.L.C.; CITIC Securities (Hong Kong) Limited</t>
        </is>
      </c>
      <c r="BV432" s="71"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W432" s="71"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X432" s="87">
        <f>HYPERLINK("https://www1.hkexnews.hk/listedco/listconews/sehk/2026/0129/2026012900023.pdf","prospectus")</f>
        <v/>
      </c>
      <c r="BY432" s="87">
        <f>HYPERLINK("https://www1.hkexnews.hk/listedco/listconews/sehk/2026/0205/2026020502402.pdf","allotment")</f>
        <v/>
      </c>
      <c r="BZ432" s="87">
        <f>HYPERLINK("https://www1.hkexnews.hk/listedco/listconews/sehk/2026/0305/2026030501974.pdf","stabilisation")</f>
        <v/>
      </c>
      <c r="CA432" s="85" t="n"/>
      <c r="CB432" s="71" t="inlineStr">
        <is>
          <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t>
        </is>
      </c>
    </row>
    <row r="433" ht="15" customHeight="1">
      <c r="A433" s="70" t="inlineStr">
        <is>
          <t>6809</t>
        </is>
      </c>
      <c r="B433" s="71" t="inlineStr">
        <is>
          <t>MONTAGE TECH</t>
        </is>
      </c>
      <c r="C433" s="71" t="inlineStr">
        <is>
          <t>瀾起科技</t>
        </is>
      </c>
      <c r="D433" s="71" t="inlineStr">
        <is>
          <t>Tech/AI</t>
        </is>
      </c>
      <c r="E433" s="71" t="inlineStr">
        <is>
          <t>AI chips &amp; semis</t>
        </is>
      </c>
      <c r="F433" s="71" t="inlineStr">
        <is>
          <t>Semiconductors &amp; Semiconductor Equipment</t>
        </is>
      </c>
      <c r="G433" s="71" t="inlineStr">
        <is>
          <t>Standard</t>
        </is>
      </c>
      <c r="H433" s="72" t="n">
        <v>46062</v>
      </c>
      <c r="I433" s="73" t="n">
        <v>7043</v>
      </c>
      <c r="J433" s="71" t="inlineStr">
        <is>
          <t>gross (stated)</t>
        </is>
      </c>
      <c r="K433" s="74" t="n"/>
      <c r="L433" s="74" t="n">
        <v>106.89</v>
      </c>
      <c r="M433" s="74" t="n">
        <v>106.89</v>
      </c>
      <c r="N433" s="71" t="inlineStr">
        <is>
          <t>Y</t>
        </is>
      </c>
      <c r="O433" s="75" t="n">
        <v>100</v>
      </c>
      <c r="P433" s="75" t="n"/>
      <c r="Q433" s="76" t="n">
        <v>113600.4</v>
      </c>
      <c r="R433" s="71" t="inlineStr">
        <is>
          <t>derived:deal size / offer % of enlarged capital</t>
        </is>
      </c>
      <c r="S433" s="77" t="n">
        <v>707.3</v>
      </c>
      <c r="T433" s="78" t="n">
        <v>37.67</v>
      </c>
      <c r="U433" s="79" t="n">
        <v>49.8</v>
      </c>
      <c r="V433" s="80" t="n">
        <v>412</v>
      </c>
      <c r="W433" s="75" t="n">
        <v>10</v>
      </c>
      <c r="X433" s="71" t="inlineStr">
        <is>
          <t>NA</t>
        </is>
      </c>
      <c r="Y433" s="76" t="n">
        <v>3535.59</v>
      </c>
      <c r="Z433" s="76" t="n">
        <v>33076780</v>
      </c>
      <c r="AA433" s="75" t="n">
        <v>3.11</v>
      </c>
      <c r="AB433" s="71" t="inlineStr">
        <is>
          <t>J.P. Morgan Asset Management; UBS Asset Management; Yunfeng Capital; Alibaba (Alisoft China); Aspex Management; Janchor Partners; Huaqin Technology</t>
        </is>
      </c>
      <c r="AC433" s="71" t="inlineStr">
        <is>
          <t>morgan;ubs;yunfeng;alibaba;aspex;janchor;huaqin</t>
        </is>
      </c>
      <c r="AD433" s="75" t="n">
        <v>15</v>
      </c>
      <c r="AE433" s="71" t="inlineStr">
        <is>
          <t>full</t>
        </is>
      </c>
      <c r="AF433" s="71" t="inlineStr">
        <is>
          <t>2026-03-06</t>
        </is>
      </c>
      <c r="AG433" s="71" t="inlineStr">
        <is>
          <t>Morgan Stanley Asia Limited</t>
        </is>
      </c>
      <c r="AH433" s="71" t="inlineStr">
        <is>
          <t>Morgan Stanley</t>
        </is>
      </c>
      <c r="AI433" s="81" t="n">
        <v>39.77</v>
      </c>
      <c r="AJ433" s="82" t="n">
        <v>63.72</v>
      </c>
      <c r="AK433" s="82" t="n">
        <v>57.17</v>
      </c>
      <c r="AL433" s="82" t="n">
        <v>4.17</v>
      </c>
      <c r="AM433" s="83" t="n">
        <v>3.21</v>
      </c>
      <c r="AN433" s="75" t="n">
        <v>11.9</v>
      </c>
      <c r="AO433" s="82" t="n">
        <v>97.40000000000001</v>
      </c>
      <c r="AP433" s="82" t="n">
        <v>64.19</v>
      </c>
      <c r="AQ433" s="82" t="n">
        <v>312.39</v>
      </c>
      <c r="AR433" s="82" t="n">
        <v>20.57</v>
      </c>
      <c r="AS433" s="82" t="n">
        <v>0.29</v>
      </c>
      <c r="AT433" s="82" t="n">
        <v>151.89</v>
      </c>
      <c r="AU433" s="82" t="n">
        <v>97.02</v>
      </c>
      <c r="AV433" s="82" t="n">
        <v>71.06999999999999</v>
      </c>
      <c r="AW433" s="82" t="n">
        <v>321.84</v>
      </c>
      <c r="AX433" s="82" t="n">
        <v>8.4</v>
      </c>
      <c r="AY433" s="82" t="n">
        <v>-6.88</v>
      </c>
      <c r="AZ433" s="82" t="n">
        <v>-8.109999999999999</v>
      </c>
      <c r="BA433" s="71" t="inlineStr">
        <is>
          <t>HSTECH (Hang Seng TECH ETF)</t>
        </is>
      </c>
      <c r="BB433" s="82" t="n">
        <v>186.84</v>
      </c>
      <c r="BC433" s="72" t="inlineStr">
        <is>
          <t>2026-09-23</t>
        </is>
      </c>
      <c r="BD433" s="73" t="n">
        <v>4002.8</v>
      </c>
      <c r="BE433" s="76" t="n">
        <v>1474.8</v>
      </c>
      <c r="BF433" s="71" t="inlineStr">
        <is>
          <t>Y</t>
        </is>
      </c>
      <c r="BG433" s="83" t="n">
        <v>77</v>
      </c>
      <c r="BH433" s="83" t="n">
        <v>79.09999999999999</v>
      </c>
      <c r="BI433" s="83" t="n">
        <v>136.4</v>
      </c>
      <c r="BJ433" s="83" t="n">
        <v>28.4</v>
      </c>
      <c r="BK433" s="84">
        <f>IF('BBG Verify'!S433="","not filed; run on terminal",'BBG Verify'!S433)</f>
        <v/>
      </c>
      <c r="BL433" s="85" t="inlineStr">
        <is>
          <t>Y</t>
        </is>
      </c>
      <c r="BM433" s="71" t="inlineStr">
        <is>
          <t>688008.SS</t>
        </is>
      </c>
      <c r="BN433" s="82" t="n">
        <v>72.29000000000001</v>
      </c>
      <c r="BO433" s="74" t="n">
        <v>184.1562</v>
      </c>
      <c r="BP433" s="89" t="n">
        <v>-0.1407</v>
      </c>
      <c r="BQ433" s="76" t="n">
        <v>300624.6</v>
      </c>
      <c r="BR433" s="84">
        <f>IF('BBG Verify'!Q433="","run on terminal",'BBG Verify'!Q433)</f>
        <v/>
      </c>
      <c r="BS433" s="84">
        <f>IF('BBG Verify'!R433="","run on terminal",'BBG Verify'!R433)</f>
        <v/>
      </c>
      <c r="BT433" s="85" t="inlineStr">
        <is>
          <t>China International Capital Corporation Hong Kong Securities Limited; Morgan Stanley Asia Limited; UBS Securities Hong Kong Limited</t>
        </is>
      </c>
      <c r="BU433" s="71" t="inlineStr">
        <is>
          <t>China International Capital Corporation Hong Kong Securities Limited; Morgan Stanley Asia Limited; UBS Securities Hong Kong Limited</t>
        </is>
      </c>
      <c r="BV433" s="71" t="inlineStr">
        <is>
          <t>China International Capital Corporation Hong Kong Securities Limited; Morgan Stanley Asia Limited; UBS AG Hong Kong Branch</t>
        </is>
      </c>
      <c r="BW433" s="71" t="inlineStr">
        <is>
          <t>China International Capital Corporation Hong Kong Securities Limited; CLSA Limited; Goldman Sachs (Asia) L.L.C.; Morgan Stanley Asia Limited; UBS AG Hong Kong Branch</t>
        </is>
      </c>
      <c r="BX433" s="87">
        <f>HYPERLINK("https://www1.hkexnews.hk/listedco/listconews/sehk/2026/0130/2026013000007.pdf","prospectus")</f>
        <v/>
      </c>
      <c r="BY433" s="87">
        <f>HYPERLINK("https://www1.hkexnews.hk/listedco/listconews/sehk/2026/0206/2026020601350.pdf","allotment")</f>
        <v/>
      </c>
      <c r="BZ433" s="87">
        <f>HYPERLINK("https://www1.hkexnews.hk/listedco/listconews/sehk/2026/0306/2026030600629.pdf","stabilisation")</f>
        <v/>
      </c>
      <c r="CA433" s="85" t="n"/>
      <c r="CB433" s="71" t="inlineStr">
        <is>
          <t>range low: maximum offer price only, no floor published; A/H: Feb 2026 H listing (memory interface chips)</t>
        </is>
      </c>
    </row>
    <row r="434" ht="15" customHeight="1">
      <c r="A434" s="70" t="inlineStr">
        <is>
          <t>2720</t>
        </is>
      </c>
      <c r="B434" s="71" t="inlineStr">
        <is>
          <t>RIDGE OUTDOOR</t>
        </is>
      </c>
      <c r="C434" s="71" t="inlineStr">
        <is>
          <t>樂欣戶外</t>
        </is>
      </c>
      <c r="D434" s="71" t="inlineStr">
        <is>
          <t>Consumer</t>
        </is>
      </c>
      <c r="E434" s="71" t="inlineStr">
        <is>
          <t>Retail / distribution</t>
        </is>
      </c>
      <c r="F434" s="71" t="inlineStr">
        <is>
          <t>Leisure Products</t>
        </is>
      </c>
      <c r="G434" s="71" t="inlineStr">
        <is>
          <t>Standard</t>
        </is>
      </c>
      <c r="H434" s="72" t="n">
        <v>46063</v>
      </c>
      <c r="I434" s="73" t="n">
        <v>345.5</v>
      </c>
      <c r="J434" s="71" t="inlineStr">
        <is>
          <t>gross (stated)</t>
        </is>
      </c>
      <c r="K434" s="74" t="n">
        <v>11.25</v>
      </c>
      <c r="L434" s="74" t="n">
        <v>12.25</v>
      </c>
      <c r="M434" s="74" t="n">
        <v>12.25</v>
      </c>
      <c r="N434" s="71" t="inlineStr">
        <is>
          <t>Y</t>
        </is>
      </c>
      <c r="O434" s="75" t="n">
        <v>100</v>
      </c>
      <c r="P434" s="75" t="n">
        <v>100</v>
      </c>
      <c r="Q434" s="76" t="n">
        <v>1570.5</v>
      </c>
      <c r="R434" s="71" t="inlineStr">
        <is>
          <t>derived:price x shares upon listing</t>
        </is>
      </c>
      <c r="S434" s="77" t="n">
        <v>3654.23</v>
      </c>
      <c r="T434" s="78" t="n">
        <v>2.94</v>
      </c>
      <c r="U434" s="79" t="n">
        <v>37.62</v>
      </c>
      <c r="V434" s="80" t="n">
        <v>74</v>
      </c>
      <c r="W434" s="75" t="n">
        <v>10</v>
      </c>
      <c r="X434" s="71" t="inlineStr">
        <is>
          <t>NO</t>
        </is>
      </c>
      <c r="Y434" s="76" t="n">
        <v>215.52</v>
      </c>
      <c r="Z434" s="76" t="n">
        <v>17594279</v>
      </c>
      <c r="AA434" s="75" t="n">
        <v>13.72</v>
      </c>
      <c r="AB434" s="71" t="inlineStr">
        <is>
          <t>Mr. Yang; GreatCast; Taihong; Outrider Partnership; Orbit VC; Huangshan Dejun</t>
        </is>
      </c>
      <c r="AC434" s="71" t="inlineStr">
        <is>
          <t>mr-yang;greatcast;taihong;outrider;orbit;huangshan</t>
        </is>
      </c>
      <c r="AD434" s="75" t="n"/>
      <c r="AE434" s="71" t="n"/>
      <c r="AF434" s="71" t="n"/>
      <c r="AG434" s="71" t="n"/>
      <c r="AH434" s="71" t="n"/>
      <c r="AI434" s="81" t="n">
        <v>99.837</v>
      </c>
      <c r="AJ434" s="82" t="n">
        <v>102.29</v>
      </c>
      <c r="AK434" s="82" t="n">
        <v>96.08</v>
      </c>
      <c r="AL434" s="82" t="n">
        <v>3.17</v>
      </c>
      <c r="AM434" s="83" t="n">
        <v>2.21</v>
      </c>
      <c r="AN434" s="75" t="n">
        <v>32.89</v>
      </c>
      <c r="AO434" s="82" t="n">
        <v>124.49</v>
      </c>
      <c r="AP434" s="82" t="n">
        <v>112.24</v>
      </c>
      <c r="AQ434" s="82" t="n">
        <v>100.82</v>
      </c>
      <c r="AR434" s="82" t="n">
        <v>10.97</v>
      </c>
      <c r="AS434" s="82" t="n">
        <v>4.92</v>
      </c>
      <c r="AT434" s="82" t="n">
        <v>-0.73</v>
      </c>
      <c r="AU434" s="82" t="n">
        <v>126.89</v>
      </c>
      <c r="AV434" s="82" t="n">
        <v>116.15</v>
      </c>
      <c r="AW434" s="82" t="n">
        <v>108.97</v>
      </c>
      <c r="AX434" s="82" t="n">
        <v>9.609999999999999</v>
      </c>
      <c r="AY434" s="82" t="n">
        <v>-3.91</v>
      </c>
      <c r="AZ434" s="82" t="n">
        <v>-4.69</v>
      </c>
      <c r="BA434" s="71" t="inlineStr">
        <is>
          <t>Hang Seng Commerce &amp; Industry sub-index</t>
        </is>
      </c>
      <c r="BB434" s="82" t="n">
        <v>107.02</v>
      </c>
      <c r="BC434" s="72" t="inlineStr">
        <is>
          <t>2026-09-23</t>
        </is>
      </c>
      <c r="BD434" s="73" t="n">
        <v>630.8</v>
      </c>
      <c r="BE434" s="76" t="n">
        <v>65.3</v>
      </c>
      <c r="BF434" s="71" t="inlineStr">
        <is>
          <t>Y</t>
        </is>
      </c>
      <c r="BG434" s="83" t="n">
        <v>24.1</v>
      </c>
      <c r="BH434" s="83" t="n"/>
      <c r="BI434" s="83" t="n"/>
      <c r="BJ434" s="83" t="n">
        <v>2.5</v>
      </c>
      <c r="BK434" s="84">
        <f>IF('BBG Verify'!S434="","not filed; run on terminal",'BBG Verify'!S434)</f>
        <v/>
      </c>
      <c r="BL434" s="85" t="inlineStr">
        <is>
          <t>N</t>
        </is>
      </c>
      <c r="BM434" s="86">
        <f>IF('BBG Verify'!K434="","not filed; run on terminal",'BBG Verify'!K434)</f>
        <v/>
      </c>
      <c r="BN434" s="71" t="inlineStr">
        <is>
          <t>N/A</t>
        </is>
      </c>
      <c r="BO434" s="71" t="inlineStr">
        <is>
          <t>N/A</t>
        </is>
      </c>
      <c r="BP434" s="71" t="inlineStr">
        <is>
          <t>N/A</t>
        </is>
      </c>
      <c r="BQ434" s="71" t="inlineStr">
        <is>
          <t>N/A</t>
        </is>
      </c>
      <c r="BR434" s="71" t="inlineStr">
        <is>
          <t>N/A</t>
        </is>
      </c>
      <c r="BS434" s="71" t="inlineStr">
        <is>
          <t>N/A</t>
        </is>
      </c>
      <c r="BT434" s="85" t="inlineStr">
        <is>
          <t>China International Capital Corporation Hong Kong Securities Limited</t>
        </is>
      </c>
      <c r="BU434" s="71" t="inlineStr">
        <is>
          <t>China International Capital Corporation Hong Kong Securities Limited</t>
        </is>
      </c>
      <c r="BV434" s="71" t="inlineStr">
        <is>
          <t>China International Capital Corporation Hong Kong Securities Limited; Futu Securities International (Hong Kong) Limited; Fuze Securities (International) Limited</t>
        </is>
      </c>
      <c r="BW434" s="71" t="inlineStr">
        <is>
          <t>China International Capital Corporation Hong Kong Securities Limited; Futu Securities International (Hong Kong) Limited; FUZE SECURITIES (INTERNATIONAL) LIMITED</t>
        </is>
      </c>
      <c r="BX434" s="87">
        <f>HYPERLINK("https://www1.hkexnews.hk/listedco/listconews/sehk/2026/0130/2026013002014.pdf","prospectus")</f>
        <v/>
      </c>
      <c r="BY434" s="87">
        <f>HYPERLINK("https://www1.hkexnews.hk/listedco/listconews/sehk/2026/0209/2026020901096.pdf","allotment")</f>
        <v/>
      </c>
      <c r="BZ434" s="71" t="n"/>
      <c r="CA434" s="85" t="n"/>
      <c r="CB434" s="71" t="inlineStr">
        <is>
          <t>greenshoe: no over-allotment option; greenshoe size: no over-allotment option; stabilising manager: no over-allotment option, so none appointed</t>
        </is>
      </c>
    </row>
    <row r="435" ht="15" customHeight="1">
      <c r="A435" s="70" t="inlineStr">
        <is>
          <t>0600</t>
        </is>
      </c>
      <c r="B435" s="71" t="inlineStr">
        <is>
          <t>AXERA</t>
        </is>
      </c>
      <c r="C435" s="71" t="inlineStr">
        <is>
          <t>愛芯元智</t>
        </is>
      </c>
      <c r="D435" s="71" t="inlineStr">
        <is>
          <t>Tech/AI</t>
        </is>
      </c>
      <c r="E435" s="71" t="inlineStr">
        <is>
          <t>AI chips &amp; semis</t>
        </is>
      </c>
      <c r="F435" s="71" t="inlineStr">
        <is>
          <t>Semiconductors &amp; Semiconductor Equipment</t>
        </is>
      </c>
      <c r="G435" s="71" t="inlineStr">
        <is>
          <t>Standard</t>
        </is>
      </c>
      <c r="H435" s="72" t="n">
        <v>46063</v>
      </c>
      <c r="I435" s="73" t="n">
        <v>2958.6</v>
      </c>
      <c r="J435" s="71" t="inlineStr">
        <is>
          <t>gross (stated)</t>
        </is>
      </c>
      <c r="K435" s="74" t="n"/>
      <c r="L435" s="74" t="n">
        <v>28.2</v>
      </c>
      <c r="M435" s="74" t="n">
        <v>28.2</v>
      </c>
      <c r="N435" s="71" t="inlineStr">
        <is>
          <t>Y</t>
        </is>
      </c>
      <c r="O435" s="75" t="n">
        <v>100</v>
      </c>
      <c r="P435" s="75" t="n"/>
      <c r="Q435" s="76" t="n">
        <v>16580</v>
      </c>
      <c r="R435" s="71" t="inlineStr">
        <is>
          <t>press:sina/HKCD 2026-02-10: 发行价28.2 市值165.8亿</t>
        </is>
      </c>
      <c r="S435" s="77" t="n">
        <v>104.82</v>
      </c>
      <c r="T435" s="78" t="n">
        <v>6.8</v>
      </c>
      <c r="U435" s="79" t="n">
        <v>48.76</v>
      </c>
      <c r="V435" s="80" t="n">
        <v>138</v>
      </c>
      <c r="W435" s="75" t="n">
        <v>10</v>
      </c>
      <c r="X435" s="71" t="inlineStr">
        <is>
          <t>NA</t>
        </is>
      </c>
      <c r="Y435" s="76" t="n">
        <v>1515.99</v>
      </c>
      <c r="Z435" s="76" t="n"/>
      <c r="AA435" s="75" t="n">
        <v>9.140000000000001</v>
      </c>
      <c r="AB435" s="71"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AC435" s="71" t="inlineStr">
        <is>
          <t>ngs;factorial;hel;alphahill;jupiter;nonaverse;jinyi;omnivision;xin;desay;valliance</t>
        </is>
      </c>
      <c r="AD435" s="75" t="n"/>
      <c r="AE435" s="71" t="n"/>
      <c r="AF435" s="71" t="n"/>
      <c r="AG435" s="71" t="inlineStr">
        <is>
          <t>China International Capital Corporation Hong Kong Securities Limited</t>
        </is>
      </c>
      <c r="AH435" s="71" t="inlineStr">
        <is>
          <t>China International</t>
        </is>
      </c>
      <c r="AI435" s="81" t="n">
        <v>-4.255</v>
      </c>
      <c r="AJ435" s="82" t="n">
        <v>0</v>
      </c>
      <c r="AK435" s="82" t="n">
        <v>0</v>
      </c>
      <c r="AL435" s="82" t="n">
        <v>0</v>
      </c>
      <c r="AM435" s="83" t="n">
        <v>2.15</v>
      </c>
      <c r="AN435" s="75" t="n">
        <v>3.48</v>
      </c>
      <c r="AO435" s="82" t="n">
        <v>20.21</v>
      </c>
      <c r="AP435" s="82" t="n">
        <v>-11.21</v>
      </c>
      <c r="AQ435" s="82" t="n">
        <v>-28.01</v>
      </c>
      <c r="AR435" s="82" t="n">
        <v>20.21</v>
      </c>
      <c r="AS435" s="82" t="n">
        <v>-11.21</v>
      </c>
      <c r="AT435" s="82" t="n">
        <v>-28.01</v>
      </c>
      <c r="AU435" s="82" t="n">
        <v>23.89</v>
      </c>
      <c r="AV435" s="82" t="n">
        <v>-5.51</v>
      </c>
      <c r="AW435" s="82" t="n">
        <v>-17.82</v>
      </c>
      <c r="AX435" s="82" t="n">
        <v>-5.07</v>
      </c>
      <c r="AY435" s="82" t="n">
        <v>-5.7</v>
      </c>
      <c r="AZ435" s="82" t="n">
        <v>-6.14</v>
      </c>
      <c r="BA435" s="71" t="inlineStr">
        <is>
          <t>HSTECH (Hang Seng TECH ETF)</t>
        </is>
      </c>
      <c r="BB435" s="82" t="n">
        <v>-19.22</v>
      </c>
      <c r="BC435" s="72" t="inlineStr">
        <is>
          <t>2026-09-23</t>
        </is>
      </c>
      <c r="BD435" s="73" t="n">
        <v>617.9</v>
      </c>
      <c r="BE435" s="76" t="n">
        <v>-249.7</v>
      </c>
      <c r="BF435" s="71" t="inlineStr">
        <is>
          <t>N</t>
        </is>
      </c>
      <c r="BG435" s="71" t="inlineStr">
        <is>
          <t>n/m</t>
        </is>
      </c>
      <c r="BH435" s="83" t="n"/>
      <c r="BI435" s="83" t="n"/>
      <c r="BJ435" s="83" t="n">
        <v>26.8</v>
      </c>
      <c r="BK435" s="84">
        <f>IF('BBG Verify'!S435="","not filed; run on terminal",'BBG Verify'!S435)</f>
        <v/>
      </c>
      <c r="BL435" s="85" t="inlineStr">
        <is>
          <t>N</t>
        </is>
      </c>
      <c r="BM435" s="86">
        <f>IF('BBG Verify'!K435="","not filed; run on terminal",'BBG Verify'!K435)</f>
        <v/>
      </c>
      <c r="BN435" s="71" t="inlineStr">
        <is>
          <t>N/A</t>
        </is>
      </c>
      <c r="BO435" s="71" t="inlineStr">
        <is>
          <t>N/A</t>
        </is>
      </c>
      <c r="BP435" s="71" t="inlineStr">
        <is>
          <t>N/A</t>
        </is>
      </c>
      <c r="BQ435" s="71" t="inlineStr">
        <is>
          <t>N/A</t>
        </is>
      </c>
      <c r="BR435" s="71" t="inlineStr">
        <is>
          <t>N/A</t>
        </is>
      </c>
      <c r="BS435" s="71" t="inlineStr">
        <is>
          <t>N/A</t>
        </is>
      </c>
      <c r="BT435" s="85" t="n"/>
      <c r="BU435" s="71" t="inlineStr">
        <is>
          <t>China International Capital Corporation Hong Kong Securities Limited; BOCOM International (Asia) Limited; Guotai Junan Capital Limited</t>
        </is>
      </c>
      <c r="BV435" s="71" t="inlineStr">
        <is>
          <t>BOCOM International Securities Limited; China International Capital Corporation Hong Kong Securities Limited; Guotai Junan Securities (Hong Kong) Limited</t>
        </is>
      </c>
      <c r="BW435" s="71" t="inlineStr">
        <is>
          <t>BOCOM International Securities Limited; China International Capital Corporation Hong Kong Securities Limited; Guotai Junan Securities (Hong Kong) Limited</t>
        </is>
      </c>
      <c r="BX435" s="71" t="n"/>
      <c r="BY435" s="87">
        <f>HYPERLINK("https://www1.hkexnews.hk/listedco/listconews/sehk/2026/0209/2026020901278.pdf","allotment")</f>
        <v/>
      </c>
      <c r="BZ435" s="71" t="n"/>
      <c r="CA435" s="85" t="n"/>
      <c r="CB435" s="71"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eff float shares: share count unavailable; the HK$m figure is exact</t>
        </is>
      </c>
    </row>
    <row r="436" ht="15" customHeight="1">
      <c r="A436" s="70" t="inlineStr">
        <is>
          <t>0470</t>
        </is>
      </c>
      <c r="B436" s="71" t="inlineStr">
        <is>
          <t>WUXI LEAD</t>
        </is>
      </c>
      <c r="C436" s="71" t="inlineStr">
        <is>
          <t>先導智能</t>
        </is>
      </c>
      <c r="D436" s="71" t="inlineStr">
        <is>
          <t>Industrials</t>
        </is>
      </c>
      <c r="E436" s="71" t="inlineStr">
        <is>
          <t>Capital goods / machinery</t>
        </is>
      </c>
      <c r="F436" s="71" t="inlineStr">
        <is>
          <t>Advanced hardware and software</t>
        </is>
      </c>
      <c r="G436" s="71" t="inlineStr">
        <is>
          <t>Standard</t>
        </is>
      </c>
      <c r="H436" s="72" t="n">
        <v>46064</v>
      </c>
      <c r="I436" s="73" t="n">
        <v>4930.8</v>
      </c>
      <c r="J436" s="71" t="inlineStr">
        <is>
          <t>gross (stated)</t>
        </is>
      </c>
      <c r="K436" s="74" t="n"/>
      <c r="L436" s="74" t="n">
        <v>45.8</v>
      </c>
      <c r="M436" s="74" t="n">
        <v>45.8</v>
      </c>
      <c r="N436" s="71" t="inlineStr">
        <is>
          <t>Y</t>
        </is>
      </c>
      <c r="O436" s="75" t="n">
        <v>100</v>
      </c>
      <c r="P436" s="75" t="n"/>
      <c r="Q436" s="76" t="n">
        <v>76661</v>
      </c>
      <c r="R436" s="71" t="inlineStr">
        <is>
          <t>derived:price x shares upon listing</t>
        </is>
      </c>
      <c r="S436" s="77" t="n">
        <v>79.54000000000001</v>
      </c>
      <c r="T436" s="88">
        <f>IF('BBG Verify'!E436="","not filed; run on terminal",'BBG Verify'!E436)</f>
        <v/>
      </c>
      <c r="U436" s="79" t="n">
        <v>43.5</v>
      </c>
      <c r="V436" s="80" t="n"/>
      <c r="W436" s="75" t="n">
        <v>8.699999999999999</v>
      </c>
      <c r="X436" s="71" t="inlineStr">
        <is>
          <t>NA</t>
        </is>
      </c>
      <c r="Y436" s="76" t="n">
        <v>2785.9</v>
      </c>
      <c r="Z436" s="76" t="n">
        <v>60826996</v>
      </c>
      <c r="AA436" s="75" t="n">
        <v>3.63</v>
      </c>
      <c r="AB436" s="71" t="inlineStr">
        <is>
          <t>Pinpoint; Offshore SP3; Ovata Capital; Millennium ICSA; Oaktree; MY Asian</t>
        </is>
      </c>
      <c r="AC436" s="71" t="inlineStr">
        <is>
          <t>pinpoint;offshore;ovata;millennium;oaktree;my</t>
        </is>
      </c>
      <c r="AD436" s="75" t="n">
        <v>15</v>
      </c>
      <c r="AE436" s="71" t="inlineStr">
        <is>
          <t>partial</t>
        </is>
      </c>
      <c r="AF436" s="71" t="n"/>
      <c r="AG436" s="71" t="inlineStr">
        <is>
          <t>J.P. Morgan Securities</t>
        </is>
      </c>
      <c r="AH436" s="71" t="inlineStr">
        <is>
          <t>JP Morgan</t>
        </is>
      </c>
      <c r="AI436" s="81" t="n">
        <v>1.9</v>
      </c>
      <c r="AJ436" s="82" t="n">
        <v>0</v>
      </c>
      <c r="AK436" s="82" t="n">
        <v>1</v>
      </c>
      <c r="AL436" s="82" t="n">
        <v>-0.99</v>
      </c>
      <c r="AM436" s="83" t="n">
        <v>2.82</v>
      </c>
      <c r="AN436" s="75" t="n">
        <v>3.24</v>
      </c>
      <c r="AO436" s="82" t="n">
        <v>0.61</v>
      </c>
      <c r="AP436" s="82" t="n">
        <v>-9.039999999999999</v>
      </c>
      <c r="AQ436" s="82" t="n">
        <v>15.5</v>
      </c>
      <c r="AR436" s="82" t="n">
        <v>0.61</v>
      </c>
      <c r="AS436" s="82" t="n">
        <v>-9.039999999999999</v>
      </c>
      <c r="AT436" s="82" t="n">
        <v>15.5</v>
      </c>
      <c r="AU436" s="82" t="n">
        <v>1.12</v>
      </c>
      <c r="AV436" s="82" t="n">
        <v>-4.23</v>
      </c>
      <c r="AW436" s="82" t="n">
        <v>24.71</v>
      </c>
      <c r="AX436" s="82" t="n">
        <v>-3.62</v>
      </c>
      <c r="AY436" s="82" t="n">
        <v>-4.81</v>
      </c>
      <c r="AZ436" s="82" t="n">
        <v>-5.42</v>
      </c>
      <c r="BA436" s="71" t="inlineStr">
        <is>
          <t>Hang Seng Commerce &amp; Industry sub-index</t>
        </is>
      </c>
      <c r="BB436" s="82" t="n">
        <v>-40.26</v>
      </c>
      <c r="BC436" s="72" t="inlineStr">
        <is>
          <t>2026-09-23</t>
        </is>
      </c>
      <c r="BD436" s="73" t="n">
        <v>13040.6</v>
      </c>
      <c r="BE436" s="76" t="n">
        <v>314.7</v>
      </c>
      <c r="BF436" s="71" t="inlineStr">
        <is>
          <t>Y</t>
        </is>
      </c>
      <c r="BG436" s="83" t="n">
        <v>243.6</v>
      </c>
      <c r="BH436" s="83" t="n"/>
      <c r="BI436" s="83" t="n"/>
      <c r="BJ436" s="83" t="n">
        <v>5.9</v>
      </c>
      <c r="BK436" s="84">
        <f>IF('BBG Verify'!S436="","not filed; run on terminal",'BBG Verify'!S436)</f>
        <v/>
      </c>
      <c r="BL436" s="85" t="inlineStr">
        <is>
          <t>Y</t>
        </is>
      </c>
      <c r="BM436" s="71" t="inlineStr">
        <is>
          <t>300450.SZ</t>
        </is>
      </c>
      <c r="BN436" s="82" t="n">
        <v>41.82</v>
      </c>
      <c r="BO436" s="74" t="n">
        <v>64.9515</v>
      </c>
      <c r="BP436" s="89" t="n">
        <v>0.3656</v>
      </c>
      <c r="BQ436" s="76" t="n">
        <v>63655.9</v>
      </c>
      <c r="BR436" s="84">
        <f>IF('BBG Verify'!Q436="","run on terminal",'BBG Verify'!Q436)</f>
        <v/>
      </c>
      <c r="BS436" s="84">
        <f>IF('BBG Verify'!R436="","run on terminal",'BBG Verify'!R436)</f>
        <v/>
      </c>
      <c r="BT436" s="85" t="inlineStr">
        <is>
          <t>CITIC Securities (Hong Kong) Limited; J.P. Morgan Securities (Far East) Limited</t>
        </is>
      </c>
      <c r="BU436" s="71" t="inlineStr">
        <is>
          <t>J.P. Morgan Securities (Far East) Limited; CITIC Securities (Hong Kong) Limited</t>
        </is>
      </c>
      <c r="BV436" s="71" t="inlineStr">
        <is>
          <t>CMB International Capital Limited; ICBC International Securities Limited; SPDB International Capital Limited</t>
        </is>
      </c>
      <c r="BW436" s="71"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X436" s="87">
        <f>HYPERLINK("https://www1.hkexnews.hk/listedco/listconews/sehk/2026/0203/2026020300009.pdf","prospectus")</f>
        <v/>
      </c>
      <c r="BY436" s="87">
        <f>HYPERLINK("https://www1.hkexnews.hk/listedco/listconews/sehk/2026/0210/2026021001338.pdf","allotment")</f>
        <v/>
      </c>
      <c r="BZ436" s="87">
        <f>HYPERLINK("https://www1.hkexnews.hk/listedco/listconews/sehk/2026/0308/2026030800191.pdf","stabilisation")</f>
        <v/>
      </c>
      <c r="CA436" s="85" t="n"/>
      <c r="CB436" s="71" t="inlineStr">
        <is>
          <t>intl sub: not stated in the filing; greenshoe: outcome published; expiry date not in the notice; range low: maximum offer price only, no floor published; A/H: Feb 2026 H listing (battery-making equipment); allocation: allocation table not in this notice's format (older prose announcement)</t>
        </is>
      </c>
    </row>
    <row r="437" ht="15" customHeight="1">
      <c r="A437" s="70" t="inlineStr">
        <is>
          <t>2706</t>
        </is>
      </c>
      <c r="B437" s="71" t="inlineStr">
        <is>
          <t>HAIZHI TECH GP</t>
        </is>
      </c>
      <c r="C437" s="71" t="inlineStr">
        <is>
          <t>海致科技集團</t>
        </is>
      </c>
      <c r="D437" s="71" t="inlineStr">
        <is>
          <t>Tech/AI</t>
        </is>
      </c>
      <c r="E437" s="71" t="inlineStr">
        <is>
          <t>AI application / agent software</t>
        </is>
      </c>
      <c r="F437" s="71" t="inlineStr">
        <is>
          <t>Advanced hardware and software</t>
        </is>
      </c>
      <c r="G437" s="71" t="inlineStr">
        <is>
          <t>Standard</t>
        </is>
      </c>
      <c r="H437" s="72" t="n">
        <v>46066</v>
      </c>
      <c r="I437" s="73" t="n">
        <v>758.5</v>
      </c>
      <c r="J437" s="71" t="inlineStr">
        <is>
          <t>gross (stated)</t>
        </is>
      </c>
      <c r="K437" s="74" t="n">
        <v>25.6</v>
      </c>
      <c r="L437" s="74" t="n">
        <v>28</v>
      </c>
      <c r="M437" s="74" t="n">
        <v>27.06</v>
      </c>
      <c r="N437" s="71" t="inlineStr">
        <is>
          <t>N</t>
        </is>
      </c>
      <c r="O437" s="75" t="n">
        <v>96.59999999999999</v>
      </c>
      <c r="P437" s="75" t="n">
        <v>60.8</v>
      </c>
      <c r="Q437" s="76" t="n">
        <v>10835.7</v>
      </c>
      <c r="R437" s="71" t="inlineStr">
        <is>
          <t>derived:price x shares upon listing</t>
        </is>
      </c>
      <c r="S437" s="77" t="n">
        <v>5065.06</v>
      </c>
      <c r="T437" s="78" t="n">
        <v>8.390000000000001</v>
      </c>
      <c r="U437" s="79" t="n">
        <v>93</v>
      </c>
      <c r="V437" s="80" t="n">
        <v>120</v>
      </c>
      <c r="W437" s="75" t="n">
        <v>10</v>
      </c>
      <c r="X437" s="71" t="inlineStr">
        <is>
          <t>NA</t>
        </is>
      </c>
      <c r="Y437" s="76" t="n">
        <v>53.09</v>
      </c>
      <c r="Z437" s="76" t="n">
        <v>1962114</v>
      </c>
      <c r="AA437" s="75" t="n">
        <v>0.49</v>
      </c>
      <c r="AB437" s="71"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AC437" s="71" t="inlineStr">
        <is>
          <t>ren-xuyang;yang-zaifei;lc;bai-gmbh;sky;yifang;shi-youcai;yang-juan;wan-pengjiang;hu-song;tal;alternative</t>
        </is>
      </c>
      <c r="AD437" s="75" t="n"/>
      <c r="AE437" s="71" t="n"/>
      <c r="AF437" s="71" t="n"/>
      <c r="AG437" s="71" t="n"/>
      <c r="AH437" s="71" t="n"/>
      <c r="AI437" s="81" t="n">
        <v>210.421</v>
      </c>
      <c r="AJ437" s="82" t="n">
        <v>242.2</v>
      </c>
      <c r="AK437" s="82" t="n">
        <v>204.14</v>
      </c>
      <c r="AL437" s="82" t="n">
        <v>12.51</v>
      </c>
      <c r="AM437" s="83" t="n">
        <v>3.5</v>
      </c>
      <c r="AN437" s="75" t="n">
        <v>21.02</v>
      </c>
      <c r="AO437" s="82" t="n">
        <v>298.74</v>
      </c>
      <c r="AP437" s="82" t="n">
        <v>204.69</v>
      </c>
      <c r="AQ437" s="82" t="n">
        <v>132.45</v>
      </c>
      <c r="AR437" s="82" t="n">
        <v>16.52</v>
      </c>
      <c r="AS437" s="82" t="n">
        <v>-10.96</v>
      </c>
      <c r="AT437" s="82" t="n">
        <v>-32.07</v>
      </c>
      <c r="AU437" s="82" t="n">
        <v>301.67</v>
      </c>
      <c r="AV437" s="82" t="n">
        <v>212.53</v>
      </c>
      <c r="AW437" s="82" t="n">
        <v>142.63</v>
      </c>
      <c r="AX437" s="82" t="n">
        <v>-4.09</v>
      </c>
      <c r="AY437" s="82" t="n">
        <v>-7.84</v>
      </c>
      <c r="AZ437" s="82" t="n">
        <v>-6.87</v>
      </c>
      <c r="BA437" s="71" t="inlineStr">
        <is>
          <t>HSTECH (Hang Seng TECH ETF)</t>
        </is>
      </c>
      <c r="BB437" s="82" t="n">
        <v>57.8</v>
      </c>
      <c r="BC437" s="72" t="inlineStr">
        <is>
          <t>2026-09-23</t>
        </is>
      </c>
      <c r="BD437" s="73" t="n">
        <v>553.4</v>
      </c>
      <c r="BE437" s="76" t="n">
        <v>-103.1</v>
      </c>
      <c r="BF437" s="71" t="inlineStr">
        <is>
          <t>N</t>
        </is>
      </c>
      <c r="BG437" s="71" t="inlineStr">
        <is>
          <t>n/m</t>
        </is>
      </c>
      <c r="BH437" s="83" t="n"/>
      <c r="BI437" s="83" t="n"/>
      <c r="BJ437" s="83" t="n">
        <v>19.6</v>
      </c>
      <c r="BK437" s="84">
        <f>IF('BBG Verify'!S437="","not filed; run on terminal",'BBG Verify'!S437)</f>
        <v/>
      </c>
      <c r="BL437" s="85" t="inlineStr">
        <is>
          <t>N</t>
        </is>
      </c>
      <c r="BM437" s="86">
        <f>IF('BBG Verify'!K437="","not filed; run on terminal",'BBG Verify'!K437)</f>
        <v/>
      </c>
      <c r="BN437" s="71" t="inlineStr">
        <is>
          <t>N/A</t>
        </is>
      </c>
      <c r="BO437" s="71" t="inlineStr">
        <is>
          <t>N/A</t>
        </is>
      </c>
      <c r="BP437" s="71" t="inlineStr">
        <is>
          <t>N/A</t>
        </is>
      </c>
      <c r="BQ437" s="71" t="inlineStr">
        <is>
          <t>N/A</t>
        </is>
      </c>
      <c r="BR437" s="71" t="inlineStr">
        <is>
          <t>N/A</t>
        </is>
      </c>
      <c r="BS437" s="71" t="inlineStr">
        <is>
          <t>N/A</t>
        </is>
      </c>
      <c r="BT437" s="85" t="inlineStr">
        <is>
          <t>CMB International Capital Limited; BOCI Asia Limited; Shenwan Hongyuan Capital (H.K.) Limited</t>
        </is>
      </c>
      <c r="BU437" s="71" t="inlineStr">
        <is>
          <t>CMB International Capital Limited; BOCI Asia Limited; Shenwan Hongyuan Capital (H.K.) Limited</t>
        </is>
      </c>
      <c r="BV437" s="71"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W437" s="71"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X437" s="87">
        <f>HYPERLINK("https://www1.hkexnews.hk/listedco/listconews/sehk/2026/0205/2026020500037.pdf","prospectus")</f>
        <v/>
      </c>
      <c r="BY437" s="87">
        <f>HYPERLINK("https://www1.hkexnews.hk/listedco/listconews/sehk/2026/0212/2026021201324.pdf","allotment")</f>
        <v/>
      </c>
      <c r="BZ437" s="71" t="n"/>
      <c r="CA437" s="85" t="n"/>
      <c r="CB437" s="71"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70" t="inlineStr">
        <is>
          <t>9981</t>
        </is>
      </c>
      <c r="B438" s="71" t="inlineStr">
        <is>
          <t>WOER</t>
        </is>
      </c>
      <c r="C438" s="71" t="inlineStr">
        <is>
          <t>沃爾核材</t>
        </is>
      </c>
      <c r="D438" s="71" t="inlineStr">
        <is>
          <t>Materials/Energy</t>
        </is>
      </c>
      <c r="E438" s="71" t="inlineStr">
        <is>
          <t>Chemicals</t>
        </is>
      </c>
      <c r="F438" s="71" t="inlineStr">
        <is>
          <t>Electrical Components &amp; Equipment</t>
        </is>
      </c>
      <c r="G438" s="71" t="inlineStr">
        <is>
          <t>Standard</t>
        </is>
      </c>
      <c r="H438" s="72" t="n">
        <v>46066</v>
      </c>
      <c r="I438" s="73" t="n">
        <v>2812.4</v>
      </c>
      <c r="J438" s="71" t="inlineStr">
        <is>
          <t>gross (stated)</t>
        </is>
      </c>
      <c r="K438" s="74" t="n"/>
      <c r="L438" s="74" t="n">
        <v>20.09</v>
      </c>
      <c r="M438" s="74" t="n">
        <v>20.09</v>
      </c>
      <c r="N438" s="71" t="inlineStr">
        <is>
          <t>Y</t>
        </is>
      </c>
      <c r="O438" s="75" t="n">
        <v>100</v>
      </c>
      <c r="P438" s="75" t="n"/>
      <c r="Q438" s="76" t="n">
        <v>28123.7</v>
      </c>
      <c r="R438" s="71" t="inlineStr">
        <is>
          <t>derived:price x shares upon listing</t>
        </is>
      </c>
      <c r="S438" s="77" t="n">
        <v>569.58</v>
      </c>
      <c r="T438" s="78" t="n">
        <v>8.19</v>
      </c>
      <c r="U438" s="79" t="n">
        <v>34.45</v>
      </c>
      <c r="V438" s="80" t="n">
        <v>116</v>
      </c>
      <c r="W438" s="75" t="n">
        <v>10</v>
      </c>
      <c r="X438" s="71" t="inlineStr">
        <is>
          <t>NA</t>
        </is>
      </c>
      <c r="Y438" s="76" t="n">
        <v>1843.53</v>
      </c>
      <c r="Z438" s="76" t="n">
        <v>91762658</v>
      </c>
      <c r="AA438" s="75" t="n">
        <v>6.56</v>
      </c>
      <c r="AB438" s="71"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AC438" s="71" t="inlineStr">
        <is>
          <t>hhlr;shanghai-greenwoods;jump;huizhou;jiangxi;shen-zhen;best;rime;scv;yield;guohui;pu;capchem;enhanced;factorial</t>
        </is>
      </c>
      <c r="AD438" s="75" t="n"/>
      <c r="AE438" s="71" t="n"/>
      <c r="AF438" s="71" t="n"/>
      <c r="AG438" s="71" t="n"/>
      <c r="AH438" s="71" t="n"/>
      <c r="AI438" s="81" t="n">
        <v>4.928</v>
      </c>
      <c r="AJ438" s="82" t="n">
        <v>2.94</v>
      </c>
      <c r="AK438" s="82" t="n">
        <v>0.05</v>
      </c>
      <c r="AL438" s="82" t="n">
        <v>2.89</v>
      </c>
      <c r="AM438" s="83" t="n">
        <v>2.28</v>
      </c>
      <c r="AN438" s="75" t="n">
        <v>8.460000000000001</v>
      </c>
      <c r="AO438" s="82" t="n">
        <v>3.04</v>
      </c>
      <c r="AP438" s="82" t="n">
        <v>1.05</v>
      </c>
      <c r="AQ438" s="82" t="n">
        <v>-28.07</v>
      </c>
      <c r="AR438" s="82" t="n">
        <v>0.1</v>
      </c>
      <c r="AS438" s="82" t="n">
        <v>-1.84</v>
      </c>
      <c r="AT438" s="82" t="n">
        <v>-30.12</v>
      </c>
      <c r="AU438" s="82" t="n">
        <v>4.99</v>
      </c>
      <c r="AV438" s="82" t="n">
        <v>7.19</v>
      </c>
      <c r="AW438" s="82" t="n">
        <v>-18.36</v>
      </c>
      <c r="AX438" s="82" t="n">
        <v>2.93</v>
      </c>
      <c r="AY438" s="82" t="n">
        <v>-6.14</v>
      </c>
      <c r="AZ438" s="82" t="n">
        <v>-4.77</v>
      </c>
      <c r="BA438" s="71" t="inlineStr">
        <is>
          <t>Hang Seng Commerce &amp; Industry sub-index</t>
        </is>
      </c>
      <c r="BB438" s="82" t="n">
        <v>-56.22</v>
      </c>
      <c r="BC438" s="72" t="inlineStr">
        <is>
          <t>2026-09-23</t>
        </is>
      </c>
      <c r="BD438" s="73" t="n">
        <v>7612.1</v>
      </c>
      <c r="BE438" s="76" t="n">
        <v>1012.6</v>
      </c>
      <c r="BF438" s="71" t="inlineStr">
        <is>
          <t>Y</t>
        </is>
      </c>
      <c r="BG438" s="83" t="n">
        <v>27.8</v>
      </c>
      <c r="BH438" s="83" t="n">
        <v>19.9</v>
      </c>
      <c r="BI438" s="83" t="n">
        <v>10.1</v>
      </c>
      <c r="BJ438" s="83" t="n">
        <v>3.7</v>
      </c>
      <c r="BK438" s="84">
        <f>IF('BBG Verify'!S438="","not filed; run on terminal",'BBG Verify'!S438)</f>
        <v/>
      </c>
      <c r="BL438" s="85" t="inlineStr">
        <is>
          <t>Y</t>
        </is>
      </c>
      <c r="BM438" s="71" t="inlineStr">
        <is>
          <t>002130.SZ</t>
        </is>
      </c>
      <c r="BN438" s="82" t="n">
        <v>58.6</v>
      </c>
      <c r="BO438" s="74" t="n">
        <v>31.8623</v>
      </c>
      <c r="BP438" s="89" t="n">
        <v>1.2371</v>
      </c>
      <c r="BQ438" s="76" t="n">
        <v>28193.8</v>
      </c>
      <c r="BR438" s="84">
        <f>IF('BBG Verify'!Q438="","run on terminal",'BBG Verify'!Q438)</f>
        <v/>
      </c>
      <c r="BS438" s="84">
        <f>IF('BBG Verify'!R438="","run on terminal",'BBG Verify'!R438)</f>
        <v/>
      </c>
      <c r="BT438" s="85" t="n"/>
      <c r="BU438" s="71" t="inlineStr">
        <is>
          <t>China Securities (International) Corporate Finance Company Limited; China Merchants Securities (HK) Company Limited</t>
        </is>
      </c>
      <c r="BV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X438" s="87">
        <f>HYPERLINK("https://www1.hkexnews.hk/listedco/listconews/sehk/2026/0205/2026020500092.htm","prospectus")</f>
        <v/>
      </c>
      <c r="BY438" s="87">
        <f>HYPERLINK("https://www1.hkexnews.hk/listedco/listconews/sehk/2026/0212/2026021201492.pdf","allotment")</f>
        <v/>
      </c>
      <c r="BZ438" s="71" t="n"/>
      <c r="CA438" s="85" t="n"/>
      <c r="CB438" s="71"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t>
        </is>
      </c>
    </row>
    <row r="439" ht="15" customHeight="1">
      <c r="A439" s="70" t="inlineStr">
        <is>
          <t>2715</t>
        </is>
      </c>
      <c r="B439" s="71" t="inlineStr">
        <is>
          <t>ESTUN</t>
        </is>
      </c>
      <c r="C439" s="71" t="inlineStr">
        <is>
          <t>埃斯頓</t>
        </is>
      </c>
      <c r="D439" s="71" t="inlineStr">
        <is>
          <t>Tech/AI</t>
        </is>
      </c>
      <c r="E439" s="71" t="inlineStr">
        <is>
          <t>Robotics &amp; autonomous driving</t>
        </is>
      </c>
      <c r="F439" s="71" t="inlineStr">
        <is>
          <t>Next-generation information technology</t>
        </is>
      </c>
      <c r="G439" s="71" t="inlineStr">
        <is>
          <t>Standard</t>
        </is>
      </c>
      <c r="H439" s="72" t="n">
        <v>46090</v>
      </c>
      <c r="I439" s="73" t="n">
        <v>1486.54</v>
      </c>
      <c r="J439" s="71" t="inlineStr">
        <is>
          <t>gross (stated)</t>
        </is>
      </c>
      <c r="K439" s="74" t="n">
        <v>15.36</v>
      </c>
      <c r="L439" s="74" t="n">
        <v>17</v>
      </c>
      <c r="M439" s="74" t="n">
        <v>15.36</v>
      </c>
      <c r="N439" s="71" t="inlineStr">
        <is>
          <t>N</t>
        </is>
      </c>
      <c r="O439" s="75" t="n">
        <v>90.40000000000001</v>
      </c>
      <c r="P439" s="75" t="n">
        <v>0</v>
      </c>
      <c r="Q439" s="76" t="n">
        <v>16299.5</v>
      </c>
      <c r="R439" s="71" t="inlineStr">
        <is>
          <t>aastocks:上市市值 at the struck price</t>
        </is>
      </c>
      <c r="S439" s="77" t="n">
        <v>19.67</v>
      </c>
      <c r="T439" s="78" t="n">
        <v>3.34</v>
      </c>
      <c r="U439" s="79" t="n">
        <v>35.1</v>
      </c>
      <c r="V439" s="80" t="n">
        <v>87</v>
      </c>
      <c r="W439" s="75" t="n">
        <v>10</v>
      </c>
      <c r="X439" s="71" t="inlineStr">
        <is>
          <t>NA</t>
        </is>
      </c>
      <c r="Y439" s="76" t="n">
        <v>964.76</v>
      </c>
      <c r="Z439" s="76" t="n">
        <v>62810220</v>
      </c>
      <c r="AA439" s="75" t="n">
        <v>5.92</v>
      </c>
      <c r="AB439" s="71" t="inlineStr">
        <is>
          <t>Deep Source Holdings Limited; Dreamee (Hong Kong) Open-ended Fund Company; Haitian Huayuan (Singapore) Pte. Ltd; Harvest Oriental SP; Hengtong Optic-electric International Co., Limited; New Fortune Holdings Group Limited; Qianhai Hezhong Investment Holding Limited</t>
        </is>
      </c>
      <c r="AC439" s="71" t="inlineStr">
        <is>
          <t>deep;dreamee;haitian;harvest;hengtong;new-fortune;qianhai</t>
        </is>
      </c>
      <c r="AD439" s="75" t="n">
        <v>5.1</v>
      </c>
      <c r="AE439" s="71" t="inlineStr">
        <is>
          <t>lapsed</t>
        </is>
      </c>
      <c r="AF439" s="71" t="inlineStr">
        <is>
          <t>2026-04-03</t>
        </is>
      </c>
      <c r="AG439" s="71" t="inlineStr">
        <is>
          <t>Huatai Financial Holdings</t>
        </is>
      </c>
      <c r="AH439" s="71" t="inlineStr">
        <is>
          <t>Huatai</t>
        </is>
      </c>
      <c r="AI439" s="81" t="n">
        <v>-8.202999999999999</v>
      </c>
      <c r="AJ439" s="82" t="n">
        <v>-16.02</v>
      </c>
      <c r="AK439" s="82" t="n">
        <v>0</v>
      </c>
      <c r="AL439" s="82" t="n">
        <v>-16.02</v>
      </c>
      <c r="AM439" s="83" t="n">
        <v>2.13</v>
      </c>
      <c r="AN439" s="75" t="n">
        <v>18.62</v>
      </c>
      <c r="AO439" s="82" t="n">
        <v>-16.41</v>
      </c>
      <c r="AP439" s="82" t="n">
        <v>-16.73</v>
      </c>
      <c r="AQ439" s="82" t="n">
        <v>8.27</v>
      </c>
      <c r="AR439" s="82" t="n">
        <v>-0.46</v>
      </c>
      <c r="AS439" s="82" t="n">
        <v>-0.85</v>
      </c>
      <c r="AT439" s="82" t="n">
        <v>28.92</v>
      </c>
      <c r="AU439" s="82" t="n">
        <v>-19.76</v>
      </c>
      <c r="AV439" s="82" t="n">
        <v>-15.12</v>
      </c>
      <c r="AW439" s="82" t="n">
        <v>13.98</v>
      </c>
      <c r="AX439" s="82" t="n">
        <v>0.47</v>
      </c>
      <c r="AY439" s="82" t="n">
        <v>-1.61</v>
      </c>
      <c r="AZ439" s="82" t="n">
        <v>-1.32</v>
      </c>
      <c r="BA439" s="71" t="inlineStr">
        <is>
          <t>HSTECH (Hang Seng TECH ETF)</t>
        </is>
      </c>
      <c r="BB439" s="82" t="n">
        <v>-5.14</v>
      </c>
      <c r="BC439" s="72" t="inlineStr">
        <is>
          <t>2026-09-23</t>
        </is>
      </c>
      <c r="BD439" s="73" t="n">
        <v>4409.6</v>
      </c>
      <c r="BE439" s="76" t="n">
        <v>-664.6</v>
      </c>
      <c r="BF439" s="71" t="inlineStr">
        <is>
          <t>N</t>
        </is>
      </c>
      <c r="BG439" s="71" t="inlineStr">
        <is>
          <t>n/m</t>
        </is>
      </c>
      <c r="BH439" s="83" t="n">
        <v>210.8</v>
      </c>
      <c r="BI439" s="83" t="n">
        <v>303.5</v>
      </c>
      <c r="BJ439" s="83" t="n">
        <v>3.7</v>
      </c>
      <c r="BK439" s="84">
        <f>IF('BBG Verify'!S439="","not filed; run on terminal",'BBG Verify'!S439)</f>
        <v/>
      </c>
      <c r="BL439" s="85" t="inlineStr">
        <is>
          <t>Y</t>
        </is>
      </c>
      <c r="BM439" s="71" t="inlineStr">
        <is>
          <t>002747.SZ</t>
        </is>
      </c>
      <c r="BN439" s="82" t="n">
        <v>64.04000000000001</v>
      </c>
      <c r="BO439" s="74" t="n">
        <v>25.1964</v>
      </c>
      <c r="BP439" s="89" t="n">
        <v>1.3272</v>
      </c>
      <c r="BQ439" s="76" t="n">
        <v>33820.9</v>
      </c>
      <c r="BR439" s="84">
        <f>IF('BBG Verify'!Q439="","run on terminal",'BBG Verify'!Q439)</f>
        <v/>
      </c>
      <c r="BS439" s="84">
        <f>IF('BBG Verify'!R439="","run on terminal",'BBG Verify'!R439)</f>
        <v/>
      </c>
      <c r="BT439" s="85" t="inlineStr">
        <is>
          <t>Huatai Financial Holdings (Hong Kong) Limited</t>
        </is>
      </c>
      <c r="BU439" s="71" t="inlineStr">
        <is>
          <t>Huatai Financial Holdings (Hong Kong) Limited</t>
        </is>
      </c>
      <c r="BV439" s="71"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W439" s="71"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X439" s="87">
        <f>HYPERLINK("https://www1.hkexnews.hk/listedco/listconews/sehk/2026/0227/2026022700017.pdf","prospectus")</f>
        <v/>
      </c>
      <c r="BY439" s="87">
        <f>HYPERLINK("https://www1.hkexnews.hk/listedco/listconews/sehk/2026/0306/2026030601391.pdf","allotment")</f>
        <v/>
      </c>
      <c r="BZ439" s="87">
        <f>HYPERLINK("https://www1.hkexnews.hk/listedco/listconews/sehk/2026/0407/2026040700049.pdf","stabilisation")</f>
        <v/>
      </c>
      <c r="CA439" s="85" t="n"/>
      <c r="CB439" s="71" t="inlineStr">
        <is>
          <t>P/E: loss-making at IPO, use P/S; A/H: Mar 2026 H listing (industrial robots); market cap: published listing cap used; the estimate from deal size / offer % of enlarged capital disagreed</t>
        </is>
      </c>
    </row>
    <row r="440" ht="15" customHeight="1">
      <c r="A440" s="70" t="inlineStr">
        <is>
          <t>2649</t>
        </is>
      </c>
      <c r="B440" s="71" t="inlineStr">
        <is>
          <t>ALSCO POOLING</t>
        </is>
      </c>
      <c r="C440" s="71" t="inlineStr">
        <is>
          <t>優樂賽共享</t>
        </is>
      </c>
      <c r="D440" s="71" t="inlineStr">
        <is>
          <t>Industrials</t>
        </is>
      </c>
      <c r="E440" s="71" t="inlineStr">
        <is>
          <t>Logistics</t>
        </is>
      </c>
      <c r="F440" s="71" t="inlineStr">
        <is>
          <t>Metal &amp; Glass &amp; Plastic Packaging</t>
        </is>
      </c>
      <c r="G440" s="71" t="inlineStr">
        <is>
          <t>Standard</t>
        </is>
      </c>
      <c r="H440" s="72" t="n">
        <v>46090</v>
      </c>
      <c r="I440" s="73" t="n">
        <v>223.7</v>
      </c>
      <c r="J440" s="71" t="inlineStr">
        <is>
          <t>gross (stated)</t>
        </is>
      </c>
      <c r="K440" s="74" t="n">
        <v>11</v>
      </c>
      <c r="L440" s="74" t="n">
        <v>14</v>
      </c>
      <c r="M440" s="74" t="n">
        <v>11</v>
      </c>
      <c r="N440" s="71" t="inlineStr">
        <is>
          <t>N</t>
        </is>
      </c>
      <c r="O440" s="75" t="n">
        <v>78.59999999999999</v>
      </c>
      <c r="P440" s="75" t="n">
        <v>0</v>
      </c>
      <c r="Q440" s="76" t="n">
        <v>993.7</v>
      </c>
      <c r="R440" s="71" t="inlineStr">
        <is>
          <t>derived:price x shares upon listing</t>
        </is>
      </c>
      <c r="S440" s="77" t="n">
        <v>5297.23</v>
      </c>
      <c r="T440" s="78" t="n">
        <v>4.2</v>
      </c>
      <c r="U440" s="79" t="n">
        <v>0</v>
      </c>
      <c r="V440" s="80" t="n">
        <v>162</v>
      </c>
      <c r="W440" s="75" t="n">
        <v>10</v>
      </c>
      <c r="X440" s="71" t="inlineStr">
        <is>
          <t>NO</t>
        </is>
      </c>
      <c r="Y440" s="76" t="n">
        <v>223.7</v>
      </c>
      <c r="Z440" s="76" t="n">
        <v>20336000</v>
      </c>
      <c r="AA440" s="75" t="n">
        <v>22.51</v>
      </c>
      <c r="AB440" s="71" t="n"/>
      <c r="AC440" s="71" t="n"/>
      <c r="AD440" s="75" t="n">
        <v>15</v>
      </c>
      <c r="AE440" s="71" t="n"/>
      <c r="AF440" s="71" t="n"/>
      <c r="AG440" s="71" t="inlineStr">
        <is>
          <t>China Securities</t>
        </is>
      </c>
      <c r="AH440" s="71" t="inlineStr">
        <is>
          <t>China Securities</t>
        </is>
      </c>
      <c r="AI440" s="81" t="n">
        <v>-0.909</v>
      </c>
      <c r="AJ440" s="82" t="n">
        <v>-43.64</v>
      </c>
      <c r="AK440" s="82" t="n">
        <v>-31.82</v>
      </c>
      <c r="AL440" s="82" t="n">
        <v>-17.34</v>
      </c>
      <c r="AM440" s="83" t="n">
        <v>9.220000000000001</v>
      </c>
      <c r="AN440" s="75" t="n">
        <v>25.33</v>
      </c>
      <c r="AO440" s="82" t="n">
        <v>-53.09</v>
      </c>
      <c r="AP440" s="82" t="n">
        <v>-64.55</v>
      </c>
      <c r="AQ440" s="82" t="n">
        <v>-64.55</v>
      </c>
      <c r="AR440" s="82" t="n">
        <v>-16.77</v>
      </c>
      <c r="AS440" s="82" t="n">
        <v>-37.1</v>
      </c>
      <c r="AT440" s="82" t="n">
        <v>-37.1</v>
      </c>
      <c r="AU440" s="82" t="n">
        <v>-55.39</v>
      </c>
      <c r="AV440" s="82" t="n">
        <v>-63.77</v>
      </c>
      <c r="AW440" s="82" t="n">
        <v>-55.82</v>
      </c>
      <c r="AX440" s="82" t="n">
        <v>-37.03</v>
      </c>
      <c r="AY440" s="82" t="n">
        <v>-0.78</v>
      </c>
      <c r="AZ440" s="82" t="n">
        <v>-0.07000000000000001</v>
      </c>
      <c r="BA440" s="71" t="inlineStr">
        <is>
          <t>Hang Seng Commerce &amp; Industry sub-index</t>
        </is>
      </c>
      <c r="BB440" s="82" t="n">
        <v>-64.55</v>
      </c>
      <c r="BC440" s="72" t="inlineStr">
        <is>
          <t>2026-09-18</t>
        </is>
      </c>
      <c r="BD440" s="73" t="n">
        <v>921.4</v>
      </c>
      <c r="BE440" s="76" t="n">
        <v>55.8</v>
      </c>
      <c r="BF440" s="71" t="inlineStr">
        <is>
          <t>Y</t>
        </is>
      </c>
      <c r="BG440" s="83" t="n">
        <v>17.8</v>
      </c>
      <c r="BH440" s="83" t="n"/>
      <c r="BI440" s="83" t="n"/>
      <c r="BJ440" s="83" t="n">
        <v>1.1</v>
      </c>
      <c r="BK440" s="84">
        <f>IF('BBG Verify'!S440="","not filed; run on terminal",'BBG Verify'!S440)</f>
        <v/>
      </c>
      <c r="BL440" s="85" t="inlineStr">
        <is>
          <t>N</t>
        </is>
      </c>
      <c r="BM440" s="86">
        <f>IF('BBG Verify'!K440="","not filed; run on terminal",'BBG Verify'!K440)</f>
        <v/>
      </c>
      <c r="BN440" s="71" t="inlineStr">
        <is>
          <t>N/A</t>
        </is>
      </c>
      <c r="BO440" s="71" t="inlineStr">
        <is>
          <t>N/A</t>
        </is>
      </c>
      <c r="BP440" s="71" t="inlineStr">
        <is>
          <t>N/A</t>
        </is>
      </c>
      <c r="BQ440" s="71" t="inlineStr">
        <is>
          <t>N/A</t>
        </is>
      </c>
      <c r="BR440" s="71" t="inlineStr">
        <is>
          <t>N/A</t>
        </is>
      </c>
      <c r="BS440" s="71" t="inlineStr">
        <is>
          <t>N/A</t>
        </is>
      </c>
      <c r="BT440" s="85" t="inlineStr">
        <is>
          <t>China Securities (International) Corporate Finance Company Limited</t>
        </is>
      </c>
      <c r="BU440" s="71" t="inlineStr">
        <is>
          <t>China Securities (International) Corporate Finance Company Limited</t>
        </is>
      </c>
      <c r="BV440" s="71"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W440" s="71"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X440" s="87">
        <f>HYPERLINK("https://www1.hkexnews.hk/listedco/listconews/sehk/2026/0227/2026022700013.pdf","prospectus")</f>
        <v/>
      </c>
      <c r="BY440" s="87">
        <f>HYPERLINK("https://www1.hkexnews.hk/listedco/listconews/sehk/2026/0306/2026030601405.pdf","allotment")</f>
        <v/>
      </c>
      <c r="BZ440" s="71" t="n"/>
      <c r="CA440" s="85" t="n"/>
      <c r="CB440" s="71" t="inlineStr">
        <is>
          <t>greenshoe: end-of-stabilisation notice not found; cornerstone list: no cornerstone tranche</t>
        </is>
      </c>
    </row>
    <row r="441" ht="15" customHeight="1">
      <c r="A441" s="70" t="inlineStr">
        <is>
          <t>2692</t>
        </is>
      </c>
      <c r="B441" s="71" t="inlineStr">
        <is>
          <t>ZHAOWEI</t>
        </is>
      </c>
      <c r="C441" s="71" t="inlineStr">
        <is>
          <t>兆威機電</t>
        </is>
      </c>
      <c r="D441" s="71" t="inlineStr">
        <is>
          <t>Industrials</t>
        </is>
      </c>
      <c r="E441" s="71" t="inlineStr">
        <is>
          <t>Capital goods / machinery</t>
        </is>
      </c>
      <c r="F441" s="71" t="inlineStr">
        <is>
          <t>Industrial Machinery</t>
        </is>
      </c>
      <c r="G441" s="71" t="inlineStr">
        <is>
          <t>Standard</t>
        </is>
      </c>
      <c r="H441" s="72" t="n">
        <v>46090</v>
      </c>
      <c r="I441" s="73" t="n">
        <v>1906.62</v>
      </c>
      <c r="J441" s="71" t="inlineStr">
        <is>
          <t>gross (stated)</t>
        </is>
      </c>
      <c r="K441" s="74" t="n"/>
      <c r="L441" s="74" t="n">
        <v>73.68000000000001</v>
      </c>
      <c r="M441" s="74" t="n">
        <v>71.28</v>
      </c>
      <c r="N441" s="71" t="inlineStr">
        <is>
          <t>N</t>
        </is>
      </c>
      <c r="O441" s="75" t="n">
        <v>96.7</v>
      </c>
      <c r="P441" s="75" t="n"/>
      <c r="Q441" s="76" t="n">
        <v>19066.2</v>
      </c>
      <c r="R441" s="71" t="inlineStr">
        <is>
          <t>derived:price x shares upon listing</t>
        </is>
      </c>
      <c r="S441" s="77" t="n">
        <v>1536.76</v>
      </c>
      <c r="T441" s="78" t="n">
        <v>13.4</v>
      </c>
      <c r="U441" s="79" t="n">
        <v>34.17</v>
      </c>
      <c r="V441" s="80" t="n">
        <v>75</v>
      </c>
      <c r="W441" s="75" t="n">
        <v>10</v>
      </c>
      <c r="X441" s="71" t="inlineStr">
        <is>
          <t>NA</t>
        </is>
      </c>
      <c r="Y441" s="76" t="n">
        <v>1255.13</v>
      </c>
      <c r="Z441" s="76" t="n">
        <v>17608406</v>
      </c>
      <c r="AA441" s="75" t="n">
        <v>6.58</v>
      </c>
      <c r="AB441" s="71"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AC441" s="71" t="inlineStr">
        <is>
          <t>beingboom;bridge;cmbc;da;factorial;gf;hengbang;hhlr;jump;main;mirae;mr-he;mr-luo;oakwise;perseverance;rime;suzhou;topstar;vvc;investment-company</t>
        </is>
      </c>
      <c r="AD441" s="75" t="n"/>
      <c r="AE441" s="71" t="n"/>
      <c r="AF441" s="71" t="n"/>
      <c r="AG441" s="71" t="n"/>
      <c r="AH441" s="71" t="n"/>
      <c r="AI441" s="81" t="n">
        <v>16.162</v>
      </c>
      <c r="AJ441" s="82" t="n">
        <v>2.41</v>
      </c>
      <c r="AK441" s="82" t="n">
        <v>9.43</v>
      </c>
      <c r="AL441" s="82" t="n">
        <v>-6.42</v>
      </c>
      <c r="AM441" s="83" t="n">
        <v>1.91</v>
      </c>
      <c r="AN441" s="75" t="n">
        <v>10.51</v>
      </c>
      <c r="AO441" s="82" t="n">
        <v>11.39</v>
      </c>
      <c r="AP441" s="82" t="n">
        <v>-7.48</v>
      </c>
      <c r="AQ441" s="82" t="n">
        <v>-13.09</v>
      </c>
      <c r="AR441" s="82" t="n">
        <v>8.77</v>
      </c>
      <c r="AS441" s="82" t="n">
        <v>-9.66</v>
      </c>
      <c r="AT441" s="82" t="n">
        <v>-15.14</v>
      </c>
      <c r="AU441" s="82" t="n">
        <v>9.09</v>
      </c>
      <c r="AV441" s="82" t="n">
        <v>-6.7</v>
      </c>
      <c r="AW441" s="82" t="n">
        <v>-4.36</v>
      </c>
      <c r="AX441" s="82" t="n">
        <v>-9.59</v>
      </c>
      <c r="AY441" s="82" t="n">
        <v>-0.78</v>
      </c>
      <c r="AZ441" s="82" t="n">
        <v>-0.07000000000000001</v>
      </c>
      <c r="BA441" s="71" t="inlineStr">
        <is>
          <t>Hang Seng Commerce &amp; Industry sub-index</t>
        </is>
      </c>
      <c r="BB441" s="82" t="n">
        <v>-46.6</v>
      </c>
      <c r="BC441" s="72" t="inlineStr">
        <is>
          <t>2026-09-23</t>
        </is>
      </c>
      <c r="BD441" s="73" t="n">
        <v>1677.1</v>
      </c>
      <c r="BE441" s="76" t="n">
        <v>248</v>
      </c>
      <c r="BF441" s="71" t="inlineStr">
        <is>
          <t>Y</t>
        </is>
      </c>
      <c r="BG441" s="83" t="n">
        <v>76.90000000000001</v>
      </c>
      <c r="BH441" s="83" t="n">
        <v>61</v>
      </c>
      <c r="BI441" s="83" t="n">
        <v>45</v>
      </c>
      <c r="BJ441" s="83" t="n">
        <v>11.4</v>
      </c>
      <c r="BK441" s="84">
        <f>IF('BBG Verify'!S441="","not filed; run on terminal",'BBG Verify'!S441)</f>
        <v/>
      </c>
      <c r="BL441" s="85" t="inlineStr">
        <is>
          <t>Y</t>
        </is>
      </c>
      <c r="BM441" s="71" t="inlineStr">
        <is>
          <t>003021.SZ</t>
        </is>
      </c>
      <c r="BN441" s="82" t="n">
        <v>87.19</v>
      </c>
      <c r="BO441" s="74" t="n">
        <v>133.4288</v>
      </c>
      <c r="BP441" s="89" t="n">
        <v>1.1182</v>
      </c>
      <c r="BQ441" s="76" t="n">
        <v>21922</v>
      </c>
      <c r="BR441" s="84">
        <f>IF('BBG Verify'!Q441="","run on terminal",'BBG Verify'!Q441)</f>
        <v/>
      </c>
      <c r="BS441" s="84">
        <f>IF('BBG Verify'!R441="","run on terminal",'BBG Verify'!R441)</f>
        <v/>
      </c>
      <c r="BT441" s="85" t="inlineStr">
        <is>
          <t>China Merchants Securities (HK) Co., Limited; Deutsche Securities Asia Limited</t>
        </is>
      </c>
      <c r="BU441" s="71" t="inlineStr">
        <is>
          <t>Deutsche Securities Asia Limited; China Merchants Securities (HK) Company Limited</t>
        </is>
      </c>
      <c r="BV441" s="71" t="inlineStr">
        <is>
          <t>China Merchants Securities (HK) Co., Limited; Deutsche Bank AG, Hong Kong Branch; CLSA Limited; ABCI Capital Limited; BOCOM International Securities Limited; Futu Securities International (Hong Kong) Limited; Y ellow River Securities Limited</t>
        </is>
      </c>
      <c r="BW441" s="71"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X441" s="87">
        <f>HYPERLINK("https://www1.hkexnews.hk/listedco/listconews/sehk/2026/0227/2026022700015.pdf","prospectus")</f>
        <v/>
      </c>
      <c r="BY441" s="87">
        <f>HYPERLINK("https://www1.hkexnews.hk/listedco/listconews/sehk/2026/0306/2026030601575.pdf","allotment")</f>
        <v/>
      </c>
      <c r="BZ441" s="71" t="n"/>
      <c r="CA441" s="85" t="n"/>
      <c r="CB441" s="71"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70" t="inlineStr">
        <is>
          <t>3268</t>
        </is>
      </c>
      <c r="B442" s="71" t="inlineStr">
        <is>
          <t>MEIG</t>
        </is>
      </c>
      <c r="C442" s="71" t="inlineStr">
        <is>
          <t>美格智能</t>
        </is>
      </c>
      <c r="D442" s="71" t="inlineStr">
        <is>
          <t>Tech/AI</t>
        </is>
      </c>
      <c r="E442" s="71" t="inlineStr">
        <is>
          <t>Smart hardware / consumer electronics</t>
        </is>
      </c>
      <c r="F442" s="71" t="inlineStr">
        <is>
          <t>Telecommunications &amp; Networking Equipment</t>
        </is>
      </c>
      <c r="G442" s="71" t="inlineStr">
        <is>
          <t>Standard</t>
        </is>
      </c>
      <c r="H442" s="72" t="n">
        <v>46091</v>
      </c>
      <c r="I442" s="73" t="n">
        <v>1161.6</v>
      </c>
      <c r="J442" s="71" t="inlineStr">
        <is>
          <t>gross (stated)</t>
        </is>
      </c>
      <c r="K442" s="74" t="n"/>
      <c r="L442" s="74" t="n">
        <v>28.86</v>
      </c>
      <c r="M442" s="74" t="n">
        <v>28.86</v>
      </c>
      <c r="N442" s="71" t="inlineStr">
        <is>
          <t>Y</t>
        </is>
      </c>
      <c r="O442" s="75" t="n">
        <v>100</v>
      </c>
      <c r="P442" s="75" t="n"/>
      <c r="Q442" s="76" t="n">
        <v>8715.9</v>
      </c>
      <c r="R442" s="71" t="inlineStr">
        <is>
          <t>derived:price x shares upon listing</t>
        </is>
      </c>
      <c r="S442" s="77" t="n">
        <v>174.12</v>
      </c>
      <c r="T442" s="78" t="n">
        <v>4.5</v>
      </c>
      <c r="U442" s="79" t="n">
        <v>42.1</v>
      </c>
      <c r="V442" s="80" t="n">
        <v>69</v>
      </c>
      <c r="W442" s="75" t="n">
        <v>8.699999999999999</v>
      </c>
      <c r="X442" s="71" t="inlineStr">
        <is>
          <t>NA</t>
        </is>
      </c>
      <c r="Y442" s="76" t="n">
        <v>672.5700000000001</v>
      </c>
      <c r="Z442" s="76" t="n">
        <v>23304750</v>
      </c>
      <c r="AA442" s="75" t="n">
        <v>7.72</v>
      </c>
      <c r="AB442" s="71" t="inlineStr">
        <is>
          <t>China Winning Limited; Jinyi Capital Multi-Strategy Fund SPC Ltd; Meiko Elec. Hong Kong Co., Limited; Mr. Chau Tsang Cheong; Open Wealth Management Limited; Streamax Electronics Limited</t>
        </is>
      </c>
      <c r="AC442" s="71" t="inlineStr">
        <is>
          <t>winning;jinyi;meiko;mr-chau;open;streamax</t>
        </is>
      </c>
      <c r="AD442" s="75" t="n"/>
      <c r="AE442" s="71" t="n"/>
      <c r="AF442" s="71" t="n"/>
      <c r="AG442" s="71" t="n"/>
      <c r="AH442" s="71" t="n"/>
      <c r="AI442" s="81" t="n">
        <v>1.871</v>
      </c>
      <c r="AJ442" s="82" t="n">
        <v>1.52</v>
      </c>
      <c r="AK442" s="82" t="n">
        <v>0.62</v>
      </c>
      <c r="AL442" s="82" t="n">
        <v>0.89</v>
      </c>
      <c r="AM442" s="83" t="n">
        <v>2.81</v>
      </c>
      <c r="AN442" s="75" t="n">
        <v>7.71</v>
      </c>
      <c r="AO442" s="82" t="n">
        <v>-10.05</v>
      </c>
      <c r="AP442" s="82" t="n">
        <v>-20.03</v>
      </c>
      <c r="AQ442" s="82" t="n">
        <v>-29.11</v>
      </c>
      <c r="AR442" s="82" t="n">
        <v>-11.4</v>
      </c>
      <c r="AS442" s="82" t="n">
        <v>-21.23</v>
      </c>
      <c r="AT442" s="82" t="n">
        <v>-30.17</v>
      </c>
      <c r="AU442" s="82" t="n">
        <v>-13.7</v>
      </c>
      <c r="AV442" s="82" t="n">
        <v>-18</v>
      </c>
      <c r="AW442" s="82" t="n">
        <v>-24.71</v>
      </c>
      <c r="AX442" s="82" t="n">
        <v>-16.75</v>
      </c>
      <c r="AY442" s="82" t="n">
        <v>-2.03</v>
      </c>
      <c r="AZ442" s="82" t="n">
        <v>-4.48</v>
      </c>
      <c r="BA442" s="71" t="inlineStr">
        <is>
          <t>HSTECH (Hang Seng TECH ETF)</t>
        </is>
      </c>
      <c r="BB442" s="82" t="n">
        <v>-32.26</v>
      </c>
      <c r="BC442" s="72" t="inlineStr">
        <is>
          <t>2026-09-23</t>
        </is>
      </c>
      <c r="BD442" s="73" t="n">
        <v>3235.5</v>
      </c>
      <c r="BE442" s="76" t="n">
        <v>147.8</v>
      </c>
      <c r="BF442" s="71" t="inlineStr">
        <is>
          <t>Y</t>
        </is>
      </c>
      <c r="BG442" s="83" t="n">
        <v>59</v>
      </c>
      <c r="BH442" s="83" t="n">
        <v>47.3</v>
      </c>
      <c r="BI442" s="83" t="n">
        <v>28.6</v>
      </c>
      <c r="BJ442" s="83" t="n">
        <v>2.7</v>
      </c>
      <c r="BK442" s="84">
        <f>IF('BBG Verify'!S442="","not filed; run on terminal",'BBG Verify'!S442)</f>
        <v/>
      </c>
      <c r="BL442" s="85" t="inlineStr">
        <is>
          <t>Y</t>
        </is>
      </c>
      <c r="BM442" s="71" t="inlineStr">
        <is>
          <t>002881.SZ</t>
        </is>
      </c>
      <c r="BN442" s="82" t="n">
        <v>92.41</v>
      </c>
      <c r="BO442" s="74" t="n">
        <v>55.5283</v>
      </c>
      <c r="BP442" s="89" t="n">
        <v>1.7382</v>
      </c>
      <c r="BQ442" s="76" t="n">
        <v>16470.8</v>
      </c>
      <c r="BR442" s="84">
        <f>IF('BBG Verify'!Q442="","run on terminal",'BBG Verify'!Q442)</f>
        <v/>
      </c>
      <c r="BS442" s="84">
        <f>IF('BBG Verify'!R442="","run on terminal",'BBG Verify'!R442)</f>
        <v/>
      </c>
      <c r="BT442" s="85" t="inlineStr">
        <is>
          <t>China International Capital Corporation Hong Kong Securities Limited</t>
        </is>
      </c>
      <c r="BU442" s="71" t="inlineStr">
        <is>
          <t>China International Capital Corporation Hong Kong Securities Limited</t>
        </is>
      </c>
      <c r="BV442" s="71" t="inlineStr">
        <is>
          <t>China International Capital Corporation Hong Kong Securities Limited; BNP Paribas Securities (Asia) Limited; Futu Securities International (Hong Kong) Limited; Tiger Brokers (HK) Global Limited; Open Securities Limited</t>
        </is>
      </c>
      <c r="BW442" s="71"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X442" s="87">
        <f>HYPERLINK("https://www1.hkexnews.hk/listedco/listconews/sehk/2026/0227/2026022700019.pdf","prospectus")</f>
        <v/>
      </c>
      <c r="BY442" s="87">
        <f>HYPERLINK("https://www1.hkexnews.hk/listedco/listconews/sehk/2026/0309/2026030901426.pdf","allotment")</f>
        <v/>
      </c>
      <c r="BZ442" s="71" t="n"/>
      <c r="CA442" s="85" t="n"/>
      <c r="CB442" s="71"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70" t="inlineStr">
        <is>
          <t>1989</t>
        </is>
      </c>
      <c r="B443" s="71" t="inlineStr">
        <is>
          <t>DELTON</t>
        </is>
      </c>
      <c r="C443" s="71" t="inlineStr">
        <is>
          <t>廣合科技</t>
        </is>
      </c>
      <c r="D443" s="71" t="inlineStr">
        <is>
          <t>Tech/AI</t>
        </is>
      </c>
      <c r="E443" s="71" t="inlineStr">
        <is>
          <t>Smart hardware / consumer electronics</t>
        </is>
      </c>
      <c r="F443" s="71" t="inlineStr">
        <is>
          <t>Printed Circuit Boards</t>
        </is>
      </c>
      <c r="G443" s="71" t="inlineStr">
        <is>
          <t>Standard</t>
        </is>
      </c>
      <c r="H443" s="72" t="n">
        <v>46101</v>
      </c>
      <c r="I443" s="73" t="n">
        <v>3306.48</v>
      </c>
      <c r="J443" s="71" t="inlineStr">
        <is>
          <t>gross (stated)</t>
        </is>
      </c>
      <c r="K443" s="74" t="n"/>
      <c r="L443" s="74" t="n">
        <v>71.88</v>
      </c>
      <c r="M443" s="74" t="n">
        <v>71.88</v>
      </c>
      <c r="N443" s="71" t="inlineStr">
        <is>
          <t>Y</t>
        </is>
      </c>
      <c r="O443" s="75" t="n">
        <v>100</v>
      </c>
      <c r="P443" s="75" t="n"/>
      <c r="Q443" s="76" t="n">
        <v>33959.5</v>
      </c>
      <c r="R443" s="71" t="inlineStr">
        <is>
          <t>derived:price x shares upon listing</t>
        </is>
      </c>
      <c r="S443" s="77" t="n">
        <v>1070.72</v>
      </c>
      <c r="T443" s="78" t="n">
        <v>14.64</v>
      </c>
      <c r="U443" s="79" t="n">
        <v>44.94</v>
      </c>
      <c r="V443" s="80" t="n">
        <v>162</v>
      </c>
      <c r="W443" s="75" t="n">
        <v>10</v>
      </c>
      <c r="X443" s="71" t="inlineStr">
        <is>
          <t>NA</t>
        </is>
      </c>
      <c r="Y443" s="76" t="n">
        <v>1820.55</v>
      </c>
      <c r="Z443" s="76" t="n">
        <v>25327600</v>
      </c>
      <c r="AA443" s="75" t="n">
        <v>5.36</v>
      </c>
      <c r="AB443" s="71"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AC443" s="71" t="inlineStr">
        <is>
          <t>baring;cpe;dajia;eastspring;greater;greenwoods;icbc;my;ubs;value</t>
        </is>
      </c>
      <c r="AD443" s="75" t="n"/>
      <c r="AE443" s="71" t="n"/>
      <c r="AF443" s="71" t="n"/>
      <c r="AG443" s="71" t="n"/>
      <c r="AH443" s="71" t="n"/>
      <c r="AI443" s="81" t="n">
        <v>32.165</v>
      </c>
      <c r="AJ443" s="82" t="n">
        <v>33.56</v>
      </c>
      <c r="AK443" s="82" t="n">
        <v>32.23</v>
      </c>
      <c r="AL443" s="82" t="n">
        <v>1.01</v>
      </c>
      <c r="AM443" s="83" t="n">
        <v>5.83</v>
      </c>
      <c r="AN443" s="75" t="n">
        <v>55.65</v>
      </c>
      <c r="AO443" s="82" t="n">
        <v>35.99</v>
      </c>
      <c r="AP443" s="82" t="n">
        <v>111.32</v>
      </c>
      <c r="AQ443" s="82" t="n">
        <v>163.63</v>
      </c>
      <c r="AR443" s="82" t="n">
        <v>1.82</v>
      </c>
      <c r="AS443" s="82" t="n">
        <v>58.22</v>
      </c>
      <c r="AT443" s="82" t="n">
        <v>97.39</v>
      </c>
      <c r="AU443" s="82" t="n">
        <v>40.09</v>
      </c>
      <c r="AV443" s="82" t="n">
        <v>113.82</v>
      </c>
      <c r="AW443" s="82" t="n">
        <v>174.9</v>
      </c>
      <c r="AX443" s="82" t="n">
        <v>58.48</v>
      </c>
      <c r="AY443" s="82" t="n">
        <v>-2.5</v>
      </c>
      <c r="AZ443" s="82" t="n">
        <v>-0.26</v>
      </c>
      <c r="BA443" s="71" t="inlineStr">
        <is>
          <t>HSTECH (Hang Seng TECH ETF)</t>
        </is>
      </c>
      <c r="BB443" s="82" t="n">
        <v>76.95999999999999</v>
      </c>
      <c r="BC443" s="72" t="inlineStr">
        <is>
          <t>2026-09-23</t>
        </is>
      </c>
      <c r="BD443" s="73" t="n">
        <v>6033.9</v>
      </c>
      <c r="BE443" s="76" t="n">
        <v>1117.4</v>
      </c>
      <c r="BF443" s="71" t="inlineStr">
        <is>
          <t>Y</t>
        </is>
      </c>
      <c r="BG443" s="83" t="n">
        <v>30.4</v>
      </c>
      <c r="BH443" s="83" t="n">
        <v>35.4</v>
      </c>
      <c r="BI443" s="83" t="n">
        <v>38.1</v>
      </c>
      <c r="BJ443" s="83" t="n">
        <v>5.6</v>
      </c>
      <c r="BK443" s="84">
        <f>IF('BBG Verify'!S443="","not filed; run on terminal",'BBG Verify'!S443)</f>
        <v/>
      </c>
      <c r="BL443" s="85" t="inlineStr">
        <is>
          <t>Y</t>
        </is>
      </c>
      <c r="BM443" s="71" t="inlineStr">
        <is>
          <t>001389.SZ</t>
        </is>
      </c>
      <c r="BN443" s="82" t="n">
        <v>83.56</v>
      </c>
      <c r="BO443" s="74" t="n">
        <v>131.9413</v>
      </c>
      <c r="BP443" s="89" t="n">
        <v>0.7705</v>
      </c>
      <c r="BQ443" s="76" t="n">
        <v>103033.4</v>
      </c>
      <c r="BR443" s="84">
        <f>IF('BBG Verify'!Q443="","run on terminal",'BBG Verify'!Q443)</f>
        <v/>
      </c>
      <c r="BS443" s="84">
        <f>IF('BBG Verify'!R443="","run on terminal",'BBG Verify'!R443)</f>
        <v/>
      </c>
      <c r="BT443" s="85" t="n"/>
      <c r="BU443" s="71" t="inlineStr">
        <is>
          <t>CITIC Securities (Hong Kong) Limited</t>
        </is>
      </c>
      <c r="BV443" s="71" t="inlineStr">
        <is>
          <t>CLSA Limited; GF Securities (Hong Kong) Brokerage Limited; Guolian Securities International Capital Market Co., Limited; Huatai Financial Holdings (Hong Kong) Limited; The Hongkong and Shanghai Banking Corporation Limited</t>
        </is>
      </c>
      <c r="BW443" s="71" t="inlineStr">
        <is>
          <t>CLSA Limited; GF Securities (Hong Kong) Brokerage Limited; Guolian Securities International Capital Market Co., Limited; Huatai Financial Holdings (Hong Kong) Limited; The Hongkong and Shanghai Banking Corporation Limited</t>
        </is>
      </c>
      <c r="BX443" s="71" t="n"/>
      <c r="BY443" s="87">
        <f>HYPERLINK("https://www1.hkexnews.hk/listedco/listconews/sehk/2026/0319/2026031901556.pdf","allotment")</f>
        <v/>
      </c>
      <c r="BZ443" s="71" t="n"/>
      <c r="CA443" s="85" t="n"/>
      <c r="CB443" s="71"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t>
        </is>
      </c>
    </row>
    <row r="444" ht="15" customHeight="1">
      <c r="A444" s="70" t="inlineStr">
        <is>
          <t>2701</t>
        </is>
      </c>
      <c r="B444" s="71" t="inlineStr">
        <is>
          <t>NSING TECH</t>
        </is>
      </c>
      <c r="C444" s="71" t="inlineStr">
        <is>
          <t>國民技術</t>
        </is>
      </c>
      <c r="D444" s="71" t="inlineStr">
        <is>
          <t>Tech/AI</t>
        </is>
      </c>
      <c r="E444" s="71" t="inlineStr">
        <is>
          <t>AI chips &amp; semis</t>
        </is>
      </c>
      <c r="F444" s="71" t="inlineStr">
        <is>
          <t>Semiconductors &amp; Semiconductor Equipment</t>
        </is>
      </c>
      <c r="G444" s="71" t="inlineStr">
        <is>
          <t>Standard</t>
        </is>
      </c>
      <c r="H444" s="72" t="n">
        <v>46104</v>
      </c>
      <c r="I444" s="73" t="n">
        <v>1026</v>
      </c>
      <c r="J444" s="71" t="inlineStr">
        <is>
          <t>gross (stated)</t>
        </is>
      </c>
      <c r="K444" s="74" t="n"/>
      <c r="L444" s="74" t="n">
        <v>10.8</v>
      </c>
      <c r="M444" s="74" t="n">
        <v>10.8</v>
      </c>
      <c r="N444" s="71" t="inlineStr">
        <is>
          <t>Y</t>
        </is>
      </c>
      <c r="O444" s="75" t="n">
        <v>100</v>
      </c>
      <c r="P444" s="75" t="n"/>
      <c r="Q444" s="76" t="n">
        <v>7323.8</v>
      </c>
      <c r="R444" s="71" t="inlineStr">
        <is>
          <t>derived:price x shares upon listing</t>
        </is>
      </c>
      <c r="S444" s="77" t="n">
        <v>131.83</v>
      </c>
      <c r="T444" s="78" t="n">
        <v>2.51</v>
      </c>
      <c r="U444" s="79" t="n">
        <v>13.6</v>
      </c>
      <c r="V444" s="80" t="n">
        <v>59</v>
      </c>
      <c r="W444" s="75" t="n">
        <v>10</v>
      </c>
      <c r="X444" s="71" t="inlineStr">
        <is>
          <t>NO</t>
        </is>
      </c>
      <c r="Y444" s="76" t="n">
        <v>886.46</v>
      </c>
      <c r="Z444" s="76" t="n">
        <v>82080000</v>
      </c>
      <c r="AA444" s="75" t="n">
        <v>12.1</v>
      </c>
      <c r="AB444" s="71" t="inlineStr">
        <is>
          <t>Guohua Life Insurance Co., Ltd; Harvest Oriental II SP; Mr. An Jiangbo; Ms. Christine Tai; Sunwoda Treasury (Hong Kong) Limited</t>
        </is>
      </c>
      <c r="AC444" s="71" t="inlineStr">
        <is>
          <t>guohua;harvest;mr-an;ms-christine;sunwoda</t>
        </is>
      </c>
      <c r="AD444" s="75" t="n"/>
      <c r="AE444" s="71" t="n"/>
      <c r="AF444" s="71" t="n"/>
      <c r="AG444" s="71" t="n"/>
      <c r="AH444" s="71" t="n"/>
      <c r="AI444" s="81" t="n">
        <v>8.333</v>
      </c>
      <c r="AJ444" s="82" t="n">
        <v>4.17</v>
      </c>
      <c r="AK444" s="82" t="n">
        <v>32.41</v>
      </c>
      <c r="AL444" s="82" t="n">
        <v>-21.33</v>
      </c>
      <c r="AM444" s="83" t="n">
        <v>6.18</v>
      </c>
      <c r="AN444" s="75" t="n">
        <v>39.16</v>
      </c>
      <c r="AO444" s="82" t="n">
        <v>21.11</v>
      </c>
      <c r="AP444" s="82" t="n">
        <v>14.54</v>
      </c>
      <c r="AQ444" s="82" t="n">
        <v>17.78</v>
      </c>
      <c r="AR444" s="82" t="n">
        <v>16.26</v>
      </c>
      <c r="AS444" s="82" t="n">
        <v>9.949999999999999</v>
      </c>
      <c r="AT444" s="82" t="n">
        <v>13.07</v>
      </c>
      <c r="AU444" s="82" t="n">
        <v>24.88</v>
      </c>
      <c r="AV444" s="82" t="n">
        <v>13.91</v>
      </c>
      <c r="AW444" s="82" t="n">
        <v>30.15</v>
      </c>
      <c r="AX444" s="82" t="n">
        <v>5.74</v>
      </c>
      <c r="AY444" s="82" t="n">
        <v>0.63</v>
      </c>
      <c r="AZ444" s="82" t="n">
        <v>4.21</v>
      </c>
      <c r="BA444" s="71" t="inlineStr">
        <is>
          <t>HSTECH (Hang Seng TECH ETF)</t>
        </is>
      </c>
      <c r="BB444" s="82" t="n">
        <v>-19.03</v>
      </c>
      <c r="BC444" s="72" t="inlineStr">
        <is>
          <t>2026-09-23</t>
        </is>
      </c>
      <c r="BD444" s="73" t="n">
        <v>1284.3</v>
      </c>
      <c r="BE444" s="76" t="n">
        <v>-281.3</v>
      </c>
      <c r="BF444" s="71" t="inlineStr">
        <is>
          <t>N</t>
        </is>
      </c>
      <c r="BG444" s="71" t="inlineStr">
        <is>
          <t>n/m</t>
        </is>
      </c>
      <c r="BH444" s="83" t="n"/>
      <c r="BI444" s="83" t="n"/>
      <c r="BJ444" s="83" t="n">
        <v>5.7</v>
      </c>
      <c r="BK444" s="84">
        <f>IF('BBG Verify'!S444="","not filed; run on terminal",'BBG Verify'!S444)</f>
        <v/>
      </c>
      <c r="BL444" s="85" t="inlineStr">
        <is>
          <t>Y</t>
        </is>
      </c>
      <c r="BM444" s="71" t="inlineStr">
        <is>
          <t>300077.SZ</t>
        </is>
      </c>
      <c r="BN444" s="82" t="n">
        <v>128.98</v>
      </c>
      <c r="BO444" s="74" t="n">
        <v>24.7297</v>
      </c>
      <c r="BP444" s="89" t="n">
        <v>1.9709</v>
      </c>
      <c r="BQ444" s="76" t="n">
        <v>17901</v>
      </c>
      <c r="BR444" s="84">
        <f>IF('BBG Verify'!Q444="","run on terminal",'BBG Verify'!Q444)</f>
        <v/>
      </c>
      <c r="BS444" s="84">
        <f>IF('BBG Verify'!R444="","run on terminal",'BBG Verify'!R444)</f>
        <v/>
      </c>
      <c r="BT444" s="85" t="inlineStr">
        <is>
          <t>CITIC Securities (Hong Kong) Limited</t>
        </is>
      </c>
      <c r="BU444" s="71" t="inlineStr">
        <is>
          <t>CITIC Securities (Hong Kong) Limited</t>
        </is>
      </c>
      <c r="BV444" s="71" t="inlineStr">
        <is>
          <t>CLSA Limited; BOCOM International Securities Limited; SPDB International Capital Limited; Jinluo Securities Limited</t>
        </is>
      </c>
      <c r="BW444" s="71" t="inlineStr">
        <is>
          <t>BOCOM International Securities Limited; CLSA Limited; Futu Securities International (Hong Kong) Limited; Jinluo Securities Limited; SPDB International Capital Limited</t>
        </is>
      </c>
      <c r="BX444" s="87">
        <f>HYPERLINK("https://www1.hkexnews.hk/listedco/listconews/sehk/2026/0313/2026031300049.pdf","prospectus")</f>
        <v/>
      </c>
      <c r="BY444" s="87">
        <f>HYPERLINK("https://www1.hkexnews.hk/listedco/listconews/sehk/2026/0320/2026032001594.pdf","allotment")</f>
        <v/>
      </c>
      <c r="BZ444" s="71" t="n"/>
      <c r="CA444" s="85" t="n"/>
      <c r="CB444" s="71"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70" t="inlineStr">
        <is>
          <t>3355</t>
        </is>
      </c>
      <c r="B445" s="71" t="inlineStr">
        <is>
          <t>FS.COM</t>
        </is>
      </c>
      <c r="C445" s="71" t="inlineStr">
        <is>
          <t>飛速創新</t>
        </is>
      </c>
      <c r="D445" s="71" t="inlineStr">
        <is>
          <t>Tech/AI</t>
        </is>
      </c>
      <c r="E445" s="71" t="inlineStr">
        <is>
          <t>Smart hardware / consumer electronics</t>
        </is>
      </c>
      <c r="F445" s="71" t="inlineStr">
        <is>
          <t>IT Consulting &amp; Other Services</t>
        </is>
      </c>
      <c r="G445" s="71" t="inlineStr">
        <is>
          <t>Standard</t>
        </is>
      </c>
      <c r="H445" s="72" t="n">
        <v>46104</v>
      </c>
      <c r="I445" s="73" t="n">
        <v>1664</v>
      </c>
      <c r="J445" s="71" t="inlineStr">
        <is>
          <t>gross (price x shares)</t>
        </is>
      </c>
      <c r="K445" s="74" t="n"/>
      <c r="L445" s="74" t="n">
        <v>41.6</v>
      </c>
      <c r="M445" s="74" t="n">
        <v>41.6</v>
      </c>
      <c r="N445" s="71" t="inlineStr">
        <is>
          <t>Y</t>
        </is>
      </c>
      <c r="O445" s="75" t="n">
        <v>100</v>
      </c>
      <c r="P445" s="75" t="n"/>
      <c r="Q445" s="76" t="n">
        <v>16640</v>
      </c>
      <c r="R445" s="71" t="inlineStr">
        <is>
          <t>derived:price x shares upon listing</t>
        </is>
      </c>
      <c r="S445" s="77" t="n">
        <v>1579.71</v>
      </c>
      <c r="T445" s="78" t="n">
        <v>10.92</v>
      </c>
      <c r="U445" s="79" t="n">
        <v>42.3</v>
      </c>
      <c r="V445" s="80" t="n">
        <v>140</v>
      </c>
      <c r="W445" s="75" t="n">
        <v>10</v>
      </c>
      <c r="X445" s="71" t="inlineStr">
        <is>
          <t>NA</t>
        </is>
      </c>
      <c r="Y445" s="76" t="n">
        <v>960.13</v>
      </c>
      <c r="Z445" s="76" t="n">
        <v>23080000</v>
      </c>
      <c r="AA445" s="75" t="n">
        <v>5.77</v>
      </c>
      <c r="AB445" s="71"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AC445" s="71" t="inlineStr">
        <is>
          <t>aether;caitong;foresight;gf;great-development;hao;scgc;wider;wt</t>
        </is>
      </c>
      <c r="AD445" s="75" t="n">
        <v>15</v>
      </c>
      <c r="AE445" s="71" t="n"/>
      <c r="AF445" s="71" t="n"/>
      <c r="AG445" s="71" t="inlineStr">
        <is>
          <t>China International Capital Corporation Hong Kong Securities Limited</t>
        </is>
      </c>
      <c r="AH445" s="71" t="inlineStr">
        <is>
          <t>China International</t>
        </is>
      </c>
      <c r="AI445" s="81" t="n">
        <v>46.394</v>
      </c>
      <c r="AJ445" s="82" t="n">
        <v>13.46</v>
      </c>
      <c r="AK445" s="82" t="n">
        <v>34.62</v>
      </c>
      <c r="AL445" s="82" t="n">
        <v>-15.72</v>
      </c>
      <c r="AM445" s="83" t="n">
        <v>3.26</v>
      </c>
      <c r="AN445" s="75" t="n">
        <v>24.46</v>
      </c>
      <c r="AO445" s="82" t="n">
        <v>3.94</v>
      </c>
      <c r="AP445" s="82" t="n">
        <v>7.5</v>
      </c>
      <c r="AQ445" s="82" t="n">
        <v>-13.99</v>
      </c>
      <c r="AR445" s="82" t="n">
        <v>-8.390000000000001</v>
      </c>
      <c r="AS445" s="82" t="n">
        <v>-5.25</v>
      </c>
      <c r="AT445" s="82" t="n">
        <v>-24.19</v>
      </c>
      <c r="AU445" s="82" t="n">
        <v>7.71</v>
      </c>
      <c r="AV445" s="82" t="n">
        <v>6.87</v>
      </c>
      <c r="AW445" s="82" t="n">
        <v>-1.62</v>
      </c>
      <c r="AX445" s="82" t="n">
        <v>-9.460000000000001</v>
      </c>
      <c r="AY445" s="82" t="n">
        <v>0.63</v>
      </c>
      <c r="AZ445" s="82" t="n">
        <v>4.21</v>
      </c>
      <c r="BA445" s="71" t="inlineStr">
        <is>
          <t>HSTECH (Hang Seng TECH ETF)</t>
        </is>
      </c>
      <c r="BB445" s="82" t="n">
        <v>-5.67</v>
      </c>
      <c r="BC445" s="72" t="inlineStr">
        <is>
          <t>2026-09-23</t>
        </is>
      </c>
      <c r="BD445" s="73" t="n">
        <v>3262.2</v>
      </c>
      <c r="BE445" s="76" t="n">
        <v>661.6</v>
      </c>
      <c r="BF445" s="71" t="inlineStr">
        <is>
          <t>Y</t>
        </is>
      </c>
      <c r="BG445" s="83" t="n">
        <v>25.2</v>
      </c>
      <c r="BH445" s="83" t="n"/>
      <c r="BI445" s="83" t="n"/>
      <c r="BJ445" s="83" t="n">
        <v>5.1</v>
      </c>
      <c r="BK445" s="84">
        <f>IF('BBG Verify'!S445="","not filed; run on terminal",'BBG Verify'!S445)</f>
        <v/>
      </c>
      <c r="BL445" s="85" t="inlineStr">
        <is>
          <t>N</t>
        </is>
      </c>
      <c r="BM445" s="86">
        <f>IF('BBG Verify'!K445="","not filed; run on terminal",'BBG Verify'!K445)</f>
        <v/>
      </c>
      <c r="BN445" s="71" t="inlineStr">
        <is>
          <t>N/A</t>
        </is>
      </c>
      <c r="BO445" s="71" t="inlineStr">
        <is>
          <t>N/A</t>
        </is>
      </c>
      <c r="BP445" s="71" t="inlineStr">
        <is>
          <t>N/A</t>
        </is>
      </c>
      <c r="BQ445" s="71" t="inlineStr">
        <is>
          <t>N/A</t>
        </is>
      </c>
      <c r="BR445" s="71" t="inlineStr">
        <is>
          <t>N/A</t>
        </is>
      </c>
      <c r="BS445" s="71" t="inlineStr">
        <is>
          <t>N/A</t>
        </is>
      </c>
      <c r="BT445" s="85" t="n"/>
      <c r="BU445" s="71" t="inlineStr">
        <is>
          <t>China International Capital Corporation Hong Kong Securities Limited; China Securities (International) Corporate Finance Company Limited; China Merchants Securities (HK) Company Limited</t>
        </is>
      </c>
      <c r="BV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X445" s="71" t="n"/>
      <c r="BY445" s="87">
        <f>HYPERLINK("https://www1.hkexnews.hk/listedco/listconews/sehk/2026/0320/2026032001750.pdf","allotment")</f>
        <v/>
      </c>
      <c r="BZ445" s="71" t="n"/>
      <c r="CA445" s="85" t="n"/>
      <c r="CB445" s="71"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70" t="inlineStr">
        <is>
          <t>2729</t>
        </is>
      </c>
      <c r="B446" s="71" t="inlineStr">
        <is>
          <t>GALAXIS TECH</t>
        </is>
      </c>
      <c r="C446" s="71" t="inlineStr">
        <is>
          <t>凱樂士科技</t>
        </is>
      </c>
      <c r="D446" s="71" t="inlineStr">
        <is>
          <t>Tech/AI</t>
        </is>
      </c>
      <c r="E446" s="71" t="inlineStr">
        <is>
          <t>Robotics &amp; autonomous driving</t>
        </is>
      </c>
      <c r="F446" s="71" t="inlineStr">
        <is>
          <t>Advanced hardware and software</t>
        </is>
      </c>
      <c r="G446" s="71" t="inlineStr">
        <is>
          <t>Standard</t>
        </is>
      </c>
      <c r="H446" s="72" t="n">
        <v>46105</v>
      </c>
      <c r="I446" s="73" t="n">
        <v>613</v>
      </c>
      <c r="J446" s="71" t="inlineStr">
        <is>
          <t>gross (stated)</t>
        </is>
      </c>
      <c r="K446" s="74" t="n"/>
      <c r="L446" s="74" t="n">
        <v>20.4</v>
      </c>
      <c r="M446" s="74" t="n">
        <v>16.66</v>
      </c>
      <c r="N446" s="71" t="inlineStr">
        <is>
          <t>N</t>
        </is>
      </c>
      <c r="O446" s="75" t="n">
        <v>81.7</v>
      </c>
      <c r="P446" s="75" t="n"/>
      <c r="Q446" s="76" t="n">
        <v>7128.5</v>
      </c>
      <c r="R446" s="71" t="inlineStr">
        <is>
          <t>derived:price x shares upon listing</t>
        </is>
      </c>
      <c r="S446" s="77" t="n">
        <v>2153.26</v>
      </c>
      <c r="T446" s="78" t="n">
        <v>3.37</v>
      </c>
      <c r="U446" s="79" t="n">
        <v>0</v>
      </c>
      <c r="V446" s="80" t="n"/>
      <c r="W446" s="75" t="n">
        <v>10</v>
      </c>
      <c r="X446" s="71" t="inlineStr">
        <is>
          <t>NO</t>
        </is>
      </c>
      <c r="Y446" s="76" t="n">
        <v>613</v>
      </c>
      <c r="Z446" s="76" t="n">
        <v>36798000</v>
      </c>
      <c r="AA446" s="75" t="n">
        <v>8.6</v>
      </c>
      <c r="AB446" s="71" t="n"/>
      <c r="AC446" s="71" t="n"/>
      <c r="AD446" s="75" t="n">
        <v>8.800000000000001</v>
      </c>
      <c r="AE446" s="71" t="inlineStr">
        <is>
          <t>lapsed (no over-allocation)</t>
        </is>
      </c>
      <c r="AF446" s="71" t="n"/>
      <c r="AG446" s="71" t="n"/>
      <c r="AH446" s="71" t="n"/>
      <c r="AI446" s="81" t="n">
        <v>83.193</v>
      </c>
      <c r="AJ446" s="82" t="n">
        <v>84.27</v>
      </c>
      <c r="AK446" s="82" t="n">
        <v>92.08</v>
      </c>
      <c r="AL446" s="82" t="n">
        <v>-4.07</v>
      </c>
      <c r="AM446" s="83" t="n">
        <v>3.07</v>
      </c>
      <c r="AN446" s="75" t="n">
        <v>18.69</v>
      </c>
      <c r="AO446" s="82" t="n">
        <v>80.19</v>
      </c>
      <c r="AP446" s="82" t="n">
        <v>126.29</v>
      </c>
      <c r="AQ446" s="82" t="n">
        <v>79.34999999999999</v>
      </c>
      <c r="AR446" s="82" t="n">
        <v>-2.21</v>
      </c>
      <c r="AS446" s="82" t="n">
        <v>22.8</v>
      </c>
      <c r="AT446" s="82" t="n">
        <v>-2.67</v>
      </c>
      <c r="AU446" s="82" t="n">
        <v>81.41</v>
      </c>
      <c r="AV446" s="82" t="n">
        <v>121.43</v>
      </c>
      <c r="AW446" s="82" t="n">
        <v>85.81999999999999</v>
      </c>
      <c r="AX446" s="82" t="n">
        <v>20.43</v>
      </c>
      <c r="AY446" s="82" t="n">
        <v>4.86</v>
      </c>
      <c r="AZ446" s="82" t="n">
        <v>2.37</v>
      </c>
      <c r="BA446" s="71" t="inlineStr">
        <is>
          <t>HSTECH (Hang Seng TECH ETF)</t>
        </is>
      </c>
      <c r="BB446" s="82" t="n">
        <v>54.74</v>
      </c>
      <c r="BC446" s="72" t="inlineStr">
        <is>
          <t>2026-09-23</t>
        </is>
      </c>
      <c r="BD446" s="73" t="n">
        <v>793.6</v>
      </c>
      <c r="BE446" s="76" t="n">
        <v>-195.9</v>
      </c>
      <c r="BF446" s="71" t="inlineStr">
        <is>
          <t>N</t>
        </is>
      </c>
      <c r="BG446" s="71" t="inlineStr">
        <is>
          <t>n/m</t>
        </is>
      </c>
      <c r="BH446" s="83" t="n"/>
      <c r="BI446" s="83" t="n"/>
      <c r="BJ446" s="83" t="n">
        <v>9</v>
      </c>
      <c r="BK446" s="84">
        <f>IF('BBG Verify'!S446="","not filed; run on terminal",'BBG Verify'!S446)</f>
        <v/>
      </c>
      <c r="BL446" s="85" t="inlineStr">
        <is>
          <t>N</t>
        </is>
      </c>
      <c r="BM446" s="86">
        <f>IF('BBG Verify'!K446="","not filed; run on terminal",'BBG Verify'!K446)</f>
        <v/>
      </c>
      <c r="BN446" s="71" t="inlineStr">
        <is>
          <t>N/A</t>
        </is>
      </c>
      <c r="BO446" s="71" t="inlineStr">
        <is>
          <t>N/A</t>
        </is>
      </c>
      <c r="BP446" s="71" t="inlineStr">
        <is>
          <t>N/A</t>
        </is>
      </c>
      <c r="BQ446" s="71" t="inlineStr">
        <is>
          <t>N/A</t>
        </is>
      </c>
      <c r="BR446" s="71" t="inlineStr">
        <is>
          <t>N/A</t>
        </is>
      </c>
      <c r="BS446" s="71" t="inlineStr">
        <is>
          <t>N/A</t>
        </is>
      </c>
      <c r="BT446" s="85" t="inlineStr">
        <is>
          <t>Guotai Junan Capital Limited; CITIC Securities (Hong Kong) Limited</t>
        </is>
      </c>
      <c r="BU446" s="71" t="inlineStr">
        <is>
          <t>CITIC Securities (Hong Kong) Limited; Guotai Junan Capital Limited</t>
        </is>
      </c>
      <c r="BV446" s="71"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W446" s="71"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X446" s="87">
        <f>HYPERLINK("https://www1.hkexnews.hk/listedco/listconews/sehk/2026/0316/2026031600013.pdf","prospectus")</f>
        <v/>
      </c>
      <c r="BY446" s="87">
        <f>HYPERLINK("https://www1.hkexnews.hk/listedco/listconews/sehk/2026/0323/2026032301408.pdf","allotment")</f>
        <v/>
      </c>
      <c r="BZ446" s="87">
        <f>HYPERLINK("https://www1.hkexnews.hk/listedco/listconews/sehk/2026/0420/2026042000237.pdf","stabilisation")</f>
        <v/>
      </c>
      <c r="CA446" s="85" t="n"/>
      <c r="CB446" s="71" t="inlineStr">
        <is>
          <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t>
        </is>
      </c>
    </row>
    <row r="447" ht="15" customHeight="1">
      <c r="A447" s="70" t="inlineStr">
        <is>
          <t>2632</t>
        </is>
      </c>
      <c r="B447" s="71" t="inlineStr">
        <is>
          <t>NEW VISION CO</t>
        </is>
      </c>
      <c r="C447" s="71" t="inlineStr">
        <is>
          <t>澤景股份</t>
        </is>
      </c>
      <c r="D447" s="71" t="inlineStr">
        <is>
          <t>Consumer</t>
        </is>
      </c>
      <c r="E447" s="71" t="inlineStr">
        <is>
          <t>Auto parts / supply chain</t>
        </is>
      </c>
      <c r="F447" s="71" t="inlineStr">
        <is>
          <t>Auto Parts &amp; Equipment</t>
        </is>
      </c>
      <c r="G447" s="71" t="inlineStr">
        <is>
          <t>Standard</t>
        </is>
      </c>
      <c r="H447" s="72" t="n">
        <v>46105</v>
      </c>
      <c r="I447" s="73" t="n">
        <v>717.21</v>
      </c>
      <c r="J447" s="71" t="inlineStr">
        <is>
          <t>gross (stated)</t>
        </is>
      </c>
      <c r="K447" s="74" t="n"/>
      <c r="L447" s="74" t="n">
        <v>48</v>
      </c>
      <c r="M447" s="74" t="n">
        <v>44.2</v>
      </c>
      <c r="N447" s="71" t="inlineStr">
        <is>
          <t>N</t>
        </is>
      </c>
      <c r="O447" s="75" t="n">
        <v>92.09999999999999</v>
      </c>
      <c r="P447" s="75" t="n"/>
      <c r="Q447" s="76" t="n">
        <v>5454.1</v>
      </c>
      <c r="R447" s="71" t="inlineStr">
        <is>
          <t>derived:price x shares upon listing</t>
        </is>
      </c>
      <c r="S447" s="77" t="n">
        <v>68.89</v>
      </c>
      <c r="T447" s="78" t="n">
        <v>1.34</v>
      </c>
      <c r="U447" s="79" t="n">
        <v>16.13</v>
      </c>
      <c r="V447" s="80" t="n">
        <v>71</v>
      </c>
      <c r="W447" s="75" t="n">
        <v>10</v>
      </c>
      <c r="X447" s="71" t="inlineStr">
        <is>
          <t>NO</t>
        </is>
      </c>
      <c r="Y447" s="76" t="n">
        <v>601.52</v>
      </c>
      <c r="Z447" s="76" t="n">
        <v>13609166</v>
      </c>
      <c r="AA447" s="75" t="n">
        <v>11.03</v>
      </c>
      <c r="AB447" s="71" t="inlineStr">
        <is>
          <t>Yingke No.1 (Hongkong) Limited</t>
        </is>
      </c>
      <c r="AC447" s="71" t="inlineStr">
        <is>
          <t>yingke</t>
        </is>
      </c>
      <c r="AD447" s="75" t="n"/>
      <c r="AE447" s="71" t="n"/>
      <c r="AF447" s="71" t="n"/>
      <c r="AG447" s="71" t="n"/>
      <c r="AH447" s="71" t="n"/>
      <c r="AI447" s="92" t="n">
        <v>1.041</v>
      </c>
      <c r="AJ447" s="82" t="n">
        <v>-36.92</v>
      </c>
      <c r="AK447" s="82" t="n">
        <v>-0.68</v>
      </c>
      <c r="AL447" s="82" t="n">
        <v>-36.49</v>
      </c>
      <c r="AM447" s="83" t="n">
        <v>3.22</v>
      </c>
      <c r="AN447" s="75" t="n">
        <v>41.23</v>
      </c>
      <c r="AO447" s="82" t="n">
        <v>1.81</v>
      </c>
      <c r="AP447" s="82" t="n">
        <v>94.12</v>
      </c>
      <c r="AQ447" s="82" t="n">
        <v>149.1</v>
      </c>
      <c r="AR447" s="82" t="n">
        <v>61.4</v>
      </c>
      <c r="AS447" s="82" t="n">
        <v>207.74</v>
      </c>
      <c r="AT447" s="82" t="n">
        <v>294.9</v>
      </c>
      <c r="AU447" s="82" t="n">
        <v>2.11</v>
      </c>
      <c r="AV447" s="82" t="n">
        <v>90.3</v>
      </c>
      <c r="AW447" s="82" t="n">
        <v>160.17</v>
      </c>
      <c r="AX447" s="82" t="n">
        <v>206.4</v>
      </c>
      <c r="AY447" s="82" t="n">
        <v>3.82</v>
      </c>
      <c r="AZ447" s="82" t="n">
        <v>1.34</v>
      </c>
      <c r="BA447" s="71" t="inlineStr">
        <is>
          <t>Hang Seng Commerce &amp; Industry sub-index</t>
        </is>
      </c>
      <c r="BB447" s="82" t="n">
        <v>39.82</v>
      </c>
      <c r="BC447" s="72" t="inlineStr">
        <is>
          <t>2026-09-23</t>
        </is>
      </c>
      <c r="BD447" s="73" t="n">
        <v>635.4</v>
      </c>
      <c r="BE447" s="76" t="n">
        <v>-151.6</v>
      </c>
      <c r="BF447" s="71" t="inlineStr">
        <is>
          <t>N</t>
        </is>
      </c>
      <c r="BG447" s="71" t="inlineStr">
        <is>
          <t>n/m</t>
        </is>
      </c>
      <c r="BH447" s="83" t="n"/>
      <c r="BI447" s="83" t="n"/>
      <c r="BJ447" s="83" t="n">
        <v>8.6</v>
      </c>
      <c r="BK447" s="84">
        <f>IF('BBG Verify'!S447="","not filed; run on terminal",'BBG Verify'!S447)</f>
        <v/>
      </c>
      <c r="BL447" s="85" t="inlineStr">
        <is>
          <t>N</t>
        </is>
      </c>
      <c r="BM447" s="86">
        <f>IF('BBG Verify'!K447="","not filed; run on terminal",'BBG Verify'!K447)</f>
        <v/>
      </c>
      <c r="BN447" s="71" t="inlineStr">
        <is>
          <t>N/A</t>
        </is>
      </c>
      <c r="BO447" s="71" t="inlineStr">
        <is>
          <t>N/A</t>
        </is>
      </c>
      <c r="BP447" s="71" t="inlineStr">
        <is>
          <t>N/A</t>
        </is>
      </c>
      <c r="BQ447" s="71" t="inlineStr">
        <is>
          <t>N/A</t>
        </is>
      </c>
      <c r="BR447" s="71" t="inlineStr">
        <is>
          <t>N/A</t>
        </is>
      </c>
      <c r="BS447" s="71" t="inlineStr">
        <is>
          <t>N/A</t>
        </is>
      </c>
      <c r="BT447" s="85" t="inlineStr">
        <is>
          <t>Haitong International Capital Limited; CITIC Securities (Hong Kong) Limited</t>
        </is>
      </c>
      <c r="BU447" s="71" t="inlineStr">
        <is>
          <t>Haitong International Capital Limited; CITIC Securities (Hong Kong) Limited</t>
        </is>
      </c>
      <c r="BV447" s="71" t="inlineStr">
        <is>
          <t>BOCI Asia Limited; Patrons Securities Limited</t>
        </is>
      </c>
      <c r="BW447" s="71" t="inlineStr">
        <is>
          <t>BOCI Asia Limited; CLSA Limited; Futu Securities International (Hong Kong) Limited; Haitong International Securities Company Limited; Patrons Securities Limited</t>
        </is>
      </c>
      <c r="BX447" s="87">
        <f>HYPERLINK("https://www1.hkexnews.hk/listedco/listconews/sehk/2026/0316/2026031600011.pdf","prospectus")</f>
        <v/>
      </c>
      <c r="BY447" s="87">
        <f>HYPERLINK("https://www1.hkexnews.hk/listedco/listconews/sehk/2026/0323/2026032301630.pdf","allotment")</f>
        <v/>
      </c>
      <c r="BZ447" s="71" t="n"/>
      <c r="CA447" s="85" t="n"/>
      <c r="CB447"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70" t="inlineStr">
        <is>
          <t>2726</t>
        </is>
      </c>
      <c r="B448" s="71" t="inlineStr">
        <is>
          <t>EPIWORLD</t>
        </is>
      </c>
      <c r="C448" s="71" t="inlineStr">
        <is>
          <t>瀚天天成</t>
        </is>
      </c>
      <c r="D448" s="71" t="inlineStr">
        <is>
          <t>Tech/AI</t>
        </is>
      </c>
      <c r="E448" s="71" t="inlineStr">
        <is>
          <t>AI chips &amp; semis</t>
        </is>
      </c>
      <c r="F448" s="71" t="inlineStr">
        <is>
          <t>Semiconductors &amp; Semiconductor Equipment</t>
        </is>
      </c>
      <c r="G448" s="71" t="inlineStr">
        <is>
          <t>Standard</t>
        </is>
      </c>
      <c r="H448" s="72" t="n">
        <v>46111</v>
      </c>
      <c r="I448" s="73" t="n">
        <v>1640</v>
      </c>
      <c r="J448" s="71" t="inlineStr">
        <is>
          <t>gross (stated)</t>
        </is>
      </c>
      <c r="K448" s="74" t="n"/>
      <c r="L448" s="74" t="n">
        <v>76.26000000000001</v>
      </c>
      <c r="M448" s="74" t="n">
        <v>76.26000000000001</v>
      </c>
      <c r="N448" s="71" t="inlineStr">
        <is>
          <t>Y</t>
        </is>
      </c>
      <c r="O448" s="75" t="n">
        <v>100</v>
      </c>
      <c r="P448" s="75" t="n"/>
      <c r="Q448" s="76" t="n">
        <v>32455.1</v>
      </c>
      <c r="R448" s="71" t="inlineStr">
        <is>
          <t>derived:price x shares upon listing</t>
        </is>
      </c>
      <c r="S448" s="77" t="n">
        <v>50.66</v>
      </c>
      <c r="T448" s="78" t="n">
        <v>1.95</v>
      </c>
      <c r="U448" s="79" t="n">
        <v>47.1</v>
      </c>
      <c r="V448" s="80" t="n">
        <v>120</v>
      </c>
      <c r="W448" s="75" t="n">
        <v>10</v>
      </c>
      <c r="X448" s="71" t="inlineStr">
        <is>
          <t>NA</t>
        </is>
      </c>
      <c r="Y448" s="76" t="n">
        <v>867.5599999999999</v>
      </c>
      <c r="Z448" s="76" t="n">
        <v>11369294</v>
      </c>
      <c r="AA448" s="75" t="n">
        <v>2.67</v>
      </c>
      <c r="AB448" s="71" t="inlineStr">
        <is>
          <t>Xiamen Advanced Intelligent Manufacturing Industry Investment Limited</t>
        </is>
      </c>
      <c r="AC448" s="71" t="inlineStr">
        <is>
          <t>xiamen</t>
        </is>
      </c>
      <c r="AD448" s="75" t="n"/>
      <c r="AE448" s="71" t="n"/>
      <c r="AF448" s="71" t="n"/>
      <c r="AG448" s="71" t="n"/>
      <c r="AH448" s="71" t="n"/>
      <c r="AI448" s="81" t="n">
        <v>37.687</v>
      </c>
      <c r="AJ448" s="82" t="n">
        <v>35.06</v>
      </c>
      <c r="AK448" s="82" t="n">
        <v>44.24</v>
      </c>
      <c r="AL448" s="82" t="n">
        <v>-6.36</v>
      </c>
      <c r="AM448" s="83" t="n">
        <v>1.15</v>
      </c>
      <c r="AN448" s="75" t="n">
        <v>21.55</v>
      </c>
      <c r="AO448" s="82" t="n">
        <v>51.19</v>
      </c>
      <c r="AP448" s="82" t="n">
        <v>40.44</v>
      </c>
      <c r="AQ448" s="82" t="n">
        <v>31.26</v>
      </c>
      <c r="AR448" s="82" t="n">
        <v>11.94</v>
      </c>
      <c r="AS448" s="82" t="n">
        <v>3.98</v>
      </c>
      <c r="AT448" s="82" t="n">
        <v>-2.81</v>
      </c>
      <c r="AU448" s="82" t="n">
        <v>50.46</v>
      </c>
      <c r="AV448" s="82" t="n">
        <v>36.29</v>
      </c>
      <c r="AW448" s="82" t="n">
        <v>36.05</v>
      </c>
      <c r="AX448" s="82" t="n">
        <v>-2.21</v>
      </c>
      <c r="AY448" s="82" t="n">
        <v>4.15</v>
      </c>
      <c r="AZ448" s="82" t="n">
        <v>6.19</v>
      </c>
      <c r="BA448" s="71" t="inlineStr">
        <is>
          <t>HSTECH (Hang Seng TECH ETF)</t>
        </is>
      </c>
      <c r="BB448" s="82" t="n">
        <v>8.18</v>
      </c>
      <c r="BC448" s="72" t="inlineStr">
        <is>
          <t>2026-09-23</t>
        </is>
      </c>
      <c r="BD448" s="73" t="n">
        <v>1071.7</v>
      </c>
      <c r="BE448" s="76" t="n">
        <v>181.6</v>
      </c>
      <c r="BF448" s="71" t="inlineStr">
        <is>
          <t>Y</t>
        </is>
      </c>
      <c r="BG448" s="83" t="n">
        <v>178.7</v>
      </c>
      <c r="BH448" s="83" t="n"/>
      <c r="BI448" s="83" t="n"/>
      <c r="BJ448" s="83" t="n">
        <v>30.3</v>
      </c>
      <c r="BK448" s="84">
        <f>IF('BBG Verify'!S448="","not filed; run on terminal",'BBG Verify'!S448)</f>
        <v/>
      </c>
      <c r="BL448" s="85" t="inlineStr">
        <is>
          <t>N</t>
        </is>
      </c>
      <c r="BM448" s="86">
        <f>IF('BBG Verify'!K448="","not filed; run on terminal",'BBG Verify'!K448)</f>
        <v/>
      </c>
      <c r="BN448" s="71" t="inlineStr">
        <is>
          <t>N/A</t>
        </is>
      </c>
      <c r="BO448" s="71" t="inlineStr">
        <is>
          <t>N/A</t>
        </is>
      </c>
      <c r="BP448" s="71" t="inlineStr">
        <is>
          <t>N/A</t>
        </is>
      </c>
      <c r="BQ448" s="71" t="inlineStr">
        <is>
          <t>N/A</t>
        </is>
      </c>
      <c r="BR448" s="71" t="inlineStr">
        <is>
          <t>N/A</t>
        </is>
      </c>
      <c r="BS448" s="71" t="inlineStr">
        <is>
          <t>N/A</t>
        </is>
      </c>
      <c r="BT448" s="85" t="n"/>
      <c r="BU448" s="71" t="inlineStr">
        <is>
          <t>China International Capital Corporation Hong Kong Securities Limited</t>
        </is>
      </c>
      <c r="BV448" s="71" t="inlineStr">
        <is>
          <t>ABCI Capital Limited; Daokou Securities Limited; China Industrial Securities International Capital Limited; Fuze Securities (International) Limited; Kingston Securities Limited; Yuen Meta (International) Securities Limited</t>
        </is>
      </c>
      <c r="BW448" s="71"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X448" s="87">
        <f>HYPERLINK("https://www1.hkexnews.hk/listedco/listconews/sehk/2026/0320/2026032000029.pdf","prospectus")</f>
        <v/>
      </c>
      <c r="BY448" s="87">
        <f>HYPERLINK("https://www1.hkexnews.hk/listedco/listconews/sehk/2026/0327/2026032702128.pdf","allotment")</f>
        <v/>
      </c>
      <c r="BZ448" s="71" t="n"/>
      <c r="CA448" s="85" t="n"/>
      <c r="CB448" s="71"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70" t="inlineStr">
        <is>
          <t>2526</t>
        </is>
      </c>
      <c r="B449" s="71" t="inlineStr">
        <is>
          <t>DIAGENS-B</t>
        </is>
      </c>
      <c r="C449" s="71" t="inlineStr">
        <is>
          <t>德適－Ｂ</t>
        </is>
      </c>
      <c r="D449" s="71" t="inlineStr">
        <is>
          <t>Healthcare</t>
        </is>
      </c>
      <c r="E449" s="71" t="inlineStr">
        <is>
          <t>Medical devices</t>
        </is>
      </c>
      <c r="F449" s="71" t="inlineStr">
        <is>
          <t>Biotechnology - Medical Devices</t>
        </is>
      </c>
      <c r="G449" s="71" t="inlineStr">
        <is>
          <t>18A</t>
        </is>
      </c>
      <c r="H449" s="72" t="n">
        <v>46111</v>
      </c>
      <c r="I449" s="73" t="n">
        <v>791.9</v>
      </c>
      <c r="J449" s="71" t="inlineStr">
        <is>
          <t>gross (stated)</t>
        </is>
      </c>
      <c r="K449" s="74" t="n"/>
      <c r="L449" s="74" t="n">
        <v>112.5</v>
      </c>
      <c r="M449" s="74" t="n">
        <v>99</v>
      </c>
      <c r="N449" s="71" t="inlineStr">
        <is>
          <t>N</t>
        </is>
      </c>
      <c r="O449" s="75" t="n">
        <v>88</v>
      </c>
      <c r="P449" s="75" t="n"/>
      <c r="Q449" s="76" t="n">
        <v>8799</v>
      </c>
      <c r="R449" s="71" t="inlineStr">
        <is>
          <t>derived:price x shares upon listing</t>
        </is>
      </c>
      <c r="S449" s="77" t="n">
        <v>1073.37</v>
      </c>
      <c r="T449" s="78" t="n">
        <v>3.45</v>
      </c>
      <c r="U449" s="79" t="n">
        <v>0</v>
      </c>
      <c r="V449" s="80" t="n">
        <v>120</v>
      </c>
      <c r="W449" s="75" t="n">
        <v>10</v>
      </c>
      <c r="X449" s="71" t="inlineStr">
        <is>
          <t>NO</t>
        </is>
      </c>
      <c r="Y449" s="76" t="n">
        <v>791.9</v>
      </c>
      <c r="Z449" s="76" t="n">
        <v>7999200</v>
      </c>
      <c r="AA449" s="75" t="n">
        <v>9</v>
      </c>
      <c r="AB449" s="71" t="n"/>
      <c r="AC449" s="71" t="n"/>
      <c r="AD449" s="75" t="n"/>
      <c r="AE449" s="71" t="n"/>
      <c r="AF449" s="71" t="n"/>
      <c r="AG449" s="71" t="n"/>
      <c r="AH449" s="71" t="n"/>
      <c r="AI449" s="81" t="n">
        <v>101.515</v>
      </c>
      <c r="AJ449" s="82" t="n">
        <v>111.72</v>
      </c>
      <c r="AK449" s="82" t="n">
        <v>121.21</v>
      </c>
      <c r="AL449" s="82" t="n">
        <v>-4.29</v>
      </c>
      <c r="AM449" s="83" t="n">
        <v>2.8</v>
      </c>
      <c r="AN449" s="75" t="n">
        <v>15.98</v>
      </c>
      <c r="AO449" s="82" t="n">
        <v>202.02</v>
      </c>
      <c r="AP449" s="82" t="n">
        <v>234.34</v>
      </c>
      <c r="AQ449" s="82" t="n">
        <v>303.03</v>
      </c>
      <c r="AR449" s="82" t="n">
        <v>42.65</v>
      </c>
      <c r="AS449" s="82" t="n">
        <v>57.92</v>
      </c>
      <c r="AT449" s="82" t="n">
        <v>90.36</v>
      </c>
      <c r="AU449" s="82" t="n">
        <v>196.11</v>
      </c>
      <c r="AV449" s="82" t="n">
        <v>230.63</v>
      </c>
      <c r="AW449" s="82" t="n">
        <v>300.15</v>
      </c>
      <c r="AX449" s="82" t="n">
        <v>54.37</v>
      </c>
      <c r="AY449" s="82" t="n">
        <v>3.71</v>
      </c>
      <c r="AZ449" s="82" t="n">
        <v>3.55</v>
      </c>
      <c r="BA449" s="71" t="inlineStr">
        <is>
          <t>China Biotech ETF (HS biotech proxy)</t>
        </is>
      </c>
      <c r="BB449" s="82" t="n">
        <v>289.9</v>
      </c>
      <c r="BC449" s="72" t="inlineStr">
        <is>
          <t>2026-09-23</t>
        </is>
      </c>
      <c r="BD449" s="73" t="n">
        <v>21.5</v>
      </c>
      <c r="BE449" s="76" t="n">
        <v>-61.7</v>
      </c>
      <c r="BF449" s="71" t="inlineStr">
        <is>
          <t>N</t>
        </is>
      </c>
      <c r="BG449" s="71" t="inlineStr">
        <is>
          <t>n/m</t>
        </is>
      </c>
      <c r="BH449" s="83" t="n"/>
      <c r="BI449" s="83" t="n"/>
      <c r="BJ449" s="83" t="n">
        <v>409.3</v>
      </c>
      <c r="BK449" s="84">
        <f>IF('BBG Verify'!S449="","not filed; run on terminal",'BBG Verify'!S449)</f>
        <v/>
      </c>
      <c r="BL449" s="85" t="inlineStr">
        <is>
          <t>N</t>
        </is>
      </c>
      <c r="BM449" s="86">
        <f>IF('BBG Verify'!K449="","not filed; run on terminal",'BBG Verify'!K449)</f>
        <v/>
      </c>
      <c r="BN449" s="71" t="inlineStr">
        <is>
          <t>N/A</t>
        </is>
      </c>
      <c r="BO449" s="71" t="inlineStr">
        <is>
          <t>N/A</t>
        </is>
      </c>
      <c r="BP449" s="71" t="inlineStr">
        <is>
          <t>N/A</t>
        </is>
      </c>
      <c r="BQ449" s="71" t="inlineStr">
        <is>
          <t>N/A</t>
        </is>
      </c>
      <c r="BR449" s="71" t="inlineStr">
        <is>
          <t>N/A</t>
        </is>
      </c>
      <c r="BS449" s="71" t="inlineStr">
        <is>
          <t>N/A</t>
        </is>
      </c>
      <c r="BT449" s="85" t="inlineStr">
        <is>
          <t>and Sponsor-overall Coordinator Huatai Financial Holdings (Hong Kong) Limited</t>
        </is>
      </c>
      <c r="BU449" s="71" t="inlineStr">
        <is>
          <t>Huatai Financial Holdings (Hong Kong) Limited</t>
        </is>
      </c>
      <c r="BV449" s="71"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W449" s="71"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X449" s="87">
        <f>HYPERLINK("https://www1.hkexnews.hk/listedco/listconews/sehk/2026/0320/2026032000025.pdf","prospectus")</f>
        <v/>
      </c>
      <c r="BY449" s="87">
        <f>HYPERLINK("https://www1.hkexnews.hk/listedco/listconews/sehk/2026/0327/2026032702330.pdf","allotment")</f>
        <v/>
      </c>
      <c r="BZ449" s="71" t="n"/>
      <c r="CA449" s="85" t="n"/>
      <c r="CB449" s="71"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70" t="inlineStr">
        <is>
          <t>6636</t>
        </is>
      </c>
      <c r="B450" s="71" t="inlineStr">
        <is>
          <t>EXTREME VISION</t>
        </is>
      </c>
      <c r="C450" s="71" t="inlineStr">
        <is>
          <t>極視角</t>
        </is>
      </c>
      <c r="D450" s="71" t="inlineStr">
        <is>
          <t>Tech/AI</t>
        </is>
      </c>
      <c r="E450" s="71" t="inlineStr">
        <is>
          <t>AI application / agent software</t>
        </is>
      </c>
      <c r="F450" s="71" t="inlineStr">
        <is>
          <t>Next-generation information technology</t>
        </is>
      </c>
      <c r="G450" s="71" t="inlineStr">
        <is>
          <t>18C</t>
        </is>
      </c>
      <c r="H450" s="72" t="n">
        <v>46111</v>
      </c>
      <c r="I450" s="73" t="n">
        <v>499.2</v>
      </c>
      <c r="J450" s="71" t="inlineStr">
        <is>
          <t>gross (stated)</t>
        </is>
      </c>
      <c r="K450" s="74" t="n"/>
      <c r="L450" s="74" t="n">
        <v>40</v>
      </c>
      <c r="M450" s="74" t="n">
        <v>40</v>
      </c>
      <c r="N450" s="71" t="inlineStr">
        <is>
          <t>Y</t>
        </is>
      </c>
      <c r="O450" s="75" t="n">
        <v>100</v>
      </c>
      <c r="P450" s="75" t="n"/>
      <c r="Q450" s="76" t="n">
        <v>4516.6</v>
      </c>
      <c r="R450" s="71" t="inlineStr">
        <is>
          <t>derived:price x shares upon listing</t>
        </is>
      </c>
      <c r="S450" s="77" t="n">
        <v>4591.37</v>
      </c>
      <c r="T450" s="78" t="n">
        <v>3.41</v>
      </c>
      <c r="U450" s="79" t="n">
        <v>9.460000000000001</v>
      </c>
      <c r="V450" s="80" t="n">
        <v>128</v>
      </c>
      <c r="W450" s="75" t="n">
        <v>20</v>
      </c>
      <c r="X450" s="71" t="inlineStr">
        <is>
          <t>YES</t>
        </is>
      </c>
      <c r="Y450" s="76" t="n">
        <v>451.98</v>
      </c>
      <c r="Z450" s="76" t="n">
        <v>11299392</v>
      </c>
      <c r="AA450" s="75" t="n">
        <v>10.01</v>
      </c>
      <c r="AB450" s="71" t="inlineStr">
        <is>
          <t>George Kent International Pte. Ltd; Zhengjin (Hong Kong) International Co., Limited</t>
        </is>
      </c>
      <c r="AC450" s="71" t="inlineStr">
        <is>
          <t>george;zhengjin</t>
        </is>
      </c>
      <c r="AD450" s="75" t="n"/>
      <c r="AE450" s="71" t="n"/>
      <c r="AF450" s="71" t="n"/>
      <c r="AG450" s="71" t="n"/>
      <c r="AH450" s="71" t="n"/>
      <c r="AI450" s="81" t="n">
        <v>54.5</v>
      </c>
      <c r="AJ450" s="82" t="n">
        <v>150</v>
      </c>
      <c r="AK450" s="82" t="n">
        <v>49.88</v>
      </c>
      <c r="AL450" s="82" t="n">
        <v>66.8</v>
      </c>
      <c r="AM450" s="83" t="n">
        <v>3.22</v>
      </c>
      <c r="AN450" s="75" t="n">
        <v>73.39</v>
      </c>
      <c r="AO450" s="82" t="n">
        <v>164</v>
      </c>
      <c r="AP450" s="82" t="n">
        <v>151.25</v>
      </c>
      <c r="AQ450" s="82" t="n">
        <v>112.5</v>
      </c>
      <c r="AR450" s="82" t="n">
        <v>5.6</v>
      </c>
      <c r="AS450" s="82" t="n">
        <v>0.5</v>
      </c>
      <c r="AT450" s="82" t="n">
        <v>-15</v>
      </c>
      <c r="AU450" s="82" t="n">
        <v>163.27</v>
      </c>
      <c r="AV450" s="82" t="n">
        <v>147.1</v>
      </c>
      <c r="AW450" s="82" t="n">
        <v>117.29</v>
      </c>
      <c r="AX450" s="82" t="n">
        <v>-5.69</v>
      </c>
      <c r="AY450" s="82" t="n">
        <v>4.15</v>
      </c>
      <c r="AZ450" s="82" t="n">
        <v>6.19</v>
      </c>
      <c r="BA450" s="71" t="inlineStr">
        <is>
          <t>HSTECH (Hang Seng TECH ETF)</t>
        </is>
      </c>
      <c r="BB450" s="82" t="n">
        <v>94.38</v>
      </c>
      <c r="BC450" s="72" t="inlineStr">
        <is>
          <t>2026-09-23</t>
        </is>
      </c>
      <c r="BD450" s="73" t="n">
        <v>283</v>
      </c>
      <c r="BE450" s="76" t="n"/>
      <c r="BF450" s="71" t="inlineStr">
        <is>
          <t>Y</t>
        </is>
      </c>
      <c r="BG450" s="84">
        <f>IF('BBG Verify'!O450="","not filed; run on terminal",'BBG Verify'!O450)</f>
        <v/>
      </c>
      <c r="BH450" s="83" t="n"/>
      <c r="BI450" s="83" t="n"/>
      <c r="BJ450" s="83" t="n">
        <v>16</v>
      </c>
      <c r="BK450" s="84">
        <f>IF('BBG Verify'!S450="","not filed; run on terminal",'BBG Verify'!S450)</f>
        <v/>
      </c>
      <c r="BL450" s="85" t="inlineStr">
        <is>
          <t>N</t>
        </is>
      </c>
      <c r="BM450" s="86">
        <f>IF('BBG Verify'!K450="","not filed; run on terminal",'BBG Verify'!K450)</f>
        <v/>
      </c>
      <c r="BN450" s="71" t="inlineStr">
        <is>
          <t>N/A</t>
        </is>
      </c>
      <c r="BO450" s="71" t="inlineStr">
        <is>
          <t>N/A</t>
        </is>
      </c>
      <c r="BP450" s="71" t="inlineStr">
        <is>
          <t>N/A</t>
        </is>
      </c>
      <c r="BQ450" s="71" t="inlineStr">
        <is>
          <t>N/A</t>
        </is>
      </c>
      <c r="BR450" s="71" t="inlineStr">
        <is>
          <t>N/A</t>
        </is>
      </c>
      <c r="BS450" s="71" t="inlineStr">
        <is>
          <t>N/A</t>
        </is>
      </c>
      <c r="BT450" s="85" t="inlineStr">
        <is>
          <t>CITIC Securities (Hong Kong) Limited</t>
        </is>
      </c>
      <c r="BU450" s="71" t="inlineStr">
        <is>
          <t>CITIC Securities (Hong Kong) Limited</t>
        </is>
      </c>
      <c r="BV450" s="71" t="inlineStr">
        <is>
          <t>CLSA Limited; CMB International Capital Limited; ABCI Capital Limited; SDIC Securities (Hong Kong) Limited; Guosen Securities (HK) Brokerage Company, Limited; Livermore Holdings Limited; China Sunrise Securities (International) Limited</t>
        </is>
      </c>
      <c r="BW450" s="71" t="inlineStr">
        <is>
          <t>ABCI Securities Company Limited; CLSA Limited; CMB International Capital Limited; China Sunrise Securities (International) Limited; Guosen Securities (HK) Brokerage Company, Limited; Livermore Holdings Limited; SDIC Securities (Hong Kong) Limited</t>
        </is>
      </c>
      <c r="BX450" s="87">
        <f>HYPERLINK("https://www1.hkexnews.hk/listedco/listconews/sehk/2026/0320/2026032000097.pdf","prospectus")</f>
        <v/>
      </c>
      <c r="BY450" s="87">
        <f>HYPERLINK("https://www1.hkexnews.hk/listedco/listconews/sehk/2026/0327/2026032703232.pdf","allotment")</f>
        <v/>
      </c>
      <c r="BZ450" s="71" t="n"/>
      <c r="CA450" s="85" t="n"/>
      <c r="CB450" s="71"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70" t="inlineStr">
        <is>
          <t>1021</t>
        </is>
      </c>
      <c r="B451" s="71" t="inlineStr">
        <is>
          <t>HUAYAN ROBOTICS</t>
        </is>
      </c>
      <c r="C451" s="71" t="inlineStr">
        <is>
          <t>華沿機器人</t>
        </is>
      </c>
      <c r="D451" s="71" t="inlineStr">
        <is>
          <t>Tech/AI</t>
        </is>
      </c>
      <c r="E451" s="71" t="inlineStr">
        <is>
          <t>Robotics &amp; autonomous driving</t>
        </is>
      </c>
      <c r="F451" s="71" t="inlineStr">
        <is>
          <t>Advanced hardware and software</t>
        </is>
      </c>
      <c r="G451" s="71" t="inlineStr">
        <is>
          <t>18C</t>
        </is>
      </c>
      <c r="H451" s="72" t="n">
        <v>46111</v>
      </c>
      <c r="I451" s="73" t="n">
        <v>1579.34</v>
      </c>
      <c r="J451" s="71" t="inlineStr">
        <is>
          <t>gross (stated)</t>
        </is>
      </c>
      <c r="K451" s="74" t="n"/>
      <c r="L451" s="74" t="n">
        <v>17</v>
      </c>
      <c r="M451" s="74" t="n">
        <v>17</v>
      </c>
      <c r="N451" s="71" t="inlineStr">
        <is>
          <t>Y</t>
        </is>
      </c>
      <c r="O451" s="75" t="n">
        <v>100</v>
      </c>
      <c r="P451" s="75" t="n"/>
      <c r="Q451" s="76" t="n">
        <v>9000</v>
      </c>
      <c r="R451" s="71" t="inlineStr">
        <is>
          <t>press:sina/kr-asia 2026-03-30: 挂牌估值约90亿港元</t>
        </is>
      </c>
      <c r="S451" s="77" t="n">
        <v>5059.38</v>
      </c>
      <c r="T451" s="78" t="n">
        <v>16.65</v>
      </c>
      <c r="U451" s="79" t="n">
        <v>48.6</v>
      </c>
      <c r="V451" s="80" t="n">
        <v>151</v>
      </c>
      <c r="W451" s="75" t="n">
        <v>17.39</v>
      </c>
      <c r="X451" s="71" t="inlineStr">
        <is>
          <t>YES</t>
        </is>
      </c>
      <c r="Y451" s="76" t="n">
        <v>811.78</v>
      </c>
      <c r="Z451" s="76" t="n">
        <v>47751936</v>
      </c>
      <c r="AA451" s="75" t="n">
        <v>9.02</v>
      </c>
      <c r="AB451" s="71"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AC451" s="71" t="inlineStr">
        <is>
          <t>eternal;hhlr;huatai;morgan;richfirm;samson;shrewd;vvc</t>
        </is>
      </c>
      <c r="AD451" s="75" t="n">
        <v>15</v>
      </c>
      <c r="AE451" s="71" t="n"/>
      <c r="AF451" s="71" t="n"/>
      <c r="AG451" s="71" t="inlineStr">
        <is>
          <t>China International Capital Corporation Hong Kong Securities Limited</t>
        </is>
      </c>
      <c r="AH451" s="71" t="inlineStr">
        <is>
          <t>China International</t>
        </is>
      </c>
      <c r="AI451" s="81" t="n">
        <v>10.412</v>
      </c>
      <c r="AJ451" s="82" t="n">
        <v>8.24</v>
      </c>
      <c r="AK451" s="82" t="n">
        <v>-1.18</v>
      </c>
      <c r="AL451" s="82" t="n">
        <v>9.529999999999999</v>
      </c>
      <c r="AM451" s="83" t="n">
        <v>2.77</v>
      </c>
      <c r="AN451" s="75" t="n">
        <v>29.88</v>
      </c>
      <c r="AO451" s="82" t="n">
        <v>5.41</v>
      </c>
      <c r="AP451" s="82" t="n">
        <v>16.24</v>
      </c>
      <c r="AQ451" s="82" t="n">
        <v>-9.119999999999999</v>
      </c>
      <c r="AR451" s="82" t="n">
        <v>-2.61</v>
      </c>
      <c r="AS451" s="82" t="n">
        <v>7.39</v>
      </c>
      <c r="AT451" s="82" t="n">
        <v>-16.04</v>
      </c>
      <c r="AU451" s="82" t="n">
        <v>4.68</v>
      </c>
      <c r="AV451" s="82" t="n">
        <v>12.09</v>
      </c>
      <c r="AW451" s="82" t="n">
        <v>-4.33</v>
      </c>
      <c r="AX451" s="82" t="n">
        <v>1.2</v>
      </c>
      <c r="AY451" s="82" t="n">
        <v>4.15</v>
      </c>
      <c r="AZ451" s="82" t="n">
        <v>6.19</v>
      </c>
      <c r="BA451" s="71" t="inlineStr">
        <is>
          <t>HSTECH (Hang Seng TECH ETF)</t>
        </is>
      </c>
      <c r="BB451" s="82" t="n">
        <v>-42.03</v>
      </c>
      <c r="BC451" s="72" t="inlineStr">
        <is>
          <t>2026-09-23</t>
        </is>
      </c>
      <c r="BD451" s="73" t="n">
        <v>425.6</v>
      </c>
      <c r="BE451" s="76" t="n">
        <v>-32.9</v>
      </c>
      <c r="BF451" s="71" t="inlineStr">
        <is>
          <t>N</t>
        </is>
      </c>
      <c r="BG451" s="71" t="inlineStr">
        <is>
          <t>n/m</t>
        </is>
      </c>
      <c r="BH451" s="83" t="n"/>
      <c r="BI451" s="83" t="n"/>
      <c r="BJ451" s="83" t="n">
        <v>21.1</v>
      </c>
      <c r="BK451" s="84">
        <f>IF('BBG Verify'!S451="","not filed; run on terminal",'BBG Verify'!S451)</f>
        <v/>
      </c>
      <c r="BL451" s="85" t="inlineStr">
        <is>
          <t>N</t>
        </is>
      </c>
      <c r="BM451" s="86">
        <f>IF('BBG Verify'!K451="","not filed; run on terminal",'BBG Verify'!K451)</f>
        <v/>
      </c>
      <c r="BN451" s="71" t="inlineStr">
        <is>
          <t>N/A</t>
        </is>
      </c>
      <c r="BO451" s="71" t="inlineStr">
        <is>
          <t>N/A</t>
        </is>
      </c>
      <c r="BP451" s="71" t="inlineStr">
        <is>
          <t>N/A</t>
        </is>
      </c>
      <c r="BQ451" s="71" t="inlineStr">
        <is>
          <t>N/A</t>
        </is>
      </c>
      <c r="BR451" s="71" t="inlineStr">
        <is>
          <t>N/A</t>
        </is>
      </c>
      <c r="BS451" s="71" t="inlineStr">
        <is>
          <t>N/A</t>
        </is>
      </c>
      <c r="BT451" s="85" t="n"/>
      <c r="BU451" s="71" t="inlineStr">
        <is>
          <t>China International Capital Corporation Hong Kong Securities Limited; Deutsche Securities Asia Limited</t>
        </is>
      </c>
      <c r="BV451" s="71" t="inlineStr">
        <is>
          <t>China International Capital Corporation Hong Kong Securities Limited; Deutsche Bank AG, Hong Kong Branch; Futu Securities International (Hong Kong) Limited; Zheshang International Financial Holdings Co., Limited</t>
        </is>
      </c>
      <c r="BW451" s="71" t="inlineStr">
        <is>
          <t>China International Capital Corporation Hong Kong Securities Limited; Deutsche Bank AG, Hong Kong Branch; Futu Securities International (Hong Kong) Limited; Zheshang International Financial Holdings Co., Limited</t>
        </is>
      </c>
      <c r="BX451" s="71" t="n"/>
      <c r="BY451" s="87">
        <f>HYPERLINK("https://www1.hkexnews.hk/listedco/listconews/sehk/2026/0327/2026032703804.pdf","allotment")</f>
        <v/>
      </c>
      <c r="BZ451" s="71" t="n"/>
      <c r="CA451" s="85" t="n"/>
      <c r="CB451"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70" t="inlineStr">
        <is>
          <t>0664</t>
        </is>
      </c>
      <c r="B452" s="71" t="inlineStr">
        <is>
          <t>TONGSHIFU</t>
        </is>
      </c>
      <c r="C452" s="71" t="inlineStr">
        <is>
          <t>銅師傅</t>
        </is>
      </c>
      <c r="D452" s="71" t="inlineStr">
        <is>
          <t>Consumer</t>
        </is>
      </c>
      <c r="E452" s="71" t="inlineStr">
        <is>
          <t>Beverages / packaged food</t>
        </is>
      </c>
      <c r="F452" s="71" t="inlineStr">
        <is>
          <t>Leisure Products</t>
        </is>
      </c>
      <c r="G452" s="71" t="inlineStr">
        <is>
          <t>Standard</t>
        </is>
      </c>
      <c r="H452" s="72" t="n">
        <v>46112</v>
      </c>
      <c r="I452" s="73" t="n">
        <v>444.41</v>
      </c>
      <c r="J452" s="71" t="inlineStr">
        <is>
          <t>gross (stated)</t>
        </is>
      </c>
      <c r="K452" s="74" t="n"/>
      <c r="L452" s="74" t="n">
        <v>68</v>
      </c>
      <c r="M452" s="74" t="n">
        <v>60</v>
      </c>
      <c r="N452" s="71" t="inlineStr">
        <is>
          <t>N</t>
        </is>
      </c>
      <c r="O452" s="75" t="n">
        <v>88.2</v>
      </c>
      <c r="P452" s="75" t="n"/>
      <c r="Q452" s="76" t="n">
        <v>3864.4</v>
      </c>
      <c r="R452" s="71" t="inlineStr">
        <is>
          <t>derived:price x shares upon listing</t>
        </is>
      </c>
      <c r="S452" s="77" t="n">
        <v>59.55</v>
      </c>
      <c r="T452" s="78" t="n">
        <v>1.56</v>
      </c>
      <c r="U452" s="79" t="n">
        <v>6.8</v>
      </c>
      <c r="V452" s="80" t="n">
        <v>43</v>
      </c>
      <c r="W452" s="75" t="n">
        <v>15</v>
      </c>
      <c r="X452" s="71" t="n"/>
      <c r="Y452" s="76" t="n">
        <v>414.19</v>
      </c>
      <c r="Z452" s="76" t="n">
        <v>6903138</v>
      </c>
      <c r="AA452" s="75" t="n">
        <v>10.72</v>
      </c>
      <c r="AB452" s="71" t="inlineStr">
        <is>
          <t>Jiantou International (Hong Kong) Co., Limited</t>
        </is>
      </c>
      <c r="AC452" s="71" t="inlineStr">
        <is>
          <t>jiantou</t>
        </is>
      </c>
      <c r="AD452" s="75" t="n">
        <v>6.75</v>
      </c>
      <c r="AE452" s="71" t="inlineStr">
        <is>
          <t>lapsed</t>
        </is>
      </c>
      <c r="AF452" s="71" t="inlineStr">
        <is>
          <t>2026-04-25</t>
        </is>
      </c>
      <c r="AG452" s="71" t="inlineStr">
        <is>
          <t>CMB International Capital Limited</t>
        </is>
      </c>
      <c r="AH452" s="71" t="inlineStr">
        <is>
          <t>CMB</t>
        </is>
      </c>
      <c r="AI452" s="81" t="n">
        <v>-30.067</v>
      </c>
      <c r="AJ452" s="82" t="n">
        <v>-49.17</v>
      </c>
      <c r="AK452" s="82" t="n">
        <v>-40.97</v>
      </c>
      <c r="AL452" s="82" t="n">
        <v>-13.89</v>
      </c>
      <c r="AM452" s="83" t="n">
        <v>2.61</v>
      </c>
      <c r="AN452" s="75" t="n">
        <v>33.15</v>
      </c>
      <c r="AO452" s="82" t="n">
        <v>-53.17</v>
      </c>
      <c r="AP452" s="82" t="n">
        <v>-62.27</v>
      </c>
      <c r="AQ452" s="82" t="n">
        <v>-74.81999999999999</v>
      </c>
      <c r="AR452" s="82" t="n">
        <v>-7.87</v>
      </c>
      <c r="AS452" s="82" t="n">
        <v>-25.77</v>
      </c>
      <c r="AT452" s="82" t="n">
        <v>-50.46</v>
      </c>
      <c r="AU452" s="82" t="n">
        <v>-56.61</v>
      </c>
      <c r="AV452" s="82" t="n">
        <v>-65.63</v>
      </c>
      <c r="AW452" s="82" t="n">
        <v>-66.55</v>
      </c>
      <c r="AX452" s="82" t="n">
        <v>-29.71</v>
      </c>
      <c r="AY452" s="82" t="n">
        <v>3.36</v>
      </c>
      <c r="AZ452" s="82" t="n">
        <v>3.94</v>
      </c>
      <c r="BA452" s="71" t="inlineStr">
        <is>
          <t>Hang Seng Commerce &amp; Industry sub-index</t>
        </is>
      </c>
      <c r="BB452" s="82" t="n">
        <v>-79.33</v>
      </c>
      <c r="BC452" s="72" t="inlineStr">
        <is>
          <t>2026-09-23</t>
        </is>
      </c>
      <c r="BD452" s="73" t="n">
        <v>679.1</v>
      </c>
      <c r="BE452" s="76" t="n">
        <v>86.90000000000001</v>
      </c>
      <c r="BF452" s="71" t="inlineStr">
        <is>
          <t>Y</t>
        </is>
      </c>
      <c r="BG452" s="83" t="n">
        <v>44.5</v>
      </c>
      <c r="BH452" s="83" t="n"/>
      <c r="BI452" s="83" t="n"/>
      <c r="BJ452" s="83" t="n">
        <v>5.7</v>
      </c>
      <c r="BK452" s="84">
        <f>IF('BBG Verify'!S452="","not filed; run on terminal",'BBG Verify'!S452)</f>
        <v/>
      </c>
      <c r="BL452" s="85" t="inlineStr">
        <is>
          <t>N</t>
        </is>
      </c>
      <c r="BM452" s="86">
        <f>IF('BBG Verify'!K452="","not filed; run on terminal",'BBG Verify'!K452)</f>
        <v/>
      </c>
      <c r="BN452" s="71" t="inlineStr">
        <is>
          <t>N/A</t>
        </is>
      </c>
      <c r="BO452" s="71" t="inlineStr">
        <is>
          <t>N/A</t>
        </is>
      </c>
      <c r="BP452" s="71" t="inlineStr">
        <is>
          <t>N/A</t>
        </is>
      </c>
      <c r="BQ452" s="71" t="inlineStr">
        <is>
          <t>N/A</t>
        </is>
      </c>
      <c r="BR452" s="71" t="inlineStr">
        <is>
          <t>N/A</t>
        </is>
      </c>
      <c r="BS452" s="71" t="inlineStr">
        <is>
          <t>N/A</t>
        </is>
      </c>
      <c r="BT452" s="85" t="inlineStr">
        <is>
          <t>CMB International Capital Limited</t>
        </is>
      </c>
      <c r="BU452" s="71" t="inlineStr">
        <is>
          <t>CMB International Capital Limited</t>
        </is>
      </c>
      <c r="BV452" s="71" t="inlineStr">
        <is>
          <t>CMB International Capital Limited; CLSA Limited; ABCI Capital Limited; China Everbright Securities (HK) Limited; Futu Securities International (Hong Kong) Limited; Patrons Securities Limited</t>
        </is>
      </c>
      <c r="BW452" s="71" t="inlineStr">
        <is>
          <t>ABCI Securities Company Limited; China Everbright Securities (HK) Limited; CLSA Limited; CMB International Capital Limited; Futu Securities International (Hong Kong) Limited; Livermore Holdings Limited; Patrons Securities Limited</t>
        </is>
      </c>
      <c r="BX452" s="87">
        <f>HYPERLINK("https://www1.hkexnews.hk/listedco/listconews/sehk/2026/0323/2026032300037.pdf","prospectus")</f>
        <v/>
      </c>
      <c r="BY452" s="87">
        <f>HYPERLINK("https://www1.hkexnews.hk/listedco/listconews/sehk/2026/0330/2026033003120.pdf","allotment")</f>
        <v/>
      </c>
      <c r="BZ452" s="87">
        <f>HYPERLINK("https://www1.hkexnews.hk/listedco/listconews/sehk/2026/0430/2026043004704.pdf","stabilisation")</f>
        <v/>
      </c>
      <c r="CA452" s="85" t="n"/>
      <c r="CB452" s="71" t="inlineStr">
        <is>
          <t>range low: maximum offer price only, no floor published; cornerstone: table parse 50% rejected (institutional total implies 7%); the filed aggregate-amount sentence used; allocation: clawback line not in this notice; a 12-28% split is consistent with either a tier-1 clawback or a placing shortfall</t>
        </is>
      </c>
    </row>
    <row r="453" ht="15" customHeight="1">
      <c r="A453" s="70" t="inlineStr">
        <is>
          <t>3625</t>
        </is>
      </c>
      <c r="B453" s="71" t="inlineStr">
        <is>
          <t>FOURSEMI</t>
        </is>
      </c>
      <c r="C453" s="71" t="inlineStr">
        <is>
          <t>傅里葉</t>
        </is>
      </c>
      <c r="D453" s="71" t="inlineStr">
        <is>
          <t>Tech/AI</t>
        </is>
      </c>
      <c r="E453" s="71" t="inlineStr">
        <is>
          <t>AI chips &amp; semis</t>
        </is>
      </c>
      <c r="F453" s="71" t="inlineStr">
        <is>
          <t>Semiconductors &amp; Semiconductor Equipment</t>
        </is>
      </c>
      <c r="G453" s="71" t="inlineStr">
        <is>
          <t>18C</t>
        </is>
      </c>
      <c r="H453" s="72" t="n">
        <v>46112</v>
      </c>
      <c r="I453" s="73" t="n">
        <v>480</v>
      </c>
      <c r="J453" s="71" t="inlineStr">
        <is>
          <t>gross (stated)</t>
        </is>
      </c>
      <c r="K453" s="74" t="n"/>
      <c r="L453" s="74" t="n">
        <v>50</v>
      </c>
      <c r="M453" s="74" t="n">
        <v>40</v>
      </c>
      <c r="N453" s="71" t="inlineStr">
        <is>
          <t>N</t>
        </is>
      </c>
      <c r="O453" s="75" t="n">
        <v>80</v>
      </c>
      <c r="P453" s="75" t="n"/>
      <c r="Q453" s="76" t="n">
        <v>4480</v>
      </c>
      <c r="R453" s="71" t="inlineStr">
        <is>
          <t>derived:price x shares upon listing</t>
        </is>
      </c>
      <c r="S453" s="77" t="n">
        <v>3118.43</v>
      </c>
      <c r="T453" s="78" t="n">
        <v>2.93</v>
      </c>
      <c r="U453" s="79" t="n">
        <v>0</v>
      </c>
      <c r="V453" s="80" t="n">
        <v>100</v>
      </c>
      <c r="W453" s="75" t="n">
        <v>20</v>
      </c>
      <c r="X453" s="71" t="inlineStr">
        <is>
          <t>YES</t>
        </is>
      </c>
      <c r="Y453" s="76" t="n">
        <v>480</v>
      </c>
      <c r="Z453" s="76" t="n">
        <v>12000000</v>
      </c>
      <c r="AA453" s="75" t="n">
        <v>10.71</v>
      </c>
      <c r="AB453" s="71" t="n"/>
      <c r="AC453" s="71" t="n"/>
      <c r="AD453" s="75" t="n">
        <v>5.72</v>
      </c>
      <c r="AE453" s="71" t="n"/>
      <c r="AF453" s="71" t="n"/>
      <c r="AG453" s="71" t="n"/>
      <c r="AH453" s="71" t="n"/>
      <c r="AI453" s="81" t="n">
        <v>108.75</v>
      </c>
      <c r="AJ453" s="82" t="n">
        <v>100</v>
      </c>
      <c r="AK453" s="82" t="n">
        <v>112.62</v>
      </c>
      <c r="AL453" s="82" t="n">
        <v>-5.94</v>
      </c>
      <c r="AM453" s="83" t="n">
        <v>2.04</v>
      </c>
      <c r="AN453" s="75" t="n">
        <v>10.58</v>
      </c>
      <c r="AO453" s="82" t="n">
        <v>226.25</v>
      </c>
      <c r="AP453" s="82" t="n">
        <v>244.75</v>
      </c>
      <c r="AQ453" s="82" t="n">
        <v>125</v>
      </c>
      <c r="AR453" s="82" t="n">
        <v>63.13</v>
      </c>
      <c r="AS453" s="82" t="n">
        <v>72.37</v>
      </c>
      <c r="AT453" s="82" t="n">
        <v>12.5</v>
      </c>
      <c r="AU453" s="82" t="n">
        <v>222.59</v>
      </c>
      <c r="AV453" s="82" t="n">
        <v>239.78</v>
      </c>
      <c r="AW453" s="82" t="n">
        <v>128.75</v>
      </c>
      <c r="AX453" s="82" t="n">
        <v>66.48</v>
      </c>
      <c r="AY453" s="82" t="n">
        <v>4.97</v>
      </c>
      <c r="AZ453" s="82" t="n">
        <v>5.89</v>
      </c>
      <c r="BA453" s="71" t="inlineStr">
        <is>
          <t>HSTECH (Hang Seng TECH ETF)</t>
        </is>
      </c>
      <c r="BB453" s="82" t="n">
        <v>73.37</v>
      </c>
      <c r="BC453" s="72" t="inlineStr">
        <is>
          <t>2026-09-23</t>
        </is>
      </c>
      <c r="BD453" s="73" t="n">
        <v>390.7</v>
      </c>
      <c r="BE453" s="76" t="n">
        <v>-62.5</v>
      </c>
      <c r="BF453" s="71" t="inlineStr">
        <is>
          <t>N</t>
        </is>
      </c>
      <c r="BG453" s="71" t="inlineStr">
        <is>
          <t>n/m</t>
        </is>
      </c>
      <c r="BH453" s="83" t="n"/>
      <c r="BI453" s="83" t="n"/>
      <c r="BJ453" s="83" t="n">
        <v>11.5</v>
      </c>
      <c r="BK453" s="84">
        <f>IF('BBG Verify'!S453="","not filed; run on terminal",'BBG Verify'!S453)</f>
        <v/>
      </c>
      <c r="BL453" s="85" t="inlineStr">
        <is>
          <t>N</t>
        </is>
      </c>
      <c r="BM453" s="86">
        <f>IF('BBG Verify'!K453="","not filed; run on terminal",'BBG Verify'!K453)</f>
        <v/>
      </c>
      <c r="BN453" s="71" t="inlineStr">
        <is>
          <t>N/A</t>
        </is>
      </c>
      <c r="BO453" s="71" t="inlineStr">
        <is>
          <t>N/A</t>
        </is>
      </c>
      <c r="BP453" s="71" t="inlineStr">
        <is>
          <t>N/A</t>
        </is>
      </c>
      <c r="BQ453" s="71" t="inlineStr">
        <is>
          <t>N/A</t>
        </is>
      </c>
      <c r="BR453" s="71" t="inlineStr">
        <is>
          <t>N/A</t>
        </is>
      </c>
      <c r="BS453" s="71" t="inlineStr">
        <is>
          <t>N/A</t>
        </is>
      </c>
      <c r="BT453" s="85" t="inlineStr">
        <is>
          <t>Guotai Junan Capital Limited; Orient Capital (Hong Kong) Limited</t>
        </is>
      </c>
      <c r="BU453" s="71" t="inlineStr">
        <is>
          <t>Guotai Junan Capital Limited; Orient Capital (Hong Kong) Limited</t>
        </is>
      </c>
      <c r="BV453" s="71"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W453" s="71"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X453" s="87">
        <f>HYPERLINK("https://www1.hkexnews.hk/listedco/listconews/sehk/2026/0323/2026032300023.pdf","prospectus")</f>
        <v/>
      </c>
      <c r="BY453" s="87">
        <f>HYPERLINK("https://www1.hkexnews.hk/listedco/listconews/sehk/2026/0330/2026033003564.pdf","allotment")</f>
        <v/>
      </c>
      <c r="BZ453" s="71" t="n"/>
      <c r="CA453" s="85" t="n"/>
      <c r="CB453" s="71"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70" t="inlineStr">
        <is>
          <t>6656</t>
        </is>
      </c>
      <c r="B454" s="71" t="inlineStr">
        <is>
          <t>SIGENERGY</t>
        </is>
      </c>
      <c r="C454" s="71" t="inlineStr">
        <is>
          <t>思格新能源</t>
        </is>
      </c>
      <c r="D454" s="71" t="inlineStr">
        <is>
          <t>Industrials</t>
        </is>
      </c>
      <c r="E454" s="71" t="inlineStr">
        <is>
          <t>Batteries / energy storage</t>
        </is>
      </c>
      <c r="F454" s="71" t="inlineStr">
        <is>
          <t>New energy and environmental protection</t>
        </is>
      </c>
      <c r="G454" s="71" t="inlineStr">
        <is>
          <t>Standard</t>
        </is>
      </c>
      <c r="H454" s="72" t="n">
        <v>46128</v>
      </c>
      <c r="I454" s="73" t="n">
        <v>4400.7</v>
      </c>
      <c r="J454" s="71" t="inlineStr">
        <is>
          <t>gross (stated)</t>
        </is>
      </c>
      <c r="K454" s="74" t="n"/>
      <c r="L454" s="74" t="n">
        <v>324.2</v>
      </c>
      <c r="M454" s="74" t="n">
        <v>324.2</v>
      </c>
      <c r="N454" s="71" t="inlineStr">
        <is>
          <t>Y</t>
        </is>
      </c>
      <c r="O454" s="75" t="n">
        <v>100</v>
      </c>
      <c r="P454" s="75" t="n"/>
      <c r="Q454" s="76" t="n">
        <v>80011.60000000001</v>
      </c>
      <c r="R454" s="71" t="inlineStr">
        <is>
          <t>prospectus:stated market capitalisation</t>
        </is>
      </c>
      <c r="S454" s="77" t="n">
        <v>1102.05</v>
      </c>
      <c r="T454" s="78" t="n">
        <v>31.2</v>
      </c>
      <c r="U454" s="79" t="n">
        <v>49.6</v>
      </c>
      <c r="V454" s="80" t="n">
        <v>428</v>
      </c>
      <c r="W454" s="75" t="n">
        <v>10</v>
      </c>
      <c r="X454" s="71" t="inlineStr">
        <is>
          <t>NA</t>
        </is>
      </c>
      <c r="Y454" s="76" t="n">
        <v>2217.95</v>
      </c>
      <c r="Z454" s="76" t="n">
        <v>6841246</v>
      </c>
      <c r="AA454" s="75" t="n">
        <v>2.77</v>
      </c>
      <c r="AB454" s="71"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AC454" s="71" t="inlineStr">
        <is>
          <t>3w;aranda;axa;baring;charoen;cpe;cpic;fullgoal;goldman;greenwoods;hhlr;hillhouse;huadeng;icbc;lazurite;perseverance;scene;shanghai-lujiazui;tropical;ubs</t>
        </is>
      </c>
      <c r="AD454" s="75" t="n">
        <v>15</v>
      </c>
      <c r="AE454" s="71" t="inlineStr">
        <is>
          <t>full</t>
        </is>
      </c>
      <c r="AF454" s="71" t="n"/>
      <c r="AG454" s="71" t="inlineStr">
        <is>
          <t>CLSA Limited</t>
        </is>
      </c>
      <c r="AH454" s="71" t="inlineStr">
        <is>
          <t>CLSA</t>
        </is>
      </c>
      <c r="AI454" s="81" t="n">
        <v>78.285</v>
      </c>
      <c r="AJ454" s="82" t="n">
        <v>103.42</v>
      </c>
      <c r="AK454" s="82" t="n">
        <v>79.20999999999999</v>
      </c>
      <c r="AL454" s="82" t="n">
        <v>13.51</v>
      </c>
      <c r="AM454" s="83" t="n">
        <v>5.68</v>
      </c>
      <c r="AN454" s="75" t="n">
        <v>18.67</v>
      </c>
      <c r="AO454" s="82" t="n">
        <v>73.66</v>
      </c>
      <c r="AP454" s="82" t="n">
        <v>64.40000000000001</v>
      </c>
      <c r="AQ454" s="82" t="n">
        <v>-14.68</v>
      </c>
      <c r="AR454" s="82" t="n">
        <v>-14.63</v>
      </c>
      <c r="AS454" s="82" t="n">
        <v>-19.18</v>
      </c>
      <c r="AT454" s="82" t="n">
        <v>-58.06</v>
      </c>
      <c r="AU454" s="82" t="n">
        <v>74.03</v>
      </c>
      <c r="AV454" s="82" t="n">
        <v>66.81</v>
      </c>
      <c r="AW454" s="82" t="n">
        <v>-9.630000000000001</v>
      </c>
      <c r="AX454" s="82" t="n">
        <v>-14.28</v>
      </c>
      <c r="AY454" s="82" t="n">
        <v>-2.41</v>
      </c>
      <c r="AZ454" s="82" t="n">
        <v>-4.9</v>
      </c>
      <c r="BA454" s="71" t="inlineStr">
        <is>
          <t>Hang Seng Commerce &amp; Industry sub-index</t>
        </is>
      </c>
      <c r="BB454" s="82" t="n">
        <v>2.96</v>
      </c>
      <c r="BC454" s="72" t="inlineStr">
        <is>
          <t>2026-09-23</t>
        </is>
      </c>
      <c r="BD454" s="73" t="n">
        <v>9900.6</v>
      </c>
      <c r="BE454" s="76" t="n">
        <v>3210.7</v>
      </c>
      <c r="BF454" s="71" t="inlineStr">
        <is>
          <t>Y</t>
        </is>
      </c>
      <c r="BG454" s="83" t="n">
        <v>24.9</v>
      </c>
      <c r="BH454" s="83" t="n"/>
      <c r="BI454" s="83" t="n"/>
      <c r="BJ454" s="83" t="n">
        <v>8.1</v>
      </c>
      <c r="BK454" s="84">
        <f>IF('BBG Verify'!S454="","not filed; run on terminal",'BBG Verify'!S454)</f>
        <v/>
      </c>
      <c r="BL454" s="85" t="inlineStr">
        <is>
          <t>N</t>
        </is>
      </c>
      <c r="BM454" s="86">
        <f>IF('BBG Verify'!K454="","not filed; run on terminal",'BBG Verify'!K454)</f>
        <v/>
      </c>
      <c r="BN454" s="71" t="inlineStr">
        <is>
          <t>N/A</t>
        </is>
      </c>
      <c r="BO454" s="71" t="inlineStr">
        <is>
          <t>N/A</t>
        </is>
      </c>
      <c r="BP454" s="71" t="inlineStr">
        <is>
          <t>N/A</t>
        </is>
      </c>
      <c r="BQ454" s="71" t="inlineStr">
        <is>
          <t>N/A</t>
        </is>
      </c>
      <c r="BR454" s="71" t="inlineStr">
        <is>
          <t>N/A</t>
        </is>
      </c>
      <c r="BS454" s="71" t="inlineStr">
        <is>
          <t>N/A</t>
        </is>
      </c>
      <c r="BT454" s="85" t="inlineStr">
        <is>
          <t>CITIC Securities (Hong Kong) Limited; BNP Paribas Securities (Asia) Limited</t>
        </is>
      </c>
      <c r="BU454" s="71" t="inlineStr">
        <is>
          <t>CITIC Securities (Hong Kong) Limited; BNP Paribas Securities (Asia) Limited</t>
        </is>
      </c>
      <c r="BV454" s="71" t="inlineStr">
        <is>
          <t>CLSA Limited; BNP Paribas Securities (Asia) Limited; China International Capital Corporation Hong Kong Securities Limited</t>
        </is>
      </c>
      <c r="BW454" s="71" t="inlineStr">
        <is>
          <t>BNP Paribas Securities (Asia) Limited; China International Capital Corporation Hong Kong Securities Limited; CLSA Limited</t>
        </is>
      </c>
      <c r="BX454" s="87">
        <f>HYPERLINK("https://www1.hkexnews.hk/listedco/listconews/sehk/2026/0408/2026040800017.pdf","prospectus")</f>
        <v/>
      </c>
      <c r="BY454" s="87">
        <f>HYPERLINK("https://www1.hkexnews.hk/listedco/listconews/sehk/2026/0415/2026041501574.pdf","allotment")</f>
        <v/>
      </c>
      <c r="BZ454" s="87">
        <f>HYPERLINK("https://www1.hkexnews.hk/listedco/listconews/sehk/2026/0513/2026051301292.pdf","stabilisation")</f>
        <v/>
      </c>
      <c r="CA454" s="85" t="n"/>
      <c r="CB454" s="71" t="inlineStr">
        <is>
          <t>greenshoe: outcome published; expiry date not in the notice; range low: maximum offer price only, no floor published</t>
        </is>
      </c>
    </row>
    <row r="455" ht="15" customHeight="1">
      <c r="A455" s="70" t="inlineStr">
        <is>
          <t>0068</t>
        </is>
      </c>
      <c r="B455" s="71" t="inlineStr">
        <is>
          <t>MANYCORE TECH</t>
        </is>
      </c>
      <c r="C455" s="71" t="inlineStr">
        <is>
          <t>MANYCORE TECH</t>
        </is>
      </c>
      <c r="D455" s="71" t="inlineStr">
        <is>
          <t>Tech/AI</t>
        </is>
      </c>
      <c r="E455" s="71" t="inlineStr">
        <is>
          <t>SaaS / enterprise software</t>
        </is>
      </c>
      <c r="F455" s="71" t="inlineStr">
        <is>
          <t>Advanced hardware and software</t>
        </is>
      </c>
      <c r="G455" s="71" t="inlineStr">
        <is>
          <t>Standard</t>
        </is>
      </c>
      <c r="H455" s="72" t="n">
        <v>46129</v>
      </c>
      <c r="I455" s="73" t="n">
        <v>1223.9</v>
      </c>
      <c r="J455" s="71" t="inlineStr">
        <is>
          <t>gross (stated)</t>
        </is>
      </c>
      <c r="K455" s="74" t="n"/>
      <c r="L455" s="74" t="n">
        <v>7.62</v>
      </c>
      <c r="M455" s="74" t="n">
        <v>7.62</v>
      </c>
      <c r="N455" s="71" t="inlineStr">
        <is>
          <t>Y</t>
        </is>
      </c>
      <c r="O455" s="75" t="n">
        <v>100</v>
      </c>
      <c r="P455" s="75" t="n"/>
      <c r="Q455" s="76" t="n">
        <v>12376.9</v>
      </c>
      <c r="R455" s="71" t="inlineStr">
        <is>
          <t>aastocks:上市市值 at the struck price</t>
        </is>
      </c>
      <c r="S455" s="77" t="n">
        <v>1590.56</v>
      </c>
      <c r="T455" s="78" t="n">
        <v>14.46</v>
      </c>
      <c r="U455" s="79" t="n">
        <v>37.14</v>
      </c>
      <c r="V455" s="80" t="n">
        <v>107</v>
      </c>
      <c r="W455" s="75" t="n">
        <v>10</v>
      </c>
      <c r="X455" s="71" t="inlineStr">
        <is>
          <t>NO</t>
        </is>
      </c>
      <c r="Y455" s="76" t="n">
        <v>769.34</v>
      </c>
      <c r="Z455" s="76" t="n">
        <v>100965103</v>
      </c>
      <c r="AA455" s="75" t="n">
        <v>6.22</v>
      </c>
      <c r="AB455" s="71" t="inlineStr">
        <is>
          <t>CR Construction Group Holdings Limited; Guohui (HK) Holdings Co., Limited; Hesai Hong Kong Limited; Mirae Asset Securities (HK) Limited; REDWOOD ELITE LIMITED; RIME Capital Limited; Sunshine Life Insurance Corporation Limited; Taikang Life Insurance Co., Ltd</t>
        </is>
      </c>
      <c r="AC455" s="71" t="inlineStr">
        <is>
          <t>cr;guohui;hesai;mirae;redwood;rime;sunshine;taikang</t>
        </is>
      </c>
      <c r="AD455" s="75" t="n">
        <v>15</v>
      </c>
      <c r="AE455" s="71" t="n"/>
      <c r="AF455" s="71" t="n"/>
      <c r="AG455" s="71" t="inlineStr">
        <is>
          <t>J.P. Morgan Securities</t>
        </is>
      </c>
      <c r="AH455" s="71" t="inlineStr">
        <is>
          <t>JP Morgan</t>
        </is>
      </c>
      <c r="AI455" s="81" t="n">
        <v>169.291</v>
      </c>
      <c r="AJ455" s="82" t="n">
        <v>144.09</v>
      </c>
      <c r="AK455" s="82" t="n">
        <v>171.65</v>
      </c>
      <c r="AL455" s="82" t="n">
        <v>-10.15</v>
      </c>
      <c r="AM455" s="83" t="n">
        <v>8.369999999999999</v>
      </c>
      <c r="AN455" s="75" t="n">
        <v>25.89</v>
      </c>
      <c r="AO455" s="82" t="n">
        <v>273.75</v>
      </c>
      <c r="AP455" s="82" t="n">
        <v>142.91</v>
      </c>
      <c r="AQ455" s="82" t="n">
        <v>16.54</v>
      </c>
      <c r="AR455" s="82" t="n">
        <v>53.12</v>
      </c>
      <c r="AS455" s="82" t="n">
        <v>-0.48</v>
      </c>
      <c r="AT455" s="82" t="n">
        <v>-52.26</v>
      </c>
      <c r="AU455" s="82" t="n">
        <v>277.63</v>
      </c>
      <c r="AV455" s="82" t="n">
        <v>147.6</v>
      </c>
      <c r="AW455" s="82" t="n">
        <v>21.99</v>
      </c>
      <c r="AX455" s="82" t="n">
        <v>3.09</v>
      </c>
      <c r="AY455" s="82" t="n">
        <v>-4.69</v>
      </c>
      <c r="AZ455" s="82" t="n">
        <v>-3.57</v>
      </c>
      <c r="BA455" s="71" t="inlineStr">
        <is>
          <t>HSTECH (Hang Seng TECH ETF)</t>
        </is>
      </c>
      <c r="BB455" s="82" t="n">
        <v>2.3</v>
      </c>
      <c r="BC455" s="72" t="inlineStr">
        <is>
          <t>2026-09-23</t>
        </is>
      </c>
      <c r="BD455" s="73" t="n">
        <v>902</v>
      </c>
      <c r="BE455" s="76" t="n">
        <v>-470.7</v>
      </c>
      <c r="BF455" s="71" t="inlineStr">
        <is>
          <t>N</t>
        </is>
      </c>
      <c r="BG455" s="71" t="inlineStr">
        <is>
          <t>n/m</t>
        </is>
      </c>
      <c r="BH455" s="83" t="n"/>
      <c r="BI455" s="83" t="n"/>
      <c r="BJ455" s="83" t="n">
        <v>13.7</v>
      </c>
      <c r="BK455" s="84">
        <f>IF('BBG Verify'!S455="","not filed; run on terminal",'BBG Verify'!S455)</f>
        <v/>
      </c>
      <c r="BL455" s="85" t="inlineStr">
        <is>
          <t>N</t>
        </is>
      </c>
      <c r="BM455" s="86">
        <f>IF('BBG Verify'!K455="","not filed; run on terminal",'BBG Verify'!K455)</f>
        <v/>
      </c>
      <c r="BN455" s="71" t="inlineStr">
        <is>
          <t>N/A</t>
        </is>
      </c>
      <c r="BO455" s="71" t="inlineStr">
        <is>
          <t>N/A</t>
        </is>
      </c>
      <c r="BP455" s="71" t="inlineStr">
        <is>
          <t>N/A</t>
        </is>
      </c>
      <c r="BQ455" s="71" t="inlineStr">
        <is>
          <t>N/A</t>
        </is>
      </c>
      <c r="BR455" s="71" t="inlineStr">
        <is>
          <t>N/A</t>
        </is>
      </c>
      <c r="BS455" s="71" t="inlineStr">
        <is>
          <t>N/A</t>
        </is>
      </c>
      <c r="BT455" s="85" t="n"/>
      <c r="BU455" s="71" t="inlineStr">
        <is>
          <t>CCB International Capital Limited; J.P. Morgan Securities (Far East) Limited</t>
        </is>
      </c>
      <c r="BV455" s="71" t="inlineStr">
        <is>
          <t>ABCI Securities Company Limited; BOCI Asia Limited; CCB International Capital Limited; Futu Securities International (Hong Kong) Limited; J.P. Morgan Securities (Asia Pacific) Limited; Tiger Brokers (HK) Global Limited</t>
        </is>
      </c>
      <c r="BW455" s="71" t="inlineStr">
        <is>
          <t>ABCI Securities Company Limited; BOCI Asia Limited; CCB International Capital Limited; Futu Securities International (Hong Kong) Limited; J.P. Morgan Securities (Asia Pacific) Limited; Tiger Brokers (HK) Global Limited</t>
        </is>
      </c>
      <c r="BX455" s="71" t="n"/>
      <c r="BY455" s="87">
        <f>HYPERLINK("https://www1.hkexnews.hk/listedco/listconews/sehk/2026/0416/2026041601684.pdf","allotment")</f>
        <v/>
      </c>
      <c r="BZ455" s="71" t="n"/>
      <c r="CA455" s="85" t="n"/>
      <c r="CB455"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456" ht="15" customHeight="1">
      <c r="A456" s="70" t="inlineStr">
        <is>
          <t>3277</t>
        </is>
      </c>
      <c r="B456" s="71" t="inlineStr">
        <is>
          <t>GPIXEL</t>
        </is>
      </c>
      <c r="C456" s="71" t="inlineStr">
        <is>
          <t>長光辰芯</t>
        </is>
      </c>
      <c r="D456" s="71" t="inlineStr">
        <is>
          <t>Tech/AI</t>
        </is>
      </c>
      <c r="E456" s="71" t="inlineStr">
        <is>
          <t>AI chips &amp; semis</t>
        </is>
      </c>
      <c r="F456" s="71" t="inlineStr">
        <is>
          <t>Electronic Equipment &amp; Instruments</t>
        </is>
      </c>
      <c r="G456" s="71" t="inlineStr">
        <is>
          <t>Standard</t>
        </is>
      </c>
      <c r="H456" s="72" t="n">
        <v>46129</v>
      </c>
      <c r="I456" s="73" t="n">
        <v>2603.9</v>
      </c>
      <c r="J456" s="71" t="inlineStr">
        <is>
          <t>gross (stated)</t>
        </is>
      </c>
      <c r="K456" s="74" t="n"/>
      <c r="L456" s="74" t="n">
        <v>39.88</v>
      </c>
      <c r="M456" s="74" t="n">
        <v>39.88</v>
      </c>
      <c r="N456" s="71" t="inlineStr">
        <is>
          <t>Y</t>
        </is>
      </c>
      <c r="O456" s="75" t="n">
        <v>100</v>
      </c>
      <c r="P456" s="75" t="n"/>
      <c r="Q456" s="76" t="n">
        <v>11600</v>
      </c>
      <c r="R456" s="71" t="inlineStr">
        <is>
          <t>prospectus:stated market capitalisation</t>
        </is>
      </c>
      <c r="S456" s="77" t="n">
        <v>1138.21</v>
      </c>
      <c r="T456" s="78" t="n">
        <v>22.69</v>
      </c>
      <c r="U456" s="79" t="n">
        <v>25.3</v>
      </c>
      <c r="V456" s="80" t="n">
        <v>172</v>
      </c>
      <c r="W456" s="75" t="n">
        <v>10</v>
      </c>
      <c r="X456" s="71" t="inlineStr">
        <is>
          <t>NO</t>
        </is>
      </c>
      <c r="Y456" s="76" t="n">
        <v>1945.11</v>
      </c>
      <c r="Z456" s="76" t="n">
        <v>48774767</v>
      </c>
      <c r="AA456" s="75" t="n">
        <v>16.77</v>
      </c>
      <c r="AB456" s="71"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AC456" s="71" t="inlineStr">
        <is>
          <t>3w;arc;boyu;china-asset;cpe;fund-management;eastern-bell;fullgoal;gf;greenwoods;hhlr;icbc;mirae;panjing;perseverance;protium;source;ubs;value;voyage42;wt</t>
        </is>
      </c>
      <c r="AD456" s="75" t="n">
        <v>18.29</v>
      </c>
      <c r="AE456" s="71" t="inlineStr">
        <is>
          <t>full</t>
        </is>
      </c>
      <c r="AF456" s="71" t="inlineStr">
        <is>
          <t>2026-05-14</t>
        </is>
      </c>
      <c r="AG456" s="71" t="inlineStr">
        <is>
          <t>CLSA Limited</t>
        </is>
      </c>
      <c r="AH456" s="71" t="inlineStr">
        <is>
          <t>CLSA</t>
        </is>
      </c>
      <c r="AI456" s="81" t="n">
        <v>71.264</v>
      </c>
      <c r="AJ456" s="82" t="n">
        <v>75.53</v>
      </c>
      <c r="AK456" s="82" t="n">
        <v>80.54000000000001</v>
      </c>
      <c r="AL456" s="82" t="n">
        <v>-2.78</v>
      </c>
      <c r="AM456" s="83" t="n">
        <v>4.29</v>
      </c>
      <c r="AN456" s="75" t="n">
        <v>25.49</v>
      </c>
      <c r="AO456" s="82" t="n">
        <v>112.39</v>
      </c>
      <c r="AP456" s="82" t="n">
        <v>107.62</v>
      </c>
      <c r="AQ456" s="82" t="n">
        <v>81.42</v>
      </c>
      <c r="AR456" s="82" t="n">
        <v>21</v>
      </c>
      <c r="AS456" s="82" t="n">
        <v>18.28</v>
      </c>
      <c r="AT456" s="82" t="n">
        <v>3.36</v>
      </c>
      <c r="AU456" s="82" t="n">
        <v>116.27</v>
      </c>
      <c r="AV456" s="82" t="n">
        <v>112.31</v>
      </c>
      <c r="AW456" s="82" t="n">
        <v>86.87</v>
      </c>
      <c r="AX456" s="82" t="n">
        <v>21.85</v>
      </c>
      <c r="AY456" s="82" t="n">
        <v>-4.69</v>
      </c>
      <c r="AZ456" s="82" t="n">
        <v>-3.57</v>
      </c>
      <c r="BA456" s="71" t="inlineStr">
        <is>
          <t>HSTECH (Hang Seng TECH ETF)</t>
        </is>
      </c>
      <c r="BB456" s="82" t="n">
        <v>89.06999999999999</v>
      </c>
      <c r="BC456" s="72" t="inlineStr">
        <is>
          <t>2026-09-23</t>
        </is>
      </c>
      <c r="BD456" s="73" t="n">
        <v>942.2</v>
      </c>
      <c r="BE456" s="76" t="n">
        <v>322.5</v>
      </c>
      <c r="BF456" s="71" t="inlineStr">
        <is>
          <t>Y</t>
        </is>
      </c>
      <c r="BG456" s="83" t="n">
        <v>36</v>
      </c>
      <c r="BH456" s="83" t="n"/>
      <c r="BI456" s="83" t="n"/>
      <c r="BJ456" s="83" t="n">
        <v>12.3</v>
      </c>
      <c r="BK456" s="84">
        <f>IF('BBG Verify'!S456="","not filed; run on terminal",'BBG Verify'!S456)</f>
        <v/>
      </c>
      <c r="BL456" s="85" t="inlineStr">
        <is>
          <t>N</t>
        </is>
      </c>
      <c r="BM456" s="86">
        <f>IF('BBG Verify'!K456="","not filed; run on terminal",'BBG Verify'!K456)</f>
        <v/>
      </c>
      <c r="BN456" s="71" t="inlineStr">
        <is>
          <t>N/A</t>
        </is>
      </c>
      <c r="BO456" s="71" t="inlineStr">
        <is>
          <t>N/A</t>
        </is>
      </c>
      <c r="BP456" s="71" t="inlineStr">
        <is>
          <t>N/A</t>
        </is>
      </c>
      <c r="BQ456" s="71" t="inlineStr">
        <is>
          <t>N/A</t>
        </is>
      </c>
      <c r="BR456" s="71" t="inlineStr">
        <is>
          <t>N/A</t>
        </is>
      </c>
      <c r="BS456" s="71" t="inlineStr">
        <is>
          <t>N/A</t>
        </is>
      </c>
      <c r="BT456" s="85" t="inlineStr">
        <is>
          <t>CITIC Securities (Hong Kong) Limited; Guotai Junan Capital Limited</t>
        </is>
      </c>
      <c r="BU456" s="71" t="inlineStr">
        <is>
          <t>CITIC Securities (Hong Kong) Limited; Guotai Junan Capital Limited</t>
        </is>
      </c>
      <c r="BV456" s="71" t="inlineStr">
        <is>
          <t>CLSA Limited; Guotai Junan Securities (Hong Kong) Limited</t>
        </is>
      </c>
      <c r="BW456" s="71" t="inlineStr">
        <is>
          <t>CLSA Limited; Guotai Junan Securities (Hong Kong) Limited</t>
        </is>
      </c>
      <c r="BX456" s="87">
        <f>HYPERLINK("https://www1.hkexnews.hk/listedco/listconews/sehk/2026/0409/2026040900047.pdf","prospectus")</f>
        <v/>
      </c>
      <c r="BY456" s="87">
        <f>HYPERLINK("https://www1.hkexnews.hk/listedco/listconews/sehk/2026/0416/2026041602158.pdf","allotment")</f>
        <v/>
      </c>
      <c r="BZ456" s="87">
        <f>HYPERLINK("https://www1.hkexnews.hk/listedco/listconews/sehk/2026/0514/2026051400392.pdf","stabilisation")</f>
        <v/>
      </c>
      <c r="CA456" s="85" t="n"/>
      <c r="CB456" s="71" t="inlineStr">
        <is>
          <t>range low: maximum offer price only, no floor published; cornerstone: % from the prospectus; AAStocks table includes non-cornerstone orders</t>
        </is>
      </c>
    </row>
    <row r="457" ht="15" customHeight="1">
      <c r="A457" s="70" t="inlineStr">
        <is>
          <t>2476</t>
        </is>
      </c>
      <c r="B457" s="71" t="inlineStr">
        <is>
          <t>VGT</t>
        </is>
      </c>
      <c r="C457" s="71" t="inlineStr">
        <is>
          <t>勝宏科技</t>
        </is>
      </c>
      <c r="D457" s="71" t="inlineStr">
        <is>
          <t>Tech/AI</t>
        </is>
      </c>
      <c r="E457" s="71" t="inlineStr">
        <is>
          <t>Smart hardware / consumer electronics</t>
        </is>
      </c>
      <c r="F457" s="71" t="inlineStr">
        <is>
          <t>Printed Circuit Boards</t>
        </is>
      </c>
      <c r="G457" s="71" t="inlineStr">
        <is>
          <t>Standard</t>
        </is>
      </c>
      <c r="H457" s="72" t="n">
        <v>46133</v>
      </c>
      <c r="I457" s="73" t="n">
        <v>20117</v>
      </c>
      <c r="J457" s="71" t="inlineStr">
        <is>
          <t>gross (stated)</t>
        </is>
      </c>
      <c r="K457" s="74" t="n"/>
      <c r="L457" s="74" t="n">
        <v>209.88</v>
      </c>
      <c r="M457" s="74" t="n">
        <v>209.88</v>
      </c>
      <c r="N457" s="71" t="inlineStr">
        <is>
          <t>Y</t>
        </is>
      </c>
      <c r="O457" s="75" t="n">
        <v>100</v>
      </c>
      <c r="P457" s="75" t="n"/>
      <c r="Q457" s="76" t="n">
        <v>203202</v>
      </c>
      <c r="R457" s="71" t="inlineStr">
        <is>
          <t>derived:deal size / offer % of enlarged capital</t>
        </is>
      </c>
      <c r="S457" s="77" t="n">
        <v>431.15</v>
      </c>
      <c r="T457" s="78" t="n">
        <v>18.5</v>
      </c>
      <c r="U457" s="79" t="n">
        <v>33.7</v>
      </c>
      <c r="V457" s="80" t="n"/>
      <c r="W457" s="75" t="n"/>
      <c r="X457" s="71" t="inlineStr">
        <is>
          <t>NA</t>
        </is>
      </c>
      <c r="Y457" s="76" t="n">
        <v>13337.57</v>
      </c>
      <c r="Z457" s="76" t="n">
        <v>63548550</v>
      </c>
      <c r="AA457" s="75" t="n">
        <v>6.56</v>
      </c>
      <c r="AB457" s="71"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AC457" s="71" t="inlineStr">
        <is>
          <t>black;bosera;cloudalpha;cloudview;cncb;cpe;deliante;foresight;golden-k2;greenwoods;hhlr;mason;hq;huizhou;janchor;jump;mega;metazone;mirae;morgan;mr-ye;my;new-alternative;new-golden;ovata</t>
        </is>
      </c>
      <c r="AD457" s="75" t="n">
        <v>15</v>
      </c>
      <c r="AE457" s="71" t="inlineStr">
        <is>
          <t>full</t>
        </is>
      </c>
      <c r="AF457" s="71" t="inlineStr">
        <is>
          <t>2026-05-16</t>
        </is>
      </c>
      <c r="AG457" s="71" t="inlineStr">
        <is>
          <t>J.P. Morgan Securities</t>
        </is>
      </c>
      <c r="AH457" s="71" t="inlineStr">
        <is>
          <t>JP Morgan</t>
        </is>
      </c>
      <c r="AI457" s="81" t="n">
        <v>58.662</v>
      </c>
      <c r="AJ457" s="82" t="n">
        <v>50.09</v>
      </c>
      <c r="AK457" s="82" t="n">
        <v>57.23</v>
      </c>
      <c r="AL457" s="82" t="n">
        <v>-4.54</v>
      </c>
      <c r="AM457" s="83" t="n"/>
      <c r="AN457" s="75" t="n">
        <v>10.36</v>
      </c>
      <c r="AO457" s="82" t="n">
        <v>42.94</v>
      </c>
      <c r="AP457" s="82" t="n">
        <v>64.95</v>
      </c>
      <c r="AQ457" s="82" t="n">
        <v>9.59</v>
      </c>
      <c r="AR457" s="82" t="n">
        <v>-4.76</v>
      </c>
      <c r="AS457" s="82" t="n">
        <v>9.9</v>
      </c>
      <c r="AT457" s="82" t="n">
        <v>-26.98</v>
      </c>
      <c r="AU457" s="82" t="n">
        <v>47.47</v>
      </c>
      <c r="AV457" s="82" t="n">
        <v>70.65000000000001</v>
      </c>
      <c r="AW457" s="82" t="n">
        <v>16.46</v>
      </c>
      <c r="AX457" s="82" t="n">
        <v>15.71</v>
      </c>
      <c r="AY457" s="82" t="n">
        <v>-5.7</v>
      </c>
      <c r="AZ457" s="82" t="n">
        <v>-5.81</v>
      </c>
      <c r="BA457" s="71" t="inlineStr">
        <is>
          <t>HSTECH (Hang Seng TECH ETF)</t>
        </is>
      </c>
      <c r="BB457" s="82" t="n">
        <v>7.2</v>
      </c>
      <c r="BC457" s="72" t="inlineStr">
        <is>
          <t>2026-09-23</t>
        </is>
      </c>
      <c r="BD457" s="73" t="n">
        <v>21221.5</v>
      </c>
      <c r="BE457" s="76" t="n">
        <v>1269.9</v>
      </c>
      <c r="BF457" s="71" t="inlineStr">
        <is>
          <t>Y</t>
        </is>
      </c>
      <c r="BG457" s="83" t="n">
        <v>160</v>
      </c>
      <c r="BH457" s="83" t="n"/>
      <c r="BI457" s="83" t="n"/>
      <c r="BJ457" s="83" t="n">
        <v>9.6</v>
      </c>
      <c r="BK457" s="84">
        <f>IF('BBG Verify'!S457="","not filed; run on terminal",'BBG Verify'!S457)</f>
        <v/>
      </c>
      <c r="BL457" s="85" t="inlineStr">
        <is>
          <t>Y</t>
        </is>
      </c>
      <c r="BM457" s="71" t="inlineStr">
        <is>
          <t>300476.SZ</t>
        </is>
      </c>
      <c r="BN457" s="82" t="n">
        <v>87.67</v>
      </c>
      <c r="BO457" s="74" t="n">
        <v>393.8878</v>
      </c>
      <c r="BP457" s="89" t="n">
        <v>0.29</v>
      </c>
      <c r="BQ457" s="76" t="n">
        <v>285724.7</v>
      </c>
      <c r="BR457" s="84">
        <f>IF('BBG Verify'!Q457="","run on terminal",'BBG Verify'!Q457)</f>
        <v/>
      </c>
      <c r="BS457" s="84">
        <f>IF('BBG Verify'!R457="","run on terminal",'BBG Verify'!R457)</f>
        <v/>
      </c>
      <c r="BT457" s="85" t="inlineStr">
        <is>
          <t>J.P. Morgan Securities (Far East) Limited; China Securities (International) Corporate Finance Company Limited; GF Capital (Hong Kong) Limited</t>
        </is>
      </c>
      <c r="BU457" s="71" t="inlineStr">
        <is>
          <t>J.P. Morgan Securities (Far East) Limited; GF Capital (Hong Kong) Limited; China Securities (International) Corporate Finance Company Limited</t>
        </is>
      </c>
      <c r="BV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X457" s="87">
        <f>HYPERLINK("https://www1.hkexnews.hk/listedco/listconews/sehk/2026/0413/2026041300005.pdf","prospectus")</f>
        <v/>
      </c>
      <c r="BY457" s="87">
        <f>HYPERLINK("https://www1.hkexnews.hk/listedco/listconews/sehk/2026/0420/2026042001650.pdf","allotment")</f>
        <v/>
      </c>
      <c r="BZ457" s="87">
        <f>HYPERLINK("https://www1.hkexnews.hk/listedco/listconews/sehk/2026/0518/2026051800452.pdf","stabilisation")</f>
        <v/>
      </c>
      <c r="CA457" s="85" t="n"/>
      <c r="CB457" s="71" t="inlineStr">
        <is>
          <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t>
        </is>
      </c>
    </row>
    <row r="458" ht="15" customHeight="1">
      <c r="A458" s="70" t="inlineStr">
        <is>
          <t>3296</t>
        </is>
      </c>
      <c r="B458" s="71" t="inlineStr">
        <is>
          <t>HUAQIN</t>
        </is>
      </c>
      <c r="C458" s="71" t="inlineStr">
        <is>
          <t>華勤技術</t>
        </is>
      </c>
      <c r="D458" s="71" t="inlineStr">
        <is>
          <t>Tech/AI</t>
        </is>
      </c>
      <c r="E458" s="71" t="inlineStr">
        <is>
          <t>Smart hardware / consumer electronics</t>
        </is>
      </c>
      <c r="F458" s="71" t="inlineStr">
        <is>
          <t>Telecommunications &amp; Networking Equipment</t>
        </is>
      </c>
      <c r="G458" s="71" t="inlineStr">
        <is>
          <t>Standard</t>
        </is>
      </c>
      <c r="H458" s="72" t="n">
        <v>46135</v>
      </c>
      <c r="I458" s="73" t="n">
        <v>4549.2</v>
      </c>
      <c r="J458" s="71" t="inlineStr">
        <is>
          <t>gross (stated)</t>
        </is>
      </c>
      <c r="K458" s="74" t="n"/>
      <c r="L458" s="74" t="n">
        <v>77.7</v>
      </c>
      <c r="M458" s="74" t="n">
        <v>77.7</v>
      </c>
      <c r="N458" s="71" t="inlineStr">
        <is>
          <t>Y</t>
        </is>
      </c>
      <c r="O458" s="75" t="n">
        <v>100</v>
      </c>
      <c r="P458" s="75" t="n"/>
      <c r="Q458" s="76" t="n">
        <v>83471.60000000001</v>
      </c>
      <c r="R458" s="71" t="inlineStr">
        <is>
          <t>derived:price x shares upon listing</t>
        </is>
      </c>
      <c r="S458" s="77" t="n">
        <v>531.33</v>
      </c>
      <c r="T458" s="78" t="n">
        <v>13.34</v>
      </c>
      <c r="U458" s="79" t="n">
        <v>49.7</v>
      </c>
      <c r="V458" s="80" t="n">
        <v>171</v>
      </c>
      <c r="W458" s="75" t="n">
        <v>10</v>
      </c>
      <c r="X458" s="71" t="inlineStr">
        <is>
          <t>NA</t>
        </is>
      </c>
      <c r="Y458" s="76" t="n">
        <v>2288.25</v>
      </c>
      <c r="Z458" s="76" t="n">
        <v>29449745</v>
      </c>
      <c r="AA458" s="75" t="n">
        <v>2.74</v>
      </c>
      <c r="AB458" s="71"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AC458" s="71" t="inlineStr">
        <is>
          <t>3w;aurora;awinic;china-international;cloud;everbright;green;hongxing;ingenic;ivyrock;jinyi;jpmorgan;kingboard;new;perseverance;taikang;ubs</t>
        </is>
      </c>
      <c r="AD458" s="75" t="n">
        <v>15</v>
      </c>
      <c r="AE458" s="71" t="inlineStr">
        <is>
          <t>full</t>
        </is>
      </c>
      <c r="AF458" s="71" t="inlineStr">
        <is>
          <t>2026-05-20</t>
        </is>
      </c>
      <c r="AG458" s="71" t="inlineStr">
        <is>
          <t>China International Capital Corporation Hong Kong Securities Limited</t>
        </is>
      </c>
      <c r="AH458" s="71" t="inlineStr">
        <is>
          <t>China International</t>
        </is>
      </c>
      <c r="AI458" s="81" t="n">
        <v>17.31</v>
      </c>
      <c r="AJ458" s="82" t="n">
        <v>13.26</v>
      </c>
      <c r="AK458" s="82" t="n">
        <v>12.68</v>
      </c>
      <c r="AL458" s="82" t="n">
        <v>0.51</v>
      </c>
      <c r="AM458" s="83" t="n">
        <v>4.2</v>
      </c>
      <c r="AN458" s="75" t="n">
        <v>6.8</v>
      </c>
      <c r="AO458" s="82" t="n">
        <v>17.12</v>
      </c>
      <c r="AP458" s="82" t="n">
        <v>52.16</v>
      </c>
      <c r="AQ458" s="82" t="n">
        <v>21.17</v>
      </c>
      <c r="AR458" s="82" t="n">
        <v>3.41</v>
      </c>
      <c r="AS458" s="82" t="n">
        <v>34.35</v>
      </c>
      <c r="AT458" s="82" t="n">
        <v>6.98</v>
      </c>
      <c r="AU458" s="82" t="n">
        <v>18.81</v>
      </c>
      <c r="AV458" s="82" t="n">
        <v>52.53</v>
      </c>
      <c r="AW458" s="82" t="n">
        <v>26.15</v>
      </c>
      <c r="AX458" s="82" t="n">
        <v>32.62</v>
      </c>
      <c r="AY458" s="82" t="n">
        <v>-0.37</v>
      </c>
      <c r="AZ458" s="82" t="n">
        <v>1.73</v>
      </c>
      <c r="BA458" s="71" t="inlineStr">
        <is>
          <t>HSTECH (Hang Seng TECH ETF)</t>
        </is>
      </c>
      <c r="BB458" s="82" t="n">
        <v>28.38</v>
      </c>
      <c r="BC458" s="72" t="inlineStr">
        <is>
          <t>2026-09-23</t>
        </is>
      </c>
      <c r="BD458" s="73" t="n">
        <v>188580.6</v>
      </c>
      <c r="BE458" s="76" t="n">
        <v>4544.7</v>
      </c>
      <c r="BF458" s="71" t="inlineStr">
        <is>
          <t>Y</t>
        </is>
      </c>
      <c r="BG458" s="83" t="n">
        <v>18.4</v>
      </c>
      <c r="BH458" s="83" t="n">
        <v>19.2</v>
      </c>
      <c r="BI458" s="83" t="n">
        <v>23.6</v>
      </c>
      <c r="BJ458" s="83" t="n">
        <v>0.4</v>
      </c>
      <c r="BK458" s="84">
        <f>IF('BBG Verify'!S458="","not filed; run on terminal",'BBG Verify'!S458)</f>
        <v/>
      </c>
      <c r="BL458" s="85" t="inlineStr">
        <is>
          <t>Y</t>
        </is>
      </c>
      <c r="BM458" s="71" t="inlineStr">
        <is>
          <t>603296.SS</t>
        </is>
      </c>
      <c r="BN458" s="82" t="n">
        <v>55.23</v>
      </c>
      <c r="BO458" s="74" t="n">
        <v>120.6149</v>
      </c>
      <c r="BP458" s="89" t="n">
        <v>0.2796</v>
      </c>
      <c r="BQ458" s="76" t="n">
        <v>142387.6</v>
      </c>
      <c r="BR458" s="84">
        <f>IF('BBG Verify'!Q458="","run on terminal",'BBG Verify'!Q458)</f>
        <v/>
      </c>
      <c r="BS458" s="84">
        <f>IF('BBG Verify'!R458="","run on terminal",'BBG Verify'!R458)</f>
        <v/>
      </c>
      <c r="BT458" s="85" t="inlineStr">
        <is>
          <t>CICC; BofA Securities</t>
        </is>
      </c>
      <c r="BU458" s="71" t="inlineStr">
        <is>
          <t>China International Capital Corporation Hong Kong Securities Limited; Merrill Lynch (Asia Pacific) Limited</t>
        </is>
      </c>
      <c r="BV458" s="71" t="inlineStr">
        <is>
          <t>ABCI Capital Limited; Tiger Brokers (HK) Global Limited</t>
        </is>
      </c>
      <c r="BW458" s="71" t="inlineStr">
        <is>
          <t>ABCI Securities Company Limited; China International Capital Corporation Hong Kong Securities Limited; CLSA Limited; Futu Securities International (Hong Kong) Limited; Goldman Sachs (Asia) L.L.C.; Merrill Lynch (Asia Pacific) Limited; Tiger Brokers (HK) Global Limited</t>
        </is>
      </c>
      <c r="BX458" s="87">
        <f>HYPERLINK("https://www1.hkexnews.hk/listedco/listconews/sehk/2026/0415/2026041500011.pdf","prospectus")</f>
        <v/>
      </c>
      <c r="BY458" s="87">
        <f>HYPERLINK("https://www1.hkexnews.hk/listedco/listconews/sehk/2026/0422/2026042202072.pdf","allotment")</f>
        <v/>
      </c>
      <c r="BZ458" s="87">
        <f>HYPERLINK("https://www1.hkexnews.hk/listedco/listconews/sehk/2026/0520/2026052001304.pdf","stabilisation")</f>
        <v/>
      </c>
      <c r="CA458" s="85" t="n"/>
      <c r="CB458" s="71" t="inlineStr">
        <is>
          <t>range low: maximum offer price only, no floor published; A/H: Apr 2026 H listing (smart-hardware ODM)</t>
        </is>
      </c>
    </row>
    <row r="459" ht="15" customHeight="1">
      <c r="A459" s="70" t="inlineStr">
        <is>
          <t>2493</t>
        </is>
      </c>
      <c r="B459" s="71" t="inlineStr">
        <is>
          <t>MABWELL-B</t>
        </is>
      </c>
      <c r="C459" s="71" t="inlineStr">
        <is>
          <t>邁威生物－Ｂ</t>
        </is>
      </c>
      <c r="D459" s="71" t="inlineStr">
        <is>
          <t>Healthcare</t>
        </is>
      </c>
      <c r="E459" s="71" t="inlineStr">
        <is>
          <t>Biotech pre-revenue (18A)</t>
        </is>
      </c>
      <c r="F459" s="71" t="inlineStr">
        <is>
          <t>Biotechnology - Pharmaceuticals</t>
        </is>
      </c>
      <c r="G459" s="71" t="inlineStr">
        <is>
          <t>18A</t>
        </is>
      </c>
      <c r="H459" s="72" t="n">
        <v>46140</v>
      </c>
      <c r="I459" s="73" t="n">
        <v>1302.7</v>
      </c>
      <c r="J459" s="71" t="inlineStr">
        <is>
          <t>gross (price x shares)</t>
        </is>
      </c>
      <c r="K459" s="74" t="n">
        <v>27.64</v>
      </c>
      <c r="L459" s="74" t="n">
        <v>30.71</v>
      </c>
      <c r="M459" s="74" t="n">
        <v>27.64</v>
      </c>
      <c r="N459" s="71" t="inlineStr">
        <is>
          <t>N</t>
        </is>
      </c>
      <c r="O459" s="75" t="n">
        <v>90</v>
      </c>
      <c r="P459" s="75" t="n">
        <v>0</v>
      </c>
      <c r="Q459" s="76" t="n">
        <v>12347.6</v>
      </c>
      <c r="R459" s="71" t="inlineStr">
        <is>
          <t>derived:price x shares upon listing</t>
        </is>
      </c>
      <c r="S459" s="77" t="n">
        <v>481.71</v>
      </c>
      <c r="T459" s="78" t="n">
        <v>3.46</v>
      </c>
      <c r="U459" s="79" t="n">
        <v>31.7</v>
      </c>
      <c r="V459" s="80" t="n">
        <v>82</v>
      </c>
      <c r="W459" s="75" t="n">
        <v>10</v>
      </c>
      <c r="X459" s="71" t="inlineStr">
        <is>
          <t>NO</t>
        </is>
      </c>
      <c r="Y459" s="76" t="n">
        <v>889.74</v>
      </c>
      <c r="Z459" s="76" t="n">
        <v>32189927</v>
      </c>
      <c r="AA459" s="75" t="n">
        <v>7.21</v>
      </c>
      <c r="AB459" s="71" t="inlineStr">
        <is>
          <t>Charm Harvest International Limited; Guohui (HK) Holdings Co., Limited; Junshi Hong Kong Limited; Sanjin International CO., LTD; Splendid Zhonghe (Tianjin) Investment Management Co., Ltd; WuXi Biologics HealthCare Venture</t>
        </is>
      </c>
      <c r="AC459" s="71" t="inlineStr">
        <is>
          <t>charm;guohui;junshi;sanjin;splendid;wuxi</t>
        </is>
      </c>
      <c r="AD459" s="75" t="n"/>
      <c r="AE459" s="71" t="n"/>
      <c r="AF459" s="71" t="n"/>
      <c r="AG459" s="71" t="n"/>
      <c r="AH459" s="71" t="n"/>
      <c r="AI459" s="81" t="n">
        <v>3.111</v>
      </c>
      <c r="AJ459" s="82" t="n">
        <v>0.58</v>
      </c>
      <c r="AK459" s="82" t="n">
        <v>2.39</v>
      </c>
      <c r="AL459" s="82" t="n">
        <v>-1.77</v>
      </c>
      <c r="AM459" s="83" t="n">
        <v>3.18</v>
      </c>
      <c r="AN459" s="75" t="n">
        <v>12.23</v>
      </c>
      <c r="AO459" s="82" t="n">
        <v>-2.03</v>
      </c>
      <c r="AP459" s="82" t="n">
        <v>-17.58</v>
      </c>
      <c r="AQ459" s="82" t="n">
        <v>-24.17</v>
      </c>
      <c r="AR459" s="82" t="n">
        <v>-2.59</v>
      </c>
      <c r="AS459" s="82" t="n">
        <v>-18.06</v>
      </c>
      <c r="AT459" s="82" t="n">
        <v>-24.61</v>
      </c>
      <c r="AU459" s="82" t="n">
        <v>-2.78</v>
      </c>
      <c r="AV459" s="82" t="n">
        <v>-11.23</v>
      </c>
      <c r="AW459" s="82" t="n">
        <v>-23.18</v>
      </c>
      <c r="AX459" s="82" t="n">
        <v>-10.99</v>
      </c>
      <c r="AY459" s="82" t="n">
        <v>-6.35</v>
      </c>
      <c r="AZ459" s="82" t="n">
        <v>-7.07</v>
      </c>
      <c r="BA459" s="71" t="inlineStr">
        <is>
          <t>China Biotech ETF (HS biotech proxy)</t>
        </is>
      </c>
      <c r="BB459" s="82" t="n">
        <v>-23.73</v>
      </c>
      <c r="BC459" s="72" t="inlineStr">
        <is>
          <t>2026-09-23</t>
        </is>
      </c>
      <c r="BD459" s="73" t="n">
        <v>724.6</v>
      </c>
      <c r="BE459" s="76" t="n">
        <v>-1069.5</v>
      </c>
      <c r="BF459" s="71" t="inlineStr">
        <is>
          <t>N</t>
        </is>
      </c>
      <c r="BG459" s="71" t="inlineStr">
        <is>
          <t>n/m</t>
        </is>
      </c>
      <c r="BH459" s="83" t="n"/>
      <c r="BI459" s="83" t="n"/>
      <c r="BJ459" s="83" t="n">
        <v>17</v>
      </c>
      <c r="BK459" s="84">
        <f>IF('BBG Verify'!S459="","not filed; run on terminal",'BBG Verify'!S459)</f>
        <v/>
      </c>
      <c r="BL459" s="85" t="inlineStr">
        <is>
          <t>Y</t>
        </is>
      </c>
      <c r="BM459" s="71" t="inlineStr">
        <is>
          <t>688062.SS</t>
        </is>
      </c>
      <c r="BN459" s="82" t="n">
        <v>53.53</v>
      </c>
      <c r="BO459" s="74" t="n">
        <v>42.4365</v>
      </c>
      <c r="BP459" s="89" t="n">
        <v>0.5504</v>
      </c>
      <c r="BQ459" s="76" t="n">
        <v>14700.6</v>
      </c>
      <c r="BR459" s="84">
        <f>IF('BBG Verify'!Q459="","run on terminal",'BBG Verify'!Q459)</f>
        <v/>
      </c>
      <c r="BS459" s="84">
        <f>IF('BBG Verify'!R459="","run on terminal",'BBG Verify'!R459)</f>
        <v/>
      </c>
      <c r="BT459" s="85" t="inlineStr">
        <is>
          <t>CITIC Securities (Hong Kong) Limited; Haitong International Capital Limited</t>
        </is>
      </c>
      <c r="BU459" s="71" t="inlineStr">
        <is>
          <t>Haitong International Capital Limited; CITIC Securities (Hong Kong) Limited</t>
        </is>
      </c>
      <c r="BV459" s="71" t="inlineStr">
        <is>
          <t>CLSA Limited; Haitong International Securities Company Limited; CMB International Capital Limited; ABCI Capital Limited</t>
        </is>
      </c>
      <c r="BW459" s="71"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X459" s="87">
        <f>HYPERLINK("https://www1.hkexnews.hk/listedco/listconews/sehk/2026/0420/2026042000011.pdf","prospectus")</f>
        <v/>
      </c>
      <c r="BY459" s="87">
        <f>HYPERLINK("https://www1.hkexnews.hk/listedco/listconews/sehk/2026/0427/2026042703128.pdf","allotment")</f>
        <v/>
      </c>
      <c r="BZ459" s="71" t="n"/>
      <c r="CA459" s="85" t="n"/>
      <c r="CB459" s="71" t="inlineStr">
        <is>
          <t>P/E: loss-making at IPO, use P/S; greenshoe: no over-allotment option; A/H: Apr 2026 H listing (ADC biotech); A+H on STAR; greenshoe size: no over-allotment option; stabilising manager: no over-allotment option, so none appointed</t>
        </is>
      </c>
    </row>
    <row r="460" ht="15" customHeight="1">
      <c r="A460" s="70" t="inlineStr">
        <is>
          <t>1879</t>
        </is>
      </c>
      <c r="B460" s="71" t="inlineStr">
        <is>
          <t>XIZHI TECH-P</t>
        </is>
      </c>
      <c r="C460" s="71" t="inlineStr">
        <is>
          <t>曦智科技－Ｐ</t>
        </is>
      </c>
      <c r="D460" s="71" t="inlineStr">
        <is>
          <t>Tech/AI</t>
        </is>
      </c>
      <c r="E460" s="71" t="inlineStr">
        <is>
          <t>AI application / agent software</t>
        </is>
      </c>
      <c r="F460" s="71" t="inlineStr">
        <is>
          <t>Advanced hardware and software</t>
        </is>
      </c>
      <c r="G460" s="71" t="inlineStr">
        <is>
          <t>18C</t>
        </is>
      </c>
      <c r="H460" s="72" t="n">
        <v>46140</v>
      </c>
      <c r="I460" s="73" t="n">
        <v>2527.3</v>
      </c>
      <c r="J460" s="71" t="inlineStr">
        <is>
          <t>gross (stated)</t>
        </is>
      </c>
      <c r="K460" s="74" t="n"/>
      <c r="L460" s="74" t="n">
        <v>183.2</v>
      </c>
      <c r="M460" s="74" t="n">
        <v>183.2</v>
      </c>
      <c r="N460" s="71" t="inlineStr">
        <is>
          <t>Y</t>
        </is>
      </c>
      <c r="O460" s="75" t="n">
        <v>100</v>
      </c>
      <c r="P460" s="75" t="n"/>
      <c r="Q460" s="76" t="n">
        <v>16447.1</v>
      </c>
      <c r="R460" s="71" t="inlineStr">
        <is>
          <t>aastocks:上市市值 at the struck price</t>
        </is>
      </c>
      <c r="S460" s="77" t="n">
        <v>5784.7</v>
      </c>
      <c r="T460" s="78" t="n">
        <v>53.83</v>
      </c>
      <c r="U460" s="79" t="n">
        <v>65.06</v>
      </c>
      <c r="V460" s="80" t="n">
        <v>327</v>
      </c>
      <c r="W460" s="75" t="n">
        <v>20</v>
      </c>
      <c r="X460" s="71" t="inlineStr">
        <is>
          <t>YES</t>
        </is>
      </c>
      <c r="Y460" s="76" t="n">
        <v>883.04</v>
      </c>
      <c r="Z460" s="76" t="n">
        <v>4820048</v>
      </c>
      <c r="AA460" s="75" t="n">
        <v>5.37</v>
      </c>
      <c r="AB460" s="71"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AC460" s="71" t="inlineStr">
        <is>
          <t>3w;alibaba;aspex;baillie;blackrock;cpe;fil;gf;gic;greenwoods;hhlr;icbc;lenovo;mirae;ping;schroder;shanghai-cm;ubs;zte</t>
        </is>
      </c>
      <c r="AD460" s="75" t="n">
        <v>15</v>
      </c>
      <c r="AE460" s="71" t="n"/>
      <c r="AF460" s="71" t="inlineStr">
        <is>
          <t>2026-05-23</t>
        </is>
      </c>
      <c r="AG460" s="71" t="inlineStr">
        <is>
          <t>China International Capital Corporation Hong Kong Securities Limited</t>
        </is>
      </c>
      <c r="AH460" s="71" t="inlineStr">
        <is>
          <t>China International</t>
        </is>
      </c>
      <c r="AI460" s="81" t="n">
        <v>350.873</v>
      </c>
      <c r="AJ460" s="82" t="n">
        <v>383.62</v>
      </c>
      <c r="AK460" s="82" t="n">
        <v>380.35</v>
      </c>
      <c r="AL460" s="82" t="n">
        <v>0.68</v>
      </c>
      <c r="AM460" s="83" t="n">
        <v>3.36</v>
      </c>
      <c r="AN460" s="75" t="n">
        <v>21.48</v>
      </c>
      <c r="AO460" s="82" t="n">
        <v>384.99</v>
      </c>
      <c r="AP460" s="82" t="n">
        <v>236.24</v>
      </c>
      <c r="AQ460" s="82" t="n">
        <v>27.29</v>
      </c>
      <c r="AR460" s="82" t="n">
        <v>0.28</v>
      </c>
      <c r="AS460" s="82" t="n">
        <v>-30.47</v>
      </c>
      <c r="AT460" s="82" t="n">
        <v>-73.68000000000001</v>
      </c>
      <c r="AU460" s="82" t="n">
        <v>384.16</v>
      </c>
      <c r="AV460" s="82" t="n">
        <v>237.19</v>
      </c>
      <c r="AW460" s="82" t="n">
        <v>29.61</v>
      </c>
      <c r="AX460" s="82" t="n">
        <v>-31.7</v>
      </c>
      <c r="AY460" s="82" t="n">
        <v>-0.95</v>
      </c>
      <c r="AZ460" s="82" t="n">
        <v>1.23</v>
      </c>
      <c r="BA460" s="71" t="inlineStr">
        <is>
          <t>HSTECH (Hang Seng TECH ETF)</t>
        </is>
      </c>
      <c r="BB460" s="82" t="n">
        <v>70.09</v>
      </c>
      <c r="BC460" s="72" t="inlineStr">
        <is>
          <t>2026-09-23</t>
        </is>
      </c>
      <c r="BD460" s="73" t="n">
        <v>117</v>
      </c>
      <c r="BE460" s="76" t="n">
        <v>-1476.6</v>
      </c>
      <c r="BF460" s="71" t="inlineStr">
        <is>
          <t>N</t>
        </is>
      </c>
      <c r="BG460" s="71" t="inlineStr">
        <is>
          <t>n/m</t>
        </is>
      </c>
      <c r="BH460" s="83" t="n"/>
      <c r="BI460" s="83" t="n"/>
      <c r="BJ460" s="83" t="n">
        <v>140.6</v>
      </c>
      <c r="BK460" s="84">
        <f>IF('BBG Verify'!S460="","not filed; run on terminal",'BBG Verify'!S460)</f>
        <v/>
      </c>
      <c r="BL460" s="85" t="inlineStr">
        <is>
          <t>N</t>
        </is>
      </c>
      <c r="BM460" s="86">
        <f>IF('BBG Verify'!K460="","not filed; run on terminal",'BBG Verify'!K460)</f>
        <v/>
      </c>
      <c r="BN460" s="71" t="inlineStr">
        <is>
          <t>N/A</t>
        </is>
      </c>
      <c r="BO460" s="71" t="inlineStr">
        <is>
          <t>N/A</t>
        </is>
      </c>
      <c r="BP460" s="71" t="inlineStr">
        <is>
          <t>N/A</t>
        </is>
      </c>
      <c r="BQ460" s="71" t="inlineStr">
        <is>
          <t>N/A</t>
        </is>
      </c>
      <c r="BR460" s="71" t="inlineStr">
        <is>
          <t>N/A</t>
        </is>
      </c>
      <c r="BS460" s="71" t="inlineStr">
        <is>
          <t>N/A</t>
        </is>
      </c>
      <c r="BT460" s="85" t="n"/>
      <c r="BU460" s="71" t="inlineStr">
        <is>
          <t>China International Capital Corporation Hong Kong Securities Limited; Haitong International Capital Limited</t>
        </is>
      </c>
      <c r="BV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X460" s="71" t="n"/>
      <c r="BY460" s="87">
        <f>HYPERLINK("https://www1.hkexnews.hk/listedco/listconews/sehk/2026/0427/2026042703526.pdf","allotment")</f>
        <v/>
      </c>
      <c r="BZ460" s="71" t="n"/>
      <c r="CA460" s="85" t="n"/>
      <c r="CB460"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461" ht="15" customHeight="1">
      <c r="A461" s="70" t="inlineStr">
        <is>
          <t>6810</t>
        </is>
      </c>
      <c r="B461" s="71" t="inlineStr">
        <is>
          <t>SUNMI TECH-W</t>
        </is>
      </c>
      <c r="C461" s="71" t="inlineStr">
        <is>
          <t>商米科技－Ｗ</t>
        </is>
      </c>
      <c r="D461" s="71" t="inlineStr">
        <is>
          <t>Tech/AI</t>
        </is>
      </c>
      <c r="E461" s="71" t="inlineStr">
        <is>
          <t>Smart hardware / consumer electronics</t>
        </is>
      </c>
      <c r="F461" s="71" t="inlineStr">
        <is>
          <t>Computer Storage &amp; Peripherals</t>
        </is>
      </c>
      <c r="G461" s="71" t="inlineStr">
        <is>
          <t>WVR</t>
        </is>
      </c>
      <c r="H461" s="72" t="n">
        <v>46141</v>
      </c>
      <c r="I461" s="73" t="n">
        <v>1059.7</v>
      </c>
      <c r="J461" s="71" t="inlineStr">
        <is>
          <t>gross (stated)</t>
        </is>
      </c>
      <c r="K461" s="74" t="n"/>
      <c r="L461" s="74" t="n">
        <v>24.86</v>
      </c>
      <c r="M461" s="74" t="n">
        <v>24.86</v>
      </c>
      <c r="N461" s="71" t="inlineStr">
        <is>
          <t>Y</t>
        </is>
      </c>
      <c r="O461" s="75" t="n">
        <v>100</v>
      </c>
      <c r="P461" s="75" t="n"/>
      <c r="Q461" s="76" t="n">
        <v>10009.3</v>
      </c>
      <c r="R461" s="71" t="inlineStr">
        <is>
          <t>derived:price x shares upon listing</t>
        </is>
      </c>
      <c r="S461" s="77" t="n">
        <v>2003.16</v>
      </c>
      <c r="T461" s="78" t="n">
        <v>7.91</v>
      </c>
      <c r="U461" s="79" t="n">
        <v>26.9</v>
      </c>
      <c r="V461" s="80" t="n">
        <v>181</v>
      </c>
      <c r="W461" s="75" t="n">
        <v>10</v>
      </c>
      <c r="X461" s="71" t="inlineStr">
        <is>
          <t>NA</t>
        </is>
      </c>
      <c r="Y461" s="76" t="n">
        <v>774.64</v>
      </c>
      <c r="Z461" s="76" t="n">
        <v>31160191</v>
      </c>
      <c r="AA461" s="75" t="n">
        <v>7.74</v>
      </c>
      <c r="AB461" s="71" t="inlineStr">
        <is>
          <t>XINWUTANG CO., LIMITED</t>
        </is>
      </c>
      <c r="AC461" s="71" t="inlineStr">
        <is>
          <t>xinwutang</t>
        </is>
      </c>
      <c r="AD461" s="75" t="n">
        <v>15</v>
      </c>
      <c r="AE461" s="71" t="n"/>
      <c r="AF461" s="71" t="n"/>
      <c r="AG461" s="71" t="n"/>
      <c r="AH461" s="71" t="n"/>
      <c r="AI461" s="81" t="n">
        <v>282.14</v>
      </c>
      <c r="AJ461" s="82" t="n">
        <v>241.11</v>
      </c>
      <c r="AK461" s="82" t="n">
        <v>292.2</v>
      </c>
      <c r="AL461" s="82" t="n">
        <v>-13.03</v>
      </c>
      <c r="AM461" s="83" t="n">
        <v>2.76</v>
      </c>
      <c r="AN461" s="75" t="n">
        <v>19.64</v>
      </c>
      <c r="AO461" s="82" t="n">
        <v>216.57</v>
      </c>
      <c r="AP461" s="82" t="n">
        <v>201.49</v>
      </c>
      <c r="AQ461" s="82" t="n">
        <v>136.73</v>
      </c>
      <c r="AR461" s="82" t="n">
        <v>-7.19</v>
      </c>
      <c r="AS461" s="82" t="n">
        <v>-11.62</v>
      </c>
      <c r="AT461" s="82" t="n">
        <v>-30.6</v>
      </c>
      <c r="AU461" s="82" t="n">
        <v>210.56</v>
      </c>
      <c r="AV461" s="82" t="n">
        <v>198.53</v>
      </c>
      <c r="AW461" s="82" t="n">
        <v>136.65</v>
      </c>
      <c r="AX461" s="82" t="n">
        <v>-12.78</v>
      </c>
      <c r="AY461" s="82" t="n">
        <v>2.96</v>
      </c>
      <c r="AZ461" s="82" t="n">
        <v>1.16</v>
      </c>
      <c r="BA461" s="71" t="inlineStr">
        <is>
          <t>HSTECH (Hang Seng TECH ETF)</t>
        </is>
      </c>
      <c r="BB461" s="82" t="n">
        <v>134.51</v>
      </c>
      <c r="BC461" s="72" t="inlineStr">
        <is>
          <t>2026-09-23</t>
        </is>
      </c>
      <c r="BD461" s="73" t="n">
        <v>4193</v>
      </c>
      <c r="BE461" s="76" t="n">
        <v>244.9</v>
      </c>
      <c r="BF461" s="71" t="inlineStr">
        <is>
          <t>Y</t>
        </is>
      </c>
      <c r="BG461" s="83" t="n">
        <v>40.9</v>
      </c>
      <c r="BH461" s="83" t="n"/>
      <c r="BI461" s="83" t="n"/>
      <c r="BJ461" s="83" t="n">
        <v>2.4</v>
      </c>
      <c r="BK461" s="84">
        <f>IF('BBG Verify'!S461="","not filed; run on terminal",'BBG Verify'!S461)</f>
        <v/>
      </c>
      <c r="BL461" s="85" t="inlineStr">
        <is>
          <t>N</t>
        </is>
      </c>
      <c r="BM461" s="86">
        <f>IF('BBG Verify'!K461="","not filed; run on terminal",'BBG Verify'!K461)</f>
        <v/>
      </c>
      <c r="BN461" s="71" t="inlineStr">
        <is>
          <t>N/A</t>
        </is>
      </c>
      <c r="BO461" s="71" t="inlineStr">
        <is>
          <t>N/A</t>
        </is>
      </c>
      <c r="BP461" s="71" t="inlineStr">
        <is>
          <t>N/A</t>
        </is>
      </c>
      <c r="BQ461" s="71" t="inlineStr">
        <is>
          <t>N/A</t>
        </is>
      </c>
      <c r="BR461" s="71" t="inlineStr">
        <is>
          <t>N/A</t>
        </is>
      </c>
      <c r="BS461" s="71" t="inlineStr">
        <is>
          <t>N/A</t>
        </is>
      </c>
      <c r="BT461" s="85" t="inlineStr">
        <is>
          <t>Deutsche Securities Asia Limited; CITIC Securities (Hong Kong) Limited; ABCI Capital Limited</t>
        </is>
      </c>
      <c r="BU461" s="71" t="inlineStr">
        <is>
          <t>CITIC Securities (Hong Kong) Limited; Deutsche Securities Asia Limited; ABCI Capital Limited</t>
        </is>
      </c>
      <c r="BV461" s="71"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W461" s="71"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X461" s="87">
        <f>HYPERLINK("https://www1.hkexnews.hk/listedco/listconews/sehk/2026/0421/2026042100017.pdf","prospectus")</f>
        <v/>
      </c>
      <c r="BY461" s="87">
        <f>HYPERLINK("https://www1.hkexnews.hk/listedco/listconews/sehk/2026/0428/2026042804737.pdf","allotment")</f>
        <v/>
      </c>
      <c r="BZ461" s="71" t="n"/>
      <c r="CA461" s="85" t="n"/>
      <c r="CB461" s="71"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70" t="inlineStr">
        <is>
          <t>1609</t>
        </is>
      </c>
      <c r="B462" s="71" t="inlineStr">
        <is>
          <t>STAR SPORTS MED</t>
        </is>
      </c>
      <c r="C462" s="71" t="inlineStr">
        <is>
          <t>天星醫療</t>
        </is>
      </c>
      <c r="D462" s="71" t="inlineStr">
        <is>
          <t>Healthcare</t>
        </is>
      </c>
      <c r="E462" s="71" t="inlineStr">
        <is>
          <t>Medical devices</t>
        </is>
      </c>
      <c r="F462" s="71" t="inlineStr">
        <is>
          <t>Health Care Equipment</t>
        </is>
      </c>
      <c r="G462" s="71" t="inlineStr">
        <is>
          <t>Standard</t>
        </is>
      </c>
      <c r="H462" s="72" t="n">
        <v>46147</v>
      </c>
      <c r="I462" s="73" t="n">
        <v>829.6</v>
      </c>
      <c r="J462" s="71" t="inlineStr">
        <is>
          <t>gross (stated)</t>
        </is>
      </c>
      <c r="K462" s="74" t="n"/>
      <c r="L462" s="74" t="n">
        <v>98.5</v>
      </c>
      <c r="M462" s="74" t="n">
        <v>98.5</v>
      </c>
      <c r="N462" s="71" t="inlineStr">
        <is>
          <t>Y</t>
        </is>
      </c>
      <c r="O462" s="75" t="n">
        <v>100</v>
      </c>
      <c r="P462" s="75" t="n"/>
      <c r="Q462" s="76" t="n">
        <v>5400.9</v>
      </c>
      <c r="R462" s="71" t="inlineStr">
        <is>
          <t>derived:price x shares upon listing</t>
        </is>
      </c>
      <c r="S462" s="77" t="n">
        <v>7823.13</v>
      </c>
      <c r="T462" s="78" t="n">
        <v>10.41</v>
      </c>
      <c r="U462" s="79" t="n">
        <v>34.8</v>
      </c>
      <c r="V462" s="80" t="n">
        <v>71</v>
      </c>
      <c r="W462" s="75" t="n">
        <v>10</v>
      </c>
      <c r="X462" s="71" t="inlineStr">
        <is>
          <t>NA</t>
        </is>
      </c>
      <c r="Y462" s="76" t="n">
        <v>540.9</v>
      </c>
      <c r="Z462" s="76" t="n">
        <v>5491046</v>
      </c>
      <c r="AA462" s="75" t="n">
        <v>10.01</v>
      </c>
      <c r="AB462" s="71" t="inlineStr">
        <is>
          <t>JSC International Investment Fund SPC; Mega Prime Development Limited; OAP IV (HK) Limited; Poly Platinum Enterprises Limited</t>
        </is>
      </c>
      <c r="AC462" s="71" t="inlineStr">
        <is>
          <t>jsc;mega;oap;poly</t>
        </is>
      </c>
      <c r="AD462" s="75" t="n"/>
      <c r="AE462" s="71" t="n"/>
      <c r="AF462" s="71" t="n"/>
      <c r="AG462" s="71" t="n"/>
      <c r="AH462" s="71" t="n"/>
      <c r="AI462" s="81" t="n">
        <v>213.909</v>
      </c>
      <c r="AJ462" s="82" t="n">
        <v>118.27</v>
      </c>
      <c r="AK462" s="82" t="n">
        <v>192.39</v>
      </c>
      <c r="AL462" s="82" t="n">
        <v>-25.35</v>
      </c>
      <c r="AM462" s="83" t="n">
        <v>3.85</v>
      </c>
      <c r="AN462" s="75" t="n">
        <v>33.68</v>
      </c>
      <c r="AO462" s="82" t="n">
        <v>102.44</v>
      </c>
      <c r="AP462" s="82" t="n">
        <v>94.31</v>
      </c>
      <c r="AQ462" s="82" t="n">
        <v>26.4</v>
      </c>
      <c r="AR462" s="82" t="n">
        <v>-7.25</v>
      </c>
      <c r="AS462" s="82" t="n">
        <v>-10.98</v>
      </c>
      <c r="AT462" s="82" t="n">
        <v>-42.09</v>
      </c>
      <c r="AU462" s="82" t="n">
        <v>102.24</v>
      </c>
      <c r="AV462" s="82" t="n">
        <v>108.17</v>
      </c>
      <c r="AW462" s="82" t="n">
        <v>25.77</v>
      </c>
      <c r="AX462" s="82" t="n">
        <v>2.43</v>
      </c>
      <c r="AY462" s="82" t="n">
        <v>-13.86</v>
      </c>
      <c r="AZ462" s="82" t="n">
        <v>-13.41</v>
      </c>
      <c r="BA462" s="71" t="inlineStr">
        <is>
          <t>China Biotech ETF (HS biotech proxy)</t>
        </is>
      </c>
      <c r="BB462" s="82" t="n">
        <v>9.24</v>
      </c>
      <c r="BC462" s="72" t="inlineStr">
        <is>
          <t>2026-09-23</t>
        </is>
      </c>
      <c r="BD462" s="73" t="n">
        <v>443</v>
      </c>
      <c r="BE462" s="76" t="n">
        <v>150.7</v>
      </c>
      <c r="BF462" s="71" t="inlineStr">
        <is>
          <t>Y</t>
        </is>
      </c>
      <c r="BG462" s="83" t="n">
        <v>35.8</v>
      </c>
      <c r="BH462" s="83" t="n"/>
      <c r="BI462" s="83" t="n"/>
      <c r="BJ462" s="83" t="n">
        <v>12.2</v>
      </c>
      <c r="BK462" s="84">
        <f>IF('BBG Verify'!S462="","not filed; run on terminal",'BBG Verify'!S462)</f>
        <v/>
      </c>
      <c r="BL462" s="85" t="inlineStr">
        <is>
          <t>N</t>
        </is>
      </c>
      <c r="BM462" s="86">
        <f>IF('BBG Verify'!K462="","not filed; run on terminal",'BBG Verify'!K462)</f>
        <v/>
      </c>
      <c r="BN462" s="71" t="inlineStr">
        <is>
          <t>N/A</t>
        </is>
      </c>
      <c r="BO462" s="71" t="inlineStr">
        <is>
          <t>N/A</t>
        </is>
      </c>
      <c r="BP462" s="71" t="inlineStr">
        <is>
          <t>N/A</t>
        </is>
      </c>
      <c r="BQ462" s="71" t="inlineStr">
        <is>
          <t>N/A</t>
        </is>
      </c>
      <c r="BR462" s="71" t="inlineStr">
        <is>
          <t>N/A</t>
        </is>
      </c>
      <c r="BS462" s="71" t="inlineStr">
        <is>
          <t>N/A</t>
        </is>
      </c>
      <c r="BT462" s="85" t="n"/>
      <c r="BU462" s="71" t="inlineStr">
        <is>
          <t>CCB International Capital Limited; CITIC Securities (Hong Kong) Limited</t>
        </is>
      </c>
      <c r="BV462" s="71" t="inlineStr">
        <is>
          <t>CCB International Capital Limited; China Galaxy International Securities (Hong Kong) Company Limited; CLSA Limited; CMBC Securities Company Limited; Futu Securities International (Hong Kong) Limited; Open Securities Limited</t>
        </is>
      </c>
      <c r="BW462" s="71"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X462" s="71" t="n"/>
      <c r="BY462" s="87">
        <f>HYPERLINK("https://www1.hkexnews.hk/listedco/listconews/sehk/2026/0504/2026050403728.pdf","allotment")</f>
        <v/>
      </c>
      <c r="BZ462" s="71" t="n"/>
      <c r="CA462" s="85" t="n"/>
      <c r="CB462" s="71"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70" t="inlineStr">
        <is>
          <t>1187</t>
        </is>
      </c>
      <c r="B463" s="71" t="inlineStr">
        <is>
          <t>COFOE MEDICAL</t>
        </is>
      </c>
      <c r="C463" s="71" t="inlineStr">
        <is>
          <t>可孚醫療</t>
        </is>
      </c>
      <c r="D463" s="71" t="inlineStr">
        <is>
          <t>Healthcare</t>
        </is>
      </c>
      <c r="E463" s="71" t="inlineStr">
        <is>
          <t>Medical devices</t>
        </is>
      </c>
      <c r="F463" s="71" t="inlineStr">
        <is>
          <t>Health Care Equipment</t>
        </is>
      </c>
      <c r="G463" s="71" t="inlineStr">
        <is>
          <t>Standard</t>
        </is>
      </c>
      <c r="H463" s="72" t="n">
        <v>46148</v>
      </c>
      <c r="I463" s="73" t="n">
        <v>1062</v>
      </c>
      <c r="J463" s="71" t="inlineStr">
        <is>
          <t>gross (stated)</t>
        </is>
      </c>
      <c r="K463" s="74" t="n"/>
      <c r="L463" s="74" t="n">
        <v>39.33</v>
      </c>
      <c r="M463" s="74" t="n">
        <v>39.33</v>
      </c>
      <c r="N463" s="71" t="inlineStr">
        <is>
          <t>Y</t>
        </is>
      </c>
      <c r="O463" s="75" t="n">
        <v>100</v>
      </c>
      <c r="P463" s="75" t="n"/>
      <c r="Q463" s="76" t="n">
        <v>9277.799999999999</v>
      </c>
      <c r="R463" s="71" t="inlineStr">
        <is>
          <t>derived:price x shares upon listing</t>
        </is>
      </c>
      <c r="S463" s="77" t="n">
        <v>399.08</v>
      </c>
      <c r="T463" s="78" t="n">
        <v>3.4</v>
      </c>
      <c r="U463" s="79" t="n">
        <v>35.6</v>
      </c>
      <c r="V463" s="80" t="n">
        <v>129</v>
      </c>
      <c r="W463" s="75" t="n">
        <v>10</v>
      </c>
      <c r="X463" s="71" t="inlineStr">
        <is>
          <t>NA</t>
        </is>
      </c>
      <c r="Y463" s="76" t="n">
        <v>683.9299999999999</v>
      </c>
      <c r="Z463" s="76" t="n">
        <v>17388000</v>
      </c>
      <c r="AA463" s="75" t="n">
        <v>7.37</v>
      </c>
      <c r="AB463" s="71"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AC463" s="71" t="inlineStr">
        <is>
          <t>changsha;da;fr;hongkong;lens;mr-dai;mr-huang;ms-lu;odi;panjing;sinohealth</t>
        </is>
      </c>
      <c r="AD463" s="75" t="n"/>
      <c r="AE463" s="71" t="n"/>
      <c r="AF463" s="71" t="n"/>
      <c r="AG463" s="71" t="n"/>
      <c r="AH463" s="71" t="n"/>
      <c r="AI463" s="81" t="n">
        <v>2.212</v>
      </c>
      <c r="AJ463" s="82" t="n">
        <v>-1.09</v>
      </c>
      <c r="AK463" s="82" t="n">
        <v>1.3</v>
      </c>
      <c r="AL463" s="82" t="n">
        <v>-2.36</v>
      </c>
      <c r="AM463" s="83" t="n">
        <v>4.14</v>
      </c>
      <c r="AN463" s="75" t="n">
        <v>13.81</v>
      </c>
      <c r="AO463" s="82" t="n">
        <v>-6.69</v>
      </c>
      <c r="AP463" s="82" t="n">
        <v>-16.09</v>
      </c>
      <c r="AQ463" s="82" t="n">
        <v>-17.72</v>
      </c>
      <c r="AR463" s="82" t="n">
        <v>-5.66</v>
      </c>
      <c r="AS463" s="82" t="n">
        <v>-15.17</v>
      </c>
      <c r="AT463" s="82" t="n">
        <v>-16.81</v>
      </c>
      <c r="AU463" s="82" t="n">
        <v>-6.32</v>
      </c>
      <c r="AV463" s="82" t="n">
        <v>-2.1</v>
      </c>
      <c r="AW463" s="82" t="n">
        <v>-18.53</v>
      </c>
      <c r="AX463" s="82" t="n">
        <v>-1.23</v>
      </c>
      <c r="AY463" s="82" t="n">
        <v>-13.99</v>
      </c>
      <c r="AZ463" s="82" t="n">
        <v>-13.94</v>
      </c>
      <c r="BA463" s="71" t="inlineStr">
        <is>
          <t>China Biotech ETF (HS biotech proxy)</t>
        </is>
      </c>
      <c r="BB463" s="82" t="n">
        <v>-21.89</v>
      </c>
      <c r="BC463" s="72" t="inlineStr">
        <is>
          <t>2026-09-23</t>
        </is>
      </c>
      <c r="BD463" s="73" t="n">
        <v>3726.2</v>
      </c>
      <c r="BE463" s="76" t="n">
        <v>408.8</v>
      </c>
      <c r="BF463" s="71" t="inlineStr">
        <is>
          <t>Y</t>
        </is>
      </c>
      <c r="BG463" s="83" t="n">
        <v>22.7</v>
      </c>
      <c r="BH463" s="83" t="n">
        <v>18.8</v>
      </c>
      <c r="BI463" s="83" t="n">
        <v>15.1</v>
      </c>
      <c r="BJ463" s="83" t="n">
        <v>2.5</v>
      </c>
      <c r="BK463" s="84">
        <f>IF('BBG Verify'!S463="","not filed; run on terminal",'BBG Verify'!S463)</f>
        <v/>
      </c>
      <c r="BL463" s="85" t="inlineStr">
        <is>
          <t>Y</t>
        </is>
      </c>
      <c r="BM463" s="71" t="inlineStr">
        <is>
          <t>301087.SZ</t>
        </is>
      </c>
      <c r="BN463" s="82" t="n">
        <v>54.6</v>
      </c>
      <c r="BO463" s="74" t="n">
        <v>60.8041</v>
      </c>
      <c r="BP463" s="89" t="n">
        <v>1.0313</v>
      </c>
      <c r="BQ463" s="76" t="n">
        <v>15251.6</v>
      </c>
      <c r="BR463" s="84">
        <f>IF('BBG Verify'!Q463="","run on terminal",'BBG Verify'!Q463)</f>
        <v/>
      </c>
      <c r="BS463" s="84">
        <f>IF('BBG Verify'!R463="","run on terminal",'BBG Verify'!R463)</f>
        <v/>
      </c>
      <c r="BT463" s="85" t="n"/>
      <c r="BU463" s="71" t="inlineStr">
        <is>
          <t>Huatai Financial Holdings (Hong Kong) Limited; BNP Paribas Securities (Asia) Limited</t>
        </is>
      </c>
      <c r="BV463" s="71" t="inlineStr">
        <is>
          <t>BNP Paribas Securities (Asia) Limited; Futu Securities International (Hong Kong) Limited; Huatai Financial Holdings (Hong Kong) Limited</t>
        </is>
      </c>
      <c r="BW463" s="71" t="inlineStr">
        <is>
          <t>BNP Paribas Securities (Asia) Limited; Futu Securities International (Hong Kong) Limited; Huatai Financial Holdings (Hong Kong) Limited</t>
        </is>
      </c>
      <c r="BX463" s="71" t="n"/>
      <c r="BY463" s="87">
        <f>HYPERLINK("https://www1.hkexnews.hk/listedco/listconews/sehk/2026/0505/2026050501942.pdf","allotment")</f>
        <v/>
      </c>
      <c r="BZ463" s="71" t="n"/>
      <c r="CA463" s="85" t="n"/>
      <c r="CB463" s="71"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70" t="inlineStr">
        <is>
          <t>1236</t>
        </is>
      </c>
      <c r="B464" s="71" t="inlineStr">
        <is>
          <t>LDROBOT</t>
        </is>
      </c>
      <c r="C464" s="71" t="inlineStr">
        <is>
          <t>樂動機器人</t>
        </is>
      </c>
      <c r="D464" s="71" t="inlineStr">
        <is>
          <t>Tech/AI</t>
        </is>
      </c>
      <c r="E464" s="71" t="inlineStr">
        <is>
          <t>Robotics &amp; autonomous driving</t>
        </is>
      </c>
      <c r="F464" s="71" t="inlineStr">
        <is>
          <t>Advanced hardware and software</t>
        </is>
      </c>
      <c r="G464" s="71" t="inlineStr">
        <is>
          <t>Standard</t>
        </is>
      </c>
      <c r="H464" s="72" t="n">
        <v>46153</v>
      </c>
      <c r="I464" s="73" t="n">
        <v>878.7</v>
      </c>
      <c r="J464" s="71" t="inlineStr">
        <is>
          <t>gross (stated)</t>
        </is>
      </c>
      <c r="K464" s="74" t="n"/>
      <c r="L464" s="74" t="n">
        <v>26.36</v>
      </c>
      <c r="M464" s="74" t="n">
        <v>26.36</v>
      </c>
      <c r="N464" s="71" t="inlineStr">
        <is>
          <t>Y</t>
        </is>
      </c>
      <c r="O464" s="75" t="n">
        <v>100</v>
      </c>
      <c r="P464" s="75" t="n"/>
      <c r="Q464" s="76" t="n">
        <v>9000</v>
      </c>
      <c r="R464" s="71" t="inlineStr">
        <is>
          <t>aastocks:上市市值 at the struck price</t>
        </is>
      </c>
      <c r="S464" s="77" t="n">
        <v>6707.66</v>
      </c>
      <c r="T464" s="78" t="n">
        <v>9.539999999999999</v>
      </c>
      <c r="U464" s="79" t="n">
        <v>31.52</v>
      </c>
      <c r="V464" s="80" t="n">
        <v>111</v>
      </c>
      <c r="W464" s="75" t="n">
        <v>10</v>
      </c>
      <c r="X464" s="71" t="inlineStr">
        <is>
          <t>NO</t>
        </is>
      </c>
      <c r="Y464" s="76" t="n">
        <v>601.73</v>
      </c>
      <c r="Z464" s="76" t="n">
        <v>22826712</v>
      </c>
      <c r="AA464" s="75" t="n">
        <v>6.69</v>
      </c>
      <c r="AB464" s="71" t="inlineStr">
        <is>
          <t>KCH Vision Investment Limited</t>
        </is>
      </c>
      <c r="AC464" s="71" t="inlineStr">
        <is>
          <t>kch</t>
        </is>
      </c>
      <c r="AD464" s="75" t="n"/>
      <c r="AE464" s="71" t="n"/>
      <c r="AF464" s="71" t="n"/>
      <c r="AG464" s="71" t="inlineStr">
        <is>
          <t>Haitong International Securities Company Limited</t>
        </is>
      </c>
      <c r="AH464" s="71" t="inlineStr">
        <is>
          <t>Haitong</t>
        </is>
      </c>
      <c r="AI464" s="81" t="n">
        <v>88.923</v>
      </c>
      <c r="AJ464" s="82" t="n">
        <v>127.62</v>
      </c>
      <c r="AK464" s="82" t="n">
        <v>102.96</v>
      </c>
      <c r="AL464" s="82" t="n">
        <v>12.15</v>
      </c>
      <c r="AM464" s="83" t="n">
        <v>4.4</v>
      </c>
      <c r="AN464" s="75" t="n">
        <v>29.35</v>
      </c>
      <c r="AO464" s="82" t="n">
        <v>56.68</v>
      </c>
      <c r="AP464" s="82" t="n">
        <v>54.86</v>
      </c>
      <c r="AQ464" s="82" t="n">
        <v>48.71</v>
      </c>
      <c r="AR464" s="82" t="n">
        <v>-31.17</v>
      </c>
      <c r="AS464" s="82" t="n">
        <v>-31.97</v>
      </c>
      <c r="AT464" s="82" t="n">
        <v>-34.67</v>
      </c>
      <c r="AU464" s="82" t="n">
        <v>61.92</v>
      </c>
      <c r="AV464" s="82" t="n">
        <v>62.14</v>
      </c>
      <c r="AW464" s="82" t="n">
        <v>53.95</v>
      </c>
      <c r="AX464" s="82" t="n">
        <v>-24.69</v>
      </c>
      <c r="AY464" s="82" t="n">
        <v>-7.28</v>
      </c>
      <c r="AZ464" s="82" t="n">
        <v>-7.28</v>
      </c>
      <c r="BA464" s="71" t="inlineStr">
        <is>
          <t>HSTECH (Hang Seng TECH ETF)</t>
        </is>
      </c>
      <c r="BB464" s="82" t="n">
        <v>-2.58</v>
      </c>
      <c r="BC464" s="72" t="inlineStr">
        <is>
          <t>2026-09-23</t>
        </is>
      </c>
      <c r="BD464" s="73" t="n">
        <v>822.6</v>
      </c>
      <c r="BE464" s="76" t="n">
        <v>-68.8</v>
      </c>
      <c r="BF464" s="71" t="inlineStr">
        <is>
          <t>N</t>
        </is>
      </c>
      <c r="BG464" s="71" t="inlineStr">
        <is>
          <t>n/m</t>
        </is>
      </c>
      <c r="BH464" s="83" t="n"/>
      <c r="BI464" s="83" t="n"/>
      <c r="BJ464" s="83" t="n">
        <v>10.9</v>
      </c>
      <c r="BK464" s="84">
        <f>IF('BBG Verify'!S464="","not filed; run on terminal",'BBG Verify'!S464)</f>
        <v/>
      </c>
      <c r="BL464" s="85" t="inlineStr">
        <is>
          <t>N</t>
        </is>
      </c>
      <c r="BM464" s="86">
        <f>IF('BBG Verify'!K464="","not filed; run on terminal",'BBG Verify'!K464)</f>
        <v/>
      </c>
      <c r="BN464" s="71" t="inlineStr">
        <is>
          <t>N/A</t>
        </is>
      </c>
      <c r="BO464" s="71" t="inlineStr">
        <is>
          <t>N/A</t>
        </is>
      </c>
      <c r="BP464" s="71" t="inlineStr">
        <is>
          <t>N/A</t>
        </is>
      </c>
      <c r="BQ464" s="71" t="inlineStr">
        <is>
          <t>N/A</t>
        </is>
      </c>
      <c r="BR464" s="71" t="inlineStr">
        <is>
          <t>N/A</t>
        </is>
      </c>
      <c r="BS464" s="71" t="inlineStr">
        <is>
          <t>N/A</t>
        </is>
      </c>
      <c r="BT464" s="85" t="n"/>
      <c r="BU464" s="71" t="inlineStr">
        <is>
          <t>Haitong International Capital Limited; Guotai Junan Capital Limited</t>
        </is>
      </c>
      <c r="BV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W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X464" s="71" t="n"/>
      <c r="BY464" s="87">
        <f>HYPERLINK("https://www1.hkexnews.hk/listedco/listconews/sehk/2026/0508/2026050801854.pdf","allotment")</f>
        <v/>
      </c>
      <c r="BZ464" s="71" t="n"/>
      <c r="CA464" s="85" t="n"/>
      <c r="CB46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70" t="inlineStr">
        <is>
          <t>7630</t>
        </is>
      </c>
      <c r="B465" s="71" t="inlineStr">
        <is>
          <t>IMPACT THERAP-B</t>
        </is>
      </c>
      <c r="C465" s="71" t="inlineStr">
        <is>
          <t>英派藥業－Ｂ</t>
        </is>
      </c>
      <c r="D465" s="71" t="inlineStr">
        <is>
          <t>Healthcare</t>
        </is>
      </c>
      <c r="E465" s="71" t="inlineStr">
        <is>
          <t>Biotech pre-revenue (18A)</t>
        </is>
      </c>
      <c r="F465" s="71" t="inlineStr">
        <is>
          <t>Biotechnology - Pharmaceuticals</t>
        </is>
      </c>
      <c r="G465" s="71" t="inlineStr">
        <is>
          <t>18A</t>
        </is>
      </c>
      <c r="H465" s="72" t="n">
        <v>46155</v>
      </c>
      <c r="I465" s="73" t="n">
        <v>843.7</v>
      </c>
      <c r="J465" s="71" t="inlineStr">
        <is>
          <t>gross (stated)</t>
        </is>
      </c>
      <c r="K465" s="74" t="n">
        <v>19.75</v>
      </c>
      <c r="L465" s="74" t="n">
        <v>21.75</v>
      </c>
      <c r="M465" s="74" t="n">
        <v>20.1</v>
      </c>
      <c r="N465" s="71" t="inlineStr">
        <is>
          <t>N</t>
        </is>
      </c>
      <c r="O465" s="75" t="n">
        <v>92.40000000000001</v>
      </c>
      <c r="P465" s="75" t="n">
        <v>17.5</v>
      </c>
      <c r="Q465" s="76" t="n">
        <v>4933.9</v>
      </c>
      <c r="R465" s="71" t="inlineStr">
        <is>
          <t>derived:deal size / offer % of enlarged capital</t>
        </is>
      </c>
      <c r="S465" s="77" t="n">
        <v>2282.4</v>
      </c>
      <c r="T465" s="78" t="n">
        <v>24.58</v>
      </c>
      <c r="U465" s="79" t="n">
        <v>33.19</v>
      </c>
      <c r="V465" s="80" t="n">
        <v>137</v>
      </c>
      <c r="W465" s="75" t="n">
        <v>10</v>
      </c>
      <c r="X465" s="71" t="inlineStr">
        <is>
          <t>NA</t>
        </is>
      </c>
      <c r="Y465" s="76" t="n">
        <v>563.6799999999999</v>
      </c>
      <c r="Z465" s="76" t="n">
        <v>28044834</v>
      </c>
      <c r="AA465" s="75" t="n">
        <v>11.42</v>
      </c>
      <c r="AB465" s="71"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AC465" s="71" t="inlineStr">
        <is>
          <t>first-quarter;foresight;huang-river;lav;prosper;healthcare</t>
        </is>
      </c>
      <c r="AD465" s="75" t="n">
        <v>8.529999999999999</v>
      </c>
      <c r="AE465" s="71" t="inlineStr">
        <is>
          <t>full</t>
        </is>
      </c>
      <c r="AF465" s="71" t="inlineStr">
        <is>
          <t>2026-06-07</t>
        </is>
      </c>
      <c r="AG465" s="71" t="inlineStr">
        <is>
          <t>Goldman Sachs</t>
        </is>
      </c>
      <c r="AH465" s="71" t="inlineStr">
        <is>
          <t>Goldman Sachs</t>
        </is>
      </c>
      <c r="AI465" s="81" t="n">
        <v>60</v>
      </c>
      <c r="AJ465" s="82" t="n">
        <v>108.26</v>
      </c>
      <c r="AK465" s="82" t="n">
        <v>76.62</v>
      </c>
      <c r="AL465" s="82" t="n">
        <v>17.91</v>
      </c>
      <c r="AM465" s="83" t="n">
        <v>3.61</v>
      </c>
      <c r="AN465" s="75" t="n">
        <v>35.77</v>
      </c>
      <c r="AO465" s="82" t="n">
        <v>86.27</v>
      </c>
      <c r="AP465" s="82" t="n">
        <v>81.09</v>
      </c>
      <c r="AQ465" s="82" t="n">
        <v>-39.75</v>
      </c>
      <c r="AR465" s="82" t="n">
        <v>-10.56</v>
      </c>
      <c r="AS465" s="82" t="n">
        <v>-13.05</v>
      </c>
      <c r="AT465" s="82" t="n">
        <v>-71.06999999999999</v>
      </c>
      <c r="AU465" s="82" t="n">
        <v>93.78</v>
      </c>
      <c r="AV465" s="82" t="n">
        <v>95.55</v>
      </c>
      <c r="AW465" s="82" t="n">
        <v>-48.04</v>
      </c>
      <c r="AX465" s="82" t="n">
        <v>0.47</v>
      </c>
      <c r="AY465" s="82" t="n">
        <v>-14.46</v>
      </c>
      <c r="AZ465" s="82" t="n">
        <v>-13.52</v>
      </c>
      <c r="BA465" s="71" t="inlineStr">
        <is>
          <t>China Biotech ETF (HS biotech proxy)</t>
        </is>
      </c>
      <c r="BB465" s="82" t="n">
        <v>-24.63</v>
      </c>
      <c r="BC465" s="72" t="inlineStr">
        <is>
          <t>2026-09-23</t>
        </is>
      </c>
      <c r="BD465" s="73" t="n">
        <v>42.1</v>
      </c>
      <c r="BE465" s="76" t="n">
        <v>-325.5</v>
      </c>
      <c r="BF465" s="71" t="inlineStr">
        <is>
          <t>N</t>
        </is>
      </c>
      <c r="BG465" s="71" t="inlineStr">
        <is>
          <t>n/m</t>
        </is>
      </c>
      <c r="BH465" s="83" t="n"/>
      <c r="BI465" s="83" t="n"/>
      <c r="BJ465" s="83" t="n">
        <v>117.2</v>
      </c>
      <c r="BK465" s="84">
        <f>IF('BBG Verify'!S465="","not filed; run on terminal",'BBG Verify'!S465)</f>
        <v/>
      </c>
      <c r="BL465" s="85" t="inlineStr">
        <is>
          <t>N</t>
        </is>
      </c>
      <c r="BM465" s="86">
        <f>IF('BBG Verify'!K465="","not filed; run on terminal",'BBG Verify'!K465)</f>
        <v/>
      </c>
      <c r="BN465" s="71" t="inlineStr">
        <is>
          <t>N/A</t>
        </is>
      </c>
      <c r="BO465" s="71" t="inlineStr">
        <is>
          <t>N/A</t>
        </is>
      </c>
      <c r="BP465" s="71" t="inlineStr">
        <is>
          <t>N/A</t>
        </is>
      </c>
      <c r="BQ465" s="71" t="inlineStr">
        <is>
          <t>N/A</t>
        </is>
      </c>
      <c r="BR465" s="71" t="inlineStr">
        <is>
          <t>N/A</t>
        </is>
      </c>
      <c r="BS465" s="71" t="inlineStr">
        <is>
          <t>N/A</t>
        </is>
      </c>
      <c r="BT465" s="85" t="n"/>
      <c r="BU465" s="71" t="inlineStr">
        <is>
          <t>China International Capital Corporation Hong Kong Securities Limited; Goldman Sachs (Asia) L.L.C.</t>
        </is>
      </c>
      <c r="BV465" s="71" t="inlineStr">
        <is>
          <t>China International Capital Corporation Hong Kong Securities Limited; CMB International Capital Limited; Goldman Sachs (Asia) L.L.C.; Tiger Brokers (HK) Global Limited</t>
        </is>
      </c>
      <c r="BW465" s="71" t="inlineStr">
        <is>
          <t>China International Capital Corporation Hong Kong Securities Limited; CMB International Capital Limited; Goldman Sachs (Asia) L.L.C.; Tiger Brokers (HK) Global Limited</t>
        </is>
      </c>
      <c r="BX465" s="87">
        <f>HYPERLINK("https://www1.hkexnews.hk/listedco/listconews/sehk/2026/0505/2026050500023.pdf","prospectus")</f>
        <v/>
      </c>
      <c r="BY465" s="87">
        <f>HYPERLINK("https://www1.hkexnews.hk/listedco/listconews/sehk/2026/0512/2026051201406.pdf","allotment")</f>
        <v/>
      </c>
      <c r="BZ465" s="87">
        <f>HYPERLINK("https://www1.hkexnews.hk/listedco/listconews/sehk/2026/0608/2026060800490.pdf","stabilisation")</f>
        <v/>
      </c>
      <c r="CA465" s="85" t="n"/>
      <c r="CB465" s="71" t="inlineStr">
        <is>
          <t>P/E: loss-making at IPO, use P/S; sponsor: English name not in the filing; AAStocks 保薦人 shown</t>
        </is>
      </c>
    </row>
    <row r="466" ht="15" customHeight="1">
      <c r="A466" s="70" t="inlineStr">
        <is>
          <t>7666</t>
        </is>
      </c>
      <c r="B466" s="71" t="inlineStr">
        <is>
          <t>METIS TECHBIO-P</t>
        </is>
      </c>
      <c r="C466" s="71" t="inlineStr">
        <is>
          <t>劑泰科技－Ｐ</t>
        </is>
      </c>
      <c r="D466" s="71" t="inlineStr">
        <is>
          <t>Healthcare</t>
        </is>
      </c>
      <c r="E466" s="71" t="inlineStr">
        <is>
          <t>Biotech pre-revenue (18A)</t>
        </is>
      </c>
      <c r="F466" s="71" t="inlineStr">
        <is>
          <t>Advanced materials</t>
        </is>
      </c>
      <c r="G466" s="71" t="inlineStr">
        <is>
          <t>18C</t>
        </is>
      </c>
      <c r="H466" s="72" t="n">
        <v>46155</v>
      </c>
      <c r="I466" s="73" t="n">
        <v>2112.9</v>
      </c>
      <c r="J466" s="71" t="inlineStr">
        <is>
          <t>gross (stated)</t>
        </is>
      </c>
      <c r="K466" s="74" t="n"/>
      <c r="L466" s="74" t="n">
        <v>10.5</v>
      </c>
      <c r="M466" s="74" t="n">
        <v>10.5</v>
      </c>
      <c r="N466" s="71" t="inlineStr">
        <is>
          <t>Y</t>
        </is>
      </c>
      <c r="O466" s="75" t="n">
        <v>100</v>
      </c>
      <c r="P466" s="75" t="n"/>
      <c r="Q466" s="76" t="n">
        <v>12101.4</v>
      </c>
      <c r="R466" s="71" t="inlineStr">
        <is>
          <t>prospectus:stated market capitalisation</t>
        </is>
      </c>
      <c r="S466" s="77" t="n">
        <v>6910.96</v>
      </c>
      <c r="T466" s="78" t="n">
        <v>33.86</v>
      </c>
      <c r="U466" s="79" t="n">
        <v>54.87</v>
      </c>
      <c r="V466" s="80" t="n">
        <v>208</v>
      </c>
      <c r="W466" s="75" t="n">
        <v>20</v>
      </c>
      <c r="X466" s="71" t="inlineStr">
        <is>
          <t>YES</t>
        </is>
      </c>
      <c r="Y466" s="76" t="n">
        <v>953.55</v>
      </c>
      <c r="Z466" s="76" t="n">
        <v>90814648</v>
      </c>
      <c r="AA466" s="75" t="n">
        <v>7.88</v>
      </c>
      <c r="AB466" s="71"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AC466" s="71" t="inlineStr">
        <is>
          <t>arc;blackrock;china-asset;venture;deerfield;fullgoal;gf;hhlr;huadeng;icbc;isometry;lake;mirae;orix;rtw;sage;ubs</t>
        </is>
      </c>
      <c r="AD466" s="75" t="n">
        <v>15</v>
      </c>
      <c r="AE466" s="71" t="inlineStr">
        <is>
          <t>full</t>
        </is>
      </c>
      <c r="AF466" s="71" t="inlineStr">
        <is>
          <t>2026-06-07</t>
        </is>
      </c>
      <c r="AG466" s="71" t="inlineStr">
        <is>
          <t>CLSA Limited</t>
        </is>
      </c>
      <c r="AH466" s="71" t="inlineStr">
        <is>
          <t>CLSA</t>
        </is>
      </c>
      <c r="AI466" s="81" t="n">
        <v>180</v>
      </c>
      <c r="AJ466" s="82" t="n">
        <v>126.67</v>
      </c>
      <c r="AK466" s="82" t="n">
        <v>173.14</v>
      </c>
      <c r="AL466" s="82" t="n">
        <v>-17.01</v>
      </c>
      <c r="AM466" s="83" t="n">
        <v>2.1</v>
      </c>
      <c r="AN466" s="75" t="n">
        <v>26.08</v>
      </c>
      <c r="AO466" s="82" t="n">
        <v>71.43000000000001</v>
      </c>
      <c r="AP466" s="82" t="n">
        <v>25.62</v>
      </c>
      <c r="AQ466" s="82" t="n">
        <v>25.62</v>
      </c>
      <c r="AR466" s="82" t="n">
        <v>-24.37</v>
      </c>
      <c r="AS466" s="82" t="n">
        <v>-44.58</v>
      </c>
      <c r="AT466" s="82" t="n">
        <v>-44.58</v>
      </c>
      <c r="AU466" s="82" t="n">
        <v>78.94</v>
      </c>
      <c r="AV466" s="82" t="n">
        <v>40.08</v>
      </c>
      <c r="AW466" s="82" t="n">
        <v>17.33</v>
      </c>
      <c r="AX466" s="82" t="n">
        <v>-31.06</v>
      </c>
      <c r="AY466" s="82" t="n">
        <v>-14.46</v>
      </c>
      <c r="AZ466" s="82" t="n">
        <v>-13.52</v>
      </c>
      <c r="BA466" s="71" t="inlineStr">
        <is>
          <t>China Biotech ETF (HS biotech proxy)</t>
        </is>
      </c>
      <c r="BB466" s="82" t="n">
        <v>65.52</v>
      </c>
      <c r="BC466" s="72" t="inlineStr">
        <is>
          <t>2026-09-23</t>
        </is>
      </c>
      <c r="BD466" s="73" t="n">
        <v>115.5</v>
      </c>
      <c r="BE466" s="76" t="n">
        <v>-431</v>
      </c>
      <c r="BF466" s="71" t="inlineStr">
        <is>
          <t>N</t>
        </is>
      </c>
      <c r="BG466" s="71" t="inlineStr">
        <is>
          <t>n/m</t>
        </is>
      </c>
      <c r="BH466" s="83" t="n"/>
      <c r="BI466" s="83" t="n"/>
      <c r="BJ466" s="83" t="n">
        <v>104.8</v>
      </c>
      <c r="BK466" s="84">
        <f>IF('BBG Verify'!S466="","not filed; run on terminal",'BBG Verify'!S466)</f>
        <v/>
      </c>
      <c r="BL466" s="85" t="inlineStr">
        <is>
          <t>N</t>
        </is>
      </c>
      <c r="BM466" s="86">
        <f>IF('BBG Verify'!K466="","not filed; run on terminal",'BBG Verify'!K466)</f>
        <v/>
      </c>
      <c r="BN466" s="71" t="inlineStr">
        <is>
          <t>N/A</t>
        </is>
      </c>
      <c r="BO466" s="71" t="inlineStr">
        <is>
          <t>N/A</t>
        </is>
      </c>
      <c r="BP466" s="71" t="inlineStr">
        <is>
          <t>N/A</t>
        </is>
      </c>
      <c r="BQ466" s="71" t="inlineStr">
        <is>
          <t>N/A</t>
        </is>
      </c>
      <c r="BR466" s="71" t="inlineStr">
        <is>
          <t>N/A</t>
        </is>
      </c>
      <c r="BS466" s="71" t="inlineStr">
        <is>
          <t>N/A</t>
        </is>
      </c>
      <c r="BT466" s="85" t="inlineStr">
        <is>
          <t>Jefferies Hong Kong Limited; Deutsche Securities Asia Limited; CITIC Securities (Hong Kong) Limited</t>
        </is>
      </c>
      <c r="BU466" s="71" t="inlineStr">
        <is>
          <t>Jefferies Hong Kong Limited; CITIC Securities (Hong Kong) Limited; Deutsche Securities Asia Limited</t>
        </is>
      </c>
      <c r="BV466" s="71" t="inlineStr">
        <is>
          <t>Futu Securities International (Hong Kong) Limited</t>
        </is>
      </c>
      <c r="BW466" s="71" t="inlineStr">
        <is>
          <t>CLSA Limited; CMB International Capital Limited; Deutsche Bank AG, Hong Kong Branch; Futu Securities International (Hong Kong) Limited; Jefferies Hong Kong Limited</t>
        </is>
      </c>
      <c r="BX466" s="87">
        <f>HYPERLINK("https://www1.hkexnews.hk/listedco/listconews/sehk/2026/0505/2026050500019.pdf","prospectus")</f>
        <v/>
      </c>
      <c r="BY466" s="87">
        <f>HYPERLINK("https://www1.hkexnews.hk/listedco/listconews/sehk/2026/0512/2026051201482.pdf","allotment")</f>
        <v/>
      </c>
      <c r="BZ466" s="87">
        <f>HYPERLINK("https://www1.hkexnews.hk/listedco/listconews/sehk/2026/0605/2026060501450.pdf","stabilisation")</f>
        <v/>
      </c>
      <c r="CA466" s="85" t="n"/>
      <c r="CB466" s="71" t="inlineStr">
        <is>
          <t>P/E: loss-making at IPO, use P/S; range low: maximum offer price only, no floor published</t>
        </is>
      </c>
    </row>
    <row r="467" ht="15" customHeight="1">
      <c r="A467" s="70" t="inlineStr">
        <is>
          <t>6871</t>
        </is>
      </c>
      <c r="B467" s="71" t="inlineStr">
        <is>
          <t>ROBOTPHOENIX</t>
        </is>
      </c>
      <c r="C467" s="71" t="inlineStr">
        <is>
          <t>翼菲科技</t>
        </is>
      </c>
      <c r="D467" s="71" t="inlineStr">
        <is>
          <t>Tech/AI</t>
        </is>
      </c>
      <c r="E467" s="71" t="inlineStr">
        <is>
          <t>Robotics &amp; autonomous driving</t>
        </is>
      </c>
      <c r="F467" s="71" t="inlineStr">
        <is>
          <t>Advanced hardware and software</t>
        </is>
      </c>
      <c r="G467" s="71" t="inlineStr">
        <is>
          <t>18C</t>
        </is>
      </c>
      <c r="H467" s="72" t="n">
        <v>46160</v>
      </c>
      <c r="I467" s="73" t="n">
        <v>750.3</v>
      </c>
      <c r="J467" s="71" t="inlineStr">
        <is>
          <t>gross (stated)</t>
        </is>
      </c>
      <c r="K467" s="74" t="n"/>
      <c r="L467" s="74" t="n">
        <v>30.5</v>
      </c>
      <c r="M467" s="74" t="n">
        <v>30.5</v>
      </c>
      <c r="N467" s="71" t="inlineStr">
        <is>
          <t>Y</t>
        </is>
      </c>
      <c r="O467" s="75" t="n">
        <v>100</v>
      </c>
      <c r="P467" s="75" t="n"/>
      <c r="Q467" s="76" t="n">
        <v>7471.1</v>
      </c>
      <c r="R467" s="71" t="inlineStr">
        <is>
          <t>derived:price x shares upon listing</t>
        </is>
      </c>
      <c r="S467" s="77" t="n">
        <v>14855.4</v>
      </c>
      <c r="T467" s="78" t="n">
        <v>9.77</v>
      </c>
      <c r="U467" s="79" t="n">
        <v>0</v>
      </c>
      <c r="V467" s="80" t="n">
        <v>133</v>
      </c>
      <c r="W467" s="75" t="n">
        <v>20</v>
      </c>
      <c r="X467" s="71" t="inlineStr">
        <is>
          <t>YES</t>
        </is>
      </c>
      <c r="Y467" s="76" t="n">
        <v>750.3</v>
      </c>
      <c r="Z467" s="76" t="n">
        <v>24600000</v>
      </c>
      <c r="AA467" s="75" t="n">
        <v>10.04</v>
      </c>
      <c r="AB467" s="71" t="n"/>
      <c r="AC467" s="71" t="n"/>
      <c r="AD467" s="75" t="n"/>
      <c r="AE467" s="71" t="n"/>
      <c r="AF467" s="71" t="n"/>
      <c r="AG467" s="71" t="n"/>
      <c r="AH467" s="71" t="n"/>
      <c r="AI467" s="81" t="n">
        <v>79.18000000000001</v>
      </c>
      <c r="AJ467" s="82" t="n">
        <v>76.23</v>
      </c>
      <c r="AK467" s="82" t="n">
        <v>79.18000000000001</v>
      </c>
      <c r="AL467" s="82" t="n">
        <v>-1.65</v>
      </c>
      <c r="AM467" s="83" t="n">
        <v>2.58</v>
      </c>
      <c r="AN467" s="75" t="n">
        <v>14</v>
      </c>
      <c r="AO467" s="82" t="n">
        <v>12.72</v>
      </c>
      <c r="AP467" s="82" t="n">
        <v>23.28</v>
      </c>
      <c r="AQ467" s="82" t="n">
        <v>7.54</v>
      </c>
      <c r="AR467" s="82" t="n">
        <v>-36.04</v>
      </c>
      <c r="AS467" s="82" t="n">
        <v>-30.05</v>
      </c>
      <c r="AT467" s="82" t="n">
        <v>-38.98</v>
      </c>
      <c r="AU467" s="82" t="n">
        <v>12.51</v>
      </c>
      <c r="AV467" s="82" t="n">
        <v>28.75</v>
      </c>
      <c r="AW467" s="82" t="n">
        <v>11.23</v>
      </c>
      <c r="AX467" s="82" t="n">
        <v>-26.46</v>
      </c>
      <c r="AY467" s="82" t="n">
        <v>-5.47</v>
      </c>
      <c r="AZ467" s="82" t="n">
        <v>-3.59</v>
      </c>
      <c r="BA467" s="71" t="inlineStr">
        <is>
          <t>HSTECH (Hang Seng TECH ETF)</t>
        </is>
      </c>
      <c r="BB467" s="82" t="n">
        <v>-0.98</v>
      </c>
      <c r="BC467" s="72" t="inlineStr">
        <is>
          <t>2026-09-23</t>
        </is>
      </c>
      <c r="BD467" s="73" t="n">
        <v>426.1</v>
      </c>
      <c r="BE467" s="76" t="n">
        <v>-168.2</v>
      </c>
      <c r="BF467" s="71" t="inlineStr">
        <is>
          <t>N</t>
        </is>
      </c>
      <c r="BG467" s="71" t="inlineStr">
        <is>
          <t>n/m</t>
        </is>
      </c>
      <c r="BH467" s="83" t="n"/>
      <c r="BI467" s="83" t="n"/>
      <c r="BJ467" s="83" t="n">
        <v>17.5</v>
      </c>
      <c r="BK467" s="84">
        <f>IF('BBG Verify'!S467="","not filed; run on terminal",'BBG Verify'!S467)</f>
        <v/>
      </c>
      <c r="BL467" s="85" t="inlineStr">
        <is>
          <t>N</t>
        </is>
      </c>
      <c r="BM467" s="86">
        <f>IF('BBG Verify'!K467="","not filed; run on terminal",'BBG Verify'!K467)</f>
        <v/>
      </c>
      <c r="BN467" s="71" t="inlineStr">
        <is>
          <t>N/A</t>
        </is>
      </c>
      <c r="BO467" s="71" t="inlineStr">
        <is>
          <t>N/A</t>
        </is>
      </c>
      <c r="BP467" s="71" t="inlineStr">
        <is>
          <t>N/A</t>
        </is>
      </c>
      <c r="BQ467" s="71" t="inlineStr">
        <is>
          <t>N/A</t>
        </is>
      </c>
      <c r="BR467" s="71" t="inlineStr">
        <is>
          <t>N/A</t>
        </is>
      </c>
      <c r="BS467" s="71" t="inlineStr">
        <is>
          <t>N/A</t>
        </is>
      </c>
      <c r="BT467" s="85" t="inlineStr">
        <is>
          <t>ABCI Capital Limited; Sponsor-OC ABCI Capital Limited</t>
        </is>
      </c>
      <c r="BU467" s="71" t="inlineStr">
        <is>
          <t>ABCI Capital Limited</t>
        </is>
      </c>
      <c r="BV467" s="71"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W467" s="71"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X467" s="87">
        <f>HYPERLINK("https://www1.hkexnews.hk/listedco/listconews/sehk/2026/0508/2026050800015.pdf","prospectus")</f>
        <v/>
      </c>
      <c r="BY467" s="87">
        <f>HYPERLINK("https://www1.hkexnews.hk/listedco/listconews/sehk/2026/0515/2026051502141.pdf","allotment")</f>
        <v/>
      </c>
      <c r="BZ467" s="71" t="n"/>
      <c r="CA467" s="85" t="n"/>
      <c r="CB467" s="71"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70" t="inlineStr">
        <is>
          <t>1511</t>
        </is>
      </c>
      <c r="B468" s="71" t="inlineStr">
        <is>
          <t>UISEE TECH</t>
        </is>
      </c>
      <c r="C468" s="71" t="inlineStr">
        <is>
          <t>馭勢科技</t>
        </is>
      </c>
      <c r="D468" s="71" t="inlineStr">
        <is>
          <t>Tech/AI</t>
        </is>
      </c>
      <c r="E468" s="71" t="inlineStr">
        <is>
          <t>Robotics &amp; autonomous driving</t>
        </is>
      </c>
      <c r="F468" s="71" t="inlineStr">
        <is>
          <t>Advanced hardware and software</t>
        </is>
      </c>
      <c r="G468" s="71" t="inlineStr">
        <is>
          <t>18C</t>
        </is>
      </c>
      <c r="H468" s="72" t="n">
        <v>46162</v>
      </c>
      <c r="I468" s="73" t="n">
        <v>872</v>
      </c>
      <c r="J468" s="71" t="inlineStr">
        <is>
          <t>gross (stated)</t>
        </is>
      </c>
      <c r="K468" s="74" t="n"/>
      <c r="L468" s="74" t="n">
        <v>60.3</v>
      </c>
      <c r="M468" s="74" t="n">
        <v>60.3</v>
      </c>
      <c r="N468" s="71" t="inlineStr">
        <is>
          <t>Y</t>
        </is>
      </c>
      <c r="O468" s="75" t="n">
        <v>100</v>
      </c>
      <c r="P468" s="75" t="n"/>
      <c r="Q468" s="76" t="n">
        <v>9797.799999999999</v>
      </c>
      <c r="R468" s="71" t="inlineStr">
        <is>
          <t>derived:price x shares upon listing</t>
        </is>
      </c>
      <c r="S468" s="77" t="n">
        <v>6777.29</v>
      </c>
      <c r="T468" s="78" t="n">
        <v>5.66</v>
      </c>
      <c r="U468" s="79" t="n">
        <v>29.96</v>
      </c>
      <c r="V468" s="80" t="n">
        <v>87</v>
      </c>
      <c r="W468" s="75" t="n">
        <v>20</v>
      </c>
      <c r="X468" s="71" t="inlineStr">
        <is>
          <t>YES</t>
        </is>
      </c>
      <c r="Y468" s="76" t="n">
        <v>610.75</v>
      </c>
      <c r="Z468" s="76" t="n">
        <v>10128624</v>
      </c>
      <c r="AA468" s="75" t="n">
        <v>6.23</v>
      </c>
      <c r="AB468" s="71" t="inlineStr">
        <is>
          <t>CYGG Holding Limited; Starwin International A LPF; Xiongan Autonomous Driving Limited</t>
        </is>
      </c>
      <c r="AC468" s="71" t="inlineStr">
        <is>
          <t>cygg;starwin;xiongan</t>
        </is>
      </c>
      <c r="AD468" s="75" t="n"/>
      <c r="AE468" s="71" t="n"/>
      <c r="AF468" s="71" t="n"/>
      <c r="AG468" s="71" t="n"/>
      <c r="AH468" s="71" t="n"/>
      <c r="AI468" s="92" t="n">
        <v>-1.244</v>
      </c>
      <c r="AJ468" s="82" t="n">
        <v>-4.64</v>
      </c>
      <c r="AK468" s="82" t="n">
        <v>-7.13</v>
      </c>
      <c r="AL468" s="82" t="n">
        <v>2.68</v>
      </c>
      <c r="AM468" s="83" t="n">
        <v>2.18</v>
      </c>
      <c r="AN468" s="75" t="n">
        <v>20.54</v>
      </c>
      <c r="AO468" s="82" t="n">
        <v>22.31</v>
      </c>
      <c r="AP468" s="82" t="n">
        <v>68.66</v>
      </c>
      <c r="AQ468" s="82" t="n">
        <v>-0.83</v>
      </c>
      <c r="AR468" s="82" t="n">
        <v>28.26</v>
      </c>
      <c r="AS468" s="82" t="n">
        <v>76.87</v>
      </c>
      <c r="AT468" s="82" t="n">
        <v>4</v>
      </c>
      <c r="AU468" s="82" t="n">
        <v>21.85</v>
      </c>
      <c r="AV468" s="82" t="n">
        <v>74.88</v>
      </c>
      <c r="AW468" s="82" t="n">
        <v>2.41</v>
      </c>
      <c r="AX468" s="82" t="n">
        <v>83.29000000000001</v>
      </c>
      <c r="AY468" s="82" t="n">
        <v>-6.22</v>
      </c>
      <c r="AZ468" s="82" t="n">
        <v>-6.42</v>
      </c>
      <c r="BA468" s="71" t="inlineStr">
        <is>
          <t>HSTECH (Hang Seng TECH ETF)</t>
        </is>
      </c>
      <c r="BB468" s="82" t="n">
        <v>-10.45</v>
      </c>
      <c r="BC468" s="72" t="inlineStr">
        <is>
          <t>2026-09-23</t>
        </is>
      </c>
      <c r="BD468" s="73" t="n">
        <v>161.3</v>
      </c>
      <c r="BE468" s="76" t="n">
        <v>-253.2</v>
      </c>
      <c r="BF468" s="71" t="inlineStr">
        <is>
          <t>N</t>
        </is>
      </c>
      <c r="BG468" s="71" t="inlineStr">
        <is>
          <t>n/m</t>
        </is>
      </c>
      <c r="BH468" s="83" t="n"/>
      <c r="BI468" s="83" t="n"/>
      <c r="BJ468" s="83" t="n">
        <v>60.7</v>
      </c>
      <c r="BK468" s="84">
        <f>IF('BBG Verify'!S468="","not filed; run on terminal",'BBG Verify'!S468)</f>
        <v/>
      </c>
      <c r="BL468" s="85" t="inlineStr">
        <is>
          <t>N</t>
        </is>
      </c>
      <c r="BM468" s="86">
        <f>IF('BBG Verify'!K468="","not filed; run on terminal",'BBG Verify'!K468)</f>
        <v/>
      </c>
      <c r="BN468" s="71" t="inlineStr">
        <is>
          <t>N/A</t>
        </is>
      </c>
      <c r="BO468" s="71" t="inlineStr">
        <is>
          <t>N/A</t>
        </is>
      </c>
      <c r="BP468" s="71" t="inlineStr">
        <is>
          <t>N/A</t>
        </is>
      </c>
      <c r="BQ468" s="71" t="inlineStr">
        <is>
          <t>N/A</t>
        </is>
      </c>
      <c r="BR468" s="71" t="inlineStr">
        <is>
          <t>N/A</t>
        </is>
      </c>
      <c r="BS468" s="71" t="inlineStr">
        <is>
          <t>N/A</t>
        </is>
      </c>
      <c r="BT468" s="85" t="inlineStr">
        <is>
          <t>CITIC Securities (Hong Kong) Limited</t>
        </is>
      </c>
      <c r="BU468" s="71" t="inlineStr">
        <is>
          <t>CITIC Securities (Hong Kong) Limited</t>
        </is>
      </c>
      <c r="BV468" s="71"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W468" s="71"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X468" s="87">
        <f>HYPERLINK("https://www1.hkexnews.hk/listedco/listconews/sehk/2026/0512/2026051200147.pdf","prospectus")</f>
        <v/>
      </c>
      <c r="BY468" s="87">
        <f>HYPERLINK("https://www1.hkexnews.hk/listedco/listconews/sehk/2026/0519/2026051901257.pdf","allotment")</f>
        <v/>
      </c>
      <c r="BZ468" s="71" t="n"/>
      <c r="CA468" s="85" t="n"/>
      <c r="CB468"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70" t="inlineStr">
        <is>
          <t>7688</t>
        </is>
      </c>
      <c r="B469" s="71" t="inlineStr">
        <is>
          <t>TOPNC</t>
        </is>
      </c>
      <c r="C469" s="71" t="inlineStr">
        <is>
          <t>拓璞數控</t>
        </is>
      </c>
      <c r="D469" s="71" t="inlineStr">
        <is>
          <t>Industrials</t>
        </is>
      </c>
      <c r="E469" s="71" t="inlineStr">
        <is>
          <t>Capital goods / machinery</t>
        </is>
      </c>
      <c r="F469" s="71" t="inlineStr">
        <is>
          <t>Electrical Components &amp; Equipment</t>
        </is>
      </c>
      <c r="G469" s="71" t="inlineStr">
        <is>
          <t>Standard</t>
        </is>
      </c>
      <c r="H469" s="72" t="n">
        <v>46162</v>
      </c>
      <c r="I469" s="73" t="n">
        <v>1724</v>
      </c>
      <c r="J469" s="71" t="inlineStr">
        <is>
          <t>gross (stated)</t>
        </is>
      </c>
      <c r="K469" s="74" t="n"/>
      <c r="L469" s="74" t="n">
        <v>26.39</v>
      </c>
      <c r="M469" s="74" t="n">
        <v>26.39</v>
      </c>
      <c r="N469" s="71" t="inlineStr">
        <is>
          <t>Y</t>
        </is>
      </c>
      <c r="O469" s="75" t="n">
        <v>100</v>
      </c>
      <c r="P469" s="75" t="n"/>
      <c r="Q469" s="76" t="n">
        <v>9631.299999999999</v>
      </c>
      <c r="R469" s="71" t="inlineStr">
        <is>
          <t>derived:deal size / offer % of enlarged capital</t>
        </is>
      </c>
      <c r="S469" s="77" t="n">
        <v>3764.63</v>
      </c>
      <c r="T469" s="78" t="n">
        <v>30.46</v>
      </c>
      <c r="U469" s="79" t="n">
        <v>50</v>
      </c>
      <c r="V469" s="80" t="n">
        <v>104</v>
      </c>
      <c r="W469" s="75" t="n">
        <v>10</v>
      </c>
      <c r="X469" s="71" t="inlineStr">
        <is>
          <t>NO</t>
        </is>
      </c>
      <c r="Y469" s="76" t="n">
        <v>862</v>
      </c>
      <c r="Z469" s="76" t="n">
        <v>32665000</v>
      </c>
      <c r="AA469" s="75" t="n">
        <v>8.949999999999999</v>
      </c>
      <c r="AB469" s="71"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AC469" s="71" t="inlineStr">
        <is>
          <t>3w;boyu;cdh;china-asset;fullgoal;goldman;hhlra;mirae;rbc;shanghai-minhang;ubs</t>
        </is>
      </c>
      <c r="AD469" s="75" t="n">
        <v>15</v>
      </c>
      <c r="AE469" s="71" t="inlineStr">
        <is>
          <t>full</t>
        </is>
      </c>
      <c r="AF469" s="71" t="n"/>
      <c r="AG469" s="71" t="inlineStr">
        <is>
          <t>Guotai Junan Securities</t>
        </is>
      </c>
      <c r="AH469" s="71" t="inlineStr">
        <is>
          <t>Guotai Junan</t>
        </is>
      </c>
      <c r="AI469" s="81" t="n">
        <v>47.783</v>
      </c>
      <c r="AJ469" s="82" t="n">
        <v>79.98999999999999</v>
      </c>
      <c r="AK469" s="82" t="n">
        <v>40.2</v>
      </c>
      <c r="AL469" s="82" t="n">
        <v>28.38</v>
      </c>
      <c r="AM469" s="83" t="n">
        <v>6.2</v>
      </c>
      <c r="AN469" s="75" t="n">
        <v>39.46</v>
      </c>
      <c r="AO469" s="82" t="n">
        <v>35.66</v>
      </c>
      <c r="AP469" s="82" t="n">
        <v>11.25</v>
      </c>
      <c r="AQ469" s="82" t="n">
        <v>-38.8</v>
      </c>
      <c r="AR469" s="82" t="n">
        <v>-24.63</v>
      </c>
      <c r="AS469" s="82" t="n">
        <v>-38.19</v>
      </c>
      <c r="AT469" s="82" t="n">
        <v>-66</v>
      </c>
      <c r="AU469" s="82" t="n">
        <v>39.23</v>
      </c>
      <c r="AV469" s="82" t="n">
        <v>21.16</v>
      </c>
      <c r="AW469" s="82" t="n">
        <v>-37.74</v>
      </c>
      <c r="AX469" s="82" t="n">
        <v>-28.59</v>
      </c>
      <c r="AY469" s="82" t="n">
        <v>-9.91</v>
      </c>
      <c r="AZ469" s="82" t="n">
        <v>-9.6</v>
      </c>
      <c r="BA469" s="71" t="inlineStr">
        <is>
          <t>Hang Seng Commerce &amp; Industry sub-index</t>
        </is>
      </c>
      <c r="BB469" s="82" t="n">
        <v>-20.35</v>
      </c>
      <c r="BC469" s="72" t="inlineStr">
        <is>
          <t>2026-09-23</t>
        </is>
      </c>
      <c r="BD469" s="73" t="n">
        <v>635.8</v>
      </c>
      <c r="BE469" s="76" t="n"/>
      <c r="BF469" s="71" t="inlineStr">
        <is>
          <t>Y</t>
        </is>
      </c>
      <c r="BG469" s="84">
        <f>IF('BBG Verify'!O469="","not filed; run on terminal",'BBG Verify'!O469)</f>
        <v/>
      </c>
      <c r="BH469" s="83" t="n"/>
      <c r="BI469" s="83" t="n"/>
      <c r="BJ469" s="83" t="n">
        <v>15.1</v>
      </c>
      <c r="BK469" s="84">
        <f>IF('BBG Verify'!S469="","not filed; run on terminal",'BBG Verify'!S469)</f>
        <v/>
      </c>
      <c r="BL469" s="85" t="inlineStr">
        <is>
          <t>N</t>
        </is>
      </c>
      <c r="BM469" s="86">
        <f>IF('BBG Verify'!K469="","not filed; run on terminal",'BBG Verify'!K469)</f>
        <v/>
      </c>
      <c r="BN469" s="71" t="inlineStr">
        <is>
          <t>N/A</t>
        </is>
      </c>
      <c r="BO469" s="71" t="inlineStr">
        <is>
          <t>N/A</t>
        </is>
      </c>
      <c r="BP469" s="71" t="inlineStr">
        <is>
          <t>N/A</t>
        </is>
      </c>
      <c r="BQ469" s="71" t="inlineStr">
        <is>
          <t>N/A</t>
        </is>
      </c>
      <c r="BR469" s="71" t="inlineStr">
        <is>
          <t>N/A</t>
        </is>
      </c>
      <c r="BS469" s="71" t="inlineStr">
        <is>
          <t>N/A</t>
        </is>
      </c>
      <c r="BT469" s="85" t="inlineStr">
        <is>
          <t>Guotai Junan Capital Limited; CCB International Capital Limited</t>
        </is>
      </c>
      <c r="BU469" s="71" t="inlineStr">
        <is>
          <t>CCB International Capital Limited; Guotai Junan Capital Limited</t>
        </is>
      </c>
      <c r="BV469" s="71" t="inlineStr">
        <is>
          <t>Guotai Junan Securities (Hong Kong) Limited; CCB International Capital Limited; SBI China Capital Financial Services Limited; BOCI Asia Limited; CMB International Capital Limited</t>
        </is>
      </c>
      <c r="BW469" s="71" t="inlineStr">
        <is>
          <t>BOCI Asia Limited; CCB International Capital Limited; CMB International Capital Limited; Guotai Junan Securities (Hong Kong) Limited; SBI China Capital Financial Services Limited</t>
        </is>
      </c>
      <c r="BX469" s="87">
        <f>HYPERLINK("https://www1.hkexnews.hk/listedco/listconews/sehk/2026/0512/2026051200017.pdf","prospectus")</f>
        <v/>
      </c>
      <c r="BY469" s="87">
        <f>HYPERLINK("https://www1.hkexnews.hk/listedco/listconews/sehk/2026/0519/2026051901261.pdf","allotment")</f>
        <v/>
      </c>
      <c r="BZ469" s="87">
        <f>HYPERLINK("https://www1.hkexnews.hk/listedco/listconews/sehk/2026/0614/2026061400165.pdf","stabilisation")</f>
        <v/>
      </c>
      <c r="CA469" s="85" t="n"/>
      <c r="CB469" s="71"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t>
        </is>
      </c>
    </row>
    <row r="470" ht="15" customHeight="1">
      <c r="A470" s="70" t="inlineStr">
        <is>
          <t>6872</t>
        </is>
      </c>
      <c r="B470" s="71" t="inlineStr">
        <is>
          <t>TENNOR THERAP-B</t>
        </is>
      </c>
      <c r="C470" s="71" t="inlineStr">
        <is>
          <t>丹諾醫藥－B</t>
        </is>
      </c>
      <c r="D470" s="71" t="inlineStr">
        <is>
          <t>Healthcare</t>
        </is>
      </c>
      <c r="E470" s="71" t="inlineStr">
        <is>
          <t>Biotech pre-revenue (18A)</t>
        </is>
      </c>
      <c r="F470" s="71" t="inlineStr">
        <is>
          <t>Pharmaceuticals</t>
        </is>
      </c>
      <c r="G470" s="71" t="inlineStr">
        <is>
          <t>18A</t>
        </is>
      </c>
      <c r="H470" s="72" t="n">
        <v>46164</v>
      </c>
      <c r="I470" s="73" t="n">
        <v>670.4</v>
      </c>
      <c r="J470" s="71" t="inlineStr">
        <is>
          <t>gross (stated)</t>
        </is>
      </c>
      <c r="K470" s="74" t="n"/>
      <c r="L470" s="74" t="n">
        <v>75.7</v>
      </c>
      <c r="M470" s="74" t="n">
        <v>75.7</v>
      </c>
      <c r="N470" s="71" t="inlineStr">
        <is>
          <t>Y</t>
        </is>
      </c>
      <c r="O470" s="75" t="n">
        <v>100</v>
      </c>
      <c r="P470" s="75" t="n"/>
      <c r="Q470" s="76" t="n">
        <v>3961.3</v>
      </c>
      <c r="R470" s="71" t="inlineStr">
        <is>
          <t>derived:price x shares upon listing</t>
        </is>
      </c>
      <c r="S470" s="77" t="n">
        <v>9015.110000000001</v>
      </c>
      <c r="T470" s="78" t="n">
        <v>9.24</v>
      </c>
      <c r="U470" s="79" t="n">
        <v>34.81</v>
      </c>
      <c r="V470" s="80" t="n">
        <v>81</v>
      </c>
      <c r="W470" s="75" t="n">
        <v>9.35</v>
      </c>
      <c r="X470" s="71" t="inlineStr">
        <is>
          <t>NA</t>
        </is>
      </c>
      <c r="Y470" s="76" t="n">
        <v>437.03</v>
      </c>
      <c r="Z470" s="76" t="n">
        <v>5773226</v>
      </c>
      <c r="AA470" s="75" t="n">
        <v>11.03</v>
      </c>
      <c r="AB470" s="71" t="inlineStr">
        <is>
          <t>AMR Action Fund, L.P; AMR Action Fund, SCSp; Hua Yuan International Limited; June Star Global Limited; Orient Asset Management (Hong Kong) Limited</t>
        </is>
      </c>
      <c r="AC470" s="71" t="inlineStr">
        <is>
          <t>amr;hua;june;orient</t>
        </is>
      </c>
      <c r="AD470" s="75" t="n">
        <v>5.5</v>
      </c>
      <c r="AE470" s="71" t="n"/>
      <c r="AF470" s="71" t="n"/>
      <c r="AG470" s="71" t="inlineStr">
        <is>
          <t>CLSA Limited</t>
        </is>
      </c>
      <c r="AH470" s="71" t="inlineStr">
        <is>
          <t>CLSA</t>
        </is>
      </c>
      <c r="AI470" s="81" t="n">
        <v>94.848</v>
      </c>
      <c r="AJ470" s="82" t="n">
        <v>178.73</v>
      </c>
      <c r="AK470" s="82" t="n">
        <v>98.15000000000001</v>
      </c>
      <c r="AL470" s="82" t="n">
        <v>40.67</v>
      </c>
      <c r="AM470" s="83" t="n">
        <v>2.97</v>
      </c>
      <c r="AN470" s="75" t="n">
        <v>51.47</v>
      </c>
      <c r="AO470" s="82" t="n">
        <v>166.84</v>
      </c>
      <c r="AP470" s="82" t="n">
        <v>248.22</v>
      </c>
      <c r="AQ470" s="82" t="n">
        <v>164.99</v>
      </c>
      <c r="AR470" s="82" t="n">
        <v>-4.27</v>
      </c>
      <c r="AS470" s="82" t="n">
        <v>24.93</v>
      </c>
      <c r="AT470" s="82" t="n">
        <v>-4.93</v>
      </c>
      <c r="AU470" s="82" t="n">
        <v>169.52</v>
      </c>
      <c r="AV470" s="82" t="n">
        <v>256.1</v>
      </c>
      <c r="AW470" s="82" t="n">
        <v>153.42</v>
      </c>
      <c r="AX470" s="82" t="n">
        <v>31.94</v>
      </c>
      <c r="AY470" s="82" t="n">
        <v>-7.88</v>
      </c>
      <c r="AZ470" s="82" t="n">
        <v>-7.01</v>
      </c>
      <c r="BA470" s="71" t="inlineStr">
        <is>
          <t>China Biotech ETF (HS biotech proxy)</t>
        </is>
      </c>
      <c r="BB470" s="82" t="n">
        <v>67.23999999999999</v>
      </c>
      <c r="BC470" s="72" t="inlineStr">
        <is>
          <t>2026-09-23</t>
        </is>
      </c>
      <c r="BD470" s="73" t="n">
        <v>0</v>
      </c>
      <c r="BE470" s="76" t="n">
        <v>-168.5</v>
      </c>
      <c r="BF470" s="71" t="inlineStr">
        <is>
          <t>N</t>
        </is>
      </c>
      <c r="BG470" s="71" t="inlineStr">
        <is>
          <t>n/m</t>
        </is>
      </c>
      <c r="BH470" s="83" t="n"/>
      <c r="BI470" s="83" t="n"/>
      <c r="BJ470" s="71" t="inlineStr">
        <is>
          <t>pre-rev</t>
        </is>
      </c>
      <c r="BK470" s="84">
        <f>IF('BBG Verify'!S470="","not filed; run on terminal",'BBG Verify'!S470)</f>
        <v/>
      </c>
      <c r="BL470" s="85" t="inlineStr">
        <is>
          <t>N</t>
        </is>
      </c>
      <c r="BM470" s="86">
        <f>IF('BBG Verify'!K470="","not filed; run on terminal",'BBG Verify'!K470)</f>
        <v/>
      </c>
      <c r="BN470" s="71" t="inlineStr">
        <is>
          <t>N/A</t>
        </is>
      </c>
      <c r="BO470" s="71" t="inlineStr">
        <is>
          <t>N/A</t>
        </is>
      </c>
      <c r="BP470" s="71" t="inlineStr">
        <is>
          <t>N/A</t>
        </is>
      </c>
      <c r="BQ470" s="71" t="inlineStr">
        <is>
          <t>N/A</t>
        </is>
      </c>
      <c r="BR470" s="71" t="inlineStr">
        <is>
          <t>N/A</t>
        </is>
      </c>
      <c r="BS470" s="71" t="inlineStr">
        <is>
          <t>N/A</t>
        </is>
      </c>
      <c r="BT470" s="85" t="inlineStr">
        <is>
          <t>CITIC Securities (Hong Kong) Limited; ABCI Capital Limited</t>
        </is>
      </c>
      <c r="BU470" s="71" t="inlineStr">
        <is>
          <t>CITIC Securities (Hong Kong) Limited; ABCI Capital Limited</t>
        </is>
      </c>
      <c r="BV470" s="71" t="inlineStr">
        <is>
          <t>CLSA Limited; ABCI Capital Limited; China Renaissance Securities (Hong Kong) Limited</t>
        </is>
      </c>
      <c r="BW470" s="71" t="inlineStr">
        <is>
          <t>ABCI Securities Company Limited; CLSA Limited; China Renaissance Securities (Hong Kong) Limited; Futu Securities International (Hong Kong) Limited; Tiger Brokers (HK) Global Limited</t>
        </is>
      </c>
      <c r="BX470" s="87">
        <f>HYPERLINK("https://www1.hkexnews.hk/listedco/listconews/sehk/2026/0514/2026051400013.pdf","prospectus")</f>
        <v/>
      </c>
      <c r="BY470" s="87">
        <f>HYPERLINK("https://www1.hkexnews.hk/listedco/listconews/sehk/2026/0521/2026052101298.pdf","allotment")</f>
        <v/>
      </c>
      <c r="BZ470" s="71" t="n"/>
      <c r="CA470" s="85" t="n"/>
      <c r="CB470" s="71" t="inlineStr">
        <is>
          <t>P/E: loss-making at IPO, use P/S; greenshoe: end-of-stabilisation notice not found; range low: maximum offer price only, no floor published; P/S: pre-revenue issuer, no sales multiple</t>
        </is>
      </c>
    </row>
    <row r="471" ht="15" customHeight="1">
      <c r="A471" s="70" t="inlineStr">
        <is>
          <t>3310</t>
        </is>
      </c>
      <c r="B471" s="71" t="inlineStr">
        <is>
          <t>VIEWTRIX TECH</t>
        </is>
      </c>
      <c r="C471" s="71" t="inlineStr">
        <is>
          <t>雲英谷科技</t>
        </is>
      </c>
      <c r="D471" s="71" t="inlineStr">
        <is>
          <t>Tech/AI</t>
        </is>
      </c>
      <c r="E471" s="71" t="inlineStr">
        <is>
          <t>AI chips &amp; semis</t>
        </is>
      </c>
      <c r="F471" s="71" t="inlineStr">
        <is>
          <t>Semiconductors &amp; Semiconductor Equipment</t>
        </is>
      </c>
      <c r="G471" s="71" t="inlineStr">
        <is>
          <t>Standard</t>
        </is>
      </c>
      <c r="H471" s="72" t="n">
        <v>46169</v>
      </c>
      <c r="I471" s="73" t="n">
        <v>1100</v>
      </c>
      <c r="J471" s="71" t="inlineStr">
        <is>
          <t>gross (stated)</t>
        </is>
      </c>
      <c r="K471" s="74" t="n"/>
      <c r="L471" s="74" t="n">
        <v>20.81</v>
      </c>
      <c r="M471" s="74" t="n">
        <v>20.81</v>
      </c>
      <c r="N471" s="71" t="inlineStr">
        <is>
          <t>Y</t>
        </is>
      </c>
      <c r="O471" s="75" t="n">
        <v>100</v>
      </c>
      <c r="P471" s="75" t="n"/>
      <c r="Q471" s="76" t="n">
        <v>7857.1</v>
      </c>
      <c r="R471" s="71" t="inlineStr">
        <is>
          <t>derived:deal size / offer % of enlarged capital</t>
        </is>
      </c>
      <c r="S471" s="77" t="n">
        <v>3559.68</v>
      </c>
      <c r="T471" s="78" t="n">
        <v>7.05</v>
      </c>
      <c r="U471" s="79" t="n">
        <v>35.37</v>
      </c>
      <c r="V471" s="80" t="n">
        <v>72</v>
      </c>
      <c r="W471" s="75" t="n">
        <v>10</v>
      </c>
      <c r="X471" s="71" t="inlineStr">
        <is>
          <t>NA</t>
        </is>
      </c>
      <c r="Y471" s="76" t="n">
        <v>710.9299999999999</v>
      </c>
      <c r="Z471" s="76" t="n">
        <v>34162901</v>
      </c>
      <c r="AA471" s="75" t="n">
        <v>9.050000000000001</v>
      </c>
      <c r="AB471" s="71" t="inlineStr">
        <is>
          <t>Digital Vista GD Investment LP; SpreadCom Limited</t>
        </is>
      </c>
      <c r="AC471" s="71" t="inlineStr">
        <is>
          <t>digital;spreadcom</t>
        </is>
      </c>
      <c r="AD471" s="75" t="n">
        <v>15</v>
      </c>
      <c r="AE471" s="71" t="inlineStr">
        <is>
          <t>full</t>
        </is>
      </c>
      <c r="AF471" s="71" t="inlineStr">
        <is>
          <t>2026-06-20</t>
        </is>
      </c>
      <c r="AG471" s="71" t="inlineStr">
        <is>
          <t>China International Capital Corporation Hong Kong Securities Limited</t>
        </is>
      </c>
      <c r="AH471" s="71" t="inlineStr">
        <is>
          <t>China International</t>
        </is>
      </c>
      <c r="AI471" s="81" t="n">
        <v>20.807</v>
      </c>
      <c r="AJ471" s="82" t="n">
        <v>91.73</v>
      </c>
      <c r="AK471" s="82" t="n">
        <v>22.44</v>
      </c>
      <c r="AL471" s="82" t="n">
        <v>56.59</v>
      </c>
      <c r="AM471" s="83" t="n">
        <v>3.18</v>
      </c>
      <c r="AN471" s="75" t="n">
        <v>56.91</v>
      </c>
      <c r="AO471" s="82" t="n">
        <v>66.94</v>
      </c>
      <c r="AP471" s="82" t="n">
        <v>60.98</v>
      </c>
      <c r="AQ471" s="82" t="n">
        <v>34.45</v>
      </c>
      <c r="AR471" s="82" t="n">
        <v>-12.93</v>
      </c>
      <c r="AS471" s="82" t="n">
        <v>-16.04</v>
      </c>
      <c r="AT471" s="82" t="n">
        <v>-29.88</v>
      </c>
      <c r="AU471" s="82" t="n">
        <v>64.67</v>
      </c>
      <c r="AV471" s="82" t="n">
        <v>74.62</v>
      </c>
      <c r="AW471" s="82" t="n">
        <v>40.81</v>
      </c>
      <c r="AX471" s="82" t="n">
        <v>-3.09</v>
      </c>
      <c r="AY471" s="82" t="n">
        <v>-13.64</v>
      </c>
      <c r="AZ471" s="82" t="n">
        <v>-12.95</v>
      </c>
      <c r="BA471" s="71" t="inlineStr">
        <is>
          <t>HSTECH (Hang Seng TECH ETF)</t>
        </is>
      </c>
      <c r="BB471" s="82" t="n">
        <v>27.92</v>
      </c>
      <c r="BC471" s="72" t="inlineStr">
        <is>
          <t>2026-09-23</t>
        </is>
      </c>
      <c r="BD471" s="73" t="n">
        <v>980.4</v>
      </c>
      <c r="BE471" s="76" t="n">
        <v>-253.4</v>
      </c>
      <c r="BF471" s="71" t="inlineStr">
        <is>
          <t>N</t>
        </is>
      </c>
      <c r="BG471" s="71" t="inlineStr">
        <is>
          <t>n/m</t>
        </is>
      </c>
      <c r="BH471" s="83" t="n"/>
      <c r="BI471" s="83" t="n"/>
      <c r="BJ471" s="83" t="n">
        <v>8</v>
      </c>
      <c r="BK471" s="84">
        <f>IF('BBG Verify'!S471="","not filed; run on terminal",'BBG Verify'!S471)</f>
        <v/>
      </c>
      <c r="BL471" s="85" t="inlineStr">
        <is>
          <t>N</t>
        </is>
      </c>
      <c r="BM471" s="86">
        <f>IF('BBG Verify'!K471="","not filed; run on terminal",'BBG Verify'!K471)</f>
        <v/>
      </c>
      <c r="BN471" s="71" t="inlineStr">
        <is>
          <t>N/A</t>
        </is>
      </c>
      <c r="BO471" s="71" t="inlineStr">
        <is>
          <t>N/A</t>
        </is>
      </c>
      <c r="BP471" s="71" t="inlineStr">
        <is>
          <t>N/A</t>
        </is>
      </c>
      <c r="BQ471" s="71" t="inlineStr">
        <is>
          <t>N/A</t>
        </is>
      </c>
      <c r="BR471" s="71" t="inlineStr">
        <is>
          <t>N/A</t>
        </is>
      </c>
      <c r="BS471" s="71" t="inlineStr">
        <is>
          <t>N/A</t>
        </is>
      </c>
      <c r="BT471" s="85" t="inlineStr">
        <is>
          <t>China International Capital Corporation Hong Kong Securities Limited; CITIC Securities (Hong Kong) Limited</t>
        </is>
      </c>
      <c r="BU471" s="71" t="inlineStr">
        <is>
          <t>China International Capital Corporation Hong Kong Securities Limited; CITIC Securities (Hong Kong) Limited</t>
        </is>
      </c>
      <c r="BV471" s="71" t="inlineStr">
        <is>
          <t>CLSA Limited; GF Securities (Hong Kong) Brokerage Limited; A VICT Global Asset Management Limited; Webull Securities Limited</t>
        </is>
      </c>
      <c r="BW471" s="71" t="inlineStr">
        <is>
          <t>AVICT Global Asset Management Limited; China International Capital Corporation Hong Kong Securities Limited; CLSA Limited; GF Securities (Hong Kong) Brokerage Limited; Webull Securities Limited</t>
        </is>
      </c>
      <c r="BX471" s="87">
        <f>HYPERLINK("https://www1.hkexnews.hk/listedco/listconews/sehk/2026/0518/2026051800021.pdf","prospectus")</f>
        <v/>
      </c>
      <c r="BY471" s="87">
        <f>HYPERLINK("https://www1.hkexnews.hk/listedco/listconews/sehk/2026/0526/2026052601908.pdf","allotment")</f>
        <v/>
      </c>
      <c r="BZ471" s="87">
        <f>HYPERLINK("https://www1.hkexnews.hk/listedco/listconews/sehk/2026/0621/2026062100023.pdf","stabilisation")</f>
        <v/>
      </c>
      <c r="CA471" s="85" t="n"/>
      <c r="CB471" s="71" t="inlineStr">
        <is>
          <t>P/E: loss-making at IPO, use P/S; range low: maximum offer price only, no floor published</t>
        </is>
      </c>
    </row>
    <row r="472" ht="15" customHeight="1">
      <c r="A472" s="70" t="inlineStr">
        <is>
          <t>2723</t>
        </is>
      </c>
      <c r="B472" s="71" t="inlineStr">
        <is>
          <t>DEEPZERO</t>
        </is>
      </c>
      <c r="C472" s="71" t="inlineStr">
        <is>
          <t>深演智能</t>
        </is>
      </c>
      <c r="D472" s="71" t="inlineStr">
        <is>
          <t>Tech/AI</t>
        </is>
      </c>
      <c r="E472" s="71" t="inlineStr">
        <is>
          <t>AI application / agent software</t>
        </is>
      </c>
      <c r="F472" s="71" t="inlineStr">
        <is>
          <t>Next-generation information technology</t>
        </is>
      </c>
      <c r="G472" s="71" t="inlineStr">
        <is>
          <t>Standard</t>
        </is>
      </c>
      <c r="H472" s="72" t="n">
        <v>46169</v>
      </c>
      <c r="I472" s="73" t="n">
        <v>503.3</v>
      </c>
      <c r="J472" s="71" t="inlineStr">
        <is>
          <t>gross (stated)</t>
        </is>
      </c>
      <c r="K472" s="74" t="n">
        <v>43.5</v>
      </c>
      <c r="L472" s="74" t="n">
        <v>55.5</v>
      </c>
      <c r="M472" s="74" t="n">
        <v>55.5</v>
      </c>
      <c r="N472" s="71" t="inlineStr">
        <is>
          <t>Y</t>
        </is>
      </c>
      <c r="O472" s="75" t="n">
        <v>100</v>
      </c>
      <c r="P472" s="75" t="n">
        <v>100</v>
      </c>
      <c r="Q472" s="76" t="n">
        <v>5032.7</v>
      </c>
      <c r="R472" s="71" t="inlineStr">
        <is>
          <t>derived:price x shares upon listing</t>
        </is>
      </c>
      <c r="S472" s="77" t="n">
        <v>5480.23</v>
      </c>
      <c r="T472" s="78" t="n">
        <v>3.41</v>
      </c>
      <c r="U472" s="79" t="n">
        <v>0</v>
      </c>
      <c r="V472" s="80" t="n">
        <v>78</v>
      </c>
      <c r="W472" s="75" t="n"/>
      <c r="X472" s="71" t="n"/>
      <c r="Y472" s="76" t="n">
        <v>503.3</v>
      </c>
      <c r="Z472" s="76" t="n">
        <v>9068000</v>
      </c>
      <c r="AA472" s="75" t="n">
        <v>10</v>
      </c>
      <c r="AB472" s="71" t="n"/>
      <c r="AC472" s="71" t="n"/>
      <c r="AD472" s="75" t="n"/>
      <c r="AE472" s="71" t="n"/>
      <c r="AF472" s="71" t="n"/>
      <c r="AG472" s="71" t="n"/>
      <c r="AH472" s="71" t="n"/>
      <c r="AI472" s="81" t="n">
        <v>168.468</v>
      </c>
      <c r="AJ472" s="82" t="n">
        <v>265.77</v>
      </c>
      <c r="AK472" s="82" t="n">
        <v>179.28</v>
      </c>
      <c r="AL472" s="82" t="n">
        <v>30.97</v>
      </c>
      <c r="AM472" s="83" t="n"/>
      <c r="AN472" s="75" t="n">
        <v>48.39</v>
      </c>
      <c r="AO472" s="82" t="n">
        <v>543.24</v>
      </c>
      <c r="AP472" s="82" t="n">
        <v>484.14</v>
      </c>
      <c r="AQ472" s="82" t="n">
        <v>1085.59</v>
      </c>
      <c r="AR472" s="82" t="n">
        <v>75.86</v>
      </c>
      <c r="AS472" s="82" t="n">
        <v>59.7</v>
      </c>
      <c r="AT472" s="82" t="n">
        <v>224.14</v>
      </c>
      <c r="AU472" s="82" t="n">
        <v>540.97</v>
      </c>
      <c r="AV472" s="82" t="n">
        <v>497.78</v>
      </c>
      <c r="AW472" s="82" t="n">
        <v>1091.95</v>
      </c>
      <c r="AX472" s="82" t="n">
        <v>72.65000000000001</v>
      </c>
      <c r="AY472" s="82" t="n">
        <v>-13.64</v>
      </c>
      <c r="AZ472" s="82" t="n">
        <v>-12.95</v>
      </c>
      <c r="BA472" s="71" t="inlineStr">
        <is>
          <t>HSTECH (Hang Seng TECH ETF)</t>
        </is>
      </c>
      <c r="BB472" s="82" t="n">
        <v>715.86</v>
      </c>
      <c r="BC472" s="72" t="inlineStr">
        <is>
          <t>2026-09-23</t>
        </is>
      </c>
      <c r="BD472" s="73" t="n">
        <v>634.2</v>
      </c>
      <c r="BE472" s="76" t="n"/>
      <c r="BF472" s="71" t="inlineStr">
        <is>
          <t>Y</t>
        </is>
      </c>
      <c r="BG472" s="84">
        <f>IF('BBG Verify'!O472="","not filed; run on terminal",'BBG Verify'!O472)</f>
        <v/>
      </c>
      <c r="BH472" s="83" t="n"/>
      <c r="BI472" s="83" t="n">
        <v>4730.6</v>
      </c>
      <c r="BJ472" s="83" t="n">
        <v>7.9</v>
      </c>
      <c r="BK472" s="84">
        <f>IF('BBG Verify'!S472="","not filed; run on terminal",'BBG Verify'!S472)</f>
        <v/>
      </c>
      <c r="BL472" s="85" t="inlineStr">
        <is>
          <t>N</t>
        </is>
      </c>
      <c r="BM472" s="86">
        <f>IF('BBG Verify'!K472="","not filed; run on terminal",'BBG Verify'!K472)</f>
        <v/>
      </c>
      <c r="BN472" s="71" t="inlineStr">
        <is>
          <t>N/A</t>
        </is>
      </c>
      <c r="BO472" s="71" t="inlineStr">
        <is>
          <t>N/A</t>
        </is>
      </c>
      <c r="BP472" s="71" t="inlineStr">
        <is>
          <t>N/A</t>
        </is>
      </c>
      <c r="BQ472" s="71" t="inlineStr">
        <is>
          <t>N/A</t>
        </is>
      </c>
      <c r="BR472" s="71" t="inlineStr">
        <is>
          <t>N/A</t>
        </is>
      </c>
      <c r="BS472" s="71" t="inlineStr">
        <is>
          <t>N/A</t>
        </is>
      </c>
      <c r="BT472" s="85" t="inlineStr">
        <is>
          <t>ICBC International Capital Limited</t>
        </is>
      </c>
      <c r="BU472" s="71" t="inlineStr">
        <is>
          <t>ICBC International Capital Limited</t>
        </is>
      </c>
      <c r="BV472" s="71"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W472" s="71"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X472" s="87">
        <f>HYPERLINK("https://www1.hkexnews.hk/listedco/listconews/sehk/2026/0518/2026051800023.pdf","prospectus")</f>
        <v/>
      </c>
      <c r="BY472" s="87">
        <f>HYPERLINK("https://www1.hkexnews.hk/listedco/listconews/sehk/2026/0526/2026052602298.pdf","allotment")</f>
        <v/>
      </c>
      <c r="BZ472" s="71" t="n"/>
      <c r="CA472" s="85" t="n"/>
      <c r="CB472" s="71"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t>
        </is>
      </c>
    </row>
    <row r="473" ht="15" customHeight="1">
      <c r="A473" s="70" t="inlineStr">
        <is>
          <t>0901</t>
        </is>
      </c>
      <c r="B473" s="71" t="inlineStr">
        <is>
          <t>SDMC</t>
        </is>
      </c>
      <c r="C473" s="71" t="inlineStr">
        <is>
          <t>華曦達</t>
        </is>
      </c>
      <c r="D473" s="71" t="inlineStr">
        <is>
          <t>Tech/AI</t>
        </is>
      </c>
      <c r="E473" s="71" t="inlineStr">
        <is>
          <t>Smart hardware / consumer electronics</t>
        </is>
      </c>
      <c r="F473" s="71" t="inlineStr">
        <is>
          <t>Advanced hardware and software</t>
        </is>
      </c>
      <c r="G473" s="71" t="inlineStr">
        <is>
          <t>Standard</t>
        </is>
      </c>
      <c r="H473" s="72" t="n">
        <v>46169</v>
      </c>
      <c r="I473" s="73" t="n">
        <v>630</v>
      </c>
      <c r="J473" s="71" t="inlineStr">
        <is>
          <t>gross (price x shares)</t>
        </is>
      </c>
      <c r="K473" s="74" t="n"/>
      <c r="L473" s="74" t="n">
        <v>32.8</v>
      </c>
      <c r="M473" s="74" t="n">
        <v>32.8</v>
      </c>
      <c r="N473" s="71" t="inlineStr">
        <is>
          <t>Y</t>
        </is>
      </c>
      <c r="O473" s="75" t="n">
        <v>100</v>
      </c>
      <c r="P473" s="75" t="n"/>
      <c r="Q473" s="76" t="n">
        <v>6868</v>
      </c>
      <c r="R473" s="71" t="inlineStr">
        <is>
          <t>press:ifeng: H股市值达68.68亿 at 32.80</t>
        </is>
      </c>
      <c r="S473" s="77" t="n">
        <v>1972</v>
      </c>
      <c r="T473" s="88">
        <f>IF('BBG Verify'!E473="","not filed; run on terminal",'BBG Verify'!E473)</f>
        <v/>
      </c>
      <c r="U473" s="79" t="n"/>
      <c r="V473" s="80" t="n"/>
      <c r="W473" s="75" t="n"/>
      <c r="X473" s="71" t="n"/>
      <c r="Y473" s="76" t="n">
        <v>630</v>
      </c>
      <c r="Z473" s="76" t="n">
        <v>19207300</v>
      </c>
      <c r="AA473" s="75" t="n">
        <v>9.17</v>
      </c>
      <c r="AB473" s="71" t="n"/>
      <c r="AC473" s="71" t="n"/>
      <c r="AD473" s="75" t="n"/>
      <c r="AE473" s="71" t="n"/>
      <c r="AF473" s="71" t="n"/>
      <c r="AG473" s="71" t="n"/>
      <c r="AH473" s="71" t="n"/>
      <c r="AI473" s="81" t="n">
        <v>93.598</v>
      </c>
      <c r="AJ473" s="82" t="n">
        <v>86.59</v>
      </c>
      <c r="AK473" s="82" t="n">
        <v>100.61</v>
      </c>
      <c r="AL473" s="82" t="n">
        <v>-6.99</v>
      </c>
      <c r="AM473" s="83" t="n"/>
      <c r="AN473" s="75" t="n">
        <v>20.9</v>
      </c>
      <c r="AO473" s="82" t="n">
        <v>104.57</v>
      </c>
      <c r="AP473" s="82" t="n">
        <v>96.19</v>
      </c>
      <c r="AQ473" s="82" t="n">
        <v>115.55</v>
      </c>
      <c r="AR473" s="82" t="n">
        <v>9.640000000000001</v>
      </c>
      <c r="AS473" s="82" t="n">
        <v>5.14</v>
      </c>
      <c r="AT473" s="82" t="n">
        <v>15.52</v>
      </c>
      <c r="AU473" s="82" t="n">
        <v>102.3</v>
      </c>
      <c r="AV473" s="82" t="n">
        <v>109.83</v>
      </c>
      <c r="AW473" s="82" t="n">
        <v>121.91</v>
      </c>
      <c r="AX473" s="82" t="n">
        <v>18.09</v>
      </c>
      <c r="AY473" s="82" t="n">
        <v>-13.64</v>
      </c>
      <c r="AZ473" s="82" t="n">
        <v>-12.95</v>
      </c>
      <c r="BA473" s="71" t="inlineStr">
        <is>
          <t>HSTECH (Hang Seng TECH ETF)</t>
        </is>
      </c>
      <c r="BB473" s="82" t="n">
        <v>104.27</v>
      </c>
      <c r="BC473" s="72" t="inlineStr">
        <is>
          <t>2026-09-23</t>
        </is>
      </c>
      <c r="BD473" s="73" t="n">
        <v>3704.4</v>
      </c>
      <c r="BE473" s="76" t="n">
        <v>263</v>
      </c>
      <c r="BF473" s="71" t="inlineStr">
        <is>
          <t>Y</t>
        </is>
      </c>
      <c r="BG473" s="83" t="n">
        <v>26.1</v>
      </c>
      <c r="BH473" s="83" t="n"/>
      <c r="BI473" s="83" t="n"/>
      <c r="BJ473" s="83" t="n">
        <v>1.9</v>
      </c>
      <c r="BK473" s="84">
        <f>IF('BBG Verify'!S473="","not filed; run on terminal",'BBG Verify'!S473)</f>
        <v/>
      </c>
      <c r="BL473" s="85" t="inlineStr">
        <is>
          <t>N</t>
        </is>
      </c>
      <c r="BM473" s="86">
        <f>IF('BBG Verify'!K473="","not filed; run on terminal",'BBG Verify'!K473)</f>
        <v/>
      </c>
      <c r="BN473" s="71" t="inlineStr">
        <is>
          <t>N/A</t>
        </is>
      </c>
      <c r="BO473" s="71" t="inlineStr">
        <is>
          <t>N/A</t>
        </is>
      </c>
      <c r="BP473" s="71" t="inlineStr">
        <is>
          <t>N/A</t>
        </is>
      </c>
      <c r="BQ473" s="71" t="inlineStr">
        <is>
          <t>N/A</t>
        </is>
      </c>
      <c r="BR473" s="71" t="inlineStr">
        <is>
          <t>N/A</t>
        </is>
      </c>
      <c r="BS473" s="71" t="inlineStr">
        <is>
          <t>N/A</t>
        </is>
      </c>
      <c r="BT473" s="85" t="n"/>
      <c r="BU473" s="71" t="inlineStr">
        <is>
          <t>China Securities (International) Corporate Finance Company Limited</t>
        </is>
      </c>
      <c r="BV473" s="71" t="inlineStr">
        <is>
          <t>ABCI Securities Company Limited; CCB International Capital Limited; CMB International Capital Limited; CNCB (Hong Kong) Capital Limited; China Securities (International) Corporate Finance Company Limited; Forthright Securities Company Limited</t>
        </is>
      </c>
      <c r="BW473" s="71"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X473" s="71" t="n"/>
      <c r="BY473" s="87">
        <f>HYPERLINK("https://www1.hkexnews.hk/listedco/listconews/sehk/2026/0526/2026052602392.pdf","allotment")</f>
        <v/>
      </c>
      <c r="BZ473" s="71" t="n"/>
      <c r="CA473" s="85" t="n"/>
      <c r="CB473" s="71"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74" ht="15" customHeight="1">
      <c r="A474" s="70" t="inlineStr">
        <is>
          <t>3388</t>
        </is>
      </c>
      <c r="B474" s="71" t="inlineStr">
        <is>
          <t>CREALITY</t>
        </is>
      </c>
      <c r="C474" s="71" t="inlineStr">
        <is>
          <t>創想三維</t>
        </is>
      </c>
      <c r="D474" s="71" t="inlineStr">
        <is>
          <t>Tech/AI</t>
        </is>
      </c>
      <c r="E474" s="71" t="inlineStr">
        <is>
          <t>Smart hardware / consumer electronics</t>
        </is>
      </c>
      <c r="F474" s="71" t="inlineStr">
        <is>
          <t>Computer Storage &amp; Peripherals</t>
        </is>
      </c>
      <c r="G474" s="71" t="inlineStr">
        <is>
          <t>Standard</t>
        </is>
      </c>
      <c r="H474" s="72" t="n">
        <v>46171</v>
      </c>
      <c r="I474" s="73" t="n">
        <v>1380.44</v>
      </c>
      <c r="J474" s="71" t="inlineStr">
        <is>
          <t>gross (stated)</t>
        </is>
      </c>
      <c r="K474" s="74" t="n"/>
      <c r="L474" s="74" t="n">
        <v>18.8</v>
      </c>
      <c r="M474" s="74" t="n">
        <v>18.8</v>
      </c>
      <c r="N474" s="71" t="inlineStr">
        <is>
          <t>Y</t>
        </is>
      </c>
      <c r="O474" s="75" t="n">
        <v>100</v>
      </c>
      <c r="P474" s="75" t="n"/>
      <c r="Q474" s="76" t="n">
        <v>8776.6</v>
      </c>
      <c r="R474" s="71" t="inlineStr">
        <is>
          <t>prospectus:stated market capitalisation</t>
        </is>
      </c>
      <c r="S474" s="77" t="n">
        <v>3829.42</v>
      </c>
      <c r="T474" s="78" t="n">
        <v>26.8</v>
      </c>
      <c r="U474" s="79" t="n">
        <v>49.9</v>
      </c>
      <c r="V474" s="80" t="n">
        <v>183</v>
      </c>
      <c r="W474" s="75" t="n">
        <v>10</v>
      </c>
      <c r="X474" s="71" t="inlineStr">
        <is>
          <t>NA</t>
        </is>
      </c>
      <c r="Y474" s="76" t="n">
        <v>691.6</v>
      </c>
      <c r="Z474" s="76" t="n">
        <v>36787203</v>
      </c>
      <c r="AA474" s="75" t="n">
        <v>7.88</v>
      </c>
      <c r="AB474" s="71"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AC474" s="71" t="inlineStr">
        <is>
          <t>apex;citic;colloway;cpe;dingxin;gba;boyue;integrated;jump;martis;oasis;optimas;polymer;seven;taikang</t>
        </is>
      </c>
      <c r="AD474" s="75" t="n">
        <v>15</v>
      </c>
      <c r="AE474" s="71" t="inlineStr">
        <is>
          <t>full</t>
        </is>
      </c>
      <c r="AF474" s="71" t="inlineStr">
        <is>
          <t>2026-06-25</t>
        </is>
      </c>
      <c r="AG474" s="71" t="inlineStr">
        <is>
          <t>China International Capital Corporation Hong Kong Securities Limited</t>
        </is>
      </c>
      <c r="AH474" s="71" t="inlineStr">
        <is>
          <t>China International</t>
        </is>
      </c>
      <c r="AI474" s="81" t="n">
        <v>70.63800000000001</v>
      </c>
      <c r="AJ474" s="82" t="n">
        <v>21.28</v>
      </c>
      <c r="AK474" s="82" t="n">
        <v>80.20999999999999</v>
      </c>
      <c r="AL474" s="82" t="n">
        <v>-32.7</v>
      </c>
      <c r="AM474" s="83" t="n">
        <v>4.97</v>
      </c>
      <c r="AN474" s="75" t="n">
        <v>38.72</v>
      </c>
      <c r="AO474" s="82" t="n">
        <v>11.17</v>
      </c>
      <c r="AP474" s="82" t="n">
        <v>38.72</v>
      </c>
      <c r="AQ474" s="82" t="n">
        <v>25.43</v>
      </c>
      <c r="AR474" s="82" t="n">
        <v>-8.34</v>
      </c>
      <c r="AS474" s="82" t="n">
        <v>14.38</v>
      </c>
      <c r="AT474" s="82" t="n">
        <v>3.42</v>
      </c>
      <c r="AU474" s="82" t="n">
        <v>11.09</v>
      </c>
      <c r="AV474" s="82" t="n">
        <v>46.92</v>
      </c>
      <c r="AW474" s="82" t="n">
        <v>30.87</v>
      </c>
      <c r="AX474" s="82" t="n">
        <v>22.62</v>
      </c>
      <c r="AY474" s="82" t="n">
        <v>-8.199999999999999</v>
      </c>
      <c r="AZ474" s="82" t="n">
        <v>-8.24</v>
      </c>
      <c r="BA474" s="71" t="inlineStr">
        <is>
          <t>HSTECH (Hang Seng TECH ETF)</t>
        </is>
      </c>
      <c r="BB474" s="82" t="n">
        <v>42.45</v>
      </c>
      <c r="BC474" s="72" t="inlineStr">
        <is>
          <t>2026-09-23</t>
        </is>
      </c>
      <c r="BD474" s="73" t="n">
        <v>3439.7</v>
      </c>
      <c r="BE474" s="76" t="n">
        <v>-226.9</v>
      </c>
      <c r="BF474" s="71" t="inlineStr">
        <is>
          <t>N</t>
        </is>
      </c>
      <c r="BG474" s="71" t="inlineStr">
        <is>
          <t>n/m</t>
        </is>
      </c>
      <c r="BH474" s="83" t="n"/>
      <c r="BI474" s="83" t="n"/>
      <c r="BJ474" s="83" t="n">
        <v>2.6</v>
      </c>
      <c r="BK474" s="84">
        <f>IF('BBG Verify'!S474="","not filed; run on terminal",'BBG Verify'!S474)</f>
        <v/>
      </c>
      <c r="BL474" s="85" t="inlineStr">
        <is>
          <t>N</t>
        </is>
      </c>
      <c r="BM474" s="86">
        <f>IF('BBG Verify'!K474="","not filed; run on terminal",'BBG Verify'!K474)</f>
        <v/>
      </c>
      <c r="BN474" s="71" t="inlineStr">
        <is>
          <t>N/A</t>
        </is>
      </c>
      <c r="BO474" s="71" t="inlineStr">
        <is>
          <t>N/A</t>
        </is>
      </c>
      <c r="BP474" s="71" t="inlineStr">
        <is>
          <t>N/A</t>
        </is>
      </c>
      <c r="BQ474" s="71" t="inlineStr">
        <is>
          <t>N/A</t>
        </is>
      </c>
      <c r="BR474" s="71" t="inlineStr">
        <is>
          <t>N/A</t>
        </is>
      </c>
      <c r="BS474" s="71" t="inlineStr">
        <is>
          <t>N/A</t>
        </is>
      </c>
      <c r="BT474" s="85" t="n"/>
      <c r="BU474" s="71" t="inlineStr">
        <is>
          <t>China International Capital Corporation Hong Kong Securities Limited</t>
        </is>
      </c>
      <c r="BV474" s="71"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W474" s="71"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X474" s="87">
        <f>HYPERLINK("https://www1.hkexnews.hk/listedco/listconews/sehk/2026/0520/2026052000023.pdf","prospectus")</f>
        <v/>
      </c>
      <c r="BY474" s="87">
        <f>HYPERLINK("https://www1.hkexnews.hk/listedco/listconews/sehk/2026/0528/2026052802543.pdf","allotment")</f>
        <v/>
      </c>
      <c r="BZ474" s="87">
        <f>HYPERLINK("https://www1.hkexnews.hk/listedco/listconews/sehk/2026/0625/2026062502150.pdf","stabilisation")</f>
        <v/>
      </c>
      <c r="CA474" s="85" t="n"/>
      <c r="CB474" s="71" t="inlineStr">
        <is>
          <t>P/E: loss-making at IPO, use P/S; range low: maximum offer price only, no floor published; sponsor: English name not in the filing; AAStocks 保薦人 shown</t>
        </is>
      </c>
    </row>
    <row r="475" ht="15" customHeight="1">
      <c r="A475" s="70" t="inlineStr">
        <is>
          <t>2553</t>
        </is>
      </c>
      <c r="B475" s="71" t="inlineStr">
        <is>
          <t>SHOUGANG LANZA</t>
        </is>
      </c>
      <c r="C475" s="71" t="inlineStr">
        <is>
          <t>首鋼朗澤</t>
        </is>
      </c>
      <c r="D475" s="71" t="inlineStr">
        <is>
          <t>Materials/Energy</t>
        </is>
      </c>
      <c r="E475" s="71" t="inlineStr">
        <is>
          <t>Chemicals</t>
        </is>
      </c>
      <c r="F475" s="71" t="inlineStr">
        <is>
          <t>Diversified Chemicals</t>
        </is>
      </c>
      <c r="G475" s="71" t="inlineStr">
        <is>
          <t>Standard</t>
        </is>
      </c>
      <c r="H475" s="72" t="n">
        <v>46176</v>
      </c>
      <c r="I475" s="73" t="n">
        <v>584</v>
      </c>
      <c r="J475" s="71" t="inlineStr">
        <is>
          <t>gross (stated)</t>
        </is>
      </c>
      <c r="K475" s="74" t="n"/>
      <c r="L475" s="74" t="n">
        <v>17.1</v>
      </c>
      <c r="M475" s="74" t="n">
        <v>14.6</v>
      </c>
      <c r="N475" s="71" t="inlineStr">
        <is>
          <t>N</t>
        </is>
      </c>
      <c r="O475" s="75" t="n">
        <v>85.40000000000001</v>
      </c>
      <c r="P475" s="75" t="n"/>
      <c r="Q475" s="76" t="n">
        <v>5840</v>
      </c>
      <c r="R475" s="71" t="inlineStr">
        <is>
          <t>derived:price x shares upon listing</t>
        </is>
      </c>
      <c r="S475" s="77" t="n">
        <v>1421.54</v>
      </c>
      <c r="T475" s="78" t="n">
        <v>0.95</v>
      </c>
      <c r="U475" s="79" t="n">
        <v>0</v>
      </c>
      <c r="V475" s="80" t="n">
        <v>97</v>
      </c>
      <c r="W475" s="75" t="n">
        <v>15</v>
      </c>
      <c r="X475" s="71" t="inlineStr">
        <is>
          <t>NA</t>
        </is>
      </c>
      <c r="Y475" s="76" t="n">
        <v>584</v>
      </c>
      <c r="Z475" s="76" t="n">
        <v>40000000</v>
      </c>
      <c r="AA475" s="75" t="n">
        <v>10</v>
      </c>
      <c r="AB475" s="71" t="n"/>
      <c r="AC475" s="71" t="n"/>
      <c r="AD475" s="75" t="n">
        <v>15.9</v>
      </c>
      <c r="AE475" s="71" t="inlineStr">
        <is>
          <t>lapsed (no over-allocation)</t>
        </is>
      </c>
      <c r="AF475" s="71" t="inlineStr">
        <is>
          <t>2026-06-28</t>
        </is>
      </c>
      <c r="AG475" s="71" t="inlineStr">
        <is>
          <t>Yue Xiu Securities Company Limited</t>
        </is>
      </c>
      <c r="AH475" s="71" t="inlineStr">
        <is>
          <t>Yue Xiu</t>
        </is>
      </c>
      <c r="AI475" s="81" t="n">
        <v>146.575</v>
      </c>
      <c r="AJ475" s="82" t="n">
        <v>44.25</v>
      </c>
      <c r="AK475" s="82" t="n">
        <v>91.78</v>
      </c>
      <c r="AL475" s="82" t="n">
        <v>-24.78</v>
      </c>
      <c r="AM475" s="83" t="n">
        <v>6.17</v>
      </c>
      <c r="AN475" s="75" t="n">
        <v>42.71</v>
      </c>
      <c r="AO475" s="82" t="n">
        <v>115.75</v>
      </c>
      <c r="AP475" s="82" t="n">
        <v>193.84</v>
      </c>
      <c r="AQ475" s="82" t="n">
        <v>67.81</v>
      </c>
      <c r="AR475" s="82" t="n">
        <v>49.57</v>
      </c>
      <c r="AS475" s="82" t="n">
        <v>103.7</v>
      </c>
      <c r="AT475" s="82" t="n">
        <v>16.33</v>
      </c>
      <c r="AU475" s="82" t="n">
        <v>123.08</v>
      </c>
      <c r="AV475" s="82" t="n">
        <v>205.32</v>
      </c>
      <c r="AW475" s="82" t="n">
        <v>74.8</v>
      </c>
      <c r="AX475" s="82" t="n">
        <v>113.29</v>
      </c>
      <c r="AY475" s="82" t="n">
        <v>-11.48</v>
      </c>
      <c r="AZ475" s="82" t="n">
        <v>-9.59</v>
      </c>
      <c r="BA475" s="71" t="inlineStr">
        <is>
          <t>Hang Seng Commerce &amp; Industry sub-index</t>
        </is>
      </c>
      <c r="BB475" s="82" t="n">
        <v>17.05</v>
      </c>
      <c r="BC475" s="72" t="inlineStr">
        <is>
          <t>2026-09-23</t>
        </is>
      </c>
      <c r="BD475" s="73" t="n">
        <v>573.9</v>
      </c>
      <c r="BE475" s="76" t="n">
        <v>-357.4</v>
      </c>
      <c r="BF475" s="71" t="inlineStr">
        <is>
          <t>N</t>
        </is>
      </c>
      <c r="BG475" s="71" t="inlineStr">
        <is>
          <t>n/m</t>
        </is>
      </c>
      <c r="BH475" s="83" t="n"/>
      <c r="BI475" s="83" t="n"/>
      <c r="BJ475" s="83" t="n">
        <v>10.2</v>
      </c>
      <c r="BK475" s="84">
        <f>IF('BBG Verify'!S475="","not filed; run on terminal",'BBG Verify'!S475)</f>
        <v/>
      </c>
      <c r="BL475" s="85" t="inlineStr">
        <is>
          <t>N</t>
        </is>
      </c>
      <c r="BM475" s="86">
        <f>IF('BBG Verify'!K475="","not filed; run on terminal",'BBG Verify'!K475)</f>
        <v/>
      </c>
      <c r="BN475" s="71" t="inlineStr">
        <is>
          <t>N/A</t>
        </is>
      </c>
      <c r="BO475" s="71" t="inlineStr">
        <is>
          <t>N/A</t>
        </is>
      </c>
      <c r="BP475" s="71" t="inlineStr">
        <is>
          <t>N/A</t>
        </is>
      </c>
      <c r="BQ475" s="71" t="inlineStr">
        <is>
          <t>N/A</t>
        </is>
      </c>
      <c r="BR475" s="71" t="inlineStr">
        <is>
          <t>N/A</t>
        </is>
      </c>
      <c r="BS475" s="71" t="inlineStr">
        <is>
          <t>N/A</t>
        </is>
      </c>
      <c r="BT475" s="85" t="inlineStr">
        <is>
          <t>Yue Xiu Capital Limited</t>
        </is>
      </c>
      <c r="BU475" s="71" t="inlineStr">
        <is>
          <t>Yue Xiu Capital Limited</t>
        </is>
      </c>
      <c r="BV475" s="71"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W475" s="71" t="inlineStr">
        <is>
          <t>CCB International Capital Limited; CMBC Securities Company Limited; Futu Securities International (Hong Kong) Limited; GEO Securities Limited; Livermore Holdings Limited; Maxa Asset Management Limited; Mango Financial Limited; Skyvast Securities Limited</t>
        </is>
      </c>
      <c r="BX475" s="87">
        <f>HYPERLINK("https://www1.hkexnews.hk/listedco/listconews/sehk/2026/0526/2026052600047.pdf","prospectus")</f>
        <v/>
      </c>
      <c r="BY475" s="87">
        <f>HYPERLINK("https://www1.hkexnews.hk/listedco/listconews/sehk/2026/0602/2026060202644.pdf","allotment")</f>
        <v/>
      </c>
      <c r="BZ475" s="87">
        <f>HYPERLINK("https://www1.hkexnews.hk/listedco/listconews/sehk/2026/0630/2026063000051.pdf","stabilisation")</f>
        <v/>
      </c>
      <c r="CA475" s="85" t="n"/>
      <c r="CB475" s="71" t="inlineStr">
        <is>
          <t>P/E: loss-making at IPO, use P/S; range low: maximum offer price only, no floor published; cornerstone list: no cornerstone tranche</t>
        </is>
      </c>
    </row>
    <row r="476" ht="15" customHeight="1">
      <c r="A476" s="70" t="inlineStr">
        <is>
          <t>2290</t>
        </is>
      </c>
      <c r="B476" s="71" t="inlineStr">
        <is>
          <t>LUNG FUNG GROUP</t>
        </is>
      </c>
      <c r="C476" s="71" t="inlineStr">
        <is>
          <t>龍豐集團</t>
        </is>
      </c>
      <c r="D476" s="71" t="inlineStr">
        <is>
          <t>Consumer</t>
        </is>
      </c>
      <c r="E476" s="71" t="inlineStr">
        <is>
          <t>Retail / distribution</t>
        </is>
      </c>
      <c r="F476" s="71" t="inlineStr">
        <is>
          <t>Beauty &amp; Toiletries Products Retail</t>
        </is>
      </c>
      <c r="G476" s="71" t="inlineStr">
        <is>
          <t>Standard</t>
        </is>
      </c>
      <c r="H476" s="72" t="n">
        <v>46178</v>
      </c>
      <c r="I476" s="73" t="n">
        <v>647.5</v>
      </c>
      <c r="J476" s="71" t="inlineStr">
        <is>
          <t>gross (stated)</t>
        </is>
      </c>
      <c r="K476" s="74" t="n">
        <v>5.18</v>
      </c>
      <c r="L476" s="74" t="n">
        <v>6.38</v>
      </c>
      <c r="M476" s="74" t="n">
        <v>5.18</v>
      </c>
      <c r="N476" s="71" t="inlineStr">
        <is>
          <t>N</t>
        </is>
      </c>
      <c r="O476" s="75" t="n">
        <v>81.2</v>
      </c>
      <c r="P476" s="75" t="n">
        <v>0</v>
      </c>
      <c r="Q476" s="76" t="n">
        <v>2590</v>
      </c>
      <c r="R476" s="71" t="inlineStr">
        <is>
          <t>derived:price x shares upon listing</t>
        </is>
      </c>
      <c r="S476" s="77" t="n">
        <v>664.92</v>
      </c>
      <c r="T476" s="78" t="n">
        <v>3.18</v>
      </c>
      <c r="U476" s="79" t="n"/>
      <c r="V476" s="80" t="n">
        <v>78</v>
      </c>
      <c r="W476" s="75" t="n">
        <v>10</v>
      </c>
      <c r="X476" s="71" t="inlineStr">
        <is>
          <t>NO</t>
        </is>
      </c>
      <c r="Y476" s="76" t="n">
        <v>647.5</v>
      </c>
      <c r="Z476" s="76" t="n">
        <v>125000000</v>
      </c>
      <c r="AA476" s="75" t="n">
        <v>25</v>
      </c>
      <c r="AB476" s="71" t="n"/>
      <c r="AC476" s="71" t="n"/>
      <c r="AD476" s="75" t="n">
        <v>15</v>
      </c>
      <c r="AE476" s="71" t="n"/>
      <c r="AF476" s="71" t="n"/>
      <c r="AG476" s="71" t="n"/>
      <c r="AH476" s="71" t="n"/>
      <c r="AI476" s="92" t="n">
        <v>-1.544</v>
      </c>
      <c r="AJ476" s="82" t="n">
        <v>-45.75</v>
      </c>
      <c r="AK476" s="82" t="n">
        <v>-16.6</v>
      </c>
      <c r="AL476" s="82" t="n">
        <v>-34.95</v>
      </c>
      <c r="AM476" s="83" t="n">
        <v>6.84</v>
      </c>
      <c r="AN476" s="75" t="n">
        <v>41.67</v>
      </c>
      <c r="AO476" s="82" t="n">
        <v>-47.49</v>
      </c>
      <c r="AP476" s="82" t="n">
        <v>-28.57</v>
      </c>
      <c r="AQ476" s="82" t="n">
        <v>-22.1</v>
      </c>
      <c r="AR476" s="82" t="n">
        <v>-3.21</v>
      </c>
      <c r="AS476" s="82" t="n">
        <v>31.67</v>
      </c>
      <c r="AT476" s="82" t="n">
        <v>43.59</v>
      </c>
      <c r="AU476" s="82" t="n">
        <v>-43.71</v>
      </c>
      <c r="AV476" s="82" t="n">
        <v>-23.07</v>
      </c>
      <c r="AW476" s="82" t="n">
        <v>-19.59</v>
      </c>
      <c r="AX476" s="82" t="n">
        <v>35.88</v>
      </c>
      <c r="AY476" s="82" t="n">
        <v>-5.5</v>
      </c>
      <c r="AZ476" s="82" t="n">
        <v>-4.21</v>
      </c>
      <c r="BA476" s="71" t="inlineStr">
        <is>
          <t>Hang Seng Commerce &amp; Industry sub-index</t>
        </is>
      </c>
      <c r="BB476" s="82" t="n">
        <v>-15.73</v>
      </c>
      <c r="BC476" s="72" t="inlineStr">
        <is>
          <t>2026-09-23</t>
        </is>
      </c>
      <c r="BD476" s="73" t="n">
        <v>2460.5</v>
      </c>
      <c r="BE476" s="76" t="n">
        <v>-27.1</v>
      </c>
      <c r="BF476" s="71" t="inlineStr">
        <is>
          <t>N</t>
        </is>
      </c>
      <c r="BG476" s="71" t="inlineStr">
        <is>
          <t>n/m</t>
        </is>
      </c>
      <c r="BH476" s="83" t="n"/>
      <c r="BI476" s="83" t="n"/>
      <c r="BJ476" s="83" t="n">
        <v>1.1</v>
      </c>
      <c r="BK476" s="84">
        <f>IF('BBG Verify'!S476="","not filed; run on terminal",'BBG Verify'!S476)</f>
        <v/>
      </c>
      <c r="BL476" s="85" t="inlineStr">
        <is>
          <t>N</t>
        </is>
      </c>
      <c r="BM476" s="86">
        <f>IF('BBG Verify'!K476="","not filed; run on terminal",'BBG Verify'!K476)</f>
        <v/>
      </c>
      <c r="BN476" s="71" t="inlineStr">
        <is>
          <t>N/A</t>
        </is>
      </c>
      <c r="BO476" s="71" t="inlineStr">
        <is>
          <t>N/A</t>
        </is>
      </c>
      <c r="BP476" s="71" t="inlineStr">
        <is>
          <t>N/A</t>
        </is>
      </c>
      <c r="BQ476" s="71" t="inlineStr">
        <is>
          <t>N/A</t>
        </is>
      </c>
      <c r="BR476" s="71" t="inlineStr">
        <is>
          <t>N/A</t>
        </is>
      </c>
      <c r="BS476" s="71" t="inlineStr">
        <is>
          <t>N/A</t>
        </is>
      </c>
      <c r="BT476" s="85"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U476" s="71" t="inlineStr">
        <is>
          <t>DBS Asia Capital Limited</t>
        </is>
      </c>
      <c r="BV476" s="71" t="inlineStr">
        <is>
          <t>CMB International Capital Limited; DBS Asia Capital Limited; Phillip Securities (Hong Kong) Limited; SPDB International Capital Limited</t>
        </is>
      </c>
      <c r="BW476" s="71" t="inlineStr">
        <is>
          <t>CMB International Capital Limited; DBS Asia Capital Limited; Phillip Securities (Hong Kong) Limited; SPDB International Capital Limited</t>
        </is>
      </c>
      <c r="BX476" s="87">
        <f>HYPERLINK("https://www1.hkexnews.hk/listedco/listconews/sehk/2026/0528/2026052800031.pdf","prospectus")</f>
        <v/>
      </c>
      <c r="BY476" s="87">
        <f>HYPERLINK("https://www1.hkexnews.hk/listedco/listconews/sehk/2026/0604/2026060402521.pdf","allotment")</f>
        <v/>
      </c>
      <c r="BZ476" s="87">
        <f>HYPERLINK("https://www1.hkexnews.hk/listedco/listconews/sehk/2026/0702/2026070203049.pdf","stabilisation")</f>
        <v/>
      </c>
      <c r="CA476" s="85" t="n"/>
      <c r="CB476" s="71"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linked; outcome wording not recognised, result left blank</t>
        </is>
      </c>
    </row>
    <row r="477" ht="15" customHeight="1">
      <c r="A477" s="70" t="inlineStr">
        <is>
          <t>1081</t>
        </is>
      </c>
      <c r="B477" s="71" t="inlineStr">
        <is>
          <t>DAJIN</t>
        </is>
      </c>
      <c r="C477" s="71" t="inlineStr">
        <is>
          <t>大金重工</t>
        </is>
      </c>
      <c r="D477" s="71" t="inlineStr">
        <is>
          <t>Industrials</t>
        </is>
      </c>
      <c r="E477" s="71" t="inlineStr">
        <is>
          <t>Solar / wind supply chain</t>
        </is>
      </c>
      <c r="F477" s="71" t="inlineStr">
        <is>
          <t>Environmental Goods</t>
        </is>
      </c>
      <c r="G477" s="71" t="inlineStr">
        <is>
          <t>Standard</t>
        </is>
      </c>
      <c r="H477" s="72" t="n">
        <v>46178</v>
      </c>
      <c r="I477" s="73" t="n">
        <v>6640.7</v>
      </c>
      <c r="J477" s="71" t="inlineStr">
        <is>
          <t>gross (stated)</t>
        </is>
      </c>
      <c r="K477" s="74" t="n"/>
      <c r="L477" s="74" t="n">
        <v>66.40000000000001</v>
      </c>
      <c r="M477" s="74" t="n">
        <v>66.40000000000001</v>
      </c>
      <c r="N477" s="71" t="inlineStr">
        <is>
          <t>Y</t>
        </is>
      </c>
      <c r="O477" s="75" t="n">
        <v>100</v>
      </c>
      <c r="P477" s="75" t="n"/>
      <c r="Q477" s="76" t="n">
        <v>64686.6</v>
      </c>
      <c r="R477" s="71" t="inlineStr">
        <is>
          <t>prospectus:stated market capitalisation</t>
        </is>
      </c>
      <c r="S477" s="77" t="n">
        <v>134.39</v>
      </c>
      <c r="T477" s="78" t="n">
        <v>10.68</v>
      </c>
      <c r="U477" s="79" t="n">
        <v>48.54</v>
      </c>
      <c r="V477" s="80" t="n">
        <v>125</v>
      </c>
      <c r="W477" s="75" t="n">
        <v>8.699999999999999</v>
      </c>
      <c r="X477" s="71" t="inlineStr">
        <is>
          <t>NA</t>
        </is>
      </c>
      <c r="Y477" s="76" t="n">
        <v>3417.3</v>
      </c>
      <c r="Z477" s="76" t="n"/>
      <c r="AA477" s="75" t="n">
        <v>5.28</v>
      </c>
      <c r="AB477" s="71"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AC477" s="71" t="inlineStr">
        <is>
          <t>cpe;eastspring;fullgoal;gic;hhlr;hillhouse;icbc;marshall;millennium;pinpoint;psbc;taikang;ubs</t>
        </is>
      </c>
      <c r="AD477" s="75" t="n">
        <v>15</v>
      </c>
      <c r="AE477" s="71" t="inlineStr">
        <is>
          <t>partial</t>
        </is>
      </c>
      <c r="AF477" s="71" t="inlineStr">
        <is>
          <t>2026-07-02</t>
        </is>
      </c>
      <c r="AG477" s="71" t="inlineStr">
        <is>
          <t>Huatai Financial Holdings</t>
        </is>
      </c>
      <c r="AH477" s="71" t="inlineStr">
        <is>
          <t>Huatai</t>
        </is>
      </c>
      <c r="AI477" s="81" t="n">
        <v>-4.97</v>
      </c>
      <c r="AJ477" s="82" t="n">
        <v>0</v>
      </c>
      <c r="AK477" s="82" t="n">
        <v>0</v>
      </c>
      <c r="AL477" s="82" t="n">
        <v>0</v>
      </c>
      <c r="AM477" s="83" t="n">
        <v>2.06</v>
      </c>
      <c r="AN477" s="75" t="n">
        <v>11.14</v>
      </c>
      <c r="AO477" s="82" t="n">
        <v>-3.69</v>
      </c>
      <c r="AP477" s="82" t="n">
        <v>-30.72</v>
      </c>
      <c r="AQ477" s="82" t="n">
        <v>-57.02</v>
      </c>
      <c r="AR477" s="82" t="n">
        <v>-3.69</v>
      </c>
      <c r="AS477" s="82" t="n">
        <v>-30.72</v>
      </c>
      <c r="AT477" s="82" t="n">
        <v>-57.02</v>
      </c>
      <c r="AU477" s="82" t="n">
        <v>0.09</v>
      </c>
      <c r="AV477" s="82" t="n">
        <v>-25.22</v>
      </c>
      <c r="AW477" s="82" t="n">
        <v>-54.51</v>
      </c>
      <c r="AX477" s="82" t="n">
        <v>-26.51</v>
      </c>
      <c r="AY477" s="82" t="n">
        <v>-5.5</v>
      </c>
      <c r="AZ477" s="82" t="n">
        <v>-4.21</v>
      </c>
      <c r="BA477" s="71" t="inlineStr">
        <is>
          <t>Hang Seng Commerce &amp; Industry sub-index</t>
        </is>
      </c>
      <c r="BB477" s="82" t="n">
        <v>-55.33</v>
      </c>
      <c r="BC477" s="72" t="inlineStr">
        <is>
          <t>2026-09-23</t>
        </is>
      </c>
      <c r="BD477" s="73" t="n">
        <v>6790.9</v>
      </c>
      <c r="BE477" s="76" t="n">
        <v>1213.6</v>
      </c>
      <c r="BF477" s="71" t="inlineStr">
        <is>
          <t>Y</t>
        </is>
      </c>
      <c r="BG477" s="83" t="n">
        <v>53.3</v>
      </c>
      <c r="BH477" s="83" t="n">
        <v>33.2</v>
      </c>
      <c r="BI477" s="83" t="n">
        <v>17.8</v>
      </c>
      <c r="BJ477" s="83" t="n">
        <v>9.5</v>
      </c>
      <c r="BK477" s="84">
        <f>IF('BBG Verify'!S477="","not filed; run on terminal",'BBG Verify'!S477)</f>
        <v/>
      </c>
      <c r="BL477" s="85" t="inlineStr">
        <is>
          <t>Y</t>
        </is>
      </c>
      <c r="BM477" s="71" t="inlineStr">
        <is>
          <t>002487.SZ</t>
        </is>
      </c>
      <c r="BN477" s="82" t="n">
        <v>17.8</v>
      </c>
      <c r="BO477" s="74" t="n">
        <v>78.2184</v>
      </c>
      <c r="BP477" s="89" t="n">
        <v>0.4708</v>
      </c>
      <c r="BQ477" s="76" t="n">
        <v>34442.2</v>
      </c>
      <c r="BR477" s="84">
        <f>IF('BBG Verify'!Q477="","run on terminal",'BBG Verify'!Q477)</f>
        <v/>
      </c>
      <c r="BS477" s="84">
        <f>IF('BBG Verify'!R477="","run on terminal",'BBG Verify'!R477)</f>
        <v/>
      </c>
      <c r="BT477" s="85" t="inlineStr">
        <is>
          <t>Huatai Financial Holdings (Hong Kong) Limited; China Merchants Securities (HK) Co., Limited</t>
        </is>
      </c>
      <c r="BU477" s="71" t="inlineStr">
        <is>
          <t>Huatai Financial Holdings (Hong Kong) Limited; China Merchants Securities (HK) Company Limited</t>
        </is>
      </c>
      <c r="BV477" s="71" t="inlineStr">
        <is>
          <t>CCB International Capital Limited; China International Capital Corporation Hong Kong Securities Limited; China Merchants Securities (HK) Company Limited; Huatai Financial Holdings (Hong Kong) Limited; Ping An Securities (Hong Kong) Company Limited</t>
        </is>
      </c>
      <c r="BW477" s="71" t="inlineStr">
        <is>
          <t>CCB International Capital Limited; China International Capital Corporation Hong Kong Securities Limited; China Merchants Securities (HK) Company Limited; Huatai Financial Holdings (Hong Kong) Limited; Ping An Securities (Hong Kong) Company Limited</t>
        </is>
      </c>
      <c r="BX477" s="87">
        <f>HYPERLINK("https://www1.hkexnews.hk/listedco/listconews/sehk/2026/0528/2026052800019.pdf","prospectus")</f>
        <v/>
      </c>
      <c r="BY477" s="87">
        <f>HYPERLINK("https://www1.hkexnews.hk/listedco/listconews/sehk/2026/0604/2026060402919.pdf","allotment")</f>
        <v/>
      </c>
      <c r="BZ477" s="87">
        <f>HYPERLINK("https://www1.hkexnews.hk/listedco/listconews/sehk/2026/0702/2026070203999.pdf","stabilisation")</f>
        <v/>
      </c>
      <c r="CA477" s="85" t="n"/>
      <c r="CB477" s="71" t="inlineStr">
        <is>
          <t>range low: maximum offer price only, no floor published; A/H: Jun 2026 H listing (offshore wind towers/monopiles); eff float shares: share count unavailable; the HK$m figure is exact</t>
        </is>
      </c>
    </row>
    <row r="478" ht="15" customHeight="1">
      <c r="A478" s="70" t="inlineStr">
        <is>
          <t>1779</t>
        </is>
      </c>
      <c r="B478" s="71" t="inlineStr">
        <is>
          <t>LONGBIO-B</t>
        </is>
      </c>
      <c r="C478" s="71" t="inlineStr">
        <is>
          <t>天辰生物－Ｂ</t>
        </is>
      </c>
      <c r="D478" s="71" t="inlineStr">
        <is>
          <t>Healthcare</t>
        </is>
      </c>
      <c r="E478" s="71" t="inlineStr">
        <is>
          <t>Biotech pre-revenue (18A)</t>
        </is>
      </c>
      <c r="F478" s="71" t="inlineStr">
        <is>
          <t>Biotechnology - Pharmaceuticals</t>
        </is>
      </c>
      <c r="G478" s="71" t="inlineStr">
        <is>
          <t>18A</t>
        </is>
      </c>
      <c r="H478" s="72" t="n">
        <v>46178</v>
      </c>
      <c r="I478" s="73" t="n">
        <v>1363.4</v>
      </c>
      <c r="J478" s="71" t="inlineStr">
        <is>
          <t>gross (stated)</t>
        </is>
      </c>
      <c r="K478" s="74" t="n"/>
      <c r="L478" s="74" t="n">
        <v>96.06</v>
      </c>
      <c r="M478" s="74" t="n">
        <v>96.06</v>
      </c>
      <c r="N478" s="71" t="inlineStr">
        <is>
          <t>Y</t>
        </is>
      </c>
      <c r="O478" s="75" t="n">
        <v>100</v>
      </c>
      <c r="P478" s="75" t="n"/>
      <c r="Q478" s="76" t="n">
        <v>7127</v>
      </c>
      <c r="R478" s="71" t="inlineStr">
        <is>
          <t>prospectus:stated market capitalisation</t>
        </is>
      </c>
      <c r="S478" s="77" t="n">
        <v>4762.58</v>
      </c>
      <c r="T478" s="78" t="n">
        <v>10.94</v>
      </c>
      <c r="U478" s="79" t="n">
        <v>49.96</v>
      </c>
      <c r="V478" s="80" t="n">
        <v>80</v>
      </c>
      <c r="W478" s="75" t="n">
        <v>10</v>
      </c>
      <c r="X478" s="71" t="inlineStr">
        <is>
          <t>NO</t>
        </is>
      </c>
      <c r="Y478" s="76" t="n">
        <v>682.25</v>
      </c>
      <c r="Z478" s="76" t="n">
        <v>7102252</v>
      </c>
      <c r="AA478" s="75" t="n">
        <v>9.57</v>
      </c>
      <c r="AB478" s="71"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AC478" s="71" t="inlineStr">
        <is>
          <t>foresight;fr;fullgoal;mega;orbimed;shanghai-gaoyi;biotech;trumed;value;wisdomshire;yuanfeng</t>
        </is>
      </c>
      <c r="AD478" s="75" t="n">
        <v>5.73</v>
      </c>
      <c r="AE478" s="71" t="inlineStr">
        <is>
          <t>full</t>
        </is>
      </c>
      <c r="AF478" s="71" t="inlineStr">
        <is>
          <t>2026-07-02</t>
        </is>
      </c>
      <c r="AG478" s="71" t="inlineStr">
        <is>
          <t>Sinolink Securities</t>
        </is>
      </c>
      <c r="AH478" s="71" t="inlineStr">
        <is>
          <t>Sinolink</t>
        </is>
      </c>
      <c r="AI478" s="81" t="n">
        <v>57.089</v>
      </c>
      <c r="AJ478" s="82" t="n">
        <v>37.21</v>
      </c>
      <c r="AK478" s="82" t="n">
        <v>50.22</v>
      </c>
      <c r="AL478" s="82" t="n">
        <v>-8.66</v>
      </c>
      <c r="AM478" s="83" t="n">
        <v>2.83</v>
      </c>
      <c r="AN478" s="75" t="n">
        <v>21.9</v>
      </c>
      <c r="AO478" s="82" t="n">
        <v>49.8</v>
      </c>
      <c r="AP478" s="82" t="n">
        <v>-1.05</v>
      </c>
      <c r="AQ478" s="82" t="n">
        <v>33.25</v>
      </c>
      <c r="AR478" s="82" t="n">
        <v>9.18</v>
      </c>
      <c r="AS478" s="82" t="n">
        <v>-27.88</v>
      </c>
      <c r="AT478" s="82" t="n">
        <v>-2.89</v>
      </c>
      <c r="AU478" s="82" t="n">
        <v>50.3</v>
      </c>
      <c r="AV478" s="82" t="n">
        <v>-9.859999999999999</v>
      </c>
      <c r="AW478" s="82" t="n">
        <v>9.69</v>
      </c>
      <c r="AX478" s="82" t="n">
        <v>-37.41</v>
      </c>
      <c r="AY478" s="82" t="n">
        <v>8.81</v>
      </c>
      <c r="AZ478" s="82" t="n">
        <v>9.529999999999999</v>
      </c>
      <c r="BA478" s="71" t="inlineStr">
        <is>
          <t>China Biotech ETF (HS biotech proxy)</t>
        </is>
      </c>
      <c r="BB478" s="82" t="n">
        <v>24.3</v>
      </c>
      <c r="BC478" s="72" t="inlineStr">
        <is>
          <t>2026-09-23</t>
        </is>
      </c>
      <c r="BD478" s="73" t="n">
        <v>2.2</v>
      </c>
      <c r="BE478" s="76" t="n">
        <v>-151.1</v>
      </c>
      <c r="BF478" s="71" t="inlineStr">
        <is>
          <t>N</t>
        </is>
      </c>
      <c r="BG478" s="71" t="inlineStr">
        <is>
          <t>n/m</t>
        </is>
      </c>
      <c r="BH478" s="83" t="n"/>
      <c r="BI478" s="83" t="n"/>
      <c r="BJ478" s="83" t="n">
        <v>3239.5</v>
      </c>
      <c r="BK478" s="84">
        <f>IF('BBG Verify'!S478="","not filed; run on terminal",'BBG Verify'!S478)</f>
        <v/>
      </c>
      <c r="BL478" s="85" t="inlineStr">
        <is>
          <t>N</t>
        </is>
      </c>
      <c r="BM478" s="86">
        <f>IF('BBG Verify'!K478="","not filed; run on terminal",'BBG Verify'!K478)</f>
        <v/>
      </c>
      <c r="BN478" s="71" t="inlineStr">
        <is>
          <t>N/A</t>
        </is>
      </c>
      <c r="BO478" s="71" t="inlineStr">
        <is>
          <t>N/A</t>
        </is>
      </c>
      <c r="BP478" s="71" t="inlineStr">
        <is>
          <t>N/A</t>
        </is>
      </c>
      <c r="BQ478" s="71" t="inlineStr">
        <is>
          <t>N/A</t>
        </is>
      </c>
      <c r="BR478" s="71" t="inlineStr">
        <is>
          <t>N/A</t>
        </is>
      </c>
      <c r="BS478" s="71" t="inlineStr">
        <is>
          <t>N/A</t>
        </is>
      </c>
      <c r="BT478" s="85" t="inlineStr">
        <is>
          <t>Sinolink Securities (Hong Kong) Company Limited</t>
        </is>
      </c>
      <c r="BU478" s="71" t="inlineStr">
        <is>
          <t>Sinolink Securities (Hong Kong) Company Limited</t>
        </is>
      </c>
      <c r="BV478" s="71" t="inlineStr">
        <is>
          <t>GF Securities (Hong Kong) Brokerage Limited; ABCI Capital Limited; ABCI Securities Company Limited</t>
        </is>
      </c>
      <c r="BW478" s="71" t="inlineStr">
        <is>
          <t>ABCI Securities Company Limited; CCB International Capital Limited; GF Securities (Hong Kong) Brokerage Limited; Sinolink Securities (Hong Kong) Company Limited; Shanxi Securities International Limited; TradeGo Markets Limited</t>
        </is>
      </c>
      <c r="BX478" s="87">
        <f>HYPERLINK("https://www1.hkexnews.hk/listedco/listconews/sehk/2026/0528/2026052800023.pdf","prospectus")</f>
        <v/>
      </c>
      <c r="BY478" s="87">
        <f>HYPERLINK("https://www1.hkexnews.hk/listedco/listconews/sehk/2026/0604/2026060402923.pdf","allotment")</f>
        <v/>
      </c>
      <c r="BZ478" s="87">
        <f>HYPERLINK("https://www1.hkexnews.hk/listedco/listconews/sehk/2026/0702/2026070203309.pdf","stabilisation")</f>
        <v/>
      </c>
      <c r="CA478" s="85" t="n"/>
      <c r="CB478" s="71" t="inlineStr">
        <is>
          <t>P/E: loss-making at IPO, use P/S; range low: maximum offer price only, no floor published; P/S: 3,240x on HK$2.2m revenue, effectively pre-revenue; not comparable</t>
        </is>
      </c>
    </row>
    <row r="479" ht="15" customHeight="1">
      <c r="A479" s="70" t="inlineStr">
        <is>
          <t>6658</t>
        </is>
      </c>
      <c r="B479" s="71" t="inlineStr">
        <is>
          <t>LIULIUMEI</t>
        </is>
      </c>
      <c r="C479" s="71" t="inlineStr">
        <is>
          <t>溜溜梅</t>
        </is>
      </c>
      <c r="D479" s="71" t="inlineStr">
        <is>
          <t>Consumer</t>
        </is>
      </c>
      <c r="E479" s="71" t="inlineStr">
        <is>
          <t>Beverages / packaged food</t>
        </is>
      </c>
      <c r="F479" s="71" t="inlineStr">
        <is>
          <t>Packaged Foods</t>
        </is>
      </c>
      <c r="G479" s="71" t="inlineStr">
        <is>
          <t>Standard</t>
        </is>
      </c>
      <c r="H479" s="72" t="n">
        <v>46188</v>
      </c>
      <c r="I479" s="73" t="n">
        <v>499.6</v>
      </c>
      <c r="J479" s="71" t="inlineStr">
        <is>
          <t>gross (stated)</t>
        </is>
      </c>
      <c r="K479" s="74" t="n"/>
      <c r="L479" s="74" t="n">
        <v>43.58</v>
      </c>
      <c r="M479" s="74" t="n">
        <v>43.58</v>
      </c>
      <c r="N479" s="71" t="inlineStr">
        <is>
          <t>Y</t>
        </is>
      </c>
      <c r="O479" s="75" t="n">
        <v>100</v>
      </c>
      <c r="P479" s="75" t="n"/>
      <c r="Q479" s="76" t="n">
        <v>3434.6</v>
      </c>
      <c r="R479" s="71" t="inlineStr">
        <is>
          <t>derived:price x shares upon listing</t>
        </is>
      </c>
      <c r="S479" s="77" t="n">
        <v>6586.73</v>
      </c>
      <c r="T479" s="78" t="n">
        <v>2.64</v>
      </c>
      <c r="U479" s="79" t="n">
        <v>29.55</v>
      </c>
      <c r="V479" s="80" t="n">
        <v>64</v>
      </c>
      <c r="W479" s="75" t="n">
        <v>10</v>
      </c>
      <c r="X479" s="71" t="inlineStr">
        <is>
          <t>NA</t>
        </is>
      </c>
      <c r="Y479" s="76" t="n">
        <v>351.97</v>
      </c>
      <c r="Z479" s="76" t="n">
        <v>8076458</v>
      </c>
      <c r="AA479" s="75" t="n">
        <v>10.25</v>
      </c>
      <c r="AB479" s="71" t="inlineStr">
        <is>
          <t>Top New Development Limited</t>
        </is>
      </c>
      <c r="AC479" s="71" t="inlineStr">
        <is>
          <t>top</t>
        </is>
      </c>
      <c r="AD479" s="75" t="n">
        <v>11.9</v>
      </c>
      <c r="AE479" s="71" t="n"/>
      <c r="AF479" s="71" t="n"/>
      <c r="AG479" s="71" t="n"/>
      <c r="AH479" s="71" t="n"/>
      <c r="AI479" s="81" t="n">
        <v>127.742</v>
      </c>
      <c r="AJ479" s="82" t="n">
        <v>193.71</v>
      </c>
      <c r="AK479" s="82" t="n">
        <v>117.99</v>
      </c>
      <c r="AL479" s="82" t="n">
        <v>34.74</v>
      </c>
      <c r="AM479" s="83" t="n">
        <v>3.75</v>
      </c>
      <c r="AN479" s="75" t="n">
        <v>41.16</v>
      </c>
      <c r="AO479" s="82" t="n">
        <v>225.61</v>
      </c>
      <c r="AP479" s="82" t="n">
        <v>277.93</v>
      </c>
      <c r="AQ479" s="82" t="n">
        <v>307.99</v>
      </c>
      <c r="AR479" s="82" t="n">
        <v>10.86</v>
      </c>
      <c r="AS479" s="82" t="n">
        <v>28.67</v>
      </c>
      <c r="AT479" s="82" t="n">
        <v>38.91</v>
      </c>
      <c r="AU479" s="82" t="n">
        <v>233.32</v>
      </c>
      <c r="AV479" s="82" t="n">
        <v>275.73</v>
      </c>
      <c r="AW479" s="82" t="n">
        <v>310.49</v>
      </c>
      <c r="AX479" s="82" t="n">
        <v>26.76</v>
      </c>
      <c r="AY479" s="82" t="n">
        <v>2.2</v>
      </c>
      <c r="AZ479" s="82" t="n">
        <v>1.91</v>
      </c>
      <c r="BA479" s="71" t="inlineStr">
        <is>
          <t>Hang Seng Commerce &amp; Industry sub-index</t>
        </is>
      </c>
      <c r="BB479" s="82" t="n">
        <v>382.33</v>
      </c>
      <c r="BC479" s="72" t="inlineStr">
        <is>
          <t>2026-09-23</t>
        </is>
      </c>
      <c r="BD479" s="73" t="n">
        <v>1881.8</v>
      </c>
      <c r="BE479" s="76" t="n">
        <v>200.3</v>
      </c>
      <c r="BF479" s="71" t="inlineStr">
        <is>
          <t>Y</t>
        </is>
      </c>
      <c r="BG479" s="83" t="n">
        <v>17.1</v>
      </c>
      <c r="BH479" s="83" t="n"/>
      <c r="BI479" s="83" t="n"/>
      <c r="BJ479" s="83" t="n">
        <v>1.8</v>
      </c>
      <c r="BK479" s="84">
        <f>IF('BBG Verify'!S479="","not filed; run on terminal",'BBG Verify'!S479)</f>
        <v/>
      </c>
      <c r="BL479" s="85" t="inlineStr">
        <is>
          <t>N</t>
        </is>
      </c>
      <c r="BM479" s="86">
        <f>IF('BBG Verify'!K479="","not filed; run on terminal",'BBG Verify'!K479)</f>
        <v/>
      </c>
      <c r="BN479" s="71" t="inlineStr">
        <is>
          <t>N/A</t>
        </is>
      </c>
      <c r="BO479" s="71" t="inlineStr">
        <is>
          <t>N/A</t>
        </is>
      </c>
      <c r="BP479" s="71" t="inlineStr">
        <is>
          <t>N/A</t>
        </is>
      </c>
      <c r="BQ479" s="71" t="inlineStr">
        <is>
          <t>N/A</t>
        </is>
      </c>
      <c r="BR479" s="71" t="inlineStr">
        <is>
          <t>N/A</t>
        </is>
      </c>
      <c r="BS479" s="71" t="inlineStr">
        <is>
          <t>N/A</t>
        </is>
      </c>
      <c r="BT479" s="85" t="inlineStr">
        <is>
          <t>CITIC Securities (Hong Kong) Limited; Guoyuan Capital (Hong Kong) Limited</t>
        </is>
      </c>
      <c r="BU479" s="71" t="inlineStr">
        <is>
          <t>CITIC Securities (Hong Kong) Limited; Guoyuan Capital (Hong Kong) Limited</t>
        </is>
      </c>
      <c r="BV479" s="71"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W479" s="71"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X479" s="87">
        <f>HYPERLINK("https://www1.hkexnews.hk/listedco/listconews/sehk/2026/0605/2026060500023.pdf","prospectus")</f>
        <v/>
      </c>
      <c r="BY479" s="87">
        <f>HYPERLINK("https://www1.hkexnews.hk/listedco/listconews/sehk/2026/0612/2026061202100.pdf","allotment")</f>
        <v/>
      </c>
      <c r="BZ479" s="71" t="n"/>
      <c r="CA479" s="85" t="n"/>
      <c r="CB479" s="71"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70" t="inlineStr">
        <is>
          <t>6675</t>
        </is>
      </c>
      <c r="B480" s="71" t="inlineStr">
        <is>
          <t>SENASIC</t>
        </is>
      </c>
      <c r="C480" s="71" t="inlineStr">
        <is>
          <t>SENASIC</t>
        </is>
      </c>
      <c r="D480" s="71" t="inlineStr">
        <is>
          <t>Tech/AI</t>
        </is>
      </c>
      <c r="E480" s="71" t="inlineStr">
        <is>
          <t>AI chips &amp; semis</t>
        </is>
      </c>
      <c r="F480" s="71" t="inlineStr">
        <is>
          <t>Semiconductors &amp; Semiconductor Equipment</t>
        </is>
      </c>
      <c r="G480" s="71" t="inlineStr">
        <is>
          <t>Standard</t>
        </is>
      </c>
      <c r="H480" s="72" t="n">
        <v>46190</v>
      </c>
      <c r="I480" s="73" t="n">
        <v>980.55</v>
      </c>
      <c r="J480" s="71" t="inlineStr">
        <is>
          <t>gross (stated)</t>
        </is>
      </c>
      <c r="K480" s="74" t="n"/>
      <c r="L480" s="74" t="n">
        <v>18.36</v>
      </c>
      <c r="M480" s="74" t="n">
        <v>18.36</v>
      </c>
      <c r="N480" s="71" t="inlineStr">
        <is>
          <t>Y</t>
        </is>
      </c>
      <c r="O480" s="75" t="n">
        <v>100</v>
      </c>
      <c r="P480" s="75" t="n"/>
      <c r="Q480" s="76" t="n">
        <v>6178.6</v>
      </c>
      <c r="R480" s="71" t="inlineStr">
        <is>
          <t>derived:deal size / offer % of enlarged capital</t>
        </is>
      </c>
      <c r="S480" s="77" t="n">
        <v>5144.97</v>
      </c>
      <c r="T480" s="78" t="n">
        <v>4.44</v>
      </c>
      <c r="U480" s="79" t="n">
        <v>28.86</v>
      </c>
      <c r="V480" s="80" t="n">
        <v>105</v>
      </c>
      <c r="W480" s="75" t="n">
        <v>10</v>
      </c>
      <c r="X480" s="71" t="inlineStr">
        <is>
          <t>NA</t>
        </is>
      </c>
      <c r="Y480" s="76" t="n">
        <v>697.5599999999999</v>
      </c>
      <c r="Z480" s="76" t="n">
        <v>37993740</v>
      </c>
      <c r="AA480" s="75" t="n">
        <v>11.29</v>
      </c>
      <c r="AB480" s="71"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AC480" s="71" t="inlineStr">
        <is>
          <t>chample;libra;longwei;mr-andrew;oakwise;rime;sunwoda;tembusu;thalassa</t>
        </is>
      </c>
      <c r="AD480" s="75" t="n">
        <v>5.3</v>
      </c>
      <c r="AE480" s="71" t="inlineStr">
        <is>
          <t>partial</t>
        </is>
      </c>
      <c r="AF480" s="71" t="n"/>
      <c r="AG480" s="71" t="inlineStr">
        <is>
          <t>China International Capital Corporation Hong Kong Securities Limited</t>
        </is>
      </c>
      <c r="AH480" s="71" t="inlineStr">
        <is>
          <t>China International</t>
        </is>
      </c>
      <c r="AI480" s="81" t="n">
        <v>71.024</v>
      </c>
      <c r="AJ480" s="82" t="n">
        <v>127.12</v>
      </c>
      <c r="AK480" s="82" t="n">
        <v>72.11</v>
      </c>
      <c r="AL480" s="82" t="n">
        <v>31.96</v>
      </c>
      <c r="AM480" s="83" t="n">
        <v>3.08</v>
      </c>
      <c r="AN480" s="75" t="n">
        <v>32.66</v>
      </c>
      <c r="AO480" s="82" t="n">
        <v>105.88</v>
      </c>
      <c r="AP480" s="82" t="n">
        <v>10.02</v>
      </c>
      <c r="AQ480" s="82" t="n">
        <v>54.47</v>
      </c>
      <c r="AR480" s="82" t="n">
        <v>-9.35</v>
      </c>
      <c r="AS480" s="82" t="n">
        <v>-51.56</v>
      </c>
      <c r="AT480" s="82" t="n">
        <v>-31.99</v>
      </c>
      <c r="AU480" s="82" t="n">
        <v>110.97</v>
      </c>
      <c r="AV480" s="82" t="n">
        <v>8.09</v>
      </c>
      <c r="AW480" s="82" t="n">
        <v>61.48</v>
      </c>
      <c r="AX480" s="82" t="n">
        <v>-53.4</v>
      </c>
      <c r="AY480" s="82" t="n">
        <v>1.93</v>
      </c>
      <c r="AZ480" s="82" t="n">
        <v>1.84</v>
      </c>
      <c r="BA480" s="71" t="inlineStr">
        <is>
          <t>HSTECH (Hang Seng TECH ETF)</t>
        </is>
      </c>
      <c r="BB480" s="82" t="n">
        <v>51.31</v>
      </c>
      <c r="BC480" s="72" t="inlineStr">
        <is>
          <t>2026-09-23</t>
        </is>
      </c>
      <c r="BD480" s="73" t="n">
        <v>525.6</v>
      </c>
      <c r="BE480" s="76" t="n">
        <v>-386.5</v>
      </c>
      <c r="BF480" s="71" t="inlineStr">
        <is>
          <t>N</t>
        </is>
      </c>
      <c r="BG480" s="71" t="inlineStr">
        <is>
          <t>n/m</t>
        </is>
      </c>
      <c r="BH480" s="83" t="n"/>
      <c r="BI480" s="83" t="n"/>
      <c r="BJ480" s="83" t="n">
        <v>11.8</v>
      </c>
      <c r="BK480" s="84">
        <f>IF('BBG Verify'!S480="","not filed; run on terminal",'BBG Verify'!S480)</f>
        <v/>
      </c>
      <c r="BL480" s="85" t="inlineStr">
        <is>
          <t>N</t>
        </is>
      </c>
      <c r="BM480" s="86">
        <f>IF('BBG Verify'!K480="","not filed; run on terminal",'BBG Verify'!K480)</f>
        <v/>
      </c>
      <c r="BN480" s="71" t="inlineStr">
        <is>
          <t>N/A</t>
        </is>
      </c>
      <c r="BO480" s="71" t="inlineStr">
        <is>
          <t>N/A</t>
        </is>
      </c>
      <c r="BP480" s="71" t="inlineStr">
        <is>
          <t>N/A</t>
        </is>
      </c>
      <c r="BQ480" s="71" t="inlineStr">
        <is>
          <t>N/A</t>
        </is>
      </c>
      <c r="BR480" s="71" t="inlineStr">
        <is>
          <t>N/A</t>
        </is>
      </c>
      <c r="BS480" s="71" t="inlineStr">
        <is>
          <t>N/A</t>
        </is>
      </c>
      <c r="BT480" s="85" t="inlineStr">
        <is>
          <t>China International Capital Corporation Hong Kong Securities Limited; Guotai Junan Capital Limited; OCs China International Capital Corporation Hong Kong Securities Limited; Guotai Junan Securities (Hong Kong) Limited</t>
        </is>
      </c>
      <c r="BU480" s="71" t="inlineStr">
        <is>
          <t>China International Capital Corporation Hong Kong Securities Limited; Guotai Junan Capital Limited</t>
        </is>
      </c>
      <c r="BV480" s="71"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W480" s="71"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X480" s="87">
        <f>HYPERLINK("https://www1.hkexnews.hk/listedco/listconews/sehk/2026/0609/2026060900029.pdf","prospectus")</f>
        <v/>
      </c>
      <c r="BY480" s="87">
        <f>HYPERLINK("https://www1.hkexnews.hk/listedco/listconews/sehk/2026/0616/2026061601760.pdf","allotment")</f>
        <v/>
      </c>
      <c r="BZ480" s="87">
        <f>HYPERLINK("https://www1.hkexnews.hk/listedco/listconews/sehk/2026/0712/2026071200003.pdf","stabilisation")</f>
        <v/>
      </c>
      <c r="CA480" s="85" t="n"/>
      <c r="CB480" s="71" t="inlineStr">
        <is>
          <t>P/E: loss-making at IPO, use P/S; greenshoe: outcome published; expiry date not in the notice; range low: maximum offer price only, no floor published</t>
        </is>
      </c>
    </row>
    <row r="481" ht="15" customHeight="1">
      <c r="A481" s="70" t="inlineStr">
        <is>
          <t>1392</t>
        </is>
      </c>
      <c r="B481" s="71" t="inlineStr">
        <is>
          <t>HQVT</t>
        </is>
      </c>
      <c r="C481" s="71" t="inlineStr">
        <is>
          <t>海清智元</t>
        </is>
      </c>
      <c r="D481" s="71" t="inlineStr">
        <is>
          <t>Tech/AI</t>
        </is>
      </c>
      <c r="E481" s="71" t="inlineStr">
        <is>
          <t>AI application / agent software</t>
        </is>
      </c>
      <c r="F481" s="71" t="inlineStr">
        <is>
          <t>Next-generation information technology</t>
        </is>
      </c>
      <c r="G481" s="71" t="inlineStr">
        <is>
          <t>Standard</t>
        </is>
      </c>
      <c r="H481" s="72" t="n">
        <v>46195</v>
      </c>
      <c r="I481" s="73" t="n">
        <v>613.17</v>
      </c>
      <c r="J481" s="71" t="inlineStr">
        <is>
          <t>gross (stated)</t>
        </is>
      </c>
      <c r="K481" s="74" t="n"/>
      <c r="L481" s="74" t="n">
        <v>7.2</v>
      </c>
      <c r="M481" s="74" t="n">
        <v>7.2</v>
      </c>
      <c r="N481" s="71" t="inlineStr">
        <is>
          <t>Y</t>
        </is>
      </c>
      <c r="O481" s="75" t="n">
        <v>100</v>
      </c>
      <c r="P481" s="75" t="n"/>
      <c r="Q481" s="76" t="n">
        <v>5574.3</v>
      </c>
      <c r="R481" s="71" t="inlineStr">
        <is>
          <t>derived:price x shares upon listing</t>
        </is>
      </c>
      <c r="S481" s="77" t="n">
        <v>7181.21</v>
      </c>
      <c r="T481" s="78" t="n">
        <v>4.81</v>
      </c>
      <c r="U481" s="79" t="n"/>
      <c r="V481" s="80" t="n">
        <v>137</v>
      </c>
      <c r="W481" s="75" t="n">
        <v>10</v>
      </c>
      <c r="X481" s="71" t="inlineStr">
        <is>
          <t>NA</t>
        </is>
      </c>
      <c r="Y481" s="76" t="n">
        <v>613.17</v>
      </c>
      <c r="Z481" s="76" t="n">
        <v>85162500</v>
      </c>
      <c r="AA481" s="75" t="n">
        <v>11</v>
      </c>
      <c r="AB481" s="71" t="n"/>
      <c r="AC481" s="71" t="n"/>
      <c r="AD481" s="75" t="n"/>
      <c r="AE481" s="71" t="n"/>
      <c r="AF481" s="71" t="n"/>
      <c r="AG481" s="71" t="n"/>
      <c r="AH481" s="71" t="n"/>
      <c r="AI481" s="81" t="n">
        <v>263.889</v>
      </c>
      <c r="AJ481" s="82" t="n">
        <v>270.83</v>
      </c>
      <c r="AK481" s="82" t="n">
        <v>302.78</v>
      </c>
      <c r="AL481" s="82" t="n">
        <v>-7.93</v>
      </c>
      <c r="AM481" s="83" t="n">
        <v>3.24</v>
      </c>
      <c r="AN481" s="75" t="n">
        <v>17.24</v>
      </c>
      <c r="AO481" s="82" t="n">
        <v>143.75</v>
      </c>
      <c r="AP481" s="82" t="n">
        <v>95.83</v>
      </c>
      <c r="AQ481" s="82" t="n">
        <v>416.94</v>
      </c>
      <c r="AR481" s="82" t="n">
        <v>-34.27</v>
      </c>
      <c r="AS481" s="82" t="n">
        <v>-47.19</v>
      </c>
      <c r="AT481" s="82" t="n">
        <v>39.4</v>
      </c>
      <c r="AU481" s="82" t="n">
        <v>148.27</v>
      </c>
      <c r="AV481" s="82" t="n">
        <v>94.31999999999999</v>
      </c>
      <c r="AW481" s="82" t="n">
        <v>421.2</v>
      </c>
      <c r="AX481" s="82" t="n">
        <v>-49.79</v>
      </c>
      <c r="AY481" s="82" t="n">
        <v>1.51</v>
      </c>
      <c r="AZ481" s="82" t="n">
        <v>2.6</v>
      </c>
      <c r="BA481" s="71" t="inlineStr">
        <is>
          <t>HSTECH (Hang Seng TECH ETF)</t>
        </is>
      </c>
      <c r="BB481" s="82" t="n">
        <v>347.22</v>
      </c>
      <c r="BC481" s="72" t="inlineStr">
        <is>
          <t>2026-09-23</t>
        </is>
      </c>
      <c r="BD481" s="73" t="n">
        <v>735.4</v>
      </c>
      <c r="BE481" s="76" t="n">
        <v>32.3</v>
      </c>
      <c r="BF481" s="71" t="inlineStr">
        <is>
          <t>Y</t>
        </is>
      </c>
      <c r="BG481" s="83" t="n">
        <v>172.6</v>
      </c>
      <c r="BH481" s="83" t="n"/>
      <c r="BI481" s="83" t="n"/>
      <c r="BJ481" s="83" t="n">
        <v>7.6</v>
      </c>
      <c r="BK481" s="84">
        <f>IF('BBG Verify'!S481="","not filed; run on terminal",'BBG Verify'!S481)</f>
        <v/>
      </c>
      <c r="BL481" s="85" t="inlineStr">
        <is>
          <t>N</t>
        </is>
      </c>
      <c r="BM481" s="86">
        <f>IF('BBG Verify'!K481="","not filed; run on terminal",'BBG Verify'!K481)</f>
        <v/>
      </c>
      <c r="BN481" s="71" t="inlineStr">
        <is>
          <t>N/A</t>
        </is>
      </c>
      <c r="BO481" s="71" t="inlineStr">
        <is>
          <t>N/A</t>
        </is>
      </c>
      <c r="BP481" s="71" t="inlineStr">
        <is>
          <t>N/A</t>
        </is>
      </c>
      <c r="BQ481" s="71" t="inlineStr">
        <is>
          <t>N/A</t>
        </is>
      </c>
      <c r="BR481" s="71" t="inlineStr">
        <is>
          <t>N/A</t>
        </is>
      </c>
      <c r="BS481" s="71" t="inlineStr">
        <is>
          <t>N/A</t>
        </is>
      </c>
      <c r="BT481" s="85" t="inlineStr">
        <is>
          <t>CMBC International Capital Limited; SPDB International Capital Limited</t>
        </is>
      </c>
      <c r="BU481" s="71" t="inlineStr">
        <is>
          <t>CMBC International Capital Limited; SPDB International Capital Limited</t>
        </is>
      </c>
      <c r="BV481" s="71"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W481" s="71"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X481" s="87">
        <f>HYPERLINK("https://www1.hkexnews.hk/listedco/listconews/sehk/2026/0611/2026061100015.pdf","prospectus")</f>
        <v/>
      </c>
      <c r="BY481" s="87">
        <f>HYPERLINK("https://www1.hkexnews.hk/listedco/listconews/sehk/2026/0618/2026061802066.pdf","allotment")</f>
        <v/>
      </c>
      <c r="BZ481" s="71" t="n"/>
      <c r="CA481" s="85" t="n"/>
      <c r="CB481" s="71" t="inlineStr">
        <is>
          <t>greenshoe: no over-allotment option; range low: maximum offer price only, no floor published; cornerstone list: names not extractable, see the prospectus; cornerstone %: aggregate not stated in the filing; greenshoe size: no over-allotment option; stabilising manager: no over-allotment option, so none appointed</t>
        </is>
      </c>
    </row>
    <row r="482" ht="15" customHeight="1">
      <c r="A482" s="70" t="inlineStr">
        <is>
          <t>6132</t>
        </is>
      </c>
      <c r="B482" s="71" t="inlineStr">
        <is>
          <t>HJ SCIENCE-B</t>
        </is>
      </c>
      <c r="C482" s="71" t="inlineStr">
        <is>
          <t>華健未來－Ｂ</t>
        </is>
      </c>
      <c r="D482" s="71" t="inlineStr">
        <is>
          <t>Healthcare</t>
        </is>
      </c>
      <c r="E482" s="71" t="inlineStr">
        <is>
          <t>Biotech pre-revenue (18A)</t>
        </is>
      </c>
      <c r="F482" s="71" t="inlineStr">
        <is>
          <t>Biotechnology - Pharmaceuticals</t>
        </is>
      </c>
      <c r="G482" s="71" t="inlineStr">
        <is>
          <t>18A</t>
        </is>
      </c>
      <c r="H482" s="72" t="n">
        <v>46196</v>
      </c>
      <c r="I482" s="73" t="n">
        <v>1112.5</v>
      </c>
      <c r="J482" s="71" t="inlineStr">
        <is>
          <t>gross (stated)</t>
        </is>
      </c>
      <c r="K482" s="74" t="n"/>
      <c r="L482" s="74" t="n">
        <v>81.8</v>
      </c>
      <c r="M482" s="74" t="n">
        <v>81.8</v>
      </c>
      <c r="N482" s="71" t="inlineStr">
        <is>
          <t>Y</t>
        </is>
      </c>
      <c r="O482" s="75" t="n">
        <v>100</v>
      </c>
      <c r="P482" s="75" t="n"/>
      <c r="Q482" s="76" t="n">
        <v>6020</v>
      </c>
      <c r="R482" s="71" t="inlineStr">
        <is>
          <t>press:eastmoney 2026-06: 总市值60.20亿 at HK$81.80</t>
        </is>
      </c>
      <c r="S482" s="77" t="n">
        <v>2007.6</v>
      </c>
      <c r="T482" s="78" t="n">
        <v>7</v>
      </c>
      <c r="U482" s="79" t="n">
        <v>34.66</v>
      </c>
      <c r="V482" s="80" t="n">
        <v>91</v>
      </c>
      <c r="W482" s="75" t="n">
        <v>10</v>
      </c>
      <c r="X482" s="71" t="inlineStr">
        <is>
          <t>NO</t>
        </is>
      </c>
      <c r="Y482" s="76" t="n">
        <v>726.91</v>
      </c>
      <c r="Z482" s="76" t="n">
        <v>8886240</v>
      </c>
      <c r="AA482" s="75" t="n">
        <v>12.07</v>
      </c>
      <c r="AB482" s="71" t="inlineStr">
        <is>
          <t>Foresight Fund Management Company Limited; Key Broad Future Limited; LBC HK Opportunity Fund Limited; Panjing Harbourview Investment Fund; Sage Partners Master Fund; Taikang Life Insurance Co., Ltd</t>
        </is>
      </c>
      <c r="AC482" s="71" t="inlineStr">
        <is>
          <t>foresight;key;lbc;panjing;sage;taikang</t>
        </is>
      </c>
      <c r="AD482" s="75" t="n">
        <v>7.5</v>
      </c>
      <c r="AE482" s="71" t="inlineStr">
        <is>
          <t>lapsed</t>
        </is>
      </c>
      <c r="AF482" s="71" t="n"/>
      <c r="AG482" s="71" t="inlineStr">
        <is>
          <t>CLSA Limited</t>
        </is>
      </c>
      <c r="AH482" s="71" t="inlineStr">
        <is>
          <t>CLSA</t>
        </is>
      </c>
      <c r="AI482" s="81" t="n">
        <v>0</v>
      </c>
      <c r="AJ482" s="82" t="n">
        <v>-56.89</v>
      </c>
      <c r="AK482" s="82" t="n">
        <v>0</v>
      </c>
      <c r="AL482" s="82" t="n">
        <v>-56.89</v>
      </c>
      <c r="AM482" s="83" t="n">
        <v>6.07</v>
      </c>
      <c r="AN482" s="75" t="n">
        <v>57.14</v>
      </c>
      <c r="AO482" s="82" t="n">
        <v>-56.14</v>
      </c>
      <c r="AP482" s="82" t="n">
        <v>-42.52</v>
      </c>
      <c r="AQ482" s="82" t="n">
        <v>-47.11</v>
      </c>
      <c r="AR482" s="82" t="n">
        <v>1.74</v>
      </c>
      <c r="AS482" s="82" t="n">
        <v>33.33</v>
      </c>
      <c r="AT482" s="82" t="n">
        <v>22.69</v>
      </c>
      <c r="AU482" s="82" t="n">
        <v>-64.12</v>
      </c>
      <c r="AV482" s="82" t="n">
        <v>-61.81</v>
      </c>
      <c r="AW482" s="82" t="n">
        <v>-78.16</v>
      </c>
      <c r="AX482" s="82" t="n">
        <v>14.16</v>
      </c>
      <c r="AY482" s="82" t="n">
        <v>19.29</v>
      </c>
      <c r="AZ482" s="82" t="n">
        <v>19.17</v>
      </c>
      <c r="BA482" s="71" t="inlineStr">
        <is>
          <t>China Biotech ETF (HS biotech proxy)</t>
        </is>
      </c>
      <c r="BB482" s="82" t="n">
        <v>-47.11</v>
      </c>
      <c r="BC482" s="72" t="inlineStr">
        <is>
          <t>2026-09-21</t>
        </is>
      </c>
      <c r="BD482" s="73" t="n">
        <v>14.3</v>
      </c>
      <c r="BE482" s="76" t="n">
        <v>-148.6</v>
      </c>
      <c r="BF482" s="71" t="inlineStr">
        <is>
          <t>N</t>
        </is>
      </c>
      <c r="BG482" s="71" t="inlineStr">
        <is>
          <t>n/m</t>
        </is>
      </c>
      <c r="BH482" s="83" t="n"/>
      <c r="BI482" s="83" t="n"/>
      <c r="BJ482" s="83" t="n">
        <v>421</v>
      </c>
      <c r="BK482" s="84">
        <f>IF('BBG Verify'!S482="","not filed; run on terminal",'BBG Verify'!S482)</f>
        <v/>
      </c>
      <c r="BL482" s="85" t="inlineStr">
        <is>
          <t>N</t>
        </is>
      </c>
      <c r="BM482" s="86">
        <f>IF('BBG Verify'!K482="","not filed; run on terminal",'BBG Verify'!K482)</f>
        <v/>
      </c>
      <c r="BN482" s="71" t="inlineStr">
        <is>
          <t>N/A</t>
        </is>
      </c>
      <c r="BO482" s="71" t="inlineStr">
        <is>
          <t>N/A</t>
        </is>
      </c>
      <c r="BP482" s="71" t="inlineStr">
        <is>
          <t>N/A</t>
        </is>
      </c>
      <c r="BQ482" s="71" t="inlineStr">
        <is>
          <t>N/A</t>
        </is>
      </c>
      <c r="BR482" s="71" t="inlineStr">
        <is>
          <t>N/A</t>
        </is>
      </c>
      <c r="BS482" s="71" t="inlineStr">
        <is>
          <t>N/A</t>
        </is>
      </c>
      <c r="BT482" s="85" t="inlineStr">
        <is>
          <t>CITIC Securities (Hong Kong) Limited</t>
        </is>
      </c>
      <c r="BU482" s="71" t="inlineStr">
        <is>
          <t>CITIC Securities (Hong Kong) Limited</t>
        </is>
      </c>
      <c r="BV482" s="71" t="inlineStr">
        <is>
          <t>CLSA Limited</t>
        </is>
      </c>
      <c r="BW482" s="71" t="inlineStr">
        <is>
          <t>CLSA Limited</t>
        </is>
      </c>
      <c r="BX482" s="87">
        <f>HYPERLINK("https://www1.hkexnews.hk/listedco/listconews/sehk/2026/0612/2026061200083.pdf","prospectus")</f>
        <v/>
      </c>
      <c r="BY482" s="87">
        <f>HYPERLINK("https://www1.hkexnews.hk/listedco/listconews/sehk/2026/0622/2026062201627.pdf","allotment")</f>
        <v/>
      </c>
      <c r="BZ482" s="87">
        <f>HYPERLINK("https://www1.hkexnews.hk/listedco/listconews/sehk/2026/0717/2026071700724.pdf","stabilisation")</f>
        <v/>
      </c>
      <c r="CA482" s="85" t="n"/>
      <c r="CB482" s="71" t="inlineStr">
        <is>
          <t>P/E: loss-making at IPO, use P/S; greenshoe: outcome published; expiry date not in the notice; range low: maximum offer price only, no floor published; P/S: 421x on HK$14.3m revenue, effectively pre-revenue; not comparable</t>
        </is>
      </c>
    </row>
    <row r="483" ht="15" customHeight="1">
      <c r="A483" s="70" t="inlineStr">
        <is>
          <t>6067</t>
        </is>
      </c>
      <c r="B483" s="71" t="inlineStr">
        <is>
          <t>SENIOR MATERIAL</t>
        </is>
      </c>
      <c r="C483" s="71" t="inlineStr">
        <is>
          <t>星源材質</t>
        </is>
      </c>
      <c r="D483" s="71" t="inlineStr">
        <is>
          <t>Industrials</t>
        </is>
      </c>
      <c r="E483" s="71" t="inlineStr">
        <is>
          <t>Batteries / energy storage</t>
        </is>
      </c>
      <c r="F483" s="71" t="inlineStr">
        <is>
          <t>Battery Products</t>
        </is>
      </c>
      <c r="G483" s="71" t="inlineStr">
        <is>
          <t>Standard</t>
        </is>
      </c>
      <c r="H483" s="72" t="n">
        <v>46196</v>
      </c>
      <c r="I483" s="73" t="n">
        <v>1342.7</v>
      </c>
      <c r="J483" s="71" t="inlineStr">
        <is>
          <t>gross (stated)</t>
        </is>
      </c>
      <c r="K483" s="74" t="n"/>
      <c r="L483" s="74" t="n">
        <v>8.98</v>
      </c>
      <c r="M483" s="74" t="n">
        <v>8.98</v>
      </c>
      <c r="N483" s="71" t="inlineStr">
        <is>
          <t>Y</t>
        </is>
      </c>
      <c r="O483" s="75" t="n">
        <v>100</v>
      </c>
      <c r="P483" s="75" t="n"/>
      <c r="Q483" s="76" t="n">
        <v>13427.2</v>
      </c>
      <c r="R483" s="71" t="inlineStr">
        <is>
          <t>derived:price x shares upon listing</t>
        </is>
      </c>
      <c r="S483" s="77" t="n">
        <v>1563.16</v>
      </c>
      <c r="T483" s="78" t="n">
        <v>14.34</v>
      </c>
      <c r="U483" s="79" t="n">
        <v>45.14</v>
      </c>
      <c r="V483" s="80" t="n">
        <v>104</v>
      </c>
      <c r="W483" s="75" t="n">
        <v>10</v>
      </c>
      <c r="X483" s="71" t="inlineStr">
        <is>
          <t>NA</t>
        </is>
      </c>
      <c r="Y483" s="76" t="n">
        <v>736.61</v>
      </c>
      <c r="Z483" s="76" t="n">
        <v>82028592</v>
      </c>
      <c r="AA483" s="75" t="n">
        <v>5.49</v>
      </c>
      <c r="AB483" s="71"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AC483" s="71" t="inlineStr">
        <is>
          <t>bona;china-international;fullgoal;gf;harvest;jinkosolar;mondeomax;mr-chen;sheen;sinsanwa;springs;sunwoda;taikang</t>
        </is>
      </c>
      <c r="AD483" s="75" t="n"/>
      <c r="AE483" s="71" t="n"/>
      <c r="AF483" s="71" t="n"/>
      <c r="AG483" s="71" t="n"/>
      <c r="AH483" s="71" t="n"/>
      <c r="AI483" s="81" t="n">
        <v>40.757</v>
      </c>
      <c r="AJ483" s="82" t="n">
        <v>22.49</v>
      </c>
      <c r="AK483" s="82" t="n">
        <v>38.42</v>
      </c>
      <c r="AL483" s="82" t="n">
        <v>-11.51</v>
      </c>
      <c r="AM483" s="83" t="n">
        <v>4.44</v>
      </c>
      <c r="AN483" s="75" t="n">
        <v>19.39</v>
      </c>
      <c r="AO483" s="82" t="n">
        <v>10.24</v>
      </c>
      <c r="AP483" s="82" t="n">
        <v>-12.25</v>
      </c>
      <c r="AQ483" s="82" t="n">
        <v>-12.31</v>
      </c>
      <c r="AR483" s="82" t="n">
        <v>-10</v>
      </c>
      <c r="AS483" s="82" t="n">
        <v>-28.36</v>
      </c>
      <c r="AT483" s="82" t="n">
        <v>-28.41</v>
      </c>
      <c r="AU483" s="82" t="n">
        <v>13.81</v>
      </c>
      <c r="AV483" s="82" t="n">
        <v>-18.87</v>
      </c>
      <c r="AW483" s="82" t="n">
        <v>-16.36</v>
      </c>
      <c r="AX483" s="82" t="n">
        <v>-38.07</v>
      </c>
      <c r="AY483" s="82" t="n">
        <v>6.62</v>
      </c>
      <c r="AZ483" s="82" t="n">
        <v>9.710000000000001</v>
      </c>
      <c r="BA483" s="71" t="inlineStr">
        <is>
          <t>Hang Seng Commerce &amp; Industry sub-index</t>
        </is>
      </c>
      <c r="BB483" s="82" t="n">
        <v>-12.31</v>
      </c>
      <c r="BC483" s="72" t="inlineStr">
        <is>
          <t>2026-09-21</t>
        </is>
      </c>
      <c r="BD483" s="73" t="n">
        <v>4484.5</v>
      </c>
      <c r="BE483" s="76" t="n">
        <v>157.4</v>
      </c>
      <c r="BF483" s="71" t="inlineStr">
        <is>
          <t>Y</t>
        </is>
      </c>
      <c r="BG483" s="83" t="n">
        <v>85.3</v>
      </c>
      <c r="BH483" s="83" t="n">
        <v>297.2</v>
      </c>
      <c r="BI483" s="83" t="n">
        <v>224.7</v>
      </c>
      <c r="BJ483" s="83" t="n">
        <v>3</v>
      </c>
      <c r="BK483" s="84">
        <f>IF('BBG Verify'!S483="","not filed; run on terminal",'BBG Verify'!S483)</f>
        <v/>
      </c>
      <c r="BL483" s="85" t="inlineStr">
        <is>
          <t>Y</t>
        </is>
      </c>
      <c r="BM483" s="71" t="inlineStr">
        <is>
          <t>300568.SZ</t>
        </is>
      </c>
      <c r="BN483" s="82" t="n">
        <v>162.05</v>
      </c>
      <c r="BO483" s="74" t="n">
        <v>23.5319</v>
      </c>
      <c r="BP483" s="89" t="n">
        <v>1.3872</v>
      </c>
      <c r="BQ483" s="76" t="n">
        <v>28135.2</v>
      </c>
      <c r="BR483" s="84">
        <f>IF('BBG Verify'!Q483="","run on terminal",'BBG Verify'!Q483)</f>
        <v/>
      </c>
      <c r="BS483" s="84">
        <f>IF('BBG Verify'!R483="","run on terminal",'BBG Verify'!R483)</f>
        <v/>
      </c>
      <c r="BT483" s="85" t="inlineStr">
        <is>
          <t>China Securities (International) Corporate Finance Company Limited</t>
        </is>
      </c>
      <c r="BU483" s="71" t="inlineStr">
        <is>
          <t>China Securities (International) Corporate Finance Company Limited</t>
        </is>
      </c>
      <c r="BV483" s="71"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W483" s="71"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X483" s="87">
        <f>HYPERLINK("https://www1.hkexnews.hk/listedco/listconews/sehk/2026/0612/2026061200031.pdf","prospectus")</f>
        <v/>
      </c>
      <c r="BY483" s="87">
        <f>HYPERLINK("https://www1.hkexnews.hk/listedco/listconews/sehk/2026/0622/2026062202141.pdf","allotment")</f>
        <v/>
      </c>
      <c r="BZ483" s="71" t="n"/>
      <c r="CA483" s="85" t="n"/>
      <c r="CB483" s="71" t="inlineStr">
        <is>
          <t>greenshoe: no over-allotment option; range low: maximum offer price only, no floor published; A/H: Jun 2026 H listing (battery separators); greenshoe size: no over-allotment option; stabilising manager: no over-allotment option, so none appointed</t>
        </is>
      </c>
    </row>
    <row r="484" ht="15" customHeight="1">
      <c r="A484" s="70" t="inlineStr">
        <is>
          <t>2335</t>
        </is>
      </c>
      <c r="B484" s="71" t="inlineStr">
        <is>
          <t>MICOT PHARMA-B</t>
        </is>
      </c>
      <c r="C484" s="71" t="inlineStr">
        <is>
          <t>麥科醫藥－Ｂ</t>
        </is>
      </c>
      <c r="D484" s="71" t="inlineStr">
        <is>
          <t>Healthcare</t>
        </is>
      </c>
      <c r="E484" s="71" t="inlineStr">
        <is>
          <t>Biotech pre-revenue (18A)</t>
        </is>
      </c>
      <c r="F484" s="71" t="inlineStr">
        <is>
          <t>Biotechnology - Pharmaceuticals</t>
        </is>
      </c>
      <c r="G484" s="71" t="inlineStr">
        <is>
          <t>18A</t>
        </is>
      </c>
      <c r="H484" s="72" t="n">
        <v>46197</v>
      </c>
      <c r="I484" s="73" t="n">
        <v>1056.6</v>
      </c>
      <c r="J484" s="71" t="inlineStr">
        <is>
          <t>gross (stated)</t>
        </is>
      </c>
      <c r="K484" s="74" t="n">
        <v>18.2</v>
      </c>
      <c r="L484" s="74" t="n">
        <v>21</v>
      </c>
      <c r="M484" s="74" t="n">
        <v>18.2</v>
      </c>
      <c r="N484" s="71" t="inlineStr">
        <is>
          <t>N</t>
        </is>
      </c>
      <c r="O484" s="75" t="n">
        <v>86.7</v>
      </c>
      <c r="P484" s="75" t="n">
        <v>0</v>
      </c>
      <c r="Q484" s="76" t="n">
        <v>6037.7</v>
      </c>
      <c r="R484" s="71" t="inlineStr">
        <is>
          <t>derived:price x shares upon listing</t>
        </is>
      </c>
      <c r="S484" s="77" t="n">
        <v>1181.46</v>
      </c>
      <c r="T484" s="78" t="n">
        <v>2.52</v>
      </c>
      <c r="U484" s="79" t="n">
        <v>42.51</v>
      </c>
      <c r="V484" s="80" t="n">
        <v>73</v>
      </c>
      <c r="W484" s="75" t="n">
        <v>10</v>
      </c>
      <c r="X484" s="71" t="inlineStr">
        <is>
          <t>NA</t>
        </is>
      </c>
      <c r="Y484" s="76" t="n">
        <v>607.4400000000001</v>
      </c>
      <c r="Z484" s="76" t="n">
        <v>33375475</v>
      </c>
      <c r="AA484" s="75" t="n">
        <v>10.06</v>
      </c>
      <c r="AB484" s="71" t="inlineStr">
        <is>
          <t>Everest Medicines Limited; Qiyuan High-tech Innovation Investment (Hong Kong) Limited; Summit Capital Limited</t>
        </is>
      </c>
      <c r="AC484" s="71" t="inlineStr">
        <is>
          <t>everest;qiyuan;summit</t>
        </is>
      </c>
      <c r="AD484" s="75" t="n">
        <v>8.24</v>
      </c>
      <c r="AE484" s="71" t="n"/>
      <c r="AF484" s="71" t="inlineStr">
        <is>
          <t>2026-07-18</t>
        </is>
      </c>
      <c r="AG484" s="71" t="inlineStr">
        <is>
          <t>CCB International Capital Limited</t>
        </is>
      </c>
      <c r="AH484" s="71" t="inlineStr">
        <is>
          <t>CCB</t>
        </is>
      </c>
      <c r="AI484" s="81" t="n">
        <v>95.05500000000001</v>
      </c>
      <c r="AJ484" s="82" t="n">
        <v>102.75</v>
      </c>
      <c r="AK484" s="82" t="n">
        <v>86.92</v>
      </c>
      <c r="AL484" s="82" t="n">
        <v>8.470000000000001</v>
      </c>
      <c r="AM484" s="83" t="n">
        <v>1.95</v>
      </c>
      <c r="AN484" s="75" t="n">
        <v>14.4</v>
      </c>
      <c r="AO484" s="82" t="n">
        <v>97.58</v>
      </c>
      <c r="AP484" s="82" t="n">
        <v>86.81</v>
      </c>
      <c r="AQ484" s="82" t="n">
        <v>21.76</v>
      </c>
      <c r="AR484" s="82" t="n">
        <v>-2.55</v>
      </c>
      <c r="AS484" s="82" t="n">
        <v>-7.86</v>
      </c>
      <c r="AT484" s="82" t="n">
        <v>-39.95</v>
      </c>
      <c r="AU484" s="82" t="n">
        <v>86.28</v>
      </c>
      <c r="AV484" s="82" t="n">
        <v>70.06</v>
      </c>
      <c r="AW484" s="82" t="n"/>
      <c r="AX484" s="82" t="n">
        <v>-21.18</v>
      </c>
      <c r="AY484" s="82" t="n">
        <v>16.75</v>
      </c>
      <c r="AZ484" s="82" t="n">
        <v>13.32</v>
      </c>
      <c r="BA484" s="71" t="inlineStr">
        <is>
          <t>China Biotech ETF (HS biotech proxy)</t>
        </is>
      </c>
      <c r="BB484" s="82" t="n">
        <v>23.41</v>
      </c>
      <c r="BC484" s="72" t="inlineStr">
        <is>
          <t>2026-09-21</t>
        </is>
      </c>
      <c r="BD484" s="73" t="n">
        <v>2.2</v>
      </c>
      <c r="BE484" s="76" t="n">
        <v>-203.4</v>
      </c>
      <c r="BF484" s="71" t="inlineStr">
        <is>
          <t>N</t>
        </is>
      </c>
      <c r="BG484" s="71" t="inlineStr">
        <is>
          <t>n/m</t>
        </is>
      </c>
      <c r="BH484" s="83" t="n"/>
      <c r="BI484" s="83" t="n"/>
      <c r="BJ484" s="83" t="n">
        <v>2744.4</v>
      </c>
      <c r="BK484" s="84">
        <f>IF('BBG Verify'!S484="","not filed; run on terminal",'BBG Verify'!S484)</f>
        <v/>
      </c>
      <c r="BL484" s="85" t="inlineStr">
        <is>
          <t>N</t>
        </is>
      </c>
      <c r="BM484" s="86">
        <f>IF('BBG Verify'!K484="","not filed; run on terminal",'BBG Verify'!K484)</f>
        <v/>
      </c>
      <c r="BN484" s="71" t="inlineStr">
        <is>
          <t>N/A</t>
        </is>
      </c>
      <c r="BO484" s="71" t="inlineStr">
        <is>
          <t>N/A</t>
        </is>
      </c>
      <c r="BP484" s="71" t="inlineStr">
        <is>
          <t>N/A</t>
        </is>
      </c>
      <c r="BQ484" s="71" t="inlineStr">
        <is>
          <t>N/A</t>
        </is>
      </c>
      <c r="BR484" s="71" t="inlineStr">
        <is>
          <t>N/A</t>
        </is>
      </c>
      <c r="BS484" s="71" t="inlineStr">
        <is>
          <t>N/A</t>
        </is>
      </c>
      <c r="BT484" s="85" t="n"/>
      <c r="BU484" s="71" t="inlineStr">
        <is>
          <t>CCB International Capital Limited; China Merchants Securities (HK) Company Limited</t>
        </is>
      </c>
      <c r="BV484" s="71" t="inlineStr">
        <is>
          <t>CCB International Capital Limited; China Merchants Securities (HK) Company Limited; Jakota Securities Group Limited; Ruibang Securities Limited; Sinolink Securities (Hong Kong) Company Limited; Somerley Capital Limited</t>
        </is>
      </c>
      <c r="BW484" s="71"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X484" s="87">
        <f>HYPERLINK("https://www1.hkexnews.hk/listedco/listconews/sehk/2026/0615/2026061500009.pdf","prospectus")</f>
        <v/>
      </c>
      <c r="BY484" s="87">
        <f>HYPERLINK("https://www1.hkexnews.hk/listedco/listconews/sehk/2026/0623/2026062301227.pdf","allotment")</f>
        <v/>
      </c>
      <c r="BZ484" s="71" t="n"/>
      <c r="CA484" s="85" t="n"/>
      <c r="CB484" s="71" t="inlineStr">
        <is>
          <t>P/E: loss-making at IPO, use P/S; greenshoe: end-of-stabilisation notice not found; sponsor: English name not in the filing; AAStocks 保薦人 shown; P/S: 2,744x on HK$2.2m revenue, effectively pre-revenue; not comparable; alpha/index: sector index has no bar for the 3m window</t>
        </is>
      </c>
    </row>
    <row r="485" ht="15" customHeight="1">
      <c r="A485" s="70" t="inlineStr">
        <is>
          <t>6106</t>
        </is>
      </c>
      <c r="B485" s="71" t="inlineStr">
        <is>
          <t>SEER TECH</t>
        </is>
      </c>
      <c r="C485" s="71" t="inlineStr">
        <is>
          <t>仙工智能</t>
        </is>
      </c>
      <c r="D485" s="71" t="inlineStr">
        <is>
          <t>Tech/AI</t>
        </is>
      </c>
      <c r="E485" s="71" t="inlineStr">
        <is>
          <t>Robotics &amp; autonomous driving</t>
        </is>
      </c>
      <c r="F485" s="71" t="inlineStr">
        <is>
          <t>Advanced hardware and software</t>
        </is>
      </c>
      <c r="G485" s="71" t="inlineStr">
        <is>
          <t>18C</t>
        </is>
      </c>
      <c r="H485" s="72" t="n">
        <v>46197</v>
      </c>
      <c r="I485" s="73" t="n">
        <v>1066.5</v>
      </c>
      <c r="J485" s="71" t="inlineStr">
        <is>
          <t>gross (stated)</t>
        </is>
      </c>
      <c r="K485" s="74" t="n"/>
      <c r="L485" s="74" t="n">
        <v>101.6</v>
      </c>
      <c r="M485" s="74" t="n">
        <v>101.6</v>
      </c>
      <c r="N485" s="71" t="inlineStr">
        <is>
          <t>Y</t>
        </is>
      </c>
      <c r="O485" s="75" t="n">
        <v>100</v>
      </c>
      <c r="P485" s="75" t="n"/>
      <c r="Q485" s="76" t="n">
        <v>9902.5</v>
      </c>
      <c r="R485" s="71" t="inlineStr">
        <is>
          <t>derived:deal size / offer % of enlarged capital</t>
        </is>
      </c>
      <c r="S485" s="77" t="n">
        <v>5934.56</v>
      </c>
      <c r="T485" s="78" t="n">
        <v>21.29</v>
      </c>
      <c r="U485" s="79" t="n">
        <v>43.2</v>
      </c>
      <c r="V485" s="80" t="n">
        <v>134</v>
      </c>
      <c r="W485" s="75" t="n">
        <v>20</v>
      </c>
      <c r="X485" s="71" t="inlineStr">
        <is>
          <t>YES</t>
        </is>
      </c>
      <c r="Y485" s="76" t="n">
        <v>605.77</v>
      </c>
      <c r="Z485" s="76" t="n">
        <v>5962466</v>
      </c>
      <c r="AA485" s="75" t="n">
        <v>6.12</v>
      </c>
      <c r="AB485" s="71" t="inlineStr">
        <is>
          <t>3W Fund Management Limited; GF Fund Management Co., Ltd; HHLR Advisors, Ltd; Nova Kerry Inc; Ruihua (International) Investment Limited; Splendid Zhonghe (Tianjin) Investment Management Co., Ltd; Yishao Capital Management (HK) Limited; Yuanbao Family Office Limited</t>
        </is>
      </c>
      <c r="AC485" s="71" t="inlineStr">
        <is>
          <t>3w;gf;hhlr;nova;ruihua;splendid;yishao;yuanbao</t>
        </is>
      </c>
      <c r="AD485" s="75" t="n">
        <v>15</v>
      </c>
      <c r="AE485" s="71" t="inlineStr">
        <is>
          <t>lapsed</t>
        </is>
      </c>
      <c r="AF485" s="71" t="n"/>
      <c r="AG485" s="71" t="inlineStr">
        <is>
          <t>China International Capital Corporation Hong Kong Securities Limited</t>
        </is>
      </c>
      <c r="AH485" s="71" t="inlineStr">
        <is>
          <t>China International</t>
        </is>
      </c>
      <c r="AI485" s="81" t="n">
        <v>-7.283</v>
      </c>
      <c r="AJ485" s="82" t="n">
        <v>4.33</v>
      </c>
      <c r="AK485" s="82" t="n">
        <v>0</v>
      </c>
      <c r="AL485" s="82" t="n">
        <v>4.33</v>
      </c>
      <c r="AM485" s="83" t="n">
        <v>3</v>
      </c>
      <c r="AN485" s="75" t="n">
        <v>38.29</v>
      </c>
      <c r="AO485" s="82" t="n">
        <v>-19.54</v>
      </c>
      <c r="AP485" s="82" t="n">
        <v>-44.69</v>
      </c>
      <c r="AQ485" s="82" t="n">
        <v>-31.3</v>
      </c>
      <c r="AR485" s="82" t="n">
        <v>-22.88</v>
      </c>
      <c r="AS485" s="82" t="n">
        <v>-46.99</v>
      </c>
      <c r="AT485" s="82" t="n">
        <v>-34.15</v>
      </c>
      <c r="AU485" s="82" t="n">
        <v>-20.7</v>
      </c>
      <c r="AV485" s="82" t="n">
        <v>-49.98</v>
      </c>
      <c r="AW485" s="82" t="n"/>
      <c r="AX485" s="82" t="n">
        <v>-50.23</v>
      </c>
      <c r="AY485" s="82" t="n">
        <v>5.29</v>
      </c>
      <c r="AZ485" s="82" t="n">
        <v>3.24</v>
      </c>
      <c r="BA485" s="71" t="inlineStr">
        <is>
          <t>HSTECH (Hang Seng TECH ETF)</t>
        </is>
      </c>
      <c r="BB485" s="82" t="n">
        <v>-28.35</v>
      </c>
      <c r="BC485" s="72" t="inlineStr">
        <is>
          <t>2026-09-21</t>
        </is>
      </c>
      <c r="BD485" s="73" t="n">
        <v>486.1</v>
      </c>
      <c r="BE485" s="76" t="n">
        <v>-51.8</v>
      </c>
      <c r="BF485" s="71" t="inlineStr">
        <is>
          <t>N</t>
        </is>
      </c>
      <c r="BG485" s="71" t="inlineStr">
        <is>
          <t>n/m</t>
        </is>
      </c>
      <c r="BH485" s="83" t="n"/>
      <c r="BI485" s="83" t="n"/>
      <c r="BJ485" s="83" t="n">
        <v>20.4</v>
      </c>
      <c r="BK485" s="84">
        <f>IF('BBG Verify'!S485="","not filed; run on terminal",'BBG Verify'!S485)</f>
        <v/>
      </c>
      <c r="BL485" s="85" t="inlineStr">
        <is>
          <t>N</t>
        </is>
      </c>
      <c r="BM485" s="86">
        <f>IF('BBG Verify'!K485="","not filed; run on terminal",'BBG Verify'!K485)</f>
        <v/>
      </c>
      <c r="BN485" s="71" t="inlineStr">
        <is>
          <t>N/A</t>
        </is>
      </c>
      <c r="BO485" s="71" t="inlineStr">
        <is>
          <t>N/A</t>
        </is>
      </c>
      <c r="BP485" s="71" t="inlineStr">
        <is>
          <t>N/A</t>
        </is>
      </c>
      <c r="BQ485" s="71" t="inlineStr">
        <is>
          <t>N/A</t>
        </is>
      </c>
      <c r="BR485" s="71" t="inlineStr">
        <is>
          <t>N/A</t>
        </is>
      </c>
      <c r="BS485" s="71" t="inlineStr">
        <is>
          <t>N/A</t>
        </is>
      </c>
      <c r="BT485" s="85" t="n"/>
      <c r="BU485" s="71" t="inlineStr">
        <is>
          <t>China International Capital Corporation Hong Kong Securities Limited</t>
        </is>
      </c>
      <c r="BV485" s="71"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W485" s="71"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X485" s="87">
        <f>HYPERLINK("https://www1.hkexnews.hk/listedco/listconews/sehk/2026/0615/2026061500013.pdf","prospectus")</f>
        <v/>
      </c>
      <c r="BY485" s="87">
        <f>HYPERLINK("https://www1.hkexnews.hk/listedco/listconews/sehk/2026/0623/2026062302143.pdf","allotment")</f>
        <v/>
      </c>
      <c r="BZ485" s="87">
        <f>HYPERLINK("https://www1.hkexnews.hk/listedco/listconews/sehk/2026/0719/2026071900001.pdf","stabilisation")</f>
        <v/>
      </c>
      <c r="CA485" s="85" t="n"/>
      <c r="CB485" s="71" t="inlineStr">
        <is>
          <t>P/E: loss-making at IPO, use P/S; greenshoe: outcome published; expiry date not in the notice; range low: maximum offer price only, no floor published; sponsor: English name not in the filing; AAStocks 保薦人 shown; alpha/index: sector index has no bar for the 3m window</t>
        </is>
      </c>
    </row>
    <row r="486" ht="15" customHeight="1">
      <c r="A486" s="70" t="inlineStr">
        <is>
          <t>2272</t>
        </is>
      </c>
      <c r="B486" s="71" t="inlineStr">
        <is>
          <t>KEYTOP PARKING</t>
        </is>
      </c>
      <c r="C486" s="71" t="inlineStr">
        <is>
          <t>科拓股份</t>
        </is>
      </c>
      <c r="D486" s="71" t="inlineStr">
        <is>
          <t>Tech/AI</t>
        </is>
      </c>
      <c r="E486" s="71" t="inlineStr">
        <is>
          <t>SaaS / enterprise software</t>
        </is>
      </c>
      <c r="F486" s="71" t="inlineStr">
        <is>
          <t>Application Software</t>
        </is>
      </c>
      <c r="G486" s="71" t="inlineStr">
        <is>
          <t>Standard</t>
        </is>
      </c>
      <c r="H486" s="72" t="n">
        <v>46199</v>
      </c>
      <c r="I486" s="73" t="n">
        <v>399.9</v>
      </c>
      <c r="J486" s="71" t="inlineStr">
        <is>
          <t>gross (stated)</t>
        </is>
      </c>
      <c r="K486" s="74" t="n"/>
      <c r="L486" s="74" t="n">
        <v>39.55</v>
      </c>
      <c r="M486" s="74" t="n">
        <v>39.55</v>
      </c>
      <c r="N486" s="71" t="inlineStr">
        <is>
          <t>Y</t>
        </is>
      </c>
      <c r="O486" s="75" t="n">
        <v>100</v>
      </c>
      <c r="P486" s="75" t="n"/>
      <c r="Q486" s="76" t="n">
        <v>3999.4</v>
      </c>
      <c r="R486" s="71" t="inlineStr">
        <is>
          <t>derived:price x shares upon listing</t>
        </is>
      </c>
      <c r="S486" s="77" t="n">
        <v>2115.21</v>
      </c>
      <c r="T486" s="78" t="n">
        <v>5.56</v>
      </c>
      <c r="U486" s="79" t="n">
        <v>0</v>
      </c>
      <c r="V486" s="80" t="n">
        <v>106</v>
      </c>
      <c r="W486" s="75" t="n">
        <v>10</v>
      </c>
      <c r="X486" s="71" t="inlineStr">
        <is>
          <t>NA</t>
        </is>
      </c>
      <c r="Y486" s="76" t="n">
        <v>399.9</v>
      </c>
      <c r="Z486" s="76" t="n">
        <v>10112280</v>
      </c>
      <c r="AA486" s="75" t="n">
        <v>10</v>
      </c>
      <c r="AB486" s="71" t="n"/>
      <c r="AC486" s="71" t="n"/>
      <c r="AD486" s="75" t="n">
        <v>10</v>
      </c>
      <c r="AE486" s="71" t="n"/>
      <c r="AF486" s="71" t="n"/>
      <c r="AG486" s="71" t="inlineStr">
        <is>
          <t>China International Capital Corporation Hong Kong Securities Limited</t>
        </is>
      </c>
      <c r="AH486" s="71" t="inlineStr">
        <is>
          <t>China International</t>
        </is>
      </c>
      <c r="AI486" s="81" t="n">
        <v>203.161</v>
      </c>
      <c r="AJ486" s="82" t="n">
        <v>203.92</v>
      </c>
      <c r="AK486" s="82" t="n">
        <v>178.38</v>
      </c>
      <c r="AL486" s="82" t="n">
        <v>9.17</v>
      </c>
      <c r="AM486" s="83" t="n">
        <v>2</v>
      </c>
      <c r="AN486" s="75" t="n">
        <v>11.53</v>
      </c>
      <c r="AO486" s="82" t="n">
        <v>199.87</v>
      </c>
      <c r="AP486" s="82" t="n">
        <v>176.86</v>
      </c>
      <c r="AQ486" s="82" t="n"/>
      <c r="AR486" s="82" t="n">
        <v>-1.33</v>
      </c>
      <c r="AS486" s="82" t="n">
        <v>-8.9</v>
      </c>
      <c r="AT486" s="82" t="n"/>
      <c r="AU486" s="82" t="n">
        <v>196.96</v>
      </c>
      <c r="AV486" s="82" t="n">
        <v>169.61</v>
      </c>
      <c r="AW486" s="82" t="n"/>
      <c r="AX486" s="82" t="n">
        <v>-19.99</v>
      </c>
      <c r="AY486" s="82" t="n">
        <v>7.25</v>
      </c>
      <c r="AZ486" s="82" t="n">
        <v>11.09</v>
      </c>
      <c r="BA486" s="71" t="inlineStr">
        <is>
          <t>HSTECH (Hang Seng TECH ETF)</t>
        </is>
      </c>
      <c r="BB486" s="82" t="n">
        <v>104.93</v>
      </c>
      <c r="BC486" s="72" t="inlineStr">
        <is>
          <t>2026-09-21</t>
        </is>
      </c>
      <c r="BD486" s="73" t="n">
        <v>913.7</v>
      </c>
      <c r="BE486" s="76" t="n">
        <v>103</v>
      </c>
      <c r="BF486" s="71" t="inlineStr">
        <is>
          <t>Y</t>
        </is>
      </c>
      <c r="BG486" s="83" t="n">
        <v>38.8</v>
      </c>
      <c r="BH486" s="83" t="n"/>
      <c r="BI486" s="83" t="n"/>
      <c r="BJ486" s="83" t="n">
        <v>4.4</v>
      </c>
      <c r="BK486" s="84">
        <f>IF('BBG Verify'!S486="","not filed; run on terminal",'BBG Verify'!S486)</f>
        <v/>
      </c>
      <c r="BL486" s="85" t="inlineStr">
        <is>
          <t>N</t>
        </is>
      </c>
      <c r="BM486" s="86">
        <f>IF('BBG Verify'!K486="","not filed; run on terminal",'BBG Verify'!K486)</f>
        <v/>
      </c>
      <c r="BN486" s="71" t="inlineStr">
        <is>
          <t>N/A</t>
        </is>
      </c>
      <c r="BO486" s="71" t="inlineStr">
        <is>
          <t>N/A</t>
        </is>
      </c>
      <c r="BP486" s="71" t="inlineStr">
        <is>
          <t>N/A</t>
        </is>
      </c>
      <c r="BQ486" s="71" t="inlineStr">
        <is>
          <t>N/A</t>
        </is>
      </c>
      <c r="BR486" s="71" t="inlineStr">
        <is>
          <t>N/A</t>
        </is>
      </c>
      <c r="BS486" s="71" t="inlineStr">
        <is>
          <t>N/A</t>
        </is>
      </c>
      <c r="BT486" s="85" t="inlineStr">
        <is>
          <t>China International Capital Corporation Hong Kong Securities Limited; Sponsor-OCs China International Capital Corporation Hong Kong Securities Limited; CMBC Securities Company Limited</t>
        </is>
      </c>
      <c r="BU486" s="71" t="inlineStr">
        <is>
          <t>China International Capital Corporation Hong Kong Securities Limited; CMBC International Capital Limited</t>
        </is>
      </c>
      <c r="BV486" s="71"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W486" s="71"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X486" s="87">
        <f>HYPERLINK("https://www1.hkexnews.hk/listedco/listconews/sehk/2026/0617/2026061700071.pdf","prospectus")</f>
        <v/>
      </c>
      <c r="BY486" s="87">
        <f>HYPERLINK("https://www1.hkexnews.hk/listedco/listconews/sehk/2026/0625/2026062501916.pdf","allotment")</f>
        <v/>
      </c>
      <c r="BZ486" s="71" t="n"/>
      <c r="CA486" s="85" t="n"/>
      <c r="CB486" s="71" t="inlineStr">
        <is>
          <t>greenshoe: end-of-stabilisation notice not found; range low: maximum offer price only, no floor published; 3m: listed less than 3m ago; cornerstone list: no cornerstone tranche; alpha/index: 3m window not elapsed</t>
        </is>
      </c>
    </row>
    <row r="487" ht="15" customHeight="1">
      <c r="A487" s="70" t="inlineStr">
        <is>
          <t>1956</t>
        </is>
      </c>
      <c r="B487" s="71" t="inlineStr">
        <is>
          <t>WENGE AI</t>
        </is>
      </c>
      <c r="C487" s="71" t="inlineStr">
        <is>
          <t>中科聞歌</t>
        </is>
      </c>
      <c r="D487" s="71" t="inlineStr">
        <is>
          <t>Tech/AI</t>
        </is>
      </c>
      <c r="E487" s="71" t="inlineStr">
        <is>
          <t>AI application / agent software</t>
        </is>
      </c>
      <c r="F487" s="71" t="inlineStr">
        <is>
          <t>Advanced hardware and software</t>
        </is>
      </c>
      <c r="G487" s="71" t="inlineStr">
        <is>
          <t>18C</t>
        </is>
      </c>
      <c r="H487" s="72" t="n">
        <v>46199</v>
      </c>
      <c r="I487" s="73" t="n">
        <v>900.5</v>
      </c>
      <c r="J487" s="71" t="inlineStr">
        <is>
          <t>gross (stated)</t>
        </is>
      </c>
      <c r="K487" s="74" t="n"/>
      <c r="L487" s="74" t="n">
        <v>60.7</v>
      </c>
      <c r="M487" s="74" t="n">
        <v>60.7</v>
      </c>
      <c r="N487" s="71" t="inlineStr">
        <is>
          <t>Y</t>
        </is>
      </c>
      <c r="O487" s="75" t="n">
        <v>100</v>
      </c>
      <c r="P487" s="75" t="n"/>
      <c r="Q487" s="76" t="n">
        <v>10507.6</v>
      </c>
      <c r="R487" s="71" t="inlineStr">
        <is>
          <t>derived:deal size / offer % of enlarged capital</t>
        </is>
      </c>
      <c r="S487" s="77" t="n">
        <v>5966.78</v>
      </c>
      <c r="T487" s="78" t="n">
        <v>20.7</v>
      </c>
      <c r="U487" s="79" t="n">
        <v>26.97</v>
      </c>
      <c r="V487" s="80" t="n">
        <v>147</v>
      </c>
      <c r="W487" s="75" t="n">
        <v>20</v>
      </c>
      <c r="X487" s="71" t="inlineStr">
        <is>
          <t>YES</t>
        </is>
      </c>
      <c r="Y487" s="76" t="n">
        <v>657.64</v>
      </c>
      <c r="Z487" s="76" t="n">
        <v>10833708</v>
      </c>
      <c r="AA487" s="75" t="n">
        <v>6.26</v>
      </c>
      <c r="AB487" s="71" t="inlineStr">
        <is>
          <t>China Orient Enhanced Income Fund; CMBC INTERNATIONAL INVESTMENT (HK) LIMITED; First Seafront Asset Management Limited; Guohui (HK) Holdings Co., Limited; Harvest Global Investments Limited; Huatai Capital Investment Limited</t>
        </is>
      </c>
      <c r="AC487" s="71" t="inlineStr">
        <is>
          <t>orient;cmbc;first-seafront;guohui;harvest;huatai</t>
        </is>
      </c>
      <c r="AD487" s="75" t="n">
        <v>20</v>
      </c>
      <c r="AE487" s="71" t="inlineStr">
        <is>
          <t>partial</t>
        </is>
      </c>
      <c r="AF487" s="71" t="inlineStr">
        <is>
          <t>2026-07-23</t>
        </is>
      </c>
      <c r="AG487" s="71" t="inlineStr">
        <is>
          <t>China International Capital Corporation Hong Kong Securities Limited</t>
        </is>
      </c>
      <c r="AH487" s="71" t="inlineStr">
        <is>
          <t>China International</t>
        </is>
      </c>
      <c r="AI487" s="81" t="n">
        <v>90.11499999999999</v>
      </c>
      <c r="AJ487" s="82" t="n">
        <v>84.02</v>
      </c>
      <c r="AK487" s="82" t="n">
        <v>81.22</v>
      </c>
      <c r="AL487" s="82" t="n">
        <v>1.55</v>
      </c>
      <c r="AM487" s="83" t="n">
        <v>2.13</v>
      </c>
      <c r="AN487" s="75" t="n">
        <v>18.18</v>
      </c>
      <c r="AO487" s="82" t="n">
        <v>30.07</v>
      </c>
      <c r="AP487" s="82" t="n">
        <v>0.99</v>
      </c>
      <c r="AQ487" s="82" t="n"/>
      <c r="AR487" s="82" t="n">
        <v>-29.32</v>
      </c>
      <c r="AS487" s="82" t="n">
        <v>-45.12</v>
      </c>
      <c r="AT487" s="82" t="n"/>
      <c r="AU487" s="82" t="n">
        <v>27.16</v>
      </c>
      <c r="AV487" s="82" t="n">
        <v>-6.26</v>
      </c>
      <c r="AW487" s="82" t="n"/>
      <c r="AX487" s="82" t="n">
        <v>-56.21</v>
      </c>
      <c r="AY487" s="82" t="n">
        <v>7.25</v>
      </c>
      <c r="AZ487" s="82" t="n">
        <v>11.09</v>
      </c>
      <c r="BA487" s="71" t="inlineStr">
        <is>
          <t>HSTECH (Hang Seng TECH ETF)</t>
        </is>
      </c>
      <c r="BB487" s="82" t="n">
        <v>27.92</v>
      </c>
      <c r="BC487" s="72" t="inlineStr">
        <is>
          <t>2026-09-21</t>
        </is>
      </c>
      <c r="BD487" s="73" t="n">
        <v>445.8</v>
      </c>
      <c r="BE487" s="76" t="n">
        <v>-172.8</v>
      </c>
      <c r="BF487" s="71" t="inlineStr">
        <is>
          <t>N</t>
        </is>
      </c>
      <c r="BG487" s="71" t="inlineStr">
        <is>
          <t>n/m</t>
        </is>
      </c>
      <c r="BH487" s="83" t="n"/>
      <c r="BI487" s="83" t="n"/>
      <c r="BJ487" s="83" t="n">
        <v>23.6</v>
      </c>
      <c r="BK487" s="84">
        <f>IF('BBG Verify'!S487="","not filed; run on terminal",'BBG Verify'!S487)</f>
        <v/>
      </c>
      <c r="BL487" s="85" t="inlineStr">
        <is>
          <t>N</t>
        </is>
      </c>
      <c r="BM487" s="86">
        <f>IF('BBG Verify'!K487="","not filed; run on terminal",'BBG Verify'!K487)</f>
        <v/>
      </c>
      <c r="BN487" s="71" t="inlineStr">
        <is>
          <t>N/A</t>
        </is>
      </c>
      <c r="BO487" s="71" t="inlineStr">
        <is>
          <t>N/A</t>
        </is>
      </c>
      <c r="BP487" s="71" t="inlineStr">
        <is>
          <t>N/A</t>
        </is>
      </c>
      <c r="BQ487" s="71" t="inlineStr">
        <is>
          <t>N/A</t>
        </is>
      </c>
      <c r="BR487" s="71" t="inlineStr">
        <is>
          <t>N/A</t>
        </is>
      </c>
      <c r="BS487" s="71" t="inlineStr">
        <is>
          <t>N/A</t>
        </is>
      </c>
      <c r="BT487" s="85" t="n"/>
      <c r="BU487" s="71" t="inlineStr">
        <is>
          <t>China International Capital Corporation Hong Kong Securities Limited</t>
        </is>
      </c>
      <c r="BV487" s="71"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W487" s="71"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X487" s="87">
        <f>HYPERLINK("https://www1.hkexnews.hk/listedco/listconews/sehk/2026/0617/2026061700025.pdf","prospectus")</f>
        <v/>
      </c>
      <c r="BY487" s="87">
        <f>HYPERLINK("https://www1.hkexnews.hk/listedco/listconews/sehk/2026/0625/2026062501938.pdf","allotment")</f>
        <v/>
      </c>
      <c r="BZ487" s="87">
        <f>HYPERLINK("https://www1.hkexnews.hk/listedco/listconews/sehk/2026/0724/2026072401850.pdf","stabilisation")</f>
        <v/>
      </c>
      <c r="CA487" s="85" t="n"/>
      <c r="CB487" s="71"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70" t="inlineStr">
        <is>
          <t>3661</t>
        </is>
      </c>
      <c r="B488" s="71" t="inlineStr">
        <is>
          <t>SG MICRO</t>
        </is>
      </c>
      <c r="C488" s="71" t="inlineStr">
        <is>
          <t>聖邦股份</t>
        </is>
      </c>
      <c r="D488" s="71" t="inlineStr">
        <is>
          <t>Tech/AI</t>
        </is>
      </c>
      <c r="E488" s="71" t="inlineStr">
        <is>
          <t>AI chips &amp; semis</t>
        </is>
      </c>
      <c r="F488" s="71" t="inlineStr">
        <is>
          <t>Semiconductors &amp; Semiconductor Equipment</t>
        </is>
      </c>
      <c r="G488" s="71" t="inlineStr">
        <is>
          <t>Standard</t>
        </is>
      </c>
      <c r="H488" s="72" t="n">
        <v>46199</v>
      </c>
      <c r="I488" s="73" t="n">
        <v>4600.9</v>
      </c>
      <c r="J488" s="71" t="inlineStr">
        <is>
          <t>gross (stated)</t>
        </is>
      </c>
      <c r="K488" s="74" t="n"/>
      <c r="L488" s="74" t="n">
        <v>85.2</v>
      </c>
      <c r="M488" s="74" t="n">
        <v>85.2</v>
      </c>
      <c r="N488" s="71" t="inlineStr">
        <is>
          <t>Y</t>
        </is>
      </c>
      <c r="O488" s="75" t="n">
        <v>100</v>
      </c>
      <c r="P488" s="75" t="n"/>
      <c r="Q488" s="76" t="n">
        <v>57511.3</v>
      </c>
      <c r="R488" s="71" t="inlineStr">
        <is>
          <t>derived:price x shares upon listing</t>
        </is>
      </c>
      <c r="S488" s="77" t="n">
        <v>251.73</v>
      </c>
      <c r="T488" s="78" t="n">
        <v>23.5</v>
      </c>
      <c r="U488" s="79" t="n">
        <v>49.7</v>
      </c>
      <c r="V488" s="80" t="n">
        <v>233</v>
      </c>
      <c r="W488" s="75" t="n">
        <v>10</v>
      </c>
      <c r="X488" s="71" t="inlineStr">
        <is>
          <t>NA</t>
        </is>
      </c>
      <c r="Y488" s="76" t="n">
        <v>2314.25</v>
      </c>
      <c r="Z488" s="76" t="n">
        <v>27162604</v>
      </c>
      <c r="AA488" s="75" t="n">
        <v>4.02</v>
      </c>
      <c r="AB488" s="71"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AC488" s="71" t="inlineStr">
        <is>
          <t>cpe;da;dajia;dymon;first-sentier;gf;gic;harvest;hhlr;hq;huadeng;icbc;jpmorgan;lmr;millennium;ninety;ocean;psbc;sungrow;taikang;value</t>
        </is>
      </c>
      <c r="AD488" s="75" t="n">
        <v>15</v>
      </c>
      <c r="AE488" s="71" t="inlineStr">
        <is>
          <t>full</t>
        </is>
      </c>
      <c r="AF488" s="71" t="inlineStr">
        <is>
          <t>2026-07-23</t>
        </is>
      </c>
      <c r="AG488" s="71" t="inlineStr">
        <is>
          <t>China International Capital Corporation Hong Kong Securities Limited</t>
        </is>
      </c>
      <c r="AH488" s="71" t="inlineStr">
        <is>
          <t>China International</t>
        </is>
      </c>
      <c r="AI488" s="81" t="n">
        <v>30.282</v>
      </c>
      <c r="AJ488" s="82" t="n">
        <v>47.07</v>
      </c>
      <c r="AK488" s="82" t="n">
        <v>23.36</v>
      </c>
      <c r="AL488" s="82" t="n">
        <v>19.22</v>
      </c>
      <c r="AM488" s="83" t="n">
        <v>3.69</v>
      </c>
      <c r="AN488" s="75" t="n">
        <v>28.83</v>
      </c>
      <c r="AO488" s="82" t="n">
        <v>37.91</v>
      </c>
      <c r="AP488" s="82" t="n">
        <v>4.93</v>
      </c>
      <c r="AQ488" s="82" t="n"/>
      <c r="AR488" s="82" t="n">
        <v>-6.23</v>
      </c>
      <c r="AS488" s="82" t="n">
        <v>-28.65</v>
      </c>
      <c r="AT488" s="82" t="n"/>
      <c r="AU488" s="82" t="n">
        <v>35</v>
      </c>
      <c r="AV488" s="82" t="n">
        <v>-2.32</v>
      </c>
      <c r="AW488" s="82" t="n"/>
      <c r="AX488" s="82" t="n">
        <v>-39.74</v>
      </c>
      <c r="AY488" s="82" t="n">
        <v>7.25</v>
      </c>
      <c r="AZ488" s="82" t="n">
        <v>11.09</v>
      </c>
      <c r="BA488" s="71" t="inlineStr">
        <is>
          <t>HSTECH (Hang Seng TECH ETF)</t>
        </is>
      </c>
      <c r="BB488" s="82" t="n">
        <v>13.73</v>
      </c>
      <c r="BC488" s="72" t="inlineStr">
        <is>
          <t>2026-09-21</t>
        </is>
      </c>
      <c r="BD488" s="73" t="n">
        <v>4287.9</v>
      </c>
      <c r="BE488" s="76" t="n">
        <v>587.8</v>
      </c>
      <c r="BF488" s="71" t="inlineStr">
        <is>
          <t>Y</t>
        </is>
      </c>
      <c r="BG488" s="83" t="n">
        <v>97.8</v>
      </c>
      <c r="BH488" s="83" t="n">
        <v>122.6</v>
      </c>
      <c r="BI488" s="83" t="n">
        <v>102.3</v>
      </c>
      <c r="BJ488" s="83" t="n">
        <v>13.4</v>
      </c>
      <c r="BK488" s="84">
        <f>IF('BBG Verify'!S488="","not filed; run on terminal",'BBG Verify'!S488)</f>
        <v/>
      </c>
      <c r="BL488" s="85" t="inlineStr">
        <is>
          <t>Y</t>
        </is>
      </c>
      <c r="BM488" s="71" t="inlineStr">
        <is>
          <t>300661.SZ</t>
        </is>
      </c>
      <c r="BN488" s="82" t="n">
        <v>87.31999999999999</v>
      </c>
      <c r="BO488" s="74" t="n">
        <v>159.5961</v>
      </c>
      <c r="BP488" s="89" t="n">
        <v>0.4821</v>
      </c>
      <c r="BQ488" s="76" t="n">
        <v>98555.3</v>
      </c>
      <c r="BR488" s="84">
        <f>IF('BBG Verify'!Q488="","run on terminal",'BBG Verify'!Q488)</f>
        <v/>
      </c>
      <c r="BS488" s="84">
        <f>IF('BBG Verify'!R488="","run on terminal",'BBG Verify'!R488)</f>
        <v/>
      </c>
      <c r="BT488" s="85" t="n"/>
      <c r="BU488" s="71" t="inlineStr">
        <is>
          <t>China International Capital Corporation Hong Kong Securities Limited; Huatai Financial Holdings (Hong Kong) Limited</t>
        </is>
      </c>
      <c r="BV488" s="71" t="inlineStr">
        <is>
          <t>China International Capital Corporation Hong Kong Securities Limited; Huatai Financial Holdings (Hong Kong) Limited</t>
        </is>
      </c>
      <c r="BW488" s="71" t="inlineStr">
        <is>
          <t>China International Capital Corporation Hong Kong Securities Limited; Huatai Financial Holdings (Hong Kong) Limited</t>
        </is>
      </c>
      <c r="BX488" s="87">
        <f>HYPERLINK("https://www1.hkexnews.hk/listedco/listconews/sehk/2026/0617/2026061700162.htm","prospectus")</f>
        <v/>
      </c>
      <c r="BY488" s="87">
        <f>HYPERLINK("https://www1.hkexnews.hk/listedco/listconews/sehk/2026/0625/2026062502076.pdf","allotment")</f>
        <v/>
      </c>
      <c r="BZ488" s="87">
        <f>HYPERLINK("https://www1.hkexnews.hk/listedco/listconews/sehk/2026/0723/2026072301288.pdf","stabilisation")</f>
        <v/>
      </c>
      <c r="CA488" s="85" t="n"/>
      <c r="CB488" s="71"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70" t="inlineStr">
        <is>
          <t>1688</t>
        </is>
      </c>
      <c r="B489" s="71" t="inlineStr">
        <is>
          <t>LINGYI ITECH</t>
        </is>
      </c>
      <c r="C489" s="71" t="inlineStr">
        <is>
          <t>領益智造</t>
        </is>
      </c>
      <c r="D489" s="71" t="inlineStr">
        <is>
          <t>Tech/AI</t>
        </is>
      </c>
      <c r="E489" s="71" t="inlineStr">
        <is>
          <t>Smart hardware / consumer electronics</t>
        </is>
      </c>
      <c r="F489" s="71" t="inlineStr">
        <is>
          <t>Electrical Components &amp; Equipment</t>
        </is>
      </c>
      <c r="G489" s="71" t="inlineStr">
        <is>
          <t>Standard</t>
        </is>
      </c>
      <c r="H489" s="72" t="n">
        <v>46199</v>
      </c>
      <c r="I489" s="73" t="n">
        <v>8264.200000000001</v>
      </c>
      <c r="J489" s="71" t="inlineStr">
        <is>
          <t>gross (stated)</t>
        </is>
      </c>
      <c r="K489" s="74" t="n"/>
      <c r="L489" s="74" t="n">
        <v>10.18</v>
      </c>
      <c r="M489" s="74" t="n">
        <v>10.18</v>
      </c>
      <c r="N489" s="71" t="inlineStr">
        <is>
          <t>Y</t>
        </is>
      </c>
      <c r="O489" s="75" t="n">
        <v>100</v>
      </c>
      <c r="P489" s="75" t="n"/>
      <c r="Q489" s="76" t="n">
        <v>82661.7</v>
      </c>
      <c r="R489" s="71" t="inlineStr">
        <is>
          <t>derived:price x shares upon listing</t>
        </is>
      </c>
      <c r="S489" s="77" t="n">
        <v>96.16</v>
      </c>
      <c r="T489" s="78" t="n">
        <v>10.27</v>
      </c>
      <c r="U489" s="79" t="n">
        <v>38.6</v>
      </c>
      <c r="V489" s="80" t="n"/>
      <c r="W489" s="75" t="n">
        <v>10</v>
      </c>
      <c r="X489" s="71" t="inlineStr">
        <is>
          <t>NA</t>
        </is>
      </c>
      <c r="Y489" s="76" t="n">
        <v>5074.22</v>
      </c>
      <c r="Z489" s="76" t="n">
        <v>498452494</v>
      </c>
      <c r="AA489" s="75" t="n">
        <v>6.14</v>
      </c>
      <c r="AB489" s="71"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AC489" s="71" t="inlineStr">
        <is>
          <t>3w;da;deliante;everbright;gf;granite;greenwoods;hongxing;honor;jain;kaide;morgan;qube;seven;sunny;taikang;ti;value;verition</t>
        </is>
      </c>
      <c r="AD489" s="75" t="n"/>
      <c r="AE489" s="71" t="n"/>
      <c r="AF489" s="71" t="n"/>
      <c r="AG489" s="71" t="n"/>
      <c r="AH489" s="71" t="n"/>
      <c r="AI489" s="81" t="n">
        <v>21.316</v>
      </c>
      <c r="AJ489" s="82" t="n">
        <v>-4.62</v>
      </c>
      <c r="AK489" s="82" t="n">
        <v>6.09</v>
      </c>
      <c r="AL489" s="82" t="n">
        <v>-10.1</v>
      </c>
      <c r="AM489" s="83" t="n">
        <v>2.37</v>
      </c>
      <c r="AN489" s="75" t="n">
        <v>21.85</v>
      </c>
      <c r="AO489" s="82" t="n">
        <v>-5.11</v>
      </c>
      <c r="AP489" s="82" t="n">
        <v>-37.23</v>
      </c>
      <c r="AQ489" s="82" t="n"/>
      <c r="AR489" s="82" t="n">
        <v>-0.51</v>
      </c>
      <c r="AS489" s="82" t="n">
        <v>-34.19</v>
      </c>
      <c r="AT489" s="82" t="n"/>
      <c r="AU489" s="82" t="n">
        <v>-8.02</v>
      </c>
      <c r="AV489" s="82" t="n">
        <v>-44.48</v>
      </c>
      <c r="AW489" s="82" t="n"/>
      <c r="AX489" s="82" t="n">
        <v>-45.28</v>
      </c>
      <c r="AY489" s="82" t="n">
        <v>7.25</v>
      </c>
      <c r="AZ489" s="82" t="n">
        <v>11.09</v>
      </c>
      <c r="BA489" s="71" t="inlineStr">
        <is>
          <t>HSTECH (Hang Seng TECH ETF)</t>
        </is>
      </c>
      <c r="BB489" s="82" t="n">
        <v>-40.18</v>
      </c>
      <c r="BC489" s="72" t="inlineStr">
        <is>
          <t>2026-09-21</t>
        </is>
      </c>
      <c r="BD489" s="73" t="n">
        <v>56571.8</v>
      </c>
      <c r="BE489" s="76" t="n">
        <v>2516.5</v>
      </c>
      <c r="BF489" s="71" t="inlineStr">
        <is>
          <t>Y</t>
        </is>
      </c>
      <c r="BG489" s="83" t="n">
        <v>32.8</v>
      </c>
      <c r="BH489" s="83" t="n">
        <v>28.8</v>
      </c>
      <c r="BI489" s="83" t="n">
        <v>19.6</v>
      </c>
      <c r="BJ489" s="83" t="n">
        <v>1.5</v>
      </c>
      <c r="BK489" s="84">
        <f>IF('BBG Verify'!S489="","not filed; run on terminal",'BBG Verify'!S489)</f>
        <v/>
      </c>
      <c r="BL489" s="85" t="inlineStr">
        <is>
          <t>Y</t>
        </is>
      </c>
      <c r="BM489" s="71" t="inlineStr">
        <is>
          <t>002600.SZ</t>
        </is>
      </c>
      <c r="BN489" s="82" t="n">
        <v>102.71</v>
      </c>
      <c r="BO489" s="74" t="n">
        <v>20.6362</v>
      </c>
      <c r="BP489" s="89" t="n">
        <v>1.412</v>
      </c>
      <c r="BQ489" s="76" t="n">
        <v>119375.3</v>
      </c>
      <c r="BR489" s="84">
        <f>IF('BBG Verify'!Q489="","run on terminal",'BBG Verify'!Q489)</f>
        <v/>
      </c>
      <c r="BS489" s="84">
        <f>IF('BBG Verify'!R489="","run on terminal",'BBG Verify'!R489)</f>
        <v/>
      </c>
      <c r="BT489" s="85" t="inlineStr">
        <is>
          <t>Guotai Junan International</t>
        </is>
      </c>
      <c r="BU489" s="71" t="inlineStr">
        <is>
          <t>Guotai Junan Capital Limited</t>
        </is>
      </c>
      <c r="BV489" s="71" t="inlineStr">
        <is>
          <t>Citigroup Global Markets Asia Limited; CLSA Limited; Futu Securities International (Hong Kong) Limited; Guotai Junan Securities (Hong Kong) Limited; J.P. Morgan Securities (Asia Pacific) Limited; Tiger Brokers (HK) Global Limited</t>
        </is>
      </c>
      <c r="BW489" s="71" t="inlineStr">
        <is>
          <t>Citigroup Global Markets Asia Limited; CLSA Limited; Futu Securities International (Hong Kong) Limited; Guotai Junan Securities (Hong Kong) Limited; J.P. Morgan Securities (Asia Pacific) Limited; Tiger Brokers (HK) Global Limited</t>
        </is>
      </c>
      <c r="BX489" s="71" t="n"/>
      <c r="BY489" s="87">
        <f>HYPERLINK("https://www1.hkexnews.hk/listedco/listconews/sehk/2026/0625/2026062502292.pdf","allotment")</f>
        <v/>
      </c>
      <c r="BZ489" s="71" t="n"/>
      <c r="CA489" s="85" t="n"/>
      <c r="CB489" s="71"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 allocation: allocation table not in this notice's format (older prose announcement)</t>
        </is>
      </c>
    </row>
    <row r="490" ht="15" customHeight="1">
      <c r="A490" s="70" t="inlineStr">
        <is>
          <t>9630</t>
        </is>
      </c>
      <c r="B490" s="71" t="inlineStr">
        <is>
          <t>CFMEE</t>
        </is>
      </c>
      <c r="C490" s="71" t="inlineStr">
        <is>
          <t>芯碁微裝</t>
        </is>
      </c>
      <c r="D490" s="71" t="inlineStr">
        <is>
          <t>Tech/AI</t>
        </is>
      </c>
      <c r="E490" s="71" t="inlineStr">
        <is>
          <t>AI chips &amp; semis</t>
        </is>
      </c>
      <c r="F490" s="71" t="inlineStr">
        <is>
          <t>Next-generation information technology</t>
        </is>
      </c>
      <c r="G490" s="71" t="inlineStr">
        <is>
          <t>Standard</t>
        </is>
      </c>
      <c r="H490" s="72" t="n">
        <v>46199</v>
      </c>
      <c r="I490" s="73" t="n">
        <v>3244.7</v>
      </c>
      <c r="J490" s="71" t="inlineStr">
        <is>
          <t>gross (stated)</t>
        </is>
      </c>
      <c r="K490" s="74" t="n"/>
      <c r="L490" s="74" t="n">
        <v>252.73</v>
      </c>
      <c r="M490" s="74" t="n">
        <v>252.73</v>
      </c>
      <c r="N490" s="71" t="inlineStr">
        <is>
          <t>Y</t>
        </is>
      </c>
      <c r="O490" s="75" t="n">
        <v>100</v>
      </c>
      <c r="P490" s="75" t="n"/>
      <c r="Q490" s="76" t="n">
        <v>32189.5</v>
      </c>
      <c r="R490" s="71" t="inlineStr">
        <is>
          <t>derived:deal size / offer % of enlarged capital</t>
        </is>
      </c>
      <c r="S490" s="77" t="n">
        <v>1007.22</v>
      </c>
      <c r="T490" s="78" t="n">
        <v>27.22</v>
      </c>
      <c r="U490" s="79" t="n">
        <v>48.5</v>
      </c>
      <c r="V490" s="80" t="n">
        <v>200</v>
      </c>
      <c r="W490" s="75" t="n">
        <v>10</v>
      </c>
      <c r="X490" s="71" t="inlineStr">
        <is>
          <t>NO</t>
        </is>
      </c>
      <c r="Y490" s="76" t="n">
        <v>1671.02</v>
      </c>
      <c r="Z490" s="76" t="n"/>
      <c r="AA490" s="75" t="n">
        <v>5.19</v>
      </c>
      <c r="AB490" s="71"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AC490" s="71" t="inlineStr">
        <is>
          <t>bosera;universal;china-international;cpe;gf;hefei;hhlr;yonglian;xinyao;huadeng;jpmorgan;lion;montage;monterey;nexchip;ocean;sungrow;victory</t>
        </is>
      </c>
      <c r="AD490" s="75" t="n">
        <v>8.880000000000001</v>
      </c>
      <c r="AE490" s="71" t="inlineStr">
        <is>
          <t>full</t>
        </is>
      </c>
      <c r="AF490" s="71" t="n"/>
      <c r="AG490" s="71" t="inlineStr">
        <is>
          <t>China International Capital Corporation Hong Kong Securities Limited</t>
        </is>
      </c>
      <c r="AH490" s="71" t="inlineStr">
        <is>
          <t>China International</t>
        </is>
      </c>
      <c r="AI490" s="81" t="n">
        <v>76.15600000000001</v>
      </c>
      <c r="AJ490" s="82" t="n">
        <v>103.77</v>
      </c>
      <c r="AK490" s="82" t="n">
        <v>73.7</v>
      </c>
      <c r="AL490" s="82" t="n">
        <v>17.31</v>
      </c>
      <c r="AM490" s="83" t="n">
        <v>4.56</v>
      </c>
      <c r="AN490" s="75" t="n">
        <v>26.26</v>
      </c>
      <c r="AO490" s="82" t="n">
        <v>55.11</v>
      </c>
      <c r="AP490" s="82" t="n">
        <v>30.26</v>
      </c>
      <c r="AQ490" s="82" t="n"/>
      <c r="AR490" s="82" t="n">
        <v>-23.88</v>
      </c>
      <c r="AS490" s="82" t="n">
        <v>-36.07</v>
      </c>
      <c r="AT490" s="82" t="n"/>
      <c r="AU490" s="82" t="n">
        <v>52.2</v>
      </c>
      <c r="AV490" s="82" t="n">
        <v>23.01</v>
      </c>
      <c r="AW490" s="82" t="n"/>
      <c r="AX490" s="82" t="n">
        <v>-47.16</v>
      </c>
      <c r="AY490" s="82" t="n">
        <v>7.25</v>
      </c>
      <c r="AZ490" s="82" t="n">
        <v>11.09</v>
      </c>
      <c r="BA490" s="71" t="inlineStr">
        <is>
          <t>HSTECH (Hang Seng TECH ETF)</t>
        </is>
      </c>
      <c r="BB490" s="82" t="n">
        <v>44.42</v>
      </c>
      <c r="BC490" s="72" t="inlineStr">
        <is>
          <t>2026-09-21</t>
        </is>
      </c>
      <c r="BD490" s="73" t="n">
        <v>1548.9</v>
      </c>
      <c r="BE490" s="76" t="n">
        <v>318.9</v>
      </c>
      <c r="BF490" s="71" t="inlineStr">
        <is>
          <t>Y</t>
        </is>
      </c>
      <c r="BG490" s="83" t="n">
        <v>100.9</v>
      </c>
      <c r="BH490" s="83" t="n">
        <v>202.5</v>
      </c>
      <c r="BI490" s="83" t="n">
        <v>147.3</v>
      </c>
      <c r="BJ490" s="83" t="n">
        <v>20.8</v>
      </c>
      <c r="BK490" s="84">
        <f>IF('BBG Verify'!S490="","not filed; run on terminal",'BBG Verify'!S490)</f>
        <v/>
      </c>
      <c r="BL490" s="85" t="inlineStr">
        <is>
          <t>Y</t>
        </is>
      </c>
      <c r="BM490" s="71" t="inlineStr">
        <is>
          <t>688630.SS</t>
        </is>
      </c>
      <c r="BN490" s="82" t="n">
        <v>153.68</v>
      </c>
      <c r="BO490" s="74" t="n">
        <v>641.1315</v>
      </c>
      <c r="BP490" s="89" t="n">
        <v>0.3572</v>
      </c>
      <c r="BQ490" s="76" t="n">
        <v>72635.7</v>
      </c>
      <c r="BR490" s="84">
        <f>IF('BBG Verify'!Q490="","run on terminal",'BBG Verify'!Q490)</f>
        <v/>
      </c>
      <c r="BS490" s="84">
        <f>IF('BBG Verify'!R490="","run on terminal",'BBG Verify'!R490)</f>
        <v/>
      </c>
      <c r="BT490" s="85" t="n"/>
      <c r="BU490" s="71" t="inlineStr">
        <is>
          <t>China International Capital Corporation Hong Kong Securities Limited</t>
        </is>
      </c>
      <c r="BV490" s="71" t="inlineStr">
        <is>
          <t>BOCI Asia Limited</t>
        </is>
      </c>
      <c r="BW490" s="71" t="inlineStr">
        <is>
          <t>BOCI Asia Limited; China International Capital Corporation Hong Kong Securities Limited; CMB International Capital Limited; Futu Securities International (Hong Kong) Limited; Guoyuan Securities Brokerage (Hong Kong) Limited</t>
        </is>
      </c>
      <c r="BX490" s="87">
        <f>HYPERLINK("https://www1.hkexnews.hk/listedco/listconews/sehk/2026/0617/2026061700039.pdf","prospectus")</f>
        <v/>
      </c>
      <c r="BY490" s="87">
        <f>HYPERLINK("https://www1.hkexnews.hk/listedco/listconews/sehk/2026/0625/2026062502296.pdf","allotment")</f>
        <v/>
      </c>
      <c r="BZ490" s="87">
        <f>HYPERLINK("https://www1.hkexnews.hk/listedco/listconews/sehk/2026/0723/2026072300312.pdf","stabilisation")</f>
        <v/>
      </c>
      <c r="CA490" s="85" t="n"/>
      <c r="CB490" s="71"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70" t="inlineStr">
        <is>
          <t>6228</t>
        </is>
      </c>
      <c r="B491" s="71" t="inlineStr">
        <is>
          <t>MERDEKAGOLD-DRS</t>
        </is>
      </c>
      <c r="C491" s="71" t="inlineStr">
        <is>
          <t>自由黃金－ＤＲＳ</t>
        </is>
      </c>
      <c r="D491" s="71" t="inlineStr">
        <is>
          <t>Materials/Energy</t>
        </is>
      </c>
      <c r="E491" s="71" t="inlineStr">
        <is>
          <t>Mining / metals</t>
        </is>
      </c>
      <c r="F491" s="71" t="inlineStr">
        <is>
          <t>Gold &amp; Precious Metals</t>
        </is>
      </c>
      <c r="G491" s="71" t="inlineStr">
        <is>
          <t>Standard</t>
        </is>
      </c>
      <c r="H491" s="72" t="n">
        <v>46199</v>
      </c>
      <c r="I491" s="73" t="n">
        <v>2385.18</v>
      </c>
      <c r="J491" s="71" t="inlineStr">
        <is>
          <t>gross (stated)</t>
        </is>
      </c>
      <c r="K491" s="74" t="n"/>
      <c r="L491" s="74" t="n">
        <v>26.6</v>
      </c>
      <c r="M491" s="74" t="n">
        <v>26.6</v>
      </c>
      <c r="N491" s="71" t="inlineStr">
        <is>
          <t>Y</t>
        </is>
      </c>
      <c r="O491" s="75" t="n">
        <v>100</v>
      </c>
      <c r="P491" s="75" t="n"/>
      <c r="Q491" s="76" t="n">
        <v>34074</v>
      </c>
      <c r="R491" s="71" t="inlineStr">
        <is>
          <t>derived:deal size / offer % of enlarged capital</t>
        </is>
      </c>
      <c r="S491" s="77" t="n">
        <v>4.42</v>
      </c>
      <c r="T491" s="78" t="n">
        <v>7.67</v>
      </c>
      <c r="U491" s="79" t="n">
        <v>49.9</v>
      </c>
      <c r="V491" s="80" t="n">
        <v>98</v>
      </c>
      <c r="W491" s="75" t="n"/>
      <c r="X491" s="71" t="inlineStr">
        <is>
          <t>NA</t>
        </is>
      </c>
      <c r="Y491" s="76" t="n">
        <v>1194.98</v>
      </c>
      <c r="Z491" s="76" t="n"/>
      <c r="AA491" s="75" t="n">
        <v>3.51</v>
      </c>
      <c r="AB491" s="71"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AC491" s="71" t="inlineStr">
        <is>
          <t>cngr;dymon;gf;glencore;intera;mercuria;orix;ping;trafigura;wanguo;wind</t>
        </is>
      </c>
      <c r="AD491" s="75" t="n">
        <v>15</v>
      </c>
      <c r="AE491" s="71" t="inlineStr">
        <is>
          <t>partial</t>
        </is>
      </c>
      <c r="AF491" s="71" t="n"/>
      <c r="AG491" s="71" t="inlineStr">
        <is>
          <t>CLSA Limited</t>
        </is>
      </c>
      <c r="AH491" s="71" t="inlineStr">
        <is>
          <t>CLSA</t>
        </is>
      </c>
      <c r="AI491" s="81" t="n">
        <v>0</v>
      </c>
      <c r="AJ491" s="82" t="n">
        <v>-6.54</v>
      </c>
      <c r="AK491" s="82" t="n">
        <v>0</v>
      </c>
      <c r="AL491" s="82" t="n">
        <v>-6.54</v>
      </c>
      <c r="AM491" s="83" t="n"/>
      <c r="AN491" s="75" t="n">
        <v>10.83</v>
      </c>
      <c r="AO491" s="82" t="n">
        <v>-2.26</v>
      </c>
      <c r="AP491" s="82" t="n">
        <v>-0.38</v>
      </c>
      <c r="AQ491" s="82" t="n"/>
      <c r="AR491" s="82" t="n">
        <v>4.58</v>
      </c>
      <c r="AS491" s="82" t="n">
        <v>6.59</v>
      </c>
      <c r="AT491" s="82" t="n"/>
      <c r="AU491" s="82" t="n">
        <v>-6.28</v>
      </c>
      <c r="AV491" s="82" t="n">
        <v>-10.75</v>
      </c>
      <c r="AW491" s="82" t="n"/>
      <c r="AX491" s="82" t="n">
        <v>-6.32</v>
      </c>
      <c r="AY491" s="82" t="n">
        <v>10.37</v>
      </c>
      <c r="AZ491" s="82" t="n">
        <v>12.91</v>
      </c>
      <c r="BA491" s="71" t="inlineStr">
        <is>
          <t>Hang Seng Commerce &amp; Industry sub-index</t>
        </is>
      </c>
      <c r="BB491" s="82" t="n">
        <v>28.95</v>
      </c>
      <c r="BC491" s="72" t="inlineStr">
        <is>
          <t>2026-09-21</t>
        </is>
      </c>
      <c r="BD491" s="73" t="n">
        <v>1</v>
      </c>
      <c r="BE491" s="76" t="n">
        <v>-214.4</v>
      </c>
      <c r="BF491" s="71" t="inlineStr">
        <is>
          <t>N</t>
        </is>
      </c>
      <c r="BG491" s="71" t="inlineStr">
        <is>
          <t>n/m</t>
        </is>
      </c>
      <c r="BH491" s="83" t="n"/>
      <c r="BI491" s="83" t="n"/>
      <c r="BJ491" s="83" t="n">
        <v>34074</v>
      </c>
      <c r="BK491" s="84">
        <f>IF('BBG Verify'!S491="","not filed; run on terminal",'BBG Verify'!S491)</f>
        <v/>
      </c>
      <c r="BL491" s="85" t="inlineStr">
        <is>
          <t>N</t>
        </is>
      </c>
      <c r="BM491" s="86">
        <f>IF('BBG Verify'!K491="","not filed; run on terminal",'BBG Verify'!K491)</f>
        <v/>
      </c>
      <c r="BN491" s="71" t="inlineStr">
        <is>
          <t>N/A</t>
        </is>
      </c>
      <c r="BO491" s="71" t="inlineStr">
        <is>
          <t>N/A</t>
        </is>
      </c>
      <c r="BP491" s="71" t="inlineStr">
        <is>
          <t>N/A</t>
        </is>
      </c>
      <c r="BQ491" s="71" t="inlineStr">
        <is>
          <t>N/A</t>
        </is>
      </c>
      <c r="BR491" s="71" t="inlineStr">
        <is>
          <t>N/A</t>
        </is>
      </c>
      <c r="BS491" s="71" t="inlineStr">
        <is>
          <t>N/A</t>
        </is>
      </c>
      <c r="BT491" s="85" t="inlineStr">
        <is>
          <t>UBS Securities Hong Kong Limited; CITIC Securities (Hong Kong) Limited</t>
        </is>
      </c>
      <c r="BU491" s="71" t="inlineStr">
        <is>
          <t>UBS Securities Hong Kong Limited; CITIC Securities (Hong Kong) Limited</t>
        </is>
      </c>
      <c r="BV491" s="71"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W491" s="71"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X491" s="87">
        <f>HYPERLINK("https://www1.hkexnews.hk/listedco/listconews/sehk/2026/0617/2026061700075.pdf","prospectus")</f>
        <v/>
      </c>
      <c r="BY491" s="87">
        <f>HYPERLINK("https://www1.hkexnews.hk/listedco/listconews/sehk/2026/0625/2026062502338.pdf","allotment")</f>
        <v/>
      </c>
      <c r="BZ491" s="87">
        <f>HYPERLINK("https://www1.hkexnews.hk/listedco/listconews/sehk/2026/0723/2026072301404.pdf","stabilisation")</f>
        <v/>
      </c>
      <c r="CA491" s="85" t="n"/>
      <c r="CB491" s="71"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 allocation: allocation table not in this notice's format (older prose announcement); day-1 tape: volume on file; the retail multiple needs the final public split, which this notice does not state</t>
        </is>
      </c>
    </row>
    <row r="492" ht="15" customHeight="1">
      <c r="A492" s="70" t="inlineStr">
        <is>
          <t>2672</t>
        </is>
      </c>
      <c r="B492" s="71" t="inlineStr">
        <is>
          <t>BAIGE DIGITAL</t>
        </is>
      </c>
      <c r="C492" s="71" t="inlineStr">
        <is>
          <t>白鴿在線（廈門）數字科技</t>
        </is>
      </c>
      <c r="D492" s="71" t="inlineStr">
        <is>
          <t>Financials</t>
        </is>
      </c>
      <c r="E492" s="71" t="inlineStr">
        <is>
          <t>Insurance</t>
        </is>
      </c>
      <c r="F492" s="71" t="inlineStr">
        <is>
          <t>Application Software</t>
        </is>
      </c>
      <c r="G492" s="71" t="inlineStr">
        <is>
          <t>Standard</t>
        </is>
      </c>
      <c r="H492" s="72" t="n">
        <v>46202</v>
      </c>
      <c r="I492" s="73" t="n">
        <v>520.2</v>
      </c>
      <c r="J492" s="71" t="inlineStr">
        <is>
          <t>gross (price x shares)</t>
        </is>
      </c>
      <c r="K492" s="74" t="n"/>
      <c r="L492" s="74" t="n">
        <v>20.28</v>
      </c>
      <c r="M492" s="74" t="n">
        <v>15.6</v>
      </c>
      <c r="N492" s="71" t="inlineStr">
        <is>
          <t>N</t>
        </is>
      </c>
      <c r="O492" s="75" t="n">
        <v>76.90000000000001</v>
      </c>
      <c r="P492" s="75" t="n"/>
      <c r="Q492" s="76" t="n">
        <v>5001.7</v>
      </c>
      <c r="R492" s="71" t="inlineStr">
        <is>
          <t>derived:price x shares upon listing</t>
        </is>
      </c>
      <c r="S492" s="77" t="n">
        <v>242.05</v>
      </c>
      <c r="T492" s="78" t="n">
        <v>2.44</v>
      </c>
      <c r="U492" s="79" t="n">
        <v>3.84</v>
      </c>
      <c r="V492" s="80" t="n">
        <v>95</v>
      </c>
      <c r="W492" s="75" t="n">
        <v>10</v>
      </c>
      <c r="X492" s="71" t="inlineStr">
        <is>
          <t>NA</t>
        </is>
      </c>
      <c r="Y492" s="76" t="n">
        <v>500.22</v>
      </c>
      <c r="Z492" s="76" t="n">
        <v>32063975</v>
      </c>
      <c r="AA492" s="75" t="n">
        <v>10</v>
      </c>
      <c r="AB492" s="71" t="inlineStr">
        <is>
          <t>GLY New Mobility 2. LP; Mr. Ke Jiaqi</t>
        </is>
      </c>
      <c r="AC492" s="71" t="inlineStr">
        <is>
          <t>gly;mr-ke</t>
        </is>
      </c>
      <c r="AD492" s="75" t="n">
        <v>11.8</v>
      </c>
      <c r="AE492" s="71" t="n"/>
      <c r="AF492" s="71" t="inlineStr">
        <is>
          <t>2026-07-24</t>
        </is>
      </c>
      <c r="AG492" s="71" t="inlineStr">
        <is>
          <t>CMBC Securities Company Limited</t>
        </is>
      </c>
      <c r="AH492" s="71" t="inlineStr">
        <is>
          <t>CMBC</t>
        </is>
      </c>
      <c r="AI492" s="81" t="n">
        <v>272.436</v>
      </c>
      <c r="AJ492" s="82" t="n">
        <v>367.95</v>
      </c>
      <c r="AK492" s="82" t="n">
        <v>291.67</v>
      </c>
      <c r="AL492" s="82" t="n">
        <v>19.48</v>
      </c>
      <c r="AM492" s="83" t="n">
        <v>1.82</v>
      </c>
      <c r="AN492" s="75" t="n">
        <v>22.09</v>
      </c>
      <c r="AO492" s="82" t="n">
        <v>295.19</v>
      </c>
      <c r="AP492" s="82" t="n">
        <v>280.77</v>
      </c>
      <c r="AQ492" s="82" t="n"/>
      <c r="AR492" s="82" t="n">
        <v>-15.55</v>
      </c>
      <c r="AS492" s="82" t="n">
        <v>-18.63</v>
      </c>
      <c r="AT492" s="82" t="n"/>
      <c r="AU492" s="82" t="n">
        <v>294.57</v>
      </c>
      <c r="AV492" s="82" t="n">
        <v>269.3</v>
      </c>
      <c r="AW492" s="82" t="n"/>
      <c r="AX492" s="82" t="n">
        <v>-29.49</v>
      </c>
      <c r="AY492" s="82" t="n">
        <v>11.47</v>
      </c>
      <c r="AZ492" s="82" t="n">
        <v>10.86</v>
      </c>
      <c r="BA492" s="71" t="inlineStr">
        <is>
          <t>Hang Seng Finance sub-index</t>
        </is>
      </c>
      <c r="BB492" s="82" t="n">
        <v>231.09</v>
      </c>
      <c r="BC492" s="72" t="inlineStr">
        <is>
          <t>2026-09-21</t>
        </is>
      </c>
      <c r="BD492" s="73" t="n">
        <v>1349.8</v>
      </c>
      <c r="BE492" s="76" t="n">
        <v>-51.3</v>
      </c>
      <c r="BF492" s="71" t="inlineStr">
        <is>
          <t>N</t>
        </is>
      </c>
      <c r="BG492" s="71" t="inlineStr">
        <is>
          <t>n/m</t>
        </is>
      </c>
      <c r="BH492" s="83" t="n"/>
      <c r="BI492" s="83" t="n"/>
      <c r="BJ492" s="83" t="n">
        <v>3.7</v>
      </c>
      <c r="BK492" s="84">
        <f>IF('BBG Verify'!S492="","not filed; run on terminal",'BBG Verify'!S492)</f>
        <v/>
      </c>
      <c r="BL492" s="85" t="inlineStr">
        <is>
          <t>N</t>
        </is>
      </c>
      <c r="BM492" s="86">
        <f>IF('BBG Verify'!K492="","not filed; run on terminal",'BBG Verify'!K492)</f>
        <v/>
      </c>
      <c r="BN492" s="71" t="inlineStr">
        <is>
          <t>N/A</t>
        </is>
      </c>
      <c r="BO492" s="71" t="inlineStr">
        <is>
          <t>N/A</t>
        </is>
      </c>
      <c r="BP492" s="71" t="inlineStr">
        <is>
          <t>N/A</t>
        </is>
      </c>
      <c r="BQ492" s="71" t="inlineStr">
        <is>
          <t>N/A</t>
        </is>
      </c>
      <c r="BR492" s="71" t="inlineStr">
        <is>
          <t>N/A</t>
        </is>
      </c>
      <c r="BS492" s="71" t="inlineStr">
        <is>
          <t>N/A</t>
        </is>
      </c>
      <c r="BT492" s="85" t="inlineStr">
        <is>
          <t>CMBC International Capital Limited; BOCI Asia Limited</t>
        </is>
      </c>
      <c r="BU492" s="71" t="inlineStr">
        <is>
          <t>BOCI Asia Limited; CMBC International Capital Limited</t>
        </is>
      </c>
      <c r="BV492" s="71" t="inlineStr">
        <is>
          <t>ICBC International Securities Limited</t>
        </is>
      </c>
      <c r="BW492" s="71"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X492" s="87">
        <f>HYPERLINK("https://www1.hkexnews.hk/listedco/listconews/sehk/2026/0618/2026061800045.pdf","prospectus")</f>
        <v/>
      </c>
      <c r="BY492" s="87">
        <f>HYPERLINK("https://www1.hkexnews.hk/listedco/listconews/sehk/2026/0626/2026062602363.pdf","allotment")</f>
        <v/>
      </c>
      <c r="BZ492" s="71" t="n"/>
      <c r="CA492" s="85" t="n"/>
      <c r="CB492" s="71" t="inlineStr">
        <is>
          <t>P/E: loss-making at IPO, use P/S; greenshoe: end-of-stabilisation notice not found; range low: maximum offer price only, no floor published; 3m: listed less than 3m ago; alpha/index: 3m window not elapsed</t>
        </is>
      </c>
    </row>
    <row r="493" ht="15" customHeight="1">
      <c r="A493" s="70" t="inlineStr">
        <is>
          <t>1191</t>
        </is>
      </c>
      <c r="B493" s="71" t="inlineStr">
        <is>
          <t>CREALIGHTS</t>
        </is>
      </c>
      <c r="C493" s="71" t="inlineStr">
        <is>
          <t>海光芯正</t>
        </is>
      </c>
      <c r="D493" s="71" t="inlineStr">
        <is>
          <t>Tech/AI</t>
        </is>
      </c>
      <c r="E493" s="71" t="inlineStr">
        <is>
          <t>Smart hardware / consumer electronics</t>
        </is>
      </c>
      <c r="F493" s="71" t="inlineStr">
        <is>
          <t>Telecommunications &amp; Networking Equipment</t>
        </is>
      </c>
      <c r="G493" s="71" t="inlineStr">
        <is>
          <t>Standard</t>
        </is>
      </c>
      <c r="H493" s="72" t="n">
        <v>46202</v>
      </c>
      <c r="I493" s="73" t="n">
        <v>1531.19</v>
      </c>
      <c r="J493" s="71" t="inlineStr">
        <is>
          <t>gross (stated)</t>
        </is>
      </c>
      <c r="K493" s="74" t="n"/>
      <c r="L493" s="74" t="n">
        <v>114</v>
      </c>
      <c r="M493" s="74" t="n">
        <v>114</v>
      </c>
      <c r="N493" s="71" t="inlineStr">
        <is>
          <t>Y</t>
        </is>
      </c>
      <c r="O493" s="75" t="n">
        <v>100</v>
      </c>
      <c r="P493" s="75" t="n"/>
      <c r="Q493" s="76" t="n">
        <v>10208</v>
      </c>
      <c r="R493" s="71" t="inlineStr">
        <is>
          <t>press:sina 2026-06-19: 发行后总市值约102.08亿 at HK$114</t>
        </is>
      </c>
      <c r="S493" s="77" t="n">
        <v>1296.89</v>
      </c>
      <c r="T493" s="78" t="n">
        <v>15.51</v>
      </c>
      <c r="U493" s="79" t="n">
        <v>49.9</v>
      </c>
      <c r="V493" s="80" t="n">
        <v>116</v>
      </c>
      <c r="W493" s="75" t="n">
        <v>10</v>
      </c>
      <c r="X493" s="71" t="inlineStr">
        <is>
          <t>NA</t>
        </is>
      </c>
      <c r="Y493" s="76" t="n">
        <v>767.13</v>
      </c>
      <c r="Z493" s="76" t="n">
        <v>6729182</v>
      </c>
      <c r="AA493" s="75" t="n">
        <v>7.51</v>
      </c>
      <c r="AB493" s="71" t="inlineStr">
        <is>
          <t>E Fund Management Co., Ltd; JSC International Investment Fund SPC; Kingsoft Cloud Network Corporation Limited; Perseverance Asset Management International (Singapore) Pte. Ltd; UBS Asset Management (Singapore) Ltd; Winwin Technology Investment Co., Limited</t>
        </is>
      </c>
      <c r="AC493" s="71" t="inlineStr">
        <is>
          <t>fund-management;jsc;kingsoft;perseverance;ubs;winwin</t>
        </is>
      </c>
      <c r="AD493" s="75" t="n">
        <v>15</v>
      </c>
      <c r="AE493" s="71" t="n"/>
      <c r="AF493" s="71" t="n"/>
      <c r="AG493" s="71" t="inlineStr">
        <is>
          <t>Huatai Financial Holdings</t>
        </is>
      </c>
      <c r="AH493" s="71" t="inlineStr">
        <is>
          <t>Huatai</t>
        </is>
      </c>
      <c r="AI493" s="81" t="n">
        <v>86.842</v>
      </c>
      <c r="AJ493" s="82" t="n">
        <v>44.74</v>
      </c>
      <c r="AK493" s="82" t="n">
        <v>75.34999999999999</v>
      </c>
      <c r="AL493" s="82" t="n">
        <v>-17.46</v>
      </c>
      <c r="AM493" s="83" t="n">
        <v>3.84</v>
      </c>
      <c r="AN493" s="75" t="n">
        <v>31.52</v>
      </c>
      <c r="AO493" s="82" t="n">
        <v>60.53</v>
      </c>
      <c r="AP493" s="82" t="n">
        <v>-41.67</v>
      </c>
      <c r="AQ493" s="82" t="n"/>
      <c r="AR493" s="82" t="n">
        <v>10.91</v>
      </c>
      <c r="AS493" s="82" t="n">
        <v>-59.7</v>
      </c>
      <c r="AT493" s="82" t="n"/>
      <c r="AU493" s="82" t="n">
        <v>54.84</v>
      </c>
      <c r="AV493" s="82" t="n">
        <v>-55.74</v>
      </c>
      <c r="AW493" s="82" t="n"/>
      <c r="AX493" s="82" t="n">
        <v>-70.38</v>
      </c>
      <c r="AY493" s="82" t="n">
        <v>14.07</v>
      </c>
      <c r="AZ493" s="82" t="n">
        <v>10.68</v>
      </c>
      <c r="BA493" s="71" t="inlineStr">
        <is>
          <t>HSTECH (Hang Seng TECH ETF)</t>
        </is>
      </c>
      <c r="BB493" s="82" t="n">
        <v>44.3</v>
      </c>
      <c r="BC493" s="72" t="inlineStr">
        <is>
          <t>2026-09-21</t>
        </is>
      </c>
      <c r="BD493" s="73" t="n">
        <v>1343.2</v>
      </c>
      <c r="BE493" s="76" t="n">
        <v>-110.2</v>
      </c>
      <c r="BF493" s="71" t="inlineStr">
        <is>
          <t>N</t>
        </is>
      </c>
      <c r="BG493" s="71" t="inlineStr">
        <is>
          <t>n/m</t>
        </is>
      </c>
      <c r="BH493" s="83" t="n"/>
      <c r="BI493" s="83" t="n"/>
      <c r="BJ493" s="83" t="n">
        <v>7.6</v>
      </c>
      <c r="BK493" s="84">
        <f>IF('BBG Verify'!S493="","not filed; run on terminal",'BBG Verify'!S493)</f>
        <v/>
      </c>
      <c r="BL493" s="85" t="inlineStr">
        <is>
          <t>N</t>
        </is>
      </c>
      <c r="BM493" s="86">
        <f>IF('BBG Verify'!K493="","not filed; run on terminal",'BBG Verify'!K493)</f>
        <v/>
      </c>
      <c r="BN493" s="71" t="inlineStr">
        <is>
          <t>N/A</t>
        </is>
      </c>
      <c r="BO493" s="71" t="inlineStr">
        <is>
          <t>N/A</t>
        </is>
      </c>
      <c r="BP493" s="71" t="inlineStr">
        <is>
          <t>N/A</t>
        </is>
      </c>
      <c r="BQ493" s="71" t="inlineStr">
        <is>
          <t>N/A</t>
        </is>
      </c>
      <c r="BR493" s="71" t="inlineStr">
        <is>
          <t>N/A</t>
        </is>
      </c>
      <c r="BS493" s="71" t="inlineStr">
        <is>
          <t>N/A</t>
        </is>
      </c>
      <c r="BT493" s="85" t="n"/>
      <c r="BU493" s="71" t="inlineStr">
        <is>
          <t>Huatai Financial Holdings (Hong Kong) Limited</t>
        </is>
      </c>
      <c r="BV493" s="71" t="inlineStr">
        <is>
          <t>Huatai Financial Holdings (Hong Kong) Limited</t>
        </is>
      </c>
      <c r="BW493" s="71" t="inlineStr">
        <is>
          <t>Huatai Financial Holdings (Hong Kong) Limited</t>
        </is>
      </c>
      <c r="BX493" s="71" t="n"/>
      <c r="BY493" s="87">
        <f>HYPERLINK("https://www1.hkexnews.hk/listedco/listconews/sehk/2026/0626/2026062602599.pdf","allotment")</f>
        <v/>
      </c>
      <c r="BZ493" s="71" t="n"/>
      <c r="CA493" s="85" t="n"/>
      <c r="CB493" s="71"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70" t="inlineStr">
        <is>
          <t>9637</t>
        </is>
      </c>
      <c r="B494" s="71" t="inlineStr">
        <is>
          <t>ALEBUND-B</t>
        </is>
      </c>
      <c r="C494" s="71" t="inlineStr">
        <is>
          <t>禮邦醫藥－Ｂ</t>
        </is>
      </c>
      <c r="D494" s="71" t="inlineStr">
        <is>
          <t>Healthcare</t>
        </is>
      </c>
      <c r="E494" s="71" t="inlineStr">
        <is>
          <t>Biotech pre-revenue (18A)</t>
        </is>
      </c>
      <c r="F494" s="71" t="inlineStr">
        <is>
          <t>Biotechnology - Pharmaceuticals</t>
        </is>
      </c>
      <c r="G494" s="71" t="inlineStr">
        <is>
          <t>18A</t>
        </is>
      </c>
      <c r="H494" s="72" t="n">
        <v>46202</v>
      </c>
      <c r="I494" s="73" t="n">
        <v>1282.7</v>
      </c>
      <c r="J494" s="71" t="inlineStr">
        <is>
          <t>gross (stated)</t>
        </is>
      </c>
      <c r="K494" s="74" t="n"/>
      <c r="L494" s="74" t="n">
        <v>22.6</v>
      </c>
      <c r="M494" s="74" t="n">
        <v>22.6</v>
      </c>
      <c r="N494" s="71" t="inlineStr">
        <is>
          <t>Y</t>
        </is>
      </c>
      <c r="O494" s="75" t="n">
        <v>100</v>
      </c>
      <c r="P494" s="75" t="n"/>
      <c r="Q494" s="76" t="n">
        <v>6859.4</v>
      </c>
      <c r="R494" s="71" t="inlineStr">
        <is>
          <t>derived:deal size / offer % of enlarged capital</t>
        </is>
      </c>
      <c r="S494" s="77" t="n">
        <v>963.5599999999999</v>
      </c>
      <c r="T494" s="78" t="n">
        <v>19.77</v>
      </c>
      <c r="U494" s="79" t="n">
        <v>49.78</v>
      </c>
      <c r="V494" s="80" t="n">
        <v>93</v>
      </c>
      <c r="W494" s="75" t="n">
        <v>10</v>
      </c>
      <c r="X494" s="71" t="inlineStr">
        <is>
          <t>NA</t>
        </is>
      </c>
      <c r="Y494" s="76" t="n">
        <v>644.17</v>
      </c>
      <c r="Z494" s="76" t="n">
        <v>28502562</v>
      </c>
      <c r="AA494" s="75" t="n">
        <v>9.390000000000001</v>
      </c>
      <c r="AB494" s="71"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AC494" s="71" t="inlineStr">
        <is>
          <t>universal;cormorant;dymon;fund-management;gf;gic;golden-valley;huang-river;loomis;loyal;perfect;rtw;symbiosis</t>
        </is>
      </c>
      <c r="AD494" s="75" t="n">
        <v>7.9</v>
      </c>
      <c r="AE494" s="71" t="inlineStr">
        <is>
          <t>full</t>
        </is>
      </c>
      <c r="AF494" s="71" t="n"/>
      <c r="AG494" s="71" t="inlineStr">
        <is>
          <t>Jefferies Hong Kong Limited</t>
        </is>
      </c>
      <c r="AH494" s="71" t="inlineStr">
        <is>
          <t>Jefferies</t>
        </is>
      </c>
      <c r="AI494" s="81" t="n">
        <v>88.053</v>
      </c>
      <c r="AJ494" s="82" t="n">
        <v>103.54</v>
      </c>
      <c r="AK494" s="82" t="n">
        <v>85.84</v>
      </c>
      <c r="AL494" s="82" t="n">
        <v>9.52</v>
      </c>
      <c r="AM494" s="83" t="n">
        <v>2.25</v>
      </c>
      <c r="AN494" s="75" t="n">
        <v>13.1</v>
      </c>
      <c r="AO494" s="82" t="n">
        <v>29.12</v>
      </c>
      <c r="AP494" s="82" t="n">
        <v>19.47</v>
      </c>
      <c r="AQ494" s="82" t="n"/>
      <c r="AR494" s="82" t="n">
        <v>-36.56</v>
      </c>
      <c r="AS494" s="82" t="n">
        <v>-41.3</v>
      </c>
      <c r="AT494" s="82" t="n"/>
      <c r="AU494" s="82" t="n">
        <v>16.76</v>
      </c>
      <c r="AV494" s="82" t="n">
        <v>2.47</v>
      </c>
      <c r="AW494" s="82" t="n"/>
      <c r="AX494" s="82" t="n">
        <v>-49.96</v>
      </c>
      <c r="AY494" s="82" t="n">
        <v>17</v>
      </c>
      <c r="AZ494" s="82" t="n">
        <v>8.66</v>
      </c>
      <c r="BA494" s="71" t="inlineStr">
        <is>
          <t>China Biotech ETF (HS biotech proxy)</t>
        </is>
      </c>
      <c r="BB494" s="82" t="n">
        <v>18.41</v>
      </c>
      <c r="BC494" s="72" t="inlineStr">
        <is>
          <t>2026-09-21</t>
        </is>
      </c>
      <c r="BD494" s="73" t="n">
        <v>33.6</v>
      </c>
      <c r="BE494" s="76" t="n">
        <v>-827</v>
      </c>
      <c r="BF494" s="71" t="inlineStr">
        <is>
          <t>N</t>
        </is>
      </c>
      <c r="BG494" s="71" t="inlineStr">
        <is>
          <t>n/m</t>
        </is>
      </c>
      <c r="BH494" s="83" t="n"/>
      <c r="BI494" s="83" t="n"/>
      <c r="BJ494" s="83" t="n">
        <v>204.1</v>
      </c>
      <c r="BK494" s="84">
        <f>IF('BBG Verify'!S494="","not filed; run on terminal",'BBG Verify'!S494)</f>
        <v/>
      </c>
      <c r="BL494" s="85" t="inlineStr">
        <is>
          <t>N</t>
        </is>
      </c>
      <c r="BM494" s="86">
        <f>IF('BBG Verify'!K494="","not filed; run on terminal",'BBG Verify'!K494)</f>
        <v/>
      </c>
      <c r="BN494" s="71" t="inlineStr">
        <is>
          <t>N/A</t>
        </is>
      </c>
      <c r="BO494" s="71" t="inlineStr">
        <is>
          <t>N/A</t>
        </is>
      </c>
      <c r="BP494" s="71" t="inlineStr">
        <is>
          <t>N/A</t>
        </is>
      </c>
      <c r="BQ494" s="71" t="inlineStr">
        <is>
          <t>N/A</t>
        </is>
      </c>
      <c r="BR494" s="71" t="inlineStr">
        <is>
          <t>N/A</t>
        </is>
      </c>
      <c r="BS494" s="71" t="inlineStr">
        <is>
          <t>N/A</t>
        </is>
      </c>
      <c r="BT494" s="85" t="n"/>
      <c r="BU494" s="71" t="inlineStr">
        <is>
          <t>Jefferies Hong Kong Limited; Merrill Lynch (Asia Pacific) Limited; Huatai Financial Holdings (Hong Kong) Limited</t>
        </is>
      </c>
      <c r="BV494" s="71" t="inlineStr">
        <is>
          <t>BOCI Asia Limited</t>
        </is>
      </c>
      <c r="BW494" s="71" t="inlineStr">
        <is>
          <t>BOCI Asia Limited; CLSA Limited; Huatai Financial Holdings (Hong Kong) Limited; Jefferies Hong Kong Limited; Merrill Lynch (Asia Pacific) Limited</t>
        </is>
      </c>
      <c r="BX494" s="87">
        <f>HYPERLINK("https://www1.hkexnews.hk/listedco/listconews/sehk/2026/0618/2026061800025.pdf","prospectus")</f>
        <v/>
      </c>
      <c r="BY494" s="87">
        <f>HYPERLINK("https://www1.hkexnews.hk/listedco/listconews/sehk/2026/0626/2026062603033.pdf","allotment")</f>
        <v/>
      </c>
      <c r="BZ494" s="87">
        <f>HYPERLINK("https://www1.hkexnews.hk/listedco/listconews/sehk/2026/0724/2026072400262.pdf","stabilisation")</f>
        <v/>
      </c>
      <c r="CA494" s="85" t="n"/>
      <c r="CB494" s="71"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70" t="inlineStr">
        <is>
          <t>2697</t>
        </is>
      </c>
      <c r="B495" s="71" t="inlineStr">
        <is>
          <t>TH MEDICAL-B</t>
        </is>
      </c>
      <c r="C495" s="71" t="inlineStr">
        <is>
          <t>真健康醫療－Ｂ</t>
        </is>
      </c>
      <c r="D495" s="71" t="inlineStr">
        <is>
          <t>Healthcare</t>
        </is>
      </c>
      <c r="E495" s="71" t="inlineStr">
        <is>
          <t>Medical devices</t>
        </is>
      </c>
      <c r="F495" s="71" t="inlineStr">
        <is>
          <t>Biotechnology - Medical Devices</t>
        </is>
      </c>
      <c r="G495" s="71" t="inlineStr">
        <is>
          <t>18A</t>
        </is>
      </c>
      <c r="H495" s="72" t="n">
        <v>46203</v>
      </c>
      <c r="I495" s="73" t="n">
        <v>449.9</v>
      </c>
      <c r="J495" s="71" t="inlineStr">
        <is>
          <t>gross (stated)</t>
        </is>
      </c>
      <c r="K495" s="74" t="n"/>
      <c r="L495" s="74" t="n">
        <v>135.4</v>
      </c>
      <c r="M495" s="74" t="n">
        <v>126.2</v>
      </c>
      <c r="N495" s="71" t="inlineStr">
        <is>
          <t>N</t>
        </is>
      </c>
      <c r="O495" s="75" t="n">
        <v>93.2</v>
      </c>
      <c r="P495" s="75" t="n"/>
      <c r="Q495" s="76" t="n">
        <v>4498.7</v>
      </c>
      <c r="R495" s="71" t="inlineStr">
        <is>
          <t>derived:price x shares upon listing</t>
        </is>
      </c>
      <c r="S495" s="77" t="n">
        <v>1790.4</v>
      </c>
      <c r="T495" s="78" t="n">
        <v>2.2</v>
      </c>
      <c r="U495" s="79" t="n">
        <v>0</v>
      </c>
      <c r="V495" s="80" t="n">
        <v>107</v>
      </c>
      <c r="W495" s="75" t="n">
        <v>10</v>
      </c>
      <c r="X495" s="71" t="inlineStr">
        <is>
          <t>NO</t>
        </is>
      </c>
      <c r="Y495" s="76" t="n">
        <v>449.9</v>
      </c>
      <c r="Z495" s="76" t="n">
        <v>3564700</v>
      </c>
      <c r="AA495" s="75" t="n">
        <v>10</v>
      </c>
      <c r="AB495" s="71" t="n"/>
      <c r="AC495" s="71" t="n"/>
      <c r="AD495" s="75" t="n">
        <v>14.5</v>
      </c>
      <c r="AE495" s="71" t="n"/>
      <c r="AF495" s="71" t="n"/>
      <c r="AG495" s="71" t="inlineStr">
        <is>
          <t>China International Capital Corporation Hong Kong Securities Limited</t>
        </is>
      </c>
      <c r="AH495" s="71" t="inlineStr">
        <is>
          <t>China International</t>
        </is>
      </c>
      <c r="AI495" s="81" t="n">
        <v>172.742</v>
      </c>
      <c r="AJ495" s="82" t="n">
        <v>216.96</v>
      </c>
      <c r="AK495" s="82" t="n">
        <v>159.27</v>
      </c>
      <c r="AL495" s="82" t="n">
        <v>22.25</v>
      </c>
      <c r="AM495" s="83" t="n">
        <v>2.56</v>
      </c>
      <c r="AN495" s="75" t="n">
        <v>30.07</v>
      </c>
      <c r="AO495" s="82" t="n">
        <v>202.22</v>
      </c>
      <c r="AP495" s="82" t="n">
        <v>325.91</v>
      </c>
      <c r="AQ495" s="82" t="n"/>
      <c r="AR495" s="82" t="n">
        <v>-4.65</v>
      </c>
      <c r="AS495" s="82" t="n">
        <v>34.37</v>
      </c>
      <c r="AT495" s="82" t="n"/>
      <c r="AU495" s="82" t="n">
        <v>199.84</v>
      </c>
      <c r="AV495" s="82" t="n">
        <v>319.19</v>
      </c>
      <c r="AW495" s="82" t="n"/>
      <c r="AX495" s="82" t="n">
        <v>26.64</v>
      </c>
      <c r="AY495" s="82" t="n">
        <v>6.72</v>
      </c>
      <c r="AZ495" s="82" t="n">
        <v>7.73</v>
      </c>
      <c r="BA495" s="71" t="inlineStr">
        <is>
          <t>China Biotech ETF (HS biotech proxy)</t>
        </is>
      </c>
      <c r="BB495" s="82" t="n">
        <v>128.21</v>
      </c>
      <c r="BC495" s="72" t="inlineStr">
        <is>
          <t>2026-09-21</t>
        </is>
      </c>
      <c r="BD495" s="73" t="n">
        <v>13.4</v>
      </c>
      <c r="BE495" s="76" t="n">
        <v>-99.09999999999999</v>
      </c>
      <c r="BF495" s="71" t="inlineStr">
        <is>
          <t>N</t>
        </is>
      </c>
      <c r="BG495" s="71" t="inlineStr">
        <is>
          <t>n/m</t>
        </is>
      </c>
      <c r="BH495" s="83" t="n"/>
      <c r="BI495" s="83" t="n"/>
      <c r="BJ495" s="83" t="n">
        <v>335.7</v>
      </c>
      <c r="BK495" s="84">
        <f>IF('BBG Verify'!S495="","not filed; run on terminal",'BBG Verify'!S495)</f>
        <v/>
      </c>
      <c r="BL495" s="85" t="inlineStr">
        <is>
          <t>N</t>
        </is>
      </c>
      <c r="BM495" s="86">
        <f>IF('BBG Verify'!K495="","not filed; run on terminal",'BBG Verify'!K495)</f>
        <v/>
      </c>
      <c r="BN495" s="71" t="inlineStr">
        <is>
          <t>N/A</t>
        </is>
      </c>
      <c r="BO495" s="71" t="inlineStr">
        <is>
          <t>N/A</t>
        </is>
      </c>
      <c r="BP495" s="71" t="inlineStr">
        <is>
          <t>N/A</t>
        </is>
      </c>
      <c r="BQ495" s="71" t="inlineStr">
        <is>
          <t>N/A</t>
        </is>
      </c>
      <c r="BR495" s="71" t="inlineStr">
        <is>
          <t>N/A</t>
        </is>
      </c>
      <c r="BS495" s="71" t="inlineStr">
        <is>
          <t>N/A</t>
        </is>
      </c>
      <c r="BT495" s="85" t="inlineStr">
        <is>
          <t>China International Capital Corporation Hong Kong Securities Limited; DBS Asia Capital Limited</t>
        </is>
      </c>
      <c r="BU495" s="71" t="inlineStr">
        <is>
          <t>China International Capital Corporation Hong Kong Securities Limited; DBS Asia Capital Limited</t>
        </is>
      </c>
      <c r="BV495" s="71"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W495" s="71"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X495" s="87">
        <f>HYPERLINK("https://www1.hkexnews.hk/listedco/listconews/sehk/2026/0622/2026062200041.pdf","prospectus")</f>
        <v/>
      </c>
      <c r="BY495" s="87">
        <f>HYPERLINK("https://www1.hkexnews.hk/listedco/listconews/sehk/2026/0629/2026062901959.pdf","allotment")</f>
        <v/>
      </c>
      <c r="BZ495" s="71" t="n"/>
      <c r="CA495" s="85" t="n"/>
      <c r="CB495" s="71"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70" t="inlineStr">
        <is>
          <t>6915</t>
        </is>
      </c>
      <c r="B496" s="71" t="inlineStr">
        <is>
          <t>JIANGXI BIO</t>
        </is>
      </c>
      <c r="C496" s="71" t="inlineStr">
        <is>
          <t>江西生物</t>
        </is>
      </c>
      <c r="D496" s="71" t="inlineStr">
        <is>
          <t>Healthcare</t>
        </is>
      </c>
      <c r="E496" s="71" t="inlineStr">
        <is>
          <t>Biopharma commercial</t>
        </is>
      </c>
      <c r="F496" s="71" t="inlineStr">
        <is>
          <t>Biotechnology - Pharmaceuticals</t>
        </is>
      </c>
      <c r="G496" s="71" t="inlineStr">
        <is>
          <t>Standard</t>
        </is>
      </c>
      <c r="H496" s="72" t="n">
        <v>46203</v>
      </c>
      <c r="I496" s="73" t="n">
        <v>405.83</v>
      </c>
      <c r="J496" s="71" t="inlineStr">
        <is>
          <t>gross (stated)</t>
        </is>
      </c>
      <c r="K496" s="74" t="n">
        <v>9.33</v>
      </c>
      <c r="L496" s="74" t="n">
        <v>13.06</v>
      </c>
      <c r="M496" s="74" t="n">
        <v>11.2</v>
      </c>
      <c r="N496" s="71" t="inlineStr">
        <is>
          <t>N</t>
        </is>
      </c>
      <c r="O496" s="75" t="n">
        <v>85.8</v>
      </c>
      <c r="P496" s="75" t="n">
        <v>50.1</v>
      </c>
      <c r="Q496" s="76" t="n">
        <v>3453.9</v>
      </c>
      <c r="R496" s="71" t="inlineStr">
        <is>
          <t>derived:deal size / offer % of enlarged capital</t>
        </is>
      </c>
      <c r="S496" s="77" t="n">
        <v>476.56</v>
      </c>
      <c r="T496" s="78" t="n">
        <v>4.25</v>
      </c>
      <c r="U496" s="79" t="n">
        <v>13.07</v>
      </c>
      <c r="V496" s="80" t="n">
        <v>63</v>
      </c>
      <c r="W496" s="75" t="n">
        <v>10</v>
      </c>
      <c r="X496" s="71" t="inlineStr">
        <is>
          <t>NA</t>
        </is>
      </c>
      <c r="Y496" s="76" t="n">
        <v>352.79</v>
      </c>
      <c r="Z496" s="76" t="n">
        <v>31498651</v>
      </c>
      <c r="AA496" s="75" t="n">
        <v>10.21</v>
      </c>
      <c r="AB496" s="71" t="inlineStr">
        <is>
          <t>Wealth Strategy Holding Limited</t>
        </is>
      </c>
      <c r="AC496" s="71" t="inlineStr">
        <is>
          <t>wealth</t>
        </is>
      </c>
      <c r="AD496" s="75" t="n">
        <v>15</v>
      </c>
      <c r="AE496" s="71" t="inlineStr">
        <is>
          <t>lapsed</t>
        </is>
      </c>
      <c r="AF496" s="71" t="inlineStr">
        <is>
          <t>2026-07-25</t>
        </is>
      </c>
      <c r="AG496" s="71" t="inlineStr">
        <is>
          <t>Chin a International Capital Corporation Hong Kong Securities Limited</t>
        </is>
      </c>
      <c r="AH496" s="71" t="inlineStr">
        <is>
          <t>Chin a</t>
        </is>
      </c>
      <c r="AI496" s="81" t="n">
        <v>-3.482</v>
      </c>
      <c r="AJ496" s="82" t="n">
        <v>-12.68</v>
      </c>
      <c r="AK496" s="82" t="n">
        <v>-33.93</v>
      </c>
      <c r="AL496" s="82" t="n">
        <v>32.16</v>
      </c>
      <c r="AM496" s="83" t="n">
        <v>8.27</v>
      </c>
      <c r="AN496" s="75" t="n">
        <v>46.62</v>
      </c>
      <c r="AO496" s="82" t="n">
        <v>-62.41</v>
      </c>
      <c r="AP496" s="82" t="n">
        <v>24.82</v>
      </c>
      <c r="AQ496" s="82" t="n"/>
      <c r="AR496" s="82" t="n">
        <v>-56.95</v>
      </c>
      <c r="AS496" s="82" t="n">
        <v>42.95</v>
      </c>
      <c r="AT496" s="82" t="n"/>
      <c r="AU496" s="82" t="n">
        <v>-64.79000000000001</v>
      </c>
      <c r="AV496" s="82" t="n">
        <v>18.1</v>
      </c>
      <c r="AW496" s="82" t="n"/>
      <c r="AX496" s="82" t="n">
        <v>35.22</v>
      </c>
      <c r="AY496" s="82" t="n">
        <v>6.72</v>
      </c>
      <c r="AZ496" s="82" t="n">
        <v>7.73</v>
      </c>
      <c r="BA496" s="71" t="inlineStr">
        <is>
          <t>China Biotech ETF (HS biotech proxy)</t>
        </is>
      </c>
      <c r="BB496" s="82" t="n">
        <v>36.34</v>
      </c>
      <c r="BC496" s="72" t="inlineStr">
        <is>
          <t>2026-09-21</t>
        </is>
      </c>
      <c r="BD496" s="73" t="n">
        <v>242.8</v>
      </c>
      <c r="BE496" s="76" t="n">
        <v>104.3</v>
      </c>
      <c r="BF496" s="71" t="inlineStr">
        <is>
          <t>Y</t>
        </is>
      </c>
      <c r="BG496" s="83" t="n">
        <v>33.1</v>
      </c>
      <c r="BH496" s="83" t="n"/>
      <c r="BI496" s="83" t="n"/>
      <c r="BJ496" s="83" t="n">
        <v>14.2</v>
      </c>
      <c r="BK496" s="84">
        <f>IF('BBG Verify'!S496="","not filed; run on terminal",'BBG Verify'!S496)</f>
        <v/>
      </c>
      <c r="BL496" s="85" t="inlineStr">
        <is>
          <t>N</t>
        </is>
      </c>
      <c r="BM496" s="86">
        <f>IF('BBG Verify'!K496="","not filed; run on terminal",'BBG Verify'!K496)</f>
        <v/>
      </c>
      <c r="BN496" s="71" t="inlineStr">
        <is>
          <t>N/A</t>
        </is>
      </c>
      <c r="BO496" s="71" t="inlineStr">
        <is>
          <t>N/A</t>
        </is>
      </c>
      <c r="BP496" s="71" t="inlineStr">
        <is>
          <t>N/A</t>
        </is>
      </c>
      <c r="BQ496" s="71" t="inlineStr">
        <is>
          <t>N/A</t>
        </is>
      </c>
      <c r="BR496" s="71" t="inlineStr">
        <is>
          <t>N/A</t>
        </is>
      </c>
      <c r="BS496" s="71" t="inlineStr">
        <is>
          <t>N/A</t>
        </is>
      </c>
      <c r="BT496" s="85" t="inlineStr">
        <is>
          <t>China Merchants Securities (HK) Co., Limited</t>
        </is>
      </c>
      <c r="BU496" s="71" t="inlineStr">
        <is>
          <t>China International Capital Corporation Hong Kong Securities Limited; China Merchants Securities (HK) Company Limited</t>
        </is>
      </c>
      <c r="BV496" s="71" t="inlineStr">
        <is>
          <t>China Merchants Securities (HK) Co., Limited; Futu Securities International (Hong Kong) Limited; CMBC Securities Company Limited; Arta Asset Management Limited</t>
        </is>
      </c>
      <c r="BW496" s="71"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X496" s="87">
        <f>HYPERLINK("https://www1.hkexnews.hk/listedco/listconews/sehk/2026/0622/2026062200065.pdf","prospectus")</f>
        <v/>
      </c>
      <c r="BY496" s="87">
        <f>HYPERLINK("https://www1.hkexnews.hk/listedco/listconews/sehk/2026/0629/2026062902075.pdf","allotment")</f>
        <v/>
      </c>
      <c r="BZ496" s="87">
        <f>HYPERLINK("https://www1.hkexnews.hk/listedco/listconews/sehk/2026/0726/2026072600027.pdf","stabilisation")</f>
        <v/>
      </c>
      <c r="CA496" s="85" t="n"/>
      <c r="CB496" s="71" t="inlineStr">
        <is>
          <t>3m: listed less than 3m ago; alpha/index: 3m window not elapsed</t>
        </is>
      </c>
    </row>
    <row r="497" ht="15" customHeight="1">
      <c r="A497" s="70" t="inlineStr">
        <is>
          <t>3952</t>
        </is>
      </c>
      <c r="B497" s="71" t="inlineStr">
        <is>
          <t>LAIFUAL</t>
        </is>
      </c>
      <c r="C497" s="71" t="inlineStr">
        <is>
          <t>來福諧波</t>
        </is>
      </c>
      <c r="D497" s="71" t="inlineStr">
        <is>
          <t>Industrials</t>
        </is>
      </c>
      <c r="E497" s="71" t="inlineStr">
        <is>
          <t>Capital goods / machinery</t>
        </is>
      </c>
      <c r="F497" s="71" t="inlineStr">
        <is>
          <t>Advanced hardware and software</t>
        </is>
      </c>
      <c r="G497" s="71" t="inlineStr">
        <is>
          <t>18C</t>
        </is>
      </c>
      <c r="H497" s="72" t="n">
        <v>46203</v>
      </c>
      <c r="I497" s="73" t="n">
        <v>1149.3</v>
      </c>
      <c r="J497" s="71" t="inlineStr">
        <is>
          <t>gross (stated)</t>
        </is>
      </c>
      <c r="K497" s="74" t="n"/>
      <c r="L497" s="74" t="n">
        <v>85.5</v>
      </c>
      <c r="M497" s="74" t="n">
        <v>85.5</v>
      </c>
      <c r="N497" s="71" t="inlineStr">
        <is>
          <t>Y</t>
        </is>
      </c>
      <c r="O497" s="75" t="n">
        <v>100</v>
      </c>
      <c r="P497" s="75" t="n"/>
      <c r="Q497" s="76" t="n">
        <v>7818.4</v>
      </c>
      <c r="R497" s="71" t="inlineStr">
        <is>
          <t>derived:deal size / offer % of enlarged capital</t>
        </is>
      </c>
      <c r="S497" s="77" t="n">
        <v>4571.99</v>
      </c>
      <c r="T497" s="78" t="n">
        <v>7.89</v>
      </c>
      <c r="U497" s="79" t="n">
        <v>42.8</v>
      </c>
      <c r="V497" s="80" t="n">
        <v>93</v>
      </c>
      <c r="W497" s="75" t="n">
        <v>20</v>
      </c>
      <c r="X497" s="71" t="inlineStr">
        <is>
          <t>YES</t>
        </is>
      </c>
      <c r="Y497" s="76" t="n">
        <v>657.4</v>
      </c>
      <c r="Z497" s="76" t="n">
        <v>7688767</v>
      </c>
      <c r="AA497" s="75" t="n">
        <v>8.41</v>
      </c>
      <c r="AB497" s="71"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AC497" s="71" t="inlineStr">
        <is>
          <t>alphahill;cdh;dreamee;eurus;factorial;harvest;lbc;oaktree;oasis</t>
        </is>
      </c>
      <c r="AD497" s="75" t="n">
        <v>8.699999999999999</v>
      </c>
      <c r="AE497" s="71" t="inlineStr">
        <is>
          <t>partial</t>
        </is>
      </c>
      <c r="AF497" s="71" t="inlineStr">
        <is>
          <t>2026-07-25</t>
        </is>
      </c>
      <c r="AG497" s="71" t="inlineStr">
        <is>
          <t>CMB International Securities Limited</t>
        </is>
      </c>
      <c r="AH497" s="71" t="inlineStr">
        <is>
          <t>CMB</t>
        </is>
      </c>
      <c r="AI497" s="81" t="n">
        <v>18.129</v>
      </c>
      <c r="AJ497" s="82" t="n">
        <v>-14.62</v>
      </c>
      <c r="AK497" s="82" t="n">
        <v>3.16</v>
      </c>
      <c r="AL497" s="82" t="n">
        <v>-17.24</v>
      </c>
      <c r="AM497" s="83" t="n">
        <v>3.87</v>
      </c>
      <c r="AN497" s="75" t="n">
        <v>29.02</v>
      </c>
      <c r="AO497" s="82" t="n">
        <v>21.87</v>
      </c>
      <c r="AP497" s="82" t="n">
        <v>-42.22</v>
      </c>
      <c r="AQ497" s="82" t="n"/>
      <c r="AR497" s="82" t="n">
        <v>42.74</v>
      </c>
      <c r="AS497" s="82" t="n">
        <v>-32.33</v>
      </c>
      <c r="AT497" s="82" t="n"/>
      <c r="AU497" s="82" t="n">
        <v>14.78</v>
      </c>
      <c r="AV497" s="82" t="n">
        <v>-55.12</v>
      </c>
      <c r="AW497" s="82" t="n"/>
      <c r="AX497" s="82" t="n">
        <v>-45.4</v>
      </c>
      <c r="AY497" s="82" t="n">
        <v>12.9</v>
      </c>
      <c r="AZ497" s="82" t="n">
        <v>13.07</v>
      </c>
      <c r="BA497" s="71" t="inlineStr">
        <is>
          <t>Hang Seng Commerce &amp; Industry sub-index</t>
        </is>
      </c>
      <c r="BB497" s="82" t="n">
        <v>-42.01</v>
      </c>
      <c r="BC497" s="72" t="inlineStr">
        <is>
          <t>2026-09-21</t>
        </is>
      </c>
      <c r="BD497" s="73" t="n">
        <v>287</v>
      </c>
      <c r="BE497" s="76" t="n">
        <v>-185.7</v>
      </c>
      <c r="BF497" s="71" t="inlineStr">
        <is>
          <t>N</t>
        </is>
      </c>
      <c r="BG497" s="71" t="inlineStr">
        <is>
          <t>n/m</t>
        </is>
      </c>
      <c r="BH497" s="83" t="n"/>
      <c r="BI497" s="83" t="n"/>
      <c r="BJ497" s="83" t="n">
        <v>27.2</v>
      </c>
      <c r="BK497" s="84">
        <f>IF('BBG Verify'!S497="","not filed; run on terminal",'BBG Verify'!S497)</f>
        <v/>
      </c>
      <c r="BL497" s="85" t="inlineStr">
        <is>
          <t>N</t>
        </is>
      </c>
      <c r="BM497" s="86">
        <f>IF('BBG Verify'!K497="","not filed; run on terminal",'BBG Verify'!K497)</f>
        <v/>
      </c>
      <c r="BN497" s="71" t="inlineStr">
        <is>
          <t>N/A</t>
        </is>
      </c>
      <c r="BO497" s="71" t="inlineStr">
        <is>
          <t>N/A</t>
        </is>
      </c>
      <c r="BP497" s="71" t="inlineStr">
        <is>
          <t>N/A</t>
        </is>
      </c>
      <c r="BQ497" s="71" t="inlineStr">
        <is>
          <t>N/A</t>
        </is>
      </c>
      <c r="BR497" s="71" t="inlineStr">
        <is>
          <t>N/A</t>
        </is>
      </c>
      <c r="BS497" s="71" t="inlineStr">
        <is>
          <t>N/A</t>
        </is>
      </c>
      <c r="BT497" s="85" t="inlineStr">
        <is>
          <t>CMB International Capital Limited</t>
        </is>
      </c>
      <c r="BU497" s="71" t="inlineStr">
        <is>
          <t>CMB International Capital Limited</t>
        </is>
      </c>
      <c r="BV497" s="71" t="inlineStr">
        <is>
          <t>CMB International Capital Limited</t>
        </is>
      </c>
      <c r="BW497" s="71" t="inlineStr">
        <is>
          <t>CMB International Capital Limited</t>
        </is>
      </c>
      <c r="BX497" s="87">
        <f>HYPERLINK("https://www1.hkexnews.hk/listedco/listconews/sehk/2026/0622/2026062200047.pdf","prospectus")</f>
        <v/>
      </c>
      <c r="BY497" s="87">
        <f>HYPERLINK("https://www1.hkexnews.hk/listedco/listconews/sehk/2026/0629/2026062902089.pdf","allotment")</f>
        <v/>
      </c>
      <c r="BZ497" s="87">
        <f>HYPERLINK("https://www1.hkexnews.hk/listedco/listconews/sehk/2026/0726/2026072600013.pdf","stabilisation")</f>
        <v/>
      </c>
      <c r="CA497" s="85" t="n"/>
      <c r="CB497" s="71" t="inlineStr">
        <is>
          <t>P/E: loss-making at IPO, use P/S; range low: maximum offer price only, no floor published; 3m: listed less than 3m ago; cornerstone %: upper bound: AAStocks institutional total / deal size; alpha/index: 3m window not elapsed</t>
        </is>
      </c>
    </row>
    <row r="498" ht="15" customHeight="1">
      <c r="A498" s="70" t="inlineStr">
        <is>
          <t>6715</t>
        </is>
      </c>
      <c r="B498" s="71" t="inlineStr">
        <is>
          <t>XUNLONG SCITECH</t>
        </is>
      </c>
      <c r="C498" s="71" t="inlineStr">
        <is>
          <t>鱘龍科技</t>
        </is>
      </c>
      <c r="D498" s="71" t="inlineStr">
        <is>
          <t>Consumer</t>
        </is>
      </c>
      <c r="E498" s="71" t="inlineStr">
        <is>
          <t>Beverages / packaged food</t>
        </is>
      </c>
      <c r="F498" s="71" t="inlineStr">
        <is>
          <t>Poultry, Meat and Seafood</t>
        </is>
      </c>
      <c r="G498" s="71" t="inlineStr">
        <is>
          <t>Standard</t>
        </is>
      </c>
      <c r="H498" s="72" t="n">
        <v>46203</v>
      </c>
      <c r="I498" s="73" t="n">
        <v>1233.1</v>
      </c>
      <c r="J498" s="71" t="inlineStr">
        <is>
          <t>gross (stated)</t>
        </is>
      </c>
      <c r="K498" s="74" t="n"/>
      <c r="L498" s="74" t="n">
        <v>75.5</v>
      </c>
      <c r="M498" s="74" t="n">
        <v>75.5</v>
      </c>
      <c r="N498" s="71" t="inlineStr">
        <is>
          <t>Y</t>
        </is>
      </c>
      <c r="O498" s="75" t="n">
        <v>100</v>
      </c>
      <c r="P498" s="75" t="n"/>
      <c r="Q498" s="76" t="n">
        <v>8220</v>
      </c>
      <c r="R498" s="71" t="inlineStr">
        <is>
          <t>press:10jqka 2026-06-30: 开盘涨36.42% 总市值112.15亿</t>
        </is>
      </c>
      <c r="S498" s="77" t="n">
        <v>2134.81</v>
      </c>
      <c r="T498" s="78" t="n">
        <v>19.87</v>
      </c>
      <c r="U498" s="79" t="n">
        <v>49.7</v>
      </c>
      <c r="V498" s="80" t="n">
        <v>145</v>
      </c>
      <c r="W498" s="75" t="n"/>
      <c r="X498" s="71" t="inlineStr">
        <is>
          <t>NO</t>
        </is>
      </c>
      <c r="Y498" s="76" t="n">
        <v>620.25</v>
      </c>
      <c r="Z498" s="76" t="n">
        <v>8215449</v>
      </c>
      <c r="AA498" s="75" t="n">
        <v>7.55</v>
      </c>
      <c r="AB498" s="71" t="inlineStr">
        <is>
          <t>Baring Asset Management (Asia) Limited; BlackRock, Inc; ICBC Wealth Management Co., Ltd; Mirae Asset Securities (HK) Limited; Nova Kerry Inc; Taikang Life Insurance Co., Ltd</t>
        </is>
      </c>
      <c r="AC498" s="71" t="inlineStr">
        <is>
          <t>baring;blackrock;icbc;mirae;nova;taikang</t>
        </is>
      </c>
      <c r="AD498" s="75" t="n">
        <v>15</v>
      </c>
      <c r="AE498" s="71" t="inlineStr">
        <is>
          <t>lapsed</t>
        </is>
      </c>
      <c r="AF498" s="71" t="inlineStr">
        <is>
          <t>2026-07-25</t>
        </is>
      </c>
      <c r="AG498" s="71" t="inlineStr">
        <is>
          <t>CL SA Limited</t>
        </is>
      </c>
      <c r="AH498" s="71" t="inlineStr">
        <is>
          <t>CL</t>
        </is>
      </c>
      <c r="AI498" s="81" t="n">
        <v>37.086</v>
      </c>
      <c r="AJ498" s="82" t="n">
        <v>50.99</v>
      </c>
      <c r="AK498" s="82" t="n">
        <v>36.42</v>
      </c>
      <c r="AL498" s="82" t="n">
        <v>10.68</v>
      </c>
      <c r="AM498" s="83" t="n"/>
      <c r="AN498" s="75" t="n">
        <v>18.64</v>
      </c>
      <c r="AO498" s="82" t="n">
        <v>3.97</v>
      </c>
      <c r="AP498" s="82" t="n">
        <v>-22.72</v>
      </c>
      <c r="AQ498" s="82" t="n"/>
      <c r="AR498" s="82" t="n">
        <v>-31.14</v>
      </c>
      <c r="AS498" s="82" t="n">
        <v>-48.82</v>
      </c>
      <c r="AT498" s="82" t="n"/>
      <c r="AU498" s="82" t="n">
        <v>-3.12</v>
      </c>
      <c r="AV498" s="82" t="n">
        <v>-35.62</v>
      </c>
      <c r="AW498" s="82" t="n"/>
      <c r="AX498" s="82" t="n">
        <v>-61.89</v>
      </c>
      <c r="AY498" s="82" t="n">
        <v>12.9</v>
      </c>
      <c r="AZ498" s="82" t="n">
        <v>13.07</v>
      </c>
      <c r="BA498" s="71" t="inlineStr">
        <is>
          <t>Hang Seng Commerce &amp; Industry sub-index</t>
        </is>
      </c>
      <c r="BB498" s="82" t="n">
        <v>-14.04</v>
      </c>
      <c r="BC498" s="72" t="inlineStr">
        <is>
          <t>2026-09-21</t>
        </is>
      </c>
      <c r="BD498" s="73" t="n">
        <v>845.9</v>
      </c>
      <c r="BE498" s="76" t="n">
        <v>399.7</v>
      </c>
      <c r="BF498" s="71" t="inlineStr">
        <is>
          <t>Y</t>
        </is>
      </c>
      <c r="BG498" s="83" t="n">
        <v>20.6</v>
      </c>
      <c r="BH498" s="83" t="n"/>
      <c r="BI498" s="83" t="n"/>
      <c r="BJ498" s="83" t="n">
        <v>9.699999999999999</v>
      </c>
      <c r="BK498" s="84">
        <f>IF('BBG Verify'!S498="","not filed; run on terminal",'BBG Verify'!S498)</f>
        <v/>
      </c>
      <c r="BL498" s="85" t="inlineStr">
        <is>
          <t>N</t>
        </is>
      </c>
      <c r="BM498" s="86">
        <f>IF('BBG Verify'!K498="","not filed; run on terminal",'BBG Verify'!K498)</f>
        <v/>
      </c>
      <c r="BN498" s="71" t="inlineStr">
        <is>
          <t>N/A</t>
        </is>
      </c>
      <c r="BO498" s="71" t="inlineStr">
        <is>
          <t>N/A</t>
        </is>
      </c>
      <c r="BP498" s="71" t="inlineStr">
        <is>
          <t>N/A</t>
        </is>
      </c>
      <c r="BQ498" s="71" t="inlineStr">
        <is>
          <t>N/A</t>
        </is>
      </c>
      <c r="BR498" s="71" t="inlineStr">
        <is>
          <t>N/A</t>
        </is>
      </c>
      <c r="BS498" s="71" t="inlineStr">
        <is>
          <t>N/A</t>
        </is>
      </c>
      <c r="BT498" s="85" t="inlineStr">
        <is>
          <t>CITIC Securities (Hong Kong) Limited; China Securities (Internat ional) Corporate Finance Company Limited; CLSA Limited</t>
        </is>
      </c>
      <c r="BU498" s="71" t="inlineStr">
        <is>
          <t>CITIC Securities (Hong Kong) Limited; China Securities (International) Corporate Finance Company Limited</t>
        </is>
      </c>
      <c r="BV498" s="71" t="inlineStr">
        <is>
          <t>China Industrial Securities International Capital Limited; CLSA Limited; China Securities (International) Corporate Finance Company Limited; Huafu International Securities Limited</t>
        </is>
      </c>
      <c r="BW498" s="71" t="inlineStr">
        <is>
          <t>China Industrial Securities International Capital Limited; CLSA Limited; China Securities (International) Corporate Finance Company Limited; Huafu International Securities Limited</t>
        </is>
      </c>
      <c r="BX498" s="87">
        <f>HYPERLINK("https://www1.hkexnews.hk/listedco/listconews/sehk/2026/0622/2026062200025.pdf","prospectus")</f>
        <v/>
      </c>
      <c r="BY498" s="87">
        <f>HYPERLINK("https://www1.hkexnews.hk/listedco/listconews/sehk/2026/0629/2026062902679.pdf","allotment")</f>
        <v/>
      </c>
      <c r="BZ498" s="87">
        <f>HYPERLINK("https://www1.hkexnews.hk/listedco/listconews/sehk/2026/0726/2026072600021.pdf","stabilisation")</f>
        <v/>
      </c>
      <c r="CA498" s="85" t="n"/>
      <c r="CB498" s="71" t="inlineStr">
        <is>
          <t>range low: maximum offer price only, no floor published; 3m: listed less than 3m ago; alpha/index: 3m window not elapsed; allocation: allocation table not in this notice's format (older prose announcement); day-1 tape: volume on file; the retail multiple needs the final public split, which this notice does not state</t>
        </is>
      </c>
    </row>
    <row r="499" ht="15" customHeight="1">
      <c r="A499" s="70" t="inlineStr">
        <is>
          <t>0668</t>
        </is>
      </c>
      <c r="B499" s="71" t="inlineStr">
        <is>
          <t>ANKER</t>
        </is>
      </c>
      <c r="C499" s="71" t="inlineStr">
        <is>
          <t>安克創新</t>
        </is>
      </c>
      <c r="D499" s="71" t="inlineStr">
        <is>
          <t>Tech/AI</t>
        </is>
      </c>
      <c r="E499" s="71" t="inlineStr">
        <is>
          <t>Smart hardware / consumer electronics</t>
        </is>
      </c>
      <c r="F499" s="71" t="inlineStr">
        <is>
          <t>Consumer Electronics</t>
        </is>
      </c>
      <c r="G499" s="71" t="inlineStr">
        <is>
          <t>Standard</t>
        </is>
      </c>
      <c r="H499" s="72" t="n">
        <v>46205</v>
      </c>
      <c r="I499" s="73" t="n">
        <v>4631.6</v>
      </c>
      <c r="J499" s="71" t="inlineStr">
        <is>
          <t>gross (stated)</t>
        </is>
      </c>
      <c r="K499" s="74" t="n"/>
      <c r="L499" s="74" t="n">
        <v>99.31999999999999</v>
      </c>
      <c r="M499" s="74" t="n">
        <v>99.31999999999999</v>
      </c>
      <c r="N499" s="71" t="inlineStr">
        <is>
          <t>Y</t>
        </is>
      </c>
      <c r="O499" s="75" t="n">
        <v>100</v>
      </c>
      <c r="P499" s="75" t="n"/>
      <c r="Q499" s="76" t="n">
        <v>57894.5</v>
      </c>
      <c r="R499" s="71" t="inlineStr">
        <is>
          <t>derived:price x shares upon listing</t>
        </is>
      </c>
      <c r="S499" s="77" t="n">
        <v>27.57</v>
      </c>
      <c r="T499" s="78" t="n">
        <v>10.24</v>
      </c>
      <c r="U499" s="79" t="n">
        <v>49.9</v>
      </c>
      <c r="V499" s="80" t="n">
        <v>137</v>
      </c>
      <c r="W499" s="75" t="n">
        <v>10</v>
      </c>
      <c r="X499" s="71" t="inlineStr">
        <is>
          <t>NA</t>
        </is>
      </c>
      <c r="Y499" s="76" t="n">
        <v>2320.43</v>
      </c>
      <c r="Z499" s="76" t="n">
        <v>23363033</v>
      </c>
      <c r="AA499" s="75" t="n">
        <v>4.01</v>
      </c>
      <c r="AB499" s="71"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AC499" s="71" t="inlineStr">
        <is>
          <t>aspex;franklin;greenwoods;hacf;jane;principal;schroder;shanghai-greenwoods;taikang;ubs;value;wt</t>
        </is>
      </c>
      <c r="AD499" s="75" t="n">
        <v>15</v>
      </c>
      <c r="AE499" s="71" t="n"/>
      <c r="AF499" s="71" t="n"/>
      <c r="AG499" s="71" t="inlineStr">
        <is>
          <t>China International Capital Corporation Hong Kong Securities Limited</t>
        </is>
      </c>
      <c r="AH499" s="71" t="inlineStr">
        <is>
          <t>China International</t>
        </is>
      </c>
      <c r="AI499" s="81" t="n">
        <v>-4.803</v>
      </c>
      <c r="AJ499" s="82" t="n">
        <v>15.69</v>
      </c>
      <c r="AK499" s="82" t="n">
        <v>-0.02</v>
      </c>
      <c r="AL499" s="82" t="n">
        <v>15.71</v>
      </c>
      <c r="AM499" s="83" t="n">
        <v>2.17</v>
      </c>
      <c r="AN499" s="75" t="n">
        <v>25.08</v>
      </c>
      <c r="AO499" s="82" t="n">
        <v>1.29</v>
      </c>
      <c r="AP499" s="82" t="n">
        <v>10.55</v>
      </c>
      <c r="AQ499" s="82" t="n"/>
      <c r="AR499" s="82" t="n">
        <v>-12.45</v>
      </c>
      <c r="AS499" s="82" t="n">
        <v>-4.44</v>
      </c>
      <c r="AT499" s="82" t="n"/>
      <c r="AU499" s="82" t="n">
        <v>-4.4</v>
      </c>
      <c r="AV499" s="82" t="n">
        <v>2.81</v>
      </c>
      <c r="AW499" s="82" t="n"/>
      <c r="AX499" s="82" t="n">
        <v>-12.82</v>
      </c>
      <c r="AY499" s="82" t="n">
        <v>7.74</v>
      </c>
      <c r="AZ499" s="82" t="n">
        <v>8.380000000000001</v>
      </c>
      <c r="BA499" s="71" t="inlineStr">
        <is>
          <t>HSTECH (Hang Seng TECH ETF)</t>
        </is>
      </c>
      <c r="BB499" s="82" t="n">
        <v>18.3</v>
      </c>
      <c r="BC499" s="72" t="inlineStr">
        <is>
          <t>2026-09-21</t>
        </is>
      </c>
      <c r="BD499" s="73" t="n">
        <v>33565.8</v>
      </c>
      <c r="BE499" s="76" t="n">
        <v>2799.6</v>
      </c>
      <c r="BF499" s="71" t="inlineStr">
        <is>
          <t>Y</t>
        </is>
      </c>
      <c r="BG499" s="83" t="n">
        <v>20.7</v>
      </c>
      <c r="BH499" s="83" t="n"/>
      <c r="BI499" s="83" t="n"/>
      <c r="BJ499" s="83" t="n">
        <v>1.7</v>
      </c>
      <c r="BK499" s="84">
        <f>IF('BBG Verify'!S499="","not filed; run on terminal",'BBG Verify'!S499)</f>
        <v/>
      </c>
      <c r="BL499" s="85" t="inlineStr">
        <is>
          <t>Y</t>
        </is>
      </c>
      <c r="BM499" s="71" t="inlineStr">
        <is>
          <t>300866.SZ</t>
        </is>
      </c>
      <c r="BN499" s="82" t="n">
        <v>25.2</v>
      </c>
      <c r="BO499" s="74" t="n">
        <v>124.3512</v>
      </c>
      <c r="BP499" s="89" t="n">
        <v>0.2776</v>
      </c>
      <c r="BQ499" s="76" t="n">
        <v>88555.5</v>
      </c>
      <c r="BR499" s="84">
        <f>IF('BBG Verify'!Q499="","run on terminal",'BBG Verify'!Q499)</f>
        <v/>
      </c>
      <c r="BS499" s="84">
        <f>IF('BBG Verify'!R499="","run on terminal",'BBG Verify'!R499)</f>
        <v/>
      </c>
      <c r="BT499" s="85" t="inlineStr">
        <is>
          <t>China International Capital Corporation Hong Kong Securities Limited; Goldman Sachs (Asia) L.L.C.; J.P. Morgan Securities (Far East) Limited</t>
        </is>
      </c>
      <c r="BU499" s="71" t="inlineStr">
        <is>
          <t>China International Capital Corporation Hong Kong Securities Limited; J.P. Morgan Securities (Far East) Limited; Goldman Sachs (Asia) L.L.C.</t>
        </is>
      </c>
      <c r="BV499" s="71" t="inlineStr">
        <is>
          <t>China International Capital Corporation Hong Kong Securities Limited; Goldman Sachs (Asia) L.L.C.; J.P. Morgan Securities (Asia Pacific) Limited</t>
        </is>
      </c>
      <c r="BW499" s="71" t="inlineStr">
        <is>
          <t>China International Capital Corporation Hong Kong Securities Limited; Goldman Sachs (Asia) L.L.C.; J.P. Morgan Securities (Asia Pacific) Limited</t>
        </is>
      </c>
      <c r="BX499" s="71" t="n"/>
      <c r="BY499" s="87">
        <f>HYPERLINK("https://www1.hkexnews.hk/listedco/listconews/sehk/2026/0630/2026063003481.pdf","allotment")</f>
        <v/>
      </c>
      <c r="BZ499" s="71" t="n"/>
      <c r="CA499" s="85" t="n"/>
      <c r="CB499" s="71"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70" t="inlineStr">
        <is>
          <t>2667</t>
        </is>
      </c>
      <c r="B500" s="71" t="inlineStr">
        <is>
          <t>TONGRENTANGCARE</t>
        </is>
      </c>
      <c r="C500" s="71" t="inlineStr">
        <is>
          <t>同仁堂醫養</t>
        </is>
      </c>
      <c r="D500" s="71" t="inlineStr">
        <is>
          <t>Healthcare</t>
        </is>
      </c>
      <c r="E500" s="71" t="inlineStr">
        <is>
          <t>TCM</t>
        </is>
      </c>
      <c r="F500" s="71" t="inlineStr">
        <is>
          <t>Health Care Services</t>
        </is>
      </c>
      <c r="G500" s="71" t="inlineStr">
        <is>
          <t>Standard</t>
        </is>
      </c>
      <c r="H500" s="72" t="n">
        <v>46210</v>
      </c>
      <c r="I500" s="73" t="n">
        <v>594.8</v>
      </c>
      <c r="J500" s="71" t="inlineStr">
        <is>
          <t>gross (stated)</t>
        </is>
      </c>
      <c r="K500" s="74" t="n">
        <v>5.48</v>
      </c>
      <c r="L500" s="74" t="n">
        <v>6.21</v>
      </c>
      <c r="M500" s="74" t="n">
        <v>5.5</v>
      </c>
      <c r="N500" s="71" t="inlineStr">
        <is>
          <t>N</t>
        </is>
      </c>
      <c r="O500" s="75" t="n">
        <v>88.59999999999999</v>
      </c>
      <c r="P500" s="75" t="n">
        <v>2.7</v>
      </c>
      <c r="Q500" s="76" t="n">
        <v>2258.6</v>
      </c>
      <c r="R500" s="71" t="inlineStr">
        <is>
          <t>prospectus:stated market capitalisation, rescaled to the offer price</t>
        </is>
      </c>
      <c r="S500" s="77" t="n">
        <v>251.74</v>
      </c>
      <c r="T500" s="78" t="n">
        <v>2.84</v>
      </c>
      <c r="U500" s="79" t="n">
        <v>44.08</v>
      </c>
      <c r="V500" s="80" t="n">
        <v>75</v>
      </c>
      <c r="W500" s="75" t="n">
        <v>10</v>
      </c>
      <c r="X500" s="71" t="inlineStr">
        <is>
          <t>NO</t>
        </is>
      </c>
      <c r="Y500" s="76" t="n">
        <v>332.61</v>
      </c>
      <c r="Z500" s="76" t="n">
        <v>60479437</v>
      </c>
      <c r="AA500" s="75" t="n">
        <v>14.73</v>
      </c>
      <c r="AB500" s="71" t="inlineStr">
        <is>
          <t>AIRPORT TECHNOLOGY CAPITAL (HONG KONG) CO., LIMITED; Aurora SF; CICC Financial Trading Limited</t>
        </is>
      </c>
      <c r="AC500" s="71" t="inlineStr">
        <is>
          <t>airport;aurora;china-international</t>
        </is>
      </c>
      <c r="AD500" s="75" t="n">
        <v>15</v>
      </c>
      <c r="AE500" s="71" t="inlineStr">
        <is>
          <t>lapsed</t>
        </is>
      </c>
      <c r="AF500" s="71" t="inlineStr">
        <is>
          <t>2026-08-01</t>
        </is>
      </c>
      <c r="AG500" s="71" t="inlineStr">
        <is>
          <t>China International Capital Corporation Hong Kong Securities Limited</t>
        </is>
      </c>
      <c r="AH500" s="71" t="inlineStr">
        <is>
          <t>China International</t>
        </is>
      </c>
      <c r="AI500" s="81" t="n">
        <v>-15.636</v>
      </c>
      <c r="AJ500" s="82" t="n">
        <v>-39.09</v>
      </c>
      <c r="AK500" s="82" t="n">
        <v>-13.45</v>
      </c>
      <c r="AL500" s="82" t="n">
        <v>-29.62</v>
      </c>
      <c r="AM500" s="83" t="n">
        <v>4</v>
      </c>
      <c r="AN500" s="75" t="n">
        <v>37.39</v>
      </c>
      <c r="AO500" s="82" t="n">
        <v>-44.73</v>
      </c>
      <c r="AP500" s="82" t="n">
        <v>-49.09</v>
      </c>
      <c r="AQ500" s="82" t="n"/>
      <c r="AR500" s="82" t="n">
        <v>-9.26</v>
      </c>
      <c r="AS500" s="82" t="n">
        <v>-16.42</v>
      </c>
      <c r="AT500" s="82" t="n"/>
      <c r="AU500" s="82" t="n">
        <v>-43.95</v>
      </c>
      <c r="AV500" s="82" t="n">
        <v>-50.53</v>
      </c>
      <c r="AW500" s="82" t="n"/>
      <c r="AX500" s="82" t="n">
        <v>-21.75</v>
      </c>
      <c r="AY500" s="82" t="n">
        <v>1.44</v>
      </c>
      <c r="AZ500" s="82" t="n">
        <v>5.33</v>
      </c>
      <c r="BA500" s="71" t="inlineStr">
        <is>
          <t>China Biotech ETF (HS biotech proxy)</t>
        </is>
      </c>
      <c r="BB500" s="82" t="n">
        <v>-56.73</v>
      </c>
      <c r="BC500" s="72" t="inlineStr">
        <is>
          <t>2026-09-21</t>
        </is>
      </c>
      <c r="BD500" s="73" t="n">
        <v>1288.4</v>
      </c>
      <c r="BE500" s="76" t="n">
        <v>37.1</v>
      </c>
      <c r="BF500" s="71" t="inlineStr">
        <is>
          <t>Y</t>
        </is>
      </c>
      <c r="BG500" s="83" t="n">
        <v>60.9</v>
      </c>
      <c r="BH500" s="83" t="n"/>
      <c r="BI500" s="83" t="n"/>
      <c r="BJ500" s="83" t="n">
        <v>1.8</v>
      </c>
      <c r="BK500" s="84">
        <f>IF('BBG Verify'!S500="","not filed; run on terminal",'BBG Verify'!S500)</f>
        <v/>
      </c>
      <c r="BL500" s="85" t="inlineStr">
        <is>
          <t>N</t>
        </is>
      </c>
      <c r="BM500" s="86">
        <f>IF('BBG Verify'!K500="","not filed; run on terminal",'BBG Verify'!K500)</f>
        <v/>
      </c>
      <c r="BN500" s="71" t="inlineStr">
        <is>
          <t>N/A</t>
        </is>
      </c>
      <c r="BO500" s="71" t="inlineStr">
        <is>
          <t>N/A</t>
        </is>
      </c>
      <c r="BP500" s="71" t="inlineStr">
        <is>
          <t>N/A</t>
        </is>
      </c>
      <c r="BQ500" s="71" t="inlineStr">
        <is>
          <t>N/A</t>
        </is>
      </c>
      <c r="BR500" s="71" t="inlineStr">
        <is>
          <t>N/A</t>
        </is>
      </c>
      <c r="BS500" s="71" t="inlineStr">
        <is>
          <t>N/A</t>
        </is>
      </c>
      <c r="BT500" s="85" t="n"/>
      <c r="BU500" s="71" t="inlineStr">
        <is>
          <t>China International Capital Corporation Hong Kong Securities Limited</t>
        </is>
      </c>
      <c r="BV500" s="71" t="inlineStr">
        <is>
          <t>China International Capital Corporation Hong Kong Securities Limited; ICBC International Securities Limited; Kong GF Securities (Hong Kong) Brokerage Limited; Chai, Hong Kong ABCI Capital Limited; West Bull Securities Limited; Patrons Securities Limited</t>
        </is>
      </c>
      <c r="BW500" s="71"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X500" s="87">
        <f>HYPERLINK("https://www1.hkexnews.hk/listedco/listconews/sehk/2026/0626/2026062600021.pdf","prospectus")</f>
        <v/>
      </c>
      <c r="BY500" s="87">
        <f>HYPERLINK("https://www1.hkexnews.hk/listedco/listconews/sehk/2026/0706/2026070602117.pdf","allotment")</f>
        <v/>
      </c>
      <c r="BZ500" s="87">
        <f>HYPERLINK("https://www1.hkexnews.hk/listedco/listconews/sehk/2026/0803/2026080301376.pdf","stabilisation")</f>
        <v/>
      </c>
      <c r="CA500" s="85" t="n"/>
      <c r="CB500" s="71" t="inlineStr">
        <is>
          <t>3m: listed less than 3m ago; sponsor: English name not in the filing; AAStocks 保薦人 shown; market cap: prospectus cap HK$2,550m at HK$6.21, rescaled to HK$5.50; alpha/index: 3m window not elapsed</t>
        </is>
      </c>
    </row>
    <row r="501" ht="15" customHeight="1">
      <c r="A501" s="70" t="inlineStr">
        <is>
          <t>7656</t>
        </is>
      </c>
      <c r="B501" s="71" t="inlineStr">
        <is>
          <t>RECONOVA</t>
        </is>
      </c>
      <c r="C501" s="71" t="inlineStr">
        <is>
          <t>瑞為技術</t>
        </is>
      </c>
      <c r="D501" s="71" t="inlineStr">
        <is>
          <t>Tech/AI</t>
        </is>
      </c>
      <c r="E501" s="71" t="inlineStr">
        <is>
          <t>AI application / agent software</t>
        </is>
      </c>
      <c r="F501" s="71" t="inlineStr">
        <is>
          <t>Advanced hardware and software</t>
        </is>
      </c>
      <c r="G501" s="71" t="inlineStr">
        <is>
          <t>18C</t>
        </is>
      </c>
      <c r="H501" s="72" t="n">
        <v>46211</v>
      </c>
      <c r="I501" s="73" t="n">
        <v>608.4</v>
      </c>
      <c r="J501" s="71" t="inlineStr">
        <is>
          <t>gross (stated)</t>
        </is>
      </c>
      <c r="K501" s="74" t="n"/>
      <c r="L501" s="74" t="n">
        <v>21.66</v>
      </c>
      <c r="M501" s="74" t="n">
        <v>21.66</v>
      </c>
      <c r="N501" s="71" t="inlineStr">
        <is>
          <t>Y</t>
        </is>
      </c>
      <c r="O501" s="75" t="n">
        <v>100</v>
      </c>
      <c r="P501" s="75" t="n"/>
      <c r="Q501" s="76" t="n">
        <v>6612.6</v>
      </c>
      <c r="R501" s="71" t="inlineStr">
        <is>
          <t>derived:price x shares upon listing</t>
        </is>
      </c>
      <c r="S501" s="77" t="n">
        <v>3646.06</v>
      </c>
      <c r="T501" s="78" t="n">
        <v>3.08</v>
      </c>
      <c r="U501" s="79" t="n">
        <v>0</v>
      </c>
      <c r="V501" s="80" t="n">
        <v>105</v>
      </c>
      <c r="W501" s="75" t="n">
        <v>20</v>
      </c>
      <c r="X501" s="71" t="inlineStr">
        <is>
          <t>YES</t>
        </is>
      </c>
      <c r="Y501" s="76" t="n">
        <v>608.4</v>
      </c>
      <c r="Z501" s="76" t="n">
        <v>28087000</v>
      </c>
      <c r="AA501" s="75" t="n">
        <v>9.199999999999999</v>
      </c>
      <c r="AB501" s="71" t="n"/>
      <c r="AC501" s="71" t="n"/>
      <c r="AD501" s="75" t="n"/>
      <c r="AE501" s="71" t="n"/>
      <c r="AF501" s="71" t="n"/>
      <c r="AG501" s="71" t="n"/>
      <c r="AH501" s="71" t="n"/>
      <c r="AI501" s="81" t="n">
        <v>-16.944</v>
      </c>
      <c r="AJ501" s="82" t="n">
        <v>-3.05</v>
      </c>
      <c r="AK501" s="82" t="n">
        <v>-16.9</v>
      </c>
      <c r="AL501" s="82" t="n">
        <v>16.67</v>
      </c>
      <c r="AM501" s="83" t="n">
        <v>2.15</v>
      </c>
      <c r="AN501" s="75" t="n">
        <v>41</v>
      </c>
      <c r="AO501" s="82" t="n">
        <v>31.12</v>
      </c>
      <c r="AP501" s="82" t="n">
        <v>53.74</v>
      </c>
      <c r="AQ501" s="82" t="n"/>
      <c r="AR501" s="82" t="n">
        <v>35.24</v>
      </c>
      <c r="AS501" s="82" t="n">
        <v>58.58</v>
      </c>
      <c r="AT501" s="82" t="n"/>
      <c r="AU501" s="82" t="n">
        <v>25.91</v>
      </c>
      <c r="AV501" s="82" t="n">
        <v>46.59</v>
      </c>
      <c r="AW501" s="82" t="n"/>
      <c r="AX501" s="82" t="n">
        <v>56.55</v>
      </c>
      <c r="AY501" s="82" t="n">
        <v>7.15</v>
      </c>
      <c r="AZ501" s="82" t="n">
        <v>2.03</v>
      </c>
      <c r="BA501" s="71" t="inlineStr">
        <is>
          <t>HSTECH (Hang Seng TECH ETF)</t>
        </is>
      </c>
      <c r="BB501" s="82" t="n">
        <v>-18.47</v>
      </c>
      <c r="BC501" s="72" t="inlineStr">
        <is>
          <t>2026-09-21</t>
        </is>
      </c>
      <c r="BD501" s="73" t="n">
        <v>487.3</v>
      </c>
      <c r="BE501" s="76" t="n">
        <v>-75</v>
      </c>
      <c r="BF501" s="71" t="inlineStr">
        <is>
          <t>N</t>
        </is>
      </c>
      <c r="BG501" s="71" t="inlineStr">
        <is>
          <t>n/m</t>
        </is>
      </c>
      <c r="BH501" s="83" t="n"/>
      <c r="BI501" s="83" t="n"/>
      <c r="BJ501" s="83" t="n">
        <v>13.6</v>
      </c>
      <c r="BK501" s="84">
        <f>IF('BBG Verify'!S501="","not filed; run on terminal",'BBG Verify'!S501)</f>
        <v/>
      </c>
      <c r="BL501" s="85" t="inlineStr">
        <is>
          <t>N</t>
        </is>
      </c>
      <c r="BM501" s="86">
        <f>IF('BBG Verify'!K501="","not filed; run on terminal",'BBG Verify'!K501)</f>
        <v/>
      </c>
      <c r="BN501" s="71" t="inlineStr">
        <is>
          <t>N/A</t>
        </is>
      </c>
      <c r="BO501" s="71" t="inlineStr">
        <is>
          <t>N/A</t>
        </is>
      </c>
      <c r="BP501" s="71" t="inlineStr">
        <is>
          <t>N/A</t>
        </is>
      </c>
      <c r="BQ501" s="71" t="inlineStr">
        <is>
          <t>N/A</t>
        </is>
      </c>
      <c r="BR501" s="71" t="inlineStr">
        <is>
          <t>N/A</t>
        </is>
      </c>
      <c r="BS501" s="71" t="inlineStr">
        <is>
          <t>N/A</t>
        </is>
      </c>
      <c r="BT501" s="85" t="inlineStr">
        <is>
          <t>and Joint Sponsor-OCs Huatai Financial Holdings (Hong Kong) Limited; CCB International Capital Limited; ABCI Capital Limited</t>
        </is>
      </c>
      <c r="BU501" s="71" t="inlineStr">
        <is>
          <t>CCB International Capital Limited; Huatai Financial Holdings (Hong Kong) Limited; ABCI Capital Limited</t>
        </is>
      </c>
      <c r="BV501" s="71"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W501" s="71"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X501" s="87">
        <f>HYPERLINK("https://www1.hkexnews.hk/listedco/listconews/sehk/2026/0629/2026062900145.pdf","prospectus")</f>
        <v/>
      </c>
      <c r="BY501" s="87">
        <f>HYPERLINK("https://www1.hkexnews.hk/listedco/listconews/sehk/2026/0707/2026070701895.pdf","allotment")</f>
        <v/>
      </c>
      <c r="BZ501" s="71" t="n"/>
      <c r="CA501" s="85" t="n"/>
      <c r="CB501" s="71"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70" t="inlineStr">
        <is>
          <t>9971</t>
        </is>
      </c>
      <c r="B502" s="71" t="inlineStr">
        <is>
          <t>BASICSEMI</t>
        </is>
      </c>
      <c r="C502" s="71" t="inlineStr">
        <is>
          <t>基本半導體</t>
        </is>
      </c>
      <c r="D502" s="71" t="inlineStr">
        <is>
          <t>Tech/AI</t>
        </is>
      </c>
      <c r="E502" s="71" t="inlineStr">
        <is>
          <t>AI chips &amp; semis</t>
        </is>
      </c>
      <c r="F502" s="71" t="inlineStr">
        <is>
          <t>Semiconductors &amp; Semiconductor Equipment</t>
        </is>
      </c>
      <c r="G502" s="71" t="inlineStr">
        <is>
          <t>18C</t>
        </is>
      </c>
      <c r="H502" s="72" t="n">
        <v>46211</v>
      </c>
      <c r="I502" s="73" t="n">
        <v>865.95</v>
      </c>
      <c r="J502" s="71" t="inlineStr">
        <is>
          <t>gross (stated)</t>
        </is>
      </c>
      <c r="K502" s="74" t="n"/>
      <c r="L502" s="74" t="n">
        <v>31.62</v>
      </c>
      <c r="M502" s="74" t="n">
        <v>31.62</v>
      </c>
      <c r="N502" s="71" t="inlineStr">
        <is>
          <t>Y</t>
        </is>
      </c>
      <c r="O502" s="75" t="n">
        <v>100</v>
      </c>
      <c r="P502" s="75" t="n"/>
      <c r="Q502" s="76" t="n">
        <v>9621.6</v>
      </c>
      <c r="R502" s="71" t="inlineStr">
        <is>
          <t>derived:price x shares upon listing</t>
        </is>
      </c>
      <c r="S502" s="77" t="n">
        <v>4812.72</v>
      </c>
      <c r="T502" s="78" t="n">
        <v>2.98</v>
      </c>
      <c r="U502" s="79" t="n"/>
      <c r="V502" s="80" t="n">
        <v>96</v>
      </c>
      <c r="W502" s="75" t="n">
        <v>20</v>
      </c>
      <c r="X502" s="71" t="inlineStr">
        <is>
          <t>YES</t>
        </is>
      </c>
      <c r="Y502" s="76" t="n">
        <v>865.95</v>
      </c>
      <c r="Z502" s="76" t="n">
        <v>27386200</v>
      </c>
      <c r="AA502" s="75" t="n">
        <v>9</v>
      </c>
      <c r="AB502" s="71" t="n"/>
      <c r="AC502" s="71" t="n"/>
      <c r="AD502" s="75" t="n">
        <v>17.41</v>
      </c>
      <c r="AE502" s="71" t="inlineStr">
        <is>
          <t>lapsed (no over-allocation)</t>
        </is>
      </c>
      <c r="AF502" s="71" t="n"/>
      <c r="AG502" s="71" t="inlineStr">
        <is>
          <t>Sinolink Securities</t>
        </is>
      </c>
      <c r="AH502" s="71" t="inlineStr">
        <is>
          <t>Sinolink</t>
        </is>
      </c>
      <c r="AI502" s="81" t="n">
        <v>9.93</v>
      </c>
      <c r="AJ502" s="82" t="n">
        <v>5.06</v>
      </c>
      <c r="AK502" s="82" t="n">
        <v>7.91</v>
      </c>
      <c r="AL502" s="82" t="n">
        <v>-2.64</v>
      </c>
      <c r="AM502" s="83" t="n">
        <v>2.06</v>
      </c>
      <c r="AN502" s="75" t="n">
        <v>12.84</v>
      </c>
      <c r="AO502" s="82" t="n">
        <v>33.71</v>
      </c>
      <c r="AP502" s="82" t="n">
        <v>74.89</v>
      </c>
      <c r="AQ502" s="82" t="n"/>
      <c r="AR502" s="82" t="n">
        <v>27.27</v>
      </c>
      <c r="AS502" s="82" t="n">
        <v>66.47</v>
      </c>
      <c r="AT502" s="82" t="n"/>
      <c r="AU502" s="82" t="n">
        <v>28.5</v>
      </c>
      <c r="AV502" s="82" t="n">
        <v>67.73999999999999</v>
      </c>
      <c r="AW502" s="82" t="n"/>
      <c r="AX502" s="82" t="n">
        <v>64.44</v>
      </c>
      <c r="AY502" s="82" t="n">
        <v>7.15</v>
      </c>
      <c r="AZ502" s="82" t="n">
        <v>2.03</v>
      </c>
      <c r="BA502" s="71" t="inlineStr">
        <is>
          <t>HSTECH (Hang Seng TECH ETF)</t>
        </is>
      </c>
      <c r="BB502" s="82" t="n">
        <v>29.35</v>
      </c>
      <c r="BC502" s="72" t="inlineStr">
        <is>
          <t>2026-09-21</t>
        </is>
      </c>
      <c r="BD502" s="73" t="n">
        <v>342.3</v>
      </c>
      <c r="BE502" s="76" t="n">
        <v>-260.8</v>
      </c>
      <c r="BF502" s="71" t="inlineStr">
        <is>
          <t>N</t>
        </is>
      </c>
      <c r="BG502" s="71" t="inlineStr">
        <is>
          <t>n/m</t>
        </is>
      </c>
      <c r="BH502" s="83" t="n"/>
      <c r="BI502" s="83" t="n"/>
      <c r="BJ502" s="83" t="n">
        <v>28.1</v>
      </c>
      <c r="BK502" s="84">
        <f>IF('BBG Verify'!S502="","not filed; run on terminal",'BBG Verify'!S502)</f>
        <v/>
      </c>
      <c r="BL502" s="85" t="inlineStr">
        <is>
          <t>N</t>
        </is>
      </c>
      <c r="BM502" s="86">
        <f>IF('BBG Verify'!K502="","not filed; run on terminal",'BBG Verify'!K502)</f>
        <v/>
      </c>
      <c r="BN502" s="71" t="inlineStr">
        <is>
          <t>N/A</t>
        </is>
      </c>
      <c r="BO502" s="71" t="inlineStr">
        <is>
          <t>N/A</t>
        </is>
      </c>
      <c r="BP502" s="71" t="inlineStr">
        <is>
          <t>N/A</t>
        </is>
      </c>
      <c r="BQ502" s="71" t="inlineStr">
        <is>
          <t>N/A</t>
        </is>
      </c>
      <c r="BR502" s="71" t="inlineStr">
        <is>
          <t>N/A</t>
        </is>
      </c>
      <c r="BS502" s="71" t="inlineStr">
        <is>
          <t>N/A</t>
        </is>
      </c>
      <c r="BT502" s="85" t="inlineStr">
        <is>
          <t>Sinolink Securities (Hong Kong) Company Limited; BOCI Asia Limited</t>
        </is>
      </c>
      <c r="BU502" s="71" t="inlineStr">
        <is>
          <t>BOCI Asia Limited; Sinolink Securities (Hong Kong) Company Limited</t>
        </is>
      </c>
      <c r="BV502" s="71" t="inlineStr">
        <is>
          <t>Fortune (HK) Securities Limited; Futu Securities International (Hong Kong) Limited; Guosen Securities (HK) Capital Company Limited; Patrons Securities Limited; Tiger Brokers (HK) Global Limited; TradeGo Markets Limited; Yue Xiu Securities Company Limited</t>
        </is>
      </c>
      <c r="BW502" s="71"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X502" s="87">
        <f>HYPERLINK("https://www1.hkexnews.hk/listedco/listconews/sehk/2026/0629/2026062900049.pdf","prospectus")</f>
        <v/>
      </c>
      <c r="BY502" s="87">
        <f>HYPERLINK("https://www1.hkexnews.hk/listedco/listconews/sehk/2026/0707/2026070701913.pdf","allotment")</f>
        <v/>
      </c>
      <c r="BZ502" s="87">
        <f>HYPERLINK("https://www1.hkexnews.hk/listedco/listconews/sehk/2026/0803/2026080300057.pdf","stabilisation")</f>
        <v/>
      </c>
      <c r="CA502" s="85" t="n"/>
      <c r="CB502" s="71"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alpha/index: 3m window not elapsed</t>
        </is>
      </c>
    </row>
    <row r="503" ht="15" customHeight="1">
      <c r="A503" s="70" t="inlineStr">
        <is>
          <t>6880</t>
        </is>
      </c>
      <c r="B503" s="71" t="inlineStr">
        <is>
          <t>MOMENTA-W</t>
        </is>
      </c>
      <c r="C503" s="71" t="inlineStr">
        <is>
          <t>MOMENTA-W</t>
        </is>
      </c>
      <c r="D503" s="71" t="inlineStr">
        <is>
          <t>Tech/AI</t>
        </is>
      </c>
      <c r="E503" s="71" t="inlineStr">
        <is>
          <t>Robotics &amp; autonomous driving</t>
        </is>
      </c>
      <c r="F503" s="71" t="inlineStr">
        <is>
          <t>Advanced hardware and software</t>
        </is>
      </c>
      <c r="G503" s="71" t="inlineStr">
        <is>
          <t>WVR</t>
        </is>
      </c>
      <c r="H503" s="72" t="n">
        <v>46211</v>
      </c>
      <c r="I503" s="73" t="n">
        <v>5893.8</v>
      </c>
      <c r="J503" s="71" t="inlineStr">
        <is>
          <t>gross (stated)</t>
        </is>
      </c>
      <c r="K503" s="74" t="n"/>
      <c r="L503" s="74" t="n">
        <v>295.6</v>
      </c>
      <c r="M503" s="74" t="n">
        <v>295.6</v>
      </c>
      <c r="N503" s="71" t="inlineStr">
        <is>
          <t>Y</t>
        </is>
      </c>
      <c r="O503" s="75" t="n">
        <v>100</v>
      </c>
      <c r="P503" s="75" t="n"/>
      <c r="Q503" s="76" t="n">
        <v>69600</v>
      </c>
      <c r="R503" s="71" t="inlineStr">
        <is>
          <t>press:xueqiu/sina 2026-07-08: IPO市值约696亿 ≈ US$9bn</t>
        </is>
      </c>
      <c r="S503" s="77" t="n">
        <v>413.63</v>
      </c>
      <c r="T503" s="78" t="n">
        <v>20.31</v>
      </c>
      <c r="U503" s="79" t="n">
        <v>49.95</v>
      </c>
      <c r="V503" s="80" t="n">
        <v>239</v>
      </c>
      <c r="W503" s="75" t="n"/>
      <c r="X503" s="71" t="inlineStr">
        <is>
          <t>NA</t>
        </is>
      </c>
      <c r="Y503" s="76" t="n">
        <v>2949.85</v>
      </c>
      <c r="Z503" s="76" t="n">
        <v>9979119</v>
      </c>
      <c r="AA503" s="75" t="n">
        <v>4.24</v>
      </c>
      <c r="AB503" s="71"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AC503" s="71" t="inlineStr">
        <is>
          <t>blackrock;boyu;china-asset;cpic;fil;gf;gic;gigadevice;golden-link;mercedes;oaktree;suzhou;templeton</t>
        </is>
      </c>
      <c r="AD503" s="75" t="n">
        <v>15</v>
      </c>
      <c r="AE503" s="71" t="n"/>
      <c r="AF503" s="71" t="inlineStr">
        <is>
          <t>2026-08-02</t>
        </is>
      </c>
      <c r="AG503" s="71" t="inlineStr">
        <is>
          <t>China International Capital Corporation Hong Kong Securities Limited</t>
        </is>
      </c>
      <c r="AH503" s="71" t="inlineStr">
        <is>
          <t>China International</t>
        </is>
      </c>
      <c r="AI503" s="92" t="n">
        <v>-0.338</v>
      </c>
      <c r="AJ503" s="82" t="n">
        <v>0</v>
      </c>
      <c r="AK503" s="82" t="n">
        <v>1.83</v>
      </c>
      <c r="AL503" s="82" t="n">
        <v>-1.8</v>
      </c>
      <c r="AM503" s="83" t="n"/>
      <c r="AN503" s="75" t="n">
        <v>7.11</v>
      </c>
      <c r="AO503" s="82" t="n">
        <v>0.27</v>
      </c>
      <c r="AP503" s="82" t="n">
        <v>-10.08</v>
      </c>
      <c r="AQ503" s="82" t="n"/>
      <c r="AR503" s="82" t="n">
        <v>0.27</v>
      </c>
      <c r="AS503" s="82" t="n">
        <v>-10.08</v>
      </c>
      <c r="AT503" s="82" t="n"/>
      <c r="AU503" s="82" t="n">
        <v>-4.94</v>
      </c>
      <c r="AV503" s="82" t="n">
        <v>-17.23</v>
      </c>
      <c r="AW503" s="82" t="n"/>
      <c r="AX503" s="82" t="n">
        <v>-12.11</v>
      </c>
      <c r="AY503" s="82" t="n">
        <v>7.15</v>
      </c>
      <c r="AZ503" s="82" t="n">
        <v>2.03</v>
      </c>
      <c r="BA503" s="71" t="inlineStr">
        <is>
          <t>HSTECH (Hang Seng TECH ETF)</t>
        </is>
      </c>
      <c r="BB503" s="82" t="n">
        <v>-36.6</v>
      </c>
      <c r="BC503" s="72" t="inlineStr">
        <is>
          <t>2026-09-21</t>
        </is>
      </c>
      <c r="BD503" s="73" t="n">
        <v>2653.8</v>
      </c>
      <c r="BE503" s="76" t="n">
        <v>-3803.7</v>
      </c>
      <c r="BF503" s="71" t="inlineStr">
        <is>
          <t>N</t>
        </is>
      </c>
      <c r="BG503" s="71" t="inlineStr">
        <is>
          <t>n/m</t>
        </is>
      </c>
      <c r="BH503" s="83" t="n"/>
      <c r="BI503" s="83" t="n"/>
      <c r="BJ503" s="83" t="n">
        <v>26.2</v>
      </c>
      <c r="BK503" s="84">
        <f>IF('BBG Verify'!S503="","not filed; run on terminal",'BBG Verify'!S503)</f>
        <v/>
      </c>
      <c r="BL503" s="85" t="inlineStr">
        <is>
          <t>N</t>
        </is>
      </c>
      <c r="BM503" s="86">
        <f>IF('BBG Verify'!K503="","not filed; run on terminal",'BBG Verify'!K503)</f>
        <v/>
      </c>
      <c r="BN503" s="71" t="inlineStr">
        <is>
          <t>N/A</t>
        </is>
      </c>
      <c r="BO503" s="71" t="inlineStr">
        <is>
          <t>N/A</t>
        </is>
      </c>
      <c r="BP503" s="71" t="inlineStr">
        <is>
          <t>N/A</t>
        </is>
      </c>
      <c r="BQ503" s="71" t="inlineStr">
        <is>
          <t>N/A</t>
        </is>
      </c>
      <c r="BR503" s="71" t="inlineStr">
        <is>
          <t>N/A</t>
        </is>
      </c>
      <c r="BS503" s="71" t="inlineStr">
        <is>
          <t>N/A</t>
        </is>
      </c>
      <c r="BT503" s="85" t="inlineStr">
        <is>
          <t>CICC; Deutsche Bank</t>
        </is>
      </c>
      <c r="BU503" s="71" t="inlineStr">
        <is>
          <t>China International Capital Corporation Hong Kong Securities Limited; Deutsche Securities Asia Limited</t>
        </is>
      </c>
      <c r="BV503" s="71" t="inlineStr">
        <is>
          <t>China International Capital Corporation Hong Kong Securities Limited; Deutsche Bank AG, Hong Kong Branch; Futu Securities International (Hong Kong) Limited; J.P. Morgan Securities (Asia Pacific) Limited; Tiger Brokers (HK) Global Limited</t>
        </is>
      </c>
      <c r="BW503" s="71" t="inlineStr">
        <is>
          <t>China International Capital Corporation Hong Kong Securities Limited; Deutsche Bank AG, Hong Kong Branch; Futu Securities International (Hong Kong) Limited; J.P. Morgan Securities (Asia Pacific) Limited; Tiger Brokers (HK) Global Limited</t>
        </is>
      </c>
      <c r="BX503" s="71" t="n"/>
      <c r="BY503" s="87">
        <f>HYPERLINK("https://www1.hkexnews.hk/listedco/listconews/sehk/2026/0707/2026070701963.pdf","allotment")</f>
        <v/>
      </c>
      <c r="BZ503" s="71" t="n"/>
      <c r="CA503" s="85" t="n"/>
      <c r="CB503" s="71"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 allocation: allocation table not in this notice's format (older prose announcement); day-1 tape: volume on file; the retail multiple needs the final public split, which this notice does not state</t>
        </is>
      </c>
    </row>
    <row r="504" ht="15" customHeight="1">
      <c r="A504" s="70" t="inlineStr">
        <is>
          <t>7687</t>
        </is>
      </c>
      <c r="B504" s="71" t="inlineStr">
        <is>
          <t>EACON</t>
        </is>
      </c>
      <c r="C504" s="71" t="inlineStr">
        <is>
          <t>易控智駕</t>
        </is>
      </c>
      <c r="D504" s="71" t="inlineStr">
        <is>
          <t>Tech/AI</t>
        </is>
      </c>
      <c r="E504" s="71" t="inlineStr">
        <is>
          <t>Robotics &amp; autonomous driving</t>
        </is>
      </c>
      <c r="F504" s="71" t="inlineStr">
        <is>
          <t>Advanced hardware and software</t>
        </is>
      </c>
      <c r="G504" s="71" t="inlineStr">
        <is>
          <t>Standard</t>
        </is>
      </c>
      <c r="H504" s="72" t="n">
        <v>46211</v>
      </c>
      <c r="I504" s="73" t="n">
        <v>2297.53</v>
      </c>
      <c r="J504" s="71" t="inlineStr">
        <is>
          <t>gross (stated)</t>
        </is>
      </c>
      <c r="K504" s="74" t="n">
        <v>81.16</v>
      </c>
      <c r="L504" s="74" t="n">
        <v>87.92</v>
      </c>
      <c r="M504" s="74" t="n">
        <v>87.92</v>
      </c>
      <c r="N504" s="71" t="inlineStr">
        <is>
          <t>Y</t>
        </is>
      </c>
      <c r="O504" s="75" t="n">
        <v>100</v>
      </c>
      <c r="P504" s="75" t="n">
        <v>100</v>
      </c>
      <c r="Q504" s="76" t="n">
        <v>11603.7</v>
      </c>
      <c r="R504" s="71" t="inlineStr">
        <is>
          <t>derived:deal size / offer % of enlarged capital</t>
        </is>
      </c>
      <c r="S504" s="77" t="n">
        <v>157.82</v>
      </c>
      <c r="T504" s="78" t="n">
        <v>10.5</v>
      </c>
      <c r="U504" s="79" t="n">
        <v>49.79</v>
      </c>
      <c r="V504" s="80" t="n">
        <v>74</v>
      </c>
      <c r="W504" s="75" t="n">
        <v>10</v>
      </c>
      <c r="X504" s="71" t="inlineStr">
        <is>
          <t>NA</t>
        </is>
      </c>
      <c r="Y504" s="76" t="n">
        <v>1153.59</v>
      </c>
      <c r="Z504" s="76" t="n">
        <v>13120877</v>
      </c>
      <c r="AA504" s="75" t="n">
        <v>9.94</v>
      </c>
      <c r="AB504" s="71"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AC504" s="71" t="inlineStr">
        <is>
          <t>aurora;baring;cdh;fil;gf;indus;jain;jpmorgan;regal;seven;zijinning</t>
        </is>
      </c>
      <c r="AD504" s="75" t="n">
        <v>6.2</v>
      </c>
      <c r="AE504" s="71" t="inlineStr">
        <is>
          <t>partial</t>
        </is>
      </c>
      <c r="AF504" s="71" t="inlineStr">
        <is>
          <t>2026-08-02</t>
        </is>
      </c>
      <c r="AG504" s="71" t="inlineStr">
        <is>
          <t>Haitong International Securities Company Limited</t>
        </is>
      </c>
      <c r="AH504" s="71" t="inlineStr">
        <is>
          <t>Haitong</t>
        </is>
      </c>
      <c r="AI504" s="81" t="n">
        <v>4.072</v>
      </c>
      <c r="AJ504" s="82" t="n">
        <v>9.99</v>
      </c>
      <c r="AK504" s="82" t="n">
        <v>3.5</v>
      </c>
      <c r="AL504" s="82" t="n">
        <v>6.27</v>
      </c>
      <c r="AM504" s="83" t="n">
        <v>2.81</v>
      </c>
      <c r="AN504" s="75" t="n">
        <v>14.45</v>
      </c>
      <c r="AO504" s="82" t="n">
        <v>2.59</v>
      </c>
      <c r="AP504" s="82" t="n">
        <v>-5.6</v>
      </c>
      <c r="AQ504" s="82" t="n"/>
      <c r="AR504" s="82" t="n">
        <v>-6.73</v>
      </c>
      <c r="AS504" s="82" t="n">
        <v>-14.17</v>
      </c>
      <c r="AT504" s="82" t="n"/>
      <c r="AU504" s="82" t="n">
        <v>-2.62</v>
      </c>
      <c r="AV504" s="82" t="n">
        <v>-12.75</v>
      </c>
      <c r="AW504" s="82" t="n"/>
      <c r="AX504" s="82" t="n">
        <v>-16.2</v>
      </c>
      <c r="AY504" s="82" t="n">
        <v>7.15</v>
      </c>
      <c r="AZ504" s="82" t="n">
        <v>2.03</v>
      </c>
      <c r="BA504" s="71" t="inlineStr">
        <is>
          <t>HSTECH (Hang Seng TECH ETF)</t>
        </is>
      </c>
      <c r="BB504" s="82" t="n">
        <v>-14.7</v>
      </c>
      <c r="BC504" s="72" t="inlineStr">
        <is>
          <t>2026-09-21</t>
        </is>
      </c>
      <c r="BD504" s="73" t="n">
        <v>1578.8</v>
      </c>
      <c r="BE504" s="76" t="n">
        <v>-567.1</v>
      </c>
      <c r="BF504" s="71" t="inlineStr">
        <is>
          <t>N</t>
        </is>
      </c>
      <c r="BG504" s="71" t="inlineStr">
        <is>
          <t>n/m</t>
        </is>
      </c>
      <c r="BH504" s="83" t="n"/>
      <c r="BI504" s="83" t="n"/>
      <c r="BJ504" s="83" t="n">
        <v>7.3</v>
      </c>
      <c r="BK504" s="84">
        <f>IF('BBG Verify'!S504="","not filed; run on terminal",'BBG Verify'!S504)</f>
        <v/>
      </c>
      <c r="BL504" s="85" t="inlineStr">
        <is>
          <t>N</t>
        </is>
      </c>
      <c r="BM504" s="86">
        <f>IF('BBG Verify'!K504="","not filed; run on terminal",'BBG Verify'!K504)</f>
        <v/>
      </c>
      <c r="BN504" s="71" t="inlineStr">
        <is>
          <t>N/A</t>
        </is>
      </c>
      <c r="BO504" s="71" t="inlineStr">
        <is>
          <t>N/A</t>
        </is>
      </c>
      <c r="BP504" s="71" t="inlineStr">
        <is>
          <t>N/A</t>
        </is>
      </c>
      <c r="BQ504" s="71" t="inlineStr">
        <is>
          <t>N/A</t>
        </is>
      </c>
      <c r="BR504" s="71" t="inlineStr">
        <is>
          <t>N/A</t>
        </is>
      </c>
      <c r="BS504" s="71" t="inlineStr">
        <is>
          <t>N/A</t>
        </is>
      </c>
      <c r="BT504" s="85" t="inlineStr">
        <is>
          <t>Haitong International Capital Limited</t>
        </is>
      </c>
      <c r="BU504" s="71" t="inlineStr">
        <is>
          <t>Haitong International Capital Limited</t>
        </is>
      </c>
      <c r="BV504" s="71"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W504" s="71"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X504" s="87">
        <f>HYPERLINK("https://www1.hkexnews.hk/listedco/listconews/sehk/2026/0629/2026062900135.pdf","prospectus")</f>
        <v/>
      </c>
      <c r="BY504" s="87">
        <f>HYPERLINK("https://www1.hkexnews.hk/listedco/listconews/sehk/2026/0707/2026070702043.pdf","allotment")</f>
        <v/>
      </c>
      <c r="BZ504" s="87">
        <f>HYPERLINK("https://www1.hkexnews.hk/listedco/listconews/sehk/2026/0802/2026080200017.pdf","stabilisation")</f>
        <v/>
      </c>
      <c r="CA504" s="85" t="n"/>
      <c r="CB504" s="71" t="inlineStr">
        <is>
          <t>P/E: loss-making at IPO, use P/S; 3m: listed less than 3m ago; alpha/index: 3m window not elapsed</t>
        </is>
      </c>
    </row>
    <row r="505" ht="15" customHeight="1">
      <c r="A505" s="70" t="inlineStr">
        <is>
          <t>2797</t>
        </is>
      </c>
      <c r="B505" s="71" t="inlineStr">
        <is>
          <t>QIYUNSHAN FOOD</t>
        </is>
      </c>
      <c r="C505" s="71" t="inlineStr">
        <is>
          <t>齊雲山食品</t>
        </is>
      </c>
      <c r="D505" s="71" t="inlineStr">
        <is>
          <t>Consumer</t>
        </is>
      </c>
      <c r="E505" s="71" t="inlineStr">
        <is>
          <t>Beverages / packaged food</t>
        </is>
      </c>
      <c r="F505" s="71" t="inlineStr">
        <is>
          <t>Packaged Foods</t>
        </is>
      </c>
      <c r="G505" s="71" t="inlineStr">
        <is>
          <t>Standard</t>
        </is>
      </c>
      <c r="H505" s="72" t="n">
        <v>46212</v>
      </c>
      <c r="I505" s="73" t="n">
        <v>200</v>
      </c>
      <c r="J505" s="71" t="inlineStr">
        <is>
          <t>gross (stated)</t>
        </is>
      </c>
      <c r="K505" s="74" t="n">
        <v>5</v>
      </c>
      <c r="L505" s="74" t="n">
        <v>8</v>
      </c>
      <c r="M505" s="74" t="n">
        <v>8</v>
      </c>
      <c r="N505" s="71" t="inlineStr">
        <is>
          <t>Y</t>
        </is>
      </c>
      <c r="O505" s="75" t="n">
        <v>100</v>
      </c>
      <c r="P505" s="75" t="n">
        <v>100</v>
      </c>
      <c r="Q505" s="76" t="n">
        <v>800</v>
      </c>
      <c r="R505" s="71" t="inlineStr">
        <is>
          <t>derived:price x shares upon listing</t>
        </is>
      </c>
      <c r="S505" s="77" t="n">
        <v>1688.1</v>
      </c>
      <c r="T505" s="78" t="n">
        <v>1.51</v>
      </c>
      <c r="U505" s="79" t="n">
        <v>0</v>
      </c>
      <c r="V505" s="80" t="n">
        <v>85</v>
      </c>
      <c r="W505" s="75" t="n">
        <v>10</v>
      </c>
      <c r="X505" s="71" t="inlineStr">
        <is>
          <t>NO</t>
        </is>
      </c>
      <c r="Y505" s="76" t="n">
        <v>200</v>
      </c>
      <c r="Z505" s="76" t="n">
        <v>25000000</v>
      </c>
      <c r="AA505" s="75" t="n">
        <v>25</v>
      </c>
      <c r="AB505" s="71" t="n"/>
      <c r="AC505" s="71" t="n"/>
      <c r="AD505" s="75" t="n">
        <v>15</v>
      </c>
      <c r="AE505" s="71" t="inlineStr">
        <is>
          <t>lapsed (no over-allocation)</t>
        </is>
      </c>
      <c r="AF505" s="71" t="n"/>
      <c r="AG505" s="71" t="inlineStr">
        <is>
          <t>Zhongtai Intern ational Securities Limited</t>
        </is>
      </c>
      <c r="AH505" s="71" t="inlineStr">
        <is>
          <t>Zhongtai Intern</t>
        </is>
      </c>
      <c r="AI505" s="81" t="n">
        <v>93.75</v>
      </c>
      <c r="AJ505" s="82" t="n">
        <v>162.5</v>
      </c>
      <c r="AK505" s="82" t="n">
        <v>100</v>
      </c>
      <c r="AL505" s="82" t="n">
        <v>31.25</v>
      </c>
      <c r="AM505" s="83" t="n">
        <v>4.03</v>
      </c>
      <c r="AN505" s="75" t="n">
        <v>62.5</v>
      </c>
      <c r="AO505" s="82" t="n">
        <v>267.5</v>
      </c>
      <c r="AP505" s="82" t="n">
        <v>1146.88</v>
      </c>
      <c r="AQ505" s="82" t="n"/>
      <c r="AR505" s="82" t="n">
        <v>40</v>
      </c>
      <c r="AS505" s="82" t="n">
        <v>375</v>
      </c>
      <c r="AT505" s="82" t="n"/>
      <c r="AU505" s="82" t="n">
        <v>263.44</v>
      </c>
      <c r="AV505" s="82" t="n">
        <v>1140.07</v>
      </c>
      <c r="AW505" s="82" t="n"/>
      <c r="AX505" s="82" t="n">
        <v>367.59</v>
      </c>
      <c r="AY505" s="82" t="n">
        <v>6.81</v>
      </c>
      <c r="AZ505" s="82" t="n">
        <v>7.41</v>
      </c>
      <c r="BA505" s="71" t="inlineStr">
        <is>
          <t>Hang Seng Commerce &amp; Industry sub-index</t>
        </is>
      </c>
      <c r="BB505" s="82" t="n">
        <v>803.75</v>
      </c>
      <c r="BC505" s="72" t="inlineStr">
        <is>
          <t>2026-09-21</t>
        </is>
      </c>
      <c r="BD505" s="73" t="n">
        <v>345.1</v>
      </c>
      <c r="BE505" s="76" t="n">
        <v>53.8</v>
      </c>
      <c r="BF505" s="71" t="inlineStr">
        <is>
          <t>Y</t>
        </is>
      </c>
      <c r="BG505" s="83" t="n">
        <v>14.9</v>
      </c>
      <c r="BH505" s="83" t="n"/>
      <c r="BI505" s="83" t="n"/>
      <c r="BJ505" s="83" t="n">
        <v>2.3</v>
      </c>
      <c r="BK505" s="84">
        <f>IF('BBG Verify'!S505="","not filed; run on terminal",'BBG Verify'!S505)</f>
        <v/>
      </c>
      <c r="BL505" s="85" t="inlineStr">
        <is>
          <t>N</t>
        </is>
      </c>
      <c r="BM505" s="86">
        <f>IF('BBG Verify'!K505="","not filed; run on terminal",'BBG Verify'!K505)</f>
        <v/>
      </c>
      <c r="BN505" s="71" t="inlineStr">
        <is>
          <t>N/A</t>
        </is>
      </c>
      <c r="BO505" s="71" t="inlineStr">
        <is>
          <t>N/A</t>
        </is>
      </c>
      <c r="BP505" s="71" t="inlineStr">
        <is>
          <t>N/A</t>
        </is>
      </c>
      <c r="BQ505" s="71" t="inlineStr">
        <is>
          <t>N/A</t>
        </is>
      </c>
      <c r="BR505" s="71" t="inlineStr">
        <is>
          <t>N/A</t>
        </is>
      </c>
      <c r="BS505" s="71" t="inlineStr">
        <is>
          <t>N/A</t>
        </is>
      </c>
      <c r="BT505" s="85" t="inlineStr">
        <is>
          <t>Zhongtai Inte rnational Capital Limited</t>
        </is>
      </c>
      <c r="BU505" s="71" t="inlineStr">
        <is>
          <t>Zhongtai International Capital Limited</t>
        </is>
      </c>
      <c r="BV505" s="71" t="inlineStr">
        <is>
          <t>CCB International Capital Limited; ABCI Capital Limited</t>
        </is>
      </c>
      <c r="BW505" s="71"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X505" s="87">
        <f>HYPERLINK("https://www1.hkexnews.hk/listedco/listconews/sehk/2026/0630/2026063000055.pdf","prospectus")</f>
        <v/>
      </c>
      <c r="BY505" s="87">
        <f>HYPERLINK("https://www1.hkexnews.hk/listedco/listconews/sehk/2026/0708/2026070801132.pdf","allotment")</f>
        <v/>
      </c>
      <c r="BZ505" s="87">
        <f>HYPERLINK("https://www1.hkexnews.hk/listedco/listconews/sehk/2026/0805/2026080501400.pdf","stabilisation")</f>
        <v/>
      </c>
      <c r="CA505" s="85" t="n"/>
      <c r="CB505" s="71" t="inlineStr">
        <is>
          <t>greenshoe: outcome published; expiry date not in the notice; 3m: listed less than 3m ago; cornerstone list: no cornerstone tranche; alpha/index: 3m window not elapsed</t>
        </is>
      </c>
    </row>
    <row r="506" ht="15" customHeight="1">
      <c r="A506" s="70" t="inlineStr">
        <is>
          <t>1770</t>
        </is>
      </c>
      <c r="B506" s="71" t="inlineStr">
        <is>
          <t>DKE</t>
        </is>
      </c>
      <c r="C506" s="71" t="inlineStr">
        <is>
          <t>東方科脈</t>
        </is>
      </c>
      <c r="D506" s="71" t="inlineStr">
        <is>
          <t>Tech/AI</t>
        </is>
      </c>
      <c r="E506" s="71" t="inlineStr">
        <is>
          <t>Smart hardware / consumer electronics</t>
        </is>
      </c>
      <c r="F506" s="71" t="inlineStr">
        <is>
          <t>Electrical Components &amp; Equipment</t>
        </is>
      </c>
      <c r="G506" s="71" t="inlineStr">
        <is>
          <t>Standard</t>
        </is>
      </c>
      <c r="H506" s="72" t="n">
        <v>46212</v>
      </c>
      <c r="I506" s="73" t="n">
        <v>402.53</v>
      </c>
      <c r="J506" s="71" t="inlineStr">
        <is>
          <t>gross (stated)</t>
        </is>
      </c>
      <c r="K506" s="74" t="n"/>
      <c r="L506" s="74" t="n">
        <v>101.11</v>
      </c>
      <c r="M506" s="74" t="n">
        <v>78.64</v>
      </c>
      <c r="N506" s="71" t="inlineStr">
        <is>
          <t>N</t>
        </is>
      </c>
      <c r="O506" s="75" t="n">
        <v>77.8</v>
      </c>
      <c r="P506" s="75" t="n"/>
      <c r="Q506" s="76" t="n">
        <v>4025.2</v>
      </c>
      <c r="R506" s="71" t="inlineStr">
        <is>
          <t>derived:price x shares upon listing</t>
        </is>
      </c>
      <c r="S506" s="77" t="n">
        <v>1067.54</v>
      </c>
      <c r="T506" s="78" t="n">
        <v>3.69</v>
      </c>
      <c r="U506" s="79" t="n">
        <v>0</v>
      </c>
      <c r="V506" s="80" t="n">
        <v>52</v>
      </c>
      <c r="W506" s="75" t="n">
        <v>10</v>
      </c>
      <c r="X506" s="71" t="inlineStr">
        <is>
          <t>NO</t>
        </is>
      </c>
      <c r="Y506" s="76" t="n">
        <v>402.53</v>
      </c>
      <c r="Z506" s="76" t="n">
        <v>5118600</v>
      </c>
      <c r="AA506" s="75" t="n">
        <v>10</v>
      </c>
      <c r="AB506" s="71" t="n"/>
      <c r="AC506" s="71" t="n"/>
      <c r="AD506" s="75" t="n">
        <v>10</v>
      </c>
      <c r="AE506" s="71" t="inlineStr">
        <is>
          <t>lapsed (no over-allocation)</t>
        </is>
      </c>
      <c r="AF506" s="71" t="n"/>
      <c r="AG506" s="71" t="inlineStr">
        <is>
          <t>CLSA Limited</t>
        </is>
      </c>
      <c r="AH506" s="71" t="inlineStr">
        <is>
          <t>CLSA</t>
        </is>
      </c>
      <c r="AI506" s="81" t="n">
        <v>3.383</v>
      </c>
      <c r="AJ506" s="82" t="n">
        <v>1.73</v>
      </c>
      <c r="AK506" s="82" t="n">
        <v>-1.89</v>
      </c>
      <c r="AL506" s="82" t="n">
        <v>3.69</v>
      </c>
      <c r="AM506" s="83" t="n">
        <v>1.79</v>
      </c>
      <c r="AN506" s="75" t="n">
        <v>12.7</v>
      </c>
      <c r="AO506" s="82" t="n">
        <v>-1.2</v>
      </c>
      <c r="AP506" s="82" t="n">
        <v>42.42</v>
      </c>
      <c r="AQ506" s="82" t="n"/>
      <c r="AR506" s="82" t="n">
        <v>-2.88</v>
      </c>
      <c r="AS506" s="82" t="n">
        <v>40</v>
      </c>
      <c r="AT506" s="82" t="n"/>
      <c r="AU506" s="82" t="n">
        <v>-3.53</v>
      </c>
      <c r="AV506" s="82" t="n">
        <v>39.7</v>
      </c>
      <c r="AW506" s="82" t="n"/>
      <c r="AX506" s="82" t="n">
        <v>37.28</v>
      </c>
      <c r="AY506" s="82" t="n">
        <v>2.72</v>
      </c>
      <c r="AZ506" s="82" t="n">
        <v>2.72</v>
      </c>
      <c r="BA506" s="71" t="inlineStr">
        <is>
          <t>HSTECH (Hang Seng TECH ETF)</t>
        </is>
      </c>
      <c r="BB506" s="82" t="n">
        <v>5.29</v>
      </c>
      <c r="BC506" s="72" t="inlineStr">
        <is>
          <t>2026-09-21</t>
        </is>
      </c>
      <c r="BD506" s="73" t="n">
        <v>571.6</v>
      </c>
      <c r="BE506" s="76" t="n">
        <v>88.3</v>
      </c>
      <c r="BF506" s="71" t="inlineStr">
        <is>
          <t>Y</t>
        </is>
      </c>
      <c r="BG506" s="83" t="n">
        <v>45.6</v>
      </c>
      <c r="BH506" s="83" t="n"/>
      <c r="BI506" s="83" t="n"/>
      <c r="BJ506" s="83" t="n">
        <v>7</v>
      </c>
      <c r="BK506" s="84">
        <f>IF('BBG Verify'!S506="","not filed; run on terminal",'BBG Verify'!S506)</f>
        <v/>
      </c>
      <c r="BL506" s="85" t="inlineStr">
        <is>
          <t>N</t>
        </is>
      </c>
      <c r="BM506" s="86">
        <f>IF('BBG Verify'!K506="","not filed; run on terminal",'BBG Verify'!K506)</f>
        <v/>
      </c>
      <c r="BN506" s="71" t="inlineStr">
        <is>
          <t>N/A</t>
        </is>
      </c>
      <c r="BO506" s="71" t="inlineStr">
        <is>
          <t>N/A</t>
        </is>
      </c>
      <c r="BP506" s="71" t="inlineStr">
        <is>
          <t>N/A</t>
        </is>
      </c>
      <c r="BQ506" s="71" t="inlineStr">
        <is>
          <t>N/A</t>
        </is>
      </c>
      <c r="BR506" s="71" t="inlineStr">
        <is>
          <t>N/A</t>
        </is>
      </c>
      <c r="BS506" s="71" t="inlineStr">
        <is>
          <t>N/A</t>
        </is>
      </c>
      <c r="BT506" s="85" t="inlineStr">
        <is>
          <t>CITIC Securities (Hong Kong) Limited</t>
        </is>
      </c>
      <c r="BU506" s="71" t="inlineStr">
        <is>
          <t>CITIC Securities (Hong Kong) Limited</t>
        </is>
      </c>
      <c r="BV506" s="71" t="inlineStr">
        <is>
          <t>CMBC Securities Company Limited; JA Securities Limited</t>
        </is>
      </c>
      <c r="BW506" s="71" t="inlineStr">
        <is>
          <t>China Harbour International Securities Limited; CLSA Limited; CMBC Securities Company Limited; JA Securities Limited; SPDB International Capital Limited</t>
        </is>
      </c>
      <c r="BX506" s="87">
        <f>HYPERLINK("https://www1.hkexnews.hk/listedco/listconews/sehk/2026/0629/2026062900101.pdf","prospectus")</f>
        <v/>
      </c>
      <c r="BY506" s="87">
        <f>HYPERLINK("https://www1.hkexnews.hk/listedco/listconews/sehk/2026/0708/2026070801214.pdf","allotment")</f>
        <v/>
      </c>
      <c r="BZ506" s="87">
        <f>HYPERLINK("https://www1.hkexnews.hk/listedco/listconews/sehk/2026/0803/2026080303735.pdf","stabilisation")</f>
        <v/>
      </c>
      <c r="CA506" s="85" t="n"/>
      <c r="CB506" s="71" t="inlineStr">
        <is>
          <t>greenshoe: outcome published; expiry date not in the notice; range low: maximum offer price only, no floor published; 3m: listed less than 3m ago; cornerstone list: no cornerstone tranche; alpha/index: 3m window not elapsed</t>
        </is>
      </c>
    </row>
    <row r="507" ht="15" customHeight="1">
      <c r="A507" s="70" t="inlineStr">
        <is>
          <t>3752</t>
        </is>
      </c>
      <c r="B507" s="71" t="inlineStr">
        <is>
          <t>ROKAE ROBOTICS</t>
        </is>
      </c>
      <c r="C507" s="71" t="inlineStr">
        <is>
          <t>珞石機器人</t>
        </is>
      </c>
      <c r="D507" s="71" t="inlineStr">
        <is>
          <t>Tech/AI</t>
        </is>
      </c>
      <c r="E507" s="71" t="inlineStr">
        <is>
          <t>Robotics &amp; autonomous driving</t>
        </is>
      </c>
      <c r="F507" s="71" t="inlineStr">
        <is>
          <t>Advanced hardware and software</t>
        </is>
      </c>
      <c r="G507" s="71" t="inlineStr">
        <is>
          <t>Standard</t>
        </is>
      </c>
      <c r="H507" s="72" t="n">
        <v>46212</v>
      </c>
      <c r="I507" s="73" t="n">
        <v>875.2</v>
      </c>
      <c r="J507" s="71" t="inlineStr">
        <is>
          <t>gross (stated)</t>
        </is>
      </c>
      <c r="K507" s="74" t="n"/>
      <c r="L507" s="74" t="n">
        <v>38</v>
      </c>
      <c r="M507" s="74" t="n">
        <v>38</v>
      </c>
      <c r="N507" s="71" t="inlineStr">
        <is>
          <t>Y</t>
        </is>
      </c>
      <c r="O507" s="75" t="n">
        <v>100</v>
      </c>
      <c r="P507" s="75" t="n"/>
      <c r="Q507" s="76" t="n">
        <v>9950</v>
      </c>
      <c r="R507" s="71" t="inlineStr">
        <is>
          <t>prospectus:stated market capitalisation</t>
        </is>
      </c>
      <c r="S507" s="77" t="n">
        <v>156.58</v>
      </c>
      <c r="T507" s="78" t="n">
        <v>11.96</v>
      </c>
      <c r="U507" s="79" t="n">
        <v>31.4</v>
      </c>
      <c r="V507" s="80" t="n">
        <v>72</v>
      </c>
      <c r="W507" s="75" t="n">
        <v>10</v>
      </c>
      <c r="X507" s="71" t="inlineStr">
        <is>
          <t>NO</t>
        </is>
      </c>
      <c r="Y507" s="76" t="n">
        <v>600.39</v>
      </c>
      <c r="Z507" s="76" t="n">
        <v>15799883</v>
      </c>
      <c r="AA507" s="75" t="n">
        <v>6.03</v>
      </c>
      <c r="AB507" s="71" t="inlineStr">
        <is>
          <t>All View Focus Fund LPF; Beijing Financial Street Capital Operation Group Co., Ltd; GF Management Co., Ltd; Huatai Capital Investment Limited; Yishao Capital Management (HK) Limited</t>
        </is>
      </c>
      <c r="AC507" s="71" t="inlineStr">
        <is>
          <t>all;beijing-financial;gf;huatai;yishao</t>
        </is>
      </c>
      <c r="AD507" s="75" t="n">
        <v>15</v>
      </c>
      <c r="AE507" s="71" t="inlineStr">
        <is>
          <t>full</t>
        </is>
      </c>
      <c r="AF507" s="71" t="inlineStr">
        <is>
          <t>2026-08-05</t>
        </is>
      </c>
      <c r="AG507" s="71" t="inlineStr">
        <is>
          <t>China International Capital Corporation Hong Kong Securities Limited</t>
        </is>
      </c>
      <c r="AH507" s="71" t="inlineStr">
        <is>
          <t>China International</t>
        </is>
      </c>
      <c r="AI507" s="92" t="n">
        <v>-1.842</v>
      </c>
      <c r="AJ507" s="82" t="n">
        <v>15.21</v>
      </c>
      <c r="AK507" s="82" t="n">
        <v>0.05</v>
      </c>
      <c r="AL507" s="82" t="n">
        <v>15.15</v>
      </c>
      <c r="AM507" s="83" t="n">
        <v>1.77</v>
      </c>
      <c r="AN507" s="75" t="n">
        <v>17.2</v>
      </c>
      <c r="AO507" s="82" t="n">
        <v>28.63</v>
      </c>
      <c r="AP507" s="82" t="n">
        <v>88.95</v>
      </c>
      <c r="AQ507" s="82" t="n"/>
      <c r="AR507" s="82" t="n">
        <v>11.65</v>
      </c>
      <c r="AS507" s="82" t="n">
        <v>64</v>
      </c>
      <c r="AT507" s="82" t="n"/>
      <c r="AU507" s="82" t="n">
        <v>26.3</v>
      </c>
      <c r="AV507" s="82" t="n">
        <v>86.23</v>
      </c>
      <c r="AW507" s="82" t="n"/>
      <c r="AX507" s="82" t="n">
        <v>61.28</v>
      </c>
      <c r="AY507" s="82" t="n">
        <v>2.72</v>
      </c>
      <c r="AZ507" s="82" t="n">
        <v>2.72</v>
      </c>
      <c r="BA507" s="71" t="inlineStr">
        <is>
          <t>HSTECH (Hang Seng TECH ETF)</t>
        </is>
      </c>
      <c r="BB507" s="82" t="n">
        <v>26.16</v>
      </c>
      <c r="BC507" s="72" t="inlineStr">
        <is>
          <t>2026-09-21</t>
        </is>
      </c>
      <c r="BD507" s="73" t="n">
        <v>573.9</v>
      </c>
      <c r="BE507" s="76" t="n">
        <v>-197.2</v>
      </c>
      <c r="BF507" s="71" t="inlineStr">
        <is>
          <t>N</t>
        </is>
      </c>
      <c r="BG507" s="71" t="inlineStr">
        <is>
          <t>n/m</t>
        </is>
      </c>
      <c r="BH507" s="83" t="n"/>
      <c r="BI507" s="83" t="n"/>
      <c r="BJ507" s="83" t="n">
        <v>17.3</v>
      </c>
      <c r="BK507" s="84">
        <f>IF('BBG Verify'!S507="","not filed; run on terminal",'BBG Verify'!S507)</f>
        <v/>
      </c>
      <c r="BL507" s="85" t="inlineStr">
        <is>
          <t>N</t>
        </is>
      </c>
      <c r="BM507" s="86">
        <f>IF('BBG Verify'!K507="","not filed; run on terminal",'BBG Verify'!K507)</f>
        <v/>
      </c>
      <c r="BN507" s="71" t="inlineStr">
        <is>
          <t>N/A</t>
        </is>
      </c>
      <c r="BO507" s="71" t="inlineStr">
        <is>
          <t>N/A</t>
        </is>
      </c>
      <c r="BP507" s="71" t="inlineStr">
        <is>
          <t>N/A</t>
        </is>
      </c>
      <c r="BQ507" s="71" t="inlineStr">
        <is>
          <t>N/A</t>
        </is>
      </c>
      <c r="BR507" s="71" t="inlineStr">
        <is>
          <t>N/A</t>
        </is>
      </c>
      <c r="BS507" s="71" t="inlineStr">
        <is>
          <t>N/A</t>
        </is>
      </c>
      <c r="BT507" s="85" t="inlineStr">
        <is>
          <t>China International Capital Corporation Hong Kong Securities Limited; Guotai Junan Capital Limited</t>
        </is>
      </c>
      <c r="BU507" s="71" t="inlineStr">
        <is>
          <t>China International Capital Corporation Hong Kong Securities Limited; Guotai Junan Capital Limited</t>
        </is>
      </c>
      <c r="BV507" s="71" t="inlineStr">
        <is>
          <t>China International Capital Corporation Hong Kong Securities Limited; Guotai Junan Securities (Hong Kong) Limited; Guosen Securities (HK) Brokerage Company, Limited; Futu Securities International (Hong Kong) Limited; Kingsway Financial Services Group Limited</t>
        </is>
      </c>
      <c r="BW507" s="71" t="inlineStr">
        <is>
          <t>China International Capital Corporation Hong Kong Securities Limited; Futu Securities International (Hong Kong) Limited; Guotai Junan Securities (Hong Kong) Limited; Guosen Securities (HK) Brokerage Company, Limited; Kingsway Financial Services Group Limited</t>
        </is>
      </c>
      <c r="BX507" s="87">
        <f>HYPERLINK("https://www1.hkexnews.hk/listedco/listconews/sehk/2026/0630/2026063000033.pdf","prospectus")</f>
        <v/>
      </c>
      <c r="BY507" s="87">
        <f>HYPERLINK("https://www1.hkexnews.hk/listedco/listconews/sehk/2026/0708/2026070801234.pdf","allotment")</f>
        <v/>
      </c>
      <c r="BZ507" s="87">
        <f>HYPERLINK("https://www1.hkexnews.hk/listedco/listconews/sehk/2026/0805/2026080501829.pdf","stabilisation")</f>
        <v/>
      </c>
      <c r="CA507" s="85" t="n"/>
      <c r="CB507" s="71" t="inlineStr">
        <is>
          <t>P/E: loss-making at IPO, use P/S; range low: maximum offer price only, no floor published; 3m: listed less than 3m ago; alpha/index: 3m window not elapsed</t>
        </is>
      </c>
    </row>
    <row r="508" ht="15" customHeight="1">
      <c r="A508" s="70" t="inlineStr">
        <is>
          <t>0537</t>
        </is>
      </c>
      <c r="B508" s="71" t="inlineStr">
        <is>
          <t>RIGOL</t>
        </is>
      </c>
      <c r="C508" s="71" t="inlineStr">
        <is>
          <t>普源精電</t>
        </is>
      </c>
      <c r="D508" s="71" t="inlineStr">
        <is>
          <t>Industrials</t>
        </is>
      </c>
      <c r="E508" s="71" t="inlineStr">
        <is>
          <t>Capital goods / machinery</t>
        </is>
      </c>
      <c r="F508" s="71" t="inlineStr">
        <is>
          <t>Electronic Equipment &amp; Instruments</t>
        </is>
      </c>
      <c r="G508" s="71" t="inlineStr">
        <is>
          <t>Standard</t>
        </is>
      </c>
      <c r="H508" s="72" t="n">
        <v>46212</v>
      </c>
      <c r="I508" s="73" t="n">
        <v>1140.4</v>
      </c>
      <c r="J508" s="71" t="inlineStr">
        <is>
          <t>gross (stated)</t>
        </is>
      </c>
      <c r="K508" s="74" t="n"/>
      <c r="L508" s="74" t="n">
        <v>45.98</v>
      </c>
      <c r="M508" s="74" t="n">
        <v>45.98</v>
      </c>
      <c r="N508" s="71" t="inlineStr">
        <is>
          <t>Y</t>
        </is>
      </c>
      <c r="O508" s="75" t="n">
        <v>100</v>
      </c>
      <c r="P508" s="75" t="n"/>
      <c r="Q508" s="76" t="n">
        <v>10054.8</v>
      </c>
      <c r="R508" s="71" t="inlineStr">
        <is>
          <t>derived:price x shares upon listing</t>
        </is>
      </c>
      <c r="S508" s="77" t="n">
        <v>356.86</v>
      </c>
      <c r="T508" s="78" t="n">
        <v>9.17</v>
      </c>
      <c r="U508" s="79" t="n">
        <v>42.11</v>
      </c>
      <c r="V508" s="80" t="n">
        <v>91</v>
      </c>
      <c r="W508" s="75" t="n"/>
      <c r="X508" s="71" t="inlineStr">
        <is>
          <t>NA</t>
        </is>
      </c>
      <c r="Y508" s="76" t="n">
        <v>660.1799999999999</v>
      </c>
      <c r="Z508" s="76" t="n">
        <v>14357994</v>
      </c>
      <c r="AA508" s="75" t="n">
        <v>6.57</v>
      </c>
      <c r="AB508" s="71" t="inlineStr">
        <is>
          <t>CITIC-Prudential Fund Management Company Ltd; CPE Hemlock Investment Limited; HHLR Advisors, Ltd; Hua Yuan International Limited; Purple Diamond Ltd; Sungrow Power (Hong Kong) Co., Limited; Suzhou Taihu Golden Valley Construction and Development Co., Ltd</t>
        </is>
      </c>
      <c r="AC508" s="71" t="inlineStr">
        <is>
          <t>citic;cpe;hhlr;hua;purple;sungrow;suzhou</t>
        </is>
      </c>
      <c r="AD508" s="75" t="n"/>
      <c r="AE508" s="71" t="n"/>
      <c r="AF508" s="71" t="n"/>
      <c r="AG508" s="71" t="n"/>
      <c r="AH508" s="71" t="n"/>
      <c r="AI508" s="81" t="n">
        <v>-17.355</v>
      </c>
      <c r="AJ508" s="82" t="n">
        <v>-37.36</v>
      </c>
      <c r="AK508" s="82" t="n">
        <v>-18.75</v>
      </c>
      <c r="AL508" s="82" t="n">
        <v>-22.9</v>
      </c>
      <c r="AM508" s="83" t="n"/>
      <c r="AN508" s="75" t="n">
        <v>24.79</v>
      </c>
      <c r="AO508" s="82" t="n">
        <v>-44.32</v>
      </c>
      <c r="AP508" s="82" t="n">
        <v>-45.06</v>
      </c>
      <c r="AQ508" s="82" t="n"/>
      <c r="AR508" s="82" t="n">
        <v>-11.11</v>
      </c>
      <c r="AS508" s="82" t="n">
        <v>-12.29</v>
      </c>
      <c r="AT508" s="82" t="n"/>
      <c r="AU508" s="82" t="n">
        <v>-48.38</v>
      </c>
      <c r="AV508" s="82" t="n">
        <v>-51.87</v>
      </c>
      <c r="AW508" s="82" t="n"/>
      <c r="AX508" s="82" t="n">
        <v>-19.7</v>
      </c>
      <c r="AY508" s="82" t="n">
        <v>6.81</v>
      </c>
      <c r="AZ508" s="82" t="n">
        <v>7.41</v>
      </c>
      <c r="BA508" s="71" t="inlineStr">
        <is>
          <t>Hang Seng Commerce &amp; Industry sub-index</t>
        </is>
      </c>
      <c r="BB508" s="82" t="n">
        <v>-49.76</v>
      </c>
      <c r="BC508" s="72" t="inlineStr">
        <is>
          <t>2026-09-21</t>
        </is>
      </c>
      <c r="BD508" s="73" t="n">
        <v>853.4</v>
      </c>
      <c r="BE508" s="76" t="n">
        <v>94.7</v>
      </c>
      <c r="BF508" s="71" t="inlineStr">
        <is>
          <t>Y</t>
        </is>
      </c>
      <c r="BG508" s="83" t="n">
        <v>106.2</v>
      </c>
      <c r="BH508" s="83" t="n"/>
      <c r="BI508" s="83" t="n"/>
      <c r="BJ508" s="83" t="n">
        <v>11.8</v>
      </c>
      <c r="BK508" s="84">
        <f>IF('BBG Verify'!S508="","not filed; run on terminal",'BBG Verify'!S508)</f>
        <v/>
      </c>
      <c r="BL508" s="85" t="inlineStr">
        <is>
          <t>Y</t>
        </is>
      </c>
      <c r="BM508" s="71" t="inlineStr">
        <is>
          <t>688337.SS</t>
        </is>
      </c>
      <c r="BN508" s="82" t="n">
        <v>43.58</v>
      </c>
      <c r="BO508" s="74" t="n">
        <v>66.0176</v>
      </c>
      <c r="BP508" s="89" t="n">
        <v>1.416</v>
      </c>
      <c r="BQ508" s="76" t="n">
        <v>12215.4</v>
      </c>
      <c r="BR508" s="84">
        <f>IF('BBG Verify'!Q508="","run on terminal",'BBG Verify'!Q508)</f>
        <v/>
      </c>
      <c r="BS508" s="84">
        <f>IF('BBG Verify'!R508="","run on terminal",'BBG Verify'!R508)</f>
        <v/>
      </c>
      <c r="BT508" s="85" t="inlineStr">
        <is>
          <t>CITIC Securities (Hong Kong) Limited</t>
        </is>
      </c>
      <c r="BU508" s="71" t="inlineStr">
        <is>
          <t>CITIC Securities (Hong Kong) Limited</t>
        </is>
      </c>
      <c r="BV508" s="71" t="inlineStr">
        <is>
          <t>CLSA Limited; CMB International Capital Limited; ICBC International Securities Limited</t>
        </is>
      </c>
      <c r="BW508" s="71" t="inlineStr">
        <is>
          <t>CLSA Limited; CMB International Capital Limited; ICBC International Securities Limited</t>
        </is>
      </c>
      <c r="BX508" s="87">
        <f>HYPERLINK("https://www1.hkexnews.hk/listedco/listconews/sehk/2026/0630/2026063000023.pdf","prospectus")</f>
        <v/>
      </c>
      <c r="BY508" s="87">
        <f>HYPERLINK("https://www1.hkexnews.hk/listedco/listconews/sehk/2026/0708/2026070801336.pdf","allotment")</f>
        <v/>
      </c>
      <c r="BZ508" s="71" t="n"/>
      <c r="CA508" s="85" t="n"/>
      <c r="CB508" s="71"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t>
        </is>
      </c>
    </row>
    <row r="509" ht="15" customHeight="1">
      <c r="A509" s="70" t="inlineStr">
        <is>
          <t>2475</t>
        </is>
      </c>
      <c r="B509" s="71" t="inlineStr">
        <is>
          <t>LUXSHARE ICT</t>
        </is>
      </c>
      <c r="C509" s="71" t="inlineStr">
        <is>
          <t>立訊精密</t>
        </is>
      </c>
      <c r="D509" s="71" t="inlineStr">
        <is>
          <t>Tech/AI</t>
        </is>
      </c>
      <c r="E509" s="71" t="inlineStr">
        <is>
          <t>Smart hardware / consumer electronics</t>
        </is>
      </c>
      <c r="F509" s="71" t="inlineStr">
        <is>
          <t>Telecommunications &amp; Networking Equipment</t>
        </is>
      </c>
      <c r="G509" s="71" t="inlineStr">
        <is>
          <t>Standard</t>
        </is>
      </c>
      <c r="H509" s="72" t="n">
        <v>46212</v>
      </c>
      <c r="I509" s="73" t="n">
        <v>24266.2</v>
      </c>
      <c r="J509" s="71" t="inlineStr">
        <is>
          <t>gross (stated)</t>
        </is>
      </c>
      <c r="K509" s="74" t="n"/>
      <c r="L509" s="74" t="n">
        <v>63.28</v>
      </c>
      <c r="M509" s="74" t="n">
        <v>63.28</v>
      </c>
      <c r="N509" s="71" t="inlineStr">
        <is>
          <t>Y</t>
        </is>
      </c>
      <c r="O509" s="75" t="n">
        <v>100</v>
      </c>
      <c r="P509" s="75" t="n"/>
      <c r="Q509" s="76" t="n">
        <v>487365.5</v>
      </c>
      <c r="R509" s="71" t="inlineStr">
        <is>
          <t>derived:price x shares upon listing</t>
        </is>
      </c>
      <c r="S509" s="77" t="n">
        <v>3.78</v>
      </c>
      <c r="T509" s="78" t="n">
        <v>9.460000000000001</v>
      </c>
      <c r="U509" s="79" t="n">
        <v>48.4</v>
      </c>
      <c r="V509" s="80" t="n">
        <v>294</v>
      </c>
      <c r="W509" s="75" t="n">
        <v>10</v>
      </c>
      <c r="X509" s="71" t="inlineStr">
        <is>
          <t>NA</t>
        </is>
      </c>
      <c r="Y509" s="76" t="n">
        <v>12521.36</v>
      </c>
      <c r="Z509" s="76" t="n">
        <v>197871965</v>
      </c>
      <c r="AA509" s="75" t="n">
        <v>2.57</v>
      </c>
      <c r="AB509" s="71"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AC509" s="71" t="inlineStr">
        <is>
          <t>bosera;universal;cpe;cpp;eastspring;fil;first-sentier;foresight;gf;gic;greenwoods;harvest;hhlr;huang-river;jane;millennium;mirae;my;perseverance;polymer;prosper</t>
        </is>
      </c>
      <c r="AD509" s="75" t="n">
        <v>15</v>
      </c>
      <c r="AE509" s="71" t="inlineStr">
        <is>
          <t>partial</t>
        </is>
      </c>
      <c r="AF509" s="71" t="inlineStr">
        <is>
          <t>2026-08-05</t>
        </is>
      </c>
      <c r="AG509" s="71" t="inlineStr">
        <is>
          <t>Goldman Sachs</t>
        </is>
      </c>
      <c r="AH509" s="71" t="inlineStr">
        <is>
          <t>Goldman Sachs</t>
        </is>
      </c>
      <c r="AI509" s="81" t="n">
        <v>-4.9</v>
      </c>
      <c r="AJ509" s="82" t="n">
        <v>-1.55</v>
      </c>
      <c r="AK509" s="82" t="n">
        <v>-0.05</v>
      </c>
      <c r="AL509" s="82" t="n">
        <v>-1.5</v>
      </c>
      <c r="AM509" s="83" t="n">
        <v>1.85</v>
      </c>
      <c r="AN509" s="75" t="n">
        <v>9.57</v>
      </c>
      <c r="AO509" s="82" t="n">
        <v>-5.18</v>
      </c>
      <c r="AP509" s="82" t="n">
        <v>0.11</v>
      </c>
      <c r="AQ509" s="82" t="n"/>
      <c r="AR509" s="82" t="n">
        <v>-3.69</v>
      </c>
      <c r="AS509" s="82" t="n">
        <v>1.69</v>
      </c>
      <c r="AT509" s="82" t="n"/>
      <c r="AU509" s="82" t="n">
        <v>-7.51</v>
      </c>
      <c r="AV509" s="82" t="n">
        <v>-2.61</v>
      </c>
      <c r="AW509" s="82" t="n"/>
      <c r="AX509" s="82" t="n">
        <v>-1.03</v>
      </c>
      <c r="AY509" s="82" t="n">
        <v>2.72</v>
      </c>
      <c r="AZ509" s="82" t="n">
        <v>2.72</v>
      </c>
      <c r="BA509" s="71" t="inlineStr">
        <is>
          <t>HSTECH (Hang Seng TECH ETF)</t>
        </is>
      </c>
      <c r="BB509" s="82" t="n">
        <v>-6.76</v>
      </c>
      <c r="BC509" s="72" t="inlineStr">
        <is>
          <t>2026-09-21</t>
        </is>
      </c>
      <c r="BD509" s="73" t="n">
        <v>365578.9</v>
      </c>
      <c r="BE509" s="76" t="n">
        <v>19987.3</v>
      </c>
      <c r="BF509" s="71" t="inlineStr">
        <is>
          <t>Y</t>
        </is>
      </c>
      <c r="BG509" s="83" t="n">
        <v>24.4</v>
      </c>
      <c r="BH509" s="83" t="n">
        <v>22.8</v>
      </c>
      <c r="BI509" s="83" t="n">
        <v>23</v>
      </c>
      <c r="BJ509" s="83" t="n">
        <v>1.3</v>
      </c>
      <c r="BK509" s="84">
        <f>IF('BBG Verify'!S509="","not filed; run on terminal",'BBG Verify'!S509)</f>
        <v/>
      </c>
      <c r="BL509" s="85" t="inlineStr">
        <is>
          <t>Y</t>
        </is>
      </c>
      <c r="BM509" s="71" t="inlineStr">
        <is>
          <t>002475.SZ</t>
        </is>
      </c>
      <c r="BN509" s="82" t="n">
        <v>13.94</v>
      </c>
      <c r="BO509" s="74" t="n">
        <v>72.09999999999999</v>
      </c>
      <c r="BP509" s="89" t="n">
        <v>0.0808</v>
      </c>
      <c r="BQ509" s="76" t="n">
        <v>493983.8</v>
      </c>
      <c r="BR509" s="84">
        <f>IF('BBG Verify'!Q509="","run on terminal",'BBG Verify'!Q509)</f>
        <v/>
      </c>
      <c r="BS509" s="84">
        <f>IF('BBG Verify'!R509="","run on terminal",'BBG Verify'!R509)</f>
        <v/>
      </c>
      <c r="BT509" s="85" t="inlineStr">
        <is>
          <t>CITIC Securities (Hong Kong) Limited; Goldman Sachs (Asia) L.L.C; China International Capital Corporation Hong Kong Securities Limited</t>
        </is>
      </c>
      <c r="BU509" s="71" t="inlineStr">
        <is>
          <t>China International Capital Corporation Hong Kong Securities Limited; Goldman Sachs (Asia) L.L.C.; CITIC Securities (Hong Kong) Limited</t>
        </is>
      </c>
      <c r="BV509" s="71" t="inlineStr">
        <is>
          <t>China International Capital Corporation Hong Kong Securities Limited; CLSA Limited; GF Securities (Hong Kong) Brokerage Limited; Goldman Sachs (Asia) L.L.C.; Guosen Securities (HK) Capital Company Limited; The Hongkong and Shanghai Banking Corporation Limited</t>
        </is>
      </c>
      <c r="BW509" s="71" t="inlineStr">
        <is>
          <t>China International Capital Corporation Hong Kong Securities Limited; CLSA Limited; GF Securities (Hong Kong) Brokerage Limited; Goldman Sachs (Asia) L.L.C.; Guosen Securities (HK) Capital Company Limited; The Hongkong and Shanghai Banking Corporation Limited</t>
        </is>
      </c>
      <c r="BX509" s="87">
        <f>HYPERLINK("https://www1.hkexnews.hk/listedco/listconews/sehk/2026/0630/2026063000097.pdf","prospectus")</f>
        <v/>
      </c>
      <c r="BY509" s="87">
        <f>HYPERLINK("https://www1.hkexnews.hk/listedco/listconews/sehk/2026/0708/2026070801342.pdf","allotment")</f>
        <v/>
      </c>
      <c r="BZ509" s="87">
        <f>HYPERLINK("https://www1.hkexnews.hk/listedco/listconews/sehk/2026/0805/2026080501907.pdf","stabilisation")</f>
        <v/>
      </c>
      <c r="CA509" s="85" t="n"/>
      <c r="CB509" s="71" t="inlineStr">
        <is>
          <t>range low: maximum offer price only, no floor published; A/H: Jul 2026, ~US$3.1bn; largest HK IPO of 2026 until Innolight; 3m: listed less than 3m ago; alpha/index: 3m window not elapsed</t>
        </is>
      </c>
    </row>
    <row r="510" ht="15" customHeight="1">
      <c r="A510" s="70" t="inlineStr">
        <is>
          <t>6951</t>
        </is>
      </c>
      <c r="B510" s="71" t="inlineStr">
        <is>
          <t>CCTC</t>
        </is>
      </c>
      <c r="C510" s="71" t="inlineStr">
        <is>
          <t>三環集團</t>
        </is>
      </c>
      <c r="D510" s="71" t="inlineStr">
        <is>
          <t>Tech/AI</t>
        </is>
      </c>
      <c r="E510" s="71" t="inlineStr">
        <is>
          <t>Smart hardware / consumer electronics</t>
        </is>
      </c>
      <c r="F510" s="71" t="inlineStr">
        <is>
          <t>Electronic Components</t>
        </is>
      </c>
      <c r="G510" s="71" t="inlineStr">
        <is>
          <t>Standard</t>
        </is>
      </c>
      <c r="H510" s="72" t="n">
        <v>46212</v>
      </c>
      <c r="I510" s="73" t="n">
        <v>7157.8</v>
      </c>
      <c r="J510" s="71" t="inlineStr">
        <is>
          <t>gross (stated)</t>
        </is>
      </c>
      <c r="K510" s="74" t="n"/>
      <c r="L510" s="74" t="n">
        <v>100.3</v>
      </c>
      <c r="M510" s="74" t="n">
        <v>100.3</v>
      </c>
      <c r="N510" s="71" t="inlineStr">
        <is>
          <t>Y</t>
        </is>
      </c>
      <c r="O510" s="75" t="n">
        <v>100</v>
      </c>
      <c r="P510" s="75" t="n"/>
      <c r="Q510" s="76" t="n">
        <v>199382.5</v>
      </c>
      <c r="R510" s="71" t="inlineStr">
        <is>
          <t>derived:price x shares upon listing</t>
        </is>
      </c>
      <c r="S510" s="77" t="n">
        <v>327.49</v>
      </c>
      <c r="T510" s="78" t="n">
        <v>16.24</v>
      </c>
      <c r="U510" s="79" t="n">
        <v>49.81</v>
      </c>
      <c r="V510" s="80" t="n">
        <v>151</v>
      </c>
      <c r="W510" s="75" t="n">
        <v>10</v>
      </c>
      <c r="X510" s="71" t="inlineStr">
        <is>
          <t>NA</t>
        </is>
      </c>
      <c r="Y510" s="76" t="n">
        <v>3592.5</v>
      </c>
      <c r="Z510" s="76" t="n">
        <v>35817742</v>
      </c>
      <c r="AA510" s="75" t="n">
        <v>1.8</v>
      </c>
      <c r="AB510" s="71"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AC510" s="71" t="inlineStr">
        <is>
          <t>alibaba;bosera;universal;cpe;goldman;greater;huang-river;icbc;ivyrock;jpmorgan;manulife;metazone;ninety;taikang;verition</t>
        </is>
      </c>
      <c r="AD510" s="75" t="n">
        <v>15</v>
      </c>
      <c r="AE510" s="71" t="inlineStr">
        <is>
          <t>partial</t>
        </is>
      </c>
      <c r="AF510" s="71" t="n"/>
      <c r="AG510" s="71" t="inlineStr">
        <is>
          <t>China Galaxy International Securities</t>
        </is>
      </c>
      <c r="AH510" s="71" t="inlineStr">
        <is>
          <t>China Galaxy</t>
        </is>
      </c>
      <c r="AI510" s="81" t="n">
        <v>-4.29</v>
      </c>
      <c r="AJ510" s="82" t="n">
        <v>4.69</v>
      </c>
      <c r="AK510" s="82" t="n">
        <v>0</v>
      </c>
      <c r="AL510" s="82" t="n">
        <v>4.69</v>
      </c>
      <c r="AM510" s="83" t="n">
        <v>2.5</v>
      </c>
      <c r="AN510" s="75" t="n">
        <v>8.67</v>
      </c>
      <c r="AO510" s="82" t="n">
        <v>-2.29</v>
      </c>
      <c r="AP510" s="82" t="n">
        <v>6.68</v>
      </c>
      <c r="AQ510" s="82" t="n"/>
      <c r="AR510" s="82" t="n">
        <v>-6.67</v>
      </c>
      <c r="AS510" s="82" t="n">
        <v>1.9</v>
      </c>
      <c r="AT510" s="82" t="n"/>
      <c r="AU510" s="82" t="n">
        <v>-4.62</v>
      </c>
      <c r="AV510" s="82" t="n">
        <v>3.96</v>
      </c>
      <c r="AW510" s="82" t="n"/>
      <c r="AX510" s="82" t="n">
        <v>-0.82</v>
      </c>
      <c r="AY510" s="82" t="n">
        <v>2.72</v>
      </c>
      <c r="AZ510" s="82" t="n">
        <v>2.72</v>
      </c>
      <c r="BA510" s="71" t="inlineStr">
        <is>
          <t>HSTECH (Hang Seng TECH ETF)</t>
        </is>
      </c>
      <c r="BB510" s="82" t="n">
        <v>33.5</v>
      </c>
      <c r="BC510" s="72" t="inlineStr">
        <is>
          <t>2026-09-21</t>
        </is>
      </c>
      <c r="BD510" s="73" t="n">
        <v>9755.4</v>
      </c>
      <c r="BE510" s="76" t="n">
        <v>2878.7</v>
      </c>
      <c r="BF510" s="71" t="inlineStr">
        <is>
          <t>Y</t>
        </is>
      </c>
      <c r="BG510" s="83" t="n">
        <v>69.3</v>
      </c>
      <c r="BH510" s="83" t="n">
        <v>66.3</v>
      </c>
      <c r="BI510" s="83" t="n">
        <v>79.90000000000001</v>
      </c>
      <c r="BJ510" s="83" t="n">
        <v>20.4</v>
      </c>
      <c r="BK510" s="84">
        <f>IF('BBG Verify'!S510="","not filed; run on terminal",'BBG Verify'!S510)</f>
        <v/>
      </c>
      <c r="BL510" s="85" t="inlineStr">
        <is>
          <t>Y</t>
        </is>
      </c>
      <c r="BM510" s="71" t="inlineStr">
        <is>
          <t>300408.SZ</t>
        </is>
      </c>
      <c r="BN510" s="82" t="n">
        <v>50.09</v>
      </c>
      <c r="BO510" s="74" t="n">
        <v>150.5363</v>
      </c>
      <c r="BP510" s="89" t="n">
        <v>0.1358</v>
      </c>
      <c r="BQ510" s="76" t="n">
        <v>303918.8</v>
      </c>
      <c r="BR510" s="84">
        <f>IF('BBG Verify'!Q510="","run on terminal",'BBG Verify'!Q510)</f>
        <v/>
      </c>
      <c r="BS510" s="84">
        <f>IF('BBG Verify'!R510="","run on terminal",'BBG Verify'!R510)</f>
        <v/>
      </c>
      <c r="BT510" s="85" t="inlineStr">
        <is>
          <t>China Galaxy International Securities (Hong Kong) Co., Limited</t>
        </is>
      </c>
      <c r="BU510" s="71" t="inlineStr">
        <is>
          <t>China Galaxy International Securities (Hong Kong) Company Limited</t>
        </is>
      </c>
      <c r="BV510" s="71" t="inlineStr">
        <is>
          <t>CCB International Capital Limited</t>
        </is>
      </c>
      <c r="BW510" s="71" t="inlineStr">
        <is>
          <t>BOCI Asia Limited; CCB International Capital Limited; China Galaxy International Securities (Hong Kong) Company Limited; Huatai Financial Holdings (Hong Kong) Limited; ICBC International Securities Limited</t>
        </is>
      </c>
      <c r="BX510" s="87">
        <f>HYPERLINK("https://www1.hkexnews.hk/listedco/listconews/sehk/2026/0630/2026063000323.pdf","prospectus")</f>
        <v/>
      </c>
      <c r="BY510" s="87">
        <f>HYPERLINK("https://www1.hkexnews.hk/listedco/listconews/sehk/2026/0708/2026070801348.pdf","allotment")</f>
        <v/>
      </c>
      <c r="BZ510" s="87">
        <f>HYPERLINK("https://www1.hkexnews.hk/listedco/listconews/sehk/2026/0805/2026080501999.pdf","stabilisation")</f>
        <v/>
      </c>
      <c r="CA510" s="85" t="n"/>
      <c r="CB510" s="71"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70" t="inlineStr">
        <is>
          <t>1377</t>
        </is>
      </c>
      <c r="B511" s="71" t="inlineStr">
        <is>
          <t>DTECH</t>
        </is>
      </c>
      <c r="C511" s="71" t="inlineStr">
        <is>
          <t>鼎泰高科</t>
        </is>
      </c>
      <c r="D511" s="71" t="inlineStr">
        <is>
          <t>Tech/AI</t>
        </is>
      </c>
      <c r="E511" s="71" t="inlineStr">
        <is>
          <t>Smart hardware / consumer electronics</t>
        </is>
      </c>
      <c r="F511" s="71" t="inlineStr">
        <is>
          <t>Industrial Machinery</t>
        </is>
      </c>
      <c r="G511" s="71" t="inlineStr">
        <is>
          <t>Standard</t>
        </is>
      </c>
      <c r="H511" s="72" t="n">
        <v>46212</v>
      </c>
      <c r="I511" s="73" t="n">
        <v>4800.2</v>
      </c>
      <c r="J511" s="71" t="inlineStr">
        <is>
          <t>gross (stated)</t>
        </is>
      </c>
      <c r="K511" s="74" t="n"/>
      <c r="L511" s="74" t="n">
        <v>380</v>
      </c>
      <c r="M511" s="74" t="n">
        <v>380</v>
      </c>
      <c r="N511" s="71" t="inlineStr">
        <is>
          <t>Y</t>
        </is>
      </c>
      <c r="O511" s="75" t="n">
        <v>100</v>
      </c>
      <c r="P511" s="75" t="n"/>
      <c r="Q511" s="76" t="n">
        <v>161137.1</v>
      </c>
      <c r="R511" s="71" t="inlineStr">
        <is>
          <t>derived:price x shares upon listing</t>
        </is>
      </c>
      <c r="S511" s="77" t="n">
        <v>354.64</v>
      </c>
      <c r="T511" s="78" t="n">
        <v>24.5</v>
      </c>
      <c r="U511" s="79" t="n">
        <v>41.45</v>
      </c>
      <c r="V511" s="80" t="n"/>
      <c r="W511" s="75" t="n"/>
      <c r="X511" s="71" t="inlineStr">
        <is>
          <t>NA</t>
        </is>
      </c>
      <c r="Y511" s="76" t="n">
        <v>2810.52</v>
      </c>
      <c r="Z511" s="76" t="n">
        <v>7396036</v>
      </c>
      <c r="AA511" s="75" t="n">
        <v>1.74</v>
      </c>
      <c r="AB511" s="71"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AC511" s="71" t="inlineStr">
        <is>
          <t>aspex;athos;baring;cloudalpha;cpe;dynamic;fund-management;hel;hhlr;ifund;kingboard;martis;millennium;taikang;verition;victory</t>
        </is>
      </c>
      <c r="AD511" s="75" t="n">
        <v>15</v>
      </c>
      <c r="AE511" s="71" t="n"/>
      <c r="AF511" s="71" t="n"/>
      <c r="AG511" s="71" t="n"/>
      <c r="AH511" s="71" t="n"/>
      <c r="AI511" s="81" t="n">
        <v>-10.526</v>
      </c>
      <c r="AJ511" s="82" t="n">
        <v>-1.79</v>
      </c>
      <c r="AK511" s="82" t="n">
        <v>-13.16</v>
      </c>
      <c r="AL511" s="82" t="n">
        <v>13.09</v>
      </c>
      <c r="AM511" s="83" t="n"/>
      <c r="AN511" s="75" t="n">
        <v>17.58</v>
      </c>
      <c r="AO511" s="82" t="n">
        <v>9.949999999999999</v>
      </c>
      <c r="AP511" s="82" t="n">
        <v>2.63</v>
      </c>
      <c r="AQ511" s="82" t="n"/>
      <c r="AR511" s="82" t="n">
        <v>11.95</v>
      </c>
      <c r="AS511" s="82" t="n">
        <v>4.5</v>
      </c>
      <c r="AT511" s="82" t="n"/>
      <c r="AU511" s="82" t="n">
        <v>7.62</v>
      </c>
      <c r="AV511" s="82" t="n">
        <v>-0.09</v>
      </c>
      <c r="AW511" s="82" t="n"/>
      <c r="AX511" s="82" t="n">
        <v>1.78</v>
      </c>
      <c r="AY511" s="82" t="n">
        <v>2.72</v>
      </c>
      <c r="AZ511" s="82" t="n">
        <v>2.72</v>
      </c>
      <c r="BA511" s="71" t="inlineStr">
        <is>
          <t>HSTECH (Hang Seng TECH ETF)</t>
        </is>
      </c>
      <c r="BB511" s="82" t="n">
        <v>-24.47</v>
      </c>
      <c r="BC511" s="72" t="inlineStr">
        <is>
          <t>2026-09-21</t>
        </is>
      </c>
      <c r="BD511" s="73" t="n"/>
      <c r="BE511" s="76" t="n">
        <v>474.8</v>
      </c>
      <c r="BF511" s="71" t="inlineStr">
        <is>
          <t>Y</t>
        </is>
      </c>
      <c r="BG511" s="83" t="n">
        <v>339.4</v>
      </c>
      <c r="BH511" s="83" t="n">
        <v>305.7</v>
      </c>
      <c r="BI511" s="83" t="n">
        <v>301.2</v>
      </c>
      <c r="BJ511" s="83" t="n"/>
      <c r="BK511" s="84">
        <f>IF('BBG Verify'!S511="","not filed; run on terminal",'BBG Verify'!S511)</f>
        <v/>
      </c>
      <c r="BL511" s="85" t="inlineStr">
        <is>
          <t>Y</t>
        </is>
      </c>
      <c r="BM511" s="71" t="inlineStr">
        <is>
          <t>301377.SZ</t>
        </is>
      </c>
      <c r="BN511" s="82" t="n">
        <v>43.69</v>
      </c>
      <c r="BO511" s="74" t="n">
        <v>546.0071</v>
      </c>
      <c r="BP511" s="89" t="n">
        <v>0.6321</v>
      </c>
      <c r="BQ511" s="76" t="n">
        <v>198763.5</v>
      </c>
      <c r="BR511" s="84">
        <f>IF('BBG Verify'!Q511="","run on terminal",'BBG Verify'!Q511)</f>
        <v/>
      </c>
      <c r="BS511" s="84">
        <f>IF('BBG Verify'!R511="","run on terminal",'BBG Verify'!R511)</f>
        <v/>
      </c>
      <c r="BT511" s="85" t="inlineStr">
        <is>
          <t>CITIC Securities (Hong Kong) Limited; HSBC Corporate Finance (Hong Kong) Limited</t>
        </is>
      </c>
      <c r="BU511" s="71" t="inlineStr">
        <is>
          <t>HSBC Corporate Finance (Hong Kong) Limited; CITIC Securities (Hong Kong) Limited</t>
        </is>
      </c>
      <c r="BV511" s="71" t="inlineStr">
        <is>
          <t>CLSA Limited; The Hongkong and Shanghai Banking Corporation Limited; ABCI Capital Limited; GF Securities (Hong Kong) Brokerage Limited; Huatai Financial Holdings (Hong Kong) Limited</t>
        </is>
      </c>
      <c r="BW511" s="71"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X511" s="87">
        <f>HYPERLINK("https://www1.hkexnews.hk/listedco/listconews/sehk/2026/0630/2026063000041.pdf","prospectus")</f>
        <v/>
      </c>
      <c r="BY511" s="87">
        <f>HYPERLINK("https://www1.hkexnews.hk/listedco/listconews/sehk/2026/0708/2026070801372.pdf","allotment")</f>
        <v/>
      </c>
      <c r="BZ511" s="71" t="n"/>
      <c r="CA511" s="85" t="n"/>
      <c r="CB511" s="71"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t>
        </is>
      </c>
    </row>
    <row r="512" ht="15" customHeight="1">
      <c r="A512" s="70" t="inlineStr">
        <is>
          <t>6745</t>
        </is>
      </c>
      <c r="B512" s="71" t="inlineStr">
        <is>
          <t>BEFAR GROUP</t>
        </is>
      </c>
      <c r="C512" s="71" t="inlineStr">
        <is>
          <t>濱化股份</t>
        </is>
      </c>
      <c r="D512" s="71" t="inlineStr">
        <is>
          <t>Materials/Energy</t>
        </is>
      </c>
      <c r="E512" s="71" t="inlineStr">
        <is>
          <t>Chemicals</t>
        </is>
      </c>
      <c r="F512" s="71" t="inlineStr">
        <is>
          <t>Diversified Chemicals</t>
        </is>
      </c>
      <c r="G512" s="71" t="inlineStr">
        <is>
          <t>Standard</t>
        </is>
      </c>
      <c r="H512" s="72" t="n">
        <v>46213</v>
      </c>
      <c r="I512" s="73" t="n">
        <v>1225.4</v>
      </c>
      <c r="J512" s="71" t="inlineStr">
        <is>
          <t>gross (stated)</t>
        </is>
      </c>
      <c r="K512" s="74" t="n"/>
      <c r="L512" s="74" t="n">
        <v>3.59</v>
      </c>
      <c r="M512" s="74" t="n">
        <v>3.48</v>
      </c>
      <c r="N512" s="71" t="inlineStr">
        <is>
          <t>N</t>
        </is>
      </c>
      <c r="O512" s="75" t="n">
        <v>96.90000000000001</v>
      </c>
      <c r="P512" s="75" t="n"/>
      <c r="Q512" s="76" t="n">
        <v>8608.299999999999</v>
      </c>
      <c r="R512" s="71" t="inlineStr">
        <is>
          <t>aastocks:上市市值 at the struck price</t>
        </is>
      </c>
      <c r="S512" s="77" t="n">
        <v>227.58</v>
      </c>
      <c r="T512" s="78" t="n">
        <v>4.26</v>
      </c>
      <c r="U512" s="79" t="n">
        <v>30.91</v>
      </c>
      <c r="V512" s="80" t="n">
        <v>110</v>
      </c>
      <c r="W512" s="75" t="n">
        <v>10</v>
      </c>
      <c r="X512" s="71" t="inlineStr">
        <is>
          <t>NA</t>
        </is>
      </c>
      <c r="Y512" s="76" t="n">
        <v>846.63</v>
      </c>
      <c r="Z512" s="76" t="n">
        <v>243283853</v>
      </c>
      <c r="AA512" s="75" t="n">
        <v>9.84</v>
      </c>
      <c r="AB512" s="71" t="inlineStr">
        <is>
          <t>Aurora SF; Beijing Yian Capital Management Co. Ltd; China Hongqiao Group Limited; Hyperion Venture Capital Partners Limited; Luhua Daosheng Group Co., Ltd; Safewell Equipment Limited; Tianto Technology Limited</t>
        </is>
      </c>
      <c r="AC512" s="71" t="inlineStr">
        <is>
          <t>aurora;beijing-yian;hongqiao;hyperion;luhua;safewell;tianto</t>
        </is>
      </c>
      <c r="AD512" s="75" t="n"/>
      <c r="AE512" s="71" t="n"/>
      <c r="AF512" s="71" t="n"/>
      <c r="AG512" s="71" t="n"/>
      <c r="AH512" s="71" t="n"/>
      <c r="AI512" s="81" t="n">
        <v>-21.552</v>
      </c>
      <c r="AJ512" s="82" t="n">
        <v>-18.68</v>
      </c>
      <c r="AK512" s="82" t="n">
        <v>-21.26</v>
      </c>
      <c r="AL512" s="82" t="n">
        <v>3.28</v>
      </c>
      <c r="AM512" s="83" t="n">
        <v>2.07</v>
      </c>
      <c r="AN512" s="75" t="n">
        <v>18.61</v>
      </c>
      <c r="AO512" s="82" t="n">
        <v>-13.22</v>
      </c>
      <c r="AP512" s="82" t="n">
        <v>-3.16</v>
      </c>
      <c r="AQ512" s="82" t="n"/>
      <c r="AR512" s="82" t="n">
        <v>6.71</v>
      </c>
      <c r="AS512" s="82" t="n">
        <v>19.09</v>
      </c>
      <c r="AT512" s="82" t="n"/>
      <c r="AU512" s="82" t="n">
        <v>-14.88</v>
      </c>
      <c r="AV512" s="82" t="n">
        <v>-11.99</v>
      </c>
      <c r="AW512" s="82" t="n"/>
      <c r="AX512" s="82" t="n">
        <v>10.86</v>
      </c>
      <c r="AY512" s="82" t="n">
        <v>8.83</v>
      </c>
      <c r="AZ512" s="82" t="n">
        <v>8.23</v>
      </c>
      <c r="BA512" s="71" t="inlineStr">
        <is>
          <t>Hang Seng Commerce &amp; Industry sub-index</t>
        </is>
      </c>
      <c r="BB512" s="82" t="n">
        <v>-11.35</v>
      </c>
      <c r="BC512" s="72" t="inlineStr">
        <is>
          <t>2026-09-21</t>
        </is>
      </c>
      <c r="BD512" s="73" t="n">
        <v>16320.1</v>
      </c>
      <c r="BE512" s="76" t="n">
        <v>918.8</v>
      </c>
      <c r="BF512" s="71" t="inlineStr">
        <is>
          <t>Y</t>
        </is>
      </c>
      <c r="BG512" s="83" t="n">
        <v>9.4</v>
      </c>
      <c r="BH512" s="83" t="n">
        <v>16</v>
      </c>
      <c r="BI512" s="83" t="n">
        <v>17.8</v>
      </c>
      <c r="BJ512" s="83" t="n">
        <v>0.5</v>
      </c>
      <c r="BK512" s="84">
        <f>IF('BBG Verify'!S512="","not filed; run on terminal",'BBG Verify'!S512)</f>
        <v/>
      </c>
      <c r="BL512" s="85" t="inlineStr">
        <is>
          <t>Y</t>
        </is>
      </c>
      <c r="BM512" s="71" t="inlineStr">
        <is>
          <t>601678.SS</t>
        </is>
      </c>
      <c r="BN512" s="82" t="n">
        <v>90.03</v>
      </c>
      <c r="BO512" s="74" t="n">
        <v>6.6132</v>
      </c>
      <c r="BP512" s="89" t="n">
        <v>1.2894</v>
      </c>
      <c r="BQ512" s="76" t="n">
        <v>17033.5</v>
      </c>
      <c r="BR512" s="84">
        <f>IF('BBG Verify'!Q512="","run on terminal",'BBG Verify'!Q512)</f>
        <v/>
      </c>
      <c r="BS512" s="84">
        <f>IF('BBG Verify'!R512="","run on terminal",'BBG Verify'!R512)</f>
        <v/>
      </c>
      <c r="BT512" s="85" t="inlineStr">
        <is>
          <t>Huatai Financial Holdings (Hong Kong) Limited; CCB International Capital Limited</t>
        </is>
      </c>
      <c r="BU512" s="71" t="inlineStr">
        <is>
          <t>CCB International Capital Limited; Huatai Financial Holdings (Hong Kong) Limited</t>
        </is>
      </c>
      <c r="BV512" s="71" t="inlineStr">
        <is>
          <t>Huafu International Securities Limited; Central China International Securities Co., Limited; CMB International Capital Limited; Huatai Financial Holdings (Hong Kong) Limited; CCB International Capital Limited; Zhongtai International Securities Limited</t>
        </is>
      </c>
      <c r="BW512" s="71" t="inlineStr">
        <is>
          <t>CCB International Capital Limited; Central China International Securities Co., Limited; CMB International Capital Limited; Huatai Financial Holdings (Hong Kong) Limited; Huafu International Securities Limited; Zhongtai International Securities Limited</t>
        </is>
      </c>
      <c r="BX512" s="87">
        <f>HYPERLINK("https://www1.hkexnews.hk/listedco/listconews/sehk/2026/0630/2026063000101.pdf","prospectus")</f>
        <v/>
      </c>
      <c r="BY512" s="87">
        <f>HYPERLINK("https://www1.hkexnews.hk/listedco/listconews/sehk/2026/0709/2026070901273.pdf","allotment")</f>
        <v/>
      </c>
      <c r="BZ512" s="71" t="n"/>
      <c r="CA512" s="85" t="n"/>
      <c r="CB512" s="71"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70" t="inlineStr">
        <is>
          <t>2249</t>
        </is>
      </c>
      <c r="B513" s="71" t="inlineStr">
        <is>
          <t>NEXCHIP</t>
        </is>
      </c>
      <c r="C513" s="71" t="inlineStr">
        <is>
          <t>晶合集成</t>
        </is>
      </c>
      <c r="D513" s="71" t="inlineStr">
        <is>
          <t>Tech/AI</t>
        </is>
      </c>
      <c r="E513" s="71" t="inlineStr">
        <is>
          <t>AI chips &amp; semis</t>
        </is>
      </c>
      <c r="F513" s="71" t="inlineStr">
        <is>
          <t>Semiconductors &amp; Semiconductor Equipment</t>
        </is>
      </c>
      <c r="G513" s="71" t="inlineStr">
        <is>
          <t>Standard</t>
        </is>
      </c>
      <c r="H513" s="72" t="n">
        <v>46213</v>
      </c>
      <c r="I513" s="73" t="n">
        <v>6982.19</v>
      </c>
      <c r="J513" s="71" t="inlineStr">
        <is>
          <t>gross (stated)</t>
        </is>
      </c>
      <c r="K513" s="74" t="n"/>
      <c r="L513" s="74" t="n">
        <v>32.3</v>
      </c>
      <c r="M513" s="74" t="n">
        <v>32.3</v>
      </c>
      <c r="N513" s="71" t="inlineStr">
        <is>
          <t>Y</t>
        </is>
      </c>
      <c r="O513" s="75" t="n">
        <v>100</v>
      </c>
      <c r="P513" s="75" t="n"/>
      <c r="Q513" s="76" t="n">
        <v>72179.10000000001</v>
      </c>
      <c r="R513" s="71" t="inlineStr">
        <is>
          <t>aastocks:上市市值 at the struck price</t>
        </is>
      </c>
      <c r="S513" s="77" t="n">
        <v>344.26</v>
      </c>
      <c r="T513" s="78" t="n">
        <v>14.62</v>
      </c>
      <c r="U513" s="79" t="n">
        <v>48.1</v>
      </c>
      <c r="V513" s="80" t="n">
        <v>170</v>
      </c>
      <c r="W513" s="75" t="n">
        <v>10</v>
      </c>
      <c r="X513" s="71" t="inlineStr">
        <is>
          <t>NA</t>
        </is>
      </c>
      <c r="Y513" s="76" t="n">
        <v>3623.76</v>
      </c>
      <c r="Z513" s="76" t="n">
        <v>112190673</v>
      </c>
      <c r="AA513" s="75" t="n">
        <v>5.02</v>
      </c>
      <c r="AB513" s="71"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AC513" s="71" t="inlineStr">
        <is>
          <t>chery;universal;china-international;da;gf;goertek;harvest;hefei;hhlr;icbc;ivyrock;ngs;perseverance;pinpoint;psbc;puxin;smartsens;taikang;verition;wt</t>
        </is>
      </c>
      <c r="AD513" s="75" t="n">
        <v>15</v>
      </c>
      <c r="AE513" s="71" t="inlineStr">
        <is>
          <t>partial</t>
        </is>
      </c>
      <c r="AF513" s="71" t="inlineStr">
        <is>
          <t>2026-08-06</t>
        </is>
      </c>
      <c r="AG513" s="71" t="inlineStr">
        <is>
          <t>China International Capital Corporation Hong Kong Securities Limited</t>
        </is>
      </c>
      <c r="AH513" s="71" t="inlineStr">
        <is>
          <t>China International</t>
        </is>
      </c>
      <c r="AI513" s="81" t="n">
        <v>11.765</v>
      </c>
      <c r="AJ513" s="82" t="n">
        <v>0</v>
      </c>
      <c r="AK513" s="82" t="n">
        <v>11.46</v>
      </c>
      <c r="AL513" s="82" t="n">
        <v>-10.28</v>
      </c>
      <c r="AM513" s="83" t="n">
        <v>2.99</v>
      </c>
      <c r="AN513" s="75" t="n">
        <v>13.89</v>
      </c>
      <c r="AO513" s="82" t="n">
        <v>-9.66</v>
      </c>
      <c r="AP513" s="82" t="n">
        <v>-0.12</v>
      </c>
      <c r="AQ513" s="82" t="n"/>
      <c r="AR513" s="82" t="n">
        <v>-9.66</v>
      </c>
      <c r="AS513" s="82" t="n">
        <v>-0.12</v>
      </c>
      <c r="AT513" s="82" t="n"/>
      <c r="AU513" s="82" t="n">
        <v>-7.38</v>
      </c>
      <c r="AV513" s="82" t="n">
        <v>-4</v>
      </c>
      <c r="AW513" s="82" t="n"/>
      <c r="AX513" s="82" t="n">
        <v>-4.14</v>
      </c>
      <c r="AY513" s="82" t="n">
        <v>3.88</v>
      </c>
      <c r="AZ513" s="82" t="n">
        <v>4.02</v>
      </c>
      <c r="BA513" s="71" t="inlineStr">
        <is>
          <t>HSTECH (Hang Seng TECH ETF)</t>
        </is>
      </c>
      <c r="BB513" s="82" t="n">
        <v>-12.51</v>
      </c>
      <c r="BC513" s="72" t="inlineStr">
        <is>
          <t>2026-09-21</t>
        </is>
      </c>
      <c r="BD513" s="73" t="n">
        <v>11427.1</v>
      </c>
      <c r="BE513" s="76" t="n">
        <v>513.1</v>
      </c>
      <c r="BF513" s="71" t="inlineStr">
        <is>
          <t>Y</t>
        </is>
      </c>
      <c r="BG513" s="83" t="n">
        <v>140.7</v>
      </c>
      <c r="BH513" s="83" t="n">
        <v>77.3</v>
      </c>
      <c r="BI513" s="83" t="n">
        <v>87.3</v>
      </c>
      <c r="BJ513" s="83" t="n">
        <v>6.3</v>
      </c>
      <c r="BK513" s="84">
        <f>IF('BBG Verify'!S513="","not filed; run on terminal",'BBG Verify'!S513)</f>
        <v/>
      </c>
      <c r="BL513" s="85" t="inlineStr">
        <is>
          <t>Y</t>
        </is>
      </c>
      <c r="BM513" s="71" t="inlineStr">
        <is>
          <t>688249.SS</t>
        </is>
      </c>
      <c r="BN513" s="82" t="n">
        <v>132.6</v>
      </c>
      <c r="BO513" s="74" t="n">
        <v>75.1297</v>
      </c>
      <c r="BP513" s="89" t="n">
        <v>0.5149</v>
      </c>
      <c r="BQ513" s="76" t="n">
        <v>95753.5</v>
      </c>
      <c r="BR513" s="84">
        <f>IF('BBG Verify'!Q513="","run on terminal",'BBG Verify'!Q513)</f>
        <v/>
      </c>
      <c r="BS513" s="84">
        <f>IF('BBG Verify'!R513="","run on terminal",'BBG Verify'!R513)</f>
        <v/>
      </c>
      <c r="BT513" s="85" t="inlineStr">
        <is>
          <t>CICC</t>
        </is>
      </c>
      <c r="BU513" s="71" t="inlineStr">
        <is>
          <t>China International Capital Corporation Hong Kong Securities Limited</t>
        </is>
      </c>
      <c r="BV513" s="71" t="inlineStr">
        <is>
          <t>BOCI Asia Limited; ICBC International Securities Limited; Futu Securities International (Hong Kong) Limited</t>
        </is>
      </c>
      <c r="BW513" s="71"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X513" s="87">
        <f>HYPERLINK("https://www1.hkexnews.hk/listedco/listconews/sehk/2026/0630/2026063000123.pdf","prospectus")</f>
        <v/>
      </c>
      <c r="BY513" s="87">
        <f>HYPERLINK("https://www1.hkexnews.hk/listedco/listconews/sehk/2026/0709/2026070901289.pdf","allotment")</f>
        <v/>
      </c>
      <c r="BZ513" s="87">
        <f>HYPERLINK("https://www1.hkexnews.hk/listedco/listconews/sehk/2026/0806/2026080602039.pdf","stabilisation")</f>
        <v/>
      </c>
      <c r="CA513" s="85" t="n"/>
      <c r="CB513" s="71" t="inlineStr">
        <is>
          <t>range low: maximum offer price only, no floor published; A/H: Jul 2026 H listing (foundry); 3m: listed less than 3m ago; market cap: published listing cap used; the estimate from deal size / offer % of enlarged capital disagreed; alpha/index: 3m window not elapsed</t>
        </is>
      </c>
    </row>
    <row r="514" ht="15" customHeight="1">
      <c r="A514" s="70" t="inlineStr">
        <is>
          <t>3308</t>
        </is>
      </c>
      <c r="B514" s="71" t="inlineStr">
        <is>
          <t>ZJ INNOLIGHT</t>
        </is>
      </c>
      <c r="C514" s="71" t="inlineStr">
        <is>
          <t>中際旭創</t>
        </is>
      </c>
      <c r="D514" s="71" t="inlineStr">
        <is>
          <t>Tech/AI</t>
        </is>
      </c>
      <c r="E514" s="71" t="inlineStr">
        <is>
          <t>Smart hardware / consumer electronics</t>
        </is>
      </c>
      <c r="F514" s="71" t="inlineStr">
        <is>
          <t>Telecommunications &amp; Networking Equipment</t>
        </is>
      </c>
      <c r="G514" s="71" t="inlineStr">
        <is>
          <t>Standard</t>
        </is>
      </c>
      <c r="H514" s="72" t="n">
        <v>46233</v>
      </c>
      <c r="I514" s="73" t="n">
        <v>53410</v>
      </c>
      <c r="J514" s="71" t="inlineStr">
        <is>
          <t>gross (stated)</t>
        </is>
      </c>
      <c r="K514" s="74" t="n"/>
      <c r="L514" s="74" t="n">
        <v>1010</v>
      </c>
      <c r="M514" s="74" t="n">
        <v>980</v>
      </c>
      <c r="N514" s="71" t="inlineStr">
        <is>
          <t>N</t>
        </is>
      </c>
      <c r="O514" s="75" t="n">
        <v>97</v>
      </c>
      <c r="P514" s="75" t="n"/>
      <c r="Q514" s="76" t="n">
        <v>1154351.5</v>
      </c>
      <c r="R514" s="71" t="inlineStr">
        <is>
          <t>derived:A-line total share capital x H offer price</t>
        </is>
      </c>
      <c r="S514" s="77" t="n">
        <v>16.84</v>
      </c>
      <c r="T514" s="78" t="n">
        <v>9.73</v>
      </c>
      <c r="U514" s="79" t="n">
        <v>50</v>
      </c>
      <c r="V514" s="80" t="n">
        <v>549</v>
      </c>
      <c r="W514" s="75" t="n">
        <v>10</v>
      </c>
      <c r="X514" s="71" t="inlineStr">
        <is>
          <t>NA</t>
        </is>
      </c>
      <c r="Y514" s="76" t="n">
        <v>26705</v>
      </c>
      <c r="Z514" s="76" t="n">
        <v>27250000</v>
      </c>
      <c r="AA514" s="75" t="n">
        <v>2.31</v>
      </c>
      <c r="AB514" s="71"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AC514" s="71" t="inlineStr">
        <is>
          <t>alibaba;aspex;athos;bcc;black;blackrock;boyu;burkehill;canada;chow;cloudalpha;cpe;general;hao;hhlr;huadeng;huang-river;idg;indus;morgan;jpmorgan;mirae;ngs;ninety;oaktree</t>
        </is>
      </c>
      <c r="AD514" s="75" t="n">
        <v>15</v>
      </c>
      <c r="AE514" s="71" t="n"/>
      <c r="AF514" s="71" t="n"/>
      <c r="AG514" s="71" t="inlineStr">
        <is>
          <t>Goldman Sachs</t>
        </is>
      </c>
      <c r="AH514" s="71" t="inlineStr">
        <is>
          <t>Goldman Sachs</t>
        </is>
      </c>
      <c r="AI514" s="81" t="n">
        <v>-1.1</v>
      </c>
      <c r="AJ514" s="82" t="n">
        <v>-2.04</v>
      </c>
      <c r="AK514" s="82" t="n">
        <v>-0.92</v>
      </c>
      <c r="AL514" s="82" t="n">
        <v>-1.13</v>
      </c>
      <c r="AM514" s="83" t="n">
        <v>2.24</v>
      </c>
      <c r="AN514" s="75" t="n">
        <v>9.58</v>
      </c>
      <c r="AO514" s="82" t="n">
        <v>17.45</v>
      </c>
      <c r="AP514" s="82" t="n">
        <v>6.12</v>
      </c>
      <c r="AQ514" s="82" t="n"/>
      <c r="AR514" s="82" t="n">
        <v>19.9</v>
      </c>
      <c r="AS514" s="82" t="n">
        <v>8.33</v>
      </c>
      <c r="AT514" s="82" t="n"/>
      <c r="AU514" s="82" t="n">
        <v>18.16</v>
      </c>
      <c r="AV514" s="82" t="n">
        <v>11.28</v>
      </c>
      <c r="AW514" s="82" t="n"/>
      <c r="AX514" s="82" t="n">
        <v>12.48</v>
      </c>
      <c r="AY514" s="82" t="n">
        <v>-5.16</v>
      </c>
      <c r="AZ514" s="82" t="n">
        <v>-4.15</v>
      </c>
      <c r="BA514" s="71" t="inlineStr">
        <is>
          <t>HSTECH (Hang Seng TECH ETF)</t>
        </is>
      </c>
      <c r="BB514" s="82" t="n">
        <v>27.55</v>
      </c>
      <c r="BC514" s="72" t="inlineStr">
        <is>
          <t>2026-09-21</t>
        </is>
      </c>
      <c r="BD514" s="73" t="n">
        <v>42063.9</v>
      </c>
      <c r="BE514" s="76" t="n">
        <v>11871.7</v>
      </c>
      <c r="BF514" s="71" t="inlineStr">
        <is>
          <t>Y</t>
        </is>
      </c>
      <c r="BG514" s="83" t="n">
        <v>97.2</v>
      </c>
      <c r="BH514" s="83" t="n">
        <v>85.09999999999999</v>
      </c>
      <c r="BI514" s="83" t="n">
        <v>112.4</v>
      </c>
      <c r="BJ514" s="83" t="n">
        <v>27.4</v>
      </c>
      <c r="BK514" s="84">
        <f>IF('BBG Verify'!S514="","not filed; run on terminal",'BBG Verify'!S514)</f>
        <v/>
      </c>
      <c r="BL514" s="85" t="inlineStr">
        <is>
          <t>Y</t>
        </is>
      </c>
      <c r="BM514" s="71" t="inlineStr">
        <is>
          <t>300308.SZ</t>
        </is>
      </c>
      <c r="BN514" s="82" t="n">
        <v>12.36</v>
      </c>
      <c r="BO514" s="74" t="n">
        <v>1101.1724</v>
      </c>
      <c r="BP514" s="89" t="n">
        <v>-0.1182</v>
      </c>
      <c r="BQ514" s="76" t="n">
        <v>1299389</v>
      </c>
      <c r="BR514" s="84">
        <f>IF('BBG Verify'!Q514="","run on terminal",'BBG Verify'!Q514)</f>
        <v/>
      </c>
      <c r="BS514" s="84">
        <f>IF('BBG Verify'!R514="","run on terminal",'BBG Verify'!R514)</f>
        <v/>
      </c>
      <c r="BT514" s="85" t="inlineStr">
        <is>
          <t>Goldman Sachs; CICC; Morgan Stanley; GF Securities (Hong Kong)</t>
        </is>
      </c>
      <c r="BU514" s="71" t="inlineStr">
        <is>
          <t>China International Capital Corporation Hong Kong Securities Limited; Morgan Stanley Asia Limited; Goldman Sachs (Asia) L.L.C.; GF Capital (Hong Kong) Limited</t>
        </is>
      </c>
      <c r="BV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W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X514" s="71" t="n"/>
      <c r="BY514" s="87">
        <f>HYPERLINK("https://www1.hkexnews.hk/listedco/listconews/sehk/2026/0729/2026072901629.pdf","allotment")</f>
        <v/>
      </c>
      <c r="BZ514" s="71" t="n"/>
      <c r="CA514" s="85" t="n"/>
      <c r="CB514" s="71"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70" t="inlineStr">
        <is>
          <t>2261</t>
        </is>
      </c>
      <c r="B515" s="71" t="inlineStr">
        <is>
          <t>NASN TECH</t>
        </is>
      </c>
      <c r="C515" s="71" t="inlineStr">
        <is>
          <t>拿森科技</t>
        </is>
      </c>
      <c r="D515" s="71" t="inlineStr">
        <is>
          <t>Consumer</t>
        </is>
      </c>
      <c r="E515" s="71" t="inlineStr">
        <is>
          <t>Auto parts / supply chain</t>
        </is>
      </c>
      <c r="F515" s="71" t="inlineStr">
        <is>
          <t>Auto Parts &amp; Equipment</t>
        </is>
      </c>
      <c r="G515" s="71" t="inlineStr">
        <is>
          <t>Standard</t>
        </is>
      </c>
      <c r="H515" s="72" t="n">
        <v>46241</v>
      </c>
      <c r="I515" s="73" t="n">
        <v>600.1</v>
      </c>
      <c r="J515" s="71" t="inlineStr">
        <is>
          <t>gross (price x shares)</t>
        </is>
      </c>
      <c r="K515" s="74" t="n"/>
      <c r="L515" s="74" t="n">
        <v>11.18</v>
      </c>
      <c r="M515" s="74" t="n">
        <v>10.42</v>
      </c>
      <c r="N515" s="71" t="inlineStr">
        <is>
          <t>N</t>
        </is>
      </c>
      <c r="O515" s="75" t="n">
        <v>93.2</v>
      </c>
      <c r="P515" s="75" t="n"/>
      <c r="Q515" s="76" t="n">
        <v>6199.7</v>
      </c>
      <c r="R515" s="71" t="inlineStr">
        <is>
          <t>derived:price x shares upon listing</t>
        </is>
      </c>
      <c r="S515" s="77" t="n">
        <v>2513.54</v>
      </c>
      <c r="T515" s="78" t="n">
        <v>2.12</v>
      </c>
      <c r="U515" s="79" t="n">
        <v>0</v>
      </c>
      <c r="V515" s="80" t="n">
        <v>133</v>
      </c>
      <c r="W515" s="75" t="n">
        <v>10</v>
      </c>
      <c r="X515" s="71" t="inlineStr">
        <is>
          <t>NO</t>
        </is>
      </c>
      <c r="Y515" s="76" t="n">
        <v>600.1</v>
      </c>
      <c r="Z515" s="76" t="n">
        <v>57594500</v>
      </c>
      <c r="AA515" s="75" t="n">
        <v>9.68</v>
      </c>
      <c r="AB515" s="71" t="n"/>
      <c r="AC515" s="71" t="n"/>
      <c r="AD515" s="75" t="n">
        <v>10.12</v>
      </c>
      <c r="AE515" s="71" t="inlineStr">
        <is>
          <t>lapsed (no over-allocation)</t>
        </is>
      </c>
      <c r="AF515" s="71" t="n"/>
      <c r="AG515" s="71" t="inlineStr">
        <is>
          <t>Haitong International Securities Company Limited</t>
        </is>
      </c>
      <c r="AH515" s="71" t="inlineStr">
        <is>
          <t>Haitong</t>
        </is>
      </c>
      <c r="AI515" s="81" t="n">
        <v>60.269</v>
      </c>
      <c r="AJ515" s="82" t="n">
        <v>64.11</v>
      </c>
      <c r="AK515" s="82" t="n">
        <v>62.19</v>
      </c>
      <c r="AL515" s="82" t="n">
        <v>1.18</v>
      </c>
      <c r="AM515" s="83" t="n">
        <v>2.33</v>
      </c>
      <c r="AN515" s="75" t="n">
        <v>18.93</v>
      </c>
      <c r="AO515" s="82" t="n">
        <v>45.3</v>
      </c>
      <c r="AP515" s="82" t="n">
        <v>39.92</v>
      </c>
      <c r="AQ515" s="82" t="n"/>
      <c r="AR515" s="82" t="n">
        <v>-11.46</v>
      </c>
      <c r="AS515" s="82" t="n">
        <v>-14.74</v>
      </c>
      <c r="AT515" s="82" t="n"/>
      <c r="AU515" s="82" t="n">
        <v>47.27</v>
      </c>
      <c r="AV515" s="82" t="n">
        <v>43.38</v>
      </c>
      <c r="AW515" s="82" t="n"/>
      <c r="AX515" s="82" t="n">
        <v>-10.48</v>
      </c>
      <c r="AY515" s="82" t="n">
        <v>-3.46</v>
      </c>
      <c r="AZ515" s="82" t="n">
        <v>-4.26</v>
      </c>
      <c r="BA515" s="71" t="inlineStr">
        <is>
          <t>Hang Seng Commerce &amp; Industry sub-index</t>
        </is>
      </c>
      <c r="BB515" s="82" t="n">
        <v>62.19</v>
      </c>
      <c r="BC515" s="72" t="inlineStr">
        <is>
          <t>2026-09-21</t>
        </is>
      </c>
      <c r="BD515" s="73" t="n">
        <v>676</v>
      </c>
      <c r="BE515" s="76" t="n">
        <v>-208.5</v>
      </c>
      <c r="BF515" s="71" t="inlineStr">
        <is>
          <t>N</t>
        </is>
      </c>
      <c r="BG515" s="71" t="inlineStr">
        <is>
          <t>n/m</t>
        </is>
      </c>
      <c r="BH515" s="83" t="n"/>
      <c r="BI515" s="83" t="n"/>
      <c r="BJ515" s="83" t="n">
        <v>9.199999999999999</v>
      </c>
      <c r="BK515" s="84">
        <f>IF('BBG Verify'!S515="","not filed; run on terminal",'BBG Verify'!S515)</f>
        <v/>
      </c>
      <c r="BL515" s="85" t="inlineStr">
        <is>
          <t>N</t>
        </is>
      </c>
      <c r="BM515" s="86">
        <f>IF('BBG Verify'!K515="","not filed; run on terminal",'BBG Verify'!K515)</f>
        <v/>
      </c>
      <c r="BN515" s="71" t="inlineStr">
        <is>
          <t>N/A</t>
        </is>
      </c>
      <c r="BO515" s="71" t="inlineStr">
        <is>
          <t>N/A</t>
        </is>
      </c>
      <c r="BP515" s="71" t="inlineStr">
        <is>
          <t>N/A</t>
        </is>
      </c>
      <c r="BQ515" s="71" t="inlineStr">
        <is>
          <t>N/A</t>
        </is>
      </c>
      <c r="BR515" s="71" t="inlineStr">
        <is>
          <t>N/A</t>
        </is>
      </c>
      <c r="BS515" s="71" t="inlineStr">
        <is>
          <t>N/A</t>
        </is>
      </c>
      <c r="BT515" s="85" t="inlineStr">
        <is>
          <t>Haitong International Capital Limited; BOCI Asia Limited</t>
        </is>
      </c>
      <c r="BU515" s="71" t="inlineStr">
        <is>
          <t>Haitong International Capital Limited; BOCI Asia Limited</t>
        </is>
      </c>
      <c r="BV515" s="71" t="inlineStr">
        <is>
          <t>Haitong International Securities Company Limited; BOCI Asia Limited; SDIC Securities (Hong Kong) Limited; Orient Securities (Hong Kong) Limited; TradeMaster Securities (Hong Kong) Limited; SPDB International Capital Limited</t>
        </is>
      </c>
      <c r="BW515" s="71"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X515" s="87">
        <f>HYPERLINK("https://www1.hkexnews.hk/listedco/listconews/sehk/2026/0730/2026073000009.pdf","prospectus")</f>
        <v/>
      </c>
      <c r="BY515" s="87">
        <f>HYPERLINK("https://www1.hkexnews.hk/listedco/listconews/sehk/2026/0806/2026080602047.pdf","allotment")</f>
        <v/>
      </c>
      <c r="BZ515" s="87">
        <f>HYPERLINK("https://www1.hkexnews.hk/listedco/listconews/sehk/2026/0903/2026090301412.pdf","stabilisation")</f>
        <v/>
      </c>
      <c r="CA515" s="85" t="n"/>
      <c r="CB515" s="71" t="inlineStr">
        <is>
          <t>P/E: loss-making at IPO, use P/S; greenshoe: outcome published; expiry date not in the notice; range low: maximum offer price only, no floor published; 3m: listed less than 3m ago; cornerstone list: no cornerstone tranche; alpha/index: 3m window not elapsed</t>
        </is>
      </c>
    </row>
    <row r="516" ht="15" customHeight="1">
      <c r="A516" s="70" t="inlineStr">
        <is>
          <t>3223</t>
        </is>
      </c>
      <c r="B516" s="71" t="inlineStr">
        <is>
          <t>INGENIC</t>
        </is>
      </c>
      <c r="C516" s="71" t="inlineStr">
        <is>
          <t>北京君正</t>
        </is>
      </c>
      <c r="D516" s="71" t="inlineStr">
        <is>
          <t>Tech/AI</t>
        </is>
      </c>
      <c r="E516" s="71" t="inlineStr">
        <is>
          <t>AI chips &amp; semis</t>
        </is>
      </c>
      <c r="F516" s="71" t="inlineStr">
        <is>
          <t>Semiconductors &amp; Semiconductor Equipment</t>
        </is>
      </c>
      <c r="G516" s="71" t="inlineStr">
        <is>
          <t>Standard</t>
        </is>
      </c>
      <c r="H516" s="72" t="n">
        <v>46259</v>
      </c>
      <c r="I516" s="73" t="n">
        <v>3128.7</v>
      </c>
      <c r="J516" s="71" t="inlineStr">
        <is>
          <t>gross (stated)</t>
        </is>
      </c>
      <c r="K516" s="74" t="n"/>
      <c r="L516" s="74" t="n">
        <v>102.8</v>
      </c>
      <c r="M516" s="74" t="n">
        <v>100</v>
      </c>
      <c r="N516" s="71" t="inlineStr">
        <is>
          <t>N</t>
        </is>
      </c>
      <c r="O516" s="75" t="n">
        <v>97.3</v>
      </c>
      <c r="P516" s="75" t="n"/>
      <c r="Q516" s="76" t="n">
        <v>51495.2</v>
      </c>
      <c r="R516" s="71" t="inlineStr">
        <is>
          <t>derived:price x shares upon listing</t>
        </is>
      </c>
      <c r="S516" s="77" t="n">
        <v>927.37</v>
      </c>
      <c r="T516" s="78" t="n">
        <v>8.43</v>
      </c>
      <c r="U516" s="79" t="n">
        <v>48.05</v>
      </c>
      <c r="V516" s="80" t="n">
        <v>101</v>
      </c>
      <c r="W516" s="75" t="n">
        <v>10</v>
      </c>
      <c r="X516" s="71" t="inlineStr">
        <is>
          <t>NA</t>
        </is>
      </c>
      <c r="Y516" s="76" t="n">
        <v>1625.36</v>
      </c>
      <c r="Z516" s="76" t="n">
        <v>16253752</v>
      </c>
      <c r="AA516" s="75" t="n">
        <v>3.16</v>
      </c>
      <c r="AB516" s="71" t="n"/>
      <c r="AC516" s="71" t="n"/>
      <c r="AD516" s="75" t="n">
        <v>15</v>
      </c>
      <c r="AE516" s="71" t="inlineStr">
        <is>
          <t>lapsed</t>
        </is>
      </c>
      <c r="AF516" s="71" t="inlineStr">
        <is>
          <t>2026-09-19</t>
        </is>
      </c>
      <c r="AG516" s="71" t="inlineStr">
        <is>
          <t>Guotai Junan Securities</t>
        </is>
      </c>
      <c r="AH516" s="71" t="inlineStr">
        <is>
          <t>Guotai Junan</t>
        </is>
      </c>
      <c r="AI516" s="92" t="n">
        <v>-0.25</v>
      </c>
      <c r="AJ516" s="82" t="n">
        <v>0</v>
      </c>
      <c r="AK516" s="82" t="n">
        <v>0</v>
      </c>
      <c r="AL516" s="82" t="n">
        <v>0</v>
      </c>
      <c r="AM516" s="83" t="n">
        <v>1.86</v>
      </c>
      <c r="AN516" s="75" t="n">
        <v>3.3</v>
      </c>
      <c r="AO516" s="82" t="n">
        <v>0</v>
      </c>
      <c r="AP516" s="82" t="n">
        <v>1.5</v>
      </c>
      <c r="AQ516" s="82" t="n"/>
      <c r="AR516" s="82" t="n">
        <v>0</v>
      </c>
      <c r="AS516" s="82" t="n">
        <v>1.5</v>
      </c>
      <c r="AT516" s="82" t="n"/>
      <c r="AU516" s="82" t="n">
        <v>0.62</v>
      </c>
      <c r="AV516" s="82" t="n"/>
      <c r="AW516" s="82" t="n"/>
      <c r="AX516" s="82" t="n"/>
      <c r="AY516" s="82" t="n"/>
      <c r="AZ516" s="82" t="n"/>
      <c r="BA516" s="71" t="inlineStr">
        <is>
          <t>HSTECH (Hang Seng TECH ETF)</t>
        </is>
      </c>
      <c r="BB516" s="82" t="n">
        <v>4.6</v>
      </c>
      <c r="BC516" s="72" t="inlineStr">
        <is>
          <t>2026-09-21</t>
        </is>
      </c>
      <c r="BD516" s="73" t="n">
        <v>5215</v>
      </c>
      <c r="BE516" s="76" t="n">
        <v>414</v>
      </c>
      <c r="BF516" s="71" t="inlineStr">
        <is>
          <t>Y</t>
        </is>
      </c>
      <c r="BG516" s="83" t="n">
        <v>124.4</v>
      </c>
      <c r="BH516" s="83" t="n"/>
      <c r="BI516" s="83" t="n"/>
      <c r="BJ516" s="83" t="n">
        <v>9.9</v>
      </c>
      <c r="BK516" s="84">
        <f>IF('BBG Verify'!S516="","not filed; run on terminal",'BBG Verify'!S516)</f>
        <v/>
      </c>
      <c r="BL516" s="85" t="inlineStr">
        <is>
          <t>Y</t>
        </is>
      </c>
      <c r="BM516" s="71" t="inlineStr">
        <is>
          <t>300223.SZ</t>
        </is>
      </c>
      <c r="BN516" s="82" t="n">
        <v>55.89</v>
      </c>
      <c r="BO516" s="74" t="n">
        <v>155.8899</v>
      </c>
      <c r="BP516" s="89" t="n">
        <v>0.6361</v>
      </c>
      <c r="BQ516" s="76" t="n">
        <v>88192.10000000001</v>
      </c>
      <c r="BR516" s="84">
        <f>IF('BBG Verify'!Q516="","run on terminal",'BBG Verify'!Q516)</f>
        <v/>
      </c>
      <c r="BS516" s="84">
        <f>IF('BBG Verify'!R516="","run on terminal",'BBG Verify'!R516)</f>
        <v/>
      </c>
      <c r="BT516" s="85" t="inlineStr">
        <is>
          <t>Guotai Junan Capital Limited</t>
        </is>
      </c>
      <c r="BU516" s="71" t="inlineStr">
        <is>
          <t>Guotai Junan Capital Limited</t>
        </is>
      </c>
      <c r="BV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X516" s="87">
        <f>HYPERLINK("https://www1.hkexnews.hk/listedco/listconews/sehk/2026/0817/2026081700003.pdf","prospectus")</f>
        <v/>
      </c>
      <c r="BY516" s="87">
        <f>HYPERLINK("https://www1.hkexnews.hk/listedco/listconews/sehk/2026/0824/2026082401907.pdf","allotment")</f>
        <v/>
      </c>
      <c r="BZ516" s="87">
        <f>HYPERLINK("https://www1.hkexnews.hk/listedco/listconews/sehk/2026/0920/2026092000001.pdf","stabilisation")</f>
        <v/>
      </c>
      <c r="CA516" s="85" t="n"/>
      <c r="CB516" s="71" t="inlineStr">
        <is>
          <t>range low: maximum offer price only, no floor published; A/H: H listed 2026-08-25; fabless CPU/analog+memory (auto); 3m: listed less than 3m ago; cornerstone list: 48.05% locked; investor table not extractable, names are in the prospectus; alpha/index: sector index has no bar for the 1m window</t>
        </is>
      </c>
    </row>
    <row r="517" ht="15" customHeight="1">
      <c r="A517" s="70" t="inlineStr">
        <is>
          <t>0625</t>
        </is>
      </c>
      <c r="B517" s="71" t="inlineStr">
        <is>
          <t>SHEIN-W</t>
        </is>
      </c>
      <c r="C517" s="71" t="inlineStr">
        <is>
          <t>希音</t>
        </is>
      </c>
      <c r="D517" s="71" t="inlineStr">
        <is>
          <t>Consumer</t>
        </is>
      </c>
      <c r="E517" s="71" t="inlineStr">
        <is>
          <t>Apparel / luxury</t>
        </is>
      </c>
      <c r="F517" s="71" t="inlineStr">
        <is>
          <t>Apparel, Accessories &amp; Luxury Goods Retail</t>
        </is>
      </c>
      <c r="G517" s="71" t="inlineStr">
        <is>
          <t>WVR</t>
        </is>
      </c>
      <c r="H517" s="72" t="n">
        <v>46266</v>
      </c>
      <c r="I517" s="73" t="n">
        <v>13596.4</v>
      </c>
      <c r="J517" s="71" t="inlineStr">
        <is>
          <t>gross (stated)</t>
        </is>
      </c>
      <c r="K517" s="74" t="n"/>
      <c r="L517" s="74" t="n">
        <v>49.5</v>
      </c>
      <c r="M517" s="74" t="n">
        <v>48.56</v>
      </c>
      <c r="N517" s="71" t="inlineStr">
        <is>
          <t>N</t>
        </is>
      </c>
      <c r="O517" s="75" t="n">
        <v>98.09999999999999</v>
      </c>
      <c r="P517" s="75" t="n"/>
      <c r="Q517" s="76" t="n">
        <v>206195.6</v>
      </c>
      <c r="R517" s="71" t="inlineStr">
        <is>
          <t>derived:price x shares upon listing</t>
        </is>
      </c>
      <c r="S517" s="77" t="n">
        <v>5.63</v>
      </c>
      <c r="T517" s="78" t="n">
        <v>2.59</v>
      </c>
      <c r="U517" s="79" t="n">
        <v>22.1</v>
      </c>
      <c r="V517" s="80" t="n">
        <v>106</v>
      </c>
      <c r="W517" s="75" t="n">
        <v>10</v>
      </c>
      <c r="X517" s="71" t="inlineStr">
        <is>
          <t>NA</t>
        </is>
      </c>
      <c r="Y517" s="76" t="n">
        <v>10591.6</v>
      </c>
      <c r="Z517" s="76" t="n">
        <v>218114158</v>
      </c>
      <c r="AA517" s="75" t="n">
        <v>5.14</v>
      </c>
      <c r="AB517" s="71" t="n"/>
      <c r="AC517" s="71" t="n"/>
      <c r="AD517" s="75" t="n">
        <v>15</v>
      </c>
      <c r="AE517" s="71" t="n"/>
      <c r="AF517" s="71" t="inlineStr">
        <is>
          <t>2026-09-26</t>
        </is>
      </c>
      <c r="AG517" s="71" t="inlineStr">
        <is>
          <t>Goldman Sachs</t>
        </is>
      </c>
      <c r="AH517" s="71" t="inlineStr">
        <is>
          <t>Goldman Sachs</t>
        </is>
      </c>
      <c r="AI517" s="81" t="n">
        <v>-13.097</v>
      </c>
      <c r="AJ517" s="82" t="n">
        <v>-0.12</v>
      </c>
      <c r="AK517" s="82" t="n">
        <v>0</v>
      </c>
      <c r="AL517" s="82" t="n">
        <v>-0.12</v>
      </c>
      <c r="AM517" s="83" t="n">
        <v>1.71</v>
      </c>
      <c r="AN517" s="75" t="n">
        <v>9.970000000000001</v>
      </c>
      <c r="AO517" s="82" t="n">
        <v>-16.68</v>
      </c>
      <c r="AP517" s="82" t="n"/>
      <c r="AQ517" s="82" t="n"/>
      <c r="AR517" s="82" t="n">
        <v>-16.58</v>
      </c>
      <c r="AS517" s="82" t="n"/>
      <c r="AT517" s="82" t="n"/>
      <c r="AU517" s="82" t="n">
        <v>-14.87</v>
      </c>
      <c r="AV517" s="82" t="n"/>
      <c r="AW517" s="82" t="n"/>
      <c r="AX517" s="82" t="n"/>
      <c r="AY517" s="82" t="n"/>
      <c r="AZ517" s="82" t="n"/>
      <c r="BA517" s="71" t="inlineStr">
        <is>
          <t>Hang Seng Commerce &amp; Industry sub-index</t>
        </is>
      </c>
      <c r="BB517" s="82" t="n">
        <v>-23.64</v>
      </c>
      <c r="BC517" s="72" t="inlineStr">
        <is>
          <t>2026-09-21</t>
        </is>
      </c>
      <c r="BD517" s="73" t="n">
        <v>326406.6</v>
      </c>
      <c r="BE517" s="76" t="n">
        <v>16099.2</v>
      </c>
      <c r="BF517" s="71" t="inlineStr">
        <is>
          <t>Y</t>
        </is>
      </c>
      <c r="BG517" s="83" t="n">
        <v>12.8</v>
      </c>
      <c r="BH517" s="83" t="n"/>
      <c r="BI517" s="83" t="n"/>
      <c r="BJ517" s="83" t="n">
        <v>0.6</v>
      </c>
      <c r="BK517" s="84">
        <f>IF('BBG Verify'!S517="","not filed; run on terminal",'BBG Verify'!S517)</f>
        <v/>
      </c>
      <c r="BL517" s="85" t="inlineStr">
        <is>
          <t>N</t>
        </is>
      </c>
      <c r="BM517" s="86">
        <f>IF('BBG Verify'!K517="","not filed; run on terminal",'BBG Verify'!K517)</f>
        <v/>
      </c>
      <c r="BN517" s="71" t="inlineStr">
        <is>
          <t>N/A</t>
        </is>
      </c>
      <c r="BO517" s="71" t="inlineStr">
        <is>
          <t>N/A</t>
        </is>
      </c>
      <c r="BP517" s="71" t="inlineStr">
        <is>
          <t>N/A</t>
        </is>
      </c>
      <c r="BQ517" s="71" t="inlineStr">
        <is>
          <t>N/A</t>
        </is>
      </c>
      <c r="BR517" s="71" t="inlineStr">
        <is>
          <t>N/A</t>
        </is>
      </c>
      <c r="BS517" s="71" t="inlineStr">
        <is>
          <t>N/A</t>
        </is>
      </c>
      <c r="BT517" s="85" t="inlineStr">
        <is>
          <t>Goldman Sachs (Asia) L.L.C; Morgan Stanley Asia Limited; J.P. Morgan Securities (Far East) Limited</t>
        </is>
      </c>
      <c r="BU517" s="71" t="inlineStr">
        <is>
          <t>Morgan Stanley Asia Limited; J.P. Morgan Securities (Far East) Limited; Goldman Sachs (Asia) L.L.C.</t>
        </is>
      </c>
      <c r="BV517" s="71" t="inlineStr">
        <is>
          <t>UBS AG Hong Kong Branch; Merrill Lynch (Asia Pacific) Limited; Cantabria Spain East West Bank, Hong Kong Branch</t>
        </is>
      </c>
      <c r="BW517" s="71"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X517" s="87">
        <f>HYPERLINK("https://www1.hkexnews.hk/listedco/listconews/sehk/2026/0824/2026082400019.pdf","prospectus")</f>
        <v/>
      </c>
      <c r="BY517" s="87">
        <f>HYPERLINK("https://www1.hkexnews.hk/listedco/listconews/sehk/2026/0831/2026083102409.pdf","allotment")</f>
        <v/>
      </c>
      <c r="BZ517" s="71" t="n"/>
      <c r="CA517" s="85" t="n"/>
      <c r="CB517" s="71" t="inlineStr">
        <is>
          <t>greenshoe: stabilisation window still open; range low: maximum offer price only, no floor published; 1m: listed less than 1m ago; 3m: listed less than 3m ago; cornerstone list: 22.1% locked; investor table not extractable, names are in the prospectus; alpha/index: 1m window not elapsed</t>
        </is>
      </c>
    </row>
    <row r="518" ht="15" customHeight="1">
      <c r="A518" s="70" t="inlineStr">
        <is>
          <t>9615</t>
        </is>
      </c>
      <c r="B518" s="71" t="inlineStr">
        <is>
          <t>MECH-MIND ROBOT</t>
        </is>
      </c>
      <c r="C518" s="71" t="inlineStr">
        <is>
          <t>梅卡曼德機器人</t>
        </is>
      </c>
      <c r="D518" s="71" t="inlineStr">
        <is>
          <t>Tech/AI</t>
        </is>
      </c>
      <c r="E518" s="71" t="inlineStr">
        <is>
          <t>Robotics &amp; autonomous driving</t>
        </is>
      </c>
      <c r="F518" s="71" t="inlineStr">
        <is>
          <t>Advanced hardware and software</t>
        </is>
      </c>
      <c r="G518" s="71" t="inlineStr">
        <is>
          <t>18C</t>
        </is>
      </c>
      <c r="H518" s="72" t="n">
        <v>46266</v>
      </c>
      <c r="I518" s="73" t="n">
        <v>2353.4</v>
      </c>
      <c r="J518" s="71" t="inlineStr">
        <is>
          <t>gross (stated)</t>
        </is>
      </c>
      <c r="K518" s="74" t="n">
        <v>95.3</v>
      </c>
      <c r="L518" s="74" t="n">
        <v>101.7</v>
      </c>
      <c r="M518" s="74" t="n">
        <v>101.7</v>
      </c>
      <c r="N518" s="71" t="inlineStr">
        <is>
          <t>Y</t>
        </is>
      </c>
      <c r="O518" s="75" t="n">
        <v>100</v>
      </c>
      <c r="P518" s="75" t="n">
        <v>100</v>
      </c>
      <c r="Q518" s="76" t="n">
        <v>12713.6</v>
      </c>
      <c r="R518" s="71" t="inlineStr">
        <is>
          <t>derived:price x shares upon listing</t>
        </is>
      </c>
      <c r="S518" s="77" t="n">
        <v>3835.36</v>
      </c>
      <c r="T518" s="78" t="n">
        <v>13.39</v>
      </c>
      <c r="U518" s="79" t="n">
        <v>62.02</v>
      </c>
      <c r="V518" s="80" t="n">
        <v>130</v>
      </c>
      <c r="W518" s="75" t="n">
        <v>20</v>
      </c>
      <c r="X518" s="71" t="inlineStr">
        <is>
          <t>YES</t>
        </is>
      </c>
      <c r="Y518" s="76" t="n">
        <v>893.8200000000001</v>
      </c>
      <c r="Z518" s="76" t="n">
        <v>8788796</v>
      </c>
      <c r="AA518" s="75" t="n">
        <v>7.03</v>
      </c>
      <c r="AB518" s="71" t="n"/>
      <c r="AC518" s="71" t="n"/>
      <c r="AD518" s="75" t="n">
        <v>15</v>
      </c>
      <c r="AE518" s="71" t="n"/>
      <c r="AF518" s="71" t="inlineStr">
        <is>
          <t>2026-09-26</t>
        </is>
      </c>
      <c r="AG518" s="71" t="inlineStr">
        <is>
          <t>CLSA Limited</t>
        </is>
      </c>
      <c r="AH518" s="71" t="inlineStr">
        <is>
          <t>CLSA</t>
        </is>
      </c>
      <c r="AI518" s="81" t="n">
        <v>-1.082</v>
      </c>
      <c r="AJ518" s="82" t="n">
        <v>-1.87</v>
      </c>
      <c r="AK518" s="82" t="n">
        <v>0</v>
      </c>
      <c r="AL518" s="82" t="n">
        <v>-1.87</v>
      </c>
      <c r="AM518" s="83" t="n">
        <v>1.24</v>
      </c>
      <c r="AN518" s="75" t="n">
        <v>4.92</v>
      </c>
      <c r="AO518" s="82" t="n">
        <v>-20.99</v>
      </c>
      <c r="AP518" s="82" t="n"/>
      <c r="AQ518" s="82" t="n"/>
      <c r="AR518" s="82" t="n">
        <v>-19.48</v>
      </c>
      <c r="AS518" s="82" t="n"/>
      <c r="AT518" s="82" t="n"/>
      <c r="AU518" s="82" t="n">
        <v>-17.46</v>
      </c>
      <c r="AV518" s="82" t="n"/>
      <c r="AW518" s="82" t="n"/>
      <c r="AX518" s="82" t="n"/>
      <c r="AY518" s="82" t="n"/>
      <c r="AZ518" s="82" t="n"/>
      <c r="BA518" s="71" t="inlineStr">
        <is>
          <t>HSTECH (Hang Seng TECH ETF)</t>
        </is>
      </c>
      <c r="BB518" s="82" t="n">
        <v>-21.04</v>
      </c>
      <c r="BC518" s="72" t="inlineStr">
        <is>
          <t>2026-09-21</t>
        </is>
      </c>
      <c r="BD518" s="73" t="n">
        <v>427.6</v>
      </c>
      <c r="BE518" s="76" t="n">
        <v>-396.2</v>
      </c>
      <c r="BF518" s="71" t="inlineStr">
        <is>
          <t>N</t>
        </is>
      </c>
      <c r="BG518" s="71" t="inlineStr">
        <is>
          <t>n/m</t>
        </is>
      </c>
      <c r="BH518" s="83" t="n"/>
      <c r="BI518" s="83" t="n"/>
      <c r="BJ518" s="83" t="n">
        <v>29.7</v>
      </c>
      <c r="BK518" s="84">
        <f>IF('BBG Verify'!S518="","not filed; run on terminal",'BBG Verify'!S518)</f>
        <v/>
      </c>
      <c r="BL518" s="85" t="inlineStr">
        <is>
          <t>N</t>
        </is>
      </c>
      <c r="BM518" s="86">
        <f>IF('BBG Verify'!K518="","not filed; run on terminal",'BBG Verify'!K518)</f>
        <v/>
      </c>
      <c r="BN518" s="71" t="inlineStr">
        <is>
          <t>N/A</t>
        </is>
      </c>
      <c r="BO518" s="71" t="inlineStr">
        <is>
          <t>N/A</t>
        </is>
      </c>
      <c r="BP518" s="71" t="inlineStr">
        <is>
          <t>N/A</t>
        </is>
      </c>
      <c r="BQ518" s="71" t="inlineStr">
        <is>
          <t>N/A</t>
        </is>
      </c>
      <c r="BR518" s="71" t="inlineStr">
        <is>
          <t>N/A</t>
        </is>
      </c>
      <c r="BS518" s="71" t="inlineStr">
        <is>
          <t>N/A</t>
        </is>
      </c>
      <c r="BT518" s="85" t="inlineStr">
        <is>
          <t>China Securities (International) Corporate Finance Company Limited; CITIC Securities (Hong Kong) Limited</t>
        </is>
      </c>
      <c r="BU518" s="71" t="inlineStr">
        <is>
          <t>CITIC Securities (Hong Kong) Limited; China Securities (International) Corporate Finance Company Limited</t>
        </is>
      </c>
      <c r="BV518" s="71" t="inlineStr">
        <is>
          <t>Tiger Brokers (HK) Global Limited</t>
        </is>
      </c>
      <c r="BW518" s="71" t="inlineStr">
        <is>
          <t>CLSA Limited; China Securities (International) Corporate Finance Company Limited; Daiwa Capital Markets Hong Kong Limited; Futu Securities International (Hong Kong) Limited; Macquarie Capital Limited; Tiger Brokers (HK) Global Limited</t>
        </is>
      </c>
      <c r="BX518" s="87">
        <f>HYPERLINK("https://www1.hkexnews.hk/listedco/listconews/sehk/2026/0824/2026082400017.pdf","prospectus")</f>
        <v/>
      </c>
      <c r="BY518" s="87">
        <f>HYPERLINK("https://www1.hkexnews.hk/listedco/listconews/sehk/2026/0831/2026083102433.pdf","allotment")</f>
        <v/>
      </c>
      <c r="BZ518" s="71" t="n"/>
      <c r="CA518" s="85" t="n"/>
      <c r="CB518" s="71" t="inlineStr">
        <is>
          <t>P/E: loss-making at IPO, use P/S; greenshoe: stabilisation window still open; 1m: listed less than 1m ago; 3m: listed less than 3m ago; cornerstone list: 62.02% locked; investor table not extractable, names are in the prospectus; alpha/index: 1m window not elapsed</t>
        </is>
      </c>
    </row>
    <row r="519" ht="15" customHeight="1">
      <c r="A519" s="70" t="inlineStr">
        <is>
          <t>2041</t>
        </is>
      </c>
      <c r="B519" s="71" t="inlineStr">
        <is>
          <t>MEDCAPTAIN</t>
        </is>
      </c>
      <c r="C519" s="71" t="inlineStr">
        <is>
          <t>麥科田</t>
        </is>
      </c>
      <c r="D519" s="71" t="inlineStr">
        <is>
          <t>Healthcare</t>
        </is>
      </c>
      <c r="E519" s="71" t="inlineStr">
        <is>
          <t>Medical devices</t>
        </is>
      </c>
      <c r="F519" s="71" t="inlineStr">
        <is>
          <t>Health Care Equipment</t>
        </is>
      </c>
      <c r="G519" s="71" t="inlineStr">
        <is>
          <t>Standard</t>
        </is>
      </c>
      <c r="H519" s="72" t="n">
        <v>46272</v>
      </c>
      <c r="I519" s="73" t="n">
        <v>600</v>
      </c>
      <c r="J519" s="71" t="inlineStr">
        <is>
          <t>gross (stated)</t>
        </is>
      </c>
      <c r="K519" s="74" t="n"/>
      <c r="L519" s="74" t="n">
        <v>15.42</v>
      </c>
      <c r="M519" s="74" t="n">
        <v>15.42</v>
      </c>
      <c r="N519" s="71" t="inlineStr">
        <is>
          <t>Y</t>
        </is>
      </c>
      <c r="O519" s="75" t="n">
        <v>100</v>
      </c>
      <c r="P519" s="75" t="n"/>
      <c r="Q519" s="76" t="n">
        <v>8305.6</v>
      </c>
      <c r="R519" s="71" t="inlineStr">
        <is>
          <t>derived:price x shares upon listing</t>
        </is>
      </c>
      <c r="S519" s="77" t="n">
        <v>436.37</v>
      </c>
      <c r="T519" s="78" t="n">
        <v>2.35</v>
      </c>
      <c r="U519" s="79" t="n">
        <v>0</v>
      </c>
      <c r="V519" s="80" t="n">
        <v>95</v>
      </c>
      <c r="W519" s="75" t="n">
        <v>10</v>
      </c>
      <c r="X519" s="71" t="inlineStr">
        <is>
          <t>NA</t>
        </is>
      </c>
      <c r="Y519" s="76" t="n">
        <v>600</v>
      </c>
      <c r="Z519" s="76" t="n">
        <v>38910600</v>
      </c>
      <c r="AA519" s="75" t="n">
        <v>7.22</v>
      </c>
      <c r="AB519" s="71" t="n"/>
      <c r="AC519" s="71" t="n"/>
      <c r="AD519" s="75" t="n"/>
      <c r="AE519" s="71" t="n"/>
      <c r="AF519" s="71" t="n"/>
      <c r="AG519" s="71" t="n"/>
      <c r="AH519" s="71" t="n"/>
      <c r="AI519" s="81" t="n">
        <v>-22.827</v>
      </c>
      <c r="AJ519" s="82" t="n">
        <v>-42.93</v>
      </c>
      <c r="AK519" s="82" t="n">
        <v>-35.15</v>
      </c>
      <c r="AL519" s="82" t="n">
        <v>-12</v>
      </c>
      <c r="AM519" s="83" t="n">
        <v>3.12</v>
      </c>
      <c r="AN519" s="75" t="n">
        <v>24.9</v>
      </c>
      <c r="AO519" s="82" t="n">
        <v>-46.47</v>
      </c>
      <c r="AP519" s="82" t="n"/>
      <c r="AQ519" s="82" t="n"/>
      <c r="AR519" s="82" t="n">
        <v>-6.2</v>
      </c>
      <c r="AS519" s="82" t="n"/>
      <c r="AT519" s="82" t="n"/>
      <c r="AU519" s="82" t="n">
        <v>-43.51</v>
      </c>
      <c r="AV519" s="82" t="n"/>
      <c r="AW519" s="82" t="n"/>
      <c r="AX519" s="82" t="n"/>
      <c r="AY519" s="82" t="n"/>
      <c r="AZ519" s="82" t="n"/>
      <c r="BA519" s="71" t="inlineStr">
        <is>
          <t>China Biotech ETF (HS biotech proxy)</t>
        </is>
      </c>
      <c r="BB519" s="82" t="n">
        <v>-46.89</v>
      </c>
      <c r="BC519" s="72" t="inlineStr">
        <is>
          <t>2026-09-21</t>
        </is>
      </c>
      <c r="BD519" s="73" t="n">
        <v>1781.1</v>
      </c>
      <c r="BE519" s="76" t="n">
        <v>55.8</v>
      </c>
      <c r="BF519" s="71" t="inlineStr">
        <is>
          <t>Y</t>
        </is>
      </c>
      <c r="BG519" s="83" t="n">
        <v>148.8</v>
      </c>
      <c r="BH519" s="83" t="n"/>
      <c r="BI519" s="83" t="n"/>
      <c r="BJ519" s="83" t="n">
        <v>4.7</v>
      </c>
      <c r="BK519" s="84">
        <f>IF('BBG Verify'!S519="","not filed; run on terminal",'BBG Verify'!S519)</f>
        <v/>
      </c>
      <c r="BL519" s="85" t="inlineStr">
        <is>
          <t>N</t>
        </is>
      </c>
      <c r="BM519" s="86">
        <f>IF('BBG Verify'!K519="","not filed; run on terminal",'BBG Verify'!K519)</f>
        <v/>
      </c>
      <c r="BN519" s="71" t="inlineStr">
        <is>
          <t>N/A</t>
        </is>
      </c>
      <c r="BO519" s="71" t="inlineStr">
        <is>
          <t>N/A</t>
        </is>
      </c>
      <c r="BP519" s="71" t="inlineStr">
        <is>
          <t>N/A</t>
        </is>
      </c>
      <c r="BQ519" s="71" t="inlineStr">
        <is>
          <t>N/A</t>
        </is>
      </c>
      <c r="BR519" s="71" t="inlineStr">
        <is>
          <t>N/A</t>
        </is>
      </c>
      <c r="BS519" s="71" t="inlineStr">
        <is>
          <t>N/A</t>
        </is>
      </c>
      <c r="BT519" s="85" t="n"/>
      <c r="BU519" s="71" t="inlineStr">
        <is>
          <t>Morgan Stanley Asia Limited; Huatai Financial Holdings (Hong Kong) Limited</t>
        </is>
      </c>
      <c r="BV519" s="71"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W519" s="71"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X519" s="87">
        <f>HYPERLINK("https://www1.hkexnews.hk/listedco/listconews/sehk/2026/0828/2026082800009.pdf","prospectus")</f>
        <v/>
      </c>
      <c r="BY519" s="87">
        <f>HYPERLINK("https://www1.hkexnews.hk/listedco/listconews/sehk/2026/0904/2026090401842.pdf","allotment")</f>
        <v/>
      </c>
      <c r="BZ519" s="71" t="n"/>
      <c r="CA519" s="85" t="n"/>
      <c r="CB519" s="71" t="inlineStr">
        <is>
          <t>greenshoe: stabilisation window still open; range low: maximum offer price only, no floor published; 1m: listed less than 1m ago; 3m: listed less than 3m ago; sponsor: not stated in the filing text; cornerstone list: no cornerstone tranche; greenshoe size: no over-allotment option; stabilising manager: filing states none appointed (prospectus: 'no stabilizing manager will be appointed' stated in the filing); alpha/index: 1m window not elapsed</t>
        </is>
      </c>
    </row>
    <row r="520" ht="15" customHeight="1">
      <c r="A520" s="70" t="inlineStr">
        <is>
          <t>9976</t>
        </is>
      </c>
      <c r="B520" s="71" t="inlineStr">
        <is>
          <t>LONGSYS</t>
        </is>
      </c>
      <c r="C520" s="71" t="inlineStr">
        <is>
          <t>江波龍</t>
        </is>
      </c>
      <c r="D520" s="71" t="inlineStr">
        <is>
          <t>Tech/AI</t>
        </is>
      </c>
      <c r="E520" s="71" t="inlineStr">
        <is>
          <t>Smart hardware / consumer electronics</t>
        </is>
      </c>
      <c r="F520" s="71" t="inlineStr">
        <is>
          <t>Semiconductors &amp; Semiconductor Equipment</t>
        </is>
      </c>
      <c r="G520" s="71" t="inlineStr">
        <is>
          <t>Standard</t>
        </is>
      </c>
      <c r="H520" s="72" t="n">
        <v>46273</v>
      </c>
      <c r="I520" s="73" t="n">
        <v>7077.5</v>
      </c>
      <c r="J520" s="71" t="inlineStr">
        <is>
          <t>gross (stated)</t>
        </is>
      </c>
      <c r="K520" s="74" t="n"/>
      <c r="L520" s="74" t="n">
        <v>240.6</v>
      </c>
      <c r="M520" s="74" t="n">
        <v>236</v>
      </c>
      <c r="N520" s="71" t="inlineStr">
        <is>
          <t>N</t>
        </is>
      </c>
      <c r="O520" s="75" t="n">
        <v>98.09999999999999</v>
      </c>
      <c r="P520" s="75" t="n"/>
      <c r="Q520" s="76" t="n">
        <v>124166.7</v>
      </c>
      <c r="R520" s="71" t="inlineStr">
        <is>
          <t>derived:deal size / offer % of enlarged capital</t>
        </is>
      </c>
      <c r="S520" s="77" t="n">
        <v>40.32</v>
      </c>
      <c r="T520" s="91" t="n">
        <v>3.88</v>
      </c>
      <c r="U520" s="79" t="n">
        <v>16.7</v>
      </c>
      <c r="V520" s="80" t="n">
        <v>227</v>
      </c>
      <c r="W520" s="75" t="n"/>
      <c r="X520" s="71" t="inlineStr">
        <is>
          <t>NA</t>
        </is>
      </c>
      <c r="Y520" s="76" t="n">
        <v>5895.56</v>
      </c>
      <c r="Z520" s="76" t="n">
        <v>24981212</v>
      </c>
      <c r="AA520" s="75" t="n">
        <v>4.75</v>
      </c>
      <c r="AB520" s="71"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AC520" s="71" t="inlineStr">
        <is>
          <t>admiralty;citic;colorful;cqtech;hosin;huadeng;ingenic;ju;lenovo;lens;sdmc;transsion;wind;yufeng</t>
        </is>
      </c>
      <c r="AD520" s="75" t="n">
        <v>15</v>
      </c>
      <c r="AE520" s="71" t="n"/>
      <c r="AF520" s="71" t="inlineStr">
        <is>
          <t>2026-10-03</t>
        </is>
      </c>
      <c r="AG520" s="71" t="inlineStr">
        <is>
          <t>CLSA Limited</t>
        </is>
      </c>
      <c r="AH520" s="71" t="inlineStr">
        <is>
          <t>CLSA</t>
        </is>
      </c>
      <c r="AI520" s="92" t="n">
        <v>-0.678</v>
      </c>
      <c r="AJ520" s="82" t="n">
        <v>-1.02</v>
      </c>
      <c r="AK520" s="82" t="n">
        <v>0</v>
      </c>
      <c r="AL520" s="82" t="n">
        <v>-1.02</v>
      </c>
      <c r="AM520" s="83" t="n"/>
      <c r="AN520" s="75" t="n">
        <v>2.29</v>
      </c>
      <c r="AO520" s="82" t="n">
        <v>-23.94</v>
      </c>
      <c r="AP520" s="82" t="n"/>
      <c r="AQ520" s="82" t="n"/>
      <c r="AR520" s="82" t="n">
        <v>-23.16</v>
      </c>
      <c r="AS520" s="82" t="n"/>
      <c r="AT520" s="82" t="n"/>
      <c r="AU520" s="82" t="n">
        <v>-18.85</v>
      </c>
      <c r="AV520" s="82" t="n"/>
      <c r="AW520" s="82" t="n"/>
      <c r="AX520" s="82" t="n"/>
      <c r="AY520" s="82" t="n"/>
      <c r="AZ520" s="82" t="n"/>
      <c r="BA520" s="71" t="inlineStr">
        <is>
          <t>HSTECH (Hang Seng TECH ETF)</t>
        </is>
      </c>
      <c r="BB520" s="82" t="n">
        <v>-18.81</v>
      </c>
      <c r="BC520" s="72" t="inlineStr">
        <is>
          <t>2026-09-21</t>
        </is>
      </c>
      <c r="BD520" s="73" t="n">
        <v>25042.8</v>
      </c>
      <c r="BE520" s="76" t="n"/>
      <c r="BF520" s="71" t="inlineStr">
        <is>
          <t>Y</t>
        </is>
      </c>
      <c r="BG520" s="84">
        <f>IF('BBG Verify'!O520="","not filed; run on terminal",'BBG Verify'!O520)</f>
        <v/>
      </c>
      <c r="BH520" s="83" t="n"/>
      <c r="BI520" s="83" t="n"/>
      <c r="BJ520" s="83" t="n">
        <v>5</v>
      </c>
      <c r="BK520" s="84">
        <f>IF('BBG Verify'!S520="","not filed; run on terminal",'BBG Verify'!S520)</f>
        <v/>
      </c>
      <c r="BL520" s="85" t="inlineStr">
        <is>
          <t>N</t>
        </is>
      </c>
      <c r="BM520" s="86">
        <f>IF('BBG Verify'!K520="","not filed; run on terminal",'BBG Verify'!K520)</f>
        <v/>
      </c>
      <c r="BN520" s="71" t="inlineStr">
        <is>
          <t>N/A</t>
        </is>
      </c>
      <c r="BO520" s="71" t="inlineStr">
        <is>
          <t>N/A</t>
        </is>
      </c>
      <c r="BP520" s="89" t="n">
        <v>1.1263</v>
      </c>
      <c r="BQ520" s="76" t="n">
        <v>187403.9</v>
      </c>
      <c r="BR520" s="71" t="inlineStr">
        <is>
          <t>N/A</t>
        </is>
      </c>
      <c r="BS520" s="71" t="inlineStr">
        <is>
          <t>N/A</t>
        </is>
      </c>
      <c r="BT520" s="85" t="inlineStr">
        <is>
          <t>CITIC Securities (Hong Kong) Limited; Citigroup Global Markets Asia Limited</t>
        </is>
      </c>
      <c r="BU520" s="71" t="inlineStr">
        <is>
          <t>CITIC Securities (Hong Kong) Limited; Citigroup Global Markets Asia Limited</t>
        </is>
      </c>
      <c r="BV520" s="71"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W520" s="71" t="inlineStr">
        <is>
          <t>ABCI Securities Company Limited; Citigroup Global Markets Asia Limited; CLSA Limited; China Securities (International) Corporate Finance Company Limited; Futu Securities International (Hong Kong) Limited; Tiger Brokers (HK) Global Limited</t>
        </is>
      </c>
      <c r="BX520" s="87">
        <f>HYPERLINK("https://www1.hkexnews.hk/listedco/listconews/sehk/2026/0831/2026083100047.pdf","prospectus")</f>
        <v/>
      </c>
      <c r="BY520" s="87">
        <f>HYPERLINK("https://www1.hkexnews.hk/listedco/listconews/sehk/2026/0907/2026090701319.pdf","allotment")</f>
        <v/>
      </c>
      <c r="BZ520" s="71" t="n"/>
      <c r="CA520" s="85" t="n"/>
      <c r="CB520" s="71" t="inlineStr">
        <is>
          <t>P/E: withheld: 2,581x fails the 300x plausibility cap; extracted net income HK$48.1m suspect; greenshoe: stabilisation window still open; range low: maximum offer price only, no floor published; 1m: listed less than 1m ago; 3m: listed less than 3m ago;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t>
        </is>
      </c>
    </row>
    <row r="521" ht="15" customHeight="1">
      <c r="A521" s="70" t="inlineStr">
        <is>
          <t>3231</t>
        </is>
      </c>
      <c r="B521" s="71" t="inlineStr">
        <is>
          <t>EXCELLAND ROBOT</t>
        </is>
      </c>
      <c r="C521" s="71" t="inlineStr">
        <is>
          <t>優地機器人</t>
        </is>
      </c>
      <c r="D521" s="71" t="inlineStr">
        <is>
          <t>Tech/AI</t>
        </is>
      </c>
      <c r="E521" s="71" t="inlineStr">
        <is>
          <t>Robotics &amp; autonomous driving</t>
        </is>
      </c>
      <c r="F521" s="71" t="inlineStr">
        <is>
          <t>Advanced hardware and software</t>
        </is>
      </c>
      <c r="G521" s="71" t="inlineStr">
        <is>
          <t>18C</t>
        </is>
      </c>
      <c r="H521" s="72" t="n">
        <v>46274</v>
      </c>
      <c r="I521" s="73" t="n">
        <v>650.2</v>
      </c>
      <c r="J521" s="71" t="inlineStr">
        <is>
          <t>gross (stated)</t>
        </is>
      </c>
      <c r="K521" s="74" t="n">
        <v>14.45</v>
      </c>
      <c r="L521" s="74" t="n">
        <v>19.55</v>
      </c>
      <c r="M521" s="74" t="n">
        <v>14.45</v>
      </c>
      <c r="N521" s="71" t="inlineStr">
        <is>
          <t>N</t>
        </is>
      </c>
      <c r="O521" s="75" t="n">
        <v>73.90000000000001</v>
      </c>
      <c r="P521" s="75" t="n">
        <v>0</v>
      </c>
      <c r="Q521" s="76" t="n">
        <v>6016.5</v>
      </c>
      <c r="R521" s="71" t="inlineStr">
        <is>
          <t>derived:price x shares upon listing</t>
        </is>
      </c>
      <c r="S521" s="77" t="n">
        <v>140.02</v>
      </c>
      <c r="T521" s="78" t="n">
        <v>0.99</v>
      </c>
      <c r="U521" s="79" t="n">
        <v>3.63</v>
      </c>
      <c r="V521" s="80" t="n">
        <v>87</v>
      </c>
      <c r="W521" s="75" t="n">
        <v>6.18</v>
      </c>
      <c r="X521" s="71" t="inlineStr">
        <is>
          <t>NO</t>
        </is>
      </c>
      <c r="Y521" s="76" t="n">
        <v>626.6</v>
      </c>
      <c r="Z521" s="76" t="n">
        <v>43366500</v>
      </c>
      <c r="AA521" s="75" t="n">
        <v>10.41</v>
      </c>
      <c r="AB521" s="71" t="inlineStr">
        <is>
          <t>CYGG Holding Limited; SensePower Management Limited</t>
        </is>
      </c>
      <c r="AC521" s="71" t="inlineStr">
        <is>
          <t>cygg;sensepower</t>
        </is>
      </c>
      <c r="AD521" s="75" t="n"/>
      <c r="AE521" s="71" t="n"/>
      <c r="AF521" s="71" t="n"/>
      <c r="AG521" s="71" t="n"/>
      <c r="AH521" s="71" t="n"/>
      <c r="AI521" s="81" t="n">
        <v>105.536</v>
      </c>
      <c r="AJ521" s="82" t="n">
        <v>153.84</v>
      </c>
      <c r="AK521" s="82" t="n">
        <v>142.21</v>
      </c>
      <c r="AL521" s="82" t="n">
        <v>4.8</v>
      </c>
      <c r="AM521" s="83" t="n">
        <v>2.58</v>
      </c>
      <c r="AN521" s="75" t="n">
        <v>26.06</v>
      </c>
      <c r="AO521" s="82" t="n">
        <v>156.47</v>
      </c>
      <c r="AP521" s="82" t="n"/>
      <c r="AQ521" s="82" t="n"/>
      <c r="AR521" s="82" t="n">
        <v>1.04</v>
      </c>
      <c r="AS521" s="82" t="n"/>
      <c r="AT521" s="82" t="n"/>
      <c r="AU521" s="82" t="n">
        <v>159.44</v>
      </c>
      <c r="AV521" s="82" t="n"/>
      <c r="AW521" s="82" t="n"/>
      <c r="AX521" s="82" t="n"/>
      <c r="AY521" s="82" t="n"/>
      <c r="AZ521" s="82" t="n"/>
      <c r="BA521" s="71" t="inlineStr">
        <is>
          <t>HSTECH (Hang Seng TECH ETF)</t>
        </is>
      </c>
      <c r="BB521" s="82" t="n">
        <v>168.51</v>
      </c>
      <c r="BC521" s="72" t="inlineStr">
        <is>
          <t>2026-09-21</t>
        </is>
      </c>
      <c r="BD521" s="73" t="n">
        <v>0</v>
      </c>
      <c r="BE521" s="76" t="n">
        <v>-121.9</v>
      </c>
      <c r="BF521" s="71" t="inlineStr">
        <is>
          <t>N</t>
        </is>
      </c>
      <c r="BG521" s="71" t="inlineStr">
        <is>
          <t>n/m</t>
        </is>
      </c>
      <c r="BH521" s="83" t="n"/>
      <c r="BI521" s="83" t="n"/>
      <c r="BJ521" s="71" t="inlineStr">
        <is>
          <t>pre-rev</t>
        </is>
      </c>
      <c r="BK521" s="84">
        <f>IF('BBG Verify'!S521="","not filed; run on terminal",'BBG Verify'!S521)</f>
        <v/>
      </c>
      <c r="BL521" s="85" t="inlineStr">
        <is>
          <t>N</t>
        </is>
      </c>
      <c r="BM521" s="86">
        <f>IF('BBG Verify'!K521="","not filed; run on terminal",'BBG Verify'!K521)</f>
        <v/>
      </c>
      <c r="BN521" s="71" t="inlineStr">
        <is>
          <t>N/A</t>
        </is>
      </c>
      <c r="BO521" s="71" t="inlineStr">
        <is>
          <t>N/A</t>
        </is>
      </c>
      <c r="BP521" s="71" t="inlineStr">
        <is>
          <t>N/A</t>
        </is>
      </c>
      <c r="BQ521" s="71" t="inlineStr">
        <is>
          <t>N/A</t>
        </is>
      </c>
      <c r="BR521" s="71" t="inlineStr">
        <is>
          <t>N/A</t>
        </is>
      </c>
      <c r="BS521" s="71" t="inlineStr">
        <is>
          <t>N/A</t>
        </is>
      </c>
      <c r="BT521" s="85" t="inlineStr">
        <is>
          <t>Silver Nile Global Investments Limited</t>
        </is>
      </c>
      <c r="BU521" s="71" t="inlineStr">
        <is>
          <t>Silver Nile Global Investments Limited</t>
        </is>
      </c>
      <c r="BV521" s="71"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W521" s="71"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X521" s="87">
        <f>HYPERLINK("https://www1.hkexnews.hk/listedco/listconews/sehk/2026/0831/2026083100009.pdf","prospectus")</f>
        <v/>
      </c>
      <c r="BY521" s="87">
        <f>HYPERLINK("https://www1.hkexnews.hk/listedco/listconews/sehk/2026/0908/2026090800985.pdf","allotment")</f>
        <v/>
      </c>
      <c r="BZ521" s="71" t="n"/>
      <c r="CA521" s="85" t="n"/>
      <c r="CB521" s="71" t="inlineStr">
        <is>
          <t>P/E: loss-making at IPO, use P/S; greenshoe: stabilisation window still open; 1m: listed less than 1m ago; 3m: listed less than 3m ago; greenshoe size: no over-allotment option; P/S: pre-revenue issuer, no sales multiple; stabilising manager: no over-allotment option, so none appointed; alpha/index: 1m window not elapsed</t>
        </is>
      </c>
    </row>
    <row r="522" ht="15" customHeight="1">
      <c r="A522" s="70" t="inlineStr">
        <is>
          <t>6727</t>
        </is>
      </c>
      <c r="B522" s="71" t="inlineStr">
        <is>
          <t>TRANSWARP</t>
        </is>
      </c>
      <c r="C522" s="71" t="inlineStr">
        <is>
          <t>星環科技</t>
        </is>
      </c>
      <c r="D522" s="71" t="inlineStr">
        <is>
          <t>Tech/AI</t>
        </is>
      </c>
      <c r="E522" s="71" t="inlineStr">
        <is>
          <t>SaaS / enterprise software</t>
        </is>
      </c>
      <c r="F522" s="71" t="inlineStr">
        <is>
          <t>Advanced hardware and software</t>
        </is>
      </c>
      <c r="G522" s="71" t="inlineStr">
        <is>
          <t>18C</t>
        </is>
      </c>
      <c r="H522" s="72" t="n">
        <v>46286</v>
      </c>
      <c r="I522" s="73" t="n">
        <v>686.53</v>
      </c>
      <c r="J522" s="71" t="inlineStr">
        <is>
          <t>gross (stated)</t>
        </is>
      </c>
      <c r="K522" s="74" t="n"/>
      <c r="L522" s="74" t="n">
        <v>61</v>
      </c>
      <c r="M522" s="74" t="n">
        <v>49</v>
      </c>
      <c r="N522" s="71" t="inlineStr">
        <is>
          <t>N</t>
        </is>
      </c>
      <c r="O522" s="75" t="n">
        <v>80.3</v>
      </c>
      <c r="P522" s="75" t="n"/>
      <c r="Q522" s="76" t="n">
        <v>6622.2</v>
      </c>
      <c r="R522" s="71" t="inlineStr">
        <is>
          <t>derived:price x shares upon listing</t>
        </is>
      </c>
      <c r="S522" s="77" t="n">
        <v>73.86</v>
      </c>
      <c r="T522" s="78" t="n">
        <v>1.42</v>
      </c>
      <c r="U522" s="79" t="n">
        <v>10.75</v>
      </c>
      <c r="V522" s="80" t="n">
        <v>50</v>
      </c>
      <c r="W522" s="75" t="n">
        <v>20</v>
      </c>
      <c r="X522" s="71" t="n"/>
      <c r="Y522" s="76" t="n">
        <v>612.73</v>
      </c>
      <c r="Z522" s="76" t="n">
        <v>12504639</v>
      </c>
      <c r="AA522" s="75" t="n">
        <v>9.25</v>
      </c>
      <c r="AB522" s="71" t="inlineStr">
        <is>
          <t>Electronic Channel Limited; Luoyang Science Technology Innovate Group, Ltd</t>
        </is>
      </c>
      <c r="AC522" s="71" t="inlineStr">
        <is>
          <t>electronic;luoyang</t>
        </is>
      </c>
      <c r="AD522" s="75" t="n"/>
      <c r="AE522" s="71" t="n"/>
      <c r="AF522" s="71" t="n"/>
      <c r="AG522" s="71" t="n"/>
      <c r="AH522" s="71" t="n"/>
      <c r="AI522" s="81" t="n">
        <v>-1.265</v>
      </c>
      <c r="AJ522" s="82" t="n">
        <v>-9.18</v>
      </c>
      <c r="AK522" s="82" t="n">
        <v>0</v>
      </c>
      <c r="AL522" s="82" t="n">
        <v>-9.18</v>
      </c>
      <c r="AM522" s="83" t="n">
        <v>1.73</v>
      </c>
      <c r="AN522" s="75" t="n">
        <v>10.2</v>
      </c>
      <c r="AO522" s="82" t="n"/>
      <c r="AP522" s="82" t="n"/>
      <c r="AQ522" s="82" t="n"/>
      <c r="AR522" s="82" t="n"/>
      <c r="AS522" s="82" t="n"/>
      <c r="AT522" s="82" t="n"/>
      <c r="AU522" s="82" t="n"/>
      <c r="AV522" s="82" t="n"/>
      <c r="AW522" s="82" t="n"/>
      <c r="AX522" s="82" t="n"/>
      <c r="AY522" s="82" t="n"/>
      <c r="AZ522" s="82" t="n"/>
      <c r="BA522" s="71" t="inlineStr">
        <is>
          <t>HSTECH (Hang Seng TECH ETF)</t>
        </is>
      </c>
      <c r="BB522" s="82" t="n">
        <v>-9.18</v>
      </c>
      <c r="BC522" s="72" t="inlineStr">
        <is>
          <t>2026-09-21</t>
        </is>
      </c>
      <c r="BD522" s="73" t="n">
        <v>491.8</v>
      </c>
      <c r="BE522" s="76" t="n">
        <v>-269.7</v>
      </c>
      <c r="BF522" s="71" t="inlineStr">
        <is>
          <t>N</t>
        </is>
      </c>
      <c r="BG522" s="71" t="inlineStr">
        <is>
          <t>n/m</t>
        </is>
      </c>
      <c r="BH522" s="83" t="n"/>
      <c r="BI522" s="83" t="n"/>
      <c r="BJ522" s="83" t="n">
        <v>13.5</v>
      </c>
      <c r="BK522" s="84">
        <f>IF('BBG Verify'!S522="","not filed; run on terminal",'BBG Verify'!S522)</f>
        <v/>
      </c>
      <c r="BL522" s="85" t="inlineStr">
        <is>
          <t>N</t>
        </is>
      </c>
      <c r="BM522" s="86">
        <f>IF('BBG Verify'!K522="","not filed; run on terminal",'BBG Verify'!K522)</f>
        <v/>
      </c>
      <c r="BN522" s="71" t="inlineStr">
        <is>
          <t>N/A</t>
        </is>
      </c>
      <c r="BO522" s="71" t="inlineStr">
        <is>
          <t>N/A</t>
        </is>
      </c>
      <c r="BP522" s="89" t="n">
        <v>1.9472</v>
      </c>
      <c r="BQ522" s="76" t="n">
        <v>15896.4</v>
      </c>
      <c r="BR522" s="71" t="inlineStr">
        <is>
          <t>N/A</t>
        </is>
      </c>
      <c r="BS522" s="71" t="inlineStr">
        <is>
          <t>N/A</t>
        </is>
      </c>
      <c r="BT522" s="85" t="inlineStr">
        <is>
          <t>Haitong International Capital Limited; Haitong International Securities Company Limited</t>
        </is>
      </c>
      <c r="BU522" s="71" t="inlineStr">
        <is>
          <t>Haitong International Capital Limited</t>
        </is>
      </c>
      <c r="BV522" s="71" t="inlineStr">
        <is>
          <t>Webull Securities Limited; BOCOM International Securities Limited; Huafu International Securities Limited; CMB International Capital Limited; SPDB International Capital Limited</t>
        </is>
      </c>
      <c r="BW522" s="71"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X522" s="87">
        <f>HYPERLINK("https://www1.hkexnews.hk/listedco/listconews/sehk/2026/0911/2026091100019.pdf","prospectus")</f>
        <v/>
      </c>
      <c r="BY522" s="87">
        <f>HYPERLINK("https://www1.hkexnews.hk/listedco/listconews/sehk/2026/0918/2026091801414.pdf","allotment")</f>
        <v/>
      </c>
      <c r="BZ522" s="71" t="n"/>
      <c r="CA522" s="85" t="n"/>
      <c r="CB522" s="71" t="inlineStr">
        <is>
          <t>P/E: loss-making at IPO, use P/S; greenshoe: stabilisation window still open; range low: maximum offer price only, no floor published; 1w: listed less than 1w ago; 1m: listed less than 1m ago; 3m: listed less than 3m ago; greenshoe size: no over-allotment option; stabilising manager: no over-allotment option, so none appointed; alpha/index: 1w window not elapsed; allocation: clawback line not in this notice; a 12-28% split is consistent with either a tier-1 clawback or a placing shortfall</t>
        </is>
      </c>
    </row>
    <row r="523" ht="15" customHeight="1">
      <c r="A523" s="70" t="inlineStr">
        <is>
          <t>9856</t>
        </is>
      </c>
      <c r="B523" s="71" t="inlineStr">
        <is>
          <t>LIGENT</t>
        </is>
      </c>
      <c r="C523" s="71" t="inlineStr">
        <is>
          <t>納真科技</t>
        </is>
      </c>
      <c r="D523" s="71" t="inlineStr">
        <is>
          <t>Tech/AI</t>
        </is>
      </c>
      <c r="E523" s="71" t="inlineStr">
        <is>
          <t>Smart hardware / consumer electronics</t>
        </is>
      </c>
      <c r="F523" s="71" t="inlineStr">
        <is>
          <t>Electrical Components &amp; Equipment</t>
        </is>
      </c>
      <c r="G523" s="71" t="inlineStr">
        <is>
          <t>Standard</t>
        </is>
      </c>
      <c r="H523" s="72" t="n">
        <v>46287</v>
      </c>
      <c r="I523" s="73" t="n">
        <v>5669.6</v>
      </c>
      <c r="J523" s="71" t="inlineStr">
        <is>
          <t>gross (stated)</t>
        </is>
      </c>
      <c r="K523" s="74" t="n"/>
      <c r="L523" s="74" t="n">
        <v>32.96</v>
      </c>
      <c r="M523" s="74" t="n">
        <v>32.96</v>
      </c>
      <c r="N523" s="71" t="inlineStr">
        <is>
          <t>Y</t>
        </is>
      </c>
      <c r="O523" s="75" t="n">
        <v>100</v>
      </c>
      <c r="P523" s="75" t="n"/>
      <c r="Q523" s="76" t="n">
        <v>28911.8</v>
      </c>
      <c r="R523" s="71" t="inlineStr">
        <is>
          <t>derived:deal size / offer % of enlarged capital</t>
        </is>
      </c>
      <c r="S523" s="77" t="n">
        <v>35.16</v>
      </c>
      <c r="T523" s="78" t="n">
        <v>4.67</v>
      </c>
      <c r="U523" s="79" t="n">
        <v>47.02</v>
      </c>
      <c r="V523" s="80" t="n">
        <v>192</v>
      </c>
      <c r="W523" s="75" t="n">
        <v>10</v>
      </c>
      <c r="X523" s="71" t="inlineStr">
        <is>
          <t>NA</t>
        </is>
      </c>
      <c r="Y523" s="76" t="n">
        <v>3003.75</v>
      </c>
      <c r="Z523" s="76" t="n">
        <v>91133388</v>
      </c>
      <c r="AA523" s="75" t="n">
        <v>10.39</v>
      </c>
      <c r="AB523" s="71" t="inlineStr">
        <is>
          <t>Alphahill Capital Limited; Ambre Lau Trade Limited; Amlogic Co., Limited; Atlas Venture Limited; Baring Asset Management (Asia) Limited; CFTC Paragon SP; China Securities (International) Investment Company Limited; E Fund Management (Hong Kong) Co., Ltd; First Seafront Asset Management Limited; GaoTeng Global Asset Management Limited; GF Fund Management Co., Ltd; GF International Investment Management Limited; GigaDevice Semiconductor (HK) Limited; HK BVF I LPF; Mega Prime Development Limited; Mirae Asset Securities (HK) Limited; Mount Altai Investments Limited; ODI TRUST LIMITED; Orient Asset Management (Hong Kong) Limited; PAG Capital Structure Opportunity Fund LP; Peak View Capital Limited; Poly Platinum Enterprises Limited; Primavera Cornflower Investment Fund L.P; SCV Delta L.P</t>
        </is>
      </c>
      <c r="AC523" s="71" t="inlineStr">
        <is>
          <t>alphahill;ambre;amlogic;atlas;baring;cftc;china-securities;fund-management;first-seafront;gaoteng;gf;gigadevice;bvf;mega;mirae;mount;odi;orient;pag;peak;poly;primavera;scv</t>
        </is>
      </c>
      <c r="AD523" s="75" t="n">
        <v>15</v>
      </c>
      <c r="AE523" s="71" t="n"/>
      <c r="AF523" s="71" t="inlineStr">
        <is>
          <t>2026-10-17</t>
        </is>
      </c>
      <c r="AG523" s="71" t="inlineStr">
        <is>
          <t>CLSA Limited</t>
        </is>
      </c>
      <c r="AH523" s="71" t="inlineStr">
        <is>
          <t>CLSA</t>
        </is>
      </c>
      <c r="AI523" s="81" t="n">
        <v>8.92</v>
      </c>
      <c r="AJ523" s="82" t="n">
        <v>4.61</v>
      </c>
      <c r="AK523" s="82" t="n">
        <v>11.04</v>
      </c>
      <c r="AL523" s="82" t="n">
        <v>-5.79</v>
      </c>
      <c r="AM523" s="83" t="n">
        <v>3.97</v>
      </c>
      <c r="AN523" s="75" t="n">
        <v>14.43</v>
      </c>
      <c r="AO523" s="82" t="n"/>
      <c r="AP523" s="82" t="n"/>
      <c r="AQ523" s="82" t="n"/>
      <c r="AR523" s="82" t="n"/>
      <c r="AS523" s="82" t="n"/>
      <c r="AT523" s="82" t="n"/>
      <c r="AU523" s="82" t="n"/>
      <c r="AV523" s="82" t="n"/>
      <c r="AW523" s="82" t="n"/>
      <c r="AX523" s="82" t="n"/>
      <c r="AY523" s="82" t="n"/>
      <c r="AZ523" s="82" t="n"/>
      <c r="BA523" s="71" t="inlineStr">
        <is>
          <t>Hang Seng Index</t>
        </is>
      </c>
      <c r="BB523" s="82" t="n">
        <v>8.369999999999999</v>
      </c>
      <c r="BC523" s="72" t="inlineStr">
        <is>
          <t>2026-09-23</t>
        </is>
      </c>
      <c r="BD523" s="73" t="n">
        <v>9190.1</v>
      </c>
      <c r="BE523" s="76" t="n">
        <v>959.9</v>
      </c>
      <c r="BF523" s="71" t="inlineStr">
        <is>
          <t>Y</t>
        </is>
      </c>
      <c r="BG523" s="83" t="n">
        <v>30.1</v>
      </c>
      <c r="BH523" s="83" t="n"/>
      <c r="BI523" s="83" t="n"/>
      <c r="BJ523" s="83" t="n">
        <v>3.1</v>
      </c>
      <c r="BK523" s="84">
        <f>IF('BBG Verify'!S523="","not filed; run on terminal",'BBG Verify'!S523)</f>
        <v/>
      </c>
      <c r="BL523" s="85" t="inlineStr">
        <is>
          <t>N</t>
        </is>
      </c>
      <c r="BM523" s="86">
        <f>IF('BBG Verify'!K523="","not filed; run on terminal",'BBG Verify'!K523)</f>
        <v/>
      </c>
      <c r="BN523" s="71" t="inlineStr">
        <is>
          <t>N/A</t>
        </is>
      </c>
      <c r="BO523" s="71" t="inlineStr">
        <is>
          <t>N/A</t>
        </is>
      </c>
      <c r="BP523" s="71" t="inlineStr">
        <is>
          <t>N/A</t>
        </is>
      </c>
      <c r="BQ523" s="71" t="inlineStr">
        <is>
          <t>N/A</t>
        </is>
      </c>
      <c r="BR523" s="71" t="inlineStr">
        <is>
          <t>N/A</t>
        </is>
      </c>
      <c r="BS523" s="71" t="inlineStr">
        <is>
          <t>N/A</t>
        </is>
      </c>
      <c r="BT523" s="85" t="inlineStr">
        <is>
          <t>Citigroup Global Markets Asia Limited; CITIC Securities (Hong Kong) Limited</t>
        </is>
      </c>
      <c r="BU523" s="71" t="inlineStr">
        <is>
          <t>CITIC Securities (Hong Kong) Limited; Citigroup Global Markets Asia Limited</t>
        </is>
      </c>
      <c r="BV523" s="71" t="inlineStr">
        <is>
          <t>Citigroup Global Markets Asia Limited; Citigroup Global Markets Limited; Canary Wharf London E14 5LB, United Kingdom CLSA Limited; GF Securities (Hong Kong) Brokerage Limited</t>
        </is>
      </c>
      <c r="BW523" s="71" t="inlineStr">
        <is>
          <t>Citigroup Global Markets Asia Limited; CLSA Limited; Futu Securities International (Hong Kong) Limited; GF Securities (Hong Kong) Brokerage Limited</t>
        </is>
      </c>
      <c r="BX523" s="87">
        <f>HYPERLINK("https://www1.hkexnews.hk/listedco/listconews/sehk/2026/0914/2026091400007.pdf","prospectus")</f>
        <v/>
      </c>
      <c r="BY523" s="87">
        <f>HYPERLINK("https://www1.hkexnews.hk/listedco/listconews/sehk/2026/0921/2026092101567.pdf","allotment")</f>
        <v/>
      </c>
      <c r="BZ523" s="71" t="n"/>
      <c r="CA523" s="85" t="n"/>
      <c r="CB523" s="71" t="inlineStr">
        <is>
          <t>greenshoe: stabilisation window still open; range low: maximum offer price only, no floor published; 1w: listed less than 1w ago; 1m: listed less than 1m ago; 3m: listed less than 3m ago; alpha/index: 1w window not elapsed</t>
        </is>
      </c>
    </row>
  </sheetData>
  <autoFilter ref="A4:CB523"/>
  <mergeCells count="8">
    <mergeCell ref="A3:H3"/>
    <mergeCell ref="CA3:CB3"/>
    <mergeCell ref="AI3:BC3"/>
    <mergeCell ref="BD3:BK3"/>
    <mergeCell ref="S3:AH3"/>
    <mergeCell ref="BL3:BS3"/>
    <mergeCell ref="BT3:BZ3"/>
    <mergeCell ref="I3:R3"/>
  </mergeCells>
  <conditionalFormatting sqref="A5:CB523">
    <cfRule type="expression" priority="20" dxfId="2" stopIfTrue="0">
      <formula>MOD(ROW(),2)=0</formula>
    </cfRule>
  </conditionalFormatting>
  <conditionalFormatting sqref="AJ5:AJ523">
    <cfRule type="colorScale" priority="1">
      <colorScale>
        <cfvo type="num" val="-60"/>
        <cfvo type="num" val="0"/>
        <cfvo type="num" val="60"/>
        <color rgb="00F8696B"/>
        <color rgb="00FFFFFF"/>
        <color rgb="0063BE7B"/>
      </colorScale>
    </cfRule>
  </conditionalFormatting>
  <conditionalFormatting sqref="AK5:AK523">
    <cfRule type="colorScale" priority="2">
      <colorScale>
        <cfvo type="num" val="-60"/>
        <cfvo type="num" val="0"/>
        <cfvo type="num" val="60"/>
        <color rgb="00F8696B"/>
        <color rgb="00FFFFFF"/>
        <color rgb="0063BE7B"/>
      </colorScale>
    </cfRule>
  </conditionalFormatting>
  <conditionalFormatting sqref="AL5:AL523">
    <cfRule type="colorScale" priority="3">
      <colorScale>
        <cfvo type="num" val="-60"/>
        <cfvo type="num" val="0"/>
        <cfvo type="num" val="60"/>
        <color rgb="00F8696B"/>
        <color rgb="00FFFFFF"/>
        <color rgb="0063BE7B"/>
      </colorScale>
    </cfRule>
  </conditionalFormatting>
  <conditionalFormatting sqref="AO5:AO523">
    <cfRule type="colorScale" priority="4">
      <colorScale>
        <cfvo type="num" val="-60"/>
        <cfvo type="num" val="0"/>
        <cfvo type="num" val="60"/>
        <color rgb="00F8696B"/>
        <color rgb="00FFFFFF"/>
        <color rgb="0063BE7B"/>
      </colorScale>
    </cfRule>
  </conditionalFormatting>
  <conditionalFormatting sqref="AP5:AP523">
    <cfRule type="colorScale" priority="5">
      <colorScale>
        <cfvo type="num" val="-60"/>
        <cfvo type="num" val="0"/>
        <cfvo type="num" val="60"/>
        <color rgb="00F8696B"/>
        <color rgb="00FFFFFF"/>
        <color rgb="0063BE7B"/>
      </colorScale>
    </cfRule>
  </conditionalFormatting>
  <conditionalFormatting sqref="AQ5:AQ523">
    <cfRule type="colorScale" priority="6">
      <colorScale>
        <cfvo type="num" val="-60"/>
        <cfvo type="num" val="0"/>
        <cfvo type="num" val="60"/>
        <color rgb="00F8696B"/>
        <color rgb="00FFFFFF"/>
        <color rgb="0063BE7B"/>
      </colorScale>
    </cfRule>
  </conditionalFormatting>
  <conditionalFormatting sqref="AR5:AR523">
    <cfRule type="colorScale" priority="7">
      <colorScale>
        <cfvo type="num" val="-60"/>
        <cfvo type="num" val="0"/>
        <cfvo type="num" val="60"/>
        <color rgb="00F8696B"/>
        <color rgb="00FFFFFF"/>
        <color rgb="0063BE7B"/>
      </colorScale>
    </cfRule>
  </conditionalFormatting>
  <conditionalFormatting sqref="AS5:AS523">
    <cfRule type="colorScale" priority="8">
      <colorScale>
        <cfvo type="num" val="-60"/>
        <cfvo type="num" val="0"/>
        <cfvo type="num" val="60"/>
        <color rgb="00F8696B"/>
        <color rgb="00FFFFFF"/>
        <color rgb="0063BE7B"/>
      </colorScale>
    </cfRule>
  </conditionalFormatting>
  <conditionalFormatting sqref="AT5:AT523">
    <cfRule type="colorScale" priority="9">
      <colorScale>
        <cfvo type="num" val="-60"/>
        <cfvo type="num" val="0"/>
        <cfvo type="num" val="60"/>
        <color rgb="00F8696B"/>
        <color rgb="00FFFFFF"/>
        <color rgb="0063BE7B"/>
      </colorScale>
    </cfRule>
  </conditionalFormatting>
  <conditionalFormatting sqref="AV5:AV523">
    <cfRule type="colorScale" priority="10">
      <colorScale>
        <cfvo type="num" val="-60"/>
        <cfvo type="num" val="0"/>
        <cfvo type="num" val="60"/>
        <color rgb="00F8696B"/>
        <color rgb="00FFFFFF"/>
        <color rgb="0063BE7B"/>
      </colorScale>
    </cfRule>
  </conditionalFormatting>
  <conditionalFormatting sqref="AX5:AX523">
    <cfRule type="colorScale" priority="11">
      <colorScale>
        <cfvo type="num" val="-60"/>
        <cfvo type="num" val="0"/>
        <cfvo type="num" val="60"/>
        <color rgb="00F8696B"/>
        <color rgb="00FFFFFF"/>
        <color rgb="0063BE7B"/>
      </colorScale>
    </cfRule>
  </conditionalFormatting>
  <conditionalFormatting sqref="BB5:BB523">
    <cfRule type="colorScale" priority="12">
      <colorScale>
        <cfvo type="num" val="-60"/>
        <cfvo type="num" val="0"/>
        <cfvo type="num" val="60"/>
        <color rgb="00F8696B"/>
        <color rgb="00FFFFFF"/>
        <color rgb="0063BE7B"/>
      </colorScale>
    </cfRule>
  </conditionalFormatting>
  <conditionalFormatting sqref="BN5:BN523">
    <cfRule type="colorScale" priority="13">
      <colorScale>
        <cfvo type="num" val="-60"/>
        <cfvo type="num" val="0"/>
        <cfvo type="num" val="60"/>
        <color rgb="00F8696B"/>
        <color rgb="00FFFFFF"/>
        <color rgb="0063BE7B"/>
      </colorScale>
    </cfRule>
  </conditionalFormatting>
  <conditionalFormatting sqref="BP5:BP523">
    <cfRule type="colorScale" priority="14">
      <colorScale>
        <cfvo type="num" val="-60"/>
        <cfvo type="num" val="0"/>
        <cfvo type="num" val="60"/>
        <color rgb="00F8696B"/>
        <color rgb="00FFFFFF"/>
        <color rgb="0063BE7B"/>
      </colorScale>
    </cfRule>
  </conditionalFormatting>
  <conditionalFormatting sqref="I5:I523">
    <cfRule type="dataBar" priority="15">
      <dataBar showValue="1">
        <cfvo type="min"/>
        <cfvo type="max"/>
        <color rgb="004472C4"/>
      </dataBar>
    </cfRule>
  </conditionalFormatting>
  <conditionalFormatting sqref="Q5:Q523">
    <cfRule type="dataBar" priority="16">
      <dataBar showValue="1">
        <cfvo type="min"/>
        <cfvo type="max"/>
        <color rgb="008FAADC"/>
      </dataBar>
    </cfRule>
  </conditionalFormatting>
  <conditionalFormatting sqref="S5:S523">
    <cfRule type="dataBar" priority="17">
      <dataBar showValue="1">
        <cfvo type="min"/>
        <cfvo type="max"/>
        <color rgb="00ED7D31"/>
      </dataBar>
    </cfRule>
  </conditionalFormatting>
  <conditionalFormatting sqref="T5:T523">
    <cfRule type="dataBar" priority="18">
      <dataBar showValue="1">
        <cfvo type="min"/>
        <cfvo type="max"/>
        <color rgb="00F4B183"/>
      </dataBar>
    </cfRule>
  </conditionalFormatting>
  <conditionalFormatting sqref="U5:U523">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7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4" t="inlineStr">
        <is>
          <t>6700</t>
        </is>
      </c>
      <c r="B6" s="94" t="inlineStr">
        <is>
          <t>Shenzhen Forms Syntron Information Co., Ltd.</t>
        </is>
      </c>
      <c r="C6" s="94" t="n"/>
      <c r="D6" s="94" t="inlineStr">
        <is>
          <t>Offering</t>
        </is>
      </c>
      <c r="E6" s="95" t="inlineStr">
        <is>
          <t>2026-09-22</t>
        </is>
      </c>
      <c r="F6" s="94" t="inlineStr">
        <is>
          <t>Tech/AI</t>
        </is>
      </c>
      <c r="G6" s="96" t="inlineStr">
        <is>
          <t>Fintech platform</t>
        </is>
      </c>
      <c r="H6" s="97" t="n">
        <v>943.4</v>
      </c>
      <c r="I6" s="98" t="inlineStr">
        <is>
          <t>offer shares x maximum price</t>
        </is>
      </c>
      <c r="J6" s="94" t="n"/>
      <c r="K6" s="99" t="n"/>
      <c r="L6" s="99" t="n">
        <v>16</v>
      </c>
      <c r="M6" s="100" t="n">
        <v>17</v>
      </c>
      <c r="N6" s="101" t="n">
        <v>12.61</v>
      </c>
      <c r="O6" s="94" t="inlineStr">
        <is>
          <t>2026-09-14 to 2026-09-17</t>
        </is>
      </c>
      <c r="P6" s="102" t="inlineStr">
        <is>
          <t>Y</t>
        </is>
      </c>
      <c r="Q6" s="94" t="inlineStr">
        <is>
          <t>Y</t>
        </is>
      </c>
      <c r="R6" s="94" t="inlineStr">
        <is>
          <t>300468.SZ</t>
        </is>
      </c>
      <c r="S6" s="103" t="n">
        <v>21.93</v>
      </c>
      <c r="T6" s="100" t="n">
        <v>27.31</v>
      </c>
      <c r="U6" s="104" t="n">
        <v>-37.6</v>
      </c>
      <c r="V6" s="104" t="n">
        <v>60.26</v>
      </c>
      <c r="W6" s="105" t="n"/>
      <c r="X6" s="106">
        <f>HYPERLINK("https://www1.hkexnews.hk/listedco/listconews/sehk/2026/0914/2026091400005.pdf","filing")</f>
        <v/>
      </c>
      <c r="Y6" s="107"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Z6" s="108" t="inlineStr">
        <is>
          <t>stated market cap rejected: HK$824m is below the HK$943m offering itself</t>
        </is>
      </c>
    </row>
    <row r="7">
      <c r="A7" s="94" t="inlineStr">
        <is>
          <t>3228</t>
        </is>
      </c>
      <c r="B7" s="94" t="inlineStr">
        <is>
          <t>Shenzhen Kinwong Electronic Co., Ltd.</t>
        </is>
      </c>
      <c r="C7" s="94" t="n"/>
      <c r="D7" s="94" t="inlineStr">
        <is>
          <t>Offering</t>
        </is>
      </c>
      <c r="E7" s="95" t="inlineStr">
        <is>
          <t>2026-09-29</t>
        </is>
      </c>
      <c r="F7" s="94" t="inlineStr">
        <is>
          <t>Tech/AI</t>
        </is>
      </c>
      <c r="G7" s="96" t="inlineStr">
        <is>
          <t>Smart hardware / consumer electronics</t>
        </is>
      </c>
      <c r="H7" s="97" t="n">
        <v>5097.3</v>
      </c>
      <c r="I7" s="98" t="inlineStr">
        <is>
          <t>offer shares x maximum price</t>
        </is>
      </c>
      <c r="J7" s="94" t="n"/>
      <c r="K7" s="99" t="n"/>
      <c r="L7" s="99" t="n">
        <v>69.88</v>
      </c>
      <c r="M7" s="100" t="n">
        <v>64.90000000000001</v>
      </c>
      <c r="N7" s="101" t="n"/>
      <c r="O7" s="94" t="inlineStr">
        <is>
          <t>2026-09-21 to 2026-09-24</t>
        </is>
      </c>
      <c r="P7" s="102" t="inlineStr">
        <is>
          <t>Y</t>
        </is>
      </c>
      <c r="Q7" s="94" t="inlineStr">
        <is>
          <t>Y</t>
        </is>
      </c>
      <c r="R7" s="94" t="inlineStr">
        <is>
          <t>603228.SS</t>
        </is>
      </c>
      <c r="S7" s="103" t="n">
        <v>107.45</v>
      </c>
      <c r="T7" s="100" t="n">
        <v>116.73</v>
      </c>
      <c r="U7" s="104" t="n">
        <v>-44.4</v>
      </c>
      <c r="V7" s="104" t="n">
        <v>79.86</v>
      </c>
      <c r="W7" s="105" t="n"/>
      <c r="X7" s="106">
        <f>HYPERLINK("https://www1.hkexnews.hk/listedco/listconews/sehk/2026/0921/2026092100035.pdf","filing")</f>
        <v/>
      </c>
      <c r="Y7" s="107" t="inlineStr">
        <is>
          <t>We develop, manufacture and sell a comprehensive range of PCB to meet diverse customer needs, comprising: (i) RPCB including single- and double-sided PCB, MLPCB, and HDI PCB, (ii) FPC, and (iii) other PCB, including MPCB and rigid-flex PCB. During the Track Record Period, RPCB ...</t>
        </is>
      </c>
      <c r="Z7" s="108" t="n"/>
    </row>
    <row r="8">
      <c r="A8" s="94" t="inlineStr">
        <is>
          <t>9607</t>
        </is>
      </c>
      <c r="B8" s="94" t="inlineStr">
        <is>
          <t>Red Avenue New Materials Group Co., Ltd.</t>
        </is>
      </c>
      <c r="C8" s="94" t="n"/>
      <c r="D8" s="94" t="inlineStr">
        <is>
          <t>Offering</t>
        </is>
      </c>
      <c r="E8" s="95" t="inlineStr">
        <is>
          <t>2026-09-29</t>
        </is>
      </c>
      <c r="F8" s="94" t="inlineStr">
        <is>
          <t>Tech/AI</t>
        </is>
      </c>
      <c r="G8" s="96" t="inlineStr">
        <is>
          <t>AI chips &amp; semis</t>
        </is>
      </c>
      <c r="H8" s="97" t="n">
        <v>2997.2</v>
      </c>
      <c r="I8" s="98" t="inlineStr">
        <is>
          <t>offer shares x maximum price</t>
        </is>
      </c>
      <c r="J8" s="94" t="n"/>
      <c r="K8" s="99" t="n"/>
      <c r="L8" s="99" t="n">
        <v>44</v>
      </c>
      <c r="M8" s="100" t="n">
        <v>41.3</v>
      </c>
      <c r="N8" s="101" t="n"/>
      <c r="O8" s="94" t="inlineStr">
        <is>
          <t>2026-09-21 to 2026-09-24</t>
        </is>
      </c>
      <c r="P8" s="102" t="inlineStr">
        <is>
          <t>Y</t>
        </is>
      </c>
      <c r="Q8" s="94" t="inlineStr">
        <is>
          <t>Y</t>
        </is>
      </c>
      <c r="R8" s="94" t="inlineStr">
        <is>
          <t>603650.SS</t>
        </is>
      </c>
      <c r="S8" s="103" t="n">
        <v>69.23</v>
      </c>
      <c r="T8" s="100" t="n">
        <v>75.91</v>
      </c>
      <c r="U8" s="104" t="n">
        <v>-45.6</v>
      </c>
      <c r="V8" s="104" t="n">
        <v>83.81999999999999</v>
      </c>
      <c r="W8" s="105" t="n"/>
      <c r="X8" s="106">
        <f>HYPERLINK("https://www1.hkexnews.hk/listedco/listconews/sehk/2026/0921/2026092100029.pdf","filing")</f>
        <v/>
      </c>
      <c r="Y8" s="107" t="inlineStr">
        <is>
          <t>We are a leading local supplier of semiconductor photoresists in the PRC. According to F&amp;S, we ranked first, in terms of sale revenue, among local suppliers in both the PRC semiconductor photoresist markets and the PRC TFT array photoresist marketin FY2025.</t>
        </is>
      </c>
      <c r="Z8" s="108" t="inlineStr">
        <is>
          <t>revenue line not extractable (net income is on file)</t>
        </is>
      </c>
    </row>
    <row r="9">
      <c r="A9" s="94" t="inlineStr">
        <is>
          <t>6731</t>
        </is>
      </c>
      <c r="B9" s="94" t="inlineStr">
        <is>
          <t>Direct Drive Tech Limited</t>
        </is>
      </c>
      <c r="C9" s="94" t="inlineStr">
        <is>
          <t>本末動力（北京）科技股份有限公司</t>
        </is>
      </c>
      <c r="D9" s="94" t="inlineStr">
        <is>
          <t>Offering</t>
        </is>
      </c>
      <c r="E9" s="95" t="inlineStr">
        <is>
          <t>2026-09-29</t>
        </is>
      </c>
      <c r="F9" s="94" t="inlineStr">
        <is>
          <t>Tech/AI</t>
        </is>
      </c>
      <c r="G9" s="96" t="inlineStr">
        <is>
          <t>Robotics &amp; autonomous driving</t>
        </is>
      </c>
      <c r="H9" s="97" t="n">
        <v>1080</v>
      </c>
      <c r="I9" s="98" t="inlineStr">
        <is>
          <t>offer shares x maximum price</t>
        </is>
      </c>
      <c r="J9" s="94" t="n"/>
      <c r="K9" s="99" t="n"/>
      <c r="L9" s="99" t="n">
        <v>21.6</v>
      </c>
      <c r="M9" s="100" t="n"/>
      <c r="N9" s="101" t="n"/>
      <c r="O9" s="94" t="inlineStr">
        <is>
          <t>2026-09-21 to 2026-09-24</t>
        </is>
      </c>
      <c r="P9" s="102" t="n"/>
      <c r="Q9" s="94" t="n"/>
      <c r="R9" s="94" t="n"/>
      <c r="S9" s="103" t="n"/>
      <c r="T9" s="100" t="n"/>
      <c r="U9" s="104" t="n"/>
      <c r="V9" s="104" t="n"/>
      <c r="W9" s="105" t="n"/>
      <c r="X9" s="106">
        <f>HYPERLINK("https://www1.hkexnews.hk/listedco/listconews/sehk/2026/0921/2026092100065.pdf","filing")</f>
        <v/>
      </c>
      <c r="Y9" s="107"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9" s="108" t="inlineStr">
        <is>
          <t>stated market cap rejected: spans 4x, which is not a price range</t>
        </is>
      </c>
    </row>
    <row r="10">
      <c r="A10" s="94" t="inlineStr">
        <is>
          <t>3757</t>
        </is>
      </c>
      <c r="B10" s="94" t="inlineStr">
        <is>
          <t>RoboTechnik Intelligent Technology Co., Ltd.</t>
        </is>
      </c>
      <c r="C10" s="94" t="n"/>
      <c r="D10" s="94" t="inlineStr">
        <is>
          <t>Offering</t>
        </is>
      </c>
      <c r="E10" s="95" t="inlineStr">
        <is>
          <t>2026-09-29</t>
        </is>
      </c>
      <c r="F10" s="94" t="inlineStr">
        <is>
          <t>Industrials</t>
        </is>
      </c>
      <c r="G10" s="96" t="inlineStr">
        <is>
          <t>Solar / wind supply chain</t>
        </is>
      </c>
      <c r="H10" s="97" t="n">
        <v>5177.9</v>
      </c>
      <c r="I10" s="98" t="inlineStr">
        <is>
          <t>offer shares x maximum price</t>
        </is>
      </c>
      <c r="J10" s="94" t="n"/>
      <c r="K10" s="99" t="n"/>
      <c r="L10" s="99" t="n">
        <v>436</v>
      </c>
      <c r="M10" s="100" t="n">
        <v>453.4</v>
      </c>
      <c r="N10" s="101" t="n">
        <v>71.90000000000001</v>
      </c>
      <c r="O10" s="94" t="inlineStr">
        <is>
          <t>2026-09-21 to 2026-09-24</t>
        </is>
      </c>
      <c r="P10" s="102" t="inlineStr">
        <is>
          <t>Y</t>
        </is>
      </c>
      <c r="Q10" s="94" t="inlineStr">
        <is>
          <t>Y</t>
        </is>
      </c>
      <c r="R10" s="94" t="inlineStr">
        <is>
          <t>300757.SZ</t>
        </is>
      </c>
      <c r="S10" s="103" t="n">
        <v>597.98</v>
      </c>
      <c r="T10" s="100" t="n">
        <v>727.0599999999999</v>
      </c>
      <c r="U10" s="104" t="n">
        <v>-37.6</v>
      </c>
      <c r="V10" s="104" t="n">
        <v>60.26</v>
      </c>
      <c r="W10" s="105" t="n"/>
      <c r="X10" s="106">
        <f>HYPERLINK("https://www1.hkexnews.hk/listedco/listconews/sehk/2026/0921/2026092100017.pdf","filing")</f>
        <v/>
      </c>
      <c r="Y10" s="107" t="inlineStr">
        <is>
          <t>We are a global provider of manufacturing equipment and systems for photovoltaic (“PV”) industry and silicon photonics (“ SiPh”) industry. Our PV manufacturing solutions comprise i) PV manufacturing equipment, which primarily comprises automation equipment for PV cell production ...</t>
        </is>
      </c>
      <c r="Z10" s="108" t="n"/>
    </row>
    <row r="11">
      <c r="A11" s="94" t="inlineStr">
        <is>
          <t>6802</t>
        </is>
      </c>
      <c r="B11" s="94" t="inlineStr">
        <is>
          <t>Shenzhen Camsense Technologies Co., Ltd.</t>
        </is>
      </c>
      <c r="C11" s="94" t="n"/>
      <c r="D11" s="94" t="inlineStr">
        <is>
          <t>Offering</t>
        </is>
      </c>
      <c r="E11" s="95" t="inlineStr">
        <is>
          <t>2026-09-30</t>
        </is>
      </c>
      <c r="F11" s="94" t="inlineStr">
        <is>
          <t>Tech/AI</t>
        </is>
      </c>
      <c r="G11" s="96" t="inlineStr">
        <is>
          <t>Robotics &amp; autonomous driving</t>
        </is>
      </c>
      <c r="H11" s="97" t="n">
        <v>682</v>
      </c>
      <c r="I11" s="98" t="inlineStr">
        <is>
          <t>offer shares x maximum price</t>
        </is>
      </c>
      <c r="J11" s="94" t="n"/>
      <c r="K11" s="99" t="n"/>
      <c r="L11" s="99" t="n">
        <v>58.85</v>
      </c>
      <c r="M11" s="100" t="n"/>
      <c r="N11" s="101" t="n">
        <v>16.13</v>
      </c>
      <c r="O11" s="94" t="inlineStr">
        <is>
          <t>2026-09-22 to 2026-09-25</t>
        </is>
      </c>
      <c r="P11" s="102" t="inlineStr">
        <is>
          <t>N</t>
        </is>
      </c>
      <c r="Q11" s="94" t="n"/>
      <c r="R11" s="94" t="n"/>
      <c r="S11" s="103" t="n"/>
      <c r="T11" s="100" t="n"/>
      <c r="U11" s="104" t="n"/>
      <c r="V11" s="104" t="n"/>
      <c r="W11" s="105" t="n"/>
      <c r="X11" s="106">
        <f>HYPERLINK("https://www1.hkexnews.hk/listedco/listconews/sehk/2026/0922/2026092200005.pdf","filing")</f>
        <v/>
      </c>
      <c r="Y11" s="107" t="inlineStr">
        <is>
          <t>We are an established provider of spatialsensing productsfor roboticvacuum. As a specialized spatialsensing technology provider, ourproducts formthe critical foundation layerthatenablesourcustomers’roboticsystemstoachieveembodiedintelligence,supporting their autonomous ...</t>
        </is>
      </c>
      <c r="Z11" s="108" t="n"/>
    </row>
    <row r="12">
      <c r="A12" s="109" t="n"/>
      <c r="B12" s="109" t="inlineStr">
        <is>
          <t>Tanboer Group Co., Ltd.</t>
        </is>
      </c>
      <c r="C12" s="109" t="n"/>
      <c r="D12" s="109" t="inlineStr">
        <is>
          <t>PHIP posted</t>
        </is>
      </c>
      <c r="E12" s="110" t="inlineStr">
        <is>
          <t>PHIP 2026-06-21</t>
        </is>
      </c>
      <c r="F12" s="109" t="inlineStr">
        <is>
          <t>Consumer</t>
        </is>
      </c>
      <c r="G12" s="111" t="inlineStr">
        <is>
          <t>Apparel / luxury</t>
        </is>
      </c>
      <c r="H12" s="112" t="n">
        <v>780</v>
      </c>
      <c r="I12" s="113" t="inlineStr">
        <is>
          <t>press estimate</t>
        </is>
      </c>
      <c r="J12" s="109" t="n"/>
      <c r="K12" s="114" t="n"/>
      <c r="L12" s="114" t="n"/>
      <c r="M12" s="115" t="n"/>
      <c r="N12" s="116" t="n"/>
      <c r="O12" s="109" t="n"/>
      <c r="P12" s="117" t="inlineStr">
        <is>
          <t>Y</t>
        </is>
      </c>
      <c r="Q12" s="109" t="n"/>
      <c r="R12" s="109" t="n"/>
      <c r="S12" s="118" t="n"/>
      <c r="T12" s="115" t="n"/>
      <c r="U12" s="119" t="n"/>
      <c r="V12" s="119" t="n"/>
      <c r="W12" s="120" t="inlineStr">
        <is>
          <t>China International Capital Corporation Hong Kong Securities Limited</t>
        </is>
      </c>
      <c r="X12" s="121">
        <f>HYPERLINK("https://www1.hkexnews.hk/app/sehk/2026/108483/documents/sehk26062100126.pdf","filing")</f>
        <v/>
      </c>
      <c r="Y12" s="122" t="inlineStr">
        <is>
          <t>We operate our offline stores through two models to maximize market presence and adapt to consumer demands. Our permanent stores provide consistent brand presence in prime retail locations, offering our full product range throughout the year.</t>
        </is>
      </c>
      <c r="Z12" s="123" t="inlineStr">
        <is>
          <t>expected size not yet public</t>
        </is>
      </c>
    </row>
    <row r="13">
      <c r="A13" s="124" t="n"/>
      <c r="B13" s="124" t="inlineStr">
        <is>
          <t>Zhejiang Taotao Vehicles Co., Ltd.</t>
        </is>
      </c>
      <c r="C13" s="124" t="n"/>
      <c r="D13" s="124" t="inlineStr">
        <is>
          <t>PHIP posted</t>
        </is>
      </c>
      <c r="E13" s="95" t="inlineStr">
        <is>
          <t>PHIP 2026-09-07</t>
        </is>
      </c>
      <c r="F13" s="124" t="n"/>
      <c r="G13" s="96" t="n"/>
      <c r="H13" s="97" t="n"/>
      <c r="I13" s="125" t="n"/>
      <c r="J13" s="124" t="n"/>
      <c r="K13" s="126" t="n"/>
      <c r="L13" s="126" t="n"/>
      <c r="M13" s="127" t="n"/>
      <c r="N13" s="128" t="n"/>
      <c r="O13" s="124" t="n"/>
      <c r="P13" s="129" t="inlineStr">
        <is>
          <t>Y</t>
        </is>
      </c>
      <c r="Q13" s="124" t="inlineStr">
        <is>
          <t>Y</t>
        </is>
      </c>
      <c r="R13" s="124" t="inlineStr">
        <is>
          <t>301345.SZ</t>
        </is>
      </c>
      <c r="S13" s="130" t="n"/>
      <c r="T13" s="127" t="n"/>
      <c r="U13" s="131" t="n"/>
      <c r="V13" s="131" t="n"/>
      <c r="W13" s="132" t="inlineStr">
        <is>
          <t>CLSA Limited</t>
        </is>
      </c>
      <c r="X13" s="133">
        <f>HYPERLINK("https://www1.hkexnews.hk/app/sehk/2026/108575/documents/sehk26090701490.pdf","filing")</f>
        <v/>
      </c>
      <c r="Y13" s="134" t="inlineStr">
        <is>
          <t>We operate a tiered proprietary brand matrix tailored to distinct user segments and channels, comprising DENAGO TM, GOTRAX TM, TEKO TM and TAO MOTOR TM. This matrix enables precise coverage of key consumer cohorts and supports brand synergy through differentiated positioning and ...</t>
        </is>
      </c>
      <c r="Z13" s="135" t="inlineStr">
        <is>
          <t>expected size not yet public; subsector not auto-classified; type one in the blue cell</t>
        </is>
      </c>
    </row>
    <row r="14">
      <c r="A14" s="124" t="n"/>
      <c r="B14" s="124" t="inlineStr">
        <is>
          <t>Hunan Junxin Environmental Protection Co., Ltd.</t>
        </is>
      </c>
      <c r="C14" s="124" t="n"/>
      <c r="D14" s="124" t="inlineStr">
        <is>
          <t>PHIP posted</t>
        </is>
      </c>
      <c r="E14" s="95" t="inlineStr">
        <is>
          <t>PHIP 2026-09-13</t>
        </is>
      </c>
      <c r="F14" s="124" t="inlineStr">
        <is>
          <t>Materials/Energy</t>
        </is>
      </c>
      <c r="G14" s="96" t="inlineStr">
        <is>
          <t>Oil &amp; gas / utilities</t>
        </is>
      </c>
      <c r="H14" s="97" t="n"/>
      <c r="I14" s="125" t="n"/>
      <c r="J14" s="124" t="n"/>
      <c r="K14" s="126" t="n"/>
      <c r="L14" s="126" t="n"/>
      <c r="M14" s="127" t="n"/>
      <c r="N14" s="128" t="n"/>
      <c r="O14" s="124" t="n"/>
      <c r="P14" s="129" t="inlineStr">
        <is>
          <t>Y</t>
        </is>
      </c>
      <c r="Q14" s="124" t="inlineStr">
        <is>
          <t>Y</t>
        </is>
      </c>
      <c r="R14" s="124" t="n"/>
      <c r="S14" s="130" t="n"/>
      <c r="T14" s="127" t="n"/>
      <c r="U14" s="131" t="n"/>
      <c r="V14" s="131" t="n"/>
      <c r="W14" s="132" t="inlineStr">
        <is>
          <t>China International Capital Corporation Hong Kong Securities Limited; CLSA Limited</t>
        </is>
      </c>
      <c r="X14" s="133">
        <f>HYPERLINK("https://www1.hkexnews.hk/app/sehk/2026/108794/documents/sehk26091300040.pdf","filing")</f>
        <v/>
      </c>
      <c r="Y14" s="134"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Z14" s="135" t="inlineStr">
        <is>
          <t>A-share listed on the Shenzhen Stock Exchange; the PHIP does not print the code; confirm on the terminal; expected size not yet public</t>
        </is>
      </c>
    </row>
    <row r="15">
      <c r="A15" s="136" t="n"/>
      <c r="B15" s="136" t="inlineStr">
        <is>
          <t>Sungrow Power Supply</t>
        </is>
      </c>
      <c r="C15" s="136" t="inlineStr">
        <is>
          <t>阳光电源</t>
        </is>
      </c>
      <c r="D15" s="136" t="inlineStr">
        <is>
          <t>A1 filed</t>
        </is>
      </c>
      <c r="E15" s="110" t="inlineStr">
        <is>
          <t>2026 H2 (application refiled Apr 2026, 6-month validity)</t>
        </is>
      </c>
      <c r="F15" s="136" t="inlineStr">
        <is>
          <t>Industrials</t>
        </is>
      </c>
      <c r="G15" s="111" t="inlineStr">
        <is>
          <t>Solar / wind supply chain</t>
        </is>
      </c>
      <c r="H15" s="112" t="n"/>
      <c r="I15" s="137" t="n"/>
      <c r="J15" s="136" t="n"/>
      <c r="K15" s="138" t="n"/>
      <c r="L15" s="138" t="n"/>
      <c r="M15" s="139" t="n"/>
      <c r="N15" s="140" t="n"/>
      <c r="O15" s="136" t="n"/>
      <c r="P15" s="141" t="n"/>
      <c r="Q15" s="136" t="inlineStr">
        <is>
          <t>Y</t>
        </is>
      </c>
      <c r="R15" s="136" t="inlineStr">
        <is>
          <t>300274.SZ</t>
        </is>
      </c>
      <c r="S15" s="142" t="n"/>
      <c r="T15" s="139" t="n"/>
      <c r="U15" s="143" t="n"/>
      <c r="V15" s="143" t="n"/>
      <c r="W15" s="144" t="inlineStr">
        <is>
          <t>CICC</t>
        </is>
      </c>
      <c r="X15" s="136" t="n"/>
      <c r="Y15" s="145" t="n"/>
      <c r="Z15" s="146" t="inlineStr">
        <is>
          <t>A-share market cap ~RMB 277-330bn (USD 40-47bn) in Apr 2026. Early reports cited a HK$987m (USD 126.7m) raise target from the Oct-2025 filing; treat with caution, small vs peers' A+H raises; no updated size disclosed on the Apr 2026 refiling.</t>
        </is>
      </c>
    </row>
    <row r="16">
      <c r="A16" s="147" t="n"/>
      <c r="B16" s="147" t="inlineStr">
        <is>
          <t>AgiBot (AgiBot Innovation / Zhiyuan Robotics)</t>
        </is>
      </c>
      <c r="C16" s="147" t="inlineStr">
        <is>
          <t>智元机器人</t>
        </is>
      </c>
      <c r="D16" s="147" t="inlineStr">
        <is>
          <t>A1 filed</t>
        </is>
      </c>
      <c r="E16" s="95" t="inlineStr">
        <is>
          <t>2026 H2 (possibly as early as Aug-Sep 2026)</t>
        </is>
      </c>
      <c r="F16" s="147" t="inlineStr">
        <is>
          <t>Tech/AI</t>
        </is>
      </c>
      <c r="G16" s="96" t="inlineStr">
        <is>
          <t>Robotics &amp; autonomous driving</t>
        </is>
      </c>
      <c r="H16" s="97" t="n">
        <v>7800</v>
      </c>
      <c r="I16" s="148" t="n"/>
      <c r="J16" s="147" t="inlineStr">
        <is>
          <t>1,000</t>
        </is>
      </c>
      <c r="K16" s="149" t="n"/>
      <c r="L16" s="149" t="n"/>
      <c r="M16" s="150" t="n"/>
      <c r="N16" s="151" t="n"/>
      <c r="O16" s="147" t="n"/>
      <c r="P16" s="152" t="n"/>
      <c r="Q16" s="147" t="inlineStr">
        <is>
          <t>N</t>
        </is>
      </c>
      <c r="R16" s="147" t="n"/>
      <c r="S16" s="153" t="n"/>
      <c r="T16" s="150" t="n"/>
      <c r="U16" s="154" t="n"/>
      <c r="V16" s="154" t="n"/>
      <c r="W16" s="155" t="inlineStr">
        <is>
          <t>CITIC Securities; CICC; Morgan Stanley</t>
        </is>
      </c>
      <c r="X16" s="147" t="n"/>
      <c r="Y16" s="156" t="n"/>
      <c r="Z16" s="157" t="inlineStr">
        <is>
          <t>Cornerstone/valuation target HK$40-50bn (~USD 5.1-6.4bn); plans to sell 15-25% of shares, potentially raising &gt;USD 1bn. Last private rounds valued it above RMB 20bn (~USD 3bn) per Caixin.</t>
        </is>
      </c>
    </row>
    <row r="17">
      <c r="A17" s="147" t="n"/>
      <c r="B17" s="147" t="inlineStr">
        <is>
          <t>Xiaohongshu (RedNote)</t>
        </is>
      </c>
      <c r="C17" s="147" t="inlineStr">
        <is>
          <t>小红书</t>
        </is>
      </c>
      <c r="D17" s="147" t="inlineStr">
        <is>
          <t>A1 filed</t>
        </is>
      </c>
      <c r="E17" s="95" t="inlineStr">
        <is>
          <t>2026 H2, as early as year-end 2026</t>
        </is>
      </c>
      <c r="F17" s="147" t="inlineStr">
        <is>
          <t>Tech/AI</t>
        </is>
      </c>
      <c r="G17" s="96" t="inlineStr">
        <is>
          <t>Internet platform / e-commerce</t>
        </is>
      </c>
      <c r="H17" s="97" t="n"/>
      <c r="I17" s="148" t="n"/>
      <c r="J17" s="147" t="n"/>
      <c r="K17" s="149" t="n"/>
      <c r="L17" s="149" t="n"/>
      <c r="M17" s="150" t="n"/>
      <c r="N17" s="151" t="n"/>
      <c r="O17" s="147" t="n"/>
      <c r="P17" s="152" t="n"/>
      <c r="Q17" s="147" t="inlineStr">
        <is>
          <t>N</t>
        </is>
      </c>
      <c r="R17" s="147" t="n"/>
      <c r="S17" s="153" t="n"/>
      <c r="T17" s="150" t="n"/>
      <c r="U17" s="154" t="n"/>
      <c r="V17" s="154" t="n"/>
      <c r="W17" s="155" t="inlineStr">
        <is>
          <t>Goldman Sachs; CICC</t>
        </is>
      </c>
      <c r="X17" s="147" t="n"/>
      <c r="Y17" s="156" t="n"/>
      <c r="Z17" s="157" t="inlineStr">
        <is>
          <t>Targeting &gt;USD 70bn valuation (WSJ via The Standard, 2026-06); above the ~USD 50bn seen in recent private secondary trades; would be one of HK's largest tech IPOs. Company publicly denied some IPO rumours amid compliance dispute (The Standard, 2026-07).</t>
        </is>
      </c>
    </row>
    <row r="18">
      <c r="A18" s="136" t="n"/>
      <c r="B18" s="136" t="inlineStr">
        <is>
          <t>Moonshot AI</t>
        </is>
      </c>
      <c r="C18" s="136" t="inlineStr">
        <is>
          <t>月之暗面</t>
        </is>
      </c>
      <c r="D18" s="136" t="inlineStr">
        <is>
          <t>Reported</t>
        </is>
      </c>
      <c r="E18" s="110" t="inlineStr">
        <is>
          <t>filing 2026 H2; listing as early as end-2026</t>
        </is>
      </c>
      <c r="F18" s="136" t="inlineStr">
        <is>
          <t>Tech/AI</t>
        </is>
      </c>
      <c r="G18" s="111" t="inlineStr">
        <is>
          <t>LLM / foundation model</t>
        </is>
      </c>
      <c r="H18" s="112" t="n"/>
      <c r="I18" s="137" t="n"/>
      <c r="J18" s="136" t="n"/>
      <c r="K18" s="138" t="n"/>
      <c r="L18" s="138" t="n"/>
      <c r="M18" s="139" t="n"/>
      <c r="N18" s="140" t="n"/>
      <c r="O18" s="136" t="n"/>
      <c r="P18" s="141" t="n"/>
      <c r="Q18" s="136" t="inlineStr">
        <is>
          <t>N</t>
        </is>
      </c>
      <c r="R18" s="136" t="n"/>
      <c r="S18" s="142" t="n"/>
      <c r="T18" s="139" t="n"/>
      <c r="U18" s="143" t="n"/>
      <c r="V18" s="143" t="n"/>
      <c r="W18" s="144" t="n"/>
      <c r="X18" s="136" t="n"/>
      <c r="Y18" s="145" t="n"/>
      <c r="Z18" s="146" t="inlineStr">
        <is>
          <t>Closed USD 3.5bn round at USD 35bn valuation (Bloomberg, 2026-07-29), up from ~USD 4bn end-2025; in talks for a final pre-IPO round at USD 50bn pre-money (Bloomberg, 2026-07-21).</t>
        </is>
      </c>
    </row>
    <row r="19">
      <c r="A19" s="158" t="inlineStr">
        <is>
          <t>2523</t>
        </is>
      </c>
      <c r="B19" s="158" t="inlineStr">
        <is>
          <t>EKH LIMITED</t>
        </is>
      </c>
      <c r="C19" s="158" t="n"/>
      <c r="D19" s="158" t="inlineStr">
        <is>
          <t>Withdrawn</t>
        </is>
      </c>
      <c r="E19" s="110" t="n"/>
      <c r="F19" s="158" t="inlineStr">
        <is>
          <t>Industrials</t>
        </is>
      </c>
      <c r="G19" s="111" t="inlineStr">
        <is>
          <t>Logistics</t>
        </is>
      </c>
      <c r="H19" s="112" t="n">
        <v>126</v>
      </c>
      <c r="I19" s="159" t="inlineStr">
        <is>
          <t>prospectus, net at max price</t>
        </is>
      </c>
      <c r="J19" s="158" t="n"/>
      <c r="K19" s="160" t="n">
        <v>2.2</v>
      </c>
      <c r="L19" s="160" t="n">
        <v>2.68</v>
      </c>
      <c r="M19" s="161" t="n">
        <v>73.3</v>
      </c>
      <c r="N19" s="162" t="n"/>
      <c r="O19" s="158" t="n"/>
      <c r="P19" s="163" t="inlineStr">
        <is>
          <t>Y</t>
        </is>
      </c>
      <c r="Q19" s="158" t="n"/>
      <c r="R19" s="158" t="n"/>
      <c r="S19" s="164" t="n"/>
      <c r="T19" s="161" t="n"/>
      <c r="U19" s="165" t="n"/>
      <c r="V19" s="165" t="n"/>
      <c r="W19" s="166" t="n"/>
      <c r="X19" s="158" t="n"/>
      <c r="Y19" s="167"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9" s="168" t="n"/>
    </row>
    <row r="20"/>
    <row r="21"/>
    <row r="22"/>
    <row r="23">
      <c r="A23" s="169" t="inlineStr">
        <is>
          <t>HKEX APPLICATION QUEUE</t>
        </is>
      </c>
    </row>
    <row r="24">
      <c r="A24" s="2" t="inlineStr">
        <is>
          <t>PHIP posted = hearing cleared, usually days to weeks from launch; those rows are also in the table above. Refreshed on every run.</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170" t="inlineStr">
        <is>
          <t>Direct Drive Tech Limited</t>
        </is>
      </c>
      <c r="B26" s="17" t="inlineStr">
        <is>
          <t>PHIP posted (hearing cleared)</t>
        </is>
      </c>
      <c r="C26" s="17" t="inlineStr">
        <is>
          <t>2026-09-17</t>
        </is>
      </c>
      <c r="D26" s="17" t="inlineStr">
        <is>
          <t>2026-09-17</t>
        </is>
      </c>
      <c r="E26" s="171" t="n">
        <v>4</v>
      </c>
      <c r="F26" s="87">
        <f>HYPERLINK("https://www1.hkexnews.hk/app/sehk/2026/108800/documents/sehk26091700202.pdf","open filing")</f>
        <v/>
      </c>
    </row>
    <row r="27">
      <c r="A27" s="170" t="inlineStr">
        <is>
          <t>Red Avenue New Materials Group Co., Ltd.</t>
        </is>
      </c>
      <c r="B27" s="17" t="inlineStr">
        <is>
          <t>PHIP posted (hearing cleared)</t>
        </is>
      </c>
      <c r="C27" s="17" t="inlineStr">
        <is>
          <t>2026-09-16</t>
        </is>
      </c>
      <c r="D27" s="17" t="inlineStr">
        <is>
          <t>2026-09-16</t>
        </is>
      </c>
      <c r="E27" s="171" t="n">
        <v>5</v>
      </c>
      <c r="F27" s="87">
        <f>HYPERLINK("https://www1.hkexnews.hk/app/sehk/2026/108810/documents/sehk26091601576.pdf","open filing")</f>
        <v/>
      </c>
    </row>
    <row r="28">
      <c r="A28" s="170" t="inlineStr">
        <is>
          <t>Hunan Junxin Environmental Protection Co., Ltd.</t>
        </is>
      </c>
      <c r="B28" s="17" t="inlineStr">
        <is>
          <t>PHIP posted (hearing cleared)</t>
        </is>
      </c>
      <c r="C28" s="17" t="inlineStr">
        <is>
          <t>2026-09-13</t>
        </is>
      </c>
      <c r="D28" s="17" t="inlineStr">
        <is>
          <t>2026-09-13</t>
        </is>
      </c>
      <c r="E28" s="171" t="n">
        <v>8</v>
      </c>
      <c r="F28" s="87">
        <f>HYPERLINK("https://www1.hkexnews.hk/app/sehk/2026/108794/documents/sehk26091300040.pdf","open filing")</f>
        <v/>
      </c>
    </row>
    <row r="29">
      <c r="A29" s="170" t="inlineStr">
        <is>
          <t>Shenzhen Camsense Technologies Co., Ltd.</t>
        </is>
      </c>
      <c r="B29" s="17" t="inlineStr">
        <is>
          <t>PHIP posted (hearing cleared)</t>
        </is>
      </c>
      <c r="C29" s="17" t="inlineStr">
        <is>
          <t>2026-09-13</t>
        </is>
      </c>
      <c r="D29" s="17" t="inlineStr">
        <is>
          <t>2026-09-13</t>
        </is>
      </c>
      <c r="E29" s="171" t="n">
        <v>8</v>
      </c>
      <c r="F29" s="87">
        <f>HYPERLINK("https://www1.hkexnews.hk/app/sehk/2026/108431/documents/sehk26091300196.pdf","open filing")</f>
        <v/>
      </c>
    </row>
    <row r="30">
      <c r="A30" s="170" t="inlineStr">
        <is>
          <t>RoboTechnik Intelligent Technology Co., Ltd.</t>
        </is>
      </c>
      <c r="B30" s="17" t="inlineStr">
        <is>
          <t>PHIP posted (hearing cleared)</t>
        </is>
      </c>
      <c r="C30" s="17" t="inlineStr">
        <is>
          <t>2026-09-13</t>
        </is>
      </c>
      <c r="D30" s="17" t="inlineStr">
        <is>
          <t>2026-09-13</t>
        </is>
      </c>
      <c r="E30" s="171" t="n">
        <v>8</v>
      </c>
      <c r="F30" s="87">
        <f>HYPERLINK("https://www1.hkexnews.hk/app/sehk/2026/108535/documents/sehk26091300272.pdf","open filing")</f>
        <v/>
      </c>
    </row>
    <row r="31">
      <c r="A31" s="170" t="inlineStr">
        <is>
          <t>Shenzhen Kinwong Electronic Co., Ltd.</t>
        </is>
      </c>
      <c r="B31" s="17" t="inlineStr">
        <is>
          <t>PHIP posted (hearing cleared)</t>
        </is>
      </c>
      <c r="C31" s="17" t="inlineStr">
        <is>
          <t>2026-09-07</t>
        </is>
      </c>
      <c r="D31" s="17" t="inlineStr">
        <is>
          <t>2026-09-07</t>
        </is>
      </c>
      <c r="E31" s="171" t="n">
        <v>14</v>
      </c>
      <c r="F31" s="87">
        <f>HYPERLINK("https://www1.hkexnews.hk/app/sehk/2026/108714/documents/sehk26090701434.pdf","open filing")</f>
        <v/>
      </c>
    </row>
    <row r="32">
      <c r="A32" s="170" t="inlineStr">
        <is>
          <t>Zhejiang Taotao Vehicles Co., Ltd.</t>
        </is>
      </c>
      <c r="B32" s="17" t="inlineStr">
        <is>
          <t>PHIP posted (hearing cleared)</t>
        </is>
      </c>
      <c r="C32" s="17" t="inlineStr">
        <is>
          <t>2026-09-07</t>
        </is>
      </c>
      <c r="D32" s="17" t="inlineStr">
        <is>
          <t>2026-09-07</t>
        </is>
      </c>
      <c r="E32" s="171" t="n">
        <v>14</v>
      </c>
      <c r="F32" s="87">
        <f>HYPERLINK("https://www1.hkexnews.hk/app/sehk/2026/108575/documents/sehk26090701490.pdf","open filing")</f>
        <v/>
      </c>
    </row>
    <row r="33">
      <c r="A33" s="170" t="inlineStr">
        <is>
          <t>Shenzhen Forms Syntron Information Co., Ltd.</t>
        </is>
      </c>
      <c r="B33" s="17" t="inlineStr">
        <is>
          <t>PHIP posted (hearing cleared)</t>
        </is>
      </c>
      <c r="C33" s="17" t="inlineStr">
        <is>
          <t>2026-09-06</t>
        </is>
      </c>
      <c r="D33" s="17" t="inlineStr">
        <is>
          <t>2026-09-06</t>
        </is>
      </c>
      <c r="E33" s="171" t="n">
        <v>15</v>
      </c>
      <c r="F33" s="87">
        <f>HYPERLINK("https://www1.hkexnews.hk/app/sehk/2026/108727/documents/sehk26090600084.pdf","open filing")</f>
        <v/>
      </c>
    </row>
    <row r="34">
      <c r="A34" s="170" t="inlineStr">
        <is>
          <t>Ligent Technologies, Inc.</t>
        </is>
      </c>
      <c r="B34" s="17" t="inlineStr">
        <is>
          <t>PHIP posted (hearing cleared)</t>
        </is>
      </c>
      <c r="C34" s="17" t="inlineStr">
        <is>
          <t>2026-08-30</t>
        </is>
      </c>
      <c r="D34" s="17" t="inlineStr">
        <is>
          <t>2026-08-30</t>
        </is>
      </c>
      <c r="E34" s="171" t="n">
        <v>22</v>
      </c>
      <c r="F34" s="87">
        <f>HYPERLINK("https://www1.hkexnews.hk/app/sehk/2026/108264/documents/sehk26083000040.pdf","open filing")</f>
        <v/>
      </c>
    </row>
    <row r="35">
      <c r="A35" s="170" t="inlineStr">
        <is>
          <t>Glorysoft (Shanghai) Co., Ltd.</t>
        </is>
      </c>
      <c r="B35" s="172" t="inlineStr">
        <is>
          <t>PHIP posted (hearing cleared)  [sponsor terminated]</t>
        </is>
      </c>
      <c r="C35" s="17" t="inlineStr">
        <is>
          <t>2026-08-07</t>
        </is>
      </c>
      <c r="D35" s="17" t="inlineStr">
        <is>
          <t>2026-08-07</t>
        </is>
      </c>
      <c r="E35" s="171" t="n">
        <v>45</v>
      </c>
      <c r="F35" s="87">
        <f>HYPERLINK("https://www1.hkexnews.hk/app/sehk/2026/108262/documents/sehk26062301714.pdf","open filing")</f>
        <v/>
      </c>
    </row>
    <row r="36">
      <c r="A36" s="170" t="inlineStr">
        <is>
          <t>Direct Drive Tech Limited</t>
        </is>
      </c>
      <c r="B36" s="17" t="inlineStr">
        <is>
          <t>PHIP posted (hearing cleared)</t>
        </is>
      </c>
      <c r="C36" s="17" t="inlineStr">
        <is>
          <t>2026-06-29</t>
        </is>
      </c>
      <c r="D36" s="17" t="inlineStr">
        <is>
          <t>2026-06-29</t>
        </is>
      </c>
      <c r="E36" s="171" t="n">
        <v>84</v>
      </c>
      <c r="F36" s="87">
        <f>HYPERLINK("https://www1.hkexnews.hk/app/sehk/2026/108691/documents/sehk26062901536.pdf","open filing")</f>
        <v/>
      </c>
    </row>
    <row r="37">
      <c r="A37" s="170" t="inlineStr">
        <is>
          <t>EKH Limited</t>
        </is>
      </c>
      <c r="B37" s="17" t="inlineStr">
        <is>
          <t>PHIP posted (hearing cleared)</t>
        </is>
      </c>
      <c r="C37" s="17" t="inlineStr">
        <is>
          <t>2026-06-26</t>
        </is>
      </c>
      <c r="D37" s="17" t="inlineStr">
        <is>
          <t>2026-06-26</t>
        </is>
      </c>
      <c r="E37" s="171" t="n">
        <v>87</v>
      </c>
      <c r="F37" s="87">
        <f>HYPERLINK("https://www1.hkexnews.hk/app/sehk/2026/108390/documents/sehk26062603258.pdf","open filing")</f>
        <v/>
      </c>
    </row>
    <row r="38">
      <c r="A38" s="170" t="inlineStr">
        <is>
          <t>Tanboer Group Co., Ltd.</t>
        </is>
      </c>
      <c r="B38" s="17" t="inlineStr">
        <is>
          <t>PHIP posted (hearing cleared)</t>
        </is>
      </c>
      <c r="C38" s="17" t="inlineStr">
        <is>
          <t>2026-06-21</t>
        </is>
      </c>
      <c r="D38" s="17" t="inlineStr">
        <is>
          <t>2026-06-21</t>
        </is>
      </c>
      <c r="E38" s="171" t="n">
        <v>92</v>
      </c>
      <c r="F38" s="87">
        <f>HYPERLINK("https://www1.hkexnews.hk/app/sehk/2026/108483/documents/sehk26062100126.pdf","open filing")</f>
        <v/>
      </c>
    </row>
    <row r="39">
      <c r="A39" s="17" t="inlineStr">
        <is>
          <t>Dynamic Electronics Co., Ltd.</t>
        </is>
      </c>
      <c r="B39" s="17" t="inlineStr">
        <is>
          <t>Application Proof only</t>
        </is>
      </c>
      <c r="C39" s="17" t="inlineStr">
        <is>
          <t>2026-09-21</t>
        </is>
      </c>
      <c r="D39" s="17" t="inlineStr">
        <is>
          <t>2026-09-21</t>
        </is>
      </c>
      <c r="E39" s="171" t="n">
        <v>0</v>
      </c>
      <c r="F39" s="87">
        <f>HYPERLINK("https://www1.hkexnews.hk/app/sehk/2026/108887/documents/sehk26092101146.pdf","open filing")</f>
        <v/>
      </c>
    </row>
    <row r="40">
      <c r="A40" s="17" t="inlineStr">
        <is>
          <t>Zhejiang Jingxin Pharmaceutical Co., Ltd.</t>
        </is>
      </c>
      <c r="B40" s="17" t="inlineStr">
        <is>
          <t>Application Proof only</t>
        </is>
      </c>
      <c r="C40" s="17" t="inlineStr">
        <is>
          <t>2026-09-18</t>
        </is>
      </c>
      <c r="D40" s="17" t="inlineStr">
        <is>
          <t>2026-09-18</t>
        </is>
      </c>
      <c r="E40" s="171" t="n">
        <v>3</v>
      </c>
      <c r="F40" s="87">
        <f>HYPERLINK("https://www1.hkexnews.hk/app/sehk/2026/108886/documents/sehk26091801843.pdf","open filing")</f>
        <v/>
      </c>
    </row>
    <row r="41">
      <c r="A41" s="17" t="inlineStr">
        <is>
          <t>Hai Robotics Innovation Group Co., Ltd. - W</t>
        </is>
      </c>
      <c r="B41" s="17" t="inlineStr">
        <is>
          <t>Application Proof only</t>
        </is>
      </c>
      <c r="C41" s="17" t="inlineStr">
        <is>
          <t>2026-09-13</t>
        </is>
      </c>
      <c r="D41" s="17" t="inlineStr">
        <is>
          <t>2026-09-13</t>
        </is>
      </c>
      <c r="E41" s="171" t="n">
        <v>8</v>
      </c>
      <c r="F41" s="87">
        <f>HYPERLINK("https://www1.hkexnews.hk/app/sehk/2026/108870/documents/sehk26091300124.pdf","open filing")</f>
        <v/>
      </c>
    </row>
    <row r="42">
      <c r="A42" s="17" t="inlineStr">
        <is>
          <t>ZHE JIANG HAI LIANG CO., LTD.</t>
        </is>
      </c>
      <c r="B42" s="17" t="inlineStr">
        <is>
          <t>Application Proof only</t>
        </is>
      </c>
      <c r="C42" s="17" t="inlineStr">
        <is>
          <t>2026-09-11</t>
        </is>
      </c>
      <c r="D42" s="17" t="inlineStr">
        <is>
          <t>2026-09-11</t>
        </is>
      </c>
      <c r="E42" s="171" t="n">
        <v>10</v>
      </c>
      <c r="F42" s="87">
        <f>HYPERLINK("https://www1.hkexnews.hk/app/sehk/2026/108850/documents/sehk26083000490.pdf","open filing")</f>
        <v/>
      </c>
    </row>
    <row r="43">
      <c r="A43" s="17" t="inlineStr">
        <is>
          <t>ASR Microelectronics Co., Ltd.</t>
        </is>
      </c>
      <c r="B43" s="17" t="inlineStr">
        <is>
          <t>Application Proof only</t>
        </is>
      </c>
      <c r="C43" s="17" t="inlineStr">
        <is>
          <t>2026-09-11</t>
        </is>
      </c>
      <c r="D43" s="17" t="inlineStr">
        <is>
          <t>2026-09-11</t>
        </is>
      </c>
      <c r="E43" s="171" t="n">
        <v>10</v>
      </c>
      <c r="F43" s="87">
        <f>HYPERLINK("https://www1.hkexnews.hk/app/sehk/2026/108868/documents/sehk26091101556.pdf","open filing")</f>
        <v/>
      </c>
    </row>
    <row r="44">
      <c r="A44" s="17" t="inlineStr">
        <is>
          <t>Shanghai Vision Star Media Co.,Ltd.</t>
        </is>
      </c>
      <c r="B44" s="17" t="inlineStr">
        <is>
          <t>Application Proof only</t>
        </is>
      </c>
      <c r="C44" s="17" t="inlineStr">
        <is>
          <t>2026-09-10</t>
        </is>
      </c>
      <c r="D44" s="17" t="inlineStr">
        <is>
          <t>2026-09-10</t>
        </is>
      </c>
      <c r="E44" s="171" t="n">
        <v>11</v>
      </c>
      <c r="F44" s="87">
        <f>HYPERLINK("https://www1.hkexnews.hk/app/sehk/2026/108822/documents/sehk26082701844.pdf","open filing")</f>
        <v/>
      </c>
    </row>
    <row r="45">
      <c r="A45" s="17" t="inlineStr">
        <is>
          <t>Hangzhou Tangji Medical Technology Co., Ltd. - B</t>
        </is>
      </c>
      <c r="B45" s="17" t="inlineStr">
        <is>
          <t>Application Proof only</t>
        </is>
      </c>
      <c r="C45" s="17" t="inlineStr">
        <is>
          <t>2026-09-10</t>
        </is>
      </c>
      <c r="D45" s="17" t="inlineStr">
        <is>
          <t>2026-09-10</t>
        </is>
      </c>
      <c r="E45" s="171" t="n">
        <v>11</v>
      </c>
      <c r="F45" s="87">
        <f>HYPERLINK("https://www1.hkexnews.hk/app/sehk/2026/108827/documents/sehk26082803557.pdf","open filing")</f>
        <v/>
      </c>
    </row>
    <row r="46">
      <c r="A46" s="17" t="inlineStr">
        <is>
          <t>Guangdong Mic-Power New Energy Co., Ltd.</t>
        </is>
      </c>
      <c r="B46" s="17" t="inlineStr">
        <is>
          <t>Application Proof only</t>
        </is>
      </c>
      <c r="C46" s="17" t="inlineStr">
        <is>
          <t>2026-09-10</t>
        </is>
      </c>
      <c r="D46" s="17" t="inlineStr">
        <is>
          <t>2026-09-10</t>
        </is>
      </c>
      <c r="E46" s="171" t="n">
        <v>11</v>
      </c>
      <c r="F46" s="87">
        <f>HYPERLINK("https://www1.hkexnews.hk/app/sehk/2026/108867/documents/sehk26091001726.pdf","open filing")</f>
        <v/>
      </c>
    </row>
    <row r="47">
      <c r="A47" s="17" t="inlineStr">
        <is>
          <t>Zhuhai Kingsware Artificial Intelligence Co., Ltd.</t>
        </is>
      </c>
      <c r="B47" s="17" t="inlineStr">
        <is>
          <t>Application Proof only</t>
        </is>
      </c>
      <c r="C47" s="17" t="inlineStr">
        <is>
          <t>2026-09-04</t>
        </is>
      </c>
      <c r="D47" s="17" t="inlineStr">
        <is>
          <t>2026-09-04</t>
        </is>
      </c>
      <c r="E47" s="171" t="n">
        <v>17</v>
      </c>
      <c r="F47" s="87">
        <f>HYPERLINK("https://www1.hkexnews.hk/app/sehk/2026/108812/documents/sehk26082102364.pdf","open filing")</f>
        <v/>
      </c>
    </row>
    <row r="48">
      <c r="A48" s="17" t="inlineStr">
        <is>
          <t>VATAI HOLDINGS LIMITED</t>
        </is>
      </c>
      <c r="B48" s="17" t="inlineStr">
        <is>
          <t>Application Proof only</t>
        </is>
      </c>
      <c r="C48" s="17" t="inlineStr">
        <is>
          <t>2026-09-03</t>
        </is>
      </c>
      <c r="D48" s="17" t="inlineStr">
        <is>
          <t>2026-09-03</t>
        </is>
      </c>
      <c r="E48" s="171" t="n">
        <v>18</v>
      </c>
      <c r="F48" s="87">
        <f>HYPERLINK("https://www1.hkexnews.hk/app/sehk/2026/108857/documents/sehk26090300176.pdf","open filing")</f>
        <v/>
      </c>
    </row>
    <row r="49">
      <c r="A49" s="17" t="inlineStr">
        <is>
          <t>Shenzhen Salubris Pharmaceuticals Co., Ltd.</t>
        </is>
      </c>
      <c r="B49" s="17" t="inlineStr">
        <is>
          <t>Application Proof only</t>
        </is>
      </c>
      <c r="C49" s="17" t="inlineStr">
        <is>
          <t>2026-09-03</t>
        </is>
      </c>
      <c r="D49" s="17" t="inlineStr">
        <is>
          <t>2026-09-03</t>
        </is>
      </c>
      <c r="E49" s="171" t="n">
        <v>18</v>
      </c>
      <c r="F49" s="87">
        <f>HYPERLINK("https://www1.hkexnews.hk/app/sehk/2026/108858/documents/sehk26090301640.pdf","open filing")</f>
        <v/>
      </c>
    </row>
    <row r="50">
      <c r="A50" s="17" t="inlineStr">
        <is>
          <t>Hunan Yuneng New Energy Battery Material Co., Ltd.</t>
        </is>
      </c>
      <c r="B50" s="17" t="inlineStr">
        <is>
          <t>Application Proof only</t>
        </is>
      </c>
      <c r="C50" s="17" t="inlineStr">
        <is>
          <t>2026-09-01</t>
        </is>
      </c>
      <c r="D50" s="17" t="inlineStr">
        <is>
          <t>2026-09-01</t>
        </is>
      </c>
      <c r="E50" s="171" t="n">
        <v>20</v>
      </c>
      <c r="F50" s="87">
        <f>HYPERLINK("https://www1.hkexnews.hk/app/sehk/2026/108797/documents/sehk26081700010.pdf","open filing")</f>
        <v/>
      </c>
    </row>
    <row r="51">
      <c r="A51" s="17" t="inlineStr">
        <is>
          <t>Guangxi Yuchai Marine and Genset Power Co., Ltd.</t>
        </is>
      </c>
      <c r="B51" s="17" t="inlineStr">
        <is>
          <t>Application Proof only</t>
        </is>
      </c>
      <c r="C51" s="17" t="inlineStr">
        <is>
          <t>2026-08-31</t>
        </is>
      </c>
      <c r="D51" s="17" t="inlineStr">
        <is>
          <t>2026-08-31</t>
        </is>
      </c>
      <c r="E51" s="171" t="n">
        <v>21</v>
      </c>
      <c r="F51" s="87">
        <f>HYPERLINK("https://www1.hkexnews.hk/app/sehk/2026/108851/documents/sehk26083101780.pdf","open filing")</f>
        <v/>
      </c>
    </row>
    <row r="52">
      <c r="A52" s="17" t="inlineStr">
        <is>
          <t>Zhejiang IPLUSMOBOT Technology Co., Ltd.</t>
        </is>
      </c>
      <c r="B52" s="17" t="inlineStr">
        <is>
          <t>Application Proof only</t>
        </is>
      </c>
      <c r="C52" s="17" t="inlineStr">
        <is>
          <t>2026-08-31</t>
        </is>
      </c>
      <c r="D52" s="17" t="inlineStr">
        <is>
          <t>2026-08-31</t>
        </is>
      </c>
      <c r="E52" s="171" t="n">
        <v>21</v>
      </c>
      <c r="F52" s="87">
        <f>HYPERLINK("https://www1.hkexnews.hk/app/sehk/2026/108853/documents/sehk26083102166.pdf","open filing")</f>
        <v/>
      </c>
    </row>
    <row r="53">
      <c r="A53" s="17" t="inlineStr">
        <is>
          <t>ANEW Health Limited</t>
        </is>
      </c>
      <c r="B53" s="17" t="inlineStr">
        <is>
          <t>Application Proof only</t>
        </is>
      </c>
      <c r="C53" s="17" t="inlineStr">
        <is>
          <t>2026-08-31</t>
        </is>
      </c>
      <c r="D53" s="17" t="inlineStr">
        <is>
          <t>2026-08-31</t>
        </is>
      </c>
      <c r="E53" s="171" t="n">
        <v>21</v>
      </c>
      <c r="F53" s="87">
        <f>HYPERLINK("https://www1.hkexnews.hk/app/sehk/2026/108852/documents/sehk26083102544.pdf","open filing")</f>
        <v/>
      </c>
    </row>
    <row r="54">
      <c r="A54" s="17" t="inlineStr">
        <is>
          <t>Ningbo Sunny Smart Autotech Company Limited</t>
        </is>
      </c>
      <c r="B54" s="17" t="inlineStr">
        <is>
          <t>Application Proof only</t>
        </is>
      </c>
      <c r="C54" s="17" t="inlineStr">
        <is>
          <t>2026-08-31</t>
        </is>
      </c>
      <c r="D54" s="17" t="inlineStr">
        <is>
          <t>2026-08-31</t>
        </is>
      </c>
      <c r="E54" s="171" t="n">
        <v>21</v>
      </c>
      <c r="F54" s="87">
        <f>HYPERLINK("https://www1.hkexnews.hk/app/sehk/2026/108854/documents/sehk26083102636.pdf","open filing")</f>
        <v/>
      </c>
    </row>
    <row r="55">
      <c r="A55" s="17" t="inlineStr">
        <is>
          <t>Jiangxi Tongbo Technology Co., Ltd.</t>
        </is>
      </c>
      <c r="B55" s="17" t="inlineStr">
        <is>
          <t>Application Proof only</t>
        </is>
      </c>
      <c r="C55" s="17" t="inlineStr">
        <is>
          <t>2026-08-31</t>
        </is>
      </c>
      <c r="D55" s="17" t="inlineStr">
        <is>
          <t>2026-08-31</t>
        </is>
      </c>
      <c r="E55" s="171" t="n">
        <v>21</v>
      </c>
      <c r="F55" s="87">
        <f>HYPERLINK("https://www1.hkexnews.hk/app/sehk/2026/108855/documents/sehk26083102794.pdf","open filing")</f>
        <v/>
      </c>
    </row>
    <row r="56">
      <c r="A56" s="17" t="inlineStr">
        <is>
          <t>ProteLight Pharmaceuticals (Jiangsu) Co., Ltd. - B</t>
        </is>
      </c>
      <c r="B56" s="17" t="inlineStr">
        <is>
          <t>Application Proof only</t>
        </is>
      </c>
      <c r="C56" s="17" t="inlineStr">
        <is>
          <t>2026-08-31</t>
        </is>
      </c>
      <c r="D56" s="17" t="inlineStr">
        <is>
          <t>2026-08-31</t>
        </is>
      </c>
      <c r="E56" s="171" t="n">
        <v>21</v>
      </c>
      <c r="F56" s="87">
        <f>HYPERLINK("https://www1.hkexnews.hk/app/sehk/2026/108856/documents/sehk26083102866.pdf","open filing")</f>
        <v/>
      </c>
    </row>
    <row r="57">
      <c r="A57" s="17" t="inlineStr">
        <is>
          <t>Hangzhou Bangshun Pharmaceutical Co., Ltd. - B</t>
        </is>
      </c>
      <c r="B57" s="17" t="inlineStr">
        <is>
          <t>Application Proof only</t>
        </is>
      </c>
      <c r="C57" s="17" t="inlineStr">
        <is>
          <t>2026-08-30</t>
        </is>
      </c>
      <c r="D57" s="17" t="inlineStr">
        <is>
          <t>2026-08-30</t>
        </is>
      </c>
      <c r="E57" s="171" t="n">
        <v>22</v>
      </c>
      <c r="F57" s="87">
        <f>HYPERLINK("https://www1.hkexnews.hk/app/sehk/2026/108847/documents/sehk26083000266.pdf","open filing")</f>
        <v/>
      </c>
    </row>
    <row r="58">
      <c r="A58" s="17" t="inlineStr">
        <is>
          <t>Beijing XSKY Technology Co., Ltd.</t>
        </is>
      </c>
      <c r="B58" s="17" t="inlineStr">
        <is>
          <t>Application Proof only</t>
        </is>
      </c>
      <c r="C58" s="17" t="inlineStr">
        <is>
          <t>2026-08-30</t>
        </is>
      </c>
      <c r="D58" s="17" t="inlineStr">
        <is>
          <t>2026-08-30</t>
        </is>
      </c>
      <c r="E58" s="171" t="n">
        <v>22</v>
      </c>
      <c r="F58" s="87">
        <f>HYPERLINK("https://www1.hkexnews.hk/app/sehk/2026/108849/documents/sehk26083000408.pdf","open filing")</f>
        <v/>
      </c>
    </row>
    <row r="59">
      <c r="A59" s="17" t="inlineStr">
        <is>
          <t>SSI New Material (Zhenjiang) Co., Ltd.</t>
        </is>
      </c>
      <c r="B59" s="17" t="inlineStr">
        <is>
          <t>Application Proof only</t>
        </is>
      </c>
      <c r="C59" s="17" t="inlineStr">
        <is>
          <t>2026-08-28</t>
        </is>
      </c>
      <c r="D59" s="17" t="inlineStr">
        <is>
          <t>2026-08-28</t>
        </is>
      </c>
      <c r="E59" s="171" t="n">
        <v>24</v>
      </c>
      <c r="F59" s="87">
        <f>HYPERLINK("https://www1.hkexnews.hk/app/sehk/2026/108805/documents/sehk26082101576.pdf","open filing")</f>
        <v/>
      </c>
    </row>
    <row r="60">
      <c r="A60" s="17" t="inlineStr">
        <is>
          <t>SHENZHEN CAPCHEM TECHNOLOGY CO., LTD.</t>
        </is>
      </c>
      <c r="B60" s="17" t="inlineStr">
        <is>
          <t>Application Proof only</t>
        </is>
      </c>
      <c r="C60" s="17" t="inlineStr">
        <is>
          <t>2026-08-28</t>
        </is>
      </c>
      <c r="D60" s="17" t="inlineStr">
        <is>
          <t>2026-08-28</t>
        </is>
      </c>
      <c r="E60" s="171" t="n">
        <v>24</v>
      </c>
      <c r="F60" s="87">
        <f>HYPERLINK("https://www1.hkexnews.hk/app/sehk/2026/108824/documents/sehk26082802199.pdf","open filing")</f>
        <v/>
      </c>
    </row>
    <row r="61">
      <c r="A61" s="17" t="inlineStr">
        <is>
          <t>VivaVision Biotech (Zhejiang) Co., Ltd. - B</t>
        </is>
      </c>
      <c r="B61" s="17" t="inlineStr">
        <is>
          <t>Application Proof only</t>
        </is>
      </c>
      <c r="C61" s="17" t="inlineStr">
        <is>
          <t>2026-08-28</t>
        </is>
      </c>
      <c r="D61" s="17" t="inlineStr">
        <is>
          <t>2026-08-28</t>
        </is>
      </c>
      <c r="E61" s="171" t="n">
        <v>24</v>
      </c>
      <c r="F61" s="87">
        <f>HYPERLINK("https://www1.hkexnews.hk/app/sehk/2026/108825/documents/sehk26082802477.pdf","open filing")</f>
        <v/>
      </c>
    </row>
    <row r="62">
      <c r="A62" s="17" t="inlineStr">
        <is>
          <t>Zhejiang Chint Electrics Co., Ltd.</t>
        </is>
      </c>
      <c r="B62" s="17" t="inlineStr">
        <is>
          <t>Application Proof only</t>
        </is>
      </c>
      <c r="C62" s="17" t="inlineStr">
        <is>
          <t>2026-08-28</t>
        </is>
      </c>
      <c r="D62" s="17" t="inlineStr">
        <is>
          <t>2026-08-28</t>
        </is>
      </c>
      <c r="E62" s="171" t="n">
        <v>24</v>
      </c>
      <c r="F62" s="87">
        <f>HYPERLINK("https://www1.hkexnews.hk/app/sehk/2026/108826/documents/sehk26082803207.pdf","open filing")</f>
        <v/>
      </c>
    </row>
    <row r="63">
      <c r="A63" s="17" t="inlineStr">
        <is>
          <t>Frontera Therapeutics - B</t>
        </is>
      </c>
      <c r="B63" s="17" t="inlineStr">
        <is>
          <t>Application Proof only</t>
        </is>
      </c>
      <c r="C63" s="17" t="inlineStr">
        <is>
          <t>2026-08-28</t>
        </is>
      </c>
      <c r="D63" s="17" t="inlineStr">
        <is>
          <t>2026-08-28</t>
        </is>
      </c>
      <c r="E63" s="171" t="n">
        <v>24</v>
      </c>
      <c r="F63" s="87">
        <f>HYPERLINK("https://www1.hkexnews.hk/app/sehk/2026/108828/documents/sehk26082803705.pdf","open filing")</f>
        <v/>
      </c>
    </row>
    <row r="64">
      <c r="A64" s="17" t="inlineStr">
        <is>
          <t>Betta Pharmaceuticals Co., Ltd.</t>
        </is>
      </c>
      <c r="B64" s="17" t="inlineStr">
        <is>
          <t>Application Proof only</t>
        </is>
      </c>
      <c r="C64" s="17" t="inlineStr">
        <is>
          <t>2026-08-28</t>
        </is>
      </c>
      <c r="D64" s="17" t="inlineStr">
        <is>
          <t>2026-08-28</t>
        </is>
      </c>
      <c r="E64" s="171" t="n">
        <v>24</v>
      </c>
      <c r="F64" s="87">
        <f>HYPERLINK("https://www1.hkexnews.hk/app/sehk/2026/108829/documents/sehk26082803861.pdf","open filing")</f>
        <v/>
      </c>
    </row>
    <row r="65">
      <c r="A65" s="17" t="inlineStr">
        <is>
          <t>ClubMed Lifestyle Group</t>
        </is>
      </c>
      <c r="B65" s="17" t="inlineStr">
        <is>
          <t>Application Proof only</t>
        </is>
      </c>
      <c r="C65" s="17" t="inlineStr">
        <is>
          <t>2026-08-28</t>
        </is>
      </c>
      <c r="D65" s="17" t="inlineStr">
        <is>
          <t>2026-08-28</t>
        </is>
      </c>
      <c r="E65" s="171" t="n">
        <v>24</v>
      </c>
      <c r="F65" s="87">
        <f>HYPERLINK("https://www1.hkexnews.hk/app/sehk/2026/108831/documents/sehk26082803941.pdf","open filing")</f>
        <v/>
      </c>
    </row>
    <row r="66">
      <c r="A66" s="17" t="inlineStr">
        <is>
          <t>Exegenesis Bio Inc. - B</t>
        </is>
      </c>
      <c r="B66" s="17" t="inlineStr">
        <is>
          <t>Application Proof only</t>
        </is>
      </c>
      <c r="C66" s="17" t="inlineStr">
        <is>
          <t>2026-08-28</t>
        </is>
      </c>
      <c r="D66" s="17" t="inlineStr">
        <is>
          <t>2026-08-28</t>
        </is>
      </c>
      <c r="E66" s="171" t="n">
        <v>24</v>
      </c>
      <c r="F66" s="87">
        <f>HYPERLINK("https://www1.hkexnews.hk/app/sehk/2026/108832/documents/sehk26082804043.pdf","open filing")</f>
        <v/>
      </c>
    </row>
    <row r="67">
      <c r="A67" s="17" t="inlineStr">
        <is>
          <t>Nanjing Novlead Biotechnology Co., Ltd. - B</t>
        </is>
      </c>
      <c r="B67" s="17" t="inlineStr">
        <is>
          <t>Application Proof only</t>
        </is>
      </c>
      <c r="C67" s="17" t="inlineStr">
        <is>
          <t>2026-08-28</t>
        </is>
      </c>
      <c r="D67" s="17" t="inlineStr">
        <is>
          <t>2026-08-28</t>
        </is>
      </c>
      <c r="E67" s="171" t="n">
        <v>24</v>
      </c>
      <c r="F67" s="87">
        <f>HYPERLINK("https://www1.hkexnews.hk/app/sehk/2026/108833/documents/sehk26082804161.pdf","open filing")</f>
        <v/>
      </c>
    </row>
    <row r="68">
      <c r="A68" s="17" t="inlineStr">
        <is>
          <t>Shenzhen Immunofoco Biotechnology Co., Ltd. - B</t>
        </is>
      </c>
      <c r="B68" s="17" t="inlineStr">
        <is>
          <t>Application Proof only</t>
        </is>
      </c>
      <c r="C68" s="17" t="inlineStr">
        <is>
          <t>2026-08-27</t>
        </is>
      </c>
      <c r="D68" s="17" t="inlineStr">
        <is>
          <t>2026-08-27</t>
        </is>
      </c>
      <c r="E68" s="171" t="n">
        <v>25</v>
      </c>
      <c r="F68" s="87">
        <f>HYPERLINK("https://www1.hkexnews.hk/app/sehk/2026/108798/documents/sehk26081800036.pdf","open filing")</f>
        <v/>
      </c>
    </row>
    <row r="69"/>
    <row r="70">
      <c r="A70" s="2" t="inlineStr">
        <is>
          <t>13 PHIP-stage applications of 371 live; PHIPs plus the 30 most recent application proofs shown.</t>
        </is>
      </c>
    </row>
  </sheetData>
  <mergeCells count="6">
    <mergeCell ref="W4:X4"/>
    <mergeCell ref="Y4:Z4"/>
    <mergeCell ref="S4:V4"/>
    <mergeCell ref="A4:G4"/>
    <mergeCell ref="H4:O4"/>
    <mergeCell ref="P4:R4"/>
  </mergeCells>
  <dataValidations count="1">
    <dataValidation sqref="G6:G19"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2026-09-24.</t>
        </is>
      </c>
    </row>
    <row r="3"/>
    <row r="4">
      <c r="A4" s="173" t="inlineStr">
        <is>
          <t>CNYHKD</t>
        </is>
      </c>
      <c r="B4" s="10">
        <f>IFERROR(BDP("CNYHKD Curncy","PX_LAST"),"")</f>
        <v/>
      </c>
      <c r="C4" s="7" t="n"/>
      <c r="D4" s="69">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74" t="inlineStr">
        <is>
          <t>6127</t>
        </is>
      </c>
      <c r="B7" s="17" t="inlineStr">
        <is>
          <t>JOINN</t>
        </is>
      </c>
      <c r="C7" s="17" t="inlineStr">
        <is>
          <t>CXO / pharma services</t>
        </is>
      </c>
      <c r="D7" s="50">
        <f>IFERROR(BDP("6127 HK Equity","PX_LAST"),"")</f>
        <v/>
      </c>
      <c r="E7" s="175" t="n"/>
      <c r="F7" s="50">
        <f>IF($E7&lt;&gt;"",$E7,$D7)</f>
        <v/>
      </c>
      <c r="G7" s="17" t="inlineStr">
        <is>
          <t>603127.SS</t>
        </is>
      </c>
      <c r="H7" s="50">
        <f>IFERROR(BDP("603127 CH Equity","PX_LAST"),"")</f>
        <v/>
      </c>
      <c r="I7" s="175" t="n"/>
      <c r="J7" s="50">
        <f>IF($I7&lt;&gt;"",$I7,$H7)</f>
        <v/>
      </c>
      <c r="K7" s="54">
        <f>IF(OR(N($F7)&lt;=0,N($J7)&lt;=0,N($D$4)&lt;=0),"",($J7*$D$4)/$F7-1)</f>
        <v/>
      </c>
      <c r="L7" s="176" t="n">
        <v>1.0661</v>
      </c>
      <c r="M7" s="2" t="inlineStr">
        <is>
          <t>H listed Feb 2021; CRO safety-evaluation leader</t>
        </is>
      </c>
    </row>
    <row r="8">
      <c r="A8" s="174" t="inlineStr">
        <is>
          <t>6821</t>
        </is>
      </c>
      <c r="B8" s="17" t="inlineStr">
        <is>
          <t>ASYMCHEM</t>
        </is>
      </c>
      <c r="C8" s="17" t="inlineStr">
        <is>
          <t>CXO / pharma services</t>
        </is>
      </c>
      <c r="D8" s="50">
        <f>IFERROR(BDP("6821 HK Equity","PX_LAST"),"")</f>
        <v/>
      </c>
      <c r="E8" s="175" t="n"/>
      <c r="F8" s="50">
        <f>IF($E8&lt;&gt;"",$E8,$D8)</f>
        <v/>
      </c>
      <c r="G8" s="17" t="inlineStr">
        <is>
          <t>002821.SZ</t>
        </is>
      </c>
      <c r="H8" s="50">
        <f>IFERROR(BDP("002821 CH Equity","PX_LAST"),"")</f>
        <v/>
      </c>
      <c r="I8" s="175" t="n"/>
      <c r="J8" s="50">
        <f>IF($I8&lt;&gt;"",$I8,$H8)</f>
        <v/>
      </c>
      <c r="K8" s="54">
        <f>IF(OR(N($F8)&lt;=0,N($J8)&lt;=0,N($D$4)&lt;=0),"",($J8*$D$4)/$F8-1)</f>
        <v/>
      </c>
      <c r="L8" s="176" t="n">
        <v>0.4017</v>
      </c>
      <c r="M8" s="2" t="inlineStr">
        <is>
          <t>H listed Dec 2021 (CDMO)</t>
        </is>
      </c>
    </row>
    <row r="9">
      <c r="A9" s="174" t="inlineStr">
        <is>
          <t>6680</t>
        </is>
      </c>
      <c r="B9" s="17" t="inlineStr">
        <is>
          <t>JLMAG</t>
        </is>
      </c>
      <c r="C9" s="17" t="inlineStr">
        <is>
          <t>Capital goods / machinery</t>
        </is>
      </c>
      <c r="D9" s="50">
        <f>IFERROR(BDP("6680 HK Equity","PX_LAST"),"")</f>
        <v/>
      </c>
      <c r="E9" s="175" t="n"/>
      <c r="F9" s="50">
        <f>IF($E9&lt;&gt;"",$E9,$D9)</f>
        <v/>
      </c>
      <c r="G9" s="17" t="inlineStr">
        <is>
          <t>300748.SZ</t>
        </is>
      </c>
      <c r="H9" s="50">
        <f>IFERROR(BDP("300748 CH Equity","PX_LAST"),"")</f>
        <v/>
      </c>
      <c r="I9" s="175" t="n"/>
      <c r="J9" s="50">
        <f>IF($I9&lt;&gt;"",$I9,$H9)</f>
        <v/>
      </c>
      <c r="K9" s="54">
        <f>IF(OR(N($F9)&lt;=0,N($J9)&lt;=0,N($D$4)&lt;=0),"",($J9*$D$4)/$F9-1)</f>
        <v/>
      </c>
      <c r="L9" s="176" t="n">
        <v>0.8929</v>
      </c>
      <c r="M9" s="2" t="inlineStr">
        <is>
          <t>H listed Jan 2022 (NdFeB magnets)</t>
        </is>
      </c>
    </row>
    <row r="10">
      <c r="A10" s="174" t="inlineStr">
        <is>
          <t>9696</t>
        </is>
      </c>
      <c r="B10" s="17" t="inlineStr">
        <is>
          <t>TIANQI LITHIUM</t>
        </is>
      </c>
      <c r="C10" s="17" t="inlineStr">
        <is>
          <t>Mining / metals</t>
        </is>
      </c>
      <c r="D10" s="50">
        <f>IFERROR(BDP("9696 HK Equity","PX_LAST"),"")</f>
        <v/>
      </c>
      <c r="E10" s="175" t="n"/>
      <c r="F10" s="50">
        <f>IF($E10&lt;&gt;"",$E10,$D10)</f>
        <v/>
      </c>
      <c r="G10" s="17" t="inlineStr">
        <is>
          <t>002466.SZ</t>
        </is>
      </c>
      <c r="H10" s="50">
        <f>IFERROR(BDP("002466 CH Equity","PX_LAST"),"")</f>
        <v/>
      </c>
      <c r="I10" s="175" t="n"/>
      <c r="J10" s="50">
        <f>IF($I10&lt;&gt;"",$I10,$H10)</f>
        <v/>
      </c>
      <c r="K10" s="54">
        <f>IF(OR(N($F10)&lt;=0,N($J10)&lt;=0,N($D$4)&lt;=0),"",($J10*$D$4)/$F10-1)</f>
        <v/>
      </c>
      <c r="L10" s="176" t="n">
        <v>0.5985</v>
      </c>
      <c r="M10" s="2" t="inlineStr">
        <is>
          <t>Jul 2022, ~US$1.7bn; largest HK IPO of 2022 at pricing</t>
        </is>
      </c>
    </row>
    <row r="11">
      <c r="A11" s="174" t="inlineStr">
        <is>
          <t>1880</t>
        </is>
      </c>
      <c r="B11" s="17" t="inlineStr">
        <is>
          <t>CTG DUTY-FREE</t>
        </is>
      </c>
      <c r="C11" s="17" t="inlineStr">
        <is>
          <t>Retail / distribution</t>
        </is>
      </c>
      <c r="D11" s="50">
        <f>IFERROR(BDP("1880 HK Equity","PX_LAST"),"")</f>
        <v/>
      </c>
      <c r="E11" s="175" t="n"/>
      <c r="F11" s="50">
        <f>IF($E11&lt;&gt;"",$E11,$D11)</f>
        <v/>
      </c>
      <c r="G11" s="17" t="inlineStr">
        <is>
          <t>601888.SS</t>
        </is>
      </c>
      <c r="H11" s="50">
        <f>IFERROR(BDP("601888 CH Equity","PX_LAST"),"")</f>
        <v/>
      </c>
      <c r="I11" s="175" t="n"/>
      <c r="J11" s="50">
        <f>IF($I11&lt;&gt;"",$I11,$H11)</f>
        <v/>
      </c>
      <c r="K11" s="54">
        <f>IF(OR(N($F11)&lt;=0,N($J11)&lt;=0,N($D$4)&lt;=0),"",($J11*$D$4)/$F11-1)</f>
        <v/>
      </c>
      <c r="L11" s="176" t="n">
        <v>0.3096</v>
      </c>
      <c r="M11" s="2" t="inlineStr">
        <is>
          <t>Aug 2022, ~US$2.1bn H offering</t>
        </is>
      </c>
    </row>
    <row r="12">
      <c r="A12" s="174" t="inlineStr">
        <is>
          <t>2315</t>
        </is>
      </c>
      <c r="B12" s="17" t="inlineStr">
        <is>
          <t>BIOCYTOGEN-B</t>
        </is>
      </c>
      <c r="C12" s="17" t="inlineStr">
        <is>
          <t>Biotech pre-revenue (18A)</t>
        </is>
      </c>
      <c r="D12" s="50">
        <f>IFERROR(BDP("2315 HK Equity","PX_LAST"),"")</f>
        <v/>
      </c>
      <c r="E12" s="175" t="n"/>
      <c r="F12" s="50">
        <f>IF($E12&lt;&gt;"",$E12,$D12)</f>
        <v/>
      </c>
      <c r="G12" s="17" t="inlineStr">
        <is>
          <t>688796.SS</t>
        </is>
      </c>
      <c r="H12" s="50">
        <f>IFERROR(BDP("688796 CH Equity","PX_LAST"),"")</f>
        <v/>
      </c>
      <c r="I12" s="175" t="n"/>
      <c r="J12" s="50">
        <f>IF($I12&lt;&gt;"",$I12,$H12)</f>
        <v/>
      </c>
      <c r="K12" s="54">
        <f>IF(OR(N($F12)&lt;=0,N($J12)&lt;=0,N($D$4)&lt;=0),"",($J12*$D$4)/$F12-1)</f>
        <v/>
      </c>
      <c r="L12" s="176" t="n">
        <v>1.3579</v>
      </c>
      <c r="M12" s="2" t="inlineStr">
        <is>
          <t>A-share 688796 listed after the H IPO, so there is no at-IPO premium; today's is live</t>
        </is>
      </c>
    </row>
    <row r="13">
      <c r="A13" s="174" t="inlineStr">
        <is>
          <t>2402</t>
        </is>
      </c>
      <c r="B13" s="17" t="inlineStr">
        <is>
          <t>SINOHYTEC</t>
        </is>
      </c>
      <c r="C13" s="17" t="inlineStr">
        <is>
          <t>Batteries / energy storage</t>
        </is>
      </c>
      <c r="D13" s="50">
        <f>IFERROR(BDP("2402 HK Equity","PX_LAST"),"")</f>
        <v/>
      </c>
      <c r="E13" s="175" t="n"/>
      <c r="F13" s="50">
        <f>IF($E13&lt;&gt;"",$E13,$D13)</f>
        <v/>
      </c>
      <c r="G13" s="17" t="inlineStr">
        <is>
          <t>688339.SS</t>
        </is>
      </c>
      <c r="H13" s="50">
        <f>IFERROR(BDP("688339 CH Equity","PX_LAST"),"")</f>
        <v/>
      </c>
      <c r="I13" s="175" t="n"/>
      <c r="J13" s="50">
        <f>IF($I13&lt;&gt;"",$I13,$H13)</f>
        <v/>
      </c>
      <c r="K13" s="54">
        <f>IF(OR(N($F13)&lt;=0,N($J13)&lt;=0,N($D$4)&lt;=0),"",($J13*$D$4)/$F13-1)</f>
        <v/>
      </c>
      <c r="L13" s="176" t="n">
        <v>0.9227</v>
      </c>
      <c r="M13" s="2" t="inlineStr">
        <is>
          <t>H listed Jan 2023 (hydrogen fuel cells); A+H on STAR</t>
        </is>
      </c>
    </row>
    <row r="14">
      <c r="A14" s="174" t="inlineStr">
        <is>
          <t>0300</t>
        </is>
      </c>
      <c r="B14" s="17" t="inlineStr">
        <is>
          <t>MIDEA GROUP</t>
        </is>
      </c>
      <c r="C14" s="17" t="inlineStr">
        <is>
          <t>Smart hardware / consumer electronics</t>
        </is>
      </c>
      <c r="D14" s="50">
        <f>IFERROR(BDP("300 HK Equity","PX_LAST"),"")</f>
        <v/>
      </c>
      <c r="E14" s="175" t="n"/>
      <c r="F14" s="50">
        <f>IF($E14&lt;&gt;"",$E14,$D14)</f>
        <v/>
      </c>
      <c r="G14" s="17" t="inlineStr">
        <is>
          <t>000333.SZ</t>
        </is>
      </c>
      <c r="H14" s="50">
        <f>IFERROR(BDP("000333 CH Equity","PX_LAST"),"")</f>
        <v/>
      </c>
      <c r="I14" s="175" t="n"/>
      <c r="J14" s="50">
        <f>IF($I14&lt;&gt;"",$I14,$H14)</f>
        <v/>
      </c>
      <c r="K14" s="54">
        <f>IF(OR(N($F14)&lt;=0,N($J14)&lt;=0,N($D$4)&lt;=0),"",($J14*$D$4)/$F14-1)</f>
        <v/>
      </c>
      <c r="L14" s="176" t="n">
        <v>-0.0108</v>
      </c>
      <c r="M14" s="2" t="inlineStr">
        <is>
          <t>Sep 2024, ~US$4.0bn+greenshoe; the deal that opened the A-to-H wave; H priced at a double-digit discount to A</t>
        </is>
      </c>
    </row>
    <row r="15">
      <c r="A15" s="174" t="inlineStr">
        <is>
          <t>2465</t>
        </is>
      </c>
      <c r="B15" s="17" t="inlineStr">
        <is>
          <t>LOPAL TECH</t>
        </is>
      </c>
      <c r="C15" s="17" t="inlineStr">
        <is>
          <t>Batteries / energy storage</t>
        </is>
      </c>
      <c r="D15" s="50">
        <f>IFERROR(BDP("2465 HK Equity","PX_LAST"),"")</f>
        <v/>
      </c>
      <c r="E15" s="175" t="n"/>
      <c r="F15" s="50">
        <f>IF($E15&lt;&gt;"",$E15,$D15)</f>
        <v/>
      </c>
      <c r="G15" s="17" t="inlineStr">
        <is>
          <t>603906.SS</t>
        </is>
      </c>
      <c r="H15" s="50">
        <f>IFERROR(BDP("603906 CH Equity","PX_LAST"),"")</f>
        <v/>
      </c>
      <c r="I15" s="175" t="n"/>
      <c r="J15" s="50">
        <f>IF($I15&lt;&gt;"",$I15,$H15)</f>
        <v/>
      </c>
      <c r="K15" s="54">
        <f>IF(OR(N($F15)&lt;=0,N($J15)&lt;=0,N($D$4)&lt;=0),"",($J15*$D$4)/$F15-1)</f>
        <v/>
      </c>
      <c r="L15" s="176" t="n">
        <v>1.3702</v>
      </c>
      <c r="M15" s="2" t="inlineStr">
        <is>
          <t>Oct 2024 H listing (LFP cathode/adblue)</t>
        </is>
      </c>
    </row>
    <row r="16">
      <c r="A16" s="174" t="inlineStr">
        <is>
          <t>6936</t>
        </is>
      </c>
      <c r="B16" s="17" t="inlineStr">
        <is>
          <t>SF HOLDING</t>
        </is>
      </c>
      <c r="C16" s="17" t="inlineStr">
        <is>
          <t>Logistics</t>
        </is>
      </c>
      <c r="D16" s="50">
        <f>IFERROR(BDP("6936 HK Equity","PX_LAST"),"")</f>
        <v/>
      </c>
      <c r="E16" s="175" t="n"/>
      <c r="F16" s="50">
        <f>IF($E16&lt;&gt;"",$E16,$D16)</f>
        <v/>
      </c>
      <c r="G16" s="17" t="inlineStr">
        <is>
          <t>002352.SZ</t>
        </is>
      </c>
      <c r="H16" s="50">
        <f>IFERROR(BDP("002352 CH Equity","PX_LAST"),"")</f>
        <v/>
      </c>
      <c r="I16" s="175" t="n"/>
      <c r="J16" s="50">
        <f>IF($I16&lt;&gt;"",$I16,$H16)</f>
        <v/>
      </c>
      <c r="K16" s="54">
        <f>IF(OR(N($F16)&lt;=0,N($J16)&lt;=0,N($D$4)&lt;=0),"",($J16*$D$4)/$F16-1)</f>
        <v/>
      </c>
      <c r="L16" s="176" t="n">
        <v>0.2472</v>
      </c>
      <c r="M16" s="2" t="inlineStr">
        <is>
          <t>Nov 2024, ~US$750m; first A+H express logistics name</t>
        </is>
      </c>
    </row>
    <row r="17">
      <c r="A17" s="174" t="inlineStr">
        <is>
          <t>6693</t>
        </is>
      </c>
      <c r="B17" s="17" t="inlineStr">
        <is>
          <t>CHIFENG GOLD</t>
        </is>
      </c>
      <c r="C17" s="17" t="inlineStr">
        <is>
          <t>Mining / metals</t>
        </is>
      </c>
      <c r="D17" s="50">
        <f>IFERROR(BDP("6693 HK Equity","PX_LAST"),"")</f>
        <v/>
      </c>
      <c r="E17" s="175" t="n"/>
      <c r="F17" s="50">
        <f>IF($E17&lt;&gt;"",$E17,$D17)</f>
        <v/>
      </c>
      <c r="G17" s="17" t="inlineStr">
        <is>
          <t>600988.SS</t>
        </is>
      </c>
      <c r="H17" s="50">
        <f>IFERROR(BDP("600988 CH Equity","PX_LAST"),"")</f>
        <v/>
      </c>
      <c r="I17" s="175" t="n"/>
      <c r="J17" s="50">
        <f>IF($I17&lt;&gt;"",$I17,$H17)</f>
        <v/>
      </c>
      <c r="K17" s="54">
        <f>IF(OR(N($F17)&lt;=0,N($J17)&lt;=0,N($D$4)&lt;=0),"",($J17*$D$4)/$F17-1)</f>
        <v/>
      </c>
      <c r="L17" s="176" t="n">
        <v>0.3229</v>
      </c>
      <c r="M17" s="2" t="inlineStr">
        <is>
          <t>Mar 2025 H listing (gold miner)</t>
        </is>
      </c>
    </row>
    <row r="18">
      <c r="A18" s="174" t="inlineStr">
        <is>
          <t>2865</t>
        </is>
      </c>
      <c r="B18" s="17" t="inlineStr">
        <is>
          <t>DRINDA</t>
        </is>
      </c>
      <c r="C18" s="17" t="inlineStr">
        <is>
          <t>Solar / wind supply chain</t>
        </is>
      </c>
      <c r="D18" s="50">
        <f>IFERROR(BDP("2865 HK Equity","PX_LAST"),"")</f>
        <v/>
      </c>
      <c r="E18" s="175" t="n"/>
      <c r="F18" s="50">
        <f>IF($E18&lt;&gt;"",$E18,$D18)</f>
        <v/>
      </c>
      <c r="G18" s="17" t="inlineStr">
        <is>
          <t>002865.SZ</t>
        </is>
      </c>
      <c r="H18" s="50">
        <f>IFERROR(BDP("002865 CH Equity","PX_LAST"),"")</f>
        <v/>
      </c>
      <c r="I18" s="175" t="n"/>
      <c r="J18" s="50">
        <f>IF($I18&lt;&gt;"",$I18,$H18)</f>
        <v/>
      </c>
      <c r="K18" s="54">
        <f>IF(OR(N($F18)&lt;=0,N($J18)&lt;=0,N($D$4)&lt;=0),"",($J18*$D$4)/$F18-1)</f>
        <v/>
      </c>
      <c r="L18" s="176" t="n">
        <v>2.659</v>
      </c>
      <c r="M18" s="2" t="inlineStr">
        <is>
          <t>May 2025 H listing (TOPCon solar cells)</t>
        </is>
      </c>
    </row>
    <row r="19">
      <c r="A19" s="174" t="inlineStr">
        <is>
          <t>3750</t>
        </is>
      </c>
      <c r="B19" s="17" t="inlineStr">
        <is>
          <t>CATL</t>
        </is>
      </c>
      <c r="C19" s="17" t="inlineStr">
        <is>
          <t>Batteries / energy storage</t>
        </is>
      </c>
      <c r="D19" s="50">
        <f>IFERROR(BDP("3750 HK Equity","PX_LAST"),"")</f>
        <v/>
      </c>
      <c r="E19" s="175" t="n"/>
      <c r="F19" s="50">
        <f>IF($E19&lt;&gt;"",$E19,$D19)</f>
        <v/>
      </c>
      <c r="G19" s="17" t="inlineStr">
        <is>
          <t>300750.SZ</t>
        </is>
      </c>
      <c r="H19" s="50">
        <f>IFERROR(BDP("300750 CH Equity","PX_LAST"),"")</f>
        <v/>
      </c>
      <c r="I19" s="175" t="n"/>
      <c r="J19" s="50">
        <f>IF($I19&lt;&gt;"",$I19,$H19)</f>
        <v/>
      </c>
      <c r="K19" s="54">
        <f>IF(OR(N($F19)&lt;=0,N($J19)&lt;=0,N($D$4)&lt;=0),"",($J19*$D$4)/$F19-1)</f>
        <v/>
      </c>
      <c r="L19" s="176" t="n">
        <v>-0.3095</v>
      </c>
      <c r="M19" s="2" t="inlineStr">
        <is>
          <t>May 2025, ~US$4.6bn (US$5.3bn w/ shoe); world's largest listing of 2025; H priced at a slim discount to A and surged on debut</t>
        </is>
      </c>
    </row>
    <row r="20">
      <c r="A20" s="174" t="inlineStr">
        <is>
          <t>1276</t>
        </is>
      </c>
      <c r="B20" s="17" t="inlineStr">
        <is>
          <t>HENGRUI PHARMA</t>
        </is>
      </c>
      <c r="C20" s="17" t="inlineStr">
        <is>
          <t>Biopharma commercial</t>
        </is>
      </c>
      <c r="D20" s="50">
        <f>IFERROR(BDP("1276 HK Equity","PX_LAST"),"")</f>
        <v/>
      </c>
      <c r="E20" s="175" t="n"/>
      <c r="F20" s="50">
        <f>IF($E20&lt;&gt;"",$E20,$D20)</f>
        <v/>
      </c>
      <c r="G20" s="17" t="inlineStr">
        <is>
          <t>600276.SS</t>
        </is>
      </c>
      <c r="H20" s="50">
        <f>IFERROR(BDP("600276 CH Equity","PX_LAST"),"")</f>
        <v/>
      </c>
      <c r="I20" s="175" t="n"/>
      <c r="J20" s="50">
        <f>IF($I20&lt;&gt;"",$I20,$H20)</f>
        <v/>
      </c>
      <c r="K20" s="54">
        <f>IF(OR(N($F20)&lt;=0,N($J20)&lt;=0,N($D$4)&lt;=0),"",($J20*$D$4)/$F20-1)</f>
        <v/>
      </c>
      <c r="L20" s="176" t="n">
        <v>0.0917</v>
      </c>
      <c r="M20" s="2" t="inlineStr">
        <is>
          <t>May 2025, raised ~HK$9.9bn (~US$1.3bn)</t>
        </is>
      </c>
    </row>
    <row r="21">
      <c r="A21" s="174" t="inlineStr">
        <is>
          <t>2603</t>
        </is>
      </c>
      <c r="B21" s="17" t="inlineStr">
        <is>
          <t>JIHONG CO</t>
        </is>
      </c>
      <c r="C21" s="17" t="inlineStr">
        <is>
          <t>Internet platform / e-commerce</t>
        </is>
      </c>
      <c r="D21" s="50">
        <f>IFERROR(BDP("2603 HK Equity","PX_LAST"),"")</f>
        <v/>
      </c>
      <c r="E21" s="175" t="n"/>
      <c r="F21" s="50">
        <f>IF($E21&lt;&gt;"",$E21,$D21)</f>
        <v/>
      </c>
      <c r="G21" s="17" t="inlineStr">
        <is>
          <t>002803.SZ</t>
        </is>
      </c>
      <c r="H21" s="50">
        <f>IFERROR(BDP("002803 CH Equity","PX_LAST"),"")</f>
        <v/>
      </c>
      <c r="I21" s="175" t="n"/>
      <c r="J21" s="50">
        <f>IF($I21&lt;&gt;"",$I21,$H21)</f>
        <v/>
      </c>
      <c r="K21" s="54">
        <f>IF(OR(N($F21)&lt;=0,N($J21)&lt;=0,N($D$4)&lt;=0),"",($J21*$D$4)/$F21-1)</f>
        <v/>
      </c>
      <c r="L21" s="176" t="n">
        <v>0.9099</v>
      </c>
      <c r="M21" s="2" t="inlineStr">
        <is>
          <t>May 2025 H listing (packaging + cross-border e-commerce)</t>
        </is>
      </c>
    </row>
    <row r="22">
      <c r="A22" s="174" t="inlineStr">
        <is>
          <t>3288</t>
        </is>
      </c>
      <c r="B22" s="17" t="inlineStr">
        <is>
          <t>HAITIAN FLAV</t>
        </is>
      </c>
      <c r="C22" s="17" t="inlineStr">
        <is>
          <t>Beverages / packaged food</t>
        </is>
      </c>
      <c r="D22" s="50">
        <f>IFERROR(BDP("3288 HK Equity","PX_LAST"),"")</f>
        <v/>
      </c>
      <c r="E22" s="175" t="n"/>
      <c r="F22" s="50">
        <f>IF($E22&lt;&gt;"",$E22,$D22)</f>
        <v/>
      </c>
      <c r="G22" s="17" t="inlineStr">
        <is>
          <t>603288.SS</t>
        </is>
      </c>
      <c r="H22" s="50">
        <f>IFERROR(BDP("603288 CH Equity","PX_LAST"),"")</f>
        <v/>
      </c>
      <c r="I22" s="175" t="n"/>
      <c r="J22" s="50">
        <f>IF($I22&lt;&gt;"",$I22,$H22)</f>
        <v/>
      </c>
      <c r="K22" s="54">
        <f>IF(OR(N($F22)&lt;=0,N($J22)&lt;=0,N($D$4)&lt;=0),"",($J22*$D$4)/$F22-1)</f>
        <v/>
      </c>
      <c r="L22" s="176" t="n">
        <v>0.4611</v>
      </c>
      <c r="M22" s="2" t="inlineStr">
        <is>
          <t>Jun 2025, ~US$1.3bn; condiments leader</t>
        </is>
      </c>
    </row>
    <row r="23">
      <c r="A23" s="174" t="inlineStr">
        <is>
          <t>2050</t>
        </is>
      </c>
      <c r="B23" s="17" t="inlineStr">
        <is>
          <t>SANHUA</t>
        </is>
      </c>
      <c r="C23" s="17" t="inlineStr">
        <is>
          <t>Auto parts / supply chain</t>
        </is>
      </c>
      <c r="D23" s="50">
        <f>IFERROR(BDP("2050 HK Equity","PX_LAST"),"")</f>
        <v/>
      </c>
      <c r="E23" s="175" t="n"/>
      <c r="F23" s="50">
        <f>IF($E23&lt;&gt;"",$E23,$D23)</f>
        <v/>
      </c>
      <c r="G23" s="17" t="inlineStr">
        <is>
          <t>002050.SZ</t>
        </is>
      </c>
      <c r="H23" s="50">
        <f>IFERROR(BDP("002050 CH Equity","PX_LAST"),"")</f>
        <v/>
      </c>
      <c r="I23" s="175" t="n"/>
      <c r="J23" s="50">
        <f>IF($I23&lt;&gt;"",$I23,$H23)</f>
        <v/>
      </c>
      <c r="K23" s="54">
        <f>IF(OR(N($F23)&lt;=0,N($J23)&lt;=0,N($D$4)&lt;=0),"",($J23*$D$4)/$F23-1)</f>
        <v/>
      </c>
      <c r="L23" s="176" t="n">
        <v>0.6926</v>
      </c>
      <c r="M23" s="2" t="inlineStr">
        <is>
          <t>Jun 2025 H listing (thermal management/humanoid actuators)</t>
        </is>
      </c>
    </row>
    <row r="24">
      <c r="A24" s="174" t="inlineStr">
        <is>
          <t>2648</t>
        </is>
      </c>
      <c r="B24" s="17" t="inlineStr">
        <is>
          <t>ANJOY FOOD</t>
        </is>
      </c>
      <c r="C24" s="17" t="inlineStr">
        <is>
          <t>Beverages / packaged food</t>
        </is>
      </c>
      <c r="D24" s="50">
        <f>IFERROR(BDP("2648 HK Equity","PX_LAST"),"")</f>
        <v/>
      </c>
      <c r="E24" s="175" t="n"/>
      <c r="F24" s="50">
        <f>IF($E24&lt;&gt;"",$E24,$D24)</f>
        <v/>
      </c>
      <c r="G24" s="17" t="inlineStr">
        <is>
          <t>603345.SS</t>
        </is>
      </c>
      <c r="H24" s="50">
        <f>IFERROR(BDP("603345 CH Equity","PX_LAST"),"")</f>
        <v/>
      </c>
      <c r="I24" s="175" t="n"/>
      <c r="J24" s="50">
        <f>IF($I24&lt;&gt;"",$I24,$H24)</f>
        <v/>
      </c>
      <c r="K24" s="54">
        <f>IF(OR(N($F24)&lt;=0,N($J24)&lt;=0,N($D$4)&lt;=0),"",($J24*$D$4)/$F24-1)</f>
        <v/>
      </c>
      <c r="L24" s="176" t="n">
        <v>0.4493</v>
      </c>
      <c r="M24" s="2" t="inlineStr">
        <is>
          <t>Jul 2025 H listing (frozen foods)</t>
        </is>
      </c>
    </row>
    <row r="25">
      <c r="A25" s="174" t="inlineStr">
        <is>
          <t>1304</t>
        </is>
      </c>
      <c r="B25" s="17" t="inlineStr">
        <is>
          <t>FORTIOR</t>
        </is>
      </c>
      <c r="C25" s="17" t="inlineStr">
        <is>
          <t>AI chips &amp; semis</t>
        </is>
      </c>
      <c r="D25" s="50">
        <f>IFERROR(BDP("1304 HK Equity","PX_LAST"),"")</f>
        <v/>
      </c>
      <c r="E25" s="175" t="n"/>
      <c r="F25" s="50">
        <f>IF($E25&lt;&gt;"",$E25,$D25)</f>
        <v/>
      </c>
      <c r="G25" s="17" t="inlineStr">
        <is>
          <t>688279.SS</t>
        </is>
      </c>
      <c r="H25" s="50">
        <f>IFERROR(BDP("688279 CH Equity","PX_LAST"),"")</f>
        <v/>
      </c>
      <c r="I25" s="175" t="n"/>
      <c r="J25" s="50">
        <f>IF($I25&lt;&gt;"",$I25,$H25)</f>
        <v/>
      </c>
      <c r="K25" s="54">
        <f>IF(OR(N($F25)&lt;=0,N($J25)&lt;=0,N($D$4)&lt;=0),"",($J25*$D$4)/$F25-1)</f>
        <v/>
      </c>
      <c r="L25" s="176" t="n">
        <v>0.8836000000000001</v>
      </c>
      <c r="M25" s="2" t="inlineStr">
        <is>
          <t>Jul 2025 H listing (BLDC motor-driver chips)</t>
        </is>
      </c>
    </row>
    <row r="26">
      <c r="A26" s="174" t="inlineStr">
        <is>
          <t>6613</t>
        </is>
      </c>
      <c r="B26" s="17" t="inlineStr">
        <is>
          <t>LENS</t>
        </is>
      </c>
      <c r="C26" s="17" t="inlineStr">
        <is>
          <t>Smart hardware / consumer electronics</t>
        </is>
      </c>
      <c r="D26" s="50">
        <f>IFERROR(BDP("6613 HK Equity","PX_LAST"),"")</f>
        <v/>
      </c>
      <c r="E26" s="175" t="n"/>
      <c r="F26" s="50">
        <f>IF($E26&lt;&gt;"",$E26,$D26)</f>
        <v/>
      </c>
      <c r="G26" s="17" t="inlineStr">
        <is>
          <t>300433.SZ</t>
        </is>
      </c>
      <c r="H26" s="50">
        <f>IFERROR(BDP("300433 CH Equity","PX_LAST"),"")</f>
        <v/>
      </c>
      <c r="I26" s="175" t="n"/>
      <c r="J26" s="50">
        <f>IF($I26&lt;&gt;"",$I26,$H26)</f>
        <v/>
      </c>
      <c r="K26" s="54">
        <f>IF(OR(N($F26)&lt;=0,N($J26)&lt;=0,N($D$4)&lt;=0),"",($J26*$D$4)/$F26-1)</f>
        <v/>
      </c>
      <c r="L26" s="176" t="n">
        <v>0.8132</v>
      </c>
      <c r="M26" s="2" t="inlineStr">
        <is>
          <t>Jul 2025 H listing (cover glass, Apple chain)</t>
        </is>
      </c>
    </row>
    <row r="27">
      <c r="A27" s="174" t="inlineStr">
        <is>
          <t>2631</t>
        </is>
      </c>
      <c r="B27" s="17" t="inlineStr">
        <is>
          <t>SICC</t>
        </is>
      </c>
      <c r="C27" s="17" t="inlineStr">
        <is>
          <t>AI chips &amp; semis</t>
        </is>
      </c>
      <c r="D27" s="50">
        <f>IFERROR(BDP("2631 HK Equity","PX_LAST"),"")</f>
        <v/>
      </c>
      <c r="E27" s="175" t="n"/>
      <c r="F27" s="50">
        <f>IF($E27&lt;&gt;"",$E27,$D27)</f>
        <v/>
      </c>
      <c r="G27" s="17" t="inlineStr">
        <is>
          <t>688234.SS</t>
        </is>
      </c>
      <c r="H27" s="50">
        <f>IFERROR(BDP("688234 CH Equity","PX_LAST"),"")</f>
        <v/>
      </c>
      <c r="I27" s="175" t="n"/>
      <c r="J27" s="50">
        <f>IF($I27&lt;&gt;"",$I27,$H27)</f>
        <v/>
      </c>
      <c r="K27" s="54">
        <f>IF(OR(N($F27)&lt;=0,N($J27)&lt;=0,N($D$4)&lt;=0),"",($J27*$D$4)/$F27-1)</f>
        <v/>
      </c>
      <c r="L27" s="176" t="n">
        <v>0.8218</v>
      </c>
      <c r="M27" s="2" t="inlineStr">
        <is>
          <t>Aug 2025 H listing (SiC substrates)</t>
        </is>
      </c>
    </row>
    <row r="28">
      <c r="A28" s="174" t="inlineStr">
        <is>
          <t>0638</t>
        </is>
      </c>
      <c r="B28" s="17" t="inlineStr">
        <is>
          <t>FIBOCOM</t>
        </is>
      </c>
      <c r="C28" s="17" t="inlineStr">
        <is>
          <t>Smart hardware / consumer electronics</t>
        </is>
      </c>
      <c r="D28" s="50">
        <f>IFERROR(BDP("638 HK Equity","PX_LAST"),"")</f>
        <v/>
      </c>
      <c r="E28" s="175" t="n"/>
      <c r="F28" s="50">
        <f>IF($E28&lt;&gt;"",$E28,$D28)</f>
        <v/>
      </c>
      <c r="G28" s="17" t="inlineStr">
        <is>
          <t>300638.SZ</t>
        </is>
      </c>
      <c r="H28" s="50">
        <f>IFERROR(BDP("300638 CH Equity","PX_LAST"),"")</f>
        <v/>
      </c>
      <c r="I28" s="175" t="n"/>
      <c r="J28" s="50">
        <f>IF($I28&lt;&gt;"",$I28,$H28)</f>
        <v/>
      </c>
      <c r="K28" s="54">
        <f>IF(OR(N($F28)&lt;=0,N($J28)&lt;=0,N($D$4)&lt;=0),"",($J28*$D$4)/$F28-1)</f>
        <v/>
      </c>
      <c r="L28" s="176" t="n">
        <v>2.1716</v>
      </c>
      <c r="M28" s="2" t="inlineStr">
        <is>
          <t>Oct 2025 H listing (IoT wireless modules)</t>
        </is>
      </c>
    </row>
    <row r="29">
      <c r="A29" s="174" t="inlineStr">
        <is>
          <t>6031</t>
        </is>
      </c>
      <c r="B29" s="17" t="inlineStr">
        <is>
          <t>SANY HEAVY IND</t>
        </is>
      </c>
      <c r="C29" s="17" t="inlineStr">
        <is>
          <t>Capital goods / machinery</t>
        </is>
      </c>
      <c r="D29" s="50">
        <f>IFERROR(BDP("6031 HK Equity","PX_LAST"),"")</f>
        <v/>
      </c>
      <c r="E29" s="175" t="n"/>
      <c r="F29" s="50">
        <f>IF($E29&lt;&gt;"",$E29,$D29)</f>
        <v/>
      </c>
      <c r="G29" s="17" t="inlineStr">
        <is>
          <t>600031.SS</t>
        </is>
      </c>
      <c r="H29" s="50">
        <f>IFERROR(BDP("600031 CH Equity","PX_LAST"),"")</f>
        <v/>
      </c>
      <c r="I29" s="175" t="n"/>
      <c r="J29" s="50">
        <f>IF($I29&lt;&gt;"",$I29,$H29)</f>
        <v/>
      </c>
      <c r="K29" s="54">
        <f>IF(OR(N($F29)&lt;=0,N($J29)&lt;=0,N($D$4)&lt;=0),"",($J29*$D$4)/$F29-1)</f>
        <v/>
      </c>
      <c r="L29" s="176" t="n">
        <v>0.1648</v>
      </c>
      <c r="M29" s="2" t="inlineStr">
        <is>
          <t>Oct 2025, ~US$1.72bn</t>
        </is>
      </c>
    </row>
    <row r="30">
      <c r="A30" s="174" t="inlineStr">
        <is>
          <t>6166</t>
        </is>
      </c>
      <c r="B30" s="17" t="inlineStr">
        <is>
          <t>CIG</t>
        </is>
      </c>
      <c r="C30" s="17" t="inlineStr">
        <is>
          <t>Smart hardware / consumer electronics</t>
        </is>
      </c>
      <c r="D30" s="50">
        <f>IFERROR(BDP("6166 HK Equity","PX_LAST"),"")</f>
        <v/>
      </c>
      <c r="E30" s="175" t="n"/>
      <c r="F30" s="50">
        <f>IF($E30&lt;&gt;"",$E30,$D30)</f>
        <v/>
      </c>
      <c r="G30" s="17" t="inlineStr">
        <is>
          <t>603083.SS</t>
        </is>
      </c>
      <c r="H30" s="50">
        <f>IFERROR(BDP("603083 CH Equity","PX_LAST"),"")</f>
        <v/>
      </c>
      <c r="I30" s="175" t="n"/>
      <c r="J30" s="50">
        <f>IF($I30&lt;&gt;"",$I30,$H30)</f>
        <v/>
      </c>
      <c r="K30" s="54">
        <f>IF(OR(N($F30)&lt;=0,N($J30)&lt;=0,N($D$4)&lt;=0),"",($J30*$D$4)/$F30-1)</f>
        <v/>
      </c>
      <c r="L30" s="176" t="n">
        <v>1.0713</v>
      </c>
      <c r="M30" s="2" t="inlineStr">
        <is>
          <t>Oct 2025 H listing (telecom/AI networking hardware)</t>
        </is>
      </c>
    </row>
    <row r="31">
      <c r="A31" s="174" t="inlineStr">
        <is>
          <t>9927</t>
        </is>
      </c>
      <c r="B31" s="17" t="inlineStr">
        <is>
          <t>SERES</t>
        </is>
      </c>
      <c r="C31" s="17" t="inlineStr">
        <is>
          <t>Autos (NEV OEM)</t>
        </is>
      </c>
      <c r="D31" s="50">
        <f>IFERROR(BDP("9927 HK Equity","PX_LAST"),"")</f>
        <v/>
      </c>
      <c r="E31" s="175" t="n"/>
      <c r="F31" s="50">
        <f>IF($E31&lt;&gt;"",$E31,$D31)</f>
        <v/>
      </c>
      <c r="G31" s="17" t="inlineStr">
        <is>
          <t>601127.SS</t>
        </is>
      </c>
      <c r="H31" s="50">
        <f>IFERROR(BDP("601127 CH Equity","PX_LAST"),"")</f>
        <v/>
      </c>
      <c r="I31" s="175" t="n"/>
      <c r="J31" s="50">
        <f>IF($I31&lt;&gt;"",$I31,$H31)</f>
        <v/>
      </c>
      <c r="K31" s="54">
        <f>IF(OR(N($F31)&lt;=0,N($J31)&lt;=0,N($D$4)&lt;=0),"",($J31*$D$4)/$F31-1)</f>
        <v/>
      </c>
      <c r="L31" s="176" t="n">
        <v>0.6059</v>
      </c>
      <c r="M31" s="2" t="inlineStr">
        <is>
          <t>Nov 2025, HK$14.28bn (~US$1.8bn); 3rd-largest HK IPO of 2025; flat debut</t>
        </is>
      </c>
    </row>
    <row r="32">
      <c r="A32" s="174" t="inlineStr">
        <is>
          <t>0699</t>
        </is>
      </c>
      <c r="B32" s="17" t="inlineStr">
        <is>
          <t>JOYSON ELEC</t>
        </is>
      </c>
      <c r="C32" s="17" t="inlineStr">
        <is>
          <t>Auto parts / supply chain</t>
        </is>
      </c>
      <c r="D32" s="50">
        <f>IFERROR(BDP("699 HK Equity","PX_LAST"),"")</f>
        <v/>
      </c>
      <c r="E32" s="175" t="n"/>
      <c r="F32" s="50">
        <f>IF($E32&lt;&gt;"",$E32,$D32)</f>
        <v/>
      </c>
      <c r="G32" s="17" t="inlineStr">
        <is>
          <t>600699.SS</t>
        </is>
      </c>
      <c r="H32" s="50">
        <f>IFERROR(BDP("600699 CH Equity","PX_LAST"),"")</f>
        <v/>
      </c>
      <c r="I32" s="175" t="n"/>
      <c r="J32" s="50">
        <f>IF($I32&lt;&gt;"",$I32,$H32)</f>
        <v/>
      </c>
      <c r="K32" s="54">
        <f>IF(OR(N($F32)&lt;=0,N($J32)&lt;=0,N($D$4)&lt;=0),"",($J32*$D$4)/$F32-1)</f>
        <v/>
      </c>
      <c r="L32" s="176" t="n">
        <v>1.0101</v>
      </c>
      <c r="M32" s="2" t="inlineStr">
        <is>
          <t>Nov 2025 H listing (auto electronics/safety)</t>
        </is>
      </c>
    </row>
    <row r="33">
      <c r="A33" s="174" t="inlineStr">
        <is>
          <t>2579</t>
        </is>
      </c>
      <c r="B33" s="17" t="inlineStr">
        <is>
          <t>CNGR</t>
        </is>
      </c>
      <c r="C33" s="17" t="inlineStr">
        <is>
          <t>Batteries / energy storage</t>
        </is>
      </c>
      <c r="D33" s="50">
        <f>IFERROR(BDP("2579 HK Equity","PX_LAST"),"")</f>
        <v/>
      </c>
      <c r="E33" s="175" t="n"/>
      <c r="F33" s="50">
        <f>IF($E33&lt;&gt;"",$E33,$D33)</f>
        <v/>
      </c>
      <c r="G33" s="17" t="inlineStr">
        <is>
          <t>300919.SZ</t>
        </is>
      </c>
      <c r="H33" s="50">
        <f>IFERROR(BDP("300919 CH Equity","PX_LAST"),"")</f>
        <v/>
      </c>
      <c r="I33" s="175" t="n"/>
      <c r="J33" s="50">
        <f>IF($I33&lt;&gt;"",$I33,$H33)</f>
        <v/>
      </c>
      <c r="K33" s="54">
        <f>IF(OR(N($F33)&lt;=0,N($J33)&lt;=0,N($D$4)&lt;=0),"",($J33*$D$4)/$F33-1)</f>
        <v/>
      </c>
      <c r="L33" s="176" t="n">
        <v>0.979</v>
      </c>
      <c r="M33" s="2" t="inlineStr">
        <is>
          <t>Nov 2025 H listing (battery precursor materials)</t>
        </is>
      </c>
    </row>
    <row r="34">
      <c r="A34" s="174" t="inlineStr">
        <is>
          <t>2676</t>
        </is>
      </c>
      <c r="B34" s="17" t="inlineStr">
        <is>
          <t>NOVOSENSE</t>
        </is>
      </c>
      <c r="C34" s="17" t="inlineStr">
        <is>
          <t>AI chips &amp; semis</t>
        </is>
      </c>
      <c r="D34" s="50">
        <f>IFERROR(BDP("2676 HK Equity","PX_LAST"),"")</f>
        <v/>
      </c>
      <c r="E34" s="175" t="n"/>
      <c r="F34" s="50">
        <f>IF($E34&lt;&gt;"",$E34,$D34)</f>
        <v/>
      </c>
      <c r="G34" s="17" t="inlineStr">
        <is>
          <t>688052.SS</t>
        </is>
      </c>
      <c r="H34" s="50">
        <f>IFERROR(BDP("688052 CH Equity","PX_LAST"),"")</f>
        <v/>
      </c>
      <c r="I34" s="175" t="n"/>
      <c r="J34" s="50">
        <f>IF($I34&lt;&gt;"",$I34,$H34)</f>
        <v/>
      </c>
      <c r="K34" s="54">
        <f>IF(OR(N($F34)&lt;=0,N($J34)&lt;=0,N($D$4)&lt;=0),"",($J34*$D$4)/$F34-1)</f>
        <v/>
      </c>
      <c r="L34" s="176" t="n">
        <v>0.737</v>
      </c>
      <c r="M34" s="2" t="inlineStr">
        <is>
          <t>Dec 2025 H listing (analog/mixed-signal chips)</t>
        </is>
      </c>
    </row>
    <row r="35">
      <c r="A35" s="174" t="inlineStr">
        <is>
          <t>2691</t>
        </is>
      </c>
      <c r="B35" s="17" t="inlineStr">
        <is>
          <t>NANHUA FUTURES</t>
        </is>
      </c>
      <c r="C35" s="17" t="inlineStr">
        <is>
          <t>Brokers / asset management</t>
        </is>
      </c>
      <c r="D35" s="50">
        <f>IFERROR(BDP("2691 HK Equity","PX_LAST"),"")</f>
        <v/>
      </c>
      <c r="E35" s="175" t="n"/>
      <c r="F35" s="50">
        <f>IF($E35&lt;&gt;"",$E35,$D35)</f>
        <v/>
      </c>
      <c r="G35" s="17" t="inlineStr">
        <is>
          <t>603093.SS</t>
        </is>
      </c>
      <c r="H35" s="50">
        <f>IFERROR(BDP("603093 CH Equity","PX_LAST"),"")</f>
        <v/>
      </c>
      <c r="I35" s="175" t="n"/>
      <c r="J35" s="50">
        <f>IF($I35&lt;&gt;"",$I35,$H35)</f>
        <v/>
      </c>
      <c r="K35" s="54">
        <f>IF(OR(N($F35)&lt;=0,N($J35)&lt;=0,N($D$4)&lt;=0),"",($J35*$D$4)/$F35-1)</f>
        <v/>
      </c>
      <c r="L35" s="176" t="n">
        <v>1.4062</v>
      </c>
      <c r="M35" s="2" t="inlineStr">
        <is>
          <t>Dec 2025 H listing (futures broker)</t>
        </is>
      </c>
    </row>
    <row r="36">
      <c r="A36" s="174" t="inlineStr">
        <is>
          <t>0501</t>
        </is>
      </c>
      <c r="B36" s="17" t="inlineStr">
        <is>
          <t>OMNIVISION</t>
        </is>
      </c>
      <c r="C36" s="17" t="inlineStr">
        <is>
          <t>AI chips &amp; semis</t>
        </is>
      </c>
      <c r="D36" s="50">
        <f>IFERROR(BDP("501 HK Equity","PX_LAST"),"")</f>
        <v/>
      </c>
      <c r="E36" s="175" t="n"/>
      <c r="F36" s="50">
        <f>IF($E36&lt;&gt;"",$E36,$D36)</f>
        <v/>
      </c>
      <c r="G36" s="17" t="inlineStr">
        <is>
          <t>603501.SS</t>
        </is>
      </c>
      <c r="H36" s="50">
        <f>IFERROR(BDP("603501 CH Equity","PX_LAST"),"")</f>
        <v/>
      </c>
      <c r="I36" s="175" t="n"/>
      <c r="J36" s="50">
        <f>IF($I36&lt;&gt;"",$I36,$H36)</f>
        <v/>
      </c>
      <c r="K36" s="54">
        <f>IF(OR(N($F36)&lt;=0,N($J36)&lt;=0,N($D$4)&lt;=0),"",($J36*$D$4)/$F36-1)</f>
        <v/>
      </c>
      <c r="L36" s="176" t="n">
        <v>0.3151</v>
      </c>
      <c r="M36" s="2" t="inlineStr">
        <is>
          <t>Jan 2026, US$616m offering; rose on debut</t>
        </is>
      </c>
    </row>
    <row r="37">
      <c r="A37" s="174" t="inlineStr">
        <is>
          <t>3986</t>
        </is>
      </c>
      <c r="B37" s="17" t="inlineStr">
        <is>
          <t>GIGADEVICE</t>
        </is>
      </c>
      <c r="C37" s="17" t="inlineStr">
        <is>
          <t>AI chips &amp; semis</t>
        </is>
      </c>
      <c r="D37" s="50">
        <f>IFERROR(BDP("3986 HK Equity","PX_LAST"),"")</f>
        <v/>
      </c>
      <c r="E37" s="175" t="n"/>
      <c r="F37" s="50">
        <f>IF($E37&lt;&gt;"",$E37,$D37)</f>
        <v/>
      </c>
      <c r="G37" s="17" t="inlineStr">
        <is>
          <t>603986.SS</t>
        </is>
      </c>
      <c r="H37" s="50">
        <f>IFERROR(BDP("603986 CH Equity","PX_LAST"),"")</f>
        <v/>
      </c>
      <c r="I37" s="175" t="n"/>
      <c r="J37" s="50">
        <f>IF($I37&lt;&gt;"",$I37,$H37)</f>
        <v/>
      </c>
      <c r="K37" s="54">
        <f>IF(OR(N($F37)&lt;=0,N($J37)&lt;=0,N($D$4)&lt;=0),"",($J37*$D$4)/$F37-1)</f>
        <v/>
      </c>
      <c r="L37" s="176" t="n">
        <v>-0.1064</v>
      </c>
      <c r="M37" s="2" t="inlineStr">
        <is>
          <t>Jan 2026, ~US$600m at top of range; closed +37.5% on debut</t>
        </is>
      </c>
    </row>
    <row r="38">
      <c r="A38" s="174" t="inlineStr">
        <is>
          <t>9611</t>
        </is>
      </c>
      <c r="B38" s="17" t="inlineStr">
        <is>
          <t>LONGCHEER</t>
        </is>
      </c>
      <c r="C38" s="17" t="inlineStr">
        <is>
          <t>Smart hardware / consumer electronics</t>
        </is>
      </c>
      <c r="D38" s="50">
        <f>IFERROR(BDP("9611 HK Equity","PX_LAST"),"")</f>
        <v/>
      </c>
      <c r="E38" s="175" t="n"/>
      <c r="F38" s="50">
        <f>IF($E38&lt;&gt;"",$E38,$D38)</f>
        <v/>
      </c>
      <c r="G38" s="17" t="inlineStr">
        <is>
          <t>603341.SS</t>
        </is>
      </c>
      <c r="H38" s="50">
        <f>IFERROR(BDP("603341 CH Equity","PX_LAST"),"")</f>
        <v/>
      </c>
      <c r="I38" s="175" t="n"/>
      <c r="J38" s="50">
        <f>IF($I38&lt;&gt;"",$I38,$H38)</f>
        <v/>
      </c>
      <c r="K38" s="54">
        <f>IF(OR(N($F38)&lt;=0,N($J38)&lt;=0,N($D$4)&lt;=0),"",($J38*$D$4)/$F38-1)</f>
        <v/>
      </c>
      <c r="L38" s="176" t="n">
        <v>1.0367</v>
      </c>
      <c r="M38" s="2" t="inlineStr">
        <is>
          <t>Jan 2026 H listing (smart-device ODM)</t>
        </is>
      </c>
    </row>
    <row r="39">
      <c r="A39" s="174" t="inlineStr">
        <is>
          <t>9980</t>
        </is>
      </c>
      <c r="B39" s="17" t="inlineStr">
        <is>
          <t>EASTROC</t>
        </is>
      </c>
      <c r="C39" s="17" t="inlineStr">
        <is>
          <t>Beverages / packaged food</t>
        </is>
      </c>
      <c r="D39" s="50">
        <f>IFERROR(BDP("9980 HK Equity","PX_LAST"),"")</f>
        <v/>
      </c>
      <c r="E39" s="175" t="n"/>
      <c r="F39" s="50">
        <f>IF($E39&lt;&gt;"",$E39,$D39)</f>
        <v/>
      </c>
      <c r="G39" s="17" t="inlineStr">
        <is>
          <t>605499.SS</t>
        </is>
      </c>
      <c r="H39" s="50">
        <f>IFERROR(BDP("605499 CH Equity","PX_LAST"),"")</f>
        <v/>
      </c>
      <c r="I39" s="175" t="n"/>
      <c r="J39" s="50">
        <f>IF($I39&lt;&gt;"",$I39,$H39)</f>
        <v/>
      </c>
      <c r="K39" s="54">
        <f>IF(OR(N($F39)&lt;=0,N($J39)&lt;=0,N($D$4)&lt;=0),"",($J39*$D$4)/$F39-1)</f>
        <v/>
      </c>
      <c r="L39" s="176" t="n">
        <v>0.3847</v>
      </c>
      <c r="M39" s="2" t="inlineStr">
        <is>
          <t>Feb 2026, ~HK$10.1bn at HK$248/sh; largest HK IPO of early 2026</t>
        </is>
      </c>
    </row>
    <row r="40">
      <c r="A40" s="174" t="inlineStr">
        <is>
          <t>2768</t>
        </is>
      </c>
      <c r="B40" s="17" t="inlineStr">
        <is>
          <t>GON TECHNOLOGY</t>
        </is>
      </c>
      <c r="C40" s="17" t="inlineStr">
        <is>
          <t>Smart hardware / consumer electronics</t>
        </is>
      </c>
      <c r="D40" s="50">
        <f>IFERROR(BDP("2768 HK Equity","PX_LAST"),"")</f>
        <v/>
      </c>
      <c r="E40" s="175" t="n"/>
      <c r="F40" s="50">
        <f>IF($E40&lt;&gt;"",$E40,$D40)</f>
        <v/>
      </c>
      <c r="G40" s="17" t="inlineStr">
        <is>
          <t>002768.SZ</t>
        </is>
      </c>
      <c r="H40" s="50">
        <f>IFERROR(BDP("002768 CH Equity","PX_LAST"),"")</f>
        <v/>
      </c>
      <c r="I40" s="175" t="n"/>
      <c r="J40" s="50">
        <f>IF($I40&lt;&gt;"",$I40,$H40)</f>
        <v/>
      </c>
      <c r="K40" s="54">
        <f>IF(OR(N($F40)&lt;=0,N($J40)&lt;=0,N($D$4)&lt;=0),"",($J40*$D$4)/$F40-1)</f>
        <v/>
      </c>
      <c r="L40" s="176" t="n">
        <v>0.8403</v>
      </c>
      <c r="M40" s="2" t="inlineStr">
        <is>
          <t>Feb 2026 H listing (polymer materials)</t>
        </is>
      </c>
    </row>
    <row r="41">
      <c r="A41" s="174" t="inlineStr">
        <is>
          <t>3200</t>
        </is>
      </c>
      <c r="B41" s="17" t="inlineStr">
        <is>
          <t>HANS CNC</t>
        </is>
      </c>
      <c r="C41" s="17" t="inlineStr">
        <is>
          <t>Capital goods / machinery</t>
        </is>
      </c>
      <c r="D41" s="50">
        <f>IFERROR(BDP("3200 HK Equity","PX_LAST"),"")</f>
        <v/>
      </c>
      <c r="E41" s="175" t="n"/>
      <c r="F41" s="50">
        <f>IF($E41&lt;&gt;"",$E41,$D41)</f>
        <v/>
      </c>
      <c r="G41" s="17" t="inlineStr">
        <is>
          <t>301200.SZ</t>
        </is>
      </c>
      <c r="H41" s="50">
        <f>IFERROR(BDP("301200 CH Equity","PX_LAST"),"")</f>
        <v/>
      </c>
      <c r="I41" s="175" t="n"/>
      <c r="J41" s="50">
        <f>IF($I41&lt;&gt;"",$I41,$H41)</f>
        <v/>
      </c>
      <c r="K41" s="54">
        <f>IF(OR(N($F41)&lt;=0,N($J41)&lt;=0,N($D$4)&lt;=0),"",($J41*$D$4)/$F41-1)</f>
        <v/>
      </c>
      <c r="L41" s="176" t="n">
        <v>1.7495</v>
      </c>
      <c r="M41" s="2" t="inlineStr">
        <is>
          <t>Feb 2026 H listing (PCB drilling equipment)</t>
        </is>
      </c>
    </row>
    <row r="42">
      <c r="A42" s="174" t="inlineStr">
        <is>
          <t>2714</t>
        </is>
      </c>
      <c r="B42" s="17" t="inlineStr">
        <is>
          <t>MUYUAN</t>
        </is>
      </c>
      <c r="C42" s="17" t="inlineStr">
        <is>
          <t>Beverages / packaged food</t>
        </is>
      </c>
      <c r="D42" s="50">
        <f>IFERROR(BDP("2714 HK Equity","PX_LAST"),"")</f>
        <v/>
      </c>
      <c r="E42" s="175" t="n"/>
      <c r="F42" s="50">
        <f>IF($E42&lt;&gt;"",$E42,$D42)</f>
        <v/>
      </c>
      <c r="G42" s="17" t="inlineStr">
        <is>
          <t>002714.SZ</t>
        </is>
      </c>
      <c r="H42" s="50">
        <f>IFERROR(BDP("002714 CH Equity","PX_LAST"),"")</f>
        <v/>
      </c>
      <c r="I42" s="175" t="n"/>
      <c r="J42" s="50">
        <f>IF($I42&lt;&gt;"",$I42,$H42)</f>
        <v/>
      </c>
      <c r="K42" s="54">
        <f>IF(OR(N($F42)&lt;=0,N($J42)&lt;=0,N($D$4)&lt;=0),"",($J42*$D$4)/$F42-1)</f>
        <v/>
      </c>
      <c r="L42" s="176" t="n">
        <v>0.2922</v>
      </c>
      <c r="M42" s="2" t="inlineStr">
        <is>
          <t>Feb 2026, net proceeds up to HK$12.0bn w/ greenshoe; subdued debut</t>
        </is>
      </c>
    </row>
    <row r="43">
      <c r="A43" s="174" t="inlineStr">
        <is>
          <t>6809</t>
        </is>
      </c>
      <c r="B43" s="17" t="inlineStr">
        <is>
          <t>MONTAGE TECH</t>
        </is>
      </c>
      <c r="C43" s="17" t="inlineStr">
        <is>
          <t>AI chips &amp; semis</t>
        </is>
      </c>
      <c r="D43" s="50">
        <f>IFERROR(BDP("6809 HK Equity","PX_LAST"),"")</f>
        <v/>
      </c>
      <c r="E43" s="175" t="n"/>
      <c r="F43" s="50">
        <f>IF($E43&lt;&gt;"",$E43,$D43)</f>
        <v/>
      </c>
      <c r="G43" s="17" t="inlineStr">
        <is>
          <t>688008.SS</t>
        </is>
      </c>
      <c r="H43" s="50">
        <f>IFERROR(BDP("688008 CH Equity","PX_LAST"),"")</f>
        <v/>
      </c>
      <c r="I43" s="175" t="n"/>
      <c r="J43" s="50">
        <f>IF($I43&lt;&gt;"",$I43,$H43)</f>
        <v/>
      </c>
      <c r="K43" s="54">
        <f>IF(OR(N($F43)&lt;=0,N($J43)&lt;=0,N($D$4)&lt;=0),"",($J43*$D$4)/$F43-1)</f>
        <v/>
      </c>
      <c r="L43" s="176" t="n">
        <v>-0.1407</v>
      </c>
      <c r="M43" s="2" t="inlineStr">
        <is>
          <t>Feb 2026 H listing (memory interface chips)</t>
        </is>
      </c>
    </row>
    <row r="44">
      <c r="A44" s="174" t="inlineStr">
        <is>
          <t>0470</t>
        </is>
      </c>
      <c r="B44" s="17" t="inlineStr">
        <is>
          <t>WUXI LEAD</t>
        </is>
      </c>
      <c r="C44" s="17" t="inlineStr">
        <is>
          <t>Capital goods / machinery</t>
        </is>
      </c>
      <c r="D44" s="50">
        <f>IFERROR(BDP("470 HK Equity","PX_LAST"),"")</f>
        <v/>
      </c>
      <c r="E44" s="175" t="n"/>
      <c r="F44" s="50">
        <f>IF($E44&lt;&gt;"",$E44,$D44)</f>
        <v/>
      </c>
      <c r="G44" s="17" t="inlineStr">
        <is>
          <t>300450.SZ</t>
        </is>
      </c>
      <c r="H44" s="50">
        <f>IFERROR(BDP("300450 CH Equity","PX_LAST"),"")</f>
        <v/>
      </c>
      <c r="I44" s="175" t="n"/>
      <c r="J44" s="50">
        <f>IF($I44&lt;&gt;"",$I44,$H44)</f>
        <v/>
      </c>
      <c r="K44" s="54">
        <f>IF(OR(N($F44)&lt;=0,N($J44)&lt;=0,N($D$4)&lt;=0),"",($J44*$D$4)/$F44-1)</f>
        <v/>
      </c>
      <c r="L44" s="176" t="n">
        <v>0.3656</v>
      </c>
      <c r="M44" s="2" t="inlineStr">
        <is>
          <t>Feb 2026 H listing (battery-making equipment)</t>
        </is>
      </c>
    </row>
    <row r="45">
      <c r="A45" s="174" t="inlineStr">
        <is>
          <t>9981</t>
        </is>
      </c>
      <c r="B45" s="17" t="inlineStr">
        <is>
          <t>WOER</t>
        </is>
      </c>
      <c r="C45" s="17" t="inlineStr">
        <is>
          <t>Chemicals</t>
        </is>
      </c>
      <c r="D45" s="50">
        <f>IFERROR(BDP("9981 HK Equity","PX_LAST"),"")</f>
        <v/>
      </c>
      <c r="E45" s="175" t="n"/>
      <c r="F45" s="50">
        <f>IF($E45&lt;&gt;"",$E45,$D45)</f>
        <v/>
      </c>
      <c r="G45" s="17" t="inlineStr">
        <is>
          <t>002130.SZ</t>
        </is>
      </c>
      <c r="H45" s="50">
        <f>IFERROR(BDP("002130 CH Equity","PX_LAST"),"")</f>
        <v/>
      </c>
      <c r="I45" s="175" t="n"/>
      <c r="J45" s="50">
        <f>IF($I45&lt;&gt;"",$I45,$H45)</f>
        <v/>
      </c>
      <c r="K45" s="54">
        <f>IF(OR(N($F45)&lt;=0,N($J45)&lt;=0,N($D$4)&lt;=0),"",($J45*$D$4)/$F45-1)</f>
        <v/>
      </c>
      <c r="L45" s="176" t="n">
        <v>1.2371</v>
      </c>
      <c r="M45" s="2" t="inlineStr">
        <is>
          <t>Feb 2026 H listing</t>
        </is>
      </c>
    </row>
    <row r="46">
      <c r="A46" s="174" t="inlineStr">
        <is>
          <t>2715</t>
        </is>
      </c>
      <c r="B46" s="17" t="inlineStr">
        <is>
          <t>ESTUN</t>
        </is>
      </c>
      <c r="C46" s="17" t="inlineStr">
        <is>
          <t>Robotics &amp; autonomous driving</t>
        </is>
      </c>
      <c r="D46" s="50">
        <f>IFERROR(BDP("2715 HK Equity","PX_LAST"),"")</f>
        <v/>
      </c>
      <c r="E46" s="175" t="n"/>
      <c r="F46" s="50">
        <f>IF($E46&lt;&gt;"",$E46,$D46)</f>
        <v/>
      </c>
      <c r="G46" s="17" t="inlineStr">
        <is>
          <t>002747.SZ</t>
        </is>
      </c>
      <c r="H46" s="50">
        <f>IFERROR(BDP("002747 CH Equity","PX_LAST"),"")</f>
        <v/>
      </c>
      <c r="I46" s="175" t="n"/>
      <c r="J46" s="50">
        <f>IF($I46&lt;&gt;"",$I46,$H46)</f>
        <v/>
      </c>
      <c r="K46" s="54">
        <f>IF(OR(N($F46)&lt;=0,N($J46)&lt;=0,N($D$4)&lt;=0),"",($J46*$D$4)/$F46-1)</f>
        <v/>
      </c>
      <c r="L46" s="176" t="n">
        <v>1.3272</v>
      </c>
      <c r="M46" s="2" t="inlineStr">
        <is>
          <t>Mar 2026 H listing (industrial robots)</t>
        </is>
      </c>
    </row>
    <row r="47">
      <c r="A47" s="174" t="inlineStr">
        <is>
          <t>2692</t>
        </is>
      </c>
      <c r="B47" s="17" t="inlineStr">
        <is>
          <t>ZHAOWEI</t>
        </is>
      </c>
      <c r="C47" s="17" t="inlineStr">
        <is>
          <t>Capital goods / machinery</t>
        </is>
      </c>
      <c r="D47" s="50">
        <f>IFERROR(BDP("2692 HK Equity","PX_LAST"),"")</f>
        <v/>
      </c>
      <c r="E47" s="175" t="n"/>
      <c r="F47" s="50">
        <f>IF($E47&lt;&gt;"",$E47,$D47)</f>
        <v/>
      </c>
      <c r="G47" s="17" t="inlineStr">
        <is>
          <t>003021.SZ</t>
        </is>
      </c>
      <c r="H47" s="50">
        <f>IFERROR(BDP("003021 CH Equity","PX_LAST"),"")</f>
        <v/>
      </c>
      <c r="I47" s="175" t="n"/>
      <c r="J47" s="50">
        <f>IF($I47&lt;&gt;"",$I47,$H47)</f>
        <v/>
      </c>
      <c r="K47" s="54">
        <f>IF(OR(N($F47)&lt;=0,N($J47)&lt;=0,N($D$4)&lt;=0),"",($J47*$D$4)/$F47-1)</f>
        <v/>
      </c>
      <c r="L47" s="176" t="n">
        <v>1.1182</v>
      </c>
      <c r="M47" s="2" t="inlineStr">
        <is>
          <t>Mar 2026 H listing (micro drive systems/dexterous hands)</t>
        </is>
      </c>
    </row>
    <row r="48">
      <c r="A48" s="174" t="inlineStr">
        <is>
          <t>3268</t>
        </is>
      </c>
      <c r="B48" s="17" t="inlineStr">
        <is>
          <t>MEIG</t>
        </is>
      </c>
      <c r="C48" s="17" t="inlineStr">
        <is>
          <t>Smart hardware / consumer electronics</t>
        </is>
      </c>
      <c r="D48" s="50">
        <f>IFERROR(BDP("3268 HK Equity","PX_LAST"),"")</f>
        <v/>
      </c>
      <c r="E48" s="175" t="n"/>
      <c r="F48" s="50">
        <f>IF($E48&lt;&gt;"",$E48,$D48)</f>
        <v/>
      </c>
      <c r="G48" s="17" t="inlineStr">
        <is>
          <t>002881.SZ</t>
        </is>
      </c>
      <c r="H48" s="50">
        <f>IFERROR(BDP("002881 CH Equity","PX_LAST"),"")</f>
        <v/>
      </c>
      <c r="I48" s="175" t="n"/>
      <c r="J48" s="50">
        <f>IF($I48&lt;&gt;"",$I48,$H48)</f>
        <v/>
      </c>
      <c r="K48" s="54">
        <f>IF(OR(N($F48)&lt;=0,N($J48)&lt;=0,N($D$4)&lt;=0),"",($J48*$D$4)/$F48-1)</f>
        <v/>
      </c>
      <c r="L48" s="176" t="n">
        <v>1.7382</v>
      </c>
      <c r="M48" s="2" t="inlineStr">
        <is>
          <t>Mar 2026 H listing (IoT modules)</t>
        </is>
      </c>
    </row>
    <row r="49">
      <c r="A49" s="174" t="inlineStr">
        <is>
          <t>1989</t>
        </is>
      </c>
      <c r="B49" s="17" t="inlineStr">
        <is>
          <t>DELTON</t>
        </is>
      </c>
      <c r="C49" s="17" t="inlineStr">
        <is>
          <t>Smart hardware / consumer electronics</t>
        </is>
      </c>
      <c r="D49" s="50">
        <f>IFERROR(BDP("1989 HK Equity","PX_LAST"),"")</f>
        <v/>
      </c>
      <c r="E49" s="175" t="n"/>
      <c r="F49" s="50">
        <f>IF($E49&lt;&gt;"",$E49,$D49)</f>
        <v/>
      </c>
      <c r="G49" s="17" t="inlineStr">
        <is>
          <t>001389.SZ</t>
        </is>
      </c>
      <c r="H49" s="50">
        <f>IFERROR(BDP("001389 CH Equity","PX_LAST"),"")</f>
        <v/>
      </c>
      <c r="I49" s="175" t="n"/>
      <c r="J49" s="50">
        <f>IF($I49&lt;&gt;"",$I49,$H49)</f>
        <v/>
      </c>
      <c r="K49" s="54">
        <f>IF(OR(N($F49)&lt;=0,N($J49)&lt;=0,N($D$4)&lt;=0),"",($J49*$D$4)/$F49-1)</f>
        <v/>
      </c>
      <c r="L49" s="176" t="n">
        <v>0.7705</v>
      </c>
      <c r="M49" s="2" t="inlineStr">
        <is>
          <t>Mar 2026 H listing (PCB)</t>
        </is>
      </c>
    </row>
    <row r="50">
      <c r="A50" s="174" t="inlineStr">
        <is>
          <t>2701</t>
        </is>
      </c>
      <c r="B50" s="17" t="inlineStr">
        <is>
          <t>NSING TECH</t>
        </is>
      </c>
      <c r="C50" s="17" t="inlineStr">
        <is>
          <t>AI chips &amp; semis</t>
        </is>
      </c>
      <c r="D50" s="50">
        <f>IFERROR(BDP("2701 HK Equity","PX_LAST"),"")</f>
        <v/>
      </c>
      <c r="E50" s="175" t="n"/>
      <c r="F50" s="50">
        <f>IF($E50&lt;&gt;"",$E50,$D50)</f>
        <v/>
      </c>
      <c r="G50" s="17" t="inlineStr">
        <is>
          <t>300077.SZ</t>
        </is>
      </c>
      <c r="H50" s="50">
        <f>IFERROR(BDP("300077 CH Equity","PX_LAST"),"")</f>
        <v/>
      </c>
      <c r="I50" s="175" t="n"/>
      <c r="J50" s="50">
        <f>IF($I50&lt;&gt;"",$I50,$H50)</f>
        <v/>
      </c>
      <c r="K50" s="54">
        <f>IF(OR(N($F50)&lt;=0,N($J50)&lt;=0,N($D$4)&lt;=0),"",($J50*$D$4)/$F50-1)</f>
        <v/>
      </c>
      <c r="L50" s="176" t="n">
        <v>1.9709</v>
      </c>
      <c r="M50" s="2" t="inlineStr">
        <is>
          <t>Mar 2026 H listing (security/MCU chips)</t>
        </is>
      </c>
    </row>
    <row r="51">
      <c r="A51" s="174" t="inlineStr">
        <is>
          <t>2476</t>
        </is>
      </c>
      <c r="B51" s="17" t="inlineStr">
        <is>
          <t>VGT</t>
        </is>
      </c>
      <c r="C51" s="17" t="inlineStr">
        <is>
          <t>Smart hardware / consumer electronics</t>
        </is>
      </c>
      <c r="D51" s="50">
        <f>IFERROR(BDP("2476 HK Equity","PX_LAST"),"")</f>
        <v/>
      </c>
      <c r="E51" s="175" t="n"/>
      <c r="F51" s="50">
        <f>IF($E51&lt;&gt;"",$E51,$D51)</f>
        <v/>
      </c>
      <c r="G51" s="17" t="inlineStr">
        <is>
          <t>300476.SZ</t>
        </is>
      </c>
      <c r="H51" s="50">
        <f>IFERROR(BDP("300476 CH Equity","PX_LAST"),"")</f>
        <v/>
      </c>
      <c r="I51" s="175" t="n"/>
      <c r="J51" s="50">
        <f>IF($I51&lt;&gt;"",$I51,$H51)</f>
        <v/>
      </c>
      <c r="K51" s="54">
        <f>IF(OR(N($F51)&lt;=0,N($J51)&lt;=0,N($D$4)&lt;=0),"",($J51*$D$4)/$F51-1)</f>
        <v/>
      </c>
      <c r="L51" s="176" t="n">
        <v>0.29</v>
      </c>
      <c r="M51" s="2" t="inlineStr">
        <is>
          <t>Apr 2026, HK$20.1bn (~US$2.57bn); +60% debut; Nvidia AI-PCB supplier</t>
        </is>
      </c>
    </row>
    <row r="52">
      <c r="A52" s="174" t="inlineStr">
        <is>
          <t>3296</t>
        </is>
      </c>
      <c r="B52" s="17" t="inlineStr">
        <is>
          <t>HUAQIN</t>
        </is>
      </c>
      <c r="C52" s="17" t="inlineStr">
        <is>
          <t>Smart hardware / consumer electronics</t>
        </is>
      </c>
      <c r="D52" s="50">
        <f>IFERROR(BDP("3296 HK Equity","PX_LAST"),"")</f>
        <v/>
      </c>
      <c r="E52" s="175" t="n"/>
      <c r="F52" s="50">
        <f>IF($E52&lt;&gt;"",$E52,$D52)</f>
        <v/>
      </c>
      <c r="G52" s="17" t="inlineStr">
        <is>
          <t>603296.SS</t>
        </is>
      </c>
      <c r="H52" s="50">
        <f>IFERROR(BDP("603296 CH Equity","PX_LAST"),"")</f>
        <v/>
      </c>
      <c r="I52" s="175" t="n"/>
      <c r="J52" s="50">
        <f>IF($I52&lt;&gt;"",$I52,$H52)</f>
        <v/>
      </c>
      <c r="K52" s="54">
        <f>IF(OR(N($F52)&lt;=0,N($J52)&lt;=0,N($D$4)&lt;=0),"",($J52*$D$4)/$F52-1)</f>
        <v/>
      </c>
      <c r="L52" s="176" t="n">
        <v>0.2796</v>
      </c>
      <c r="M52" s="2" t="inlineStr">
        <is>
          <t>Apr 2026 H listing (smart-hardware ODM)</t>
        </is>
      </c>
    </row>
    <row r="53">
      <c r="A53" s="174" t="inlineStr">
        <is>
          <t>2493</t>
        </is>
      </c>
      <c r="B53" s="17" t="inlineStr">
        <is>
          <t>MABWELL-B</t>
        </is>
      </c>
      <c r="C53" s="17" t="inlineStr">
        <is>
          <t>Biotech pre-revenue (18A)</t>
        </is>
      </c>
      <c r="D53" s="50">
        <f>IFERROR(BDP("2493 HK Equity","PX_LAST"),"")</f>
        <v/>
      </c>
      <c r="E53" s="175" t="n"/>
      <c r="F53" s="50">
        <f>IF($E53&lt;&gt;"",$E53,$D53)</f>
        <v/>
      </c>
      <c r="G53" s="17" t="inlineStr">
        <is>
          <t>688062.SS</t>
        </is>
      </c>
      <c r="H53" s="50">
        <f>IFERROR(BDP("688062 CH Equity","PX_LAST"),"")</f>
        <v/>
      </c>
      <c r="I53" s="175" t="n"/>
      <c r="J53" s="50">
        <f>IF($I53&lt;&gt;"",$I53,$H53)</f>
        <v/>
      </c>
      <c r="K53" s="54">
        <f>IF(OR(N($F53)&lt;=0,N($J53)&lt;=0,N($D$4)&lt;=0),"",($J53*$D$4)/$F53-1)</f>
        <v/>
      </c>
      <c r="L53" s="176" t="n">
        <v>0.5504</v>
      </c>
      <c r="M53" s="2" t="inlineStr">
        <is>
          <t>Apr 2026 H listing (ADC biotech); A+H on STAR</t>
        </is>
      </c>
    </row>
    <row r="54">
      <c r="A54" s="174" t="inlineStr">
        <is>
          <t>1187</t>
        </is>
      </c>
      <c r="B54" s="17" t="inlineStr">
        <is>
          <t>COFOE MEDICAL</t>
        </is>
      </c>
      <c r="C54" s="17" t="inlineStr">
        <is>
          <t>Medical devices</t>
        </is>
      </c>
      <c r="D54" s="50">
        <f>IFERROR(BDP("1187 HK Equity","PX_LAST"),"")</f>
        <v/>
      </c>
      <c r="E54" s="175" t="n"/>
      <c r="F54" s="50">
        <f>IF($E54&lt;&gt;"",$E54,$D54)</f>
        <v/>
      </c>
      <c r="G54" s="17" t="inlineStr">
        <is>
          <t>301087.SZ</t>
        </is>
      </c>
      <c r="H54" s="50">
        <f>IFERROR(BDP("301087 CH Equity","PX_LAST"),"")</f>
        <v/>
      </c>
      <c r="I54" s="175" t="n"/>
      <c r="J54" s="50">
        <f>IF($I54&lt;&gt;"",$I54,$H54)</f>
        <v/>
      </c>
      <c r="K54" s="54">
        <f>IF(OR(N($F54)&lt;=0,N($J54)&lt;=0,N($D$4)&lt;=0),"",($J54*$D$4)/$F54-1)</f>
        <v/>
      </c>
      <c r="L54" s="176" t="n">
        <v>1.0313</v>
      </c>
      <c r="M54" s="2" t="inlineStr">
        <is>
          <t>May 2026 H listing (home medical devices)</t>
        </is>
      </c>
    </row>
    <row r="55">
      <c r="A55" s="174" t="inlineStr">
        <is>
          <t>1081</t>
        </is>
      </c>
      <c r="B55" s="17" t="inlineStr">
        <is>
          <t>DAJIN</t>
        </is>
      </c>
      <c r="C55" s="17" t="inlineStr">
        <is>
          <t>Solar / wind supply chain</t>
        </is>
      </c>
      <c r="D55" s="50">
        <f>IFERROR(BDP("1081 HK Equity","PX_LAST"),"")</f>
        <v/>
      </c>
      <c r="E55" s="175" t="n"/>
      <c r="F55" s="50">
        <f>IF($E55&lt;&gt;"",$E55,$D55)</f>
        <v/>
      </c>
      <c r="G55" s="17" t="inlineStr">
        <is>
          <t>002487.SZ</t>
        </is>
      </c>
      <c r="H55" s="50">
        <f>IFERROR(BDP("002487 CH Equity","PX_LAST"),"")</f>
        <v/>
      </c>
      <c r="I55" s="175" t="n"/>
      <c r="J55" s="50">
        <f>IF($I55&lt;&gt;"",$I55,$H55)</f>
        <v/>
      </c>
      <c r="K55" s="54">
        <f>IF(OR(N($F55)&lt;=0,N($J55)&lt;=0,N($D$4)&lt;=0),"",($J55*$D$4)/$F55-1)</f>
        <v/>
      </c>
      <c r="L55" s="176" t="n">
        <v>0.4708</v>
      </c>
      <c r="M55" s="2" t="inlineStr">
        <is>
          <t>Jun 2026 H listing (offshore wind towers/monopiles)</t>
        </is>
      </c>
    </row>
    <row r="56">
      <c r="A56" s="174" t="inlineStr">
        <is>
          <t>6067</t>
        </is>
      </c>
      <c r="B56" s="17" t="inlineStr">
        <is>
          <t>SENIOR MATERIAL</t>
        </is>
      </c>
      <c r="C56" s="17" t="inlineStr">
        <is>
          <t>Batteries / energy storage</t>
        </is>
      </c>
      <c r="D56" s="50">
        <f>IFERROR(BDP("6067 HK Equity","PX_LAST"),"")</f>
        <v/>
      </c>
      <c r="E56" s="175" t="n"/>
      <c r="F56" s="50">
        <f>IF($E56&lt;&gt;"",$E56,$D56)</f>
        <v/>
      </c>
      <c r="G56" s="17" t="inlineStr">
        <is>
          <t>300568.SZ</t>
        </is>
      </c>
      <c r="H56" s="50">
        <f>IFERROR(BDP("300568 CH Equity","PX_LAST"),"")</f>
        <v/>
      </c>
      <c r="I56" s="175" t="n"/>
      <c r="J56" s="50">
        <f>IF($I56&lt;&gt;"",$I56,$H56)</f>
        <v/>
      </c>
      <c r="K56" s="54">
        <f>IF(OR(N($F56)&lt;=0,N($J56)&lt;=0,N($D$4)&lt;=0),"",($J56*$D$4)/$F56-1)</f>
        <v/>
      </c>
      <c r="L56" s="176" t="n">
        <v>1.3872</v>
      </c>
      <c r="M56" s="2" t="inlineStr">
        <is>
          <t>Jun 2026 H listing (battery separators)</t>
        </is>
      </c>
    </row>
    <row r="57">
      <c r="A57" s="174" t="inlineStr">
        <is>
          <t>3661</t>
        </is>
      </c>
      <c r="B57" s="17" t="inlineStr">
        <is>
          <t>SG MICRO</t>
        </is>
      </c>
      <c r="C57" s="17" t="inlineStr">
        <is>
          <t>AI chips &amp; semis</t>
        </is>
      </c>
      <c r="D57" s="50">
        <f>IFERROR(BDP("3661 HK Equity","PX_LAST"),"")</f>
        <v/>
      </c>
      <c r="E57" s="175" t="n"/>
      <c r="F57" s="50">
        <f>IF($E57&lt;&gt;"",$E57,$D57)</f>
        <v/>
      </c>
      <c r="G57" s="17" t="inlineStr">
        <is>
          <t>300661.SZ</t>
        </is>
      </c>
      <c r="H57" s="50">
        <f>IFERROR(BDP("300661 CH Equity","PX_LAST"),"")</f>
        <v/>
      </c>
      <c r="I57" s="175" t="n"/>
      <c r="J57" s="50">
        <f>IF($I57&lt;&gt;"",$I57,$H57)</f>
        <v/>
      </c>
      <c r="K57" s="54">
        <f>IF(OR(N($F57)&lt;=0,N($J57)&lt;=0,N($D$4)&lt;=0),"",($J57*$D$4)/$F57-1)</f>
        <v/>
      </c>
      <c r="L57" s="176" t="n">
        <v>0.4821</v>
      </c>
      <c r="M57" s="2" t="inlineStr">
        <is>
          <t>Jun 2026 H listing (analog chips)</t>
        </is>
      </c>
    </row>
    <row r="58">
      <c r="A58" s="174" t="inlineStr">
        <is>
          <t>1688</t>
        </is>
      </c>
      <c r="B58" s="17" t="inlineStr">
        <is>
          <t>LINGYI ITECH</t>
        </is>
      </c>
      <c r="C58" s="17" t="inlineStr">
        <is>
          <t>Smart hardware / consumer electronics</t>
        </is>
      </c>
      <c r="D58" s="50">
        <f>IFERROR(BDP("1688 HK Equity","PX_LAST"),"")</f>
        <v/>
      </c>
      <c r="E58" s="175" t="n"/>
      <c r="F58" s="50">
        <f>IF($E58&lt;&gt;"",$E58,$D58)</f>
        <v/>
      </c>
      <c r="G58" s="17" t="inlineStr">
        <is>
          <t>002600.SZ</t>
        </is>
      </c>
      <c r="H58" s="50">
        <f>IFERROR(BDP("002600 CH Equity","PX_LAST"),"")</f>
        <v/>
      </c>
      <c r="I58" s="175" t="n"/>
      <c r="J58" s="50">
        <f>IF($I58&lt;&gt;"",$I58,$H58)</f>
        <v/>
      </c>
      <c r="K58" s="54">
        <f>IF(OR(N($F58)&lt;=0,N($J58)&lt;=0,N($D$4)&lt;=0),"",($J58*$D$4)/$F58-1)</f>
        <v/>
      </c>
      <c r="L58" s="176" t="n">
        <v>1.412</v>
      </c>
      <c r="M58" s="2" t="inlineStr">
        <is>
          <t>Jun 2026 H listing (consumer-electronics precision parts)</t>
        </is>
      </c>
    </row>
    <row r="59">
      <c r="A59" s="174" t="inlineStr">
        <is>
          <t>9630</t>
        </is>
      </c>
      <c r="B59" s="17" t="inlineStr">
        <is>
          <t>CFMEE</t>
        </is>
      </c>
      <c r="C59" s="17" t="inlineStr">
        <is>
          <t>AI chips &amp; semis</t>
        </is>
      </c>
      <c r="D59" s="50">
        <f>IFERROR(BDP("9630 HK Equity","PX_LAST"),"")</f>
        <v/>
      </c>
      <c r="E59" s="175" t="n"/>
      <c r="F59" s="50">
        <f>IF($E59&lt;&gt;"",$E59,$D59)</f>
        <v/>
      </c>
      <c r="G59" s="17" t="inlineStr">
        <is>
          <t>688630.SS</t>
        </is>
      </c>
      <c r="H59" s="50">
        <f>IFERROR(BDP("688630 CH Equity","PX_LAST"),"")</f>
        <v/>
      </c>
      <c r="I59" s="175" t="n"/>
      <c r="J59" s="50">
        <f>IF($I59&lt;&gt;"",$I59,$H59)</f>
        <v/>
      </c>
      <c r="K59" s="54">
        <f>IF(OR(N($F59)&lt;=0,N($J59)&lt;=0,N($D$4)&lt;=0),"",($J59*$D$4)/$F59-1)</f>
        <v/>
      </c>
      <c r="L59" s="176" t="n">
        <v>0.3572</v>
      </c>
      <c r="M59" s="2" t="inlineStr">
        <is>
          <t>Jun 2026 H listing (direct-write lithography equipment)</t>
        </is>
      </c>
    </row>
    <row r="60">
      <c r="A60" s="174" t="inlineStr">
        <is>
          <t>0668</t>
        </is>
      </c>
      <c r="B60" s="17" t="inlineStr">
        <is>
          <t>ANKER</t>
        </is>
      </c>
      <c r="C60" s="17" t="inlineStr">
        <is>
          <t>Smart hardware / consumer electronics</t>
        </is>
      </c>
      <c r="D60" s="50">
        <f>IFERROR(BDP("668 HK Equity","PX_LAST"),"")</f>
        <v/>
      </c>
      <c r="E60" s="175" t="n"/>
      <c r="F60" s="50">
        <f>IF($E60&lt;&gt;"",$E60,$D60)</f>
        <v/>
      </c>
      <c r="G60" s="17" t="inlineStr">
        <is>
          <t>300866.SZ</t>
        </is>
      </c>
      <c r="H60" s="50">
        <f>IFERROR(BDP("300866 CH Equity","PX_LAST"),"")</f>
        <v/>
      </c>
      <c r="I60" s="175" t="n"/>
      <c r="J60" s="50">
        <f>IF($I60&lt;&gt;"",$I60,$H60)</f>
        <v/>
      </c>
      <c r="K60" s="54">
        <f>IF(OR(N($F60)&lt;=0,N($J60)&lt;=0,N($D$4)&lt;=0),"",($J60*$D$4)/$F60-1)</f>
        <v/>
      </c>
      <c r="L60" s="176" t="n">
        <v>0.2776</v>
      </c>
      <c r="M60" s="2" t="inlineStr">
        <is>
          <t>Jun 2026 H listing (consumer charging/power brands)</t>
        </is>
      </c>
    </row>
    <row r="61">
      <c r="A61" s="174" t="inlineStr">
        <is>
          <t>0537</t>
        </is>
      </c>
      <c r="B61" s="17" t="inlineStr">
        <is>
          <t>RIGOL</t>
        </is>
      </c>
      <c r="C61" s="17" t="inlineStr">
        <is>
          <t>Capital goods / machinery</t>
        </is>
      </c>
      <c r="D61" s="50">
        <f>IFERROR(BDP("537 HK Equity","PX_LAST"),"")</f>
        <v/>
      </c>
      <c r="E61" s="175" t="n"/>
      <c r="F61" s="50">
        <f>IF($E61&lt;&gt;"",$E61,$D61)</f>
        <v/>
      </c>
      <c r="G61" s="17" t="inlineStr">
        <is>
          <t>688337.SS</t>
        </is>
      </c>
      <c r="H61" s="50">
        <f>IFERROR(BDP("688337 CH Equity","PX_LAST"),"")</f>
        <v/>
      </c>
      <c r="I61" s="175" t="n"/>
      <c r="J61" s="50">
        <f>IF($I61&lt;&gt;"",$I61,$H61)</f>
        <v/>
      </c>
      <c r="K61" s="54">
        <f>IF(OR(N($F61)&lt;=0,N($J61)&lt;=0,N($D$4)&lt;=0),"",($J61*$D$4)/$F61-1)</f>
        <v/>
      </c>
      <c r="L61" s="176" t="n">
        <v>1.416</v>
      </c>
      <c r="M61" s="2" t="inlineStr">
        <is>
          <t>Jul 2026 H listing (electronic test &amp; measurement)</t>
        </is>
      </c>
    </row>
    <row r="62">
      <c r="A62" s="174" t="inlineStr">
        <is>
          <t>2475</t>
        </is>
      </c>
      <c r="B62" s="17" t="inlineStr">
        <is>
          <t>LUXSHARE ICT</t>
        </is>
      </c>
      <c r="C62" s="17" t="inlineStr">
        <is>
          <t>Smart hardware / consumer electronics</t>
        </is>
      </c>
      <c r="D62" s="50">
        <f>IFERROR(BDP("2475 HK Equity","PX_LAST"),"")</f>
        <v/>
      </c>
      <c r="E62" s="175" t="n"/>
      <c r="F62" s="50">
        <f>IF($E62&lt;&gt;"",$E62,$D62)</f>
        <v/>
      </c>
      <c r="G62" s="17" t="inlineStr">
        <is>
          <t>002475.SZ</t>
        </is>
      </c>
      <c r="H62" s="50">
        <f>IFERROR(BDP("002475 CH Equity","PX_LAST"),"")</f>
        <v/>
      </c>
      <c r="I62" s="175" t="n"/>
      <c r="J62" s="50">
        <f>IF($I62&lt;&gt;"",$I62,$H62)</f>
        <v/>
      </c>
      <c r="K62" s="54">
        <f>IF(OR(N($F62)&lt;=0,N($J62)&lt;=0,N($D$4)&lt;=0),"",($J62*$D$4)/$F62-1)</f>
        <v/>
      </c>
      <c r="L62" s="176" t="n">
        <v>0.0808</v>
      </c>
      <c r="M62" s="2" t="inlineStr">
        <is>
          <t>Jul 2026, ~US$3.1bn; largest HK IPO of 2026 until Innolight</t>
        </is>
      </c>
    </row>
    <row r="63">
      <c r="A63" s="174" t="inlineStr">
        <is>
          <t>6951</t>
        </is>
      </c>
      <c r="B63" s="17" t="inlineStr">
        <is>
          <t>CCTC</t>
        </is>
      </c>
      <c r="C63" s="17" t="inlineStr">
        <is>
          <t>Smart hardware / consumer electronics</t>
        </is>
      </c>
      <c r="D63" s="50">
        <f>IFERROR(BDP("6951 HK Equity","PX_LAST"),"")</f>
        <v/>
      </c>
      <c r="E63" s="175" t="n"/>
      <c r="F63" s="50">
        <f>IF($E63&lt;&gt;"",$E63,$D63)</f>
        <v/>
      </c>
      <c r="G63" s="17" t="inlineStr">
        <is>
          <t>300408.SZ</t>
        </is>
      </c>
      <c r="H63" s="50">
        <f>IFERROR(BDP("300408 CH Equity","PX_LAST"),"")</f>
        <v/>
      </c>
      <c r="I63" s="175" t="n"/>
      <c r="J63" s="50">
        <f>IF($I63&lt;&gt;"",$I63,$H63)</f>
        <v/>
      </c>
      <c r="K63" s="54">
        <f>IF(OR(N($F63)&lt;=0,N($J63)&lt;=0,N($D$4)&lt;=0),"",($J63*$D$4)/$F63-1)</f>
        <v/>
      </c>
      <c r="L63" s="176" t="n">
        <v>0.1358</v>
      </c>
      <c r="M63" s="2" t="inlineStr">
        <is>
          <t>Jul 2026 H listing (ceramic components; targeted ~US$1bn)</t>
        </is>
      </c>
    </row>
    <row r="64">
      <c r="A64" s="174" t="inlineStr">
        <is>
          <t>1377</t>
        </is>
      </c>
      <c r="B64" s="17" t="inlineStr">
        <is>
          <t>DTECH</t>
        </is>
      </c>
      <c r="C64" s="17" t="inlineStr">
        <is>
          <t>Smart hardware / consumer electronics</t>
        </is>
      </c>
      <c r="D64" s="50">
        <f>IFERROR(BDP("1377 HK Equity","PX_LAST"),"")</f>
        <v/>
      </c>
      <c r="E64" s="175" t="n"/>
      <c r="F64" s="50">
        <f>IF($E64&lt;&gt;"",$E64,$D64)</f>
        <v/>
      </c>
      <c r="G64" s="17" t="inlineStr">
        <is>
          <t>301377.SZ</t>
        </is>
      </c>
      <c r="H64" s="50">
        <f>IFERROR(BDP("301377 CH Equity","PX_LAST"),"")</f>
        <v/>
      </c>
      <c r="I64" s="175" t="n"/>
      <c r="J64" s="50">
        <f>IF($I64&lt;&gt;"",$I64,$H64)</f>
        <v/>
      </c>
      <c r="K64" s="54">
        <f>IF(OR(N($F64)&lt;=0,N($J64)&lt;=0,N($D$4)&lt;=0),"",($J64*$D$4)/$F64-1)</f>
        <v/>
      </c>
      <c r="L64" s="176" t="n">
        <v>0.6321</v>
      </c>
      <c r="M64" s="2" t="inlineStr">
        <is>
          <t>Jul 2026 H listing (PCB drilling tools)</t>
        </is>
      </c>
    </row>
    <row r="65">
      <c r="A65" s="174" t="inlineStr">
        <is>
          <t>6745</t>
        </is>
      </c>
      <c r="B65" s="17" t="inlineStr">
        <is>
          <t>BEFAR GROUP</t>
        </is>
      </c>
      <c r="C65" s="17" t="inlineStr">
        <is>
          <t>Chemicals</t>
        </is>
      </c>
      <c r="D65" s="50">
        <f>IFERROR(BDP("6745 HK Equity","PX_LAST"),"")</f>
        <v/>
      </c>
      <c r="E65" s="175" t="n"/>
      <c r="F65" s="50">
        <f>IF($E65&lt;&gt;"",$E65,$D65)</f>
        <v/>
      </c>
      <c r="G65" s="17" t="inlineStr">
        <is>
          <t>601678.SS</t>
        </is>
      </c>
      <c r="H65" s="50">
        <f>IFERROR(BDP("601678 CH Equity","PX_LAST"),"")</f>
        <v/>
      </c>
      <c r="I65" s="175" t="n"/>
      <c r="J65" s="50">
        <f>IF($I65&lt;&gt;"",$I65,$H65)</f>
        <v/>
      </c>
      <c r="K65" s="54">
        <f>IF(OR(N($F65)&lt;=0,N($J65)&lt;=0,N($D$4)&lt;=0),"",($J65*$D$4)/$F65-1)</f>
        <v/>
      </c>
      <c r="L65" s="176" t="n">
        <v>1.2894</v>
      </c>
      <c r="M65" s="2" t="inlineStr">
        <is>
          <t>Jul 2026 H listing (chlor-alkali/chemicals)</t>
        </is>
      </c>
    </row>
    <row r="66">
      <c r="A66" s="174" t="inlineStr">
        <is>
          <t>2249</t>
        </is>
      </c>
      <c r="B66" s="17" t="inlineStr">
        <is>
          <t>NEXCHIP</t>
        </is>
      </c>
      <c r="C66" s="17" t="inlineStr">
        <is>
          <t>AI chips &amp; semis</t>
        </is>
      </c>
      <c r="D66" s="50">
        <f>IFERROR(BDP("2249 HK Equity","PX_LAST"),"")</f>
        <v/>
      </c>
      <c r="E66" s="175" t="n"/>
      <c r="F66" s="50">
        <f>IF($E66&lt;&gt;"",$E66,$D66)</f>
        <v/>
      </c>
      <c r="G66" s="17" t="inlineStr">
        <is>
          <t>688249.SS</t>
        </is>
      </c>
      <c r="H66" s="50">
        <f>IFERROR(BDP("688249 CH Equity","PX_LAST"),"")</f>
        <v/>
      </c>
      <c r="I66" s="175" t="n"/>
      <c r="J66" s="50">
        <f>IF($I66&lt;&gt;"",$I66,$H66)</f>
        <v/>
      </c>
      <c r="K66" s="54">
        <f>IF(OR(N($F66)&lt;=0,N($J66)&lt;=0,N($D$4)&lt;=0),"",($J66*$D$4)/$F66-1)</f>
        <v/>
      </c>
      <c r="L66" s="176" t="n">
        <v>0.5149</v>
      </c>
      <c r="M66" s="2" t="inlineStr">
        <is>
          <t>Jul 2026 H listing (foundry)</t>
        </is>
      </c>
    </row>
    <row r="67">
      <c r="A67" s="174" t="inlineStr">
        <is>
          <t>3308</t>
        </is>
      </c>
      <c r="B67" s="17" t="inlineStr">
        <is>
          <t>ZJ INNOLIGHT</t>
        </is>
      </c>
      <c r="C67" s="17" t="inlineStr">
        <is>
          <t>Smart hardware / consumer electronics</t>
        </is>
      </c>
      <c r="D67" s="50">
        <f>IFERROR(BDP("3308 HK Equity","PX_LAST"),"")</f>
        <v/>
      </c>
      <c r="E67" s="175" t="n"/>
      <c r="F67" s="50">
        <f>IF($E67&lt;&gt;"",$E67,$D67)</f>
        <v/>
      </c>
      <c r="G67" s="17" t="inlineStr">
        <is>
          <t>300308.SZ</t>
        </is>
      </c>
      <c r="H67" s="50">
        <f>IFERROR(BDP("300308 CH Equity","PX_LAST"),"")</f>
        <v/>
      </c>
      <c r="I67" s="175" t="n"/>
      <c r="J67" s="50">
        <f>IF($I67&lt;&gt;"",$I67,$H67)</f>
        <v/>
      </c>
      <c r="K67" s="54">
        <f>IF(OR(N($F67)&lt;=0,N($J67)&lt;=0,N($D$4)&lt;=0),"",($J67*$D$4)/$F67-1)</f>
        <v/>
      </c>
      <c r="L67" s="176" t="n">
        <v>-0.1182</v>
      </c>
      <c r="M67" s="2" t="inlineStr">
        <is>
          <t>Jul 2026; Hong Kong's largest IPO in seven years (optical transceivers for AI datacenters)</t>
        </is>
      </c>
    </row>
    <row r="68">
      <c r="A68" s="174" t="inlineStr">
        <is>
          <t>3223</t>
        </is>
      </c>
      <c r="B68" s="17" t="inlineStr">
        <is>
          <t>INGENIC</t>
        </is>
      </c>
      <c r="C68" s="17" t="inlineStr">
        <is>
          <t>AI chips &amp; semis</t>
        </is>
      </c>
      <c r="D68" s="50">
        <f>IFERROR(BDP("3223 HK Equity","PX_LAST"),"")</f>
        <v/>
      </c>
      <c r="E68" s="175" t="n"/>
      <c r="F68" s="50">
        <f>IF($E68&lt;&gt;"",$E68,$D68)</f>
        <v/>
      </c>
      <c r="G68" s="17" t="inlineStr">
        <is>
          <t>300223.SZ</t>
        </is>
      </c>
      <c r="H68" s="50">
        <f>IFERROR(BDP("300223 CH Equity","PX_LAST"),"")</f>
        <v/>
      </c>
      <c r="I68" s="175" t="n"/>
      <c r="J68" s="50">
        <f>IF($I68&lt;&gt;"",$I68,$H68)</f>
        <v/>
      </c>
      <c r="K68" s="54">
        <f>IF(OR(N($F68)&lt;=0,N($J68)&lt;=0,N($D$4)&lt;=0),"",($J68*$D$4)/$F68-1)</f>
        <v/>
      </c>
      <c r="L68" s="176" t="n">
        <v>0.6361</v>
      </c>
      <c r="M68" s="2" t="inlineStr">
        <is>
          <t>H listed 2026-08-25; fabless CPU/analog+memory (auto)</t>
        </is>
      </c>
    </row>
    <row r="69"/>
    <row r="70"/>
    <row r="71">
      <c r="A71" s="169"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74"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74"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74"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74"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74"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74"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74"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74" t="inlineStr">
        <is>
          <t>9678</t>
        </is>
      </c>
      <c r="B80" s="17" t="inlineStr">
        <is>
          <t>UNISOUND</t>
        </is>
      </c>
      <c r="C80" s="17" t="inlineStr">
        <is>
          <t>002230.SZ</t>
        </is>
      </c>
      <c r="D80" s="17" t="inlineStr">
        <is>
          <t>iFlytek</t>
        </is>
      </c>
      <c r="E80" s="2" t="inlineStr">
        <is>
          <t>Direct A-share competitor in voice AI and speech-centric LLMs (Spark model).</t>
        </is>
      </c>
    </row>
    <row r="81">
      <c r="A81" s="174"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74"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74"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74"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74"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9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9" t="inlineStr">
        <is>
          <t>VS OFFER (WITH POP)</t>
        </is>
      </c>
      <c r="H3" s="169"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71" t="n">
        <v>39</v>
      </c>
      <c r="C5" s="177" t="n">
        <v>64</v>
      </c>
      <c r="D5" s="178" t="n">
        <v>30.2</v>
      </c>
      <c r="E5" s="178" t="n">
        <v>28.2</v>
      </c>
      <c r="F5" s="178" t="n">
        <v>14.8</v>
      </c>
      <c r="G5" s="178" t="n">
        <v>31.1</v>
      </c>
      <c r="H5" s="178" t="n">
        <v>-1.6</v>
      </c>
      <c r="I5" s="178" t="n">
        <v>-9.6</v>
      </c>
      <c r="J5" s="178" t="n">
        <v>6.4</v>
      </c>
      <c r="K5" s="179"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 9856 LIGENT</t>
        </is>
      </c>
    </row>
    <row r="6">
      <c r="A6" s="17" t="inlineStr">
        <is>
          <t>Harvest International Premium Value (Secondary Market) Fund SPC</t>
        </is>
      </c>
      <c r="B6" s="171" t="n">
        <v>34</v>
      </c>
      <c r="C6" s="177" t="n">
        <v>47</v>
      </c>
      <c r="D6" s="178" t="n">
        <v>6.6</v>
      </c>
      <c r="E6" s="178" t="n">
        <v>11</v>
      </c>
      <c r="F6" s="178" t="n">
        <v>14.5</v>
      </c>
      <c r="G6" s="178" t="n">
        <v>24.2</v>
      </c>
      <c r="H6" s="178" t="n">
        <v>5.1</v>
      </c>
      <c r="I6" s="178" t="n">
        <v>8.4</v>
      </c>
      <c r="J6" s="178" t="n">
        <v>19.6</v>
      </c>
      <c r="K6" s="179"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71" t="n">
        <v>32</v>
      </c>
      <c r="C7" s="177" t="n">
        <v>75</v>
      </c>
      <c r="D7" s="178" t="n">
        <v>38.2</v>
      </c>
      <c r="E7" s="178" t="n">
        <v>37.7</v>
      </c>
      <c r="F7" s="178" t="n">
        <v>34</v>
      </c>
      <c r="G7" s="178" t="n">
        <v>27.4</v>
      </c>
      <c r="H7" s="178" t="n">
        <v>-0.5</v>
      </c>
      <c r="I7" s="178" t="n">
        <v>1</v>
      </c>
      <c r="J7" s="178" t="n">
        <v>-2.2</v>
      </c>
      <c r="K7" s="179"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71" t="n">
        <v>28</v>
      </c>
      <c r="C8" s="177" t="n">
        <v>71</v>
      </c>
      <c r="D8" s="178" t="n">
        <v>38.6</v>
      </c>
      <c r="E8" s="178" t="n">
        <v>36.3</v>
      </c>
      <c r="F8" s="178" t="n">
        <v>26.9</v>
      </c>
      <c r="G8" s="178" t="n">
        <v>21.2</v>
      </c>
      <c r="H8" s="178" t="n">
        <v>-0.5</v>
      </c>
      <c r="I8" s="178" t="n">
        <v>-3.8</v>
      </c>
      <c r="J8" s="178" t="n">
        <v>-6.8</v>
      </c>
      <c r="K8" s="179"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71" t="n">
        <v>22</v>
      </c>
      <c r="C9" s="177" t="n">
        <v>64</v>
      </c>
      <c r="D9" s="178" t="n">
        <v>44.3</v>
      </c>
      <c r="E9" s="178" t="n">
        <v>45.4</v>
      </c>
      <c r="F9" s="178" t="n">
        <v>37.9</v>
      </c>
      <c r="G9" s="178" t="n">
        <v>56.5</v>
      </c>
      <c r="H9" s="178" t="n">
        <v>1</v>
      </c>
      <c r="I9" s="178" t="n">
        <v>-0.8</v>
      </c>
      <c r="J9" s="178" t="n">
        <v>9.4</v>
      </c>
      <c r="K9" s="179"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71" t="n">
        <v>22</v>
      </c>
      <c r="C10" s="177" t="n">
        <v>73</v>
      </c>
      <c r="D10" s="178" t="n">
        <v>20.5</v>
      </c>
      <c r="E10" s="178" t="n">
        <v>27.6</v>
      </c>
      <c r="F10" s="178" t="n">
        <v>19.6</v>
      </c>
      <c r="G10" s="178" t="n">
        <v>59.1</v>
      </c>
      <c r="H10" s="178" t="n">
        <v>4.1</v>
      </c>
      <c r="I10" s="178" t="n">
        <v>1</v>
      </c>
      <c r="J10" s="178" t="n">
        <v>37.5</v>
      </c>
      <c r="K10" s="179"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71" t="n">
        <v>15</v>
      </c>
      <c r="C11" s="177" t="n">
        <v>73</v>
      </c>
      <c r="D11" s="178" t="n">
        <v>62</v>
      </c>
      <c r="E11" s="178" t="n">
        <v>52.7</v>
      </c>
      <c r="F11" s="178" t="n">
        <v>39.2</v>
      </c>
      <c r="G11" s="178" t="n">
        <v>29.8</v>
      </c>
      <c r="H11" s="178" t="n">
        <v>-5.6</v>
      </c>
      <c r="I11" s="178" t="n">
        <v>-8.5</v>
      </c>
      <c r="J11" s="178" t="n">
        <v>-10.3</v>
      </c>
      <c r="K11" s="179" t="inlineStr">
        <is>
          <t>2050 SANHUA; 6603 IFBH; 6166 CIG; 3881 CIDI; 6938 RIBOLIFE-B; 1989 DELTON; 6656 SIGENERGY; 3277 GPIXEL; 1879 XIZHI TECH-P; 7666 METIS TECHBIO-P; 1081 DAJIN; 3661 SG MICRO; 6715 XUNLONG SCITECH; 6951 CCTC; 2249 NEXCHIP</t>
        </is>
      </c>
    </row>
    <row r="12">
      <c r="A12" s="17" t="inlineStr">
        <is>
          <t>Mirae Asset Securities (HK) Limited</t>
        </is>
      </c>
      <c r="B12" s="171" t="n">
        <v>15</v>
      </c>
      <c r="C12" s="177" t="n">
        <v>67</v>
      </c>
      <c r="D12" s="178" t="n">
        <v>61.1</v>
      </c>
      <c r="E12" s="178" t="n">
        <v>67.8</v>
      </c>
      <c r="F12" s="178" t="n">
        <v>42.3</v>
      </c>
      <c r="G12" s="178" t="n">
        <v>21.4</v>
      </c>
      <c r="H12" s="178" t="n">
        <v>0.9</v>
      </c>
      <c r="I12" s="178" t="n">
        <v>-7.6</v>
      </c>
      <c r="J12" s="178" t="n">
        <v>-13.6</v>
      </c>
      <c r="K12" s="179" t="inlineStr">
        <is>
          <t>3750 CATL; 2050 SANHUA; 2643 CAOCAO INC; 9927 SERES; 2692 ZHAOWEI; 0068 MANYCORE TECH; 3277 GPIXEL; 2476 VGT; 1879 XIZHI TECH-P; 7666 METIS TECHBIO-P; 7688 TOPNC; 6715 XUNLONG SCITECH; 2475 LUXSHARE ICT; 3308 ZJ INNOLIGHT; 9856 LIGENT</t>
        </is>
      </c>
    </row>
    <row r="13">
      <c r="A13" s="17" t="inlineStr">
        <is>
          <t>Fullgoal Asset Management (HK) Limited</t>
        </is>
      </c>
      <c r="B13" s="171" t="n">
        <v>15</v>
      </c>
      <c r="C13" s="177" t="n">
        <v>93</v>
      </c>
      <c r="D13" s="178" t="n">
        <v>51.9</v>
      </c>
      <c r="E13" s="178" t="n">
        <v>49.8</v>
      </c>
      <c r="F13" s="178" t="n">
        <v>39.5</v>
      </c>
      <c r="G13" s="178" t="n">
        <v>32.4</v>
      </c>
      <c r="H13" s="178" t="n">
        <v>-0</v>
      </c>
      <c r="I13" s="178" t="n">
        <v>-5.1</v>
      </c>
      <c r="J13" s="178" t="n">
        <v>-10.6</v>
      </c>
      <c r="K13" s="179" t="inlineStr">
        <is>
          <t>2219 CHAOJU EYE CARE; 3858 JIAXIN INTL RES; 2698 SOFTCARE; 3696 INSILICO; 6938 RIBOLIFE-B; 9611 LONGCHEER; 2768 GON TECHNOLOGY; 3200 HANS CNC; 6656 SIGENERGY; 3277 GPIXEL; 7666 METIS TECHBIO-P; 7688 TOPNC; 1081 DAJIN; 1779 LONGBIO-B; 6067 SENIOR MATERIAL</t>
        </is>
      </c>
    </row>
    <row r="14">
      <c r="A14" s="17" t="inlineStr">
        <is>
          <t>Greenwoods Asset Management Hong Kong Limited</t>
        </is>
      </c>
      <c r="B14" s="171" t="n">
        <v>15</v>
      </c>
      <c r="C14" s="177" t="n">
        <v>73</v>
      </c>
      <c r="D14" s="178" t="n">
        <v>51.1</v>
      </c>
      <c r="E14" s="178" t="n">
        <v>54.9</v>
      </c>
      <c r="F14" s="178" t="n">
        <v>48.9</v>
      </c>
      <c r="G14" s="178" t="n">
        <v>52.3</v>
      </c>
      <c r="H14" s="178" t="n">
        <v>2.8</v>
      </c>
      <c r="I14" s="178" t="n">
        <v>3.6</v>
      </c>
      <c r="J14" s="178" t="n">
        <v>11.8</v>
      </c>
      <c r="K14" s="179" t="inlineStr">
        <is>
          <t>2285 CHERVON; 9878 HUITONGDA NET; 0325 BLOKS; 2050 SANHUA; 2648 ANJOY FOOD; 9973 CHERY AUTO; 3986 GIGADEVICE; 1989 DELTON; 6656 SIGENERGY; 3277 GPIXEL; 2476 VGT; 1879 XIZHI TECH-P; 1688 LINGYI ITECH; 0668 ANKER; 2475 LUXSHARE ICT</t>
        </is>
      </c>
    </row>
    <row r="15">
      <c r="A15" s="17" t="inlineStr">
        <is>
          <t>Huatai Capital Investment Limited</t>
        </is>
      </c>
      <c r="B15" s="171" t="n">
        <v>15</v>
      </c>
      <c r="C15" s="177" t="n">
        <v>93</v>
      </c>
      <c r="D15" s="178" t="n">
        <v>26.5</v>
      </c>
      <c r="E15" s="178" t="n">
        <v>26.5</v>
      </c>
      <c r="F15" s="178" t="n">
        <v>34.2</v>
      </c>
      <c r="G15" s="178" t="n">
        <v>111.8</v>
      </c>
      <c r="H15" s="178" t="n">
        <v>1.7</v>
      </c>
      <c r="I15" s="178" t="n">
        <v>9.6</v>
      </c>
      <c r="J15" s="178" t="n">
        <v>54.7</v>
      </c>
      <c r="K15" s="179" t="inlineStr">
        <is>
          <t>1490 CHESHI; 0325 BLOKS; 3288 HAITIAN FLAV; 2617 TRANSTHERA-B; 1828 FWD; 6960 SHUANGDENG; 2637 HAIXI PHARMA; 2718 MININGLAMP-W; 9609 HAIWEI ELEC; 6600 ONEROBOTICS; 9903 ILUVATAR COREX; 9611 LONGCHEER; 1021 HUAYAN ROBOTICS; 1956 WENGE AI; 3752 ROKAE ROBOTICS</t>
        </is>
      </c>
    </row>
    <row r="16">
      <c r="A16" s="17" t="inlineStr">
        <is>
          <t>Boyu Capital Opportunities Master Fund</t>
        </is>
      </c>
      <c r="B16" s="171" t="n">
        <v>15</v>
      </c>
      <c r="C16" s="177" t="n">
        <v>60</v>
      </c>
      <c r="D16" s="178" t="n">
        <v>17.8</v>
      </c>
      <c r="E16" s="178" t="n">
        <v>13.3</v>
      </c>
      <c r="F16" s="178" t="n">
        <v>16.9</v>
      </c>
      <c r="G16" s="178" t="n">
        <v>-8.699999999999999</v>
      </c>
      <c r="H16" s="178" t="n">
        <v>-3.6</v>
      </c>
      <c r="I16" s="178" t="n">
        <v>0.5</v>
      </c>
      <c r="J16" s="178" t="n">
        <v>-24.5</v>
      </c>
      <c r="K16" s="179" t="inlineStr">
        <is>
          <t>2190 ZYLOXTB-B; 2162 KEYMED BIO-B; 2137 BRII - B; 6609 HEARTCARE-B; 2235 MICROTECH MED-B; 2273 GUSHENGTANG; 6633 QINGCI GAMES; 3288 HAITIAN FLAV; 6166 CIG; 0501 OMNIVISION; 3277 GPIXEL; 7688 TOPNC; 3388 CREALITY; 6880 MOMENTA-W; 3308 ZJ INNOLIGHT</t>
        </is>
      </c>
    </row>
    <row r="17">
      <c r="A17" s="17" t="inlineStr">
        <is>
          <t>CICC Financial Trading Limited</t>
        </is>
      </c>
      <c r="B17" s="171" t="n">
        <v>14</v>
      </c>
      <c r="C17" s="177" t="n">
        <v>71</v>
      </c>
      <c r="D17" s="178" t="n">
        <v>25.1</v>
      </c>
      <c r="E17" s="178" t="n">
        <v>21.9</v>
      </c>
      <c r="F17" s="178" t="n">
        <v>19.1</v>
      </c>
      <c r="G17" s="178" t="n">
        <v>31.8</v>
      </c>
      <c r="H17" s="178" t="n">
        <v>-2.4</v>
      </c>
      <c r="I17" s="178" t="n">
        <v>-3.8</v>
      </c>
      <c r="J17" s="178" t="n">
        <v>1.5</v>
      </c>
      <c r="K17" s="179"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71" t="n">
        <v>14</v>
      </c>
      <c r="C18" s="177" t="n">
        <v>57</v>
      </c>
      <c r="D18" s="178" t="n">
        <v>23.9</v>
      </c>
      <c r="E18" s="178" t="n">
        <v>17.6</v>
      </c>
      <c r="F18" s="178" t="n">
        <v>-0.7</v>
      </c>
      <c r="G18" s="178" t="n">
        <v>-15.1</v>
      </c>
      <c r="H18" s="178" t="n">
        <v>-3.7</v>
      </c>
      <c r="I18" s="178" t="n">
        <v>-17.5</v>
      </c>
      <c r="J18" s="178" t="n">
        <v>-30.6</v>
      </c>
      <c r="K18" s="179"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71" t="n">
        <v>12</v>
      </c>
      <c r="C19" s="177" t="n">
        <v>67</v>
      </c>
      <c r="D19" s="178" t="n">
        <v>64.40000000000001</v>
      </c>
      <c r="E19" s="178" t="n">
        <v>63.4</v>
      </c>
      <c r="F19" s="178" t="n">
        <v>35.4</v>
      </c>
      <c r="G19" s="178" t="n">
        <v>20.4</v>
      </c>
      <c r="H19" s="178" t="n">
        <v>-2.8</v>
      </c>
      <c r="I19" s="178" t="n">
        <v>-13.1</v>
      </c>
      <c r="J19" s="178" t="n">
        <v>-19.3</v>
      </c>
      <c r="K19" s="179"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71" t="n">
        <v>12</v>
      </c>
      <c r="C20" s="177" t="n">
        <v>67</v>
      </c>
      <c r="D20" s="178" t="n">
        <v>28.7</v>
      </c>
      <c r="E20" s="178" t="n">
        <v>33.8</v>
      </c>
      <c r="F20" s="178" t="n">
        <v>31.2</v>
      </c>
      <c r="G20" s="178" t="n">
        <v>53.6</v>
      </c>
      <c r="H20" s="178" t="n">
        <v>2.3</v>
      </c>
      <c r="I20" s="178" t="n">
        <v>0.7</v>
      </c>
      <c r="J20" s="178" t="n">
        <v>7.1</v>
      </c>
      <c r="K20" s="179"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71" t="n">
        <v>12</v>
      </c>
      <c r="C21" s="177" t="n">
        <v>58</v>
      </c>
      <c r="D21" s="178" t="n">
        <v>12</v>
      </c>
      <c r="E21" s="178" t="n">
        <v>11.8</v>
      </c>
      <c r="F21" s="178" t="n">
        <v>7.9</v>
      </c>
      <c r="G21" s="178" t="n">
        <v>20</v>
      </c>
      <c r="H21" s="178" t="n">
        <v>-0.7</v>
      </c>
      <c r="I21" s="178" t="n">
        <v>-4.7</v>
      </c>
      <c r="J21" s="178" t="n">
        <v>-1.4</v>
      </c>
      <c r="K21" s="179" t="inlineStr">
        <is>
          <t>2170 BASECARE-B; 2171 CARSGEN-B; 2190 ZYLOXTB-B; 9960 KINDSTAR GLOBAL; 2251 AIRDOC-B; 2279 YONGHE MEDICAL; 2285 CHERVON; 1318 MAO GEPING; 7618 JD INDUSTRIALS; 3296 HUAQIN; 6951 CCTC; 2249 NEXCHIP</t>
        </is>
      </c>
    </row>
    <row r="22">
      <c r="A22" s="17" t="inlineStr">
        <is>
          <t>Athos Capital Limited</t>
        </is>
      </c>
      <c r="B22" s="171" t="n">
        <v>12</v>
      </c>
      <c r="C22" s="177" t="n">
        <v>42</v>
      </c>
      <c r="D22" s="178" t="n">
        <v>1.3</v>
      </c>
      <c r="E22" s="178" t="n">
        <v>-1.2</v>
      </c>
      <c r="F22" s="178" t="n">
        <v>-2.5</v>
      </c>
      <c r="G22" s="178" t="n">
        <v>-12.7</v>
      </c>
      <c r="H22" s="178" t="n">
        <v>-2.4</v>
      </c>
      <c r="I22" s="178" t="n">
        <v>-3.7</v>
      </c>
      <c r="J22" s="178" t="n">
        <v>-14</v>
      </c>
      <c r="K22" s="179"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71" t="n">
        <v>11</v>
      </c>
      <c r="C23" s="177" t="n">
        <v>82</v>
      </c>
      <c r="D23" s="178" t="n">
        <v>78.3</v>
      </c>
      <c r="E23" s="178" t="n">
        <v>72.2</v>
      </c>
      <c r="F23" s="178" t="n">
        <v>49.3</v>
      </c>
      <c r="G23" s="178" t="n">
        <v>8.199999999999999</v>
      </c>
      <c r="H23" s="178" t="n">
        <v>-4</v>
      </c>
      <c r="I23" s="178" t="n">
        <v>-14.6</v>
      </c>
      <c r="J23" s="178" t="n">
        <v>-32.7</v>
      </c>
      <c r="K23" s="179" t="inlineStr">
        <is>
          <t>2158 YIDU TECH; 2160 CARDIOFLOW-B; 6609 HEARTCARE-B; 2285 CHERVON; 6656 SIGENERGY; 3277 GPIXEL; 3296 HUAQIN; 1879 XIZHI TECH-P; 7688 TOPNC; 6106 SEER TECH; 1688 LINGYI ITECH</t>
        </is>
      </c>
    </row>
    <row r="24">
      <c r="A24" s="17" t="inlineStr">
        <is>
          <t>Huang River Investment Limited</t>
        </is>
      </c>
      <c r="B24" s="171" t="n">
        <v>11</v>
      </c>
      <c r="C24" s="177" t="n">
        <v>64</v>
      </c>
      <c r="D24" s="178" t="n">
        <v>38</v>
      </c>
      <c r="E24" s="178" t="n">
        <v>31.9</v>
      </c>
      <c r="F24" s="178" t="n">
        <v>30.1</v>
      </c>
      <c r="G24" s="178" t="n">
        <v>72.09999999999999</v>
      </c>
      <c r="H24" s="178" t="n">
        <v>-1.2</v>
      </c>
      <c r="I24" s="178" t="n">
        <v>-0.9</v>
      </c>
      <c r="J24" s="178" t="n">
        <v>30.8</v>
      </c>
      <c r="K24" s="179" t="inlineStr">
        <is>
          <t>1519 J&amp;T EXPRESS-W; 6181 LAOPU GOLD; 1364 GUMING; 2718 MININGLAMP-W; 2675 EDGE MEDICAL-B; 9980 EASTROC; 7630 IMPACT THERAP-B; 9637 ALEBUND-B; 2475 LUXSHARE ICT; 6951 CCTC; 3308 ZJ INNOLIGHT</t>
        </is>
      </c>
    </row>
    <row r="25">
      <c r="A25" s="17" t="inlineStr">
        <is>
          <t>Mega Prime Development Limited</t>
        </is>
      </c>
      <c r="B25" s="171" t="n">
        <v>11</v>
      </c>
      <c r="C25" s="177" t="n">
        <v>91</v>
      </c>
      <c r="D25" s="178" t="n">
        <v>35</v>
      </c>
      <c r="E25" s="178" t="n">
        <v>43.7</v>
      </c>
      <c r="F25" s="178" t="n">
        <v>42</v>
      </c>
      <c r="G25" s="178" t="n">
        <v>59</v>
      </c>
      <c r="H25" s="178" t="n">
        <v>4.7</v>
      </c>
      <c r="I25" s="178" t="n">
        <v>4.8</v>
      </c>
      <c r="J25" s="178" t="n">
        <v>19.6</v>
      </c>
      <c r="K25" s="179" t="inlineStr">
        <is>
          <t>9879 MIGAO GROUP; 1318 MAO GEPING; 2050 SANHUA; 6603 IFBH; 1304 FORTIOR; 2657 FOREST CABIN; 2675 EDGE MEDICAL-B; 2476 VGT; 1609 STAR SPORTS MED; 1779 LONGBIO-B; 9856 LIGENT</t>
        </is>
      </c>
    </row>
    <row r="26">
      <c r="A26" s="17" t="inlineStr">
        <is>
          <t>OrbiMed Funds</t>
        </is>
      </c>
      <c r="B26" s="171" t="n">
        <v>11</v>
      </c>
      <c r="C26" s="177" t="n">
        <v>55</v>
      </c>
      <c r="D26" s="178" t="n">
        <v>21.3</v>
      </c>
      <c r="E26" s="178" t="n">
        <v>22.6</v>
      </c>
      <c r="F26" s="178" t="n">
        <v>11.6</v>
      </c>
      <c r="G26" s="178" t="n">
        <v>4.3</v>
      </c>
      <c r="H26" s="178" t="n">
        <v>1</v>
      </c>
      <c r="I26" s="178" t="n">
        <v>-8.5</v>
      </c>
      <c r="J26" s="178" t="n">
        <v>-11</v>
      </c>
      <c r="K26" s="179" t="inlineStr">
        <is>
          <t>2158 YIDU TECH; 2170 BASECARE-B; 6127 JOINN; 2192 MEDLIVE; 2256 ABBISKO-B; 2235 MICROTECH MED-B; 2197 CLOVER BIO-B; 6639 ARRAIL GROUP; 2105 LAEKNA-B; 2675 EDGE MEDICAL-B; 1779 LONGBIO-B</t>
        </is>
      </c>
    </row>
    <row r="27">
      <c r="A27" s="17" t="inlineStr">
        <is>
          <t>WT Asset Management Limited</t>
        </is>
      </c>
      <c r="B27" s="171" t="n">
        <v>11</v>
      </c>
      <c r="C27" s="177" t="n">
        <v>73</v>
      </c>
      <c r="D27" s="178" t="n">
        <v>17.8</v>
      </c>
      <c r="E27" s="178" t="n">
        <v>17</v>
      </c>
      <c r="F27" s="178" t="n">
        <v>7.8</v>
      </c>
      <c r="G27" s="178" t="n">
        <v>7.1</v>
      </c>
      <c r="H27" s="178" t="n">
        <v>-1.9</v>
      </c>
      <c r="I27" s="178" t="n">
        <v>-9.5</v>
      </c>
      <c r="J27" s="178" t="n">
        <v>-11.4</v>
      </c>
      <c r="K27" s="179" t="inlineStr">
        <is>
          <t>2160 CARDIOFLOW-B; 2171 CARSGEN-B; 2251 AIRDOC-B; 2279 YONGHE MEDICAL; 3750 CATL; 2525 HESAI-W; 6687 JST GROUP; 3355 FS.COM; 3277 GPIXEL; 0668 ANKER; 2249 NEXCHIP</t>
        </is>
      </c>
    </row>
    <row r="28">
      <c r="A28" s="17" t="inlineStr">
        <is>
          <t>Sage Partners Master Fund</t>
        </is>
      </c>
      <c r="B28" s="171" t="n">
        <v>11</v>
      </c>
      <c r="C28" s="177" t="n">
        <v>55</v>
      </c>
      <c r="D28" s="178" t="n">
        <v>9.199999999999999</v>
      </c>
      <c r="E28" s="178" t="n">
        <v>6.4</v>
      </c>
      <c r="F28" s="178" t="n">
        <v>19.2</v>
      </c>
      <c r="G28" s="178" t="n">
        <v>-6.7</v>
      </c>
      <c r="H28" s="178" t="n">
        <v>-0.3</v>
      </c>
      <c r="I28" s="178" t="n">
        <v>16.8</v>
      </c>
      <c r="J28" s="178" t="n">
        <v>-5.4</v>
      </c>
      <c r="K28" s="179" t="inlineStr">
        <is>
          <t>2190 ZYLOXTB-B; 2162 KEYMED BIO-B; 2137 BRII - B; 6609 HEARTCARE-B; 2235 MICROTECH MED-B; 2273 GUSHENGTANG; 3378 HANXBIO-B; 6600 ONEROBOTICS; 2675 EDGE MEDICAL-B; 7666 METIS TECHBIO-P; 6132 HJ SCIENCE-B</t>
        </is>
      </c>
    </row>
    <row r="29">
      <c r="A29" s="17" t="inlineStr">
        <is>
          <t>Oaktree Capital Management, L.P</t>
        </is>
      </c>
      <c r="B29" s="171" t="n">
        <v>11</v>
      </c>
      <c r="C29" s="177" t="n">
        <v>55</v>
      </c>
      <c r="D29" s="178" t="n">
        <v>6.4</v>
      </c>
      <c r="E29" s="178" t="n">
        <v>17.8</v>
      </c>
      <c r="F29" s="178" t="n">
        <v>15.2</v>
      </c>
      <c r="G29" s="178" t="n">
        <v>34.2</v>
      </c>
      <c r="H29" s="178" t="n">
        <v>11.1</v>
      </c>
      <c r="I29" s="178" t="n">
        <v>6</v>
      </c>
      <c r="J29" s="178" t="n">
        <v>19</v>
      </c>
      <c r="K29" s="179" t="inlineStr">
        <is>
          <t>2618 JD LOGISTICS; 1880 CTG DUTY-FREE; 2460 CR BEVERAGE; 3750 CATL; 1276 HENGRUI PHARMA; 6031 SANY HEAVY IND; 3696 INSILICO; 0470 WUXI LEAD; 3952 LAIFUAL; 6880 MOMENTA-W; 3308 ZJ INNOLIGHT</t>
        </is>
      </c>
    </row>
    <row r="30">
      <c r="A30" s="17" t="inlineStr">
        <is>
          <t>BlackRock, Inc</t>
        </is>
      </c>
      <c r="B30" s="171" t="n">
        <v>10</v>
      </c>
      <c r="C30" s="177" t="n">
        <v>60</v>
      </c>
      <c r="D30" s="178" t="n">
        <v>72.5</v>
      </c>
      <c r="E30" s="178" t="n">
        <v>73.59999999999999</v>
      </c>
      <c r="F30" s="178" t="n">
        <v>36.9</v>
      </c>
      <c r="G30" s="178" t="n">
        <v>11.8</v>
      </c>
      <c r="H30" s="178" t="n">
        <v>-0.1</v>
      </c>
      <c r="I30" s="178" t="n">
        <v>-14.8</v>
      </c>
      <c r="J30" s="178" t="n">
        <v>-31.6</v>
      </c>
      <c r="K30" s="179" t="inlineStr">
        <is>
          <t>1024 KUAISHOU-W; 9959 LINKLOGIS–W; 9960 KINDSTAR GLOBAL; 2256 ABBISKO-B; 6031 SANY HEAVY IND; 1879 XIZHI TECH-P; 7666 METIS TECHBIO-P; 6715 XUNLONG SCITECH; 6880 MOMENTA-W; 3308 ZJ INNOLIGHT</t>
        </is>
      </c>
    </row>
    <row r="31">
      <c r="A31" s="17" t="inlineStr">
        <is>
          <t>Aspex Master Fund</t>
        </is>
      </c>
      <c r="B31" s="171" t="n">
        <v>10</v>
      </c>
      <c r="C31" s="177" t="n">
        <v>60</v>
      </c>
      <c r="D31" s="178" t="n">
        <v>62.6</v>
      </c>
      <c r="E31" s="178" t="n">
        <v>75.90000000000001</v>
      </c>
      <c r="F31" s="178" t="n">
        <v>58</v>
      </c>
      <c r="G31" s="178" t="n">
        <v>121.1</v>
      </c>
      <c r="H31" s="178" t="n">
        <v>9.1</v>
      </c>
      <c r="I31" s="178" t="n">
        <v>1.5</v>
      </c>
      <c r="J31" s="178" t="n">
        <v>33.4</v>
      </c>
      <c r="K31" s="179" t="inlineStr">
        <is>
          <t>6609 HEARTCARE-B; 2252 MEDBOT-B; 1519 J&amp;T EXPRESS-W; 6082 BIREN TECH; 0100 MINIMAX-WP; 6809 MONTAGE TECH; 1879 XIZHI TECH-P; 0668 ANKER; 1377 DTECH; 3308 ZJ INNOLIGHT</t>
        </is>
      </c>
    </row>
    <row r="32">
      <c r="A32" s="17" t="inlineStr">
        <is>
          <t>E Fund Management Co., Ltd</t>
        </is>
      </c>
      <c r="B32" s="171" t="n">
        <v>10</v>
      </c>
      <c r="C32" s="177" t="n">
        <v>90</v>
      </c>
      <c r="D32" s="178" t="n">
        <v>40.9</v>
      </c>
      <c r="E32" s="178" t="n">
        <v>51.3</v>
      </c>
      <c r="F32" s="178" t="n">
        <v>46.2</v>
      </c>
      <c r="G32" s="178" t="n">
        <v>84.40000000000001</v>
      </c>
      <c r="H32" s="178" t="n">
        <v>6.1</v>
      </c>
      <c r="I32" s="178" t="n">
        <v>4.6</v>
      </c>
      <c r="J32" s="178" t="n">
        <v>24.8</v>
      </c>
      <c r="K32" s="179" t="inlineStr">
        <is>
          <t>9606 DUALITYBIO-B; 2698 SOFTCARE; 3696 INSILICO; 9611 LONGCHEER; 2768 GON TECHNOLOGY; 3277 GPIXEL; 1191 CREALIGHTS; 9637 ALEBUND-B; 1377 DTECH; 9856 LIGENT</t>
        </is>
      </c>
    </row>
    <row r="33">
      <c r="A33" s="17" t="inlineStr">
        <is>
          <t>Value Partners Hong Kong Limited</t>
        </is>
      </c>
      <c r="B33" s="171" t="n">
        <v>10</v>
      </c>
      <c r="C33" s="177" t="n">
        <v>80</v>
      </c>
      <c r="D33" s="178" t="n">
        <v>34</v>
      </c>
      <c r="E33" s="178" t="n">
        <v>33.9</v>
      </c>
      <c r="F33" s="178" t="n">
        <v>25.4</v>
      </c>
      <c r="G33" s="178" t="n">
        <v>46.8</v>
      </c>
      <c r="H33" s="178" t="n">
        <v>-0.6</v>
      </c>
      <c r="I33" s="178" t="n">
        <v>-5.6</v>
      </c>
      <c r="J33" s="178" t="n">
        <v>7.7</v>
      </c>
      <c r="K33" s="179" t="inlineStr">
        <is>
          <t>2285 CHERVON; 1497 YAN PALACE; 3288 HAITIAN FLAV; 2595 GENFLEET-B; 1989 DELTON; 3277 GPIXEL; 1779 LONGBIO-B; 3661 SG MICRO; 1688 LINGYI ITECH; 0668 ANKER</t>
        </is>
      </c>
    </row>
    <row r="34">
      <c r="A34" s="17" t="inlineStr">
        <is>
          <t>LAV Star Opportunities Limited</t>
        </is>
      </c>
      <c r="B34" s="171" t="n">
        <v>10</v>
      </c>
      <c r="C34" s="177" t="n">
        <v>50</v>
      </c>
      <c r="D34" s="178" t="n">
        <v>22.8</v>
      </c>
      <c r="E34" s="178" t="n">
        <v>26.1</v>
      </c>
      <c r="F34" s="178" t="n">
        <v>12.5</v>
      </c>
      <c r="G34" s="178" t="n">
        <v>4.7</v>
      </c>
      <c r="H34" s="178" t="n">
        <v>3.5</v>
      </c>
      <c r="I34" s="178" t="n">
        <v>-9.199999999999999</v>
      </c>
      <c r="J34" s="178" t="n">
        <v>-17.6</v>
      </c>
      <c r="K34" s="179" t="inlineStr">
        <is>
          <t>2171 CARSGEN-B; 2162 KEYMED BIO-B; 6628 TRANSCENTA-B; 2256 ABBISKO-B; 2235 MICROTECH MED-B; 2252 MEDBOT-B; 2251 AIRDOC-B; 2279 YONGHE MEDICAL; 9606 DUALITYBIO-B; 7630 IMPACT THERAP-B</t>
        </is>
      </c>
    </row>
    <row r="35">
      <c r="A35" s="17" t="inlineStr">
        <is>
          <t>Foresight Funds</t>
        </is>
      </c>
      <c r="B35" s="171" t="n">
        <v>10</v>
      </c>
      <c r="C35" s="177" t="n">
        <v>60</v>
      </c>
      <c r="D35" s="178" t="n">
        <v>15.1</v>
      </c>
      <c r="E35" s="178" t="n">
        <v>14.7</v>
      </c>
      <c r="F35" s="178" t="n">
        <v>15.9</v>
      </c>
      <c r="G35" s="178" t="n">
        <v>-1.9</v>
      </c>
      <c r="H35" s="178" t="n">
        <v>0.7</v>
      </c>
      <c r="I35" s="178" t="n">
        <v>4.5</v>
      </c>
      <c r="J35" s="178" t="n">
        <v>-6.7</v>
      </c>
      <c r="K35" s="179" t="inlineStr">
        <is>
          <t>2170 BASECARE-B; 2171 CARSGEN-B; 2273 GUSHENGTANG; 0300 MIDEA GROUP; 3355 FS.COM; 2476 VGT; 7630 IMPACT THERAP-B; 1779 LONGBIO-B; 6132 HJ SCIENCE-B; 2475 LUXSHARE ICT</t>
        </is>
      </c>
    </row>
    <row r="36">
      <c r="A36" s="17" t="inlineStr">
        <is>
          <t>China Universal Asset Management (Hong Kong) Company Limited</t>
        </is>
      </c>
      <c r="B36" s="171" t="n">
        <v>9</v>
      </c>
      <c r="C36" s="177" t="n">
        <v>67</v>
      </c>
      <c r="D36" s="178" t="n">
        <v>61.7</v>
      </c>
      <c r="E36" s="178" t="n">
        <v>74.90000000000001</v>
      </c>
      <c r="F36" s="178" t="n">
        <v>61.5</v>
      </c>
      <c r="G36" s="178" t="n">
        <v>182.3</v>
      </c>
      <c r="H36" s="178" t="n">
        <v>0.8</v>
      </c>
      <c r="I36" s="178" t="n">
        <v>-1.4</v>
      </c>
      <c r="J36" s="178" t="n">
        <v>44.8</v>
      </c>
      <c r="K36" s="179" t="inlineStr">
        <is>
          <t>2155 MORIMATSU INTL; 6669 ACOTEC-B; 6990 SKB BIO-B; 0100 MINIMAX-WP; 9630 CFMEE; 9637 ALEBUND-B; 2475 LUXSHARE ICT; 6951 CCTC; 2249 NEXCHIP</t>
        </is>
      </c>
    </row>
    <row r="37">
      <c r="A37" s="17" t="inlineStr">
        <is>
          <t>Morgan Stanley &amp; Co. International plc</t>
        </is>
      </c>
      <c r="B37" s="171" t="n">
        <v>9</v>
      </c>
      <c r="C37" s="177" t="n">
        <v>56</v>
      </c>
      <c r="D37" s="178" t="n">
        <v>18.2</v>
      </c>
      <c r="E37" s="178" t="n">
        <v>20.4</v>
      </c>
      <c r="F37" s="178" t="n">
        <v>16.3</v>
      </c>
      <c r="G37" s="178" t="n">
        <v>63</v>
      </c>
      <c r="H37" s="178" t="n">
        <v>1.6</v>
      </c>
      <c r="I37" s="178" t="n">
        <v>-2.3</v>
      </c>
      <c r="J37" s="178" t="n">
        <v>26.4</v>
      </c>
      <c r="K37" s="179" t="inlineStr">
        <is>
          <t>2561 VISEN PHARMA-B; 2050 SANHUA; 6166 CIG; 3200 HANS CNC; 6809 MONTAGE TECH; 1021 HUAYAN ROBOTICS; 2476 VGT; 1688 LINGYI ITECH; 3308 ZJ INNOLIGHT</t>
        </is>
      </c>
    </row>
    <row r="38">
      <c r="A38" s="17" t="inlineStr">
        <is>
          <t>Suzhou Harvest International Co., Limited</t>
        </is>
      </c>
      <c r="B38" s="171" t="n">
        <v>9</v>
      </c>
      <c r="C38" s="177" t="n">
        <v>33</v>
      </c>
      <c r="D38" s="178" t="n">
        <v>16.7</v>
      </c>
      <c r="E38" s="178" t="n">
        <v>8.4</v>
      </c>
      <c r="F38" s="178" t="n">
        <v>5.9</v>
      </c>
      <c r="G38" s="178" t="n">
        <v>44.6</v>
      </c>
      <c r="H38" s="178" t="n">
        <v>-5.2</v>
      </c>
      <c r="I38" s="178" t="n">
        <v>-10.1</v>
      </c>
      <c r="J38" s="178" t="n">
        <v>-0.4</v>
      </c>
      <c r="K38" s="179" t="inlineStr">
        <is>
          <t>2152 SUXIN SERVICES; 2479 TIANJUDIHE; 2561 VISEN PHARMA-B; 9606 DUALITYBIO-B; 2630 VIGONVITA-B; 2581 BENQ HOLDING; 2692 ZHAOWEI; 6880 MOMENTA-W; 0537 RIGOL</t>
        </is>
      </c>
    </row>
    <row r="39">
      <c r="A39" s="17" t="inlineStr">
        <is>
          <t>FIL Investment Management (Hong Kong) Limited</t>
        </is>
      </c>
      <c r="B39" s="171" t="n">
        <v>8</v>
      </c>
      <c r="C39" s="177" t="n">
        <v>75</v>
      </c>
      <c r="D39" s="178" t="n">
        <v>72.5</v>
      </c>
      <c r="E39" s="178" t="n">
        <v>81.40000000000001</v>
      </c>
      <c r="F39" s="178" t="n">
        <v>51.9</v>
      </c>
      <c r="G39" s="178" t="n">
        <v>31.5</v>
      </c>
      <c r="H39" s="178" t="n">
        <v>2.1</v>
      </c>
      <c r="I39" s="178" t="n">
        <v>-4.6</v>
      </c>
      <c r="J39" s="178" t="n">
        <v>-19.7</v>
      </c>
      <c r="K39" s="179" t="inlineStr">
        <is>
          <t>1024 KUAISHOU-W; 2192 MEDLIVE; 2657 FOREST CABIN; 2714 MUYUAN; 1879 XIZHI TECH-P; 6880 MOMENTA-W; 7687 EACON; 2475 LUXSHARE ICT</t>
        </is>
      </c>
    </row>
    <row r="40">
      <c r="A40" s="17" t="inlineStr">
        <is>
          <t>China Asset Management (Hong Kong) Limited</t>
        </is>
      </c>
      <c r="B40" s="171" t="n">
        <v>8</v>
      </c>
      <c r="C40" s="177" t="n">
        <v>88</v>
      </c>
      <c r="D40" s="178" t="n">
        <v>54.4</v>
      </c>
      <c r="E40" s="178" t="n">
        <v>49.6</v>
      </c>
      <c r="F40" s="178" t="n">
        <v>30.7</v>
      </c>
      <c r="G40" s="178" t="n">
        <v>17.5</v>
      </c>
      <c r="H40" s="178" t="n">
        <v>-1.1</v>
      </c>
      <c r="I40" s="178" t="n">
        <v>-12.8</v>
      </c>
      <c r="J40" s="178" t="n">
        <v>-25.6</v>
      </c>
      <c r="K40" s="179" t="inlineStr">
        <is>
          <t>2160 CARDIOFLOW-B; 2675 EDGE MEDICAL-B; 6938 RIBOLIFE-B; 3636 JINXUN RESOURCE; 3277 GPIXEL; 7666 METIS TECHBIO-P; 7688 TOPNC; 6880 MOMENTA-W</t>
        </is>
      </c>
    </row>
    <row r="41">
      <c r="A41" s="17" t="inlineStr">
        <is>
          <t>Zhejiang Innoforce Pharmaceuticals Co., Ltd</t>
        </is>
      </c>
      <c r="B41" s="171" t="n">
        <v>8</v>
      </c>
      <c r="C41" s="177" t="n">
        <v>38</v>
      </c>
      <c r="D41" s="178" t="n">
        <v>-7.3</v>
      </c>
      <c r="E41" s="178" t="n">
        <v>-8.5</v>
      </c>
      <c r="F41" s="178" t="n">
        <v>0.9</v>
      </c>
      <c r="G41" s="178" t="n">
        <v>22.1</v>
      </c>
      <c r="H41" s="178" t="n">
        <v>-2</v>
      </c>
      <c r="I41" s="178" t="n">
        <v>7.3</v>
      </c>
      <c r="J41" s="178" t="n">
        <v>32.9</v>
      </c>
      <c r="K41" s="179" t="inlineStr">
        <is>
          <t>2257 SIRNAOMICS-B; 6661 HUZHOU GAS; 9863 LEAPMOTOR; 6610 FLOWING CLOUD; 2420 ZIBUYU; 9930 HORIZON CD; 9690 TUHU-W; 1274 IMOTIONAUTOTECH</t>
        </is>
      </c>
    </row>
    <row r="42">
      <c r="A42" s="17" t="inlineStr">
        <is>
          <t>Baring Asset Management (Asia) Limited</t>
        </is>
      </c>
      <c r="B42" s="171" t="n">
        <v>7</v>
      </c>
      <c r="C42" s="177" t="n">
        <v>86</v>
      </c>
      <c r="D42" s="178" t="n">
        <v>33.5</v>
      </c>
      <c r="E42" s="178" t="n">
        <v>23.3</v>
      </c>
      <c r="F42" s="178" t="n">
        <v>27.5</v>
      </c>
      <c r="G42" s="178" t="n">
        <v>56</v>
      </c>
      <c r="H42" s="178" t="n">
        <v>-9</v>
      </c>
      <c r="I42" s="178" t="n">
        <v>-5.6</v>
      </c>
      <c r="J42" s="178" t="n">
        <v>9.4</v>
      </c>
      <c r="K42" s="179" t="inlineStr">
        <is>
          <t>6166 CIG; 1989 DELTON; 6656 SIGENERGY; 6715 XUNLONG SCITECH; 7687 EACON; 1377 DTECH; 9856 LIGENT</t>
        </is>
      </c>
    </row>
    <row r="43">
      <c r="A43" s="17" t="inlineStr">
        <is>
          <t>WuXi Biologics HealthCare Venture</t>
        </is>
      </c>
      <c r="B43" s="171" t="n">
        <v>7</v>
      </c>
      <c r="C43" s="177" t="n">
        <v>57</v>
      </c>
      <c r="D43" s="178" t="n">
        <v>32.2</v>
      </c>
      <c r="E43" s="178" t="n">
        <v>68.7</v>
      </c>
      <c r="F43" s="178" t="n">
        <v>39.3</v>
      </c>
      <c r="G43" s="178" t="n">
        <v>36.5</v>
      </c>
      <c r="H43" s="178" t="n">
        <v>15.3</v>
      </c>
      <c r="I43" s="178" t="n">
        <v>2.1</v>
      </c>
      <c r="J43" s="178" t="n">
        <v>-0.9</v>
      </c>
      <c r="K43" s="179" t="inlineStr">
        <is>
          <t>2155 MORIMATSU INTL; 1228 CANBRIDGE-B; 2407 GAUSH MEDITECH; 2487 CUTIA-B; 1541 IMMUNEONCO-B; 6831 GREEN TEA GROUP; 2493 MABWELL-B</t>
        </is>
      </c>
    </row>
    <row r="44">
      <c r="A44" s="17" t="inlineStr">
        <is>
          <t>Dajia Life Insurance Co., Ltd</t>
        </is>
      </c>
      <c r="B44" s="171" t="n">
        <v>7</v>
      </c>
      <c r="C44" s="177" t="n">
        <v>100</v>
      </c>
      <c r="D44" s="178" t="n">
        <v>17.4</v>
      </c>
      <c r="E44" s="178" t="n">
        <v>17.9</v>
      </c>
      <c r="F44" s="178" t="n">
        <v>26.1</v>
      </c>
      <c r="G44" s="178" t="n">
        <v>26.6</v>
      </c>
      <c r="H44" s="178" t="n">
        <v>0.7</v>
      </c>
      <c r="I44" s="178" t="n">
        <v>7.8</v>
      </c>
      <c r="J44" s="178" t="n">
        <v>9.800000000000001</v>
      </c>
      <c r="K44" s="179" t="inlineStr">
        <is>
          <t>0300 MIDEA GROUP; 9973 CHERY AUTO; 2657 FOREST CABIN; 0501 OMNIVISION; 2714 MUYUAN; 1989 DELTON; 3661 SG MICRO</t>
        </is>
      </c>
    </row>
    <row r="45">
      <c r="A45" s="17" t="inlineStr">
        <is>
          <t>Jump Trading Pacific Pte. Ltd</t>
        </is>
      </c>
      <c r="B45" s="171" t="n">
        <v>7</v>
      </c>
      <c r="C45" s="177" t="n">
        <v>86</v>
      </c>
      <c r="D45" s="178" t="n">
        <v>14.5</v>
      </c>
      <c r="E45" s="178" t="n">
        <v>18.9</v>
      </c>
      <c r="F45" s="178" t="n">
        <v>24.9</v>
      </c>
      <c r="G45" s="178" t="n">
        <v>13</v>
      </c>
      <c r="H45" s="178" t="n">
        <v>3.7</v>
      </c>
      <c r="I45" s="178" t="n">
        <v>7.8</v>
      </c>
      <c r="J45" s="178" t="n">
        <v>-1.6</v>
      </c>
      <c r="K45" s="179" t="inlineStr">
        <is>
          <t>0300 MIDEA GROUP; 6168 ZHOU LIU FU; 0699 JOYSON ELEC; 9981 WOER; 2692 ZHAOWEI; 2476 VGT; 3388 CREALITY</t>
        </is>
      </c>
    </row>
    <row r="46">
      <c r="A46" s="17" t="inlineStr">
        <is>
          <t>Jane Street Asia Trading Limited</t>
        </is>
      </c>
      <c r="B46" s="171" t="n">
        <v>7</v>
      </c>
      <c r="C46" s="177" t="n">
        <v>71</v>
      </c>
      <c r="D46" s="178" t="n">
        <v>13.7</v>
      </c>
      <c r="E46" s="178" t="n">
        <v>17.1</v>
      </c>
      <c r="F46" s="178" t="n">
        <v>24.1</v>
      </c>
      <c r="G46" s="178" t="n">
        <v>43</v>
      </c>
      <c r="H46" s="178" t="n">
        <v>2.7</v>
      </c>
      <c r="I46" s="178" t="n">
        <v>9.300000000000001</v>
      </c>
      <c r="J46" s="178" t="n">
        <v>24.5</v>
      </c>
      <c r="K46" s="179" t="inlineStr">
        <is>
          <t>2050 SANHUA; 6603 IFBH; 6031 SANY HEAVY IND; 2788 CHUANGXIN IND; 2714 MUYUAN; 0668 ANKER; 2475 LUXSHARE ICT</t>
        </is>
      </c>
    </row>
    <row r="47">
      <c r="A47" s="17" t="inlineStr">
        <is>
          <t>PSBC Wealth Management Co., Ltd</t>
        </is>
      </c>
      <c r="B47" s="171" t="n">
        <v>7</v>
      </c>
      <c r="C47" s="177" t="n">
        <v>43</v>
      </c>
      <c r="D47" s="178" t="n">
        <v>9.4</v>
      </c>
      <c r="E47" s="178" t="n">
        <v>10.7</v>
      </c>
      <c r="F47" s="178" t="n">
        <v>4.8</v>
      </c>
      <c r="G47" s="178" t="n">
        <v>20.1</v>
      </c>
      <c r="H47" s="178" t="n">
        <v>1.5</v>
      </c>
      <c r="I47" s="178" t="n">
        <v>-3.1</v>
      </c>
      <c r="J47" s="178" t="n">
        <v>14.7</v>
      </c>
      <c r="K47" s="179" t="inlineStr">
        <is>
          <t>0300 MIDEA GROUP; 3750 CATL; 2050 SANHUA; 2580 AUX ELECTRIC; 1081 DAJIN; 3661 SG MICRO; 2249 NEXCHIP</t>
        </is>
      </c>
    </row>
    <row r="48">
      <c r="A48" s="17" t="inlineStr">
        <is>
          <t>Pinpoint Asset Management Limited</t>
        </is>
      </c>
      <c r="B48" s="171" t="n">
        <v>7</v>
      </c>
      <c r="C48" s="177" t="n">
        <v>43</v>
      </c>
      <c r="D48" s="178" t="n">
        <v>6.5</v>
      </c>
      <c r="E48" s="178" t="n">
        <v>6.7</v>
      </c>
      <c r="F48" s="178" t="n">
        <v>-4.5</v>
      </c>
      <c r="G48" s="178" t="n">
        <v>-0.4</v>
      </c>
      <c r="H48" s="178" t="n">
        <v>-0.4</v>
      </c>
      <c r="I48" s="178" t="n">
        <v>-10.6</v>
      </c>
      <c r="J48" s="178" t="n">
        <v>-8.4</v>
      </c>
      <c r="K48" s="179" t="inlineStr">
        <is>
          <t>2160 CARDIOFLOW-B; 6669 ACOTEC-B; 1304 FORTIOR; 9980 EASTROC; 0470 WUXI LEAD; 1081 DAJIN; 2249 NEXCHIP</t>
        </is>
      </c>
    </row>
    <row r="49">
      <c r="A49" s="17" t="inlineStr">
        <is>
          <t>Hudson Bay Master Fund Ltd</t>
        </is>
      </c>
      <c r="B49" s="171" t="n">
        <v>7</v>
      </c>
      <c r="C49" s="177" t="n">
        <v>43</v>
      </c>
      <c r="D49" s="178" t="n">
        <v>5.7</v>
      </c>
      <c r="E49" s="178" t="n">
        <v>2.9</v>
      </c>
      <c r="F49" s="178" t="n">
        <v>-8.4</v>
      </c>
      <c r="G49" s="178" t="n">
        <v>-28.2</v>
      </c>
      <c r="H49" s="178" t="n">
        <v>-2.5</v>
      </c>
      <c r="I49" s="178" t="n">
        <v>-13</v>
      </c>
      <c r="J49" s="178" t="n">
        <v>-33</v>
      </c>
      <c r="K49" s="179" t="inlineStr">
        <is>
          <t>2190 ZYLOXTB-B; 2162 KEYMED BIO-B; 2256 ABBISKO-B; 2235 MICROTECH MED-B; 1228 CANBRIDGE-B; 2279 YONGHE MEDICAL; 6639 ARRAIL GROUP</t>
        </is>
      </c>
    </row>
    <row r="50">
      <c r="A50" s="17" t="inlineStr">
        <is>
          <t>CITIC-Prudential Life Insurance Company Limited</t>
        </is>
      </c>
      <c r="B50" s="171" t="n">
        <v>7</v>
      </c>
      <c r="C50" s="177" t="n">
        <v>43</v>
      </c>
      <c r="D50" s="178" t="n">
        <v>-2.9</v>
      </c>
      <c r="E50" s="178" t="n">
        <v>-5.1</v>
      </c>
      <c r="F50" s="178" t="n">
        <v>2.5</v>
      </c>
      <c r="G50" s="178" t="n">
        <v>7.2</v>
      </c>
      <c r="H50" s="178" t="n">
        <v>-3.5</v>
      </c>
      <c r="I50" s="178" t="n">
        <v>3</v>
      </c>
      <c r="J50" s="178" t="n">
        <v>-0.1</v>
      </c>
      <c r="K50" s="179" t="inlineStr">
        <is>
          <t>9858 YOURAN DAIRY; 6680 JLMAG; 3288 HAITIAN FLAV; 6168 ZHOU LIU FU; 3388 CREALITY; 0537 RIGOL; 9976 LONGSYS</t>
        </is>
      </c>
    </row>
    <row r="51">
      <c r="A51" s="17" t="inlineStr">
        <is>
          <t>Hongkong Ruihua Investment Management Limited</t>
        </is>
      </c>
      <c r="B51" s="171" t="n">
        <v>7</v>
      </c>
      <c r="C51" s="177" t="n">
        <v>29</v>
      </c>
      <c r="D51" s="178" t="n">
        <v>-3.2</v>
      </c>
      <c r="E51" s="178" t="n">
        <v>-7.8</v>
      </c>
      <c r="F51" s="178" t="n">
        <v>-3.1</v>
      </c>
      <c r="G51" s="178" t="n">
        <v>-5.8</v>
      </c>
      <c r="H51" s="178" t="n">
        <v>-5.8</v>
      </c>
      <c r="I51" s="178" t="n">
        <v>-1.6</v>
      </c>
      <c r="J51" s="178" t="n">
        <v>-7.6</v>
      </c>
      <c r="K51" s="179" t="inlineStr">
        <is>
          <t>1228 CANBRIDGE-B; 2245 LYGEND RESOURCE; 2529 HOLLWIN URBAN; 9680 CHENQI TECH; 2519 AUGROUP; 2582 GUOFUHEE; 1187 COFOE MEDICAL</t>
        </is>
      </c>
    </row>
    <row r="52">
      <c r="A52" s="17" t="inlineStr">
        <is>
          <t>The Valliance Fund</t>
        </is>
      </c>
      <c r="B52" s="171" t="n">
        <v>7</v>
      </c>
      <c r="C52" s="177" t="n">
        <v>29</v>
      </c>
      <c r="D52" s="178" t="n">
        <v>-6.1</v>
      </c>
      <c r="E52" s="178" t="n">
        <v>-5.3</v>
      </c>
      <c r="F52" s="178" t="n">
        <v>-4.9</v>
      </c>
      <c r="G52" s="178" t="n">
        <v>-23.8</v>
      </c>
      <c r="H52" s="178" t="n">
        <v>-0.1</v>
      </c>
      <c r="I52" s="178" t="n">
        <v>-1</v>
      </c>
      <c r="J52" s="178" t="n">
        <v>-19.7</v>
      </c>
      <c r="K52" s="179" t="inlineStr">
        <is>
          <t>6127 JOINN; 2219 CHAOJU EYE CARE; 2137 BRII - B; 6609 HEARTCARE-B; 6669 ACOTEC-B; 2216 BRONCUS-B; 0600 AXERA</t>
        </is>
      </c>
    </row>
    <row r="53">
      <c r="A53" s="17" t="inlineStr">
        <is>
          <t>Schroders</t>
        </is>
      </c>
      <c r="B53" s="171" t="n">
        <v>6</v>
      </c>
      <c r="C53" s="177" t="n">
        <v>67</v>
      </c>
      <c r="D53" s="178" t="n">
        <v>73.09999999999999</v>
      </c>
      <c r="E53" s="178" t="n">
        <v>78.59999999999999</v>
      </c>
      <c r="F53" s="178" t="n">
        <v>75.90000000000001</v>
      </c>
      <c r="G53" s="178" t="n">
        <v>55.8</v>
      </c>
      <c r="H53" s="178" t="n">
        <v>4.2</v>
      </c>
      <c r="I53" s="178" t="n">
        <v>17.4</v>
      </c>
      <c r="J53" s="178" t="n">
        <v>21.8</v>
      </c>
      <c r="K53" s="179" t="inlineStr">
        <is>
          <t>2050 SANHUA; 9927 SERES; 3696 INSILICO; 3200 HANS CNC; 1879 XIZHI TECH-P; 0668 ANKER</t>
        </is>
      </c>
    </row>
    <row r="54">
      <c r="A54" s="17" t="inlineStr">
        <is>
          <t>China Orient Multi-Strategy Master Fund</t>
        </is>
      </c>
      <c r="B54" s="171" t="n">
        <v>6</v>
      </c>
      <c r="C54" s="177" t="n">
        <v>83</v>
      </c>
      <c r="D54" s="178" t="n">
        <v>67.90000000000001</v>
      </c>
      <c r="E54" s="178" t="n">
        <v>69.3</v>
      </c>
      <c r="F54" s="178" t="n">
        <v>78</v>
      </c>
      <c r="G54" s="178" t="n">
        <v>87</v>
      </c>
      <c r="H54" s="178" t="n">
        <v>-3.1</v>
      </c>
      <c r="I54" s="178" t="n">
        <v>-2.3</v>
      </c>
      <c r="J54" s="178" t="n">
        <v>23.1</v>
      </c>
      <c r="K54" s="179" t="inlineStr">
        <is>
          <t>2158 YIDU TECH; 2191 SF REIT; 9903 ILUVATAR COREX; 6872 TENNOR THERAP-B; 1956 WENGE AI; 9856 LIGENT</t>
        </is>
      </c>
    </row>
    <row r="55">
      <c r="A55" s="17" t="inlineStr">
        <is>
          <t>Huadeng Technology Space Ventures Ltd</t>
        </is>
      </c>
      <c r="B55" s="171" t="n">
        <v>6</v>
      </c>
      <c r="C55" s="177" t="n">
        <v>67</v>
      </c>
      <c r="D55" s="178" t="n">
        <v>63</v>
      </c>
      <c r="E55" s="178" t="n">
        <v>38.6</v>
      </c>
      <c r="F55" s="178" t="n">
        <v>26.3</v>
      </c>
      <c r="G55" s="178" t="n">
        <v>5.5</v>
      </c>
      <c r="H55" s="178" t="n">
        <v>-12.1</v>
      </c>
      <c r="I55" s="178" t="n">
        <v>-24</v>
      </c>
      <c r="J55" s="178" t="n">
        <v>-51.3</v>
      </c>
      <c r="K55" s="179" t="inlineStr">
        <is>
          <t>6656 SIGENERGY; 7666 METIS TECHBIO-P; 3661 SG MICRO; 9630 CFMEE; 3308 ZJ INNOLIGHT; 9976 LONGSYS</t>
        </is>
      </c>
    </row>
    <row r="56">
      <c r="A56" s="17" t="inlineStr">
        <is>
          <t>Invesco Advisers, Inc</t>
        </is>
      </c>
      <c r="B56" s="171" t="n">
        <v>6</v>
      </c>
      <c r="C56" s="177" t="n">
        <v>83</v>
      </c>
      <c r="D56" s="178" t="n">
        <v>42.1</v>
      </c>
      <c r="E56" s="178" t="n">
        <v>57.4</v>
      </c>
      <c r="F56" s="178" t="n">
        <v>52.6</v>
      </c>
      <c r="G56" s="178" t="n">
        <v>25.3</v>
      </c>
      <c r="H56" s="178" t="n">
        <v>5.7</v>
      </c>
      <c r="I56" s="178" t="n">
        <v>11.5</v>
      </c>
      <c r="J56" s="178" t="n">
        <v>-9.699999999999999</v>
      </c>
      <c r="K56" s="179" t="inlineStr">
        <is>
          <t>1024 KUAISHOU-W; 2162 KEYMED BIO-B; 2137 BRII - B; 2235 MICROTECH MED-B; 2268 WUXI XDC; 1276 HENGRUI PHARMA</t>
        </is>
      </c>
    </row>
    <row r="57">
      <c r="A57" s="17" t="inlineStr">
        <is>
          <t>JPMorgan Asset Management (Asia Pacific) Limited</t>
        </is>
      </c>
      <c r="B57" s="171" t="n">
        <v>6</v>
      </c>
      <c r="C57" s="177" t="n">
        <v>83</v>
      </c>
      <c r="D57" s="178" t="n">
        <v>29.5</v>
      </c>
      <c r="E57" s="178" t="n">
        <v>21.3</v>
      </c>
      <c r="F57" s="178" t="n">
        <v>15.8</v>
      </c>
      <c r="G57" s="178" t="n">
        <v>21.2</v>
      </c>
      <c r="H57" s="178" t="n">
        <v>-3.4</v>
      </c>
      <c r="I57" s="178" t="n">
        <v>-5.7</v>
      </c>
      <c r="J57" s="178" t="n">
        <v>7</v>
      </c>
      <c r="K57" s="179" t="inlineStr">
        <is>
          <t>3296 HUAQIN; 3661 SG MICRO; 9630 CFMEE; 7687 EACON; 6951 CCTC; 3308 ZJ INNOLIGHT</t>
        </is>
      </c>
    </row>
    <row r="58">
      <c r="A58" s="17" t="inlineStr">
        <is>
          <t>CPIC Investment Management (H.K.) Company Limited</t>
        </is>
      </c>
      <c r="B58" s="171" t="n">
        <v>6</v>
      </c>
      <c r="C58" s="177" t="n">
        <v>33</v>
      </c>
      <c r="D58" s="178" t="n">
        <v>29.3</v>
      </c>
      <c r="E58" s="178" t="n">
        <v>15</v>
      </c>
      <c r="F58" s="178" t="n">
        <v>18.9</v>
      </c>
      <c r="G58" s="178" t="n">
        <v>-0.1</v>
      </c>
      <c r="H58" s="178" t="n">
        <v>-8</v>
      </c>
      <c r="I58" s="178" t="n">
        <v>-7.4</v>
      </c>
      <c r="J58" s="178" t="n">
        <v>-20.5</v>
      </c>
      <c r="K58" s="179" t="inlineStr">
        <is>
          <t>9696 TIANQI LITHIUM; 2505 EDA GROUP HLDGS; 6936 SF HOLDING; 0638 FIBOCOM; 6656 SIGENERGY; 6880 MOMENTA-W</t>
        </is>
      </c>
    </row>
    <row r="59">
      <c r="A59" s="17" t="inlineStr">
        <is>
          <t>Snow Lake Funds and Accounts</t>
        </is>
      </c>
      <c r="B59" s="171" t="n">
        <v>6</v>
      </c>
      <c r="C59" s="177" t="n">
        <v>67</v>
      </c>
      <c r="D59" s="178" t="n">
        <v>26.2</v>
      </c>
      <c r="E59" s="178" t="n">
        <v>17.2</v>
      </c>
      <c r="F59" s="178" t="n">
        <v>5.7</v>
      </c>
      <c r="G59" s="178" t="n">
        <v>10.8</v>
      </c>
      <c r="H59" s="178" t="n">
        <v>-5.1</v>
      </c>
      <c r="I59" s="178" t="n">
        <v>-14.7</v>
      </c>
      <c r="J59" s="178" t="n">
        <v>-17.5</v>
      </c>
      <c r="K59" s="179" t="inlineStr">
        <is>
          <t>2125 STRAWBEAR ENT; 2160 CARDIOFLOW-B; 2190 ZYLOXTB-B; 9960 KINDSTAR GLOBAL; 2216 BRONCUS-B; 2252 MEDBOT-B</t>
        </is>
      </c>
    </row>
    <row r="60">
      <c r="A60" s="17" t="inlineStr">
        <is>
          <t>Dymon Asia Multi-Strategy Investment Master Fund</t>
        </is>
      </c>
      <c r="B60" s="171" t="n">
        <v>6</v>
      </c>
      <c r="C60" s="177" t="n">
        <v>50</v>
      </c>
      <c r="D60" s="178" t="n">
        <v>23.9</v>
      </c>
      <c r="E60" s="178" t="n">
        <v>8.1</v>
      </c>
      <c r="F60" s="178" t="n">
        <v>-1.3</v>
      </c>
      <c r="G60" s="178" t="n">
        <v>3.4</v>
      </c>
      <c r="H60" s="178" t="n">
        <v>-8.1</v>
      </c>
      <c r="I60" s="178" t="n">
        <v>-15.6</v>
      </c>
      <c r="J60" s="178" t="n">
        <v>4.4</v>
      </c>
      <c r="K60" s="179" t="inlineStr">
        <is>
          <t>2171 CARSGEN-B; 6669 ACOTEC-B; 6166 CIG; 3661 SG MICRO; 6228 MERDEKAGOLD-DRS; 9637 ALEBUND-B</t>
        </is>
      </c>
    </row>
    <row r="61">
      <c r="A61" s="17" t="inlineStr">
        <is>
          <t>CloudAlpha Master Fund</t>
        </is>
      </c>
      <c r="B61" s="171" t="n">
        <v>6</v>
      </c>
      <c r="C61" s="177" t="n">
        <v>33</v>
      </c>
      <c r="D61" s="178" t="n">
        <v>5.7</v>
      </c>
      <c r="E61" s="178" t="n">
        <v>14.7</v>
      </c>
      <c r="F61" s="178" t="n">
        <v>10.8</v>
      </c>
      <c r="G61" s="178" t="n">
        <v>-1.1</v>
      </c>
      <c r="H61" s="178" t="n">
        <v>9.300000000000001</v>
      </c>
      <c r="I61" s="178" t="n">
        <v>3.9</v>
      </c>
      <c r="J61" s="178" t="n">
        <v>-7.6</v>
      </c>
      <c r="K61" s="179" t="inlineStr">
        <is>
          <t>2171 CARSGEN-B; 2252 MEDBOT-B; 2251 AIRDOC-B; 2476 VGT; 1377 DTECH; 3308 ZJ INNOLIGHT</t>
        </is>
      </c>
    </row>
    <row r="62">
      <c r="A62" s="17" t="inlineStr">
        <is>
          <t>Springhill Master Fund Limited</t>
        </is>
      </c>
      <c r="B62" s="171" t="n">
        <v>6</v>
      </c>
      <c r="C62" s="177" t="n">
        <v>50</v>
      </c>
      <c r="D62" s="178" t="n">
        <v>3.7</v>
      </c>
      <c r="E62" s="178" t="n">
        <v>-2.9</v>
      </c>
      <c r="F62" s="178" t="n">
        <v>11.4</v>
      </c>
      <c r="G62" s="178" t="n">
        <v>-8.699999999999999</v>
      </c>
      <c r="H62" s="178" t="n">
        <v>-6.9</v>
      </c>
      <c r="I62" s="178" t="n">
        <v>6.4</v>
      </c>
      <c r="J62" s="178" t="n">
        <v>-13.4</v>
      </c>
      <c r="K62" s="179" t="inlineStr">
        <is>
          <t>2162 KEYMED BIO-B; 2137 BRII - B; 2192 MEDLIVE; 2216 BRONCUS-B; 2235 MICROTECH MED-B; 2197 CLOVER BIO-B</t>
        </is>
      </c>
    </row>
    <row r="63">
      <c r="A63" s="17" t="inlineStr">
        <is>
          <t>Green Better</t>
        </is>
      </c>
      <c r="B63" s="171" t="n">
        <v>6</v>
      </c>
      <c r="C63" s="177" t="n">
        <v>50</v>
      </c>
      <c r="D63" s="178" t="n">
        <v>2.3</v>
      </c>
      <c r="E63" s="178" t="n">
        <v>5.9</v>
      </c>
      <c r="F63" s="178" t="n">
        <v>11.7</v>
      </c>
      <c r="G63" s="178" t="n">
        <v>19.7</v>
      </c>
      <c r="H63" s="178" t="n">
        <v>3.6</v>
      </c>
      <c r="I63" s="178" t="n">
        <v>8.6</v>
      </c>
      <c r="J63" s="178" t="n">
        <v>16.3</v>
      </c>
      <c r="K63" s="179" t="inlineStr">
        <is>
          <t>3658 NEW HOPE SERV; 1948 UJU HOLDING; 2050 SANHUA; 6613 LENS; 2676 NOVOSENSE; 3296 HUAQIN</t>
        </is>
      </c>
    </row>
    <row r="64">
      <c r="A64" s="17" t="inlineStr">
        <is>
          <t>Verition Multi-Strategy Master Fund Ltd</t>
        </is>
      </c>
      <c r="B64" s="171" t="n">
        <v>6</v>
      </c>
      <c r="C64" s="177" t="n">
        <v>33</v>
      </c>
      <c r="D64" s="178" t="n">
        <v>1.2</v>
      </c>
      <c r="E64" s="178" t="n">
        <v>1.8</v>
      </c>
      <c r="F64" s="178" t="n">
        <v>2.4</v>
      </c>
      <c r="G64" s="178" t="n">
        <v>73.59999999999999</v>
      </c>
      <c r="H64" s="178" t="n">
        <v>0.7</v>
      </c>
      <c r="I64" s="178" t="n">
        <v>0.9</v>
      </c>
      <c r="J64" s="178" t="n">
        <v>66.3</v>
      </c>
      <c r="K64" s="179" t="inlineStr">
        <is>
          <t>2050 SANHUA; 6613 LENS; 1688 LINGYI ITECH; 6951 CCTC; 1377 DTECH; 2249 NEXCHIP</t>
        </is>
      </c>
    </row>
    <row r="65">
      <c r="A65" s="17" t="inlineStr">
        <is>
          <t>Jiangsu Pure Precision Technology Co., Ltd</t>
        </is>
      </c>
      <c r="B65" s="171" t="n">
        <v>6</v>
      </c>
      <c r="C65" s="177" t="n">
        <v>33</v>
      </c>
      <c r="D65" s="178" t="n">
        <v>-0.5</v>
      </c>
      <c r="E65" s="178" t="n">
        <v>-1.3</v>
      </c>
      <c r="F65" s="178" t="n">
        <v>4.8</v>
      </c>
      <c r="G65" s="178" t="n">
        <v>9.4</v>
      </c>
      <c r="H65" s="178" t="n">
        <v>-0.6</v>
      </c>
      <c r="I65" s="178" t="n">
        <v>6</v>
      </c>
      <c r="J65" s="178" t="n">
        <v>10.7</v>
      </c>
      <c r="K65" s="179" t="inlineStr">
        <is>
          <t>3931 CALB; 2407 GAUSH MEDITECH; 2517 GUOQUAN; 6657 BAIWANG CO; 2495 VOICECOMM; 2577 INNOSCIENCE</t>
        </is>
      </c>
    </row>
    <row r="66">
      <c r="A66" s="17" t="inlineStr">
        <is>
          <t>China Structural Reform Fund Corporation Limited</t>
        </is>
      </c>
      <c r="B66" s="171" t="n">
        <v>6</v>
      </c>
      <c r="C66" s="177" t="n">
        <v>17</v>
      </c>
      <c r="D66" s="178" t="n">
        <v>-5.7</v>
      </c>
      <c r="E66" s="178" t="n">
        <v>-2</v>
      </c>
      <c r="F66" s="178" t="n">
        <v>-7.2</v>
      </c>
      <c r="G66" s="178" t="n">
        <v>-10.1</v>
      </c>
      <c r="H66" s="178" t="n">
        <v>3.6</v>
      </c>
      <c r="I66" s="178" t="n">
        <v>-3.4</v>
      </c>
      <c r="J66" s="178" t="n">
        <v>-6.3</v>
      </c>
      <c r="K66" s="179" t="inlineStr">
        <is>
          <t>6127 JOINN; 6608 BAIRONG-W; 6628 TRANSCENTA-B; 1880 CTG DUTY-FREE; 2507 CIRRUS; 0300 MIDEA GROUP</t>
        </is>
      </c>
    </row>
    <row r="67">
      <c r="A67" s="17" t="inlineStr">
        <is>
          <t>Alibaba Investment Limited</t>
        </is>
      </c>
      <c r="B67" s="171" t="n">
        <v>5</v>
      </c>
      <c r="C67" s="177" t="n">
        <v>60</v>
      </c>
      <c r="D67" s="178" t="n">
        <v>82.3</v>
      </c>
      <c r="E67" s="178" t="n">
        <v>92.40000000000001</v>
      </c>
      <c r="F67" s="178" t="n">
        <v>53.3</v>
      </c>
      <c r="G67" s="178" t="n">
        <v>97.40000000000001</v>
      </c>
      <c r="H67" s="178" t="n">
        <v>7.8</v>
      </c>
      <c r="I67" s="178" t="n">
        <v>-6.7</v>
      </c>
      <c r="J67" s="178" t="n">
        <v>21.2</v>
      </c>
      <c r="K67" s="179" t="inlineStr">
        <is>
          <t>2566 JIUYUAN GENE; 6809 MONTAGE TECH; 1879 XIZHI TECH-P; 6951 CCTC; 3308 ZJ INNOLIGHT</t>
        </is>
      </c>
    </row>
    <row r="68">
      <c r="A68" s="17" t="inlineStr">
        <is>
          <t>RIME Capital Limited</t>
        </is>
      </c>
      <c r="B68" s="171" t="n">
        <v>5</v>
      </c>
      <c r="C68" s="177" t="n">
        <v>100</v>
      </c>
      <c r="D68" s="178" t="n">
        <v>78.90000000000001</v>
      </c>
      <c r="E68" s="178" t="n">
        <v>100.4</v>
      </c>
      <c r="F68" s="178" t="n">
        <v>73.8</v>
      </c>
      <c r="G68" s="178" t="n">
        <v>34.3</v>
      </c>
      <c r="H68" s="178" t="n">
        <v>9.6</v>
      </c>
      <c r="I68" s="178" t="n">
        <v>-3.1</v>
      </c>
      <c r="J68" s="178" t="n">
        <v>-23.7</v>
      </c>
      <c r="K68" s="179" t="inlineStr">
        <is>
          <t>2655 GUOXIA TECH; 9981 WOER; 2692 ZHAOWEI; 0068 MANYCORE TECH; 6675 SENASIC</t>
        </is>
      </c>
    </row>
    <row r="69">
      <c r="A69" s="17" t="inlineStr">
        <is>
          <t>SensePower Management Limited</t>
        </is>
      </c>
      <c r="B69" s="171" t="n">
        <v>5</v>
      </c>
      <c r="C69" s="177" t="n">
        <v>60</v>
      </c>
      <c r="D69" s="178" t="n">
        <v>39.1</v>
      </c>
      <c r="E69" s="178" t="n">
        <v>38.2</v>
      </c>
      <c r="F69" s="178" t="n">
        <v>20.4</v>
      </c>
      <c r="G69" s="178" t="n">
        <v>34.5</v>
      </c>
      <c r="H69" s="178" t="n">
        <v>0</v>
      </c>
      <c r="I69" s="178" t="n">
        <v>9.6</v>
      </c>
      <c r="J69" s="178" t="n">
        <v>22.3</v>
      </c>
      <c r="K69" s="179" t="inlineStr">
        <is>
          <t>6626 YUEXIU SERVICES; 9878 HUITONGDA NET; 6610 FLOWING CLOUD; 2429 UBOX ONLINE; 3231 EXCELLAND ROBOT</t>
        </is>
      </c>
    </row>
    <row r="70">
      <c r="A70" s="17" t="inlineStr">
        <is>
          <t>Hillhouse Investment Management, Ltd</t>
        </is>
      </c>
      <c r="B70" s="171" t="n">
        <v>5</v>
      </c>
      <c r="C70" s="177" t="n">
        <v>80</v>
      </c>
      <c r="D70" s="178" t="n">
        <v>28</v>
      </c>
      <c r="E70" s="178" t="n">
        <v>27.7</v>
      </c>
      <c r="F70" s="178" t="n">
        <v>16.1</v>
      </c>
      <c r="G70" s="178" t="n">
        <v>-9.800000000000001</v>
      </c>
      <c r="H70" s="178" t="n">
        <v>2.4</v>
      </c>
      <c r="I70" s="178" t="n">
        <v>-7.9</v>
      </c>
      <c r="J70" s="178" t="n">
        <v>-24.5</v>
      </c>
      <c r="K70" s="179" t="inlineStr">
        <is>
          <t>2162 KEYMED BIO-B; 2252 MEDBOT-B; 6031 SANY HEAVY IND; 6656 SIGENERGY; 1081 DAJIN</t>
        </is>
      </c>
    </row>
    <row r="71">
      <c r="A71" s="17" t="inlineStr">
        <is>
          <t>Janchor Partners Pan-Asian Master Fund</t>
        </is>
      </c>
      <c r="B71" s="171" t="n">
        <v>5</v>
      </c>
      <c r="C71" s="177" t="n">
        <v>60</v>
      </c>
      <c r="D71" s="178" t="n">
        <v>26.5</v>
      </c>
      <c r="E71" s="178" t="n">
        <v>29.8</v>
      </c>
      <c r="F71" s="178" t="n">
        <v>26</v>
      </c>
      <c r="G71" s="178" t="n">
        <v>57.6</v>
      </c>
      <c r="H71" s="178" t="n">
        <v>1.1</v>
      </c>
      <c r="I71" s="178" t="n">
        <v>-1.2</v>
      </c>
      <c r="J71" s="178" t="n">
        <v>16.2</v>
      </c>
      <c r="K71" s="179" t="inlineStr">
        <is>
          <t>6127 JOINN; 2162 KEYMED BIO-B; 2256 ABBISKO-B; 6809 MONTAGE TECH; 2476 VGT</t>
        </is>
      </c>
    </row>
    <row r="72">
      <c r="A72" s="17" t="inlineStr">
        <is>
          <t>Martis Fund, L.P</t>
        </is>
      </c>
      <c r="B72" s="171" t="n">
        <v>5</v>
      </c>
      <c r="C72" s="177" t="n">
        <v>60</v>
      </c>
      <c r="D72" s="178" t="n">
        <v>26.4</v>
      </c>
      <c r="E72" s="178" t="n">
        <v>40.4</v>
      </c>
      <c r="F72" s="178" t="n">
        <v>57.3</v>
      </c>
      <c r="G72" s="178" t="n">
        <v>135.3</v>
      </c>
      <c r="H72" s="178" t="n">
        <v>8.4</v>
      </c>
      <c r="I72" s="178" t="n">
        <v>19.5</v>
      </c>
      <c r="J72" s="178" t="n">
        <v>57.8</v>
      </c>
      <c r="K72" s="179" t="inlineStr">
        <is>
          <t>2050 SANHUA; 9973 CHERY AUTO; 0100 MINIMAX-WP; 3388 CREALITY; 1377 DTECH</t>
        </is>
      </c>
    </row>
    <row r="73">
      <c r="A73" s="17" t="inlineStr">
        <is>
          <t>MY Asian Opportunities Master Fund, L.P</t>
        </is>
      </c>
      <c r="B73" s="171" t="n">
        <v>5</v>
      </c>
      <c r="C73" s="177" t="n">
        <v>60</v>
      </c>
      <c r="D73" s="178" t="n">
        <v>18</v>
      </c>
      <c r="E73" s="178" t="n">
        <v>20.7</v>
      </c>
      <c r="F73" s="178" t="n">
        <v>40.8</v>
      </c>
      <c r="G73" s="178" t="n">
        <v>56.9</v>
      </c>
      <c r="H73" s="178" t="n">
        <v>2.7</v>
      </c>
      <c r="I73" s="178" t="n">
        <v>17.5</v>
      </c>
      <c r="J73" s="178" t="n">
        <v>28.7</v>
      </c>
      <c r="K73" s="179" t="inlineStr">
        <is>
          <t>0300 MIDEA GROUP; 0470 WUXI LEAD; 1989 DELTON; 2476 VGT; 2475 LUXSHARE ICT</t>
        </is>
      </c>
    </row>
    <row r="74">
      <c r="A74" s="17" t="inlineStr">
        <is>
          <t>Dreamee HK Fund</t>
        </is>
      </c>
      <c r="B74" s="171" t="n">
        <v>5</v>
      </c>
      <c r="C74" s="177" t="n">
        <v>20</v>
      </c>
      <c r="D74" s="178" t="n">
        <v>14.2</v>
      </c>
      <c r="E74" s="178" t="n">
        <v>20.1</v>
      </c>
      <c r="F74" s="178" t="n">
        <v>31.3</v>
      </c>
      <c r="G74" s="178" t="n">
        <v>33.4</v>
      </c>
      <c r="H74" s="178" t="n">
        <v>8.199999999999999</v>
      </c>
      <c r="I74" s="178" t="n">
        <v>4.5</v>
      </c>
      <c r="J74" s="178" t="n">
        <v>9.6</v>
      </c>
      <c r="K74" s="179" t="inlineStr">
        <is>
          <t>0638 FIBOCOM; 2676 NOVOSENSE; 2655 GUOXIA TECH; 2715 ESTUN; 3952 LAIFUAL</t>
        </is>
      </c>
    </row>
    <row r="75">
      <c r="A75" s="17" t="inlineStr">
        <is>
          <t>Infini Global Master Fund</t>
        </is>
      </c>
      <c r="B75" s="171" t="n">
        <v>5</v>
      </c>
      <c r="C75" s="177" t="n">
        <v>80</v>
      </c>
      <c r="D75" s="178" t="n">
        <v>10.1</v>
      </c>
      <c r="E75" s="178" t="n">
        <v>30.9</v>
      </c>
      <c r="F75" s="178" t="n">
        <v>70.40000000000001</v>
      </c>
      <c r="G75" s="178" t="n">
        <v>59.7</v>
      </c>
      <c r="H75" s="178" t="n">
        <v>17.8</v>
      </c>
      <c r="I75" s="178" t="n">
        <v>54.3</v>
      </c>
      <c r="J75" s="178" t="n">
        <v>45.5</v>
      </c>
      <c r="K75" s="179" t="inlineStr">
        <is>
          <t>2643 CAOCAO INC; 6613 LENS; 3696 INSILICO; 6600 ONEROBOTICS; 2675 EDGE MEDICAL-B</t>
        </is>
      </c>
    </row>
    <row r="76">
      <c r="A76" s="17" t="inlineStr">
        <is>
          <t>Da Cheng International Asset Management Company Limited</t>
        </is>
      </c>
      <c r="B76" s="171" t="n">
        <v>5</v>
      </c>
      <c r="C76" s="177" t="n">
        <v>40</v>
      </c>
      <c r="D76" s="178" t="n">
        <v>8.800000000000001</v>
      </c>
      <c r="E76" s="178" t="n">
        <v>5.6</v>
      </c>
      <c r="F76" s="178" t="n">
        <v>-11.2</v>
      </c>
      <c r="G76" s="178" t="n">
        <v>-15.4</v>
      </c>
      <c r="H76" s="178" t="n">
        <v>-2.7</v>
      </c>
      <c r="I76" s="178" t="n">
        <v>-17.6</v>
      </c>
      <c r="J76" s="178" t="n">
        <v>-16</v>
      </c>
      <c r="K76" s="179" t="inlineStr">
        <is>
          <t>2692 ZHAOWEI; 1187 COFOE MEDICAL; 3661 SG MICRO; 1688 LINGYI ITECH; 2249 NEXCHIP</t>
        </is>
      </c>
    </row>
    <row r="77">
      <c r="A77" s="17" t="inlineStr">
        <is>
          <t>Millennium Capital Management (Singapore) Pte. Ltd</t>
        </is>
      </c>
      <c r="B77" s="171" t="n">
        <v>5</v>
      </c>
      <c r="C77" s="177" t="n">
        <v>20</v>
      </c>
      <c r="D77" s="178" t="n">
        <v>8.699999999999999</v>
      </c>
      <c r="E77" s="178" t="n">
        <v>7.9</v>
      </c>
      <c r="F77" s="178" t="n">
        <v>-6.4</v>
      </c>
      <c r="G77" s="178" t="n">
        <v>-20.8</v>
      </c>
      <c r="H77" s="178" t="n">
        <v>-0.2</v>
      </c>
      <c r="I77" s="178" t="n">
        <v>-12.4</v>
      </c>
      <c r="J77" s="178" t="n">
        <v>-20.8</v>
      </c>
      <c r="K77" s="179" t="inlineStr">
        <is>
          <t>0470 WUXI LEAD; 1081 DAJIN; 3661 SG MICRO; 2475 LUXSHARE ICT; 1377 DTECH</t>
        </is>
      </c>
    </row>
    <row r="78">
      <c r="A78" s="17" t="inlineStr">
        <is>
          <t>Octagon Investments Master Fund LP</t>
        </is>
      </c>
      <c r="B78" s="171" t="n">
        <v>5</v>
      </c>
      <c r="C78" s="177" t="n">
        <v>40</v>
      </c>
      <c r="D78" s="178" t="n">
        <v>7</v>
      </c>
      <c r="E78" s="178" t="n">
        <v>3.4</v>
      </c>
      <c r="F78" s="178" t="n">
        <v>-5.3</v>
      </c>
      <c r="G78" s="178" t="n">
        <v>-19.3</v>
      </c>
      <c r="H78" s="178" t="n">
        <v>-3.3</v>
      </c>
      <c r="I78" s="178" t="n">
        <v>-11.3</v>
      </c>
      <c r="J78" s="178" t="n">
        <v>-24.2</v>
      </c>
      <c r="K78" s="179" t="inlineStr">
        <is>
          <t>6127 JOINN; 2190 ZYLOXTB-B; 2162 KEYMED BIO-B; 6609 HEARTCARE-B; 2235 MICROTECH MED-B</t>
        </is>
      </c>
    </row>
    <row r="79">
      <c r="A79" s="17" t="inlineStr">
        <is>
          <t>Panjing Harbourview Investment Fund</t>
        </is>
      </c>
      <c r="B79" s="171" t="n">
        <v>5</v>
      </c>
      <c r="C79" s="177" t="n">
        <v>40</v>
      </c>
      <c r="D79" s="178" t="n">
        <v>4.5</v>
      </c>
      <c r="E79" s="178" t="n">
        <v>15.6</v>
      </c>
      <c r="F79" s="178" t="n">
        <v>9.800000000000001</v>
      </c>
      <c r="G79" s="178" t="n">
        <v>0.1</v>
      </c>
      <c r="H79" s="178" t="n">
        <v>7</v>
      </c>
      <c r="I79" s="178" t="n">
        <v>5.1</v>
      </c>
      <c r="J79" s="178" t="n">
        <v>-3.1</v>
      </c>
      <c r="K79" s="179" t="inlineStr">
        <is>
          <t>6669 ACOTEC-B; 2675 EDGE MEDICAL-B; 3277 GPIXEL; 1187 COFOE MEDICAL; 6132 HJ SCIENCE-B</t>
        </is>
      </c>
    </row>
    <row r="80">
      <c r="A80" s="17" t="inlineStr">
        <is>
          <t>New China Asset Management (Hong Kong) Limited</t>
        </is>
      </c>
      <c r="B80" s="171" t="n">
        <v>5</v>
      </c>
      <c r="C80" s="177" t="n">
        <v>60</v>
      </c>
      <c r="D80" s="178" t="n">
        <v>3.9</v>
      </c>
      <c r="E80" s="178" t="n">
        <v>2.3</v>
      </c>
      <c r="F80" s="178" t="n">
        <v>2.4</v>
      </c>
      <c r="G80" s="178" t="n">
        <v>-10.9</v>
      </c>
      <c r="H80" s="178" t="n">
        <v>-1.6</v>
      </c>
      <c r="I80" s="178" t="n">
        <v>-2.2</v>
      </c>
      <c r="J80" s="178" t="n">
        <v>-14.8</v>
      </c>
      <c r="K80" s="179" t="inlineStr">
        <is>
          <t>6626 YUEXIU SERVICES; 9636 JF WEALTH; 6682 FOURTH PARADIGM; 9927 SERES; 3296 HUAQIN</t>
        </is>
      </c>
    </row>
    <row r="81">
      <c r="A81" s="17" t="inlineStr">
        <is>
          <t>Wind Sabre Fund SPC</t>
        </is>
      </c>
      <c r="B81" s="171" t="n">
        <v>5</v>
      </c>
      <c r="C81" s="177" t="n">
        <v>40</v>
      </c>
      <c r="D81" s="178" t="n">
        <v>3.4</v>
      </c>
      <c r="E81" s="178" t="n">
        <v>6.6</v>
      </c>
      <c r="F81" s="178" t="n">
        <v>17.8</v>
      </c>
      <c r="G81" s="178" t="n">
        <v>97.3</v>
      </c>
      <c r="H81" s="178" t="n">
        <v>2.8</v>
      </c>
      <c r="I81" s="178" t="n">
        <v>12.9</v>
      </c>
      <c r="J81" s="178" t="n">
        <v>83.09999999999999</v>
      </c>
      <c r="K81" s="179" t="inlineStr">
        <is>
          <t>2050 SANHUA; 1304 FORTIOR; 9903 ILUVATAR COREX; 6228 MERDEKAGOLD-DRS; 9976 LONGSYS</t>
        </is>
      </c>
    </row>
    <row r="82">
      <c r="A82" s="17" t="inlineStr">
        <is>
          <t>The China State-owned Enterprise Mixed Ownership Reform Fund Co., Ltd</t>
        </is>
      </c>
      <c r="B82" s="171" t="n">
        <v>5</v>
      </c>
      <c r="C82" s="177" t="n">
        <v>20</v>
      </c>
      <c r="D82" s="178" t="n">
        <v>-3.2</v>
      </c>
      <c r="E82" s="178" t="n">
        <v>16</v>
      </c>
      <c r="F82" s="178" t="n">
        <v>6.2</v>
      </c>
      <c r="G82" s="178" t="n">
        <v>2.6</v>
      </c>
      <c r="H82" s="178" t="n">
        <v>17.7</v>
      </c>
      <c r="I82" s="178" t="n">
        <v>8.4</v>
      </c>
      <c r="J82" s="178" t="n">
        <v>4.5</v>
      </c>
      <c r="K82" s="179" t="inlineStr">
        <is>
          <t>0020 SENSETIME-W; 6680 JLMAG; 1880 CTG DUTY-FREE; 2602 ONEWO; 2245 LYGEND RESOURCE</t>
        </is>
      </c>
    </row>
    <row r="83">
      <c r="A83" s="17" t="inlineStr">
        <is>
          <t>CPP Investment Board PMI-2 Inc</t>
        </is>
      </c>
      <c r="B83" s="171" t="n">
        <v>4</v>
      </c>
      <c r="C83" s="177" t="n">
        <v>75</v>
      </c>
      <c r="D83" s="178" t="n">
        <v>89.40000000000001</v>
      </c>
      <c r="E83" s="178" t="n">
        <v>105.8</v>
      </c>
      <c r="F83" s="178" t="n">
        <v>88.5</v>
      </c>
      <c r="G83" s="178" t="n">
        <v>62.8</v>
      </c>
      <c r="H83" s="178" t="n">
        <v>5</v>
      </c>
      <c r="I83" s="178" t="n">
        <v>1.7</v>
      </c>
      <c r="J83" s="178" t="n">
        <v>-23.1</v>
      </c>
      <c r="K83" s="179" t="inlineStr">
        <is>
          <t>2158 YIDU TECH; 1024 KUAISHOU-W; 0013 HUTCHMED; 2475 LUXSHARE ICT</t>
        </is>
      </c>
    </row>
    <row r="84">
      <c r="A84" s="17" t="inlineStr">
        <is>
          <t>RTW Master Fund, Ltd</t>
        </is>
      </c>
      <c r="B84" s="171" t="n">
        <v>4</v>
      </c>
      <c r="C84" s="177" t="n">
        <v>100</v>
      </c>
      <c r="D84" s="178" t="n">
        <v>85</v>
      </c>
      <c r="E84" s="178" t="n">
        <v>49.2</v>
      </c>
      <c r="F84" s="178" t="n">
        <v>23.7</v>
      </c>
      <c r="G84" s="178" t="n">
        <v>28.3</v>
      </c>
      <c r="H84" s="178" t="n">
        <v>-16.2</v>
      </c>
      <c r="I84" s="178" t="n">
        <v>-26.7</v>
      </c>
      <c r="J84" s="178" t="n">
        <v>-18</v>
      </c>
      <c r="K84" s="179" t="inlineStr">
        <is>
          <t>6990 SKB BIO-B; 2595 GENFLEET-B; 7666 METIS TECHBIO-P; 9637 ALEBUND-B</t>
        </is>
      </c>
    </row>
    <row r="85">
      <c r="A85" s="17" t="inlineStr">
        <is>
          <t>Aranda Investments Pte. Ltd</t>
        </is>
      </c>
      <c r="B85" s="171" t="n">
        <v>4</v>
      </c>
      <c r="C85" s="177" t="n">
        <v>75</v>
      </c>
      <c r="D85" s="178" t="n">
        <v>72.8</v>
      </c>
      <c r="E85" s="178" t="n">
        <v>86.3</v>
      </c>
      <c r="F85" s="178" t="n">
        <v>54</v>
      </c>
      <c r="G85" s="178" t="n">
        <v>13.1</v>
      </c>
      <c r="H85" s="178" t="n">
        <v>3.4</v>
      </c>
      <c r="I85" s="178" t="n">
        <v>-10.8</v>
      </c>
      <c r="J85" s="178" t="n">
        <v>-34.4</v>
      </c>
      <c r="K85" s="179" t="inlineStr">
        <is>
          <t>1024 KUAISHOU-W; 2162 KEYMED BIO-B; 2256 ABBISKO-B; 6656 SIGENERGY</t>
        </is>
      </c>
    </row>
    <row r="86">
      <c r="A86" s="17" t="inlineStr">
        <is>
          <t>Guohui (HK) Holdings Co., Limited</t>
        </is>
      </c>
      <c r="B86" s="171" t="n">
        <v>4</v>
      </c>
      <c r="C86" s="177" t="n">
        <v>100</v>
      </c>
      <c r="D86" s="178" t="n">
        <v>57.9</v>
      </c>
      <c r="E86" s="178" t="n">
        <v>76.2</v>
      </c>
      <c r="F86" s="178" t="n">
        <v>31.8</v>
      </c>
      <c r="G86" s="178" t="n">
        <v>-11.9</v>
      </c>
      <c r="H86" s="178" t="n">
        <v>5.3</v>
      </c>
      <c r="I86" s="178" t="n">
        <v>-16.4</v>
      </c>
      <c r="J86" s="178" t="n">
        <v>-35.7</v>
      </c>
      <c r="K86" s="179" t="inlineStr">
        <is>
          <t>9981 WOER; 0068 MANYCORE TECH; 2493 MABWELL-B; 1956 WENGE AI</t>
        </is>
      </c>
    </row>
    <row r="87">
      <c r="A87" s="17" t="inlineStr">
        <is>
          <t>TruMed Healthcare Master Fund and TruMed Health Innovation Fund LP</t>
        </is>
      </c>
      <c r="B87" s="171" t="n">
        <v>4</v>
      </c>
      <c r="C87" s="177" t="n">
        <v>100</v>
      </c>
      <c r="D87" s="178" t="n">
        <v>52.6</v>
      </c>
      <c r="E87" s="178" t="n">
        <v>63.2</v>
      </c>
      <c r="F87" s="178" t="n">
        <v>44</v>
      </c>
      <c r="G87" s="178" t="n">
        <v>95.2</v>
      </c>
      <c r="H87" s="178" t="n">
        <v>6.6</v>
      </c>
      <c r="I87" s="178" t="n">
        <v>-4.8</v>
      </c>
      <c r="J87" s="178" t="n">
        <v>23.5</v>
      </c>
      <c r="K87" s="179" t="inlineStr">
        <is>
          <t>2373 BEAUTYFARM MED; 6990 SKB BIO-B; 9606 DUALITYBIO-B; 1779 LONGBIO-B</t>
        </is>
      </c>
    </row>
    <row r="88">
      <c r="A88" s="17" t="inlineStr">
        <is>
          <t>Tencent Mobility Limited</t>
        </is>
      </c>
      <c r="B88" s="171" t="n">
        <v>4</v>
      </c>
      <c r="C88" s="177" t="n">
        <v>75</v>
      </c>
      <c r="D88" s="178" t="n">
        <v>46.6</v>
      </c>
      <c r="E88" s="178" t="n">
        <v>53.9</v>
      </c>
      <c r="F88" s="178" t="n">
        <v>82.8</v>
      </c>
      <c r="G88" s="178" t="n">
        <v>45.8</v>
      </c>
      <c r="H88" s="178" t="n">
        <v>7</v>
      </c>
      <c r="I88" s="178" t="n">
        <v>30.1</v>
      </c>
      <c r="J88" s="178" t="n">
        <v>9</v>
      </c>
      <c r="K88" s="179" t="inlineStr">
        <is>
          <t>2158 YIDU TECH; 2192 MEDLIVE; 2235 MICROTECH MED-B; 3696 INSILICO</t>
        </is>
      </c>
    </row>
    <row r="89">
      <c r="A89" s="17" t="inlineStr">
        <is>
          <t>Poly Platinum Enterprises Limited</t>
        </is>
      </c>
      <c r="B89" s="171" t="n">
        <v>4</v>
      </c>
      <c r="C89" s="177" t="n">
        <v>100</v>
      </c>
      <c r="D89" s="178" t="n">
        <v>40.7</v>
      </c>
      <c r="E89" s="178" t="n">
        <v>54.8</v>
      </c>
      <c r="F89" s="178" t="n">
        <v>49.4</v>
      </c>
      <c r="G89" s="178" t="n">
        <v>42.7</v>
      </c>
      <c r="H89" s="178" t="n">
        <v>3</v>
      </c>
      <c r="I89" s="178" t="n">
        <v>0.2</v>
      </c>
      <c r="J89" s="178" t="n">
        <v>5.1</v>
      </c>
      <c r="K89" s="179" t="inlineStr">
        <is>
          <t>6613 LENS; 2675 EDGE MEDICAL-B; 1609 STAR SPORTS MED; 9856 LIGENT</t>
        </is>
      </c>
    </row>
    <row r="90">
      <c r="A90" s="17" t="inlineStr">
        <is>
          <t>JSC International Investment Fund SPC</t>
        </is>
      </c>
      <c r="B90" s="171" t="n">
        <v>4</v>
      </c>
      <c r="C90" s="177" t="n">
        <v>75</v>
      </c>
      <c r="D90" s="178" t="n">
        <v>39.4</v>
      </c>
      <c r="E90" s="178" t="n">
        <v>40.5</v>
      </c>
      <c r="F90" s="178" t="n">
        <v>6.8</v>
      </c>
      <c r="G90" s="178" t="n">
        <v>4.5</v>
      </c>
      <c r="H90" s="178" t="n">
        <v>1.6</v>
      </c>
      <c r="I90" s="178" t="n">
        <v>-23</v>
      </c>
      <c r="J90" s="178" t="n">
        <v>-17.1</v>
      </c>
      <c r="K90" s="179" t="inlineStr">
        <is>
          <t>9660 HORIZONROBOT-W; 0699 JOYSON ELEC; 1609 STAR SPORTS MED; 1191 CREALIGHTS</t>
        </is>
      </c>
    </row>
    <row r="91">
      <c r="A91" s="17" t="inlineStr">
        <is>
          <t>Bosera Asset Management (International) Co., Limited</t>
        </is>
      </c>
      <c r="B91" s="171" t="n">
        <v>4</v>
      </c>
      <c r="C91" s="177" t="n">
        <v>75</v>
      </c>
      <c r="D91" s="178" t="n">
        <v>39.2</v>
      </c>
      <c r="E91" s="178" t="n">
        <v>22.6</v>
      </c>
      <c r="F91" s="178" t="n">
        <v>25.5</v>
      </c>
      <c r="G91" s="178" t="n">
        <v>9.6</v>
      </c>
      <c r="H91" s="178" t="n">
        <v>-9.800000000000001</v>
      </c>
      <c r="I91" s="178" t="n">
        <v>-5.6</v>
      </c>
      <c r="J91" s="178" t="n">
        <v>-27</v>
      </c>
      <c r="K91" s="179" t="inlineStr">
        <is>
          <t>2476 VGT; 9630 CFMEE; 2475 LUXSHARE ICT; 6951 CCTC</t>
        </is>
      </c>
    </row>
    <row r="92">
      <c r="A92" s="17" t="inlineStr">
        <is>
          <t>Sunwoda Treasury (Hong Kong) Limited</t>
        </is>
      </c>
      <c r="B92" s="171" t="n">
        <v>4</v>
      </c>
      <c r="C92" s="177" t="n">
        <v>75</v>
      </c>
      <c r="D92" s="178" t="n">
        <v>38.4</v>
      </c>
      <c r="E92" s="178" t="n">
        <v>31.6</v>
      </c>
      <c r="F92" s="178" t="n">
        <v>-2.6</v>
      </c>
      <c r="G92" s="178" t="n">
        <v>15.6</v>
      </c>
      <c r="H92" s="178" t="n">
        <v>-3.5</v>
      </c>
      <c r="I92" s="178" t="n">
        <v>-23.1</v>
      </c>
      <c r="J92" s="178" t="n">
        <v>-11.2</v>
      </c>
      <c r="K92" s="179" t="inlineStr">
        <is>
          <t>2579 CNGR; 2701 NSING TECH; 6675 SENASIC; 6067 SENIOR MATERIAL</t>
        </is>
      </c>
    </row>
    <row r="93">
      <c r="A93" s="17" t="inlineStr">
        <is>
          <t>Matthews Funds</t>
        </is>
      </c>
      <c r="B93" s="171" t="n">
        <v>4</v>
      </c>
      <c r="C93" s="177" t="n">
        <v>75</v>
      </c>
      <c r="D93" s="178" t="n">
        <v>37.6</v>
      </c>
      <c r="E93" s="178" t="n">
        <v>32.8</v>
      </c>
      <c r="F93" s="178" t="n">
        <v>37.1</v>
      </c>
      <c r="G93" s="178" t="n">
        <v>1.1</v>
      </c>
      <c r="H93" s="178" t="n">
        <v>-3.8</v>
      </c>
      <c r="I93" s="178" t="n">
        <v>0.6</v>
      </c>
      <c r="J93" s="178" t="n">
        <v>-22.5</v>
      </c>
      <c r="K93" s="179" t="inlineStr">
        <is>
          <t>2158 YIDU TECH; 6622 ZHAOKE OPHTH-B; 2618 JD LOGISTICS; 2192 MEDLIVE</t>
        </is>
      </c>
    </row>
    <row r="94">
      <c r="A94" s="17" t="inlineStr">
        <is>
          <t>Sunshine Life Insurance Corporation Limited</t>
        </is>
      </c>
      <c r="B94" s="171" t="n">
        <v>4</v>
      </c>
      <c r="C94" s="177" t="n">
        <v>25</v>
      </c>
      <c r="D94" s="178" t="n">
        <v>34.7</v>
      </c>
      <c r="E94" s="178" t="n">
        <v>65.5</v>
      </c>
      <c r="F94" s="178" t="n">
        <v>37.7</v>
      </c>
      <c r="G94" s="178" t="n">
        <v>2.8</v>
      </c>
      <c r="H94" s="178" t="n">
        <v>11.5</v>
      </c>
      <c r="I94" s="178" t="n">
        <v>3.2</v>
      </c>
      <c r="J94" s="178" t="n">
        <v>-12.9</v>
      </c>
      <c r="K94" s="179" t="inlineStr">
        <is>
          <t>9638 FERRETTI; 9886 DINGDANG HEALTH; 9985 WEILONG; 0068 MANYCORE TECH</t>
        </is>
      </c>
    </row>
    <row r="95">
      <c r="A95" s="17" t="inlineStr">
        <is>
          <t>Ocean Fine Industrial Limited</t>
        </is>
      </c>
      <c r="B95" s="171" t="n">
        <v>4</v>
      </c>
      <c r="C95" s="177" t="n">
        <v>50</v>
      </c>
      <c r="D95" s="178" t="n">
        <v>30.7</v>
      </c>
      <c r="E95" s="178" t="n">
        <v>17.7</v>
      </c>
      <c r="F95" s="178" t="n">
        <v>1</v>
      </c>
      <c r="G95" s="178" t="n">
        <v>-11.3</v>
      </c>
      <c r="H95" s="178" t="n">
        <v>-5.4</v>
      </c>
      <c r="I95" s="178" t="n">
        <v>-17</v>
      </c>
      <c r="J95" s="178" t="n">
        <v>4.3</v>
      </c>
      <c r="K95" s="179" t="inlineStr">
        <is>
          <t>6911 LANCANG TEA; 2026 PONY-W; 3661 SG MICRO; 9630 CFMEE</t>
        </is>
      </c>
    </row>
    <row r="96">
      <c r="A96" s="17" t="inlineStr">
        <is>
          <t>Hefei Beicheng Construction Investment (Group) Company Limited</t>
        </is>
      </c>
      <c r="B96" s="171" t="n">
        <v>4</v>
      </c>
      <c r="C96" s="177" t="n">
        <v>25</v>
      </c>
      <c r="D96" s="178" t="n">
        <v>25.4</v>
      </c>
      <c r="E96" s="178" t="n">
        <v>10.4</v>
      </c>
      <c r="F96" s="178" t="n">
        <v>-3</v>
      </c>
      <c r="G96" s="178" t="n">
        <v>-26.3</v>
      </c>
      <c r="H96" s="178" t="n">
        <v>-8.9</v>
      </c>
      <c r="I96" s="178" t="n">
        <v>-19.1</v>
      </c>
      <c r="J96" s="178" t="n">
        <v>-25.4</v>
      </c>
      <c r="K96" s="179" t="inlineStr">
        <is>
          <t>3931 CALB; 2482 LOGORY; 9630 CFMEE; 2249 NEXCHIP</t>
        </is>
      </c>
    </row>
    <row r="97">
      <c r="A97" s="17" t="inlineStr">
        <is>
          <t>Sungrow Power (Hong Kong) Co., Limited</t>
        </is>
      </c>
      <c r="B97" s="171" t="n">
        <v>4</v>
      </c>
      <c r="C97" s="177" t="n">
        <v>50</v>
      </c>
      <c r="D97" s="178" t="n">
        <v>22.6</v>
      </c>
      <c r="E97" s="178" t="n">
        <v>6.8</v>
      </c>
      <c r="F97" s="178" t="n">
        <v>-11.3</v>
      </c>
      <c r="G97" s="178" t="n">
        <v>-36.2</v>
      </c>
      <c r="H97" s="178" t="n">
        <v>-9.800000000000001</v>
      </c>
      <c r="I97" s="178" t="n">
        <v>-23.3</v>
      </c>
      <c r="J97" s="178" t="n">
        <v>-17.2</v>
      </c>
      <c r="K97" s="179" t="inlineStr">
        <is>
          <t>9609 HAIWEI ELEC; 3661 SG MICRO; 9630 CFMEE; 0537 RIGOL</t>
        </is>
      </c>
    </row>
    <row r="98">
      <c r="A98" s="17" t="inlineStr">
        <is>
          <t>Black Dragon CP Fund SPC</t>
        </is>
      </c>
      <c r="B98" s="171" t="n">
        <v>4</v>
      </c>
      <c r="C98" s="177" t="n">
        <v>50</v>
      </c>
      <c r="D98" s="178" t="n">
        <v>22.5</v>
      </c>
      <c r="E98" s="178" t="n">
        <v>23</v>
      </c>
      <c r="F98" s="178" t="n">
        <v>28</v>
      </c>
      <c r="G98" s="178" t="n">
        <v>-3.4</v>
      </c>
      <c r="H98" s="178" t="n">
        <v>0.9</v>
      </c>
      <c r="I98" s="178" t="n">
        <v>4.9</v>
      </c>
      <c r="J98" s="178" t="n">
        <v>-26.4</v>
      </c>
      <c r="K98" s="179" t="inlineStr">
        <is>
          <t>6603 IFBH; 3887 HASHKEY HLDGS; 2476 VGT; 3308 ZJ INNOLIGHT</t>
        </is>
      </c>
    </row>
    <row r="99">
      <c r="A99" s="17" t="inlineStr">
        <is>
          <t>King Terrace Limited</t>
        </is>
      </c>
      <c r="B99" s="171" t="n">
        <v>4</v>
      </c>
      <c r="C99" s="177" t="n">
        <v>75</v>
      </c>
      <c r="D99" s="178" t="n">
        <v>21.6</v>
      </c>
      <c r="E99" s="178" t="n">
        <v>28.6</v>
      </c>
      <c r="F99" s="178" t="n">
        <v>16.5</v>
      </c>
      <c r="G99" s="178" t="n">
        <v>53.3</v>
      </c>
      <c r="H99" s="178" t="n">
        <v>4.5</v>
      </c>
      <c r="I99" s="178" t="n">
        <v>-5.7</v>
      </c>
      <c r="J99" s="178" t="n">
        <v>11.5</v>
      </c>
      <c r="K99" s="179" t="inlineStr">
        <is>
          <t>0606 SCE CM; 2157 LEPU BIO-B; 2566 JIUYUAN GENE; 9606 DUALITYBIO-B</t>
        </is>
      </c>
    </row>
    <row r="100">
      <c r="A100" s="17" t="inlineStr">
        <is>
          <t>YHG Investment, L.P</t>
        </is>
      </c>
      <c r="B100" s="171" t="n">
        <v>4</v>
      </c>
      <c r="C100" s="177" t="n">
        <v>50</v>
      </c>
      <c r="D100" s="178" t="n">
        <v>21.2</v>
      </c>
      <c r="E100" s="178" t="n">
        <v>13.7</v>
      </c>
      <c r="F100" s="178" t="n">
        <v>-4.6</v>
      </c>
      <c r="G100" s="178" t="n">
        <v>1.9</v>
      </c>
      <c r="H100" s="178" t="n">
        <v>-7.4</v>
      </c>
      <c r="I100" s="178" t="n">
        <v>-22.1</v>
      </c>
      <c r="J100" s="178" t="n">
        <v>-14</v>
      </c>
      <c r="K100" s="179" t="inlineStr">
        <is>
          <t>2160 CARDIOFLOW-B; 2190 ZYLOXTB-B; 2197 CLOVER BIO-B; 2602 ONEWO</t>
        </is>
      </c>
    </row>
    <row r="101">
      <c r="A101" s="17" t="inlineStr">
        <is>
          <t>Jain Global Master Fund Ltd</t>
        </is>
      </c>
      <c r="B101" s="171" t="n">
        <v>4</v>
      </c>
      <c r="C101" s="177" t="n">
        <v>75</v>
      </c>
      <c r="D101" s="178" t="n">
        <v>17.8</v>
      </c>
      <c r="E101" s="178" t="n">
        <v>12.9</v>
      </c>
      <c r="F101" s="178" t="n">
        <v>-6.1</v>
      </c>
      <c r="G101" s="178" t="n">
        <v>1.6</v>
      </c>
      <c r="H101" s="178" t="n">
        <v>-4.3</v>
      </c>
      <c r="I101" s="178" t="n">
        <v>-21.4</v>
      </c>
      <c r="J101" s="178" t="n">
        <v>-23.6</v>
      </c>
      <c r="K101" s="179" t="inlineStr">
        <is>
          <t>6603 IFBH; 6687 JST GROUP; 1688 LINGYI ITECH; 7687 EACON</t>
        </is>
      </c>
    </row>
    <row r="102">
      <c r="A102" s="17" t="inlineStr">
        <is>
          <t>Fidelity International</t>
        </is>
      </c>
      <c r="B102" s="171" t="n">
        <v>4</v>
      </c>
      <c r="C102" s="177" t="n">
        <v>75</v>
      </c>
      <c r="D102" s="178" t="n">
        <v>16.1</v>
      </c>
      <c r="E102" s="178" t="n">
        <v>13</v>
      </c>
      <c r="F102" s="178" t="n">
        <v>17.6</v>
      </c>
      <c r="G102" s="178" t="n">
        <v>-1.5</v>
      </c>
      <c r="H102" s="178" t="n">
        <v>-2.6</v>
      </c>
      <c r="I102" s="178" t="n">
        <v>3</v>
      </c>
      <c r="J102" s="178" t="n">
        <v>-14.8</v>
      </c>
      <c r="K102" s="179" t="inlineStr">
        <is>
          <t>9959 LINKLOGIS–W; 2190 ZYLOXTB-B; 2192 MEDLIVE; 3887 HASHKEY HLDGS</t>
        </is>
      </c>
    </row>
    <row r="103">
      <c r="A103" s="17" t="inlineStr">
        <is>
          <t>General Atlantic Singapore HCM Pte. Ltd</t>
        </is>
      </c>
      <c r="B103" s="171" t="n">
        <v>4</v>
      </c>
      <c r="C103" s="177" t="n">
        <v>50</v>
      </c>
      <c r="D103" s="178" t="n">
        <v>14.3</v>
      </c>
      <c r="E103" s="178" t="n">
        <v>17.5</v>
      </c>
      <c r="F103" s="178" t="n">
        <v>25.1</v>
      </c>
      <c r="G103" s="178" t="n">
        <v>-10</v>
      </c>
      <c r="H103" s="178" t="n">
        <v>3.4</v>
      </c>
      <c r="I103" s="178" t="n">
        <v>7.1</v>
      </c>
      <c r="J103" s="178" t="n">
        <v>-29.7</v>
      </c>
      <c r="K103" s="179" t="inlineStr">
        <is>
          <t>0013 HUTCHMED; 1228 CANBRIDGE-B; 2268 WUXI XDC; 3308 ZJ INNOLIGHT</t>
        </is>
      </c>
    </row>
    <row r="104">
      <c r="A104" s="17" t="inlineStr">
        <is>
          <t>The Reynold Lemkins Group (Asia) Limited</t>
        </is>
      </c>
      <c r="B104" s="171" t="n">
        <v>4</v>
      </c>
      <c r="C104" s="177" t="n">
        <v>50</v>
      </c>
      <c r="D104" s="178" t="n">
        <v>5.7</v>
      </c>
      <c r="E104" s="178" t="n">
        <v>-12.2</v>
      </c>
      <c r="F104" s="178" t="n">
        <v>1.3</v>
      </c>
      <c r="G104" s="178" t="n">
        <v>-8</v>
      </c>
      <c r="H104" s="178" t="n">
        <v>-12.1</v>
      </c>
      <c r="I104" s="178" t="n">
        <v>-4.4</v>
      </c>
      <c r="J104" s="178" t="n">
        <v>-11.8</v>
      </c>
      <c r="K104" s="179" t="inlineStr">
        <is>
          <t>2505 EDA GROUP HLDGS; 2479 TIANJUDIHE; 1471 ZHONGMIAO; 2592 CLOUDBREAK-B</t>
        </is>
      </c>
    </row>
    <row r="105">
      <c r="A105" s="17" t="inlineStr">
        <is>
          <t>Eastspring Investments (Hong Kong) Limited</t>
        </is>
      </c>
      <c r="B105" s="171" t="n">
        <v>4</v>
      </c>
      <c r="C105" s="177" t="n">
        <v>25</v>
      </c>
      <c r="D105" s="178" t="n">
        <v>5.7</v>
      </c>
      <c r="E105" s="178" t="n">
        <v>1.2</v>
      </c>
      <c r="F105" s="178" t="n">
        <v>16.1</v>
      </c>
      <c r="G105" s="178" t="n">
        <v>27.1</v>
      </c>
      <c r="H105" s="178" t="n">
        <v>-5</v>
      </c>
      <c r="I105" s="178" t="n">
        <v>5.3</v>
      </c>
      <c r="J105" s="178" t="n">
        <v>7.5</v>
      </c>
      <c r="K105" s="179" t="inlineStr">
        <is>
          <t>2026 PONY-W; 1989 DELTON; 1081 DAJIN; 2475 LUXSHARE ICT</t>
        </is>
      </c>
    </row>
    <row r="106">
      <c r="A106" s="17" t="inlineStr">
        <is>
          <t>Ghisallo Master Fund LP</t>
        </is>
      </c>
      <c r="B106" s="171" t="n">
        <v>4</v>
      </c>
      <c r="C106" s="177" t="n">
        <v>50</v>
      </c>
      <c r="D106" s="178" t="n">
        <v>5.5</v>
      </c>
      <c r="E106" s="178" t="n">
        <v>-4.2</v>
      </c>
      <c r="F106" s="178" t="n">
        <v>-10.9</v>
      </c>
      <c r="G106" s="178" t="n">
        <v>-23.7</v>
      </c>
      <c r="H106" s="178" t="n">
        <v>-9.5</v>
      </c>
      <c r="I106" s="178" t="n">
        <v>-15</v>
      </c>
      <c r="J106" s="178" t="n">
        <v>-27.1</v>
      </c>
      <c r="K106" s="179" t="inlineStr">
        <is>
          <t>2460 CR BEVERAGE; 9927 SERES; 2026 PONY-W; 0501 OMNIVISION</t>
        </is>
      </c>
    </row>
    <row r="107">
      <c r="A107" s="17" t="inlineStr">
        <is>
          <t>China Post Wealth Management</t>
        </is>
      </c>
      <c r="B107" s="171" t="n">
        <v>4</v>
      </c>
      <c r="C107" s="177" t="n">
        <v>50</v>
      </c>
      <c r="D107" s="178" t="n">
        <v>4.5</v>
      </c>
      <c r="E107" s="178" t="n">
        <v>-2.6</v>
      </c>
      <c r="F107" s="178" t="n">
        <v>-14.1</v>
      </c>
      <c r="G107" s="178" t="n">
        <v>-18.8</v>
      </c>
      <c r="H107" s="178" t="n">
        <v>-6.9</v>
      </c>
      <c r="I107" s="178" t="n">
        <v>-17.5</v>
      </c>
      <c r="J107" s="178" t="n">
        <v>-21.1</v>
      </c>
      <c r="K107" s="179" t="inlineStr">
        <is>
          <t>2460 CR BEVERAGE; 2580 AUX ELECTRIC; 0699 JOYSON ELEC; 0501 OMNIVISION</t>
        </is>
      </c>
    </row>
    <row r="108">
      <c r="A108" s="17" t="inlineStr">
        <is>
          <t>Alphahill Capital Limited</t>
        </is>
      </c>
      <c r="B108" s="171" t="n">
        <v>4</v>
      </c>
      <c r="C108" s="177" t="n">
        <v>50</v>
      </c>
      <c r="D108" s="178" t="n">
        <v>-0.4</v>
      </c>
      <c r="E108" s="178" t="n">
        <v>21.3</v>
      </c>
      <c r="F108" s="178" t="n">
        <v>-13.1</v>
      </c>
      <c r="G108" s="178" t="n">
        <v>64.3</v>
      </c>
      <c r="H108" s="178" t="n">
        <v>25.1</v>
      </c>
      <c r="I108" s="178" t="n">
        <v>-12.7</v>
      </c>
      <c r="J108" s="178" t="n">
        <v>54.3</v>
      </c>
      <c r="K108" s="179" t="inlineStr">
        <is>
          <t>9903 ILUVATAR COREX; 0600 AXERA; 3952 LAIFUAL; 9856 LIGENT</t>
        </is>
      </c>
    </row>
    <row r="109">
      <c r="A109" s="17" t="inlineStr">
        <is>
          <t>LENS TECHNOLOGY (HK) CO., LIMITED</t>
        </is>
      </c>
      <c r="B109" s="171" t="n">
        <v>4</v>
      </c>
      <c r="C109" s="177" t="n">
        <v>25</v>
      </c>
      <c r="D109" s="178" t="n">
        <v>-0.5</v>
      </c>
      <c r="E109" s="178" t="n">
        <v>-15.2</v>
      </c>
      <c r="F109" s="178" t="n">
        <v>-15.5</v>
      </c>
      <c r="G109" s="178" t="n">
        <v>-9.199999999999999</v>
      </c>
      <c r="H109" s="178" t="n">
        <v>-14.8</v>
      </c>
      <c r="I109" s="178" t="n">
        <v>-15.3</v>
      </c>
      <c r="J109" s="178" t="n">
        <v>-9</v>
      </c>
      <c r="K109" s="179" t="inlineStr">
        <is>
          <t>2529 HOLLWIN URBAN; 2579 CNGR; 1187 COFOE MEDICAL; 9976 LONGSYS</t>
        </is>
      </c>
    </row>
    <row r="110">
      <c r="A110" s="17" t="inlineStr">
        <is>
          <t>Factorial Master Fund</t>
        </is>
      </c>
      <c r="B110" s="171" t="n">
        <v>4</v>
      </c>
      <c r="C110" s="177" t="n">
        <v>50</v>
      </c>
      <c r="D110" s="178" t="n">
        <v>-2.3</v>
      </c>
      <c r="E110" s="178" t="n">
        <v>14.1</v>
      </c>
      <c r="F110" s="178" t="n">
        <v>-15</v>
      </c>
      <c r="G110" s="178" t="n">
        <v>-23.1</v>
      </c>
      <c r="H110" s="178" t="n">
        <v>18</v>
      </c>
      <c r="I110" s="178" t="n">
        <v>-13.8</v>
      </c>
      <c r="J110" s="178" t="n">
        <v>-24.4</v>
      </c>
      <c r="K110" s="179" t="inlineStr">
        <is>
          <t>0600 AXERA; 9981 WOER; 2692 ZHAOWEI; 3952 LAIFUAL</t>
        </is>
      </c>
    </row>
    <row r="111">
      <c r="A111" s="17" t="inlineStr">
        <is>
          <t>Ningbo Yinzhou District Financial Holding Co., Ltd</t>
        </is>
      </c>
      <c r="B111" s="171" t="n">
        <v>4</v>
      </c>
      <c r="C111" s="177" t="n">
        <v>25</v>
      </c>
      <c r="D111" s="178" t="n">
        <v>-7.5</v>
      </c>
      <c r="E111" s="178" t="n">
        <v>-13.3</v>
      </c>
      <c r="F111" s="178" t="n">
        <v>-17.4</v>
      </c>
      <c r="G111" s="178" t="n">
        <v>-25.5</v>
      </c>
      <c r="H111" s="178" t="n">
        <v>-7.7</v>
      </c>
      <c r="I111" s="178" t="n">
        <v>-14.4</v>
      </c>
      <c r="J111" s="178" t="n">
        <v>-23</v>
      </c>
      <c r="K111" s="179" t="inlineStr">
        <is>
          <t>2245 LYGEND RESOURCE; 2105 LAEKNA-B; 9686 NEUSOFT XIKANG; 0699 JOYSON ELEC</t>
        </is>
      </c>
    </row>
    <row r="112">
      <c r="A112" s="17" t="inlineStr">
        <is>
          <t>Gold Synergy</t>
        </is>
      </c>
      <c r="B112" s="171" t="n">
        <v>4</v>
      </c>
      <c r="C112" s="177" t="n">
        <v>0</v>
      </c>
      <c r="D112" s="178" t="n">
        <v>-8.300000000000001</v>
      </c>
      <c r="E112" s="178" t="n">
        <v>-10.3</v>
      </c>
      <c r="F112" s="178" t="n">
        <v>-7</v>
      </c>
      <c r="G112" s="178" t="n">
        <v>-19.2</v>
      </c>
      <c r="H112" s="178" t="n">
        <v>-1.4</v>
      </c>
      <c r="I112" s="178" t="n">
        <v>2.7</v>
      </c>
      <c r="J112" s="178" t="n">
        <v>-10.5</v>
      </c>
      <c r="K112" s="179" t="inlineStr">
        <is>
          <t>2385 READBOY; 9696 TIANQI LITHIUM; 2479 TIANJUDIHE; 9927 SERES</t>
        </is>
      </c>
    </row>
    <row r="113">
      <c r="A113" s="17" t="inlineStr">
        <is>
          <t>Aurora SF</t>
        </is>
      </c>
      <c r="B113" s="171" t="n">
        <v>4</v>
      </c>
      <c r="C113" s="177" t="n">
        <v>50</v>
      </c>
      <c r="D113" s="178" t="n">
        <v>-8.6</v>
      </c>
      <c r="E113" s="178" t="n">
        <v>-9.6</v>
      </c>
      <c r="F113" s="178" t="n">
        <v>-1.4</v>
      </c>
      <c r="G113" s="178" t="n">
        <v>21.2</v>
      </c>
      <c r="H113" s="178" t="n">
        <v>-1.5</v>
      </c>
      <c r="I113" s="178" t="n">
        <v>5.7</v>
      </c>
      <c r="J113" s="178" t="n">
        <v>7</v>
      </c>
      <c r="K113" s="179" t="inlineStr">
        <is>
          <t>3296 HUAQIN; 2667 TONGRENTANGCARE; 7687 EACON; 6745 BEFAR GROUP</t>
        </is>
      </c>
    </row>
    <row r="114">
      <c r="A114" s="17" t="inlineStr">
        <is>
          <t>Anji Guorong Construction Co., Ltd</t>
        </is>
      </c>
      <c r="B114" s="171" t="n">
        <v>4</v>
      </c>
      <c r="C114" s="177" t="n">
        <v>25</v>
      </c>
      <c r="D114" s="178" t="n">
        <v>-10.6</v>
      </c>
      <c r="E114" s="178" t="n">
        <v>-15.8</v>
      </c>
      <c r="F114" s="178" t="n">
        <v>-2</v>
      </c>
      <c r="G114" s="178" t="n">
        <v>8.199999999999999</v>
      </c>
      <c r="H114" s="178" t="n">
        <v>-6.8</v>
      </c>
      <c r="I114" s="178" t="n">
        <v>7.3</v>
      </c>
      <c r="J114" s="178" t="n">
        <v>18.8</v>
      </c>
      <c r="K114" s="179" t="inlineStr">
        <is>
          <t>6610 FLOWING CLOUD; 2440 HOWKINGTECH; 2415 MEDSCI; 6831 GREEN TEA GROUP</t>
        </is>
      </c>
    </row>
    <row r="115">
      <c r="A115" s="17" t="inlineStr">
        <is>
          <t>Ping An of China Asset Management (Hong Kong) Company Limited</t>
        </is>
      </c>
      <c r="B115" s="171" t="n">
        <v>3</v>
      </c>
      <c r="C115" s="177" t="n">
        <v>67</v>
      </c>
      <c r="D115" s="178" t="n">
        <v>127</v>
      </c>
      <c r="E115" s="178" t="n">
        <v>127.7</v>
      </c>
      <c r="F115" s="178" t="n">
        <v>85.2</v>
      </c>
      <c r="G115" s="178" t="n">
        <v>14</v>
      </c>
      <c r="H115" s="178" t="n">
        <v>0.5</v>
      </c>
      <c r="I115" s="178" t="n">
        <v>-2.9</v>
      </c>
      <c r="J115" s="178" t="n">
        <v>-38.4</v>
      </c>
      <c r="K115" s="179" t="inlineStr">
        <is>
          <t>2714 MUYUAN; 1879 XIZHI TECH-P; 6228 MERDEKAGOLD-DRS</t>
        </is>
      </c>
    </row>
    <row r="116">
      <c r="A116" s="17" t="inlineStr">
        <is>
          <t>Arc Avenue Asset Management Pte. Ltd</t>
        </is>
      </c>
      <c r="B116" s="171" t="n">
        <v>3</v>
      </c>
      <c r="C116" s="177" t="n">
        <v>100</v>
      </c>
      <c r="D116" s="178" t="n">
        <v>81.3</v>
      </c>
      <c r="E116" s="178" t="n">
        <v>71.5</v>
      </c>
      <c r="F116" s="178" t="n">
        <v>50.5</v>
      </c>
      <c r="G116" s="178" t="n">
        <v>40.6</v>
      </c>
      <c r="H116" s="178" t="n">
        <v>-3.7</v>
      </c>
      <c r="I116" s="178" t="n">
        <v>-14.3</v>
      </c>
      <c r="J116" s="178" t="n">
        <v>-20.1</v>
      </c>
      <c r="K116" s="179" t="inlineStr">
        <is>
          <t>6938 RIBOLIFE-B; 3277 GPIXEL; 7666 METIS TECHBIO-P</t>
        </is>
      </c>
    </row>
    <row r="117">
      <c r="A117" s="17" t="inlineStr">
        <is>
          <t>Loyal Valley Fund III</t>
        </is>
      </c>
      <c r="B117" s="171" t="n">
        <v>3</v>
      </c>
      <c r="C117" s="177" t="n">
        <v>100</v>
      </c>
      <c r="D117" s="178" t="n">
        <v>68.2</v>
      </c>
      <c r="E117" s="178" t="n">
        <v>45.3</v>
      </c>
      <c r="F117" s="178" t="n">
        <v>39.1</v>
      </c>
      <c r="G117" s="178" t="n">
        <v>25.4</v>
      </c>
      <c r="H117" s="178" t="n">
        <v>-11.5</v>
      </c>
      <c r="I117" s="178" t="n">
        <v>-15</v>
      </c>
      <c r="J117" s="178" t="n">
        <v>-18.5</v>
      </c>
      <c r="K117" s="179" t="inlineStr">
        <is>
          <t>9887 LEADS BIOLABS-B; 2657 FOREST CABIN; 9637 ALEBUND-B</t>
        </is>
      </c>
    </row>
    <row r="118">
      <c r="A118" s="17" t="inlineStr">
        <is>
          <t>Goldman Sachs Asset Management (Hong Kong) Limited</t>
        </is>
      </c>
      <c r="B118" s="171" t="n">
        <v>3</v>
      </c>
      <c r="C118" s="177" t="n">
        <v>100</v>
      </c>
      <c r="D118" s="178" t="n">
        <v>62.7</v>
      </c>
      <c r="E118" s="178" t="n">
        <v>35.7</v>
      </c>
      <c r="F118" s="178" t="n">
        <v>27.4</v>
      </c>
      <c r="G118" s="178" t="n">
        <v>-26.7</v>
      </c>
      <c r="H118" s="178" t="n">
        <v>-15.3</v>
      </c>
      <c r="I118" s="178" t="n">
        <v>-18.5</v>
      </c>
      <c r="J118" s="178" t="n">
        <v>-62</v>
      </c>
      <c r="K118" s="179" t="inlineStr">
        <is>
          <t>6656 SIGENERGY; 7688 TOPNC; 6951 CCTC</t>
        </is>
      </c>
    </row>
    <row r="119">
      <c r="A119" s="17" t="inlineStr">
        <is>
          <t>China AMC</t>
        </is>
      </c>
      <c r="B119" s="171" t="n">
        <v>3</v>
      </c>
      <c r="C119" s="177" t="n">
        <v>100</v>
      </c>
      <c r="D119" s="178" t="n">
        <v>52.2</v>
      </c>
      <c r="E119" s="178" t="n">
        <v>47.8</v>
      </c>
      <c r="F119" s="178" t="n">
        <v>77.40000000000001</v>
      </c>
      <c r="G119" s="178" t="n">
        <v>77.7</v>
      </c>
      <c r="H119" s="178" t="n">
        <v>1.6</v>
      </c>
      <c r="I119" s="178" t="n">
        <v>26.6</v>
      </c>
      <c r="J119" s="178" t="n">
        <v>23.4</v>
      </c>
      <c r="K119" s="179" t="inlineStr">
        <is>
          <t>2718 MININGLAMP-W; 2698 SOFTCARE; 3696 INSILICO</t>
        </is>
      </c>
    </row>
    <row r="120">
      <c r="A120" s="17" t="inlineStr">
        <is>
          <t>Hongshan Limited</t>
        </is>
      </c>
      <c r="B120" s="171" t="n">
        <v>3</v>
      </c>
      <c r="C120" s="177" t="n">
        <v>100</v>
      </c>
      <c r="D120" s="178" t="n">
        <v>51</v>
      </c>
      <c r="E120" s="178" t="n">
        <v>70.90000000000001</v>
      </c>
      <c r="F120" s="178" t="n">
        <v>70.90000000000001</v>
      </c>
      <c r="G120" s="178" t="n">
        <v>122.1</v>
      </c>
      <c r="H120" s="178" t="n">
        <v>13.9</v>
      </c>
      <c r="I120" s="178" t="n">
        <v>14</v>
      </c>
      <c r="J120" s="178" t="n">
        <v>49.3</v>
      </c>
      <c r="K120" s="179" t="inlineStr">
        <is>
          <t>0325 BLOKS; 2097 MIXUE GROUP; 1768 BUSYMING</t>
        </is>
      </c>
    </row>
    <row r="121">
      <c r="A121" s="17" t="inlineStr">
        <is>
          <t>TradArt Investment SP</t>
        </is>
      </c>
      <c r="B121" s="171" t="n">
        <v>3</v>
      </c>
      <c r="C121" s="177" t="n">
        <v>100</v>
      </c>
      <c r="D121" s="178" t="n">
        <v>48.1</v>
      </c>
      <c r="E121" s="178" t="n">
        <v>53.3</v>
      </c>
      <c r="F121" s="178" t="n">
        <v>114.9</v>
      </c>
      <c r="G121" s="178" t="n">
        <v>147.8</v>
      </c>
      <c r="H121" s="178" t="n">
        <v>4.9</v>
      </c>
      <c r="I121" s="178" t="n">
        <v>45.8</v>
      </c>
      <c r="J121" s="178" t="n">
        <v>66.8</v>
      </c>
      <c r="K121" s="179" t="inlineStr">
        <is>
          <t>1244 3D MEDICINES-B; 6698 STAR CM; 2306 YH ENT</t>
        </is>
      </c>
    </row>
    <row r="122">
      <c r="A122" s="17" t="inlineStr">
        <is>
          <t>Yunfeng Capital</t>
        </is>
      </c>
      <c r="B122" s="171" t="n">
        <v>3</v>
      </c>
      <c r="C122" s="177" t="n">
        <v>100</v>
      </c>
      <c r="D122" s="178" t="n">
        <v>47.4</v>
      </c>
      <c r="E122" s="178" t="n">
        <v>78.59999999999999</v>
      </c>
      <c r="F122" s="178" t="n">
        <v>62.4</v>
      </c>
      <c r="G122" s="178" t="n">
        <v>191.7</v>
      </c>
      <c r="H122" s="178" t="n">
        <v>21.4</v>
      </c>
      <c r="I122" s="178" t="n">
        <v>10.9</v>
      </c>
      <c r="J122" s="178" t="n">
        <v>95</v>
      </c>
      <c r="K122" s="179" t="inlineStr">
        <is>
          <t>0325 BLOKS; 3986 GIGADEVICE; 6809 MONTAGE TECH</t>
        </is>
      </c>
    </row>
    <row r="123">
      <c r="A123" s="17" t="inlineStr">
        <is>
          <t>ORIX Asia Asset Management Limited</t>
        </is>
      </c>
      <c r="B123" s="171" t="n">
        <v>3</v>
      </c>
      <c r="C123" s="177" t="n">
        <v>67</v>
      </c>
      <c r="D123" s="178" t="n">
        <v>40.4</v>
      </c>
      <c r="E123" s="178" t="n">
        <v>23.3</v>
      </c>
      <c r="F123" s="178" t="n">
        <v>8.5</v>
      </c>
      <c r="G123" s="178" t="n">
        <v>23.3</v>
      </c>
      <c r="H123" s="178" t="n">
        <v>-6.7</v>
      </c>
      <c r="I123" s="178" t="n">
        <v>-12.9</v>
      </c>
      <c r="J123" s="178" t="n">
        <v>-12.4</v>
      </c>
      <c r="K123" s="179" t="inlineStr">
        <is>
          <t>1828 FWD; 7666 METIS TECHBIO-P; 6228 MERDEKAGOLD-DRS</t>
        </is>
      </c>
    </row>
    <row r="124">
      <c r="A124" s="17" t="inlineStr">
        <is>
          <t>Huaqin Technology</t>
        </is>
      </c>
      <c r="B124" s="171" t="n">
        <v>3</v>
      </c>
      <c r="C124" s="177" t="n">
        <v>100</v>
      </c>
      <c r="D124" s="178" t="n">
        <v>39.2</v>
      </c>
      <c r="E124" s="178" t="n">
        <v>65.8</v>
      </c>
      <c r="F124" s="178" t="n">
        <v>48.9</v>
      </c>
      <c r="G124" s="178" t="n">
        <v>149.5</v>
      </c>
      <c r="H124" s="178" t="n">
        <v>17.9</v>
      </c>
      <c r="I124" s="178" t="n">
        <v>6.4</v>
      </c>
      <c r="J124" s="178" t="n">
        <v>68.7</v>
      </c>
      <c r="K124" s="179" t="inlineStr">
        <is>
          <t>0501 OMNIVISION; 3986 GIGADEVICE; 6809 MONTAGE TECH</t>
        </is>
      </c>
    </row>
    <row r="125">
      <c r="A125" s="17" t="inlineStr">
        <is>
          <t>Co Limited (China Southern)</t>
        </is>
      </c>
      <c r="B125" s="171" t="n">
        <v>3</v>
      </c>
      <c r="C125" s="177" t="n">
        <v>100</v>
      </c>
      <c r="D125" s="178" t="n">
        <v>37.1</v>
      </c>
      <c r="E125" s="178" t="n">
        <v>52.6</v>
      </c>
      <c r="F125" s="178" t="n">
        <v>51.8</v>
      </c>
      <c r="G125" s="178" t="n">
        <v>69</v>
      </c>
      <c r="H125" s="178" t="n">
        <v>10.5</v>
      </c>
      <c r="I125" s="178" t="n">
        <v>9.9</v>
      </c>
      <c r="J125" s="178" t="n">
        <v>22</v>
      </c>
      <c r="K125" s="179" t="inlineStr">
        <is>
          <t>2097 MIXUE GROUP; 6603 IFBH; 2698 SOFTCARE</t>
        </is>
      </c>
    </row>
    <row r="126">
      <c r="A126" s="17" t="inlineStr">
        <is>
          <t>Xiamen Evere Sports Goods Co., Ltd</t>
        </is>
      </c>
      <c r="B126" s="171" t="n">
        <v>3</v>
      </c>
      <c r="C126" s="177" t="n">
        <v>100</v>
      </c>
      <c r="D126" s="178" t="n">
        <v>34.8</v>
      </c>
      <c r="E126" s="178" t="n">
        <v>39.9</v>
      </c>
      <c r="F126" s="178" t="n">
        <v>38.3</v>
      </c>
      <c r="G126" s="178" t="n">
        <v>38.7</v>
      </c>
      <c r="H126" s="178" t="n">
        <v>3.8</v>
      </c>
      <c r="I126" s="178" t="n">
        <v>3.5</v>
      </c>
      <c r="J126" s="178" t="n">
        <v>2.1</v>
      </c>
      <c r="K126" s="179" t="inlineStr">
        <is>
          <t>3650 KEEP; 1768 BUSYMING; 2726 EPIWORLD</t>
        </is>
      </c>
    </row>
    <row r="127">
      <c r="A127" s="17" t="inlineStr">
        <is>
          <t>First Seafront Asset Management Limited</t>
        </is>
      </c>
      <c r="B127" s="171" t="n">
        <v>3</v>
      </c>
      <c r="C127" s="177" t="n">
        <v>100</v>
      </c>
      <c r="D127" s="178" t="n">
        <v>33.4</v>
      </c>
      <c r="E127" s="178" t="n">
        <v>28.6</v>
      </c>
      <c r="F127" s="178" t="n">
        <v>17.1</v>
      </c>
      <c r="G127" s="178" t="n">
        <v>43.8</v>
      </c>
      <c r="H127" s="178" t="n">
        <v>-7.6</v>
      </c>
      <c r="I127" s="178" t="n">
        <v>-12.8</v>
      </c>
      <c r="J127" s="178" t="n">
        <v>28.9</v>
      </c>
      <c r="K127" s="179" t="inlineStr">
        <is>
          <t>2768 GON TECHNOLOGY; 1956 WENGE AI; 9856 LIGENT</t>
        </is>
      </c>
    </row>
    <row r="128">
      <c r="A128" s="17" t="inlineStr">
        <is>
          <t>Blue Spark Hub Pte. Ltd</t>
        </is>
      </c>
      <c r="B128" s="171" t="n">
        <v>3</v>
      </c>
      <c r="C128" s="177" t="n">
        <v>100</v>
      </c>
      <c r="D128" s="178" t="n">
        <v>31.4</v>
      </c>
      <c r="E128" s="178" t="n">
        <v>21.5</v>
      </c>
      <c r="F128" s="178" t="n">
        <v>15.9</v>
      </c>
      <c r="G128" s="178" t="n">
        <v>32</v>
      </c>
      <c r="H128" s="178" t="n">
        <v>-7.6</v>
      </c>
      <c r="I128" s="178" t="n">
        <v>-11.9</v>
      </c>
      <c r="J128" s="178" t="n">
        <v>0.8</v>
      </c>
      <c r="K128" s="179" t="inlineStr">
        <is>
          <t>2629 MIRXES-B; 6687 JST GROUP; 6938 RIBOLIFE-B</t>
        </is>
      </c>
    </row>
    <row r="129">
      <c r="A129" s="17" t="inlineStr">
        <is>
          <t>Hao Great China Focus Fund</t>
        </is>
      </c>
      <c r="B129" s="171" t="n">
        <v>3</v>
      </c>
      <c r="C129" s="177" t="n">
        <v>67</v>
      </c>
      <c r="D129" s="178" t="n">
        <v>29.1</v>
      </c>
      <c r="E129" s="178" t="n">
        <v>31.7</v>
      </c>
      <c r="F129" s="178" t="n">
        <v>27</v>
      </c>
      <c r="G129" s="178" t="n">
        <v>30.7</v>
      </c>
      <c r="H129" s="178" t="n">
        <v>3.4</v>
      </c>
      <c r="I129" s="178" t="n">
        <v>-0.6</v>
      </c>
      <c r="J129" s="178" t="n">
        <v>-12.2</v>
      </c>
      <c r="K129" s="179" t="inlineStr">
        <is>
          <t>6082 BIREN TECH; 3355 FS.COM; 3308 ZJ INNOLIGHT</t>
        </is>
      </c>
    </row>
    <row r="130">
      <c r="A130" s="17" t="inlineStr">
        <is>
          <t>Yi Fang Da Brocade Inv. Limited</t>
        </is>
      </c>
      <c r="B130" s="171" t="n">
        <v>3</v>
      </c>
      <c r="C130" s="177" t="n">
        <v>100</v>
      </c>
      <c r="D130" s="178" t="n">
        <v>29</v>
      </c>
      <c r="E130" s="178" t="n">
        <v>29.6</v>
      </c>
      <c r="F130" s="178" t="n">
        <v>11.6</v>
      </c>
      <c r="G130" s="178" t="n">
        <v>-5.6</v>
      </c>
      <c r="H130" s="178" t="n">
        <v>0</v>
      </c>
      <c r="I130" s="178" t="n">
        <v>-13.8</v>
      </c>
      <c r="J130" s="178" t="n">
        <v>-28.3</v>
      </c>
      <c r="K130" s="179" t="inlineStr">
        <is>
          <t>2160 CARDIOFLOW-B; 2162 KEYMED BIO-B; 2279 YONGHE MEDICAL</t>
        </is>
      </c>
    </row>
    <row r="131">
      <c r="A131" s="17" t="inlineStr">
        <is>
          <t>RBC Global Asset Management (Asia) Limited</t>
        </is>
      </c>
      <c r="B131" s="171" t="n">
        <v>3</v>
      </c>
      <c r="C131" s="177" t="n">
        <v>100</v>
      </c>
      <c r="D131" s="178" t="n">
        <v>29</v>
      </c>
      <c r="E131" s="178" t="n">
        <v>9.9</v>
      </c>
      <c r="F131" s="178" t="n">
        <v>36.9</v>
      </c>
      <c r="G131" s="178" t="n">
        <v>-5.4</v>
      </c>
      <c r="H131" s="178" t="n">
        <v>-12.4</v>
      </c>
      <c r="I131" s="178" t="n">
        <v>17.1</v>
      </c>
      <c r="J131" s="178" t="n">
        <v>-16.9</v>
      </c>
      <c r="K131" s="179" t="inlineStr">
        <is>
          <t>2137 BRII - B; 2714 MUYUAN; 7688 TOPNC</t>
        </is>
      </c>
    </row>
    <row r="132">
      <c r="A132" s="17" t="inlineStr">
        <is>
          <t>CDH Global Frontier Ventures Limited</t>
        </is>
      </c>
      <c r="B132" s="171" t="n">
        <v>3</v>
      </c>
      <c r="C132" s="177" t="n">
        <v>67</v>
      </c>
      <c r="D132" s="178" t="n">
        <v>25.1</v>
      </c>
      <c r="E132" s="178" t="n">
        <v>20</v>
      </c>
      <c r="F132" s="178" t="n">
        <v>-12.2</v>
      </c>
      <c r="G132" s="178" t="n">
        <v>-38.8</v>
      </c>
      <c r="H132" s="178" t="n">
        <v>3.8</v>
      </c>
      <c r="I132" s="178" t="n">
        <v>-28.2</v>
      </c>
      <c r="J132" s="178" t="n">
        <v>-66</v>
      </c>
      <c r="K132" s="179" t="inlineStr">
        <is>
          <t>7688 TOPNC; 3952 LAIFUAL; 7687 EACON</t>
        </is>
      </c>
    </row>
    <row r="133">
      <c r="A133" s="17" t="inlineStr">
        <is>
          <t>Metazone Link (HK) Limited</t>
        </is>
      </c>
      <c r="B133" s="171" t="n">
        <v>3</v>
      </c>
      <c r="C133" s="177" t="n">
        <v>100</v>
      </c>
      <c r="D133" s="178" t="n">
        <v>20.9</v>
      </c>
      <c r="E133" s="178" t="n">
        <v>23.2</v>
      </c>
      <c r="F133" s="178" t="n">
        <v>36.1</v>
      </c>
      <c r="G133" s="178" t="n">
        <v>24.3</v>
      </c>
      <c r="H133" s="178" t="n">
        <v>2.7</v>
      </c>
      <c r="I133" s="178" t="n">
        <v>12.8</v>
      </c>
      <c r="J133" s="178" t="n">
        <v>0.9</v>
      </c>
      <c r="K133" s="179" t="inlineStr">
        <is>
          <t>0300 MIDEA GROUP; 2476 VGT; 6951 CCTC</t>
        </is>
      </c>
    </row>
    <row r="134">
      <c r="A134" s="17" t="inlineStr">
        <is>
          <t>Worldwide Healthcare Partners LLC</t>
        </is>
      </c>
      <c r="B134" s="171" t="n">
        <v>3</v>
      </c>
      <c r="C134" s="177" t="n">
        <v>33</v>
      </c>
      <c r="D134" s="178" t="n">
        <v>20.8</v>
      </c>
      <c r="E134" s="178" t="n">
        <v>10.5</v>
      </c>
      <c r="F134" s="178" t="n">
        <v>1.2</v>
      </c>
      <c r="G134" s="178" t="n">
        <v>-45.8</v>
      </c>
      <c r="H134" s="178" t="n">
        <v>-7.2</v>
      </c>
      <c r="I134" s="178" t="n">
        <v>-17.9</v>
      </c>
      <c r="J134" s="178" t="n">
        <v>-45.8</v>
      </c>
      <c r="K134" s="179" t="inlineStr">
        <is>
          <t>6669 ACOTEC-B; 2216 BRONCUS-B; 7630 IMPACT THERAP-B</t>
        </is>
      </c>
    </row>
    <row r="135">
      <c r="A135" s="17" t="inlineStr">
        <is>
          <t>Indus Select Master Fund, Ltd. and Vitruvius SICAV-Asian Equity</t>
        </is>
      </c>
      <c r="B135" s="171" t="n">
        <v>3</v>
      </c>
      <c r="C135" s="177" t="n">
        <v>67</v>
      </c>
      <c r="D135" s="178" t="n">
        <v>20.7</v>
      </c>
      <c r="E135" s="178" t="n">
        <v>26.6</v>
      </c>
      <c r="F135" s="178" t="n">
        <v>10</v>
      </c>
      <c r="G135" s="178" t="n">
        <v>27.5</v>
      </c>
      <c r="H135" s="178" t="n">
        <v>5.6</v>
      </c>
      <c r="I135" s="178" t="n">
        <v>-7.3</v>
      </c>
      <c r="J135" s="178" t="n">
        <v>-17.3</v>
      </c>
      <c r="K135" s="179" t="inlineStr">
        <is>
          <t>2160 CARDIOFLOW-B; 7687 EACON; 3308 ZJ INNOLIGHT</t>
        </is>
      </c>
    </row>
    <row r="136">
      <c r="A136" s="17" t="inlineStr">
        <is>
          <t>Dragon Merit Holdings Limited</t>
        </is>
      </c>
      <c r="B136" s="171" t="n">
        <v>3</v>
      </c>
      <c r="C136" s="177" t="n">
        <v>100</v>
      </c>
      <c r="D136" s="178" t="n">
        <v>18.9</v>
      </c>
      <c r="E136" s="178" t="n">
        <v>19.2</v>
      </c>
      <c r="F136" s="178" t="n">
        <v>22.3</v>
      </c>
      <c r="G136" s="178" t="n">
        <v>7</v>
      </c>
      <c r="H136" s="178" t="n">
        <v>0.3</v>
      </c>
      <c r="I136" s="178" t="n">
        <v>3.7</v>
      </c>
      <c r="J136" s="178" t="n">
        <v>-9.4</v>
      </c>
      <c r="K136" s="179" t="inlineStr">
        <is>
          <t>2162 KEYMED BIO-B; 2285 CHERVON; 3880 MEDTIDE</t>
        </is>
      </c>
    </row>
    <row r="137">
      <c r="A137" s="17" t="inlineStr">
        <is>
          <t>Integrated Core Strategies (Asia) Pte. Ltd</t>
        </is>
      </c>
      <c r="B137" s="171" t="n">
        <v>3</v>
      </c>
      <c r="C137" s="177" t="n">
        <v>100</v>
      </c>
      <c r="D137" s="178" t="n">
        <v>18.7</v>
      </c>
      <c r="E137" s="178" t="n">
        <v>22.4</v>
      </c>
      <c r="F137" s="178" t="n">
        <v>32</v>
      </c>
      <c r="G137" s="178" t="n">
        <v>17</v>
      </c>
      <c r="H137" s="178" t="n">
        <v>2.4</v>
      </c>
      <c r="I137" s="178" t="n">
        <v>11.6</v>
      </c>
      <c r="J137" s="178" t="n">
        <v>-1.4</v>
      </c>
      <c r="K137" s="179" t="inlineStr">
        <is>
          <t>2675 EDGE MEDICAL-B; 2714 MUYUAN; 3388 CREALITY</t>
        </is>
      </c>
    </row>
    <row r="138">
      <c r="A138" s="17" t="inlineStr">
        <is>
          <t>Huizhou Guohuilian Equity Investment Fund Partnership (LP)</t>
        </is>
      </c>
      <c r="B138" s="171" t="n">
        <v>3</v>
      </c>
      <c r="C138" s="177" t="n">
        <v>100</v>
      </c>
      <c r="D138" s="178" t="n">
        <v>18.4</v>
      </c>
      <c r="E138" s="178" t="n">
        <v>34</v>
      </c>
      <c r="F138" s="178" t="n">
        <v>38.3</v>
      </c>
      <c r="G138" s="178" t="n">
        <v>70</v>
      </c>
      <c r="H138" s="178" t="n">
        <v>16</v>
      </c>
      <c r="I138" s="178" t="n">
        <v>18</v>
      </c>
      <c r="J138" s="178" t="n">
        <v>54.9</v>
      </c>
      <c r="K138" s="179" t="inlineStr">
        <is>
          <t>2531 CARLINK TECH; 9981 WOER; 2476 VGT</t>
        </is>
      </c>
    </row>
    <row r="139">
      <c r="A139" s="17" t="inlineStr">
        <is>
          <t>LMR Multi-Strategy Master Fund Limited</t>
        </is>
      </c>
      <c r="B139" s="171" t="n">
        <v>3</v>
      </c>
      <c r="C139" s="177" t="n">
        <v>67</v>
      </c>
      <c r="D139" s="178" t="n">
        <v>18</v>
      </c>
      <c r="E139" s="178" t="n">
        <v>14.1</v>
      </c>
      <c r="F139" s="178" t="n">
        <v>-1</v>
      </c>
      <c r="G139" s="178" t="n">
        <v>0.7</v>
      </c>
      <c r="H139" s="178" t="n">
        <v>-3.1</v>
      </c>
      <c r="I139" s="178" t="n">
        <v>-15</v>
      </c>
      <c r="J139" s="178" t="n">
        <v>-8.1</v>
      </c>
      <c r="K139" s="179" t="inlineStr">
        <is>
          <t>2251 AIRDOC-B; 3750 CATL; 3661 SG MICRO</t>
        </is>
      </c>
    </row>
    <row r="140">
      <c r="A140" s="17" t="inlineStr">
        <is>
          <t>China Southern Asset Management Co., Ltd</t>
        </is>
      </c>
      <c r="B140" s="171" t="n">
        <v>3</v>
      </c>
      <c r="C140" s="177" t="n">
        <v>33</v>
      </c>
      <c r="D140" s="178" t="n">
        <v>16.9</v>
      </c>
      <c r="E140" s="178" t="n">
        <v>29.4</v>
      </c>
      <c r="F140" s="178" t="n">
        <v>17.8</v>
      </c>
      <c r="G140" s="178" t="n">
        <v>85.3</v>
      </c>
      <c r="H140" s="178" t="n">
        <v>7.1</v>
      </c>
      <c r="I140" s="178" t="n">
        <v>-5.2</v>
      </c>
      <c r="J140" s="178" t="n">
        <v>41.6</v>
      </c>
      <c r="K140" s="179" t="inlineStr">
        <is>
          <t>2171 CARSGEN-B; 2150 NAYUKI; 6181 LAOPU GOLD</t>
        </is>
      </c>
    </row>
    <row r="141">
      <c r="A141" s="17" t="inlineStr">
        <is>
          <t>Ninety One Asia Pte. Limited</t>
        </is>
      </c>
      <c r="B141" s="171" t="n">
        <v>3</v>
      </c>
      <c r="C141" s="177" t="n">
        <v>67</v>
      </c>
      <c r="D141" s="178" t="n">
        <v>16.6</v>
      </c>
      <c r="E141" s="178" t="n">
        <v>17.7</v>
      </c>
      <c r="F141" s="178" t="n">
        <v>5.9</v>
      </c>
      <c r="G141" s="178" t="n"/>
      <c r="H141" s="178" t="n">
        <v>2.3</v>
      </c>
      <c r="I141" s="178" t="n">
        <v>-6.1</v>
      </c>
      <c r="J141" s="178" t="n"/>
      <c r="K141" s="179" t="inlineStr">
        <is>
          <t>3661 SG MICRO; 6951 CCTC; 3308 ZJ INNOLIGHT</t>
        </is>
      </c>
    </row>
    <row r="142">
      <c r="A142" s="17" t="inlineStr">
        <is>
          <t>AIHC Master Fund</t>
        </is>
      </c>
      <c r="B142" s="171" t="n">
        <v>3</v>
      </c>
      <c r="C142" s="177" t="n">
        <v>67</v>
      </c>
      <c r="D142" s="178" t="n">
        <v>14.4</v>
      </c>
      <c r="E142" s="178" t="n">
        <v>5.4</v>
      </c>
      <c r="F142" s="178" t="n">
        <v>25.2</v>
      </c>
      <c r="G142" s="178" t="n">
        <v>-3.9</v>
      </c>
      <c r="H142" s="178" t="n">
        <v>-7.9</v>
      </c>
      <c r="I142" s="178" t="n">
        <v>13</v>
      </c>
      <c r="J142" s="178" t="n">
        <v>-14.4</v>
      </c>
      <c r="K142" s="179" t="inlineStr">
        <is>
          <t>2190 ZYLOXTB-B; 2137 BRII - B; 2256 ABBISKO-B</t>
        </is>
      </c>
    </row>
    <row r="143">
      <c r="A143" s="17" t="inlineStr">
        <is>
          <t>ABCI Asset Management Limited</t>
        </is>
      </c>
      <c r="B143" s="171" t="n">
        <v>3</v>
      </c>
      <c r="C143" s="177" t="n">
        <v>67</v>
      </c>
      <c r="D143" s="178" t="n">
        <v>13.5</v>
      </c>
      <c r="E143" s="178" t="n">
        <v>8.199999999999999</v>
      </c>
      <c r="F143" s="178" t="n">
        <v>-2.3</v>
      </c>
      <c r="G143" s="178" t="n">
        <v>-25.5</v>
      </c>
      <c r="H143" s="178" t="n">
        <v>-4.2</v>
      </c>
      <c r="I143" s="178" t="n">
        <v>-13.7</v>
      </c>
      <c r="J143" s="178" t="n">
        <v>-36.9</v>
      </c>
      <c r="K143" s="179" t="inlineStr">
        <is>
          <t>6633 QINGCI GAMES; 6938 RIBOLIFE-B; 9611 LONGCHEER</t>
        </is>
      </c>
    </row>
    <row r="144">
      <c r="A144" s="17" t="inlineStr">
        <is>
          <t>LBC HK Opportunity Fund Limited</t>
        </is>
      </c>
      <c r="B144" s="171" t="n">
        <v>3</v>
      </c>
      <c r="C144" s="177" t="n">
        <v>33</v>
      </c>
      <c r="D144" s="178" t="n">
        <v>11.7</v>
      </c>
      <c r="E144" s="178" t="n">
        <v>17.7</v>
      </c>
      <c r="F144" s="178" t="n">
        <v>-18.2</v>
      </c>
      <c r="G144" s="178" t="n">
        <v>-10.7</v>
      </c>
      <c r="H144" s="178" t="n">
        <v>11.7</v>
      </c>
      <c r="I144" s="178" t="n">
        <v>-12</v>
      </c>
      <c r="J144" s="178" t="n">
        <v>-8.199999999999999</v>
      </c>
      <c r="K144" s="179" t="inlineStr">
        <is>
          <t>2595 GENFLEET-B; 6132 HJ SCIENCE-B; 3952 LAIFUAL</t>
        </is>
      </c>
    </row>
    <row r="145">
      <c r="A145" s="17" t="inlineStr">
        <is>
          <t>China Pinnacle Equity Management Limited</t>
        </is>
      </c>
      <c r="B145" s="171" t="n">
        <v>3</v>
      </c>
      <c r="C145" s="177" t="n">
        <v>67</v>
      </c>
      <c r="D145" s="178" t="n">
        <v>10.2</v>
      </c>
      <c r="E145" s="178" t="n">
        <v>22.5</v>
      </c>
      <c r="F145" s="178" t="n">
        <v>20.1</v>
      </c>
      <c r="G145" s="178" t="n">
        <v>36.4</v>
      </c>
      <c r="H145" s="178" t="n">
        <v>7.4</v>
      </c>
      <c r="I145" s="178" t="n">
        <v>5.5</v>
      </c>
      <c r="J145" s="178" t="n">
        <v>14</v>
      </c>
      <c r="K145" s="179" t="inlineStr">
        <is>
          <t>9960 KINDSTAR GLOBAL; 3288 HAITIAN FLAV; 3986 GIGADEVICE</t>
        </is>
      </c>
    </row>
    <row r="146">
      <c r="A146" s="17" t="inlineStr">
        <is>
          <t>Seven Grand Managers, LLC</t>
        </is>
      </c>
      <c r="B146" s="171" t="n">
        <v>3</v>
      </c>
      <c r="C146" s="177" t="n">
        <v>67</v>
      </c>
      <c r="D146" s="178" t="n">
        <v>8.9</v>
      </c>
      <c r="E146" s="178" t="n">
        <v>2.9</v>
      </c>
      <c r="F146" s="178" t="n">
        <v>-1.4</v>
      </c>
      <c r="G146" s="178" t="n">
        <v>25.4</v>
      </c>
      <c r="H146" s="178" t="n">
        <v>-5.2</v>
      </c>
      <c r="I146" s="178" t="n">
        <v>-11.3</v>
      </c>
      <c r="J146" s="178" t="n">
        <v>3.4</v>
      </c>
      <c r="K146" s="179" t="inlineStr">
        <is>
          <t>3388 CREALITY; 1688 LINGYI ITECH; 7687 EACON</t>
        </is>
      </c>
    </row>
    <row r="147">
      <c r="A147" s="17" t="inlineStr">
        <is>
          <t>Hongxing International Technology Limited</t>
        </is>
      </c>
      <c r="B147" s="171" t="n">
        <v>3</v>
      </c>
      <c r="C147" s="177" t="n">
        <v>67</v>
      </c>
      <c r="D147" s="178" t="n">
        <v>7.8</v>
      </c>
      <c r="E147" s="178" t="n">
        <v>9.800000000000001</v>
      </c>
      <c r="F147" s="178" t="n">
        <v>12.3</v>
      </c>
      <c r="G147" s="178" t="n">
        <v>45.3</v>
      </c>
      <c r="H147" s="178" t="n">
        <v>1.8</v>
      </c>
      <c r="I147" s="178" t="n">
        <v>2.1</v>
      </c>
      <c r="J147" s="178" t="n">
        <v>27.3</v>
      </c>
      <c r="K147" s="179" t="inlineStr">
        <is>
          <t>3200 HANS CNC; 3296 HUAQIN; 1688 LINGYI ITECH</t>
        </is>
      </c>
    </row>
    <row r="148">
      <c r="A148" s="17" t="inlineStr">
        <is>
          <t>Jinyi Capital Multi-Strategy Fund SPC Ltd</t>
        </is>
      </c>
      <c r="B148" s="171" t="n">
        <v>3</v>
      </c>
      <c r="C148" s="177" t="n">
        <v>67</v>
      </c>
      <c r="D148" s="178" t="n">
        <v>4.9</v>
      </c>
      <c r="E148" s="178" t="n">
        <v>9.1</v>
      </c>
      <c r="F148" s="178" t="n">
        <v>7</v>
      </c>
      <c r="G148" s="178" t="n">
        <v>-12</v>
      </c>
      <c r="H148" s="178" t="n">
        <v>4.1</v>
      </c>
      <c r="I148" s="178" t="n">
        <v>0.6</v>
      </c>
      <c r="J148" s="178" t="n">
        <v>-17.1</v>
      </c>
      <c r="K148" s="179" t="inlineStr">
        <is>
          <t>0600 AXERA; 3268 MEIG; 3296 HUAQIN</t>
        </is>
      </c>
    </row>
    <row r="149">
      <c r="A149" s="17" t="inlineStr">
        <is>
          <t>Glencore International AG</t>
        </is>
      </c>
      <c r="B149" s="171" t="n">
        <v>3</v>
      </c>
      <c r="C149" s="177" t="n">
        <v>33</v>
      </c>
      <c r="D149" s="178" t="n">
        <v>4.8</v>
      </c>
      <c r="E149" s="178" t="n">
        <v>6.7</v>
      </c>
      <c r="F149" s="178" t="n">
        <v>5.5</v>
      </c>
      <c r="G149" s="178" t="n">
        <v>1.9</v>
      </c>
      <c r="H149" s="178" t="n">
        <v>1.6</v>
      </c>
      <c r="I149" s="178" t="n">
        <v>0.8</v>
      </c>
      <c r="J149" s="178" t="n">
        <v>-4</v>
      </c>
      <c r="K149" s="179" t="inlineStr">
        <is>
          <t>2610 NANSHAN AL INTL; 3636 JINXUN RESOURCE; 6228 MERDEKAGOLD-DRS</t>
        </is>
      </c>
    </row>
    <row r="150">
      <c r="A150" s="17" t="inlineStr">
        <is>
          <t>Relationship* Wuxi Lvlian</t>
        </is>
      </c>
      <c r="B150" s="171" t="n">
        <v>3</v>
      </c>
      <c r="C150" s="177" t="n">
        <v>67</v>
      </c>
      <c r="D150" s="178" t="n">
        <v>4.8</v>
      </c>
      <c r="E150" s="178" t="n">
        <v>-0.1</v>
      </c>
      <c r="F150" s="178" t="n">
        <v>9</v>
      </c>
      <c r="G150" s="178" t="n">
        <v>111.3</v>
      </c>
      <c r="H150" s="178" t="n">
        <v>-4.7</v>
      </c>
      <c r="I150" s="178" t="n">
        <v>4.9</v>
      </c>
      <c r="J150" s="178" t="n">
        <v>106.7</v>
      </c>
      <c r="K150" s="179" t="inlineStr">
        <is>
          <t>6831 GREEN TEA GROUP; 2698 SOFTCARE; 3317 XUNCE</t>
        </is>
      </c>
    </row>
    <row r="151">
      <c r="A151" s="17" t="inlineStr">
        <is>
          <t>Duckling Fund, L.P</t>
        </is>
      </c>
      <c r="B151" s="171" t="n">
        <v>3</v>
      </c>
      <c r="C151" s="177" t="n">
        <v>67</v>
      </c>
      <c r="D151" s="178" t="n">
        <v>3.8</v>
      </c>
      <c r="E151" s="178" t="n">
        <v>8.800000000000001</v>
      </c>
      <c r="F151" s="178" t="n">
        <v>21</v>
      </c>
      <c r="G151" s="178" t="n">
        <v>98.40000000000001</v>
      </c>
      <c r="H151" s="178" t="n">
        <v>4.8</v>
      </c>
      <c r="I151" s="178" t="n">
        <v>18.4</v>
      </c>
      <c r="J151" s="178" t="n">
        <v>95.40000000000001</v>
      </c>
      <c r="K151" s="179" t="inlineStr">
        <is>
          <t>1364 GUMING; 2657 FOREST CABIN; 9903 ILUVATAR COREX</t>
        </is>
      </c>
    </row>
    <row r="152">
      <c r="A152" s="17" t="inlineStr">
        <is>
          <t>PT Esta Indonesia</t>
        </is>
      </c>
      <c r="B152" s="171" t="n">
        <v>3</v>
      </c>
      <c r="C152" s="177" t="n">
        <v>33</v>
      </c>
      <c r="D152" s="178" t="n">
        <v>3.3</v>
      </c>
      <c r="E152" s="178" t="n">
        <v>-2.5</v>
      </c>
      <c r="F152" s="178" t="n">
        <v>-7.5</v>
      </c>
      <c r="G152" s="178" t="n">
        <v>0.5</v>
      </c>
      <c r="H152" s="178" t="n">
        <v>-5.5</v>
      </c>
      <c r="I152" s="178" t="n">
        <v>-9.6</v>
      </c>
      <c r="J152" s="178" t="n">
        <v>-1</v>
      </c>
      <c r="K152" s="179" t="inlineStr">
        <is>
          <t>1497 YAN PALACE; 2460 CR BEVERAGE; 2610 NANSHAN AL INTL</t>
        </is>
      </c>
    </row>
    <row r="153">
      <c r="A153" s="17" t="inlineStr">
        <is>
          <t>Colorful Cloud</t>
        </is>
      </c>
      <c r="B153" s="171" t="n">
        <v>3</v>
      </c>
      <c r="C153" s="177" t="n">
        <v>67</v>
      </c>
      <c r="D153" s="178" t="n">
        <v>2.4</v>
      </c>
      <c r="E153" s="178" t="n">
        <v>-8.9</v>
      </c>
      <c r="F153" s="178" t="n">
        <v>-12.7</v>
      </c>
      <c r="G153" s="178" t="n">
        <v>-22.7</v>
      </c>
      <c r="H153" s="178" t="n">
        <v>-11.3</v>
      </c>
      <c r="I153" s="178" t="n">
        <v>-15.5</v>
      </c>
      <c r="J153" s="178" t="n">
        <v>-25.1</v>
      </c>
      <c r="K153" s="179" t="inlineStr">
        <is>
          <t>2392 XUANWU CLOUD; 2671 USAS BUILDING; 9976 LONGSYS</t>
        </is>
      </c>
    </row>
    <row r="154">
      <c r="A154" s="17" t="inlineStr">
        <is>
          <t>Pacific Asset Management Co., Limited</t>
        </is>
      </c>
      <c r="B154" s="171" t="n">
        <v>3</v>
      </c>
      <c r="C154" s="177" t="n">
        <v>33</v>
      </c>
      <c r="D154" s="178" t="n">
        <v>1.6</v>
      </c>
      <c r="E154" s="178" t="n">
        <v>1.1</v>
      </c>
      <c r="F154" s="178" t="n">
        <v>-2.4</v>
      </c>
      <c r="G154" s="178" t="n">
        <v>3.8</v>
      </c>
      <c r="H154" s="178" t="n">
        <v>-0.4</v>
      </c>
      <c r="I154" s="178" t="n">
        <v>-4.6</v>
      </c>
      <c r="J154" s="178" t="n">
        <v>-0.3</v>
      </c>
      <c r="K154" s="179" t="inlineStr">
        <is>
          <t>9696 TIANQI LITHIUM; 3750 CATL; 0638 FIBOCOM</t>
        </is>
      </c>
    </row>
    <row r="155">
      <c r="A155" s="17" t="inlineStr">
        <is>
          <t>Xian Yuanda Electronic Equipment Co., Ltd</t>
        </is>
      </c>
      <c r="B155" s="171" t="n">
        <v>3</v>
      </c>
      <c r="C155" s="177" t="n">
        <v>33</v>
      </c>
      <c r="D155" s="178" t="n">
        <v>1.3</v>
      </c>
      <c r="E155" s="178" t="n">
        <v>26.2</v>
      </c>
      <c r="F155" s="178" t="n">
        <v>35.5</v>
      </c>
      <c r="G155" s="178" t="n">
        <v>83.8</v>
      </c>
      <c r="H155" s="178" t="n">
        <v>20.1</v>
      </c>
      <c r="I155" s="178" t="n">
        <v>31.5</v>
      </c>
      <c r="J155" s="178" t="n">
        <v>85.2</v>
      </c>
      <c r="K155" s="179" t="inlineStr">
        <is>
          <t>2418 DEEWIN; 2536 PALASINO; 1354 KINGFARPROPERTY</t>
        </is>
      </c>
    </row>
    <row r="156">
      <c r="A156" s="17" t="inlineStr">
        <is>
          <t>Golden Link Worldwide Limited</t>
        </is>
      </c>
      <c r="B156" s="171" t="n">
        <v>3</v>
      </c>
      <c r="C156" s="177" t="n">
        <v>33</v>
      </c>
      <c r="D156" s="178" t="n">
        <v>1.2</v>
      </c>
      <c r="E156" s="178" t="n">
        <v>8.9</v>
      </c>
      <c r="F156" s="178" t="n">
        <v>15.8</v>
      </c>
      <c r="G156" s="178" t="n">
        <v>23.8</v>
      </c>
      <c r="H156" s="178" t="n">
        <v>7.3</v>
      </c>
      <c r="I156" s="178" t="n">
        <v>14.3</v>
      </c>
      <c r="J156" s="178" t="n">
        <v>21.2</v>
      </c>
      <c r="K156" s="179" t="inlineStr">
        <is>
          <t>0300 MIDEA GROUP; 2676 NOVOSENSE; 6880 MOMENTA-W</t>
        </is>
      </c>
    </row>
    <row r="157">
      <c r="A157" s="17" t="inlineStr">
        <is>
          <t>China Sichuan International Investment Limited</t>
        </is>
      </c>
      <c r="B157" s="171" t="n">
        <v>3</v>
      </c>
      <c r="C157" s="177" t="n">
        <v>67</v>
      </c>
      <c r="D157" s="178" t="n">
        <v>0.5</v>
      </c>
      <c r="E157" s="178" t="n">
        <v>0.1</v>
      </c>
      <c r="F157" s="178" t="n">
        <v>-9.699999999999999</v>
      </c>
      <c r="G157" s="178" t="n">
        <v>-23.8</v>
      </c>
      <c r="H157" s="178" t="n">
        <v>-0.3</v>
      </c>
      <c r="I157" s="178" t="n">
        <v>-10.1</v>
      </c>
      <c r="J157" s="178" t="n">
        <v>-24.1</v>
      </c>
      <c r="K157" s="179" t="inlineStr">
        <is>
          <t>3658 NEW HOPE SERV; 9696 TIANQI LITHIUM; 9636 JF WEALTH</t>
        </is>
      </c>
    </row>
    <row r="158">
      <c r="A158" s="17" t="inlineStr">
        <is>
          <t>Hainan Financial Holdings Co., Ltd</t>
        </is>
      </c>
      <c r="B158" s="171" t="n">
        <v>3</v>
      </c>
      <c r="C158" s="177" t="n">
        <v>33</v>
      </c>
      <c r="D158" s="178" t="n">
        <v>0.3</v>
      </c>
      <c r="E158" s="178" t="n">
        <v>2.2</v>
      </c>
      <c r="F158" s="178" t="n">
        <v>9</v>
      </c>
      <c r="G158" s="178" t="n">
        <v>-1.7</v>
      </c>
      <c r="H158" s="178" t="n">
        <v>1.9</v>
      </c>
      <c r="I158" s="178" t="n">
        <v>8.699999999999999</v>
      </c>
      <c r="J158" s="178" t="n">
        <v>-2</v>
      </c>
      <c r="K158" s="179" t="inlineStr">
        <is>
          <t>9638 FERRETTI; 1880 CTG DUTY-FREE; 2451 LUYUAN GP HLDG</t>
        </is>
      </c>
    </row>
    <row r="159">
      <c r="A159" s="17" t="inlineStr">
        <is>
          <t>Keltic Investment (HK) Limited</t>
        </is>
      </c>
      <c r="B159" s="171" t="n">
        <v>3</v>
      </c>
      <c r="C159" s="177" t="n">
        <v>33</v>
      </c>
      <c r="D159" s="178" t="n">
        <v>0.1</v>
      </c>
      <c r="E159" s="178" t="n">
        <v>1.9</v>
      </c>
      <c r="F159" s="178" t="n">
        <v>-23.7</v>
      </c>
      <c r="G159" s="178" t="n">
        <v>-40.6</v>
      </c>
      <c r="H159" s="178" t="n">
        <v>1.8</v>
      </c>
      <c r="I159" s="178" t="n">
        <v>-23.7</v>
      </c>
      <c r="J159" s="178" t="n">
        <v>-40.6</v>
      </c>
      <c r="K159" s="179" t="inlineStr">
        <is>
          <t>3658 NEW HOPE SERV; 6626 YUEXIU SERVICES; 2210 BEIJING JIAYE</t>
        </is>
      </c>
    </row>
    <row r="160">
      <c r="A160" s="17" t="inlineStr">
        <is>
          <t>Vivo Opportunity Fund, L.P</t>
        </is>
      </c>
      <c r="B160" s="171" t="n">
        <v>3</v>
      </c>
      <c r="C160" s="177" t="n">
        <v>33</v>
      </c>
      <c r="D160" s="178" t="n">
        <v>-0.1</v>
      </c>
      <c r="E160" s="178" t="n">
        <v>-7.9</v>
      </c>
      <c r="F160" s="178" t="n">
        <v>-17.1</v>
      </c>
      <c r="G160" s="178" t="n">
        <v>-23.9</v>
      </c>
      <c r="H160" s="178" t="n">
        <v>-7.8</v>
      </c>
      <c r="I160" s="178" t="n">
        <v>-17</v>
      </c>
      <c r="J160" s="178" t="n">
        <v>-23.8</v>
      </c>
      <c r="K160" s="179" t="inlineStr">
        <is>
          <t>2256 ABBISKO-B; 2157 LEPU BIO-B; 2561 VISEN PHARMA-B</t>
        </is>
      </c>
    </row>
    <row r="161">
      <c r="A161" s="17" t="inlineStr">
        <is>
          <t>Main Source Capital Limited</t>
        </is>
      </c>
      <c r="B161" s="171" t="n">
        <v>3</v>
      </c>
      <c r="C161" s="177" t="n">
        <v>67</v>
      </c>
      <c r="D161" s="178" t="n">
        <v>-0.6</v>
      </c>
      <c r="E161" s="178" t="n">
        <v>-1.8</v>
      </c>
      <c r="F161" s="178" t="n">
        <v>-17.2</v>
      </c>
      <c r="G161" s="178" t="n">
        <v>-2.4</v>
      </c>
      <c r="H161" s="178" t="n">
        <v>-0.2</v>
      </c>
      <c r="I161" s="178" t="n">
        <v>-12.8</v>
      </c>
      <c r="J161" s="178" t="n">
        <v>13.8</v>
      </c>
      <c r="K161" s="179" t="inlineStr">
        <is>
          <t>9881 RONGTA TECH; 3378 HANXBIO-B; 2692 ZHAOWEI</t>
        </is>
      </c>
    </row>
    <row r="162">
      <c r="A162" s="17" t="inlineStr">
        <is>
          <t>NGS Super Pty Limited</t>
        </is>
      </c>
      <c r="B162" s="171" t="n">
        <v>3</v>
      </c>
      <c r="C162" s="177" t="n">
        <v>0</v>
      </c>
      <c r="D162" s="178" t="n">
        <v>-0.7</v>
      </c>
      <c r="E162" s="178" t="n">
        <v>9.300000000000001</v>
      </c>
      <c r="F162" s="178" t="n">
        <v>-1.7</v>
      </c>
      <c r="G162" s="178" t="n">
        <v>-28</v>
      </c>
      <c r="H162" s="178" t="n">
        <v>10.2</v>
      </c>
      <c r="I162" s="178" t="n">
        <v>-1</v>
      </c>
      <c r="J162" s="178" t="n">
        <v>-28</v>
      </c>
      <c r="K162" s="179" t="inlineStr">
        <is>
          <t>0600 AXERA; 2249 NEXCHIP; 3308 ZJ INNOLIGHT</t>
        </is>
      </c>
    </row>
    <row r="163">
      <c r="A163" s="17" t="inlineStr">
        <is>
          <t>SCC Growth VI Holdco F, Ltd</t>
        </is>
      </c>
      <c r="B163" s="171" t="n">
        <v>3</v>
      </c>
      <c r="C163" s="177" t="n">
        <v>67</v>
      </c>
      <c r="D163" s="178" t="n">
        <v>-1.2</v>
      </c>
      <c r="E163" s="178" t="n">
        <v>-3</v>
      </c>
      <c r="F163" s="178" t="n">
        <v>23.8</v>
      </c>
      <c r="G163" s="178" t="n">
        <v>5.8</v>
      </c>
      <c r="H163" s="178" t="n">
        <v>-1.9</v>
      </c>
      <c r="I163" s="178" t="n">
        <v>24.3</v>
      </c>
      <c r="J163" s="178" t="n">
        <v>7.3</v>
      </c>
      <c r="K163" s="179" t="inlineStr">
        <is>
          <t>6127 JOINN; 2137 BRII - B; 2179 RECBIO-B</t>
        </is>
      </c>
    </row>
    <row r="164">
      <c r="A164" s="17" t="inlineStr">
        <is>
          <t>Horizon Together Holding Ltd</t>
        </is>
      </c>
      <c r="B164" s="171" t="n">
        <v>3</v>
      </c>
      <c r="C164" s="177" t="n">
        <v>67</v>
      </c>
      <c r="D164" s="178" t="n">
        <v>-1.7</v>
      </c>
      <c r="E164" s="178" t="n">
        <v>-5</v>
      </c>
      <c r="F164" s="178" t="n">
        <v>-2</v>
      </c>
      <c r="G164" s="178" t="n">
        <v>17.4</v>
      </c>
      <c r="H164" s="178" t="n">
        <v>-2.7</v>
      </c>
      <c r="I164" s="178" t="n">
        <v>-2</v>
      </c>
      <c r="J164" s="178" t="n">
        <v>14.7</v>
      </c>
      <c r="K164" s="179" t="inlineStr">
        <is>
          <t>2431 MINIEYE; 9973 CHERY AUTO; 9609 HAIWEI ELEC</t>
        </is>
      </c>
    </row>
    <row r="165">
      <c r="A165" s="17" t="inlineStr">
        <is>
          <t>CRF Investment Holdings Company Limited</t>
        </is>
      </c>
      <c r="B165" s="171" t="n">
        <v>3</v>
      </c>
      <c r="C165" s="177" t="n">
        <v>33</v>
      </c>
      <c r="D165" s="178" t="n">
        <v>-2.5</v>
      </c>
      <c r="E165" s="178" t="n">
        <v>-4.1</v>
      </c>
      <c r="F165" s="178" t="n">
        <v>-21.5</v>
      </c>
      <c r="G165" s="178" t="n">
        <v>-9.4</v>
      </c>
      <c r="H165" s="178" t="n">
        <v>-1.9</v>
      </c>
      <c r="I165" s="178" t="n">
        <v>-18.9</v>
      </c>
      <c r="J165" s="178" t="n">
        <v>-6.5</v>
      </c>
      <c r="K165" s="179" t="inlineStr">
        <is>
          <t>2170 BASECARE-B; 6127 JOINN; 2561 VISEN PHARMA-B</t>
        </is>
      </c>
    </row>
    <row r="166">
      <c r="A166" s="17" t="inlineStr">
        <is>
          <t>China Galaxy International Investment Company Limited</t>
        </is>
      </c>
      <c r="B166" s="171" t="n">
        <v>3</v>
      </c>
      <c r="C166" s="177" t="n">
        <v>67</v>
      </c>
      <c r="D166" s="178" t="n">
        <v>-3.6</v>
      </c>
      <c r="E166" s="178" t="n">
        <v>-11.2</v>
      </c>
      <c r="F166" s="178" t="n">
        <v>-10.6</v>
      </c>
      <c r="G166" s="178" t="n">
        <v>-39.1</v>
      </c>
      <c r="H166" s="178" t="n">
        <v>-6.9</v>
      </c>
      <c r="I166" s="178" t="n">
        <v>-7.9</v>
      </c>
      <c r="J166" s="178" t="n">
        <v>-33.1</v>
      </c>
      <c r="K166" s="179" t="inlineStr">
        <is>
          <t>2408 XIAO NOODLES; 9611 LONGCHEER; 2677 DISTINCT HEALTH</t>
        </is>
      </c>
    </row>
    <row r="167">
      <c r="A167" s="17" t="inlineStr">
        <is>
          <t>Hel Ved Master Fund</t>
        </is>
      </c>
      <c r="B167" s="171" t="n">
        <v>3</v>
      </c>
      <c r="C167" s="177" t="n">
        <v>0</v>
      </c>
      <c r="D167" s="178" t="n">
        <v>-3.7</v>
      </c>
      <c r="E167" s="178" t="n">
        <v>2.6</v>
      </c>
      <c r="F167" s="178" t="n">
        <v>-8.300000000000001</v>
      </c>
      <c r="G167" s="178" t="n">
        <v>-26.7</v>
      </c>
      <c r="H167" s="178" t="n">
        <v>5.9</v>
      </c>
      <c r="I167" s="178" t="n">
        <v>-4.9</v>
      </c>
      <c r="J167" s="178" t="n">
        <v>-22.9</v>
      </c>
      <c r="K167" s="179" t="inlineStr">
        <is>
          <t>2026 PONY-W; 0600 AXERA; 1377 DTECH</t>
        </is>
      </c>
    </row>
    <row r="168">
      <c r="A168" s="17" t="inlineStr">
        <is>
          <t>SCGC Capital Holding Company Limited</t>
        </is>
      </c>
      <c r="B168" s="171" t="n">
        <v>3</v>
      </c>
      <c r="C168" s="177" t="n">
        <v>67</v>
      </c>
      <c r="D168" s="178" t="n">
        <v>-10.2</v>
      </c>
      <c r="E168" s="178" t="n">
        <v>-14.9</v>
      </c>
      <c r="F168" s="178" t="n">
        <v>-18.4</v>
      </c>
      <c r="G168" s="178" t="n">
        <v>-12.9</v>
      </c>
      <c r="H168" s="178" t="n">
        <v>-5.5</v>
      </c>
      <c r="I168" s="178" t="n">
        <v>-10</v>
      </c>
      <c r="J168" s="178" t="n">
        <v>0.1</v>
      </c>
      <c r="K168" s="179" t="inlineStr">
        <is>
          <t>6668 E-STAR CM; 2560 CONCH MAT TECH; 3355 FS.COM</t>
        </is>
      </c>
    </row>
    <row r="169">
      <c r="A169" s="17" t="inlineStr">
        <is>
          <t>Wong Cheuk Tim, Timothy</t>
        </is>
      </c>
      <c r="B169" s="171" t="n">
        <v>3</v>
      </c>
      <c r="C169" s="177" t="n">
        <v>0</v>
      </c>
      <c r="D169" s="178" t="n">
        <v>-12.8</v>
      </c>
      <c r="E169" s="178" t="n">
        <v>-20.7</v>
      </c>
      <c r="F169" s="178" t="n">
        <v>-19.8</v>
      </c>
      <c r="G169" s="178" t="n">
        <v>-25</v>
      </c>
      <c r="H169" s="178" t="n">
        <v>-9.199999999999999</v>
      </c>
      <c r="I169" s="178" t="n">
        <v>-9.1</v>
      </c>
      <c r="J169" s="178" t="n">
        <v>-16.1</v>
      </c>
      <c r="K169" s="179" t="inlineStr">
        <is>
          <t>2350 MTT GROUP; 1497 YAN PALACE; 2519 AUGROUP</t>
        </is>
      </c>
    </row>
    <row r="170">
      <c r="A170" s="17" t="inlineStr">
        <is>
          <t>Yangtze River (Hong Kong) Limited</t>
        </is>
      </c>
      <c r="B170" s="171" t="n">
        <v>3</v>
      </c>
      <c r="C170" s="177" t="n">
        <v>33</v>
      </c>
      <c r="D170" s="178" t="n">
        <v>-17.3</v>
      </c>
      <c r="E170" s="178" t="n">
        <v>-15.5</v>
      </c>
      <c r="F170" s="178" t="n">
        <v>-26.8</v>
      </c>
      <c r="G170" s="178" t="n">
        <v>-22.2</v>
      </c>
      <c r="H170" s="178" t="n">
        <v>1.6</v>
      </c>
      <c r="I170" s="178" t="n">
        <v>-10.4</v>
      </c>
      <c r="J170" s="178" t="n">
        <v>6.2</v>
      </c>
      <c r="K170" s="179" t="inlineStr">
        <is>
          <t>2179 RECBIO-B; 9955 CLOUDR; 3378 HANXBIO-B</t>
        </is>
      </c>
    </row>
    <row r="171">
      <c r="A171" s="17" t="inlineStr">
        <is>
          <t>Gotion High-Tech (HK)</t>
        </is>
      </c>
      <c r="B171" s="171" t="n">
        <v>3</v>
      </c>
      <c r="C171" s="177" t="n">
        <v>33</v>
      </c>
      <c r="D171" s="178" t="n">
        <v>-19.3</v>
      </c>
      <c r="E171" s="178" t="n">
        <v>-21.4</v>
      </c>
      <c r="F171" s="178" t="n">
        <v>-17.3</v>
      </c>
      <c r="G171" s="178" t="n">
        <v>-5.4</v>
      </c>
      <c r="H171" s="178" t="n">
        <v>-3.4</v>
      </c>
      <c r="I171" s="178" t="n">
        <v>0.5</v>
      </c>
      <c r="J171" s="178" t="n">
        <v>18</v>
      </c>
      <c r="K171" s="179" t="inlineStr">
        <is>
          <t>2560 CONCH MAT TECH; 2643 CAOCAO INC; 9973 CHERY AUTO</t>
        </is>
      </c>
    </row>
    <row r="172">
      <c r="A172" s="17" t="inlineStr">
        <is>
          <t>June Star Global Limited</t>
        </is>
      </c>
      <c r="B172" s="171" t="n">
        <v>2</v>
      </c>
      <c r="C172" s="177" t="n">
        <v>100</v>
      </c>
      <c r="D172" s="178" t="n">
        <v>192.6</v>
      </c>
      <c r="E172" s="178" t="n">
        <v>175.3</v>
      </c>
      <c r="F172" s="178" t="n">
        <v>192.8</v>
      </c>
      <c r="G172" s="178" t="n">
        <v>124.8</v>
      </c>
      <c r="H172" s="178" t="n">
        <v>-5.8</v>
      </c>
      <c r="I172" s="178" t="n">
        <v>1.2</v>
      </c>
      <c r="J172" s="178" t="n">
        <v>-22.4</v>
      </c>
      <c r="K172" s="179" t="inlineStr">
        <is>
          <t>2591 INNOGEN-B; 6872 TENNOR THERAP-B</t>
        </is>
      </c>
    </row>
    <row r="173">
      <c r="A173" s="17" t="inlineStr">
        <is>
          <t>Lenovo Group Limited</t>
        </is>
      </c>
      <c r="B173" s="171" t="n">
        <v>2</v>
      </c>
      <c r="C173" s="177" t="n">
        <v>50</v>
      </c>
      <c r="D173" s="178" t="n">
        <v>191.3</v>
      </c>
      <c r="E173" s="178" t="n">
        <v>180.5</v>
      </c>
      <c r="F173" s="178" t="n">
        <v>236.2</v>
      </c>
      <c r="G173" s="178" t="n">
        <v>27.3</v>
      </c>
      <c r="H173" s="178" t="n">
        <v>-11.4</v>
      </c>
      <c r="I173" s="178" t="n">
        <v>-30.5</v>
      </c>
      <c r="J173" s="178" t="n">
        <v>-73.7</v>
      </c>
      <c r="K173" s="179" t="inlineStr">
        <is>
          <t>1879 XIZHI TECH-P; 9976 LONGSYS</t>
        </is>
      </c>
    </row>
    <row r="174">
      <c r="A174" s="17" t="inlineStr">
        <is>
          <t>LC Logistics, Inc</t>
        </is>
      </c>
      <c r="B174" s="171" t="n">
        <v>2</v>
      </c>
      <c r="C174" s="177" t="n">
        <v>50</v>
      </c>
      <c r="D174" s="178" t="n">
        <v>115.4</v>
      </c>
      <c r="E174" s="178" t="n">
        <v>138</v>
      </c>
      <c r="F174" s="178" t="n">
        <v>92.7</v>
      </c>
      <c r="G174" s="178" t="n">
        <v>54.2</v>
      </c>
      <c r="H174" s="178" t="n">
        <v>1.8</v>
      </c>
      <c r="I174" s="178" t="n">
        <v>-9.9</v>
      </c>
      <c r="J174" s="178" t="n">
        <v>-23.1</v>
      </c>
      <c r="K174" s="179" t="inlineStr">
        <is>
          <t>2519 AUGROUP; 2706 HAIZHI TECH GP</t>
        </is>
      </c>
    </row>
    <row r="175">
      <c r="A175" s="17" t="inlineStr">
        <is>
          <t>Top Vast (Hong Kong) Limited</t>
        </is>
      </c>
      <c r="B175" s="171" t="n">
        <v>2</v>
      </c>
      <c r="C175" s="177" t="n">
        <v>50</v>
      </c>
      <c r="D175" s="178" t="n">
        <v>94</v>
      </c>
      <c r="E175" s="178" t="n">
        <v>112.1</v>
      </c>
      <c r="F175" s="178" t="n">
        <v>128.7</v>
      </c>
      <c r="G175" s="178" t="n">
        <v>144.2</v>
      </c>
      <c r="H175" s="178" t="n">
        <v>7.6</v>
      </c>
      <c r="I175" s="178" t="n">
        <v>6.4</v>
      </c>
      <c r="J175" s="178" t="n">
        <v>12.1</v>
      </c>
      <c r="K175" s="179" t="inlineStr">
        <is>
          <t>6639 ARRAIL GROUP; 6658 LIULIUMEI</t>
        </is>
      </c>
    </row>
    <row r="176">
      <c r="A176" s="17" t="inlineStr">
        <is>
          <t>MPC VII Pte. Ltd</t>
        </is>
      </c>
      <c r="B176" s="171" t="n">
        <v>2</v>
      </c>
      <c r="C176" s="177" t="n">
        <v>100</v>
      </c>
      <c r="D176" s="178" t="n">
        <v>83.7</v>
      </c>
      <c r="E176" s="178" t="n">
        <v>91.5</v>
      </c>
      <c r="F176" s="178" t="n">
        <v>100.5</v>
      </c>
      <c r="G176" s="178" t="n">
        <v>215.9</v>
      </c>
      <c r="H176" s="178" t="n">
        <v>0.6</v>
      </c>
      <c r="I176" s="178" t="n">
        <v>2.7</v>
      </c>
      <c r="J176" s="178" t="n">
        <v>57.7</v>
      </c>
      <c r="K176" s="179" t="inlineStr">
        <is>
          <t>2549 CAROTE LTD; 0100 MINIMAX-WP</t>
        </is>
      </c>
    </row>
    <row r="177">
      <c r="A177" s="17" t="inlineStr">
        <is>
          <t>Sunny Festive Limited</t>
        </is>
      </c>
      <c r="B177" s="171" t="n">
        <v>2</v>
      </c>
      <c r="C177" s="177" t="n">
        <v>50</v>
      </c>
      <c r="D177" s="178" t="n">
        <v>78.09999999999999</v>
      </c>
      <c r="E177" s="178" t="n">
        <v>122.7</v>
      </c>
      <c r="F177" s="178" t="n">
        <v>52.3</v>
      </c>
      <c r="G177" s="178" t="n">
        <v>105.4</v>
      </c>
      <c r="H177" s="178" t="n">
        <v>16.9</v>
      </c>
      <c r="I177" s="178" t="n">
        <v>-20.7</v>
      </c>
      <c r="J177" s="178" t="n">
        <v>-21.3</v>
      </c>
      <c r="K177" s="179" t="inlineStr">
        <is>
          <t>1024 KUAISHOU-W; 1688 LINGYI ITECH</t>
        </is>
      </c>
    </row>
    <row r="178">
      <c r="A178" s="17" t="inlineStr">
        <is>
          <t>Velmar Company Limited</t>
        </is>
      </c>
      <c r="B178" s="171" t="n">
        <v>2</v>
      </c>
      <c r="C178" s="177" t="n">
        <v>100</v>
      </c>
      <c r="D178" s="178" t="n">
        <v>74.7</v>
      </c>
      <c r="E178" s="178" t="n">
        <v>68.3</v>
      </c>
      <c r="F178" s="178" t="n">
        <v>61.1</v>
      </c>
      <c r="G178" s="178" t="n">
        <v>13.2</v>
      </c>
      <c r="H178" s="178" t="n">
        <v>-2.8</v>
      </c>
      <c r="I178" s="178" t="n">
        <v>-10</v>
      </c>
      <c r="J178" s="178" t="n">
        <v>-28.9</v>
      </c>
      <c r="K178" s="179" t="inlineStr">
        <is>
          <t>2158 YIDU TECH; 9980 EASTROC</t>
        </is>
      </c>
    </row>
    <row r="179">
      <c r="A179" s="17" t="inlineStr">
        <is>
          <t>CYGG Holding Limited</t>
        </is>
      </c>
      <c r="B179" s="171" t="n">
        <v>2</v>
      </c>
      <c r="C179" s="177" t="n">
        <v>50</v>
      </c>
      <c r="D179" s="178" t="n">
        <v>74.59999999999999</v>
      </c>
      <c r="E179" s="178" t="n">
        <v>89.40000000000001</v>
      </c>
      <c r="F179" s="178" t="n">
        <v>68.7</v>
      </c>
      <c r="G179" s="178" t="n">
        <v>-0.8</v>
      </c>
      <c r="H179" s="178" t="n">
        <v>14.7</v>
      </c>
      <c r="I179" s="178" t="n">
        <v>76.90000000000001</v>
      </c>
      <c r="J179" s="178" t="n">
        <v>4</v>
      </c>
      <c r="K179" s="179" t="inlineStr">
        <is>
          <t>1511 UISEE TECH; 3231 EXCELLAND ROBOT</t>
        </is>
      </c>
    </row>
    <row r="180">
      <c r="A180" s="17" t="inlineStr">
        <is>
          <t>Cormorant Asset Management, LP</t>
        </is>
      </c>
      <c r="B180" s="171" t="n">
        <v>2</v>
      </c>
      <c r="C180" s="177" t="n">
        <v>100</v>
      </c>
      <c r="D180" s="178" t="n">
        <v>72</v>
      </c>
      <c r="E180" s="178" t="n">
        <v>29.3</v>
      </c>
      <c r="F180" s="178" t="n">
        <v>14.1</v>
      </c>
      <c r="G180" s="178" t="n">
        <v>-1.6</v>
      </c>
      <c r="H180" s="178" t="n">
        <v>-22.2</v>
      </c>
      <c r="I180" s="178" t="n">
        <v>-32</v>
      </c>
      <c r="J180" s="178" t="n">
        <v>-30</v>
      </c>
      <c r="K180" s="179" t="inlineStr">
        <is>
          <t>2190 ZYLOXTB-B; 9637 ALEBUND-B</t>
        </is>
      </c>
    </row>
    <row r="181">
      <c r="A181" s="17" t="inlineStr">
        <is>
          <t>The Biotech Growth Trust PLC</t>
        </is>
      </c>
      <c r="B181" s="171" t="n">
        <v>2</v>
      </c>
      <c r="C181" s="177" t="n">
        <v>100</v>
      </c>
      <c r="D181" s="178" t="n">
        <v>71.8</v>
      </c>
      <c r="E181" s="178" t="n">
        <v>68.59999999999999</v>
      </c>
      <c r="F181" s="178" t="n">
        <v>14.5</v>
      </c>
      <c r="G181" s="178" t="n">
        <v>29.5</v>
      </c>
      <c r="H181" s="178" t="n">
        <v>-0</v>
      </c>
      <c r="I181" s="178" t="n">
        <v>-32.4</v>
      </c>
      <c r="J181" s="178" t="n">
        <v>-21</v>
      </c>
      <c r="K181" s="179" t="inlineStr">
        <is>
          <t>2595 GENFLEET-B; 1779 LONGBIO-B</t>
        </is>
      </c>
    </row>
    <row r="182">
      <c r="A182" s="17" t="inlineStr">
        <is>
          <t>KCH International Investment Limited</t>
        </is>
      </c>
      <c r="B182" s="171" t="n">
        <v>2</v>
      </c>
      <c r="C182" s="177" t="n">
        <v>100</v>
      </c>
      <c r="D182" s="178" t="n">
        <v>70.90000000000001</v>
      </c>
      <c r="E182" s="178" t="n">
        <v>29.8</v>
      </c>
      <c r="F182" s="178" t="n">
        <v>38.9</v>
      </c>
      <c r="G182" s="178" t="n">
        <v>68.59999999999999</v>
      </c>
      <c r="H182" s="178" t="n">
        <v>-20.5</v>
      </c>
      <c r="I182" s="178" t="n">
        <v>-12.1</v>
      </c>
      <c r="J182" s="178" t="n">
        <v>15.3</v>
      </c>
      <c r="K182" s="179" t="inlineStr">
        <is>
          <t>2431 MINIEYE; 1236 LDROBOT</t>
        </is>
      </c>
    </row>
    <row r="183">
      <c r="A183" s="17" t="inlineStr">
        <is>
          <t>Hua Yuan International Limited</t>
        </is>
      </c>
      <c r="B183" s="171" t="n">
        <v>2</v>
      </c>
      <c r="C183" s="177" t="n">
        <v>50</v>
      </c>
      <c r="D183" s="178" t="n">
        <v>70.7</v>
      </c>
      <c r="E183" s="178" t="n">
        <v>61.3</v>
      </c>
      <c r="F183" s="178" t="n">
        <v>101.6</v>
      </c>
      <c r="G183" s="178" t="n">
        <v>165</v>
      </c>
      <c r="H183" s="178" t="n">
        <v>-7.7</v>
      </c>
      <c r="I183" s="178" t="n">
        <v>6.3</v>
      </c>
      <c r="J183" s="178" t="n">
        <v>-4.9</v>
      </c>
      <c r="K183" s="179" t="inlineStr">
        <is>
          <t>6872 TENNOR THERAP-B; 0537 RIGOL</t>
        </is>
      </c>
    </row>
    <row r="184">
      <c r="A184" s="17" t="inlineStr">
        <is>
          <t>Oakwise Growth Fund SPC – Global Select Opportunities Fund SP</t>
        </is>
      </c>
      <c r="B184" s="171" t="n">
        <v>2</v>
      </c>
      <c r="C184" s="177" t="n">
        <v>100</v>
      </c>
      <c r="D184" s="178" t="n">
        <v>64.8</v>
      </c>
      <c r="E184" s="178" t="n">
        <v>58.6</v>
      </c>
      <c r="F184" s="178" t="n">
        <v>1.3</v>
      </c>
      <c r="G184" s="178" t="n">
        <v>20.7</v>
      </c>
      <c r="H184" s="178" t="n">
        <v>-0.3</v>
      </c>
      <c r="I184" s="178" t="n">
        <v>-30.6</v>
      </c>
      <c r="J184" s="178" t="n">
        <v>-23.6</v>
      </c>
      <c r="K184" s="179" t="inlineStr">
        <is>
          <t>2692 ZHAOWEI; 6675 SENASIC</t>
        </is>
      </c>
    </row>
    <row r="185">
      <c r="A185" s="17" t="inlineStr">
        <is>
          <t>CR Alpha Investment II Limited</t>
        </is>
      </c>
      <c r="B185" s="171" t="n">
        <v>2</v>
      </c>
      <c r="C185" s="177" t="n">
        <v>50</v>
      </c>
      <c r="D185" s="178" t="n">
        <v>63.8</v>
      </c>
      <c r="E185" s="178" t="n">
        <v>127.3</v>
      </c>
      <c r="F185" s="178" t="n">
        <v>65.7</v>
      </c>
      <c r="G185" s="178" t="n">
        <v>-9.300000000000001</v>
      </c>
      <c r="H185" s="178" t="n">
        <v>25</v>
      </c>
      <c r="I185" s="178" t="n">
        <v>2.8</v>
      </c>
      <c r="J185" s="178" t="n">
        <v>-37.2</v>
      </c>
      <c r="K185" s="179" t="inlineStr">
        <is>
          <t>6680 JLMAG; 0068 MANYCORE TECH</t>
        </is>
      </c>
    </row>
    <row r="186">
      <c r="A186" s="17" t="inlineStr">
        <is>
          <t>Abstract Enigma Limited</t>
        </is>
      </c>
      <c r="B186" s="171" t="n">
        <v>2</v>
      </c>
      <c r="C186" s="177" t="n">
        <v>100</v>
      </c>
      <c r="D186" s="178" t="n">
        <v>62.8</v>
      </c>
      <c r="E186" s="178" t="n">
        <v>91.5</v>
      </c>
      <c r="F186" s="178" t="n">
        <v>114.3</v>
      </c>
      <c r="G186" s="178" t="n">
        <v>251.6</v>
      </c>
      <c r="H186" s="178" t="n">
        <v>13.9</v>
      </c>
      <c r="I186" s="178" t="n">
        <v>24.7</v>
      </c>
      <c r="J186" s="178" t="n">
        <v>98.09999999999999</v>
      </c>
      <c r="K186" s="179" t="inlineStr">
        <is>
          <t>3750 CATL; 0100 MINIMAX-WP</t>
        </is>
      </c>
    </row>
    <row r="187">
      <c r="A187" s="17" t="inlineStr">
        <is>
          <t>Huangshan City Investment Private Equity Fund Management Co., Ltd</t>
        </is>
      </c>
      <c r="B187" s="171" t="n">
        <v>2</v>
      </c>
      <c r="C187" s="177" t="n">
        <v>100</v>
      </c>
      <c r="D187" s="178" t="n">
        <v>58.3</v>
      </c>
      <c r="E187" s="178" t="n">
        <v>67</v>
      </c>
      <c r="F187" s="178" t="n">
        <v>46.6</v>
      </c>
      <c r="G187" s="178" t="n">
        <v>42.8</v>
      </c>
      <c r="H187" s="178" t="n">
        <v>3.4</v>
      </c>
      <c r="I187" s="178" t="n">
        <v>-12.1</v>
      </c>
      <c r="J187" s="178" t="n">
        <v>-13.3</v>
      </c>
      <c r="K187" s="179" t="inlineStr">
        <is>
          <t>1334 RUICHANG INTL; 2720 RIDGE OUTDOOR</t>
        </is>
      </c>
    </row>
    <row r="188">
      <c r="A188" s="17" t="inlineStr">
        <is>
          <t>Alisoft China Holding Limited</t>
        </is>
      </c>
      <c r="B188" s="171" t="n">
        <v>2</v>
      </c>
      <c r="C188" s="177" t="n">
        <v>100</v>
      </c>
      <c r="D188" s="178" t="n">
        <v>55.9</v>
      </c>
      <c r="E188" s="178" t="n">
        <v>92.5</v>
      </c>
      <c r="F188" s="178" t="n">
        <v>103.7</v>
      </c>
      <c r="G188" s="178" t="n">
        <v>227.9</v>
      </c>
      <c r="H188" s="178" t="n">
        <v>21.6</v>
      </c>
      <c r="I188" s="178" t="n">
        <v>21</v>
      </c>
      <c r="J188" s="178" t="n">
        <v>84</v>
      </c>
      <c r="K188" s="179" t="inlineStr">
        <is>
          <t>9660 HORIZONROBOT-W; 0100 MINIMAX-WP</t>
        </is>
      </c>
    </row>
    <row r="189">
      <c r="A189" s="17" t="inlineStr">
        <is>
          <t>QuantumPharm Limited</t>
        </is>
      </c>
      <c r="B189" s="171" t="n">
        <v>2</v>
      </c>
      <c r="C189" s="177" t="n">
        <v>100</v>
      </c>
      <c r="D189" s="178" t="n">
        <v>54.6</v>
      </c>
      <c r="E189" s="178" t="n">
        <v>28.9</v>
      </c>
      <c r="F189" s="178" t="n">
        <v>25.4</v>
      </c>
      <c r="G189" s="178" t="n">
        <v>40.5</v>
      </c>
      <c r="H189" s="178" t="n">
        <v>-13</v>
      </c>
      <c r="I189" s="178" t="n">
        <v>-13.6</v>
      </c>
      <c r="J189" s="178" t="n">
        <v>-6.8</v>
      </c>
      <c r="K189" s="179" t="inlineStr">
        <is>
          <t>2315 BIOCYTOGEN-B; 2718 MININGLAMP-W</t>
        </is>
      </c>
    </row>
    <row r="190">
      <c r="A190" s="17" t="inlineStr">
        <is>
          <t>Montage Technology Holdings Company Limited</t>
        </is>
      </c>
      <c r="B190" s="171" t="n">
        <v>2</v>
      </c>
      <c r="C190" s="177" t="n">
        <v>100</v>
      </c>
      <c r="D190" s="178" t="n">
        <v>54.5</v>
      </c>
      <c r="E190" s="178" t="n">
        <v>26.1</v>
      </c>
      <c r="F190" s="178" t="n">
        <v>11.9</v>
      </c>
      <c r="G190" s="178" t="n">
        <v>-10.8</v>
      </c>
      <c r="H190" s="178" t="n">
        <v>-15.8</v>
      </c>
      <c r="I190" s="178" t="n">
        <v>-23.6</v>
      </c>
      <c r="J190" s="178" t="n">
        <v>-15.2</v>
      </c>
      <c r="K190" s="179" t="inlineStr">
        <is>
          <t>6682 FOURTH PARADIGM; 9630 CFMEE</t>
        </is>
      </c>
    </row>
    <row r="191">
      <c r="A191" s="17" t="inlineStr">
        <is>
          <t>Charoen Pokphand Foods (CPF)</t>
        </is>
      </c>
      <c r="B191" s="171" t="n">
        <v>2</v>
      </c>
      <c r="C191" s="177" t="n">
        <v>100</v>
      </c>
      <c r="D191" s="178" t="n">
        <v>53.7</v>
      </c>
      <c r="E191" s="178" t="n">
        <v>37.1</v>
      </c>
      <c r="F191" s="178" t="n">
        <v>42</v>
      </c>
      <c r="G191" s="178" t="n">
        <v>-7</v>
      </c>
      <c r="H191" s="178" t="n">
        <v>-8.9</v>
      </c>
      <c r="I191" s="178" t="n">
        <v>-2</v>
      </c>
      <c r="J191" s="178" t="n">
        <v>-30.6</v>
      </c>
      <c r="K191" s="179" t="inlineStr">
        <is>
          <t>2714 MUYUAN; 6656 SIGENERGY</t>
        </is>
      </c>
    </row>
    <row r="192">
      <c r="A192" s="17" t="inlineStr">
        <is>
          <t>Prosper High Holding Limited</t>
        </is>
      </c>
      <c r="B192" s="171" t="n">
        <v>2</v>
      </c>
      <c r="C192" s="177" t="n">
        <v>50</v>
      </c>
      <c r="D192" s="178" t="n">
        <v>53.4</v>
      </c>
      <c r="E192" s="178" t="n">
        <v>40.5</v>
      </c>
      <c r="F192" s="178" t="n">
        <v>40.6</v>
      </c>
      <c r="G192" s="178" t="n">
        <v>-39.8</v>
      </c>
      <c r="H192" s="178" t="n">
        <v>-7.1</v>
      </c>
      <c r="I192" s="178" t="n">
        <v>-5.7</v>
      </c>
      <c r="J192" s="178" t="n">
        <v>-71.09999999999999</v>
      </c>
      <c r="K192" s="179" t="inlineStr">
        <is>
          <t>7630 IMPACT THERAP-B; 2475 LUXSHARE ICT</t>
        </is>
      </c>
    </row>
    <row r="193">
      <c r="A193" s="17" t="inlineStr">
        <is>
          <t>Victory Giant Technology Holdings (Hong Kong) Limited</t>
        </is>
      </c>
      <c r="B193" s="171" t="n">
        <v>2</v>
      </c>
      <c r="C193" s="177" t="n">
        <v>50</v>
      </c>
      <c r="D193" s="178" t="n">
        <v>51</v>
      </c>
      <c r="E193" s="178" t="n">
        <v>32.5</v>
      </c>
      <c r="F193" s="178" t="n">
        <v>16.4</v>
      </c>
      <c r="G193" s="178" t="n"/>
      <c r="H193" s="178" t="n">
        <v>-6</v>
      </c>
      <c r="I193" s="178" t="n">
        <v>-15.8</v>
      </c>
      <c r="J193" s="178" t="n"/>
      <c r="K193" s="179" t="inlineStr">
        <is>
          <t>9630 CFMEE; 1377 DTECH</t>
        </is>
      </c>
    </row>
    <row r="194">
      <c r="A194" s="17" t="inlineStr">
        <is>
          <t>Seraphim Advantage Inc</t>
        </is>
      </c>
      <c r="B194" s="171" t="n">
        <v>2</v>
      </c>
      <c r="C194" s="177" t="n">
        <v>100</v>
      </c>
      <c r="D194" s="178" t="n">
        <v>50.8</v>
      </c>
      <c r="E194" s="178" t="n">
        <v>75.90000000000001</v>
      </c>
      <c r="F194" s="178" t="n">
        <v>79.7</v>
      </c>
      <c r="G194" s="178" t="n">
        <v>175.9</v>
      </c>
      <c r="H194" s="178" t="n">
        <v>17.8</v>
      </c>
      <c r="I194" s="178" t="n">
        <v>20.7</v>
      </c>
      <c r="J194" s="178" t="n">
        <v>77.40000000000001</v>
      </c>
      <c r="K194" s="179" t="inlineStr">
        <is>
          <t>1318 MAO GEPING; 6168 ZHOU LIU FU</t>
        </is>
      </c>
    </row>
    <row r="195">
      <c r="A195" s="17" t="inlineStr">
        <is>
          <t>HQ TELECOM SINGAPORE PTE. LTD</t>
        </is>
      </c>
      <c r="B195" s="171" t="n">
        <v>2</v>
      </c>
      <c r="C195" s="177" t="n">
        <v>100</v>
      </c>
      <c r="D195" s="178" t="n">
        <v>48.6</v>
      </c>
      <c r="E195" s="178" t="n">
        <v>40.4</v>
      </c>
      <c r="F195" s="178" t="n">
        <v>34.9</v>
      </c>
      <c r="G195" s="178" t="n">
        <v>9.6</v>
      </c>
      <c r="H195" s="178" t="n">
        <v>-5.5</v>
      </c>
      <c r="I195" s="178" t="n">
        <v>-9.4</v>
      </c>
      <c r="J195" s="178" t="n">
        <v>-27</v>
      </c>
      <c r="K195" s="179" t="inlineStr">
        <is>
          <t>2476 VGT; 3661 SG MICRO</t>
        </is>
      </c>
    </row>
    <row r="196">
      <c r="A196" s="17" t="inlineStr">
        <is>
          <t>Gaoling Fund, L.P.</t>
        </is>
      </c>
      <c r="B196" s="171" t="n">
        <v>2</v>
      </c>
      <c r="C196" s="177" t="n">
        <v>100</v>
      </c>
      <c r="D196" s="178" t="n">
        <v>47.4</v>
      </c>
      <c r="E196" s="178" t="n">
        <v>44.6</v>
      </c>
      <c r="F196" s="178" t="n">
        <v>19.1</v>
      </c>
      <c r="G196" s="178" t="n">
        <v>12.9</v>
      </c>
      <c r="H196" s="178" t="n">
        <v>-2.2</v>
      </c>
      <c r="I196" s="178" t="n">
        <v>-19.4</v>
      </c>
      <c r="J196" s="178" t="n">
        <v>-23.7</v>
      </c>
      <c r="K196" s="179" t="inlineStr">
        <is>
          <t>2160 CARDIOFLOW-B; 2190 ZYLOXTB-B</t>
        </is>
      </c>
    </row>
    <row r="197">
      <c r="A197" s="17" t="inlineStr">
        <is>
          <t>Sparky International Company Limited</t>
        </is>
      </c>
      <c r="B197" s="171" t="n">
        <v>2</v>
      </c>
      <c r="C197" s="177" t="n">
        <v>50</v>
      </c>
      <c r="D197" s="178" t="n">
        <v>45.3</v>
      </c>
      <c r="E197" s="178" t="n">
        <v>55.7</v>
      </c>
      <c r="F197" s="178" t="n">
        <v>105.8</v>
      </c>
      <c r="G197" s="178" t="n">
        <v>161.6</v>
      </c>
      <c r="H197" s="178" t="n">
        <v>5.9</v>
      </c>
      <c r="I197" s="178" t="n">
        <v>37.8</v>
      </c>
      <c r="J197" s="178" t="n">
        <v>87.3</v>
      </c>
      <c r="K197" s="179" t="inlineStr">
        <is>
          <t>6693 CHIFENG GOLD; 2546 ZHIHUI MINING</t>
        </is>
      </c>
    </row>
    <row r="198">
      <c r="A198" s="17" t="inlineStr">
        <is>
          <t>Golden Valley Global Limited</t>
        </is>
      </c>
      <c r="B198" s="171" t="n">
        <v>2</v>
      </c>
      <c r="C198" s="177" t="n">
        <v>50</v>
      </c>
      <c r="D198" s="178" t="n">
        <v>44.4</v>
      </c>
      <c r="E198" s="178" t="n">
        <v>-1.5</v>
      </c>
      <c r="F198" s="178" t="n">
        <v>-0.7</v>
      </c>
      <c r="G198" s="178" t="n">
        <v>-52.4</v>
      </c>
      <c r="H198" s="178" t="n">
        <v>-28.5</v>
      </c>
      <c r="I198" s="178" t="n">
        <v>-24.3</v>
      </c>
      <c r="J198" s="178" t="n">
        <v>-44.1</v>
      </c>
      <c r="K198" s="179" t="inlineStr">
        <is>
          <t>6622 ZHAOKE OPHTH-B; 9637 ALEBUND-B</t>
        </is>
      </c>
    </row>
    <row r="199">
      <c r="A199" s="17" t="inlineStr">
        <is>
          <t>CMBC INTERNATIONAL INVESTMENT (HK) LIMITED</t>
        </is>
      </c>
      <c r="B199" s="171" t="n">
        <v>2</v>
      </c>
      <c r="C199" s="177" t="n">
        <v>100</v>
      </c>
      <c r="D199" s="178" t="n">
        <v>43.2</v>
      </c>
      <c r="E199" s="178" t="n">
        <v>20.7</v>
      </c>
      <c r="F199" s="178" t="n">
        <v>-3.2</v>
      </c>
      <c r="G199" s="178" t="n">
        <v>-13.1</v>
      </c>
      <c r="H199" s="178" t="n">
        <v>-10.3</v>
      </c>
      <c r="I199" s="178" t="n">
        <v>-27.4</v>
      </c>
      <c r="J199" s="178" t="n">
        <v>-15.1</v>
      </c>
      <c r="K199" s="179" t="inlineStr">
        <is>
          <t>2692 ZHAOWEI; 1956 WENGE AI</t>
        </is>
      </c>
    </row>
    <row r="200">
      <c r="A200" s="17" t="inlineStr">
        <is>
          <t>Kunming Jiashiqing Investment Partnership (Limited Partnership)</t>
        </is>
      </c>
      <c r="B200" s="171" t="n">
        <v>2</v>
      </c>
      <c r="C200" s="177" t="n">
        <v>100</v>
      </c>
      <c r="D200" s="178" t="n">
        <v>35.8</v>
      </c>
      <c r="E200" s="178" t="n">
        <v>38.2</v>
      </c>
      <c r="F200" s="178" t="n">
        <v>28.7</v>
      </c>
      <c r="G200" s="178" t="n">
        <v>40.5</v>
      </c>
      <c r="H200" s="178" t="n">
        <v>1.7</v>
      </c>
      <c r="I200" s="178" t="n">
        <v>-5.3</v>
      </c>
      <c r="J200" s="178" t="n">
        <v>3.4</v>
      </c>
      <c r="K200" s="179" t="inlineStr">
        <is>
          <t>2257 SIRNAOMICS-B; 2373 BEAUTYFARM MED</t>
        </is>
      </c>
    </row>
    <row r="201">
      <c r="A201" s="17" t="inlineStr">
        <is>
          <t>Changsha Xunmang</t>
        </is>
      </c>
      <c r="B201" s="171" t="n">
        <v>2</v>
      </c>
      <c r="C201" s="177" t="n">
        <v>50</v>
      </c>
      <c r="D201" s="178" t="n">
        <v>34</v>
      </c>
      <c r="E201" s="178" t="n">
        <v>31.1</v>
      </c>
      <c r="F201" s="178" t="n">
        <v>24.5</v>
      </c>
      <c r="G201" s="178" t="n">
        <v>33.2</v>
      </c>
      <c r="H201" s="178" t="n">
        <v>-2.9</v>
      </c>
      <c r="I201" s="178" t="n">
        <v>-8.699999999999999</v>
      </c>
      <c r="J201" s="178" t="n">
        <v>-4</v>
      </c>
      <c r="K201" s="179" t="inlineStr">
        <is>
          <t>1768 BUSYMING; 1187 COFOE MEDICAL</t>
        </is>
      </c>
    </row>
    <row r="202">
      <c r="A202" s="17" t="inlineStr">
        <is>
          <t>Springs Capital (Hong Kong) Limited</t>
        </is>
      </c>
      <c r="B202" s="171" t="n">
        <v>2</v>
      </c>
      <c r="C202" s="177" t="n">
        <v>100</v>
      </c>
      <c r="D202" s="178" t="n">
        <v>32.1</v>
      </c>
      <c r="E202" s="178" t="n">
        <v>20.5</v>
      </c>
      <c r="F202" s="178" t="n">
        <v>3</v>
      </c>
      <c r="G202" s="178" t="n">
        <v>1.2</v>
      </c>
      <c r="H202" s="178" t="n">
        <v>-8.800000000000001</v>
      </c>
      <c r="I202" s="178" t="n">
        <v>-22.4</v>
      </c>
      <c r="J202" s="178" t="n">
        <v>-23.7</v>
      </c>
      <c r="K202" s="179" t="inlineStr">
        <is>
          <t>6938 RIBOLIFE-B; 6067 SENIOR MATERIAL</t>
        </is>
      </c>
    </row>
    <row r="203">
      <c r="A203" s="17" t="inlineStr">
        <is>
          <t>Nova Kerry Inc</t>
        </is>
      </c>
      <c r="B203" s="171" t="n">
        <v>2</v>
      </c>
      <c r="C203" s="177" t="n">
        <v>100</v>
      </c>
      <c r="D203" s="178" t="n">
        <v>27.7</v>
      </c>
      <c r="E203" s="178" t="n">
        <v>-7.8</v>
      </c>
      <c r="F203" s="178" t="n">
        <v>-33.7</v>
      </c>
      <c r="G203" s="178" t="n">
        <v>-31.3</v>
      </c>
      <c r="H203" s="178" t="n">
        <v>-27</v>
      </c>
      <c r="I203" s="178" t="n">
        <v>-47.9</v>
      </c>
      <c r="J203" s="178" t="n">
        <v>-34.1</v>
      </c>
      <c r="K203" s="179" t="inlineStr">
        <is>
          <t>6106 SEER TECH; 6715 XUNLONG SCITECH</t>
        </is>
      </c>
    </row>
    <row r="204">
      <c r="A204" s="17" t="inlineStr">
        <is>
          <t>New Alternative Limited</t>
        </is>
      </c>
      <c r="B204" s="171" t="n">
        <v>2</v>
      </c>
      <c r="C204" s="177" t="n">
        <v>50</v>
      </c>
      <c r="D204" s="178" t="n">
        <v>25</v>
      </c>
      <c r="E204" s="178" t="n">
        <v>15.4</v>
      </c>
      <c r="F204" s="178" t="n">
        <v>26.5</v>
      </c>
      <c r="G204" s="178" t="n">
        <v>-8.300000000000001</v>
      </c>
      <c r="H204" s="178" t="n">
        <v>-8.5</v>
      </c>
      <c r="I204" s="178" t="n">
        <v>-1</v>
      </c>
      <c r="J204" s="178" t="n">
        <v>-26.6</v>
      </c>
      <c r="K204" s="179" t="inlineStr">
        <is>
          <t>9927 SERES; 2476 VGT</t>
        </is>
      </c>
    </row>
    <row r="205">
      <c r="A205" s="17" t="inlineStr">
        <is>
          <t>Ovata Capital</t>
        </is>
      </c>
      <c r="B205" s="171" t="n">
        <v>2</v>
      </c>
      <c r="C205" s="177" t="n">
        <v>50</v>
      </c>
      <c r="D205" s="178" t="n">
        <v>25</v>
      </c>
      <c r="E205" s="178" t="n">
        <v>21.8</v>
      </c>
      <c r="F205" s="178" t="n">
        <v>28</v>
      </c>
      <c r="G205" s="178" t="n">
        <v>12.5</v>
      </c>
      <c r="H205" s="178" t="n">
        <v>-2.1</v>
      </c>
      <c r="I205" s="178" t="n">
        <v>0.4</v>
      </c>
      <c r="J205" s="178" t="n">
        <v>-5.7</v>
      </c>
      <c r="K205" s="179" t="inlineStr">
        <is>
          <t>0470 WUXI LEAD; 2476 VGT</t>
        </is>
      </c>
    </row>
    <row r="206">
      <c r="A206" s="17" t="inlineStr">
        <is>
          <t>Stoneylake Global Alpha Fund</t>
        </is>
      </c>
      <c r="B206" s="171" t="n">
        <v>2</v>
      </c>
      <c r="C206" s="177" t="n">
        <v>100</v>
      </c>
      <c r="D206" s="178" t="n">
        <v>24.9</v>
      </c>
      <c r="E206" s="178" t="n">
        <v>19.9</v>
      </c>
      <c r="F206" s="178" t="n">
        <v>5.2</v>
      </c>
      <c r="G206" s="178" t="n">
        <v>-9.5</v>
      </c>
      <c r="H206" s="178" t="n">
        <v>-4.1</v>
      </c>
      <c r="I206" s="178" t="n">
        <v>-15.9</v>
      </c>
      <c r="J206" s="178" t="n">
        <v>-27.5</v>
      </c>
      <c r="K206" s="179" t="inlineStr">
        <is>
          <t>6687 JST GROUP; 3636 JINXUN RESOURCE</t>
        </is>
      </c>
    </row>
    <row r="207">
      <c r="A207" s="17" t="inlineStr">
        <is>
          <t>Hongda Juankang Limited</t>
        </is>
      </c>
      <c r="B207" s="171" t="n">
        <v>2</v>
      </c>
      <c r="C207" s="177" t="n">
        <v>100</v>
      </c>
      <c r="D207" s="178" t="n">
        <v>23.3</v>
      </c>
      <c r="E207" s="178" t="n">
        <v>53</v>
      </c>
      <c r="F207" s="178" t="n">
        <v>25.7</v>
      </c>
      <c r="G207" s="178" t="n">
        <v>141.4</v>
      </c>
      <c r="H207" s="178" t="n">
        <v>21.6</v>
      </c>
      <c r="I207" s="178" t="n">
        <v>-1</v>
      </c>
      <c r="J207" s="178" t="n">
        <v>83.7</v>
      </c>
      <c r="K207" s="179" t="inlineStr">
        <is>
          <t>2587 HEALTHYWAY INC; 2525 HESAI-W</t>
        </is>
      </c>
    </row>
    <row r="208">
      <c r="A208" s="17" t="inlineStr">
        <is>
          <t>First Sentier Investors (Hong Kong) Limited</t>
        </is>
      </c>
      <c r="B208" s="171" t="n">
        <v>2</v>
      </c>
      <c r="C208" s="177" t="n">
        <v>50</v>
      </c>
      <c r="D208" s="178" t="n">
        <v>22.8</v>
      </c>
      <c r="E208" s="178" t="n">
        <v>16.4</v>
      </c>
      <c r="F208" s="178" t="n">
        <v>2.5</v>
      </c>
      <c r="G208" s="178" t="n"/>
      <c r="H208" s="178" t="n">
        <v>-5</v>
      </c>
      <c r="I208" s="178" t="n">
        <v>-13.5</v>
      </c>
      <c r="J208" s="178" t="n"/>
      <c r="K208" s="179" t="inlineStr">
        <is>
          <t>3661 SG MICRO; 2475 LUXSHARE ICT</t>
        </is>
      </c>
    </row>
    <row r="209">
      <c r="A209" s="17" t="inlineStr">
        <is>
          <t>Deliante Holdings Co., Ltd</t>
        </is>
      </c>
      <c r="B209" s="171" t="n">
        <v>2</v>
      </c>
      <c r="C209" s="177" t="n">
        <v>50</v>
      </c>
      <c r="D209" s="178" t="n">
        <v>22.7</v>
      </c>
      <c r="E209" s="178" t="n">
        <v>18.9</v>
      </c>
      <c r="F209" s="178" t="n">
        <v>13.9</v>
      </c>
      <c r="G209" s="178" t="n">
        <v>9.6</v>
      </c>
      <c r="H209" s="178" t="n">
        <v>-2.6</v>
      </c>
      <c r="I209" s="178" t="n">
        <v>-12.1</v>
      </c>
      <c r="J209" s="178" t="n">
        <v>-27</v>
      </c>
      <c r="K209" s="179" t="inlineStr">
        <is>
          <t>2476 VGT; 1688 LINGYI ITECH</t>
        </is>
      </c>
    </row>
    <row r="210">
      <c r="A210" s="17" t="inlineStr">
        <is>
          <t>Cithara Fund</t>
        </is>
      </c>
      <c r="B210" s="171" t="n">
        <v>2</v>
      </c>
      <c r="C210" s="177" t="n">
        <v>50</v>
      </c>
      <c r="D210" s="178" t="n">
        <v>21.9</v>
      </c>
      <c r="E210" s="178" t="n">
        <v>15.9</v>
      </c>
      <c r="F210" s="178" t="n">
        <v>21.8</v>
      </c>
      <c r="G210" s="178" t="n">
        <v>7.7</v>
      </c>
      <c r="H210" s="178" t="n">
        <v>-6.3</v>
      </c>
      <c r="I210" s="178" t="n">
        <v>1.1</v>
      </c>
      <c r="J210" s="178" t="n">
        <v>-14.4</v>
      </c>
      <c r="K210" s="179" t="inlineStr">
        <is>
          <t>6090 BUTONG GROUP; 3887 HASHKEY HLDGS</t>
        </is>
      </c>
    </row>
    <row r="211">
      <c r="A211" s="17" t="inlineStr">
        <is>
          <t>Infore Holding</t>
        </is>
      </c>
      <c r="B211" s="171" t="n">
        <v>2</v>
      </c>
      <c r="C211" s="177" t="n">
        <v>100</v>
      </c>
      <c r="D211" s="178" t="n">
        <v>21.4</v>
      </c>
      <c r="E211" s="178" t="n">
        <v>9.800000000000001</v>
      </c>
      <c r="F211" s="178" t="n">
        <v>4.9</v>
      </c>
      <c r="G211" s="178" t="n">
        <v>20.1</v>
      </c>
      <c r="H211" s="178" t="n">
        <v>-7.8</v>
      </c>
      <c r="I211" s="178" t="n">
        <v>-12.1</v>
      </c>
      <c r="J211" s="178" t="n">
        <v>1.1</v>
      </c>
      <c r="K211" s="179" t="inlineStr">
        <is>
          <t>2589 AUNTEA JENNY; 6031 SANY HEAVY IND</t>
        </is>
      </c>
    </row>
    <row r="212">
      <c r="A212" s="17" t="inlineStr">
        <is>
          <t>HCEP Master Fund</t>
        </is>
      </c>
      <c r="B212" s="171" t="n">
        <v>2</v>
      </c>
      <c r="C212" s="177" t="n">
        <v>100</v>
      </c>
      <c r="D212" s="178" t="n">
        <v>20.9</v>
      </c>
      <c r="E212" s="178" t="n">
        <v>21.3</v>
      </c>
      <c r="F212" s="178" t="n">
        <v>25.7</v>
      </c>
      <c r="G212" s="178" t="n">
        <v>29</v>
      </c>
      <c r="H212" s="178" t="n">
        <v>2.2</v>
      </c>
      <c r="I212" s="178" t="n">
        <v>6.2</v>
      </c>
      <c r="J212" s="178" t="n">
        <v>8.9</v>
      </c>
      <c r="K212" s="179" t="inlineStr">
        <is>
          <t>0300 MIDEA GROUP; 6166 CIG</t>
        </is>
      </c>
    </row>
    <row r="213">
      <c r="A213" s="17" t="inlineStr">
        <is>
          <t>Star Flourish Ventures Limited</t>
        </is>
      </c>
      <c r="B213" s="171" t="n">
        <v>2</v>
      </c>
      <c r="C213" s="177" t="n">
        <v>100</v>
      </c>
      <c r="D213" s="178" t="n">
        <v>20.9</v>
      </c>
      <c r="E213" s="178" t="n">
        <v>50.1</v>
      </c>
      <c r="F213" s="178" t="n">
        <v>38.6</v>
      </c>
      <c r="G213" s="178" t="n">
        <v>182</v>
      </c>
      <c r="H213" s="178" t="n">
        <v>21</v>
      </c>
      <c r="I213" s="178" t="n">
        <v>13</v>
      </c>
      <c r="J213" s="178" t="n">
        <v>124</v>
      </c>
      <c r="K213" s="179" t="inlineStr">
        <is>
          <t>2587 HEALTHYWAY INC; 2506 XUNFEIHEALTH</t>
        </is>
      </c>
    </row>
    <row r="214">
      <c r="A214" s="17" t="inlineStr">
        <is>
          <t>Shanghai Gaoyi Asset Management (via HTCI swaps)</t>
        </is>
      </c>
      <c r="B214" s="171" t="n">
        <v>2</v>
      </c>
      <c r="C214" s="177" t="n">
        <v>100</v>
      </c>
      <c r="D214" s="178" t="n">
        <v>20.6</v>
      </c>
      <c r="E214" s="178" t="n">
        <v>25.2</v>
      </c>
      <c r="F214" s="178" t="n">
        <v>9.300000000000001</v>
      </c>
      <c r="G214" s="178" t="n">
        <v>17</v>
      </c>
      <c r="H214" s="178" t="n">
        <v>3</v>
      </c>
      <c r="I214" s="178" t="n">
        <v>-6.3</v>
      </c>
      <c r="J214" s="178" t="n">
        <v>-3</v>
      </c>
      <c r="K214" s="179" t="inlineStr">
        <is>
          <t>2714 MUYUAN; 1779 LONGBIO-B</t>
        </is>
      </c>
    </row>
    <row r="215">
      <c r="A215" s="17" t="inlineStr">
        <is>
          <t>Fourier Capital</t>
        </is>
      </c>
      <c r="B215" s="171" t="n">
        <v>2</v>
      </c>
      <c r="C215" s="177" t="n">
        <v>100</v>
      </c>
      <c r="D215" s="178" t="n">
        <v>19.9</v>
      </c>
      <c r="E215" s="178" t="n">
        <v>17.2</v>
      </c>
      <c r="F215" s="178" t="n">
        <v>7.9</v>
      </c>
      <c r="G215" s="178" t="n">
        <v>29.4</v>
      </c>
      <c r="H215" s="178" t="n">
        <v>-2</v>
      </c>
      <c r="I215" s="178" t="n">
        <v>-9.300000000000001</v>
      </c>
      <c r="J215" s="178" t="n">
        <v>9</v>
      </c>
      <c r="K215" s="179" t="inlineStr">
        <is>
          <t>1304 FORTIOR; 6687 JST GROUP</t>
        </is>
      </c>
    </row>
    <row r="216">
      <c r="A216" s="17" t="inlineStr">
        <is>
          <t>Baidu (Hong Kong) Limited</t>
        </is>
      </c>
      <c r="B216" s="171" t="n">
        <v>2</v>
      </c>
      <c r="C216" s="177" t="n">
        <v>100</v>
      </c>
      <c r="D216" s="178" t="n">
        <v>19.7</v>
      </c>
      <c r="E216" s="178" t="n">
        <v>58.8</v>
      </c>
      <c r="F216" s="178" t="n">
        <v>33.5</v>
      </c>
      <c r="G216" s="178" t="n">
        <v>156.6</v>
      </c>
      <c r="H216" s="178" t="n">
        <v>30.6</v>
      </c>
      <c r="I216" s="178" t="n">
        <v>9.199999999999999</v>
      </c>
      <c r="J216" s="178" t="n">
        <v>101</v>
      </c>
      <c r="K216" s="179" t="inlineStr">
        <is>
          <t>9660 HORIZONROBOT-W; 2587 HEALTHYWAY INC</t>
        </is>
      </c>
    </row>
    <row r="217">
      <c r="A217" s="17" t="inlineStr">
        <is>
          <t>EDB Investments Pte Ltd</t>
        </is>
      </c>
      <c r="B217" s="171" t="n">
        <v>2</v>
      </c>
      <c r="C217" s="177" t="n">
        <v>100</v>
      </c>
      <c r="D217" s="178" t="n">
        <v>19.3</v>
      </c>
      <c r="E217" s="178" t="n">
        <v>25.4</v>
      </c>
      <c r="F217" s="178" t="n">
        <v>34.8</v>
      </c>
      <c r="G217" s="178" t="n">
        <v>35.1</v>
      </c>
      <c r="H217" s="178" t="n">
        <v>5.7</v>
      </c>
      <c r="I217" s="178" t="n">
        <v>13</v>
      </c>
      <c r="J217" s="178" t="n">
        <v>10.4</v>
      </c>
      <c r="K217" s="179" t="inlineStr">
        <is>
          <t>9959 LINKLOGIS–W; 2629 MIRXES-B</t>
        </is>
      </c>
    </row>
    <row r="218">
      <c r="A218" s="17" t="inlineStr">
        <is>
          <t>Greater Bay Area Homeland Investments Limited</t>
        </is>
      </c>
      <c r="B218" s="171" t="n">
        <v>2</v>
      </c>
      <c r="C218" s="177" t="n">
        <v>100</v>
      </c>
      <c r="D218" s="178" t="n">
        <v>19.1</v>
      </c>
      <c r="E218" s="178" t="n">
        <v>16.9</v>
      </c>
      <c r="F218" s="178" t="n">
        <v>59</v>
      </c>
      <c r="G218" s="178" t="n">
        <v>163.6</v>
      </c>
      <c r="H218" s="178" t="n">
        <v>-2.4</v>
      </c>
      <c r="I218" s="178" t="n">
        <v>30.1</v>
      </c>
      <c r="J218" s="178" t="n">
        <v>97.40000000000001</v>
      </c>
      <c r="K218" s="179" t="inlineStr">
        <is>
          <t>1989 DELTON; 6951 CCTC</t>
        </is>
      </c>
    </row>
    <row r="219">
      <c r="A219" s="17" t="inlineStr">
        <is>
          <t>Al-Rayyan Holding LLC</t>
        </is>
      </c>
      <c r="B219" s="171" t="n">
        <v>2</v>
      </c>
      <c r="C219" s="177" t="n">
        <v>100</v>
      </c>
      <c r="D219" s="178" t="n">
        <v>18.7</v>
      </c>
      <c r="E219" s="178" t="n">
        <v>20.8</v>
      </c>
      <c r="F219" s="178" t="n">
        <v>18.7</v>
      </c>
      <c r="G219" s="178" t="n">
        <v>-11.2</v>
      </c>
      <c r="H219" s="178" t="n">
        <v>1.4</v>
      </c>
      <c r="I219" s="178" t="n">
        <v>-2</v>
      </c>
      <c r="J219" s="178" t="n">
        <v>-23.8</v>
      </c>
      <c r="K219" s="179" t="inlineStr">
        <is>
          <t>2268 WUXI XDC; 9980 EASTROC</t>
        </is>
      </c>
    </row>
    <row r="220">
      <c r="A220" s="17" t="inlineStr">
        <is>
          <t>HSG Growth VII Holdco, Ltd</t>
        </is>
      </c>
      <c r="B220" s="171" t="n">
        <v>2</v>
      </c>
      <c r="C220" s="177" t="n">
        <v>100</v>
      </c>
      <c r="D220" s="178" t="n">
        <v>18.7</v>
      </c>
      <c r="E220" s="178" t="n">
        <v>20.8</v>
      </c>
      <c r="F220" s="178" t="n">
        <v>18.7</v>
      </c>
      <c r="G220" s="178" t="n">
        <v>-11.2</v>
      </c>
      <c r="H220" s="178" t="n">
        <v>1.4</v>
      </c>
      <c r="I220" s="178" t="n">
        <v>-2</v>
      </c>
      <c r="J220" s="178" t="n">
        <v>-23.8</v>
      </c>
      <c r="K220" s="179" t="inlineStr">
        <is>
          <t>2268 WUXI XDC; 9980 EASTROC</t>
        </is>
      </c>
    </row>
    <row r="221">
      <c r="A221" s="17" t="inlineStr">
        <is>
          <t>Wisdomshire AM</t>
        </is>
      </c>
      <c r="B221" s="171" t="n">
        <v>2</v>
      </c>
      <c r="C221" s="177" t="n">
        <v>50</v>
      </c>
      <c r="D221" s="178" t="n">
        <v>18.6</v>
      </c>
      <c r="E221" s="178" t="n">
        <v>22.4</v>
      </c>
      <c r="F221" s="178" t="n">
        <v>-1.2</v>
      </c>
      <c r="G221" s="178" t="n">
        <v>22.1</v>
      </c>
      <c r="H221" s="178" t="n">
        <v>2.1</v>
      </c>
      <c r="I221" s="178" t="n">
        <v>-14.6</v>
      </c>
      <c r="J221" s="178" t="n">
        <v>4</v>
      </c>
      <c r="K221" s="179" t="inlineStr">
        <is>
          <t>6936 SF HOLDING; 1779 LONGBIO-B</t>
        </is>
      </c>
    </row>
    <row r="222">
      <c r="A222" s="17" t="inlineStr">
        <is>
          <t>Long-Z Fund I, LP</t>
        </is>
      </c>
      <c r="B222" s="171" t="n">
        <v>2</v>
      </c>
      <c r="C222" s="177" t="n">
        <v>50</v>
      </c>
      <c r="D222" s="178" t="n">
        <v>18.4</v>
      </c>
      <c r="E222" s="178" t="n">
        <v>46.1</v>
      </c>
      <c r="F222" s="178" t="n">
        <v>76.2</v>
      </c>
      <c r="G222" s="178" t="n">
        <v>168.8</v>
      </c>
      <c r="H222" s="178" t="n">
        <v>20.1</v>
      </c>
      <c r="I222" s="178" t="n">
        <v>49.9</v>
      </c>
      <c r="J222" s="178" t="n">
        <v>135.3</v>
      </c>
      <c r="K222" s="179" t="inlineStr">
        <is>
          <t>1364 GUMING; 2097 MIXUE GROUP</t>
        </is>
      </c>
    </row>
    <row r="223">
      <c r="A223" s="17" t="inlineStr">
        <is>
          <t>XING FA (HONG KONG) IMP.&amp;EXP. LIMITED</t>
        </is>
      </c>
      <c r="B223" s="171" t="n">
        <v>2</v>
      </c>
      <c r="C223" s="177" t="n">
        <v>50</v>
      </c>
      <c r="D223" s="178" t="n">
        <v>18.3</v>
      </c>
      <c r="E223" s="178" t="n">
        <v>47.7</v>
      </c>
      <c r="F223" s="178" t="n">
        <v>17</v>
      </c>
      <c r="G223" s="178" t="n">
        <v>128.7</v>
      </c>
      <c r="H223" s="178" t="n">
        <v>21.1</v>
      </c>
      <c r="I223" s="178" t="n">
        <v>-6</v>
      </c>
      <c r="J223" s="178" t="n">
        <v>74.59999999999999</v>
      </c>
      <c r="K223" s="179" t="inlineStr">
        <is>
          <t>3931 CALB; 2587 HEALTHYWAY INC</t>
        </is>
      </c>
    </row>
    <row r="224">
      <c r="A224" s="17" t="inlineStr">
        <is>
          <t>FR M CONSULTING CO., LTD</t>
        </is>
      </c>
      <c r="B224" s="171" t="n">
        <v>2</v>
      </c>
      <c r="C224" s="177" t="n">
        <v>50</v>
      </c>
      <c r="D224" s="178" t="n">
        <v>18.1</v>
      </c>
      <c r="E224" s="178" t="n">
        <v>21.6</v>
      </c>
      <c r="F224" s="178" t="n">
        <v>-8.6</v>
      </c>
      <c r="G224" s="178" t="n">
        <v>7.8</v>
      </c>
      <c r="H224" s="178" t="n">
        <v>1.8</v>
      </c>
      <c r="I224" s="178" t="n">
        <v>-21.5</v>
      </c>
      <c r="J224" s="178" t="n">
        <v>-9.800000000000001</v>
      </c>
      <c r="K224" s="179" t="inlineStr">
        <is>
          <t>1187 COFOE MEDICAL; 1779 LONGBIO-B</t>
        </is>
      </c>
    </row>
    <row r="225">
      <c r="A225" s="17" t="inlineStr">
        <is>
          <t>Fund SPC</t>
        </is>
      </c>
      <c r="B225" s="171" t="n">
        <v>2</v>
      </c>
      <c r="C225" s="177" t="n">
        <v>100</v>
      </c>
      <c r="D225" s="178" t="n">
        <v>17.5</v>
      </c>
      <c r="E225" s="178" t="n">
        <v>9.800000000000001</v>
      </c>
      <c r="F225" s="178" t="n">
        <v>20.2</v>
      </c>
      <c r="G225" s="178" t="n">
        <v>39.4</v>
      </c>
      <c r="H225" s="178" t="n">
        <v>-7</v>
      </c>
      <c r="I225" s="178" t="n">
        <v>1.2</v>
      </c>
      <c r="J225" s="178" t="n">
        <v>15.8</v>
      </c>
      <c r="K225" s="179" t="inlineStr">
        <is>
          <t>2613 CONTIOCEAN; 2629 MIRXES-B</t>
        </is>
      </c>
    </row>
    <row r="226">
      <c r="A226" s="17" t="inlineStr">
        <is>
          <t>Trading Pacific Pte. Ltd</t>
        </is>
      </c>
      <c r="B226" s="171" t="n">
        <v>2</v>
      </c>
      <c r="C226" s="177" t="n">
        <v>100</v>
      </c>
      <c r="D226" s="178" t="n">
        <v>17.5</v>
      </c>
      <c r="E226" s="178" t="n">
        <v>31.8</v>
      </c>
      <c r="F226" s="178" t="n">
        <v>20.5</v>
      </c>
      <c r="G226" s="178" t="n">
        <v>30.4</v>
      </c>
      <c r="H226" s="178" t="n">
        <v>11.3</v>
      </c>
      <c r="I226" s="178" t="n">
        <v>0.7</v>
      </c>
      <c r="J226" s="178" t="n">
        <v>8.699999999999999</v>
      </c>
      <c r="K226" s="179" t="inlineStr">
        <is>
          <t>6168 ZHOU LIU FU; 2525 HESAI-W</t>
        </is>
      </c>
    </row>
    <row r="227">
      <c r="A227" s="17" t="inlineStr">
        <is>
          <t>Schonfeld</t>
        </is>
      </c>
      <c r="B227" s="171" t="n">
        <v>2</v>
      </c>
      <c r="C227" s="177" t="n">
        <v>50</v>
      </c>
      <c r="D227" s="178" t="n">
        <v>16.9</v>
      </c>
      <c r="E227" s="178" t="n">
        <v>6.1</v>
      </c>
      <c r="F227" s="178" t="n">
        <v>5.7</v>
      </c>
      <c r="G227" s="178" t="n">
        <v>5.3</v>
      </c>
      <c r="H227" s="178" t="n">
        <v>-8.199999999999999</v>
      </c>
      <c r="I227" s="178" t="n">
        <v>-8.800000000000001</v>
      </c>
      <c r="J227" s="178" t="n">
        <v>-9.800000000000001</v>
      </c>
      <c r="K227" s="179" t="inlineStr">
        <is>
          <t>6166 CIG; 7618 JD INDUSTRIALS</t>
        </is>
      </c>
    </row>
    <row r="228">
      <c r="A228" s="17" t="inlineStr">
        <is>
          <t>Baheal Wellness Limited</t>
        </is>
      </c>
      <c r="B228" s="171" t="n">
        <v>2</v>
      </c>
      <c r="C228" s="177" t="n">
        <v>50</v>
      </c>
      <c r="D228" s="178" t="n">
        <v>15</v>
      </c>
      <c r="E228" s="178" t="n">
        <v>43.5</v>
      </c>
      <c r="F228" s="178" t="n">
        <v>36.6</v>
      </c>
      <c r="G228" s="178" t="n">
        <v>-20.5</v>
      </c>
      <c r="H228" s="178" t="n">
        <v>23.3</v>
      </c>
      <c r="I228" s="178" t="n">
        <v>16.4</v>
      </c>
      <c r="J228" s="178" t="n">
        <v>-31.7</v>
      </c>
      <c r="K228" s="179" t="inlineStr">
        <is>
          <t>2361 SINOHEALTH HLDG; 2563 BIOSTAR PHARM-B</t>
        </is>
      </c>
    </row>
    <row r="229">
      <c r="A229" s="17" t="inlineStr">
        <is>
          <t>Bridge Zone Group Limited</t>
        </is>
      </c>
      <c r="B229" s="171" t="n">
        <v>2</v>
      </c>
      <c r="C229" s="177" t="n">
        <v>100</v>
      </c>
      <c r="D229" s="178" t="n">
        <v>14.2</v>
      </c>
      <c r="E229" s="178" t="n">
        <v>21.3</v>
      </c>
      <c r="F229" s="178" t="n">
        <v>9</v>
      </c>
      <c r="G229" s="178" t="n">
        <v>-12.9</v>
      </c>
      <c r="H229" s="178" t="n">
        <v>6.5</v>
      </c>
      <c r="I229" s="178" t="n">
        <v>-5</v>
      </c>
      <c r="J229" s="178" t="n">
        <v>-22.9</v>
      </c>
      <c r="K229" s="179" t="inlineStr">
        <is>
          <t>3636 JINXUN RESOURCE; 2692 ZHAOWEI</t>
        </is>
      </c>
    </row>
    <row r="230">
      <c r="A230" s="17" t="inlineStr">
        <is>
          <t>Taibai Investments Pte. Ltd</t>
        </is>
      </c>
      <c r="B230" s="171" t="n">
        <v>2</v>
      </c>
      <c r="C230" s="177" t="n">
        <v>100</v>
      </c>
      <c r="D230" s="178" t="n">
        <v>13.1</v>
      </c>
      <c r="E230" s="178" t="n">
        <v>34.6</v>
      </c>
      <c r="F230" s="178" t="n">
        <v>79.2</v>
      </c>
      <c r="G230" s="178" t="n">
        <v>62.8</v>
      </c>
      <c r="H230" s="178" t="n">
        <v>17.2</v>
      </c>
      <c r="I230" s="178" t="n">
        <v>51.6</v>
      </c>
      <c r="J230" s="178" t="n">
        <v>38.6</v>
      </c>
      <c r="K230" s="179" t="inlineStr">
        <is>
          <t>3696 INSILICO; 9980 EASTROC</t>
        </is>
      </c>
    </row>
    <row r="231">
      <c r="A231" s="17" t="inlineStr">
        <is>
          <t>Pamalican Fund Ltd</t>
        </is>
      </c>
      <c r="B231" s="171" t="n">
        <v>2</v>
      </c>
      <c r="C231" s="177" t="n">
        <v>100</v>
      </c>
      <c r="D231" s="178" t="n">
        <v>11.4</v>
      </c>
      <c r="E231" s="178" t="n">
        <v>17.8</v>
      </c>
      <c r="F231" s="178" t="n">
        <v>10.8</v>
      </c>
      <c r="G231" s="178" t="n">
        <v>10.4</v>
      </c>
      <c r="H231" s="178" t="n">
        <v>6.2</v>
      </c>
      <c r="I231" s="178" t="n">
        <v>0.3</v>
      </c>
      <c r="J231" s="178" t="n">
        <v>0</v>
      </c>
      <c r="K231" s="179" t="inlineStr">
        <is>
          <t>0300 MIDEA GROUP; 2460 CR BEVERAGE</t>
        </is>
      </c>
    </row>
    <row r="232">
      <c r="A232" s="17" t="inlineStr">
        <is>
          <t>Future Industry Investment Fund II</t>
        </is>
      </c>
      <c r="B232" s="171" t="n">
        <v>2</v>
      </c>
      <c r="C232" s="177" t="n">
        <v>100</v>
      </c>
      <c r="D232" s="178" t="n">
        <v>11</v>
      </c>
      <c r="E232" s="178" t="n">
        <v>11.5</v>
      </c>
      <c r="F232" s="178" t="n">
        <v>8.4</v>
      </c>
      <c r="G232" s="178" t="n">
        <v>15.7</v>
      </c>
      <c r="H232" s="178" t="n">
        <v>0.4</v>
      </c>
      <c r="I232" s="178" t="n">
        <v>-2.2</v>
      </c>
      <c r="J232" s="178" t="n">
        <v>5.6</v>
      </c>
      <c r="K232" s="179" t="inlineStr">
        <is>
          <t>2105 LAEKNA-B; 1828 FWD</t>
        </is>
      </c>
    </row>
    <row r="233">
      <c r="A233" s="17" t="inlineStr">
        <is>
          <t>Polymer Asia Fund LP</t>
        </is>
      </c>
      <c r="B233" s="171" t="n">
        <v>2</v>
      </c>
      <c r="C233" s="177" t="n">
        <v>50</v>
      </c>
      <c r="D233" s="178" t="n">
        <v>9.9</v>
      </c>
      <c r="E233" s="178" t="n">
        <v>3</v>
      </c>
      <c r="F233" s="178" t="n">
        <v>19.4</v>
      </c>
      <c r="G233" s="178" t="n">
        <v>25.4</v>
      </c>
      <c r="H233" s="178" t="n">
        <v>-6</v>
      </c>
      <c r="I233" s="178" t="n">
        <v>8</v>
      </c>
      <c r="J233" s="178" t="n">
        <v>3.4</v>
      </c>
      <c r="K233" s="179" t="inlineStr">
        <is>
          <t>3388 CREALITY; 2475 LUXSHARE ICT</t>
        </is>
      </c>
    </row>
    <row r="234">
      <c r="A234" s="17" t="inlineStr">
        <is>
          <t>Yishao Capital Management (HK) Limited</t>
        </is>
      </c>
      <c r="B234" s="171" t="n">
        <v>2</v>
      </c>
      <c r="C234" s="177" t="n">
        <v>100</v>
      </c>
      <c r="D234" s="178" t="n">
        <v>9.800000000000001</v>
      </c>
      <c r="E234" s="178" t="n">
        <v>4.5</v>
      </c>
      <c r="F234" s="178" t="n">
        <v>22.1</v>
      </c>
      <c r="G234" s="178" t="n">
        <v>-31.3</v>
      </c>
      <c r="H234" s="178" t="n">
        <v>-5.6</v>
      </c>
      <c r="I234" s="178" t="n">
        <v>8.5</v>
      </c>
      <c r="J234" s="178" t="n">
        <v>-34.1</v>
      </c>
      <c r="K234" s="179" t="inlineStr">
        <is>
          <t>6106 SEER TECH; 3752 ROKAE ROBOTICS</t>
        </is>
      </c>
    </row>
    <row r="235">
      <c r="A235" s="17" t="inlineStr">
        <is>
          <t>Shanghai Greenwoods (via Huatai OTC swaps)</t>
        </is>
      </c>
      <c r="B235" s="171" t="n">
        <v>2</v>
      </c>
      <c r="C235" s="177" t="n">
        <v>100</v>
      </c>
      <c r="D235" s="178" t="n">
        <v>9.300000000000001</v>
      </c>
      <c r="E235" s="178" t="n">
        <v>2.2</v>
      </c>
      <c r="F235" s="178" t="n">
        <v>5.8</v>
      </c>
      <c r="G235" s="178" t="n">
        <v>-28.1</v>
      </c>
      <c r="H235" s="178" t="n">
        <v>-6.2</v>
      </c>
      <c r="I235" s="178" t="n">
        <v>-3.1</v>
      </c>
      <c r="J235" s="178" t="n">
        <v>-30.1</v>
      </c>
      <c r="K235" s="179" t="inlineStr">
        <is>
          <t>9981 WOER; 0668 ANKER</t>
        </is>
      </c>
    </row>
    <row r="236">
      <c r="A236" s="17" t="inlineStr">
        <is>
          <t>Wealth Strategy Holding Limited</t>
        </is>
      </c>
      <c r="B236" s="171" t="n">
        <v>2</v>
      </c>
      <c r="C236" s="177" t="n">
        <v>50</v>
      </c>
      <c r="D236" s="178" t="n">
        <v>8.699999999999999</v>
      </c>
      <c r="E236" s="178" t="n">
        <v>6.3</v>
      </c>
      <c r="F236" s="178" t="n">
        <v>49.8</v>
      </c>
      <c r="G236" s="178" t="n">
        <v>-2.9</v>
      </c>
      <c r="H236" s="178" t="n">
        <v>-11.2</v>
      </c>
      <c r="I236" s="178" t="n">
        <v>38.7</v>
      </c>
      <c r="J236" s="178" t="n">
        <v>-25.3</v>
      </c>
      <c r="K236" s="179" t="inlineStr">
        <is>
          <t>2563 BIOSTAR PHARM-B; 6915 JIANGXI BIO</t>
        </is>
      </c>
    </row>
    <row r="237">
      <c r="A237" s="17" t="inlineStr">
        <is>
          <t>SilkyWater Absolute Return LPF</t>
        </is>
      </c>
      <c r="B237" s="171" t="n">
        <v>2</v>
      </c>
      <c r="C237" s="177" t="n">
        <v>50</v>
      </c>
      <c r="D237" s="178" t="n">
        <v>8.6</v>
      </c>
      <c r="E237" s="178" t="n">
        <v>44.3</v>
      </c>
      <c r="F237" s="178" t="n">
        <v>67</v>
      </c>
      <c r="G237" s="178" t="n">
        <v>84.3</v>
      </c>
      <c r="H237" s="178" t="n">
        <v>32.5</v>
      </c>
      <c r="I237" s="178" t="n">
        <v>58.6</v>
      </c>
      <c r="J237" s="178" t="n">
        <v>93.09999999999999</v>
      </c>
      <c r="K237" s="179" t="inlineStr">
        <is>
          <t>1274 IMOTIONAUTOTECH; 2563 BIOSTAR PHARM-B</t>
        </is>
      </c>
    </row>
    <row r="238">
      <c r="A238" s="17" t="inlineStr">
        <is>
          <t>HACF, L.P</t>
        </is>
      </c>
      <c r="B238" s="171" t="n">
        <v>2</v>
      </c>
      <c r="C238" s="177" t="n">
        <v>100</v>
      </c>
      <c r="D238" s="178" t="n">
        <v>7.9</v>
      </c>
      <c r="E238" s="178" t="n">
        <v>20.8</v>
      </c>
      <c r="F238" s="178" t="n">
        <v>69.90000000000001</v>
      </c>
      <c r="G238" s="178" t="n">
        <v>33.4</v>
      </c>
      <c r="H238" s="178" t="n">
        <v>13.8</v>
      </c>
      <c r="I238" s="178" t="n">
        <v>62.3</v>
      </c>
      <c r="J238" s="178" t="n">
        <v>33.3</v>
      </c>
      <c r="K238" s="179" t="inlineStr">
        <is>
          <t>6600 ONEROBOTICS; 0668 ANKER</t>
        </is>
      </c>
    </row>
    <row r="239">
      <c r="A239" s="17" t="inlineStr">
        <is>
          <t>OmniVision HK</t>
        </is>
      </c>
      <c r="B239" s="171" t="n">
        <v>2</v>
      </c>
      <c r="C239" s="177" t="n">
        <v>50</v>
      </c>
      <c r="D239" s="178" t="n">
        <v>7.4</v>
      </c>
      <c r="E239" s="178" t="n">
        <v>18.9</v>
      </c>
      <c r="F239" s="178" t="n">
        <v>5.4</v>
      </c>
      <c r="G239" s="178" t="n">
        <v>20.7</v>
      </c>
      <c r="H239" s="178" t="n">
        <v>11.3</v>
      </c>
      <c r="I239" s="178" t="n">
        <v>-2.5</v>
      </c>
      <c r="J239" s="178" t="n">
        <v>9.800000000000001</v>
      </c>
      <c r="K239" s="179" t="inlineStr">
        <is>
          <t>3200 HANS CNC; 0600 AXERA</t>
        </is>
      </c>
    </row>
    <row r="240">
      <c r="A240" s="17" t="inlineStr">
        <is>
          <t>China Hongqiao Group Limited</t>
        </is>
      </c>
      <c r="B240" s="171" t="n">
        <v>2</v>
      </c>
      <c r="C240" s="177" t="n">
        <v>50</v>
      </c>
      <c r="D240" s="178" t="n">
        <v>7</v>
      </c>
      <c r="E240" s="178" t="n">
        <v>23.1</v>
      </c>
      <c r="F240" s="178" t="n">
        <v>37.6</v>
      </c>
      <c r="G240" s="178" t="n">
        <v>115.7</v>
      </c>
      <c r="H240" s="178" t="n">
        <v>13.4</v>
      </c>
      <c r="I240" s="178" t="n">
        <v>26.7</v>
      </c>
      <c r="J240" s="178" t="n">
        <v>62.4</v>
      </c>
      <c r="K240" s="179" t="inlineStr">
        <is>
          <t>2788 CHUANGXIN IND; 6745 BEFAR GROUP</t>
        </is>
      </c>
    </row>
    <row r="241">
      <c r="A241" s="17" t="inlineStr">
        <is>
          <t>York Asian Opportunities Investments Master Fund, LP</t>
        </is>
      </c>
      <c r="B241" s="171" t="n">
        <v>2</v>
      </c>
      <c r="C241" s="177" t="n">
        <v>100</v>
      </c>
      <c r="D241" s="178" t="n">
        <v>6.8</v>
      </c>
      <c r="E241" s="178" t="n">
        <v>11.4</v>
      </c>
      <c r="F241" s="178" t="n">
        <v>-1.5</v>
      </c>
      <c r="G241" s="178" t="n">
        <v>59.2</v>
      </c>
      <c r="H241" s="178" t="n">
        <v>4.3</v>
      </c>
      <c r="I241" s="178" t="n">
        <v>-8</v>
      </c>
      <c r="J241" s="178" t="n">
        <v>47.8</v>
      </c>
      <c r="K241" s="179" t="inlineStr">
        <is>
          <t>2279 YONGHE MEDICAL; 9903 ILUVATAR COREX</t>
        </is>
      </c>
    </row>
    <row r="242">
      <c r="A242" s="17" t="inlineStr">
        <is>
          <t>Tulip Fund, L.P</t>
        </is>
      </c>
      <c r="B242" s="171" t="n">
        <v>2</v>
      </c>
      <c r="C242" s="177" t="n">
        <v>100</v>
      </c>
      <c r="D242" s="178" t="n">
        <v>6.6</v>
      </c>
      <c r="E242" s="178" t="n">
        <v>5.2</v>
      </c>
      <c r="F242" s="178" t="n">
        <v>5</v>
      </c>
      <c r="G242" s="178" t="n">
        <v>-9.199999999999999</v>
      </c>
      <c r="H242" s="178" t="n">
        <v>-1.2</v>
      </c>
      <c r="I242" s="178" t="n">
        <v>-1.3</v>
      </c>
      <c r="J242" s="178" t="n">
        <v>-14.5</v>
      </c>
      <c r="K242" s="179" t="inlineStr">
        <is>
          <t>9973 CHERY AUTO; 2657 FOREST CABIN</t>
        </is>
      </c>
    </row>
    <row r="243">
      <c r="A243" s="17" t="inlineStr">
        <is>
          <t>Enreal and Forreal Funds</t>
        </is>
      </c>
      <c r="B243" s="171" t="n">
        <v>2</v>
      </c>
      <c r="C243" s="177" t="n">
        <v>100</v>
      </c>
      <c r="D243" s="178" t="n">
        <v>6.5</v>
      </c>
      <c r="E243" s="178" t="n">
        <v>15.1</v>
      </c>
      <c r="F243" s="178" t="n">
        <v>9.699999999999999</v>
      </c>
      <c r="G243" s="178" t="n">
        <v>0.4</v>
      </c>
      <c r="H243" s="178" t="n">
        <v>7.9</v>
      </c>
      <c r="I243" s="178" t="n">
        <v>2.7</v>
      </c>
      <c r="J243" s="178" t="n">
        <v>-6.1</v>
      </c>
      <c r="K243" s="179" t="inlineStr">
        <is>
          <t>2279 YONGHE MEDICAL; 0300 MIDEA GROUP</t>
        </is>
      </c>
    </row>
    <row r="244">
      <c r="A244" s="17" t="inlineStr">
        <is>
          <t>Yield Royal Investment</t>
        </is>
      </c>
      <c r="B244" s="171" t="n">
        <v>2</v>
      </c>
      <c r="C244" s="177" t="n">
        <v>100</v>
      </c>
      <c r="D244" s="178" t="n">
        <v>6.1</v>
      </c>
      <c r="E244" s="178" t="n">
        <v>4.9</v>
      </c>
      <c r="F244" s="178" t="n">
        <v>2.3</v>
      </c>
      <c r="G244" s="178" t="n">
        <v>-23.2</v>
      </c>
      <c r="H244" s="178" t="n">
        <v>-1.1</v>
      </c>
      <c r="I244" s="178" t="n">
        <v>-3.5</v>
      </c>
      <c r="J244" s="178" t="n">
        <v>-27.7</v>
      </c>
      <c r="K244" s="179" t="inlineStr">
        <is>
          <t>2657 FOREST CABIN; 9981 WOER</t>
        </is>
      </c>
    </row>
    <row r="245">
      <c r="A245" s="17" t="inlineStr">
        <is>
          <t>Ingenic Semiconductor (HongKong) Group Limited</t>
        </is>
      </c>
      <c r="B245" s="171" t="n">
        <v>2</v>
      </c>
      <c r="C245" s="177" t="n">
        <v>50</v>
      </c>
      <c r="D245" s="178" t="n">
        <v>6.1</v>
      </c>
      <c r="E245" s="178" t="n">
        <v>-3.4</v>
      </c>
      <c r="F245" s="178" t="n">
        <v>52.2</v>
      </c>
      <c r="G245" s="178" t="n">
        <v>21.2</v>
      </c>
      <c r="H245" s="178" t="n">
        <v>-9.9</v>
      </c>
      <c r="I245" s="178" t="n">
        <v>34.4</v>
      </c>
      <c r="J245" s="178" t="n">
        <v>7</v>
      </c>
      <c r="K245" s="179" t="inlineStr">
        <is>
          <t>3296 HUAQIN; 9976 LONGSYS</t>
        </is>
      </c>
    </row>
    <row r="246">
      <c r="A246" s="17" t="inlineStr">
        <is>
          <t>Kingboard Investments Limited</t>
        </is>
      </c>
      <c r="B246" s="171" t="n">
        <v>2</v>
      </c>
      <c r="C246" s="177" t="n">
        <v>50</v>
      </c>
      <c r="D246" s="178" t="n">
        <v>5.7</v>
      </c>
      <c r="E246" s="178" t="n">
        <v>13.5</v>
      </c>
      <c r="F246" s="178" t="n">
        <v>27.4</v>
      </c>
      <c r="G246" s="178" t="n">
        <v>21.2</v>
      </c>
      <c r="H246" s="178" t="n">
        <v>7.7</v>
      </c>
      <c r="I246" s="178" t="n">
        <v>19.4</v>
      </c>
      <c r="J246" s="178" t="n">
        <v>7</v>
      </c>
      <c r="K246" s="179" t="inlineStr">
        <is>
          <t>3296 HUAQIN; 1377 DTECH</t>
        </is>
      </c>
    </row>
    <row r="247">
      <c r="A247" s="17" t="inlineStr">
        <is>
          <t>Guotai Junan Investments (Hong Kong) Limited</t>
        </is>
      </c>
      <c r="B247" s="171" t="n">
        <v>2</v>
      </c>
      <c r="C247" s="177" t="n">
        <v>100</v>
      </c>
      <c r="D247" s="178" t="n">
        <v>5.4</v>
      </c>
      <c r="E247" s="178" t="n">
        <v>52.4</v>
      </c>
      <c r="F247" s="178" t="n">
        <v>30.2</v>
      </c>
      <c r="G247" s="178" t="n">
        <v>14.9</v>
      </c>
      <c r="H247" s="178" t="n">
        <v>43.8</v>
      </c>
      <c r="I247" s="178" t="n">
        <v>23</v>
      </c>
      <c r="J247" s="178" t="n">
        <v>8.300000000000001</v>
      </c>
      <c r="K247" s="179" t="inlineStr">
        <is>
          <t>0020 SENSETIME-W; 9611 LONGCHEER</t>
        </is>
      </c>
    </row>
    <row r="248">
      <c r="A248" s="17" t="inlineStr">
        <is>
          <t>VVC Technology Fund Ltd</t>
        </is>
      </c>
      <c r="B248" s="171" t="n">
        <v>2</v>
      </c>
      <c r="C248" s="177" t="n">
        <v>100</v>
      </c>
      <c r="D248" s="178" t="n">
        <v>5.3</v>
      </c>
      <c r="E248" s="178" t="n">
        <v>8.4</v>
      </c>
      <c r="F248" s="178" t="n">
        <v>4.4</v>
      </c>
      <c r="G248" s="178" t="n">
        <v>-11.1</v>
      </c>
      <c r="H248" s="178" t="n">
        <v>3.1</v>
      </c>
      <c r="I248" s="178" t="n">
        <v>-1.1</v>
      </c>
      <c r="J248" s="178" t="n">
        <v>-15.6</v>
      </c>
      <c r="K248" s="179" t="inlineStr">
        <is>
          <t>2692 ZHAOWEI; 1021 HUAYAN ROBOTICS</t>
        </is>
      </c>
    </row>
    <row r="249">
      <c r="A249" s="17" t="inlineStr">
        <is>
          <t>Everbright Wealth Management Co., Ltd</t>
        </is>
      </c>
      <c r="B249" s="171" t="n">
        <v>2</v>
      </c>
      <c r="C249" s="177" t="n">
        <v>50</v>
      </c>
      <c r="D249" s="178" t="n">
        <v>4.3</v>
      </c>
      <c r="E249" s="178" t="n">
        <v>6</v>
      </c>
      <c r="F249" s="178" t="n">
        <v>7.5</v>
      </c>
      <c r="G249" s="178" t="n">
        <v>21.2</v>
      </c>
      <c r="H249" s="178" t="n">
        <v>1.5</v>
      </c>
      <c r="I249" s="178" t="n">
        <v>0.1</v>
      </c>
      <c r="J249" s="178" t="n">
        <v>7</v>
      </c>
      <c r="K249" s="179" t="inlineStr">
        <is>
          <t>3296 HUAQIN; 1688 LINGYI ITECH</t>
        </is>
      </c>
    </row>
    <row r="250">
      <c r="A250" s="17" t="inlineStr">
        <is>
          <t>Supercluster Universe Limited</t>
        </is>
      </c>
      <c r="B250" s="171" t="n">
        <v>2</v>
      </c>
      <c r="C250" s="177" t="n">
        <v>100</v>
      </c>
      <c r="D250" s="178" t="n">
        <v>4.2</v>
      </c>
      <c r="E250" s="178" t="n">
        <v>12.8</v>
      </c>
      <c r="F250" s="178" t="n">
        <v>17.5</v>
      </c>
      <c r="G250" s="178" t="n">
        <v>16.2</v>
      </c>
      <c r="H250" s="178" t="n">
        <v>7.8</v>
      </c>
      <c r="I250" s="178" t="n">
        <v>12.3</v>
      </c>
      <c r="J250" s="178" t="n">
        <v>10.9</v>
      </c>
      <c r="K250" s="179" t="inlineStr">
        <is>
          <t>0300 MIDEA GROUP; 3288 HAITIAN FLAV</t>
        </is>
      </c>
    </row>
    <row r="251">
      <c r="A251" s="17" t="inlineStr">
        <is>
          <t>Eternal Earn Holding Limited</t>
        </is>
      </c>
      <c r="B251" s="171" t="n">
        <v>2</v>
      </c>
      <c r="C251" s="177" t="n">
        <v>50</v>
      </c>
      <c r="D251" s="178" t="n">
        <v>4.1</v>
      </c>
      <c r="E251" s="178" t="n">
        <v>4.4</v>
      </c>
      <c r="F251" s="178" t="n">
        <v>7.5</v>
      </c>
      <c r="G251" s="178" t="n">
        <v>12.4</v>
      </c>
      <c r="H251" s="178" t="n">
        <v>0.4</v>
      </c>
      <c r="I251" s="178" t="n">
        <v>3.1</v>
      </c>
      <c r="J251" s="178" t="n">
        <v>9</v>
      </c>
      <c r="K251" s="179" t="inlineStr">
        <is>
          <t>1519 J&amp;T EXPRESS-W; 1021 HUAYAN ROBOTICS</t>
        </is>
      </c>
    </row>
    <row r="252">
      <c r="A252" s="17" t="inlineStr">
        <is>
          <t>RemeGen Co., Ltd</t>
        </is>
      </c>
      <c r="B252" s="171" t="n">
        <v>2</v>
      </c>
      <c r="C252" s="177" t="n">
        <v>100</v>
      </c>
      <c r="D252" s="178" t="n">
        <v>4</v>
      </c>
      <c r="E252" s="178" t="n">
        <v>17.6</v>
      </c>
      <c r="F252" s="178" t="n">
        <v>21.8</v>
      </c>
      <c r="G252" s="178" t="n">
        <v>28</v>
      </c>
      <c r="H252" s="178" t="n">
        <v>12.9</v>
      </c>
      <c r="I252" s="178" t="n">
        <v>17</v>
      </c>
      <c r="J252" s="178" t="n">
        <v>22.9</v>
      </c>
      <c r="K252" s="179" t="inlineStr">
        <is>
          <t>2315 BIOCYTOGEN-B; 1541 IMMUNEONCO-B</t>
        </is>
      </c>
    </row>
    <row r="253">
      <c r="A253" s="17" t="inlineStr">
        <is>
          <t>COSCO Shipping (Hong Kong) Co., Limited</t>
        </is>
      </c>
      <c r="B253" s="171" t="n">
        <v>2</v>
      </c>
      <c r="C253" s="177" t="n">
        <v>50</v>
      </c>
      <c r="D253" s="178" t="n">
        <v>3.9</v>
      </c>
      <c r="E253" s="178" t="n">
        <v>18.6</v>
      </c>
      <c r="F253" s="178" t="n">
        <v>26.9</v>
      </c>
      <c r="G253" s="178" t="n">
        <v>24.1</v>
      </c>
      <c r="H253" s="178" t="n">
        <v>13.9</v>
      </c>
      <c r="I253" s="178" t="n">
        <v>21.9</v>
      </c>
      <c r="J253" s="178" t="n">
        <v>19.1</v>
      </c>
      <c r="K253" s="179" t="inlineStr">
        <is>
          <t>1880 CTG DUTY-FREE; 0300 MIDEA GROUP</t>
        </is>
      </c>
    </row>
    <row r="254">
      <c r="A254" s="17" t="inlineStr">
        <is>
          <t>Caitong Fund Management Co., Ltd</t>
        </is>
      </c>
      <c r="B254" s="171" t="n">
        <v>2</v>
      </c>
      <c r="C254" s="177" t="n">
        <v>50</v>
      </c>
      <c r="D254" s="178" t="n">
        <v>3.8</v>
      </c>
      <c r="E254" s="178" t="n">
        <v>-3.7</v>
      </c>
      <c r="F254" s="178" t="n">
        <v>-10.2</v>
      </c>
      <c r="G254" s="178" t="n">
        <v>-32.1</v>
      </c>
      <c r="H254" s="178" t="n">
        <v>-7</v>
      </c>
      <c r="I254" s="178" t="n">
        <v>-14.3</v>
      </c>
      <c r="J254" s="178" t="n">
        <v>-35.6</v>
      </c>
      <c r="K254" s="179" t="inlineStr">
        <is>
          <t>9600 NEWLINK TECH; 3355 FS.COM</t>
        </is>
      </c>
    </row>
    <row r="255">
      <c r="A255" s="17" t="inlineStr">
        <is>
          <t>SCV Alpha LP</t>
        </is>
      </c>
      <c r="B255" s="171" t="n">
        <v>2</v>
      </c>
      <c r="C255" s="177" t="n">
        <v>100</v>
      </c>
      <c r="D255" s="178" t="n">
        <v>3.8</v>
      </c>
      <c r="E255" s="178" t="n">
        <v>3</v>
      </c>
      <c r="F255" s="178" t="n">
        <v>1.1</v>
      </c>
      <c r="G255" s="178" t="n">
        <v>-28.1</v>
      </c>
      <c r="H255" s="178" t="n">
        <v>0.1</v>
      </c>
      <c r="I255" s="178" t="n">
        <v>-1.8</v>
      </c>
      <c r="J255" s="178" t="n">
        <v>-30.1</v>
      </c>
      <c r="K255" s="179" t="inlineStr">
        <is>
          <t>9981 WOER; 9856 LIGENT</t>
        </is>
      </c>
    </row>
    <row r="256">
      <c r="A256" s="17" t="inlineStr">
        <is>
          <t>Oasis Investments II Master Fund Ltd</t>
        </is>
      </c>
      <c r="B256" s="171" t="n">
        <v>2</v>
      </c>
      <c r="C256" s="177" t="n">
        <v>50</v>
      </c>
      <c r="D256" s="178" t="n">
        <v>3.3</v>
      </c>
      <c r="E256" s="178" t="n">
        <v>16.5</v>
      </c>
      <c r="F256" s="178" t="n">
        <v>-1.8</v>
      </c>
      <c r="G256" s="178" t="n">
        <v>25.4</v>
      </c>
      <c r="H256" s="178" t="n">
        <v>17.2</v>
      </c>
      <c r="I256" s="178" t="n">
        <v>-9</v>
      </c>
      <c r="J256" s="178" t="n">
        <v>3.4</v>
      </c>
      <c r="K256" s="179" t="inlineStr">
        <is>
          <t>3388 CREALITY; 3952 LAIFUAL</t>
        </is>
      </c>
    </row>
    <row r="257">
      <c r="A257" s="17" t="inlineStr">
        <is>
          <t>LYFE CAPITAL FUND III (DRAGON), L.P</t>
        </is>
      </c>
      <c r="B257" s="171" t="n">
        <v>2</v>
      </c>
      <c r="C257" s="177" t="n">
        <v>50</v>
      </c>
      <c r="D257" s="178" t="n">
        <v>3.2</v>
      </c>
      <c r="E257" s="178" t="n">
        <v>13.7</v>
      </c>
      <c r="F257" s="178" t="n">
        <v>-2.3</v>
      </c>
      <c r="G257" s="178" t="n">
        <v>-16</v>
      </c>
      <c r="H257" s="178" t="n">
        <v>7</v>
      </c>
      <c r="I257" s="178" t="n">
        <v>-9.199999999999999</v>
      </c>
      <c r="J257" s="178" t="n">
        <v>-23.7</v>
      </c>
      <c r="K257" s="179" t="inlineStr">
        <is>
          <t>6609 HEARTCARE-B; 2675 EDGE MEDICAL-B</t>
        </is>
      </c>
    </row>
    <row r="258">
      <c r="A258" s="17" t="inlineStr">
        <is>
          <t>Peak Reinsurance Company Limited</t>
        </is>
      </c>
      <c r="B258" s="171" t="n">
        <v>2</v>
      </c>
      <c r="C258" s="177" t="n">
        <v>100</v>
      </c>
      <c r="D258" s="178" t="n">
        <v>2.6</v>
      </c>
      <c r="E258" s="178" t="n">
        <v>5</v>
      </c>
      <c r="F258" s="178" t="n">
        <v>-25.8</v>
      </c>
      <c r="G258" s="178" t="n">
        <v>-45.3</v>
      </c>
      <c r="H258" s="178" t="n">
        <v>4.5</v>
      </c>
      <c r="I258" s="178" t="n">
        <v>-26.2</v>
      </c>
      <c r="J258" s="178" t="n">
        <v>-45.5</v>
      </c>
      <c r="K258" s="179" t="inlineStr">
        <is>
          <t>3658 NEW HOPE SERV; 9856 LIGENT</t>
        </is>
      </c>
    </row>
    <row r="259">
      <c r="A259" s="17" t="inlineStr">
        <is>
          <t>Splendid Zhonghe (Tianjin) Investment Management Co., Ltd</t>
        </is>
      </c>
      <c r="B259" s="171" t="n">
        <v>2</v>
      </c>
      <c r="C259" s="177" t="n">
        <v>100</v>
      </c>
      <c r="D259" s="178" t="n">
        <v>2.5</v>
      </c>
      <c r="E259" s="178" t="n">
        <v>-10.8</v>
      </c>
      <c r="F259" s="178" t="n">
        <v>-31.1</v>
      </c>
      <c r="G259" s="178" t="n">
        <v>-27.7</v>
      </c>
      <c r="H259" s="178" t="n">
        <v>-12.7</v>
      </c>
      <c r="I259" s="178" t="n">
        <v>-32.5</v>
      </c>
      <c r="J259" s="178" t="n">
        <v>-29.4</v>
      </c>
      <c r="K259" s="179" t="inlineStr">
        <is>
          <t>2493 MABWELL-B; 6106 SEER TECH</t>
        </is>
      </c>
    </row>
    <row r="260">
      <c r="A260" s="17" t="inlineStr">
        <is>
          <t>GigaDevice Semiconductor (HK) Limited</t>
        </is>
      </c>
      <c r="B260" s="171" t="n">
        <v>2</v>
      </c>
      <c r="C260" s="177" t="n">
        <v>50</v>
      </c>
      <c r="D260" s="178" t="n">
        <v>2.3</v>
      </c>
      <c r="E260" s="178" t="n">
        <v>0.3</v>
      </c>
      <c r="F260" s="178" t="n">
        <v>-10.1</v>
      </c>
      <c r="G260" s="178" t="n"/>
      <c r="H260" s="178" t="n">
        <v>0.3</v>
      </c>
      <c r="I260" s="178" t="n">
        <v>-10.1</v>
      </c>
      <c r="J260" s="178" t="n"/>
      <c r="K260" s="179" t="inlineStr">
        <is>
          <t>6880 MOMENTA-W; 9856 LIGENT</t>
        </is>
      </c>
    </row>
    <row r="261">
      <c r="A261" s="17" t="inlineStr">
        <is>
          <t>Sanjin International CO., LTD</t>
        </is>
      </c>
      <c r="B261" s="171" t="n">
        <v>2</v>
      </c>
      <c r="C261" s="177" t="n">
        <v>100</v>
      </c>
      <c r="D261" s="178" t="n">
        <v>1.8</v>
      </c>
      <c r="E261" s="178" t="n">
        <v>-0.7</v>
      </c>
      <c r="F261" s="178" t="n">
        <v>-6.1</v>
      </c>
      <c r="G261" s="178" t="n">
        <v>-10.5</v>
      </c>
      <c r="H261" s="178" t="n">
        <v>-2.5</v>
      </c>
      <c r="I261" s="178" t="n">
        <v>-7.9</v>
      </c>
      <c r="J261" s="178" t="n">
        <v>-12.3</v>
      </c>
      <c r="K261" s="179" t="inlineStr">
        <is>
          <t>2315 BIOCYTOGEN-B; 2493 MABWELL-B</t>
        </is>
      </c>
    </row>
    <row r="262">
      <c r="A262" s="17" t="inlineStr">
        <is>
          <t>ODI TRUST LIMITED</t>
        </is>
      </c>
      <c r="B262" s="171" t="n">
        <v>2</v>
      </c>
      <c r="C262" s="177" t="n">
        <v>50</v>
      </c>
      <c r="D262" s="178" t="n">
        <v>1.8</v>
      </c>
      <c r="E262" s="178" t="n">
        <v>-6.7</v>
      </c>
      <c r="F262" s="178" t="n">
        <v>-16.1</v>
      </c>
      <c r="G262" s="178" t="n">
        <v>-17.7</v>
      </c>
      <c r="H262" s="178" t="n">
        <v>-5.7</v>
      </c>
      <c r="I262" s="178" t="n">
        <v>-15.2</v>
      </c>
      <c r="J262" s="178" t="n">
        <v>-16.8</v>
      </c>
      <c r="K262" s="179" t="inlineStr">
        <is>
          <t>1187 COFOE MEDICAL; 9856 LIGENT</t>
        </is>
      </c>
    </row>
    <row r="263">
      <c r="A263" s="17" t="inlineStr">
        <is>
          <t>ZGC International Limited</t>
        </is>
      </c>
      <c r="B263" s="171" t="n">
        <v>2</v>
      </c>
      <c r="C263" s="177" t="n">
        <v>50</v>
      </c>
      <c r="D263" s="178" t="n">
        <v>1.2</v>
      </c>
      <c r="E263" s="178" t="n">
        <v>11.9</v>
      </c>
      <c r="F263" s="178" t="n">
        <v>71.09999999999999</v>
      </c>
      <c r="G263" s="178" t="n">
        <v>42.4</v>
      </c>
      <c r="H263" s="178" t="n">
        <v>10.4</v>
      </c>
      <c r="I263" s="178" t="n">
        <v>66.2</v>
      </c>
      <c r="J263" s="178" t="n">
        <v>36.2</v>
      </c>
      <c r="K263" s="179" t="inlineStr">
        <is>
          <t>9885 YSB; 2438 MOBVOI</t>
        </is>
      </c>
    </row>
    <row r="264">
      <c r="A264" s="17" t="inlineStr">
        <is>
          <t>Heilan Group Co., Limited</t>
        </is>
      </c>
      <c r="B264" s="171" t="n">
        <v>2</v>
      </c>
      <c r="C264" s="177" t="n">
        <v>50</v>
      </c>
      <c r="D264" s="178" t="n">
        <v>1.1</v>
      </c>
      <c r="E264" s="178" t="n">
        <v>0</v>
      </c>
      <c r="F264" s="178" t="n">
        <v>-6</v>
      </c>
      <c r="G264" s="178" t="n">
        <v>-4.7</v>
      </c>
      <c r="H264" s="178" t="n">
        <v>-0.9</v>
      </c>
      <c r="I264" s="178" t="n">
        <v>-6.7</v>
      </c>
      <c r="J264" s="178" t="n">
        <v>-5.9</v>
      </c>
      <c r="K264" s="179" t="inlineStr">
        <is>
          <t>9878 HUITONGDA NET; 9857 LINMON MEDIA</t>
        </is>
      </c>
    </row>
    <row r="265">
      <c r="A265" s="17" t="inlineStr">
        <is>
          <t>Mr. Lu Weiding</t>
        </is>
      </c>
      <c r="B265" s="171" t="n">
        <v>2</v>
      </c>
      <c r="C265" s="177" t="n">
        <v>50</v>
      </c>
      <c r="D265" s="178" t="n">
        <v>1.1</v>
      </c>
      <c r="E265" s="178" t="n">
        <v>-1.4</v>
      </c>
      <c r="F265" s="178" t="n">
        <v>-0.1</v>
      </c>
      <c r="G265" s="178" t="n">
        <v>-21.2</v>
      </c>
      <c r="H265" s="178" t="n">
        <v>-2.7</v>
      </c>
      <c r="I265" s="178" t="n">
        <v>-1.1</v>
      </c>
      <c r="J265" s="178" t="n">
        <v>-22.2</v>
      </c>
      <c r="K265" s="179" t="inlineStr">
        <is>
          <t>3887 HASHKEY HLDGS; 2692 ZHAOWEI</t>
        </is>
      </c>
    </row>
    <row r="266">
      <c r="A266" s="17" t="inlineStr">
        <is>
          <t>Streamax Electronics Limited</t>
        </is>
      </c>
      <c r="B266" s="171" t="n">
        <v>2</v>
      </c>
      <c r="C266" s="177" t="n">
        <v>50</v>
      </c>
      <c r="D266" s="178" t="n">
        <v>0.8</v>
      </c>
      <c r="E266" s="178" t="n">
        <v>-9.5</v>
      </c>
      <c r="F266" s="178" t="n">
        <v>-25.9</v>
      </c>
      <c r="G266" s="178" t="n">
        <v>-37.6</v>
      </c>
      <c r="H266" s="178" t="n">
        <v>-10.1</v>
      </c>
      <c r="I266" s="178" t="n">
        <v>-26.5</v>
      </c>
      <c r="J266" s="178" t="n">
        <v>-38.1</v>
      </c>
      <c r="K266" s="179" t="inlineStr">
        <is>
          <t>2418 DEEWIN; 3268 MEIG</t>
        </is>
      </c>
    </row>
    <row r="267">
      <c r="A267" s="17" t="inlineStr">
        <is>
          <t>United Imaging Healthcare Hong Kong Limited</t>
        </is>
      </c>
      <c r="B267" s="171" t="n">
        <v>2</v>
      </c>
      <c r="C267" s="177" t="n">
        <v>100</v>
      </c>
      <c r="D267" s="178" t="n">
        <v>0.6</v>
      </c>
      <c r="E267" s="178" t="n">
        <v>14.5</v>
      </c>
      <c r="F267" s="178" t="n">
        <v>7.7</v>
      </c>
      <c r="G267" s="178" t="n">
        <v>27.6</v>
      </c>
      <c r="H267" s="178" t="n">
        <v>13.9</v>
      </c>
      <c r="I267" s="178" t="n">
        <v>7.1</v>
      </c>
      <c r="J267" s="178" t="n">
        <v>26.9</v>
      </c>
      <c r="K267" s="179" t="inlineStr">
        <is>
          <t>2522 RIMAG GROUP; 1828 FWD</t>
        </is>
      </c>
    </row>
    <row r="268">
      <c r="A268" s="17" t="inlineStr">
        <is>
          <t>CALB Co., Ltd</t>
        </is>
      </c>
      <c r="B268" s="171" t="n">
        <v>2</v>
      </c>
      <c r="C268" s="177" t="n">
        <v>0</v>
      </c>
      <c r="D268" s="178" t="n">
        <v>-0.1</v>
      </c>
      <c r="E268" s="178" t="n">
        <v>-7.4</v>
      </c>
      <c r="F268" s="178" t="n">
        <v>-9.199999999999999</v>
      </c>
      <c r="G268" s="178" t="n">
        <v>-9.300000000000001</v>
      </c>
      <c r="H268" s="178" t="n">
        <v>-7.3</v>
      </c>
      <c r="I268" s="178" t="n">
        <v>-9.1</v>
      </c>
      <c r="J268" s="178" t="n">
        <v>-9.300000000000001</v>
      </c>
      <c r="K268" s="179" t="inlineStr">
        <is>
          <t>9696 TIANQI LITHIUM; 2579 CNGR</t>
        </is>
      </c>
    </row>
    <row r="269">
      <c r="A269" s="17" t="inlineStr">
        <is>
          <t>Canada Pension Plan Investment Board</t>
        </is>
      </c>
      <c r="B269" s="171" t="n">
        <v>2</v>
      </c>
      <c r="C269" s="177" t="n">
        <v>50</v>
      </c>
      <c r="D269" s="178" t="n">
        <v>-0.5</v>
      </c>
      <c r="E269" s="178" t="n">
        <v>9.1</v>
      </c>
      <c r="F269" s="178" t="n">
        <v>3.2</v>
      </c>
      <c r="G269" s="178" t="n">
        <v>21.1</v>
      </c>
      <c r="H269" s="178" t="n">
        <v>9.800000000000001</v>
      </c>
      <c r="I269" s="178" t="n">
        <v>3.8</v>
      </c>
      <c r="J269" s="178" t="n">
        <v>19.8</v>
      </c>
      <c r="K269" s="179" t="inlineStr">
        <is>
          <t>1828 FWD; 3308 ZJ INNOLIGHT</t>
        </is>
      </c>
    </row>
    <row r="270">
      <c r="A270" s="17" t="inlineStr">
        <is>
          <t>Burkehill</t>
        </is>
      </c>
      <c r="B270" s="171" t="n">
        <v>2</v>
      </c>
      <c r="C270" s="177" t="n">
        <v>0</v>
      </c>
      <c r="D270" s="178" t="n">
        <v>-1</v>
      </c>
      <c r="E270" s="178" t="n">
        <v>8.1</v>
      </c>
      <c r="F270" s="178" t="n">
        <v>1.4</v>
      </c>
      <c r="G270" s="178" t="n">
        <v>-8.4</v>
      </c>
      <c r="H270" s="178" t="n">
        <v>9.300000000000001</v>
      </c>
      <c r="I270" s="178" t="n">
        <v>2.5</v>
      </c>
      <c r="J270" s="178" t="n">
        <v>-8.4</v>
      </c>
      <c r="K270" s="179" t="inlineStr">
        <is>
          <t>7618 JD INDUSTRIALS; 3308 ZJ INNOLIGHT</t>
        </is>
      </c>
    </row>
    <row r="271">
      <c r="A271" s="17" t="inlineStr">
        <is>
          <t>China Chengtong Investment Company Limited</t>
        </is>
      </c>
      <c r="B271" s="171" t="n">
        <v>2</v>
      </c>
      <c r="C271" s="177" t="n">
        <v>50</v>
      </c>
      <c r="D271" s="178" t="n">
        <v>-1.7</v>
      </c>
      <c r="E271" s="178" t="n">
        <v>2.3</v>
      </c>
      <c r="F271" s="178" t="n">
        <v>-17.8</v>
      </c>
      <c r="G271" s="178" t="n">
        <v>-12.4</v>
      </c>
      <c r="H271" s="178" t="n">
        <v>3.7</v>
      </c>
      <c r="I271" s="178" t="n">
        <v>-17.2</v>
      </c>
      <c r="J271" s="178" t="n">
        <v>-10</v>
      </c>
      <c r="K271" s="179" t="inlineStr">
        <is>
          <t>2618 JD LOGISTICS; 2602 ONEWO</t>
        </is>
      </c>
    </row>
    <row r="272">
      <c r="A272" s="17" t="inlineStr">
        <is>
          <t>Azure Telecommunication</t>
        </is>
      </c>
      <c r="B272" s="171" t="n">
        <v>2</v>
      </c>
      <c r="C272" s="177" t="n">
        <v>50</v>
      </c>
      <c r="D272" s="178" t="n">
        <v>-1.9</v>
      </c>
      <c r="E272" s="178" t="n">
        <v>-1.1</v>
      </c>
      <c r="F272" s="178" t="n">
        <v>-10.9</v>
      </c>
      <c r="G272" s="178" t="n">
        <v>-9.4</v>
      </c>
      <c r="H272" s="178" t="n">
        <v>0.8</v>
      </c>
      <c r="I272" s="178" t="n">
        <v>-9</v>
      </c>
      <c r="J272" s="178" t="n">
        <v>-7.4</v>
      </c>
      <c r="K272" s="179" t="inlineStr">
        <is>
          <t>2385 READBOY; 9980 EASTROC</t>
        </is>
      </c>
    </row>
    <row r="273">
      <c r="A273" s="17" t="inlineStr">
        <is>
          <t>Mr. Cheng Wan Wai</t>
        </is>
      </c>
      <c r="B273" s="171" t="n">
        <v>2</v>
      </c>
      <c r="C273" s="177" t="n">
        <v>50</v>
      </c>
      <c r="D273" s="178" t="n">
        <v>-2.3</v>
      </c>
      <c r="E273" s="178" t="n">
        <v>-11.9</v>
      </c>
      <c r="F273" s="178" t="n">
        <v>-26.7</v>
      </c>
      <c r="G273" s="178" t="n">
        <v>-33.2</v>
      </c>
      <c r="H273" s="178" t="n">
        <v>-9.800000000000001</v>
      </c>
      <c r="I273" s="178" t="n">
        <v>-23.9</v>
      </c>
      <c r="J273" s="178" t="n">
        <v>-32.8</v>
      </c>
      <c r="K273" s="179" t="inlineStr">
        <is>
          <t>2350 MTT GROUP; 6067 SENIOR MATERIAL</t>
        </is>
      </c>
    </row>
    <row r="274">
      <c r="A274" s="17" t="inlineStr">
        <is>
          <t>Global Company Limited</t>
        </is>
      </c>
      <c r="B274" s="171" t="n">
        <v>2</v>
      </c>
      <c r="C274" s="177" t="n">
        <v>50</v>
      </c>
      <c r="D274" s="178" t="n">
        <v>-2.7</v>
      </c>
      <c r="E274" s="178" t="n">
        <v>-0.7</v>
      </c>
      <c r="F274" s="178" t="n">
        <v>22.7</v>
      </c>
      <c r="G274" s="178" t="n">
        <v>89</v>
      </c>
      <c r="H274" s="178" t="n">
        <v>2.1</v>
      </c>
      <c r="I274" s="178" t="n">
        <v>27.1</v>
      </c>
      <c r="J274" s="178" t="n">
        <v>97.3</v>
      </c>
      <c r="K274" s="179" t="inlineStr">
        <is>
          <t>1364 GUMING; 1828 FWD</t>
        </is>
      </c>
    </row>
    <row r="275">
      <c r="A275" s="17" t="inlineStr">
        <is>
          <t>Ms. Pan</t>
        </is>
      </c>
      <c r="B275" s="171" t="n">
        <v>2</v>
      </c>
      <c r="C275" s="177" t="n">
        <v>50</v>
      </c>
      <c r="D275" s="178" t="n">
        <v>-2.7</v>
      </c>
      <c r="E275" s="178" t="n">
        <v>-0.3</v>
      </c>
      <c r="F275" s="178" t="n">
        <v>34.4</v>
      </c>
      <c r="G275" s="178" t="n">
        <v>235.3</v>
      </c>
      <c r="H275" s="178" t="n">
        <v>2.6</v>
      </c>
      <c r="I275" s="178" t="n">
        <v>38.8</v>
      </c>
      <c r="J275" s="178" t="n">
        <v>242</v>
      </c>
      <c r="K275" s="179" t="inlineStr">
        <is>
          <t>1364 GUMING; 3317 XUNCE</t>
        </is>
      </c>
    </row>
    <row r="276">
      <c r="A276" s="17" t="inlineStr">
        <is>
          <t>CNGR Hong Kong Material Science &amp; Technology Co., Limited</t>
        </is>
      </c>
      <c r="B276" s="171" t="n">
        <v>2</v>
      </c>
      <c r="C276" s="177" t="n">
        <v>0</v>
      </c>
      <c r="D276" s="178" t="n">
        <v>-3.3</v>
      </c>
      <c r="E276" s="178" t="n">
        <v>-2.4</v>
      </c>
      <c r="F276" s="178" t="n">
        <v>-19.1</v>
      </c>
      <c r="G276" s="178" t="n">
        <v>-45.8</v>
      </c>
      <c r="H276" s="178" t="n">
        <v>1</v>
      </c>
      <c r="I276" s="178" t="n">
        <v>-15.6</v>
      </c>
      <c r="J276" s="178" t="n">
        <v>-45.8</v>
      </c>
      <c r="K276" s="179" t="inlineStr">
        <is>
          <t>3931 CALB; 6228 MERDEKAGOLD-DRS</t>
        </is>
      </c>
    </row>
    <row r="277">
      <c r="A277" s="17" t="inlineStr">
        <is>
          <t>Affin Hwang Asset Management Berhad</t>
        </is>
      </c>
      <c r="B277" s="171" t="n">
        <v>2</v>
      </c>
      <c r="C277" s="177" t="n">
        <v>50</v>
      </c>
      <c r="D277" s="178" t="n">
        <v>-3.6</v>
      </c>
      <c r="E277" s="178" t="n">
        <v>7</v>
      </c>
      <c r="F277" s="178" t="n">
        <v>-17</v>
      </c>
      <c r="G277" s="178" t="n">
        <v>15.4</v>
      </c>
      <c r="H277" s="178" t="n">
        <v>10.8</v>
      </c>
      <c r="I277" s="178" t="n">
        <v>-13.2</v>
      </c>
      <c r="J277" s="178" t="n">
        <v>21</v>
      </c>
      <c r="K277" s="179" t="inlineStr">
        <is>
          <t>2170 BASECARE-B; 2171 CARSGEN-B</t>
        </is>
      </c>
    </row>
    <row r="278">
      <c r="A278" s="17" t="inlineStr">
        <is>
          <t>Ruihua Investment</t>
        </is>
      </c>
      <c r="B278" s="171" t="n">
        <v>2</v>
      </c>
      <c r="C278" s="177" t="n">
        <v>50</v>
      </c>
      <c r="D278" s="178" t="n">
        <v>-3.7</v>
      </c>
      <c r="E278" s="178" t="n">
        <v>-14.9</v>
      </c>
      <c r="F278" s="178" t="n">
        <v>-36.3</v>
      </c>
      <c r="G278" s="178" t="n">
        <v>-28.1</v>
      </c>
      <c r="H278" s="178" t="n">
        <v>-10.6</v>
      </c>
      <c r="I278" s="178" t="n">
        <v>-32.7</v>
      </c>
      <c r="J278" s="178" t="n">
        <v>-24.5</v>
      </c>
      <c r="K278" s="179" t="inlineStr">
        <is>
          <t>0638 FIBOCOM; 6106 SEER TECH</t>
        </is>
      </c>
    </row>
    <row r="279">
      <c r="A279" s="17" t="inlineStr">
        <is>
          <t>Triple Surge Holdings Limited</t>
        </is>
      </c>
      <c r="B279" s="171" t="n">
        <v>2</v>
      </c>
      <c r="C279" s="177" t="n">
        <v>50</v>
      </c>
      <c r="D279" s="178" t="n">
        <v>-4.8</v>
      </c>
      <c r="E279" s="178" t="n">
        <v>-23.7</v>
      </c>
      <c r="F279" s="178" t="n">
        <v>-28.6</v>
      </c>
      <c r="G279" s="178" t="n">
        <v>-50.3</v>
      </c>
      <c r="H279" s="178" t="n">
        <v>-20.7</v>
      </c>
      <c r="I279" s="178" t="n">
        <v>-25</v>
      </c>
      <c r="J279" s="178" t="n">
        <v>-46.5</v>
      </c>
      <c r="K279" s="179" t="inlineStr">
        <is>
          <t>2209 YESASIA HLDGS; 9639 WING LEE DEV</t>
        </is>
      </c>
    </row>
    <row r="280">
      <c r="A280" s="17" t="inlineStr">
        <is>
          <t>Artisan China Post-Venture Master Fund LP</t>
        </is>
      </c>
      <c r="B280" s="171" t="n">
        <v>2</v>
      </c>
      <c r="C280" s="177" t="n">
        <v>50</v>
      </c>
      <c r="D280" s="178" t="n">
        <v>-6.9</v>
      </c>
      <c r="E280" s="178" t="n">
        <v>3.1</v>
      </c>
      <c r="F280" s="178" t="n">
        <v>-7.7</v>
      </c>
      <c r="G280" s="178" t="n">
        <v>-23.4</v>
      </c>
      <c r="H280" s="178" t="n">
        <v>8.199999999999999</v>
      </c>
      <c r="I280" s="178" t="n">
        <v>-3.8</v>
      </c>
      <c r="J280" s="178" t="n">
        <v>-21.2</v>
      </c>
      <c r="K280" s="179" t="inlineStr">
        <is>
          <t>2216 BRONCUS-B; 2252 MEDBOT-B</t>
        </is>
      </c>
    </row>
    <row r="281">
      <c r="A281" s="17" t="inlineStr">
        <is>
          <t>Mercedes-Benz Mobility Services</t>
        </is>
      </c>
      <c r="B281" s="171" t="n">
        <v>2</v>
      </c>
      <c r="C281" s="177" t="n">
        <v>0</v>
      </c>
      <c r="D281" s="178" t="n">
        <v>-7.1</v>
      </c>
      <c r="E281" s="178" t="n">
        <v>-8</v>
      </c>
      <c r="F281" s="178" t="n">
        <v>-6.8</v>
      </c>
      <c r="G281" s="178" t="n">
        <v>25.2</v>
      </c>
      <c r="H281" s="178" t="n">
        <v>-1</v>
      </c>
      <c r="I281" s="178" t="n">
        <v>1.1</v>
      </c>
      <c r="J281" s="178" t="n">
        <v>45.8</v>
      </c>
      <c r="K281" s="179" t="inlineStr">
        <is>
          <t>2643 CAOCAO INC; 6880 MOMENTA-W</t>
        </is>
      </c>
    </row>
    <row r="282">
      <c r="A282" s="17" t="inlineStr">
        <is>
          <t>Sanya Development Holdings Co., Ltd</t>
        </is>
      </c>
      <c r="B282" s="171" t="n">
        <v>2</v>
      </c>
      <c r="C282" s="177" t="n">
        <v>0</v>
      </c>
      <c r="D282" s="178" t="n">
        <v>-7.6</v>
      </c>
      <c r="E282" s="178" t="n">
        <v>-19.9</v>
      </c>
      <c r="F282" s="178" t="n">
        <v>-13.9</v>
      </c>
      <c r="G282" s="178" t="n">
        <v>-28.8</v>
      </c>
      <c r="H282" s="178" t="n">
        <v>-14.5</v>
      </c>
      <c r="I282" s="178" t="n">
        <v>-8.199999999999999</v>
      </c>
      <c r="J282" s="178" t="n">
        <v>-23.8</v>
      </c>
      <c r="K282" s="179" t="inlineStr">
        <is>
          <t>9638 FERRETTI; 9639 WING LEE DEV</t>
        </is>
      </c>
    </row>
    <row r="283">
      <c r="A283" s="17" t="inlineStr">
        <is>
          <t>Carmignac Funds</t>
        </is>
      </c>
      <c r="B283" s="171" t="n">
        <v>2</v>
      </c>
      <c r="C283" s="177" t="n">
        <v>0</v>
      </c>
      <c r="D283" s="178" t="n">
        <v>-8.1</v>
      </c>
      <c r="E283" s="178" t="n">
        <v>-15.3</v>
      </c>
      <c r="F283" s="178" t="n">
        <v>-14.6</v>
      </c>
      <c r="G283" s="178" t="n">
        <v>-20.6</v>
      </c>
      <c r="H283" s="178" t="n">
        <v>-7.8</v>
      </c>
      <c r="I283" s="178" t="n">
        <v>-7.1</v>
      </c>
      <c r="J283" s="178" t="n">
        <v>-13.4</v>
      </c>
      <c r="K283" s="179" t="inlineStr">
        <is>
          <t>6127 JOINN; 9960 KINDSTAR GLOBAL</t>
        </is>
      </c>
    </row>
    <row r="284">
      <c r="A284" s="17" t="inlineStr">
        <is>
          <t>Janus Henderson Funds</t>
        </is>
      </c>
      <c r="B284" s="171" t="n">
        <v>2</v>
      </c>
      <c r="C284" s="177" t="n">
        <v>50</v>
      </c>
      <c r="D284" s="178" t="n">
        <v>-8.5</v>
      </c>
      <c r="E284" s="178" t="n">
        <v>-2.3</v>
      </c>
      <c r="F284" s="178" t="n">
        <v>-3.9</v>
      </c>
      <c r="G284" s="178" t="n">
        <v>-40.9</v>
      </c>
      <c r="H284" s="178" t="n">
        <v>4.9</v>
      </c>
      <c r="I284" s="178" t="n">
        <v>2.9</v>
      </c>
      <c r="J284" s="178" t="n">
        <v>-38</v>
      </c>
      <c r="K284" s="179" t="inlineStr">
        <is>
          <t>9959 LINKLOGIS–W; 1228 CANBRIDGE-B</t>
        </is>
      </c>
    </row>
    <row r="285">
      <c r="A285" s="17" t="inlineStr">
        <is>
          <t>Mr. Su</t>
        </is>
      </c>
      <c r="B285" s="171" t="n">
        <v>2</v>
      </c>
      <c r="C285" s="177" t="n">
        <v>50</v>
      </c>
      <c r="D285" s="178" t="n">
        <v>-9.300000000000001</v>
      </c>
      <c r="E285" s="178" t="n">
        <v>-11</v>
      </c>
      <c r="F285" s="178" t="n">
        <v>-16.8</v>
      </c>
      <c r="G285" s="178" t="n">
        <v>-26</v>
      </c>
      <c r="H285" s="178" t="n">
        <v>-1.8</v>
      </c>
      <c r="I285" s="178" t="n">
        <v>-9.1</v>
      </c>
      <c r="J285" s="178" t="n">
        <v>-16.6</v>
      </c>
      <c r="K285" s="179" t="inlineStr">
        <is>
          <t>2408 XIAO NOODLES; 2657 FOREST CABIN</t>
        </is>
      </c>
    </row>
    <row r="286">
      <c r="A286" s="17" t="inlineStr">
        <is>
          <t>Chery Commercial Vehicle (Anhui) Company Limited</t>
        </is>
      </c>
      <c r="B286" s="171" t="n">
        <v>2</v>
      </c>
      <c r="C286" s="177" t="n">
        <v>0</v>
      </c>
      <c r="D286" s="178" t="n">
        <v>-11.1</v>
      </c>
      <c r="E286" s="178" t="n">
        <v>-28.8</v>
      </c>
      <c r="F286" s="178" t="n">
        <v>-34.2</v>
      </c>
      <c r="G286" s="178" t="n">
        <v>-76.7</v>
      </c>
      <c r="H286" s="178" t="n">
        <v>-21.3</v>
      </c>
      <c r="I286" s="178" t="n">
        <v>-29.7</v>
      </c>
      <c r="J286" s="178" t="n">
        <v>-70.09999999999999</v>
      </c>
      <c r="K286" s="179" t="inlineStr">
        <is>
          <t>2246 GOGOX; 2249 NEXCHIP</t>
        </is>
      </c>
    </row>
    <row r="287">
      <c r="A287" s="17" t="inlineStr">
        <is>
          <t>Laurion Capital Master Fund Ltd</t>
        </is>
      </c>
      <c r="B287" s="171" t="n">
        <v>2</v>
      </c>
      <c r="C287" s="177" t="n">
        <v>50</v>
      </c>
      <c r="D287" s="178" t="n">
        <v>-11.2</v>
      </c>
      <c r="E287" s="178" t="n">
        <v>-12.7</v>
      </c>
      <c r="F287" s="178" t="n">
        <v>-13.6</v>
      </c>
      <c r="G287" s="178" t="n">
        <v>4.8</v>
      </c>
      <c r="H287" s="178" t="n">
        <v>-3.2</v>
      </c>
      <c r="I287" s="178" t="n">
        <v>-6.3</v>
      </c>
      <c r="J287" s="178" t="n">
        <v>15.7</v>
      </c>
      <c r="K287" s="179" t="inlineStr">
        <is>
          <t>2121 AINNOVATION; 6990 SKB BIO-B</t>
        </is>
      </c>
    </row>
    <row r="288">
      <c r="A288" s="17" t="inlineStr">
        <is>
          <t>Country Garden Property Services HK Holdings Company Limited</t>
        </is>
      </c>
      <c r="B288" s="171" t="n">
        <v>2</v>
      </c>
      <c r="C288" s="177" t="n">
        <v>0</v>
      </c>
      <c r="D288" s="178" t="n">
        <v>-12.4</v>
      </c>
      <c r="E288" s="178" t="n">
        <v>-15.1</v>
      </c>
      <c r="F288" s="178" t="n">
        <v>-26.7</v>
      </c>
      <c r="G288" s="178" t="n">
        <v>-28.9</v>
      </c>
      <c r="H288" s="178" t="n">
        <v>-3.5</v>
      </c>
      <c r="I288" s="178" t="n">
        <v>-18.4</v>
      </c>
      <c r="J288" s="178" t="n">
        <v>-21.7</v>
      </c>
      <c r="K288" s="179" t="inlineStr">
        <is>
          <t>2177 UNQ HOLDINGS; 2205 KANGQIAO SER</t>
        </is>
      </c>
    </row>
    <row r="289">
      <c r="A289" s="17" t="inlineStr">
        <is>
          <t>Qingdao Haifa Holding Development Co., Ltd</t>
        </is>
      </c>
      <c r="B289" s="171" t="n">
        <v>2</v>
      </c>
      <c r="C289" s="177" t="n">
        <v>0</v>
      </c>
      <c r="D289" s="178" t="n">
        <v>-12.5</v>
      </c>
      <c r="E289" s="178" t="n">
        <v>-19.3</v>
      </c>
      <c r="F289" s="178" t="n">
        <v>-2.3</v>
      </c>
      <c r="G289" s="178" t="n">
        <v>-16.6</v>
      </c>
      <c r="H289" s="178" t="n">
        <v>-9</v>
      </c>
      <c r="I289" s="178" t="n">
        <v>12.1</v>
      </c>
      <c r="J289" s="178" t="n">
        <v>-3.3</v>
      </c>
      <c r="K289" s="179" t="inlineStr">
        <is>
          <t>9638 FERRETTI; 1973 TIAN TU CAPITAL</t>
        </is>
      </c>
    </row>
    <row r="290">
      <c r="A290" s="17" t="inlineStr">
        <is>
          <t>Fosun Diagnostics (Shanghai) Co., Ltd</t>
        </is>
      </c>
      <c r="B290" s="171" t="n">
        <v>2</v>
      </c>
      <c r="C290" s="177" t="n">
        <v>50</v>
      </c>
      <c r="D290" s="178" t="n">
        <v>-13.2</v>
      </c>
      <c r="E290" s="178" t="n">
        <v>-16.9</v>
      </c>
      <c r="F290" s="178" t="n">
        <v>-23.1</v>
      </c>
      <c r="G290" s="178" t="n">
        <v>-13.7</v>
      </c>
      <c r="H290" s="178" t="n">
        <v>-2.2</v>
      </c>
      <c r="I290" s="178" t="n">
        <v>-11.9</v>
      </c>
      <c r="J290" s="178" t="n">
        <v>-3.8</v>
      </c>
      <c r="K290" s="179" t="inlineStr">
        <is>
          <t>9860 ADICON HOLDINGS; 2566 JIUYUAN GENE</t>
        </is>
      </c>
    </row>
    <row r="291">
      <c r="A291" s="17" t="inlineStr">
        <is>
          <t>CEPHEI</t>
        </is>
      </c>
      <c r="B291" s="171" t="n">
        <v>2</v>
      </c>
      <c r="C291" s="177" t="n">
        <v>0</v>
      </c>
      <c r="D291" s="178" t="n">
        <v>-13.3</v>
      </c>
      <c r="E291" s="178" t="n">
        <v>-19.7</v>
      </c>
      <c r="F291" s="178" t="n">
        <v>-39.6</v>
      </c>
      <c r="G291" s="178" t="n">
        <v>-28.7</v>
      </c>
      <c r="H291" s="178" t="n">
        <v>-7.6</v>
      </c>
      <c r="I291" s="178" t="n">
        <v>-30</v>
      </c>
      <c r="J291" s="178" t="n">
        <v>-19.7</v>
      </c>
      <c r="K291" s="179" t="inlineStr">
        <is>
          <t>2216 BRONCUS-B; 2602 ONEWO</t>
        </is>
      </c>
    </row>
    <row r="292">
      <c r="A292" s="17" t="inlineStr">
        <is>
          <t>Superstring Capital Master Fund LP</t>
        </is>
      </c>
      <c r="B292" s="171" t="n">
        <v>2</v>
      </c>
      <c r="C292" s="177" t="n">
        <v>0</v>
      </c>
      <c r="D292" s="178" t="n">
        <v>-13.8</v>
      </c>
      <c r="E292" s="178" t="n">
        <v>-25.4</v>
      </c>
      <c r="F292" s="178" t="n">
        <v>-29.6</v>
      </c>
      <c r="G292" s="178" t="n">
        <v>-37.3</v>
      </c>
      <c r="H292" s="178" t="n">
        <v>-12.5</v>
      </c>
      <c r="I292" s="178" t="n">
        <v>-19</v>
      </c>
      <c r="J292" s="178" t="n">
        <v>-29.1</v>
      </c>
      <c r="K292" s="179" t="inlineStr">
        <is>
          <t>6609 HEARTCARE-B; 2197 CLOVER BIO-B</t>
        </is>
      </c>
    </row>
    <row r="293">
      <c r="A293" s="17" t="inlineStr">
        <is>
          <t>Huzhou Erqing Asset Operation Co., Ltd</t>
        </is>
      </c>
      <c r="B293" s="171" t="n">
        <v>2</v>
      </c>
      <c r="C293" s="177" t="n">
        <v>0</v>
      </c>
      <c r="D293" s="178" t="n">
        <v>-14.5</v>
      </c>
      <c r="E293" s="178" t="n">
        <v>-4.5</v>
      </c>
      <c r="F293" s="178" t="n">
        <v>-11.6</v>
      </c>
      <c r="G293" s="178" t="n">
        <v>-5.6</v>
      </c>
      <c r="H293" s="178" t="n">
        <v>12.1</v>
      </c>
      <c r="I293" s="178" t="n">
        <v>3.8</v>
      </c>
      <c r="J293" s="178" t="n">
        <v>11</v>
      </c>
      <c r="K293" s="179" t="inlineStr">
        <is>
          <t>6661 HUZHOU GAS; 2409 SEACON</t>
        </is>
      </c>
    </row>
    <row r="294">
      <c r="A294" s="17" t="inlineStr">
        <is>
          <t>Qianhai Kaiyuan Qunwei QDII Plan</t>
        </is>
      </c>
      <c r="B294" s="171" t="n">
        <v>2</v>
      </c>
      <c r="C294" s="177" t="n">
        <v>0</v>
      </c>
      <c r="D294" s="178" t="n">
        <v>-14.9</v>
      </c>
      <c r="E294" s="178" t="n">
        <v>-15.8</v>
      </c>
      <c r="F294" s="178" t="n">
        <v>-12.3</v>
      </c>
      <c r="G294" s="178" t="n">
        <v>-1.8</v>
      </c>
      <c r="H294" s="178" t="n">
        <v>-1.1</v>
      </c>
      <c r="I294" s="178" t="n">
        <v>3</v>
      </c>
      <c r="J294" s="178" t="n">
        <v>15.6</v>
      </c>
      <c r="K294" s="179" t="inlineStr">
        <is>
          <t>3881 CIDI; 2715 ESTUN</t>
        </is>
      </c>
    </row>
    <row r="295">
      <c r="A295" s="17" t="inlineStr">
        <is>
          <t>Mr. Wu Qiyuan</t>
        </is>
      </c>
      <c r="B295" s="171" t="n">
        <v>2</v>
      </c>
      <c r="C295" s="177" t="n">
        <v>50</v>
      </c>
      <c r="D295" s="178" t="n">
        <v>-15.4</v>
      </c>
      <c r="E295" s="178" t="n">
        <v>-15.6</v>
      </c>
      <c r="F295" s="178" t="n">
        <v>-38.2</v>
      </c>
      <c r="G295" s="178" t="n">
        <v>-44.8</v>
      </c>
      <c r="H295" s="178" t="n">
        <v>0.9</v>
      </c>
      <c r="I295" s="178" t="n">
        <v>-24.1</v>
      </c>
      <c r="J295" s="178" t="n">
        <v>-30.5</v>
      </c>
      <c r="K295" s="179" t="inlineStr">
        <is>
          <t>2566 JIUYUAN GENE; 2671 USAS BUILDING</t>
        </is>
      </c>
    </row>
    <row r="296">
      <c r="A296" s="17" t="inlineStr">
        <is>
          <t>Jinhua Industrial Fund Co., Ltd</t>
        </is>
      </c>
      <c r="B296" s="171" t="n">
        <v>2</v>
      </c>
      <c r="C296" s="177" t="n">
        <v>50</v>
      </c>
      <c r="D296" s="178" t="n">
        <v>-16.3</v>
      </c>
      <c r="E296" s="178" t="n">
        <v>-25</v>
      </c>
      <c r="F296" s="178" t="n">
        <v>-30.8</v>
      </c>
      <c r="G296" s="178" t="n">
        <v>-19.2</v>
      </c>
      <c r="H296" s="178" t="n">
        <v>-12.4</v>
      </c>
      <c r="I296" s="178" t="n">
        <v>-21.8</v>
      </c>
      <c r="J296" s="178" t="n">
        <v>-3.8</v>
      </c>
      <c r="K296" s="179" t="inlineStr">
        <is>
          <t>9863 LEAPMOTOR; 2451 LUYUAN GP HLDG</t>
        </is>
      </c>
    </row>
    <row r="297">
      <c r="A297" s="17" t="inlineStr">
        <is>
          <t>Zoomlion International Trading (H.K.) Co., Limited</t>
        </is>
      </c>
      <c r="B297" s="171" t="n">
        <v>2</v>
      </c>
      <c r="C297" s="177" t="n">
        <v>0</v>
      </c>
      <c r="D297" s="178" t="n">
        <v>-18.8</v>
      </c>
      <c r="E297" s="178" t="n">
        <v>-17.8</v>
      </c>
      <c r="F297" s="178" t="n">
        <v>-29.3</v>
      </c>
      <c r="G297" s="178" t="n">
        <v>-25.1</v>
      </c>
      <c r="H297" s="178" t="n">
        <v>-0.8</v>
      </c>
      <c r="I297" s="178" t="n">
        <v>-13.9</v>
      </c>
      <c r="J297" s="178" t="n">
        <v>-8.1</v>
      </c>
      <c r="K297" s="179" t="inlineStr">
        <is>
          <t>2153 TAT HONG EQUIP; 9930 HORIZON CD</t>
        </is>
      </c>
    </row>
    <row r="298">
      <c r="A298" s="17" t="inlineStr">
        <is>
          <t>Jointown International Group Company Limited</t>
        </is>
      </c>
      <c r="B298" s="171" t="n">
        <v>2</v>
      </c>
      <c r="C298" s="177" t="n">
        <v>0</v>
      </c>
      <c r="D298" s="178" t="n">
        <v>-19.2</v>
      </c>
      <c r="E298" s="178" t="n">
        <v>-20.4</v>
      </c>
      <c r="F298" s="178" t="n">
        <v>-23.5</v>
      </c>
      <c r="G298" s="178" t="n">
        <v>-24</v>
      </c>
      <c r="H298" s="178" t="n">
        <v>-0.3</v>
      </c>
      <c r="I298" s="178" t="n">
        <v>-6.9</v>
      </c>
      <c r="J298" s="178" t="n">
        <v>-7.6</v>
      </c>
      <c r="K298" s="179" t="inlineStr">
        <is>
          <t>2291 SCIENTECH; 2566 JIUYUAN GENE</t>
        </is>
      </c>
    </row>
    <row r="299">
      <c r="A299" s="17" t="inlineStr">
        <is>
          <t>Zou Zhiyong</t>
        </is>
      </c>
      <c r="B299" s="171" t="n">
        <v>2</v>
      </c>
      <c r="C299" s="177" t="n">
        <v>50</v>
      </c>
      <c r="D299" s="178" t="n">
        <v>-23</v>
      </c>
      <c r="E299" s="178" t="n">
        <v>-32.7</v>
      </c>
      <c r="F299" s="178" t="n">
        <v>-38.7</v>
      </c>
      <c r="G299" s="178" t="n">
        <v>-22.8</v>
      </c>
      <c r="H299" s="178" t="n">
        <v>-9.9</v>
      </c>
      <c r="I299" s="178" t="n">
        <v>-16</v>
      </c>
      <c r="J299" s="178" t="n">
        <v>18.6</v>
      </c>
      <c r="K299" s="179" t="inlineStr">
        <is>
          <t>3378 HANXBIO-B; 1641 HX COLDCHAIN</t>
        </is>
      </c>
    </row>
    <row r="300">
      <c r="A300" s="17" t="inlineStr">
        <is>
          <t>CELESTIAL OCEAN INVESTMENTS LIMITED</t>
        </is>
      </c>
      <c r="B300" s="171" t="n">
        <v>2</v>
      </c>
      <c r="C300" s="177" t="n">
        <v>0</v>
      </c>
      <c r="D300" s="178" t="n">
        <v>-27.2</v>
      </c>
      <c r="E300" s="178" t="n">
        <v>-37.9</v>
      </c>
      <c r="F300" s="178" t="n">
        <v>-40.7</v>
      </c>
      <c r="G300" s="178" t="n">
        <v>-11.5</v>
      </c>
      <c r="H300" s="178" t="n">
        <v>-25.5</v>
      </c>
      <c r="I300" s="178" t="n">
        <v>-28.9</v>
      </c>
      <c r="J300" s="178" t="n">
        <v>14.1</v>
      </c>
      <c r="K300" s="179" t="inlineStr">
        <is>
          <t>1519 J&amp;T EXPRESS-W; 2586 DMALL</t>
        </is>
      </c>
    </row>
    <row r="301">
      <c r="A301" s="17" t="inlineStr">
        <is>
          <t>Baillie Gifford Overseas Limited及Baillie Gifford &amp; Co</t>
        </is>
      </c>
      <c r="B301" s="171" t="n">
        <v>1</v>
      </c>
      <c r="C301" s="177" t="n">
        <v>100</v>
      </c>
      <c r="D301" s="178" t="n">
        <v>383.6</v>
      </c>
      <c r="E301" s="178" t="n">
        <v>385</v>
      </c>
      <c r="F301" s="178" t="n">
        <v>236.2</v>
      </c>
      <c r="G301" s="178" t="n">
        <v>27.3</v>
      </c>
      <c r="H301" s="178" t="n">
        <v>0.3</v>
      </c>
      <c r="I301" s="178" t="n">
        <v>-30.5</v>
      </c>
      <c r="J301" s="178" t="n">
        <v>-73.7</v>
      </c>
      <c r="K301" s="179" t="inlineStr">
        <is>
          <t>1879 XIZHI TECH-P</t>
        </is>
      </c>
    </row>
    <row r="302">
      <c r="A302" s="17" t="inlineStr">
        <is>
          <t>Shanghai CM Digital Transformation Investment Fund, L.P</t>
        </is>
      </c>
      <c r="B302" s="171" t="n">
        <v>1</v>
      </c>
      <c r="C302" s="177" t="n">
        <v>100</v>
      </c>
      <c r="D302" s="178" t="n">
        <v>383.6</v>
      </c>
      <c r="E302" s="178" t="n">
        <v>385</v>
      </c>
      <c r="F302" s="178" t="n">
        <v>236.2</v>
      </c>
      <c r="G302" s="178" t="n">
        <v>27.3</v>
      </c>
      <c r="H302" s="178" t="n">
        <v>0.3</v>
      </c>
      <c r="I302" s="178" t="n">
        <v>-30.5</v>
      </c>
      <c r="J302" s="178" t="n">
        <v>-73.7</v>
      </c>
      <c r="K302" s="179" t="inlineStr">
        <is>
          <t>1879 XIZHI TECH-P</t>
        </is>
      </c>
    </row>
    <row r="303">
      <c r="A303" s="17" t="inlineStr">
        <is>
          <t>ZTE (H.K.) Limited</t>
        </is>
      </c>
      <c r="B303" s="171" t="n">
        <v>1</v>
      </c>
      <c r="C303" s="177" t="n">
        <v>100</v>
      </c>
      <c r="D303" s="178" t="n">
        <v>383.6</v>
      </c>
      <c r="E303" s="178" t="n">
        <v>385</v>
      </c>
      <c r="F303" s="178" t="n">
        <v>236.2</v>
      </c>
      <c r="G303" s="178" t="n">
        <v>27.3</v>
      </c>
      <c r="H303" s="178" t="n">
        <v>0.3</v>
      </c>
      <c r="I303" s="178" t="n">
        <v>-30.5</v>
      </c>
      <c r="J303" s="178" t="n">
        <v>-73.7</v>
      </c>
      <c r="K303" s="179" t="inlineStr">
        <is>
          <t>1879 XIZHI TECH-P</t>
        </is>
      </c>
    </row>
    <row r="304">
      <c r="A304" s="17" t="inlineStr">
        <is>
          <t>GLY New Mobility 2. LP</t>
        </is>
      </c>
      <c r="B304" s="171" t="n">
        <v>1</v>
      </c>
      <c r="C304" s="177" t="n">
        <v>100</v>
      </c>
      <c r="D304" s="178" t="n">
        <v>367.9</v>
      </c>
      <c r="E304" s="178" t="n">
        <v>295.2</v>
      </c>
      <c r="F304" s="178" t="n">
        <v>280.8</v>
      </c>
      <c r="G304" s="178" t="n"/>
      <c r="H304" s="178" t="n">
        <v>-15.6</v>
      </c>
      <c r="I304" s="178" t="n">
        <v>-18.6</v>
      </c>
      <c r="J304" s="178" t="n"/>
      <c r="K304" s="179" t="inlineStr">
        <is>
          <t>2672 BAIGE DIGITAL</t>
        </is>
      </c>
    </row>
    <row r="305">
      <c r="A305" s="17" t="inlineStr">
        <is>
          <t>Mr. Ke Jiaqi</t>
        </is>
      </c>
      <c r="B305" s="171" t="n">
        <v>1</v>
      </c>
      <c r="C305" s="177" t="n">
        <v>100</v>
      </c>
      <c r="D305" s="178" t="n">
        <v>367.9</v>
      </c>
      <c r="E305" s="178" t="n">
        <v>295.2</v>
      </c>
      <c r="F305" s="178" t="n">
        <v>280.8</v>
      </c>
      <c r="G305" s="178" t="n"/>
      <c r="H305" s="178" t="n">
        <v>-15.6</v>
      </c>
      <c r="I305" s="178" t="n">
        <v>-18.6</v>
      </c>
      <c r="J305" s="178" t="n"/>
      <c r="K305" s="179" t="inlineStr">
        <is>
          <t>2672 BAIGE DIGITAL</t>
        </is>
      </c>
    </row>
    <row r="306">
      <c r="A306" s="17" t="inlineStr">
        <is>
          <t>Huayou HongKong Holding Limited</t>
        </is>
      </c>
      <c r="B306" s="171" t="n">
        <v>1</v>
      </c>
      <c r="C306" s="177" t="n">
        <v>100</v>
      </c>
      <c r="D306" s="178" t="n">
        <v>258.9</v>
      </c>
      <c r="E306" s="178" t="n">
        <v>459.7</v>
      </c>
      <c r="F306" s="178" t="n">
        <v>303.2</v>
      </c>
      <c r="G306" s="178" t="n">
        <v>290.7</v>
      </c>
      <c r="H306" s="178" t="n">
        <v>56</v>
      </c>
      <c r="I306" s="178" t="n">
        <v>12.4</v>
      </c>
      <c r="J306" s="178" t="n">
        <v>8.9</v>
      </c>
      <c r="K306" s="179" t="inlineStr">
        <is>
          <t>2155 MORIMATSU INTL</t>
        </is>
      </c>
    </row>
    <row r="307">
      <c r="A307" s="17" t="inlineStr">
        <is>
          <t>Hwa-An International Limited</t>
        </is>
      </c>
      <c r="B307" s="171" t="n">
        <v>1</v>
      </c>
      <c r="C307" s="177" t="n">
        <v>100</v>
      </c>
      <c r="D307" s="178" t="n">
        <v>258.9</v>
      </c>
      <c r="E307" s="178" t="n">
        <v>459.7</v>
      </c>
      <c r="F307" s="178" t="n">
        <v>303.2</v>
      </c>
      <c r="G307" s="178" t="n">
        <v>290.7</v>
      </c>
      <c r="H307" s="178" t="n">
        <v>56</v>
      </c>
      <c r="I307" s="178" t="n">
        <v>12.4</v>
      </c>
      <c r="J307" s="178" t="n">
        <v>8.9</v>
      </c>
      <c r="K307" s="179" t="inlineStr">
        <is>
          <t>2155 MORIMATSU INTL</t>
        </is>
      </c>
    </row>
    <row r="308">
      <c r="A308" s="17" t="inlineStr">
        <is>
          <t>Jingzhirui (Suzhou) Microelectronic Technology Co., Ltd</t>
        </is>
      </c>
      <c r="B308" s="171" t="n">
        <v>1</v>
      </c>
      <c r="C308" s="177" t="n">
        <v>100</v>
      </c>
      <c r="D308" s="178" t="n">
        <v>258.9</v>
      </c>
      <c r="E308" s="178" t="n">
        <v>459.7</v>
      </c>
      <c r="F308" s="178" t="n">
        <v>303.2</v>
      </c>
      <c r="G308" s="178" t="n">
        <v>290.7</v>
      </c>
      <c r="H308" s="178" t="n">
        <v>56</v>
      </c>
      <c r="I308" s="178" t="n">
        <v>12.4</v>
      </c>
      <c r="J308" s="178" t="n">
        <v>8.9</v>
      </c>
      <c r="K308" s="179" t="inlineStr">
        <is>
          <t>2155 MORIMATSU INTL</t>
        </is>
      </c>
    </row>
    <row r="309">
      <c r="A309" s="17" t="inlineStr">
        <is>
          <t>Zhang Ning</t>
        </is>
      </c>
      <c r="B309" s="171" t="n">
        <v>1</v>
      </c>
      <c r="C309" s="177" t="n">
        <v>100</v>
      </c>
      <c r="D309" s="178" t="n">
        <v>258.9</v>
      </c>
      <c r="E309" s="178" t="n">
        <v>459.7</v>
      </c>
      <c r="F309" s="178" t="n">
        <v>303.2</v>
      </c>
      <c r="G309" s="178" t="n">
        <v>290.7</v>
      </c>
      <c r="H309" s="178" t="n">
        <v>56</v>
      </c>
      <c r="I309" s="178" t="n">
        <v>12.4</v>
      </c>
      <c r="J309" s="178" t="n">
        <v>8.9</v>
      </c>
      <c r="K309" s="179" t="inlineStr">
        <is>
          <t>2155 MORIMATSU INTL</t>
        </is>
      </c>
    </row>
    <row r="310">
      <c r="A310" s="17" t="inlineStr">
        <is>
          <t>Ms. Fan</t>
        </is>
      </c>
      <c r="B310" s="171" t="n">
        <v>1</v>
      </c>
      <c r="C310" s="177" t="n">
        <v>100</v>
      </c>
      <c r="D310" s="178" t="n">
        <v>258.1</v>
      </c>
      <c r="E310" s="178" t="n">
        <v>457.4</v>
      </c>
      <c r="F310" s="178" t="n">
        <v>456.4</v>
      </c>
      <c r="G310" s="178" t="n">
        <v>467.2</v>
      </c>
      <c r="H310" s="178" t="n">
        <v>55.7</v>
      </c>
      <c r="I310" s="178" t="n">
        <v>55.4</v>
      </c>
      <c r="J310" s="178" t="n">
        <v>58.4</v>
      </c>
      <c r="K310" s="179" t="inlineStr">
        <is>
          <t>2583 HIPINE</t>
        </is>
      </c>
    </row>
    <row r="311">
      <c r="A311" s="17" t="inlineStr">
        <is>
          <t>Jinyingu Investment</t>
        </is>
      </c>
      <c r="B311" s="171" t="n">
        <v>1</v>
      </c>
      <c r="C311" s="177" t="n">
        <v>100</v>
      </c>
      <c r="D311" s="178" t="n">
        <v>258.1</v>
      </c>
      <c r="E311" s="178" t="n">
        <v>457.4</v>
      </c>
      <c r="F311" s="178" t="n">
        <v>456.4</v>
      </c>
      <c r="G311" s="178" t="n">
        <v>467.2</v>
      </c>
      <c r="H311" s="178" t="n">
        <v>55.7</v>
      </c>
      <c r="I311" s="178" t="n">
        <v>55.4</v>
      </c>
      <c r="J311" s="178" t="n">
        <v>58.4</v>
      </c>
      <c r="K311" s="179" t="inlineStr">
        <is>
          <t>2583 HIPINE</t>
        </is>
      </c>
    </row>
    <row r="312">
      <c r="A312" s="17" t="inlineStr">
        <is>
          <t>Ren Xuyang (任旭陽)</t>
        </is>
      </c>
      <c r="B312" s="171" t="n">
        <v>1</v>
      </c>
      <c r="C312" s="177" t="n">
        <v>100</v>
      </c>
      <c r="D312" s="178" t="n">
        <v>242.2</v>
      </c>
      <c r="E312" s="178" t="n">
        <v>298.7</v>
      </c>
      <c r="F312" s="178" t="n">
        <v>204.7</v>
      </c>
      <c r="G312" s="178" t="n">
        <v>132.4</v>
      </c>
      <c r="H312" s="178" t="n">
        <v>16.5</v>
      </c>
      <c r="I312" s="178" t="n">
        <v>-11</v>
      </c>
      <c r="J312" s="178" t="n">
        <v>-32.1</v>
      </c>
      <c r="K312" s="179" t="inlineStr">
        <is>
          <t>2706 HAIZHI TECH GP</t>
        </is>
      </c>
    </row>
    <row r="313">
      <c r="A313" s="17" t="inlineStr">
        <is>
          <t>Yang Zaifei (楊再飛)</t>
        </is>
      </c>
      <c r="B313" s="171" t="n">
        <v>1</v>
      </c>
      <c r="C313" s="177" t="n">
        <v>100</v>
      </c>
      <c r="D313" s="178" t="n">
        <v>242.2</v>
      </c>
      <c r="E313" s="178" t="n">
        <v>298.7</v>
      </c>
      <c r="F313" s="178" t="n">
        <v>204.7</v>
      </c>
      <c r="G313" s="178" t="n">
        <v>132.4</v>
      </c>
      <c r="H313" s="178" t="n">
        <v>16.5</v>
      </c>
      <c r="I313" s="178" t="n">
        <v>-11</v>
      </c>
      <c r="J313" s="178" t="n">
        <v>-32.1</v>
      </c>
      <c r="K313" s="179" t="inlineStr">
        <is>
          <t>2706 HAIZHI TECH GP</t>
        </is>
      </c>
    </row>
    <row r="314">
      <c r="A314" s="17" t="inlineStr">
        <is>
          <t>BAI GmbH</t>
        </is>
      </c>
      <c r="B314" s="171" t="n">
        <v>1</v>
      </c>
      <c r="C314" s="177" t="n">
        <v>100</v>
      </c>
      <c r="D314" s="178" t="n">
        <v>242.2</v>
      </c>
      <c r="E314" s="178" t="n">
        <v>298.7</v>
      </c>
      <c r="F314" s="178" t="n">
        <v>204.7</v>
      </c>
      <c r="G314" s="178" t="n">
        <v>132.4</v>
      </c>
      <c r="H314" s="178" t="n">
        <v>16.5</v>
      </c>
      <c r="I314" s="178" t="n">
        <v>-11</v>
      </c>
      <c r="J314" s="178" t="n">
        <v>-32.1</v>
      </c>
      <c r="K314" s="179" t="inlineStr">
        <is>
          <t>2706 HAIZHI TECH GP</t>
        </is>
      </c>
    </row>
    <row r="315">
      <c r="A315" s="17" t="inlineStr">
        <is>
          <t>SKY FINE LIMITED</t>
        </is>
      </c>
      <c r="B315" s="171" t="n">
        <v>1</v>
      </c>
      <c r="C315" s="177" t="n">
        <v>100</v>
      </c>
      <c r="D315" s="178" t="n">
        <v>242.2</v>
      </c>
      <c r="E315" s="178" t="n">
        <v>298.7</v>
      </c>
      <c r="F315" s="178" t="n">
        <v>204.7</v>
      </c>
      <c r="G315" s="178" t="n">
        <v>132.4</v>
      </c>
      <c r="H315" s="178" t="n">
        <v>16.5</v>
      </c>
      <c r="I315" s="178" t="n">
        <v>-11</v>
      </c>
      <c r="J315" s="178" t="n">
        <v>-32.1</v>
      </c>
      <c r="K315" s="179" t="inlineStr">
        <is>
          <t>2706 HAIZHI TECH GP</t>
        </is>
      </c>
    </row>
    <row r="316">
      <c r="A316" s="17" t="inlineStr">
        <is>
          <t>Yifang Technology Group, Ltd</t>
        </is>
      </c>
      <c r="B316" s="171" t="n">
        <v>1</v>
      </c>
      <c r="C316" s="177" t="n">
        <v>100</v>
      </c>
      <c r="D316" s="178" t="n">
        <v>242.2</v>
      </c>
      <c r="E316" s="178" t="n">
        <v>298.7</v>
      </c>
      <c r="F316" s="178" t="n">
        <v>204.7</v>
      </c>
      <c r="G316" s="178" t="n">
        <v>132.4</v>
      </c>
      <c r="H316" s="178" t="n">
        <v>16.5</v>
      </c>
      <c r="I316" s="178" t="n">
        <v>-11</v>
      </c>
      <c r="J316" s="178" t="n">
        <v>-32.1</v>
      </c>
      <c r="K316" s="179" t="inlineStr">
        <is>
          <t>2706 HAIZHI TECH GP</t>
        </is>
      </c>
    </row>
    <row r="317">
      <c r="A317" s="17" t="inlineStr">
        <is>
          <t>Shi Youcai (史有才)</t>
        </is>
      </c>
      <c r="B317" s="171" t="n">
        <v>1</v>
      </c>
      <c r="C317" s="177" t="n">
        <v>100</v>
      </c>
      <c r="D317" s="178" t="n">
        <v>242.2</v>
      </c>
      <c r="E317" s="178" t="n">
        <v>298.7</v>
      </c>
      <c r="F317" s="178" t="n">
        <v>204.7</v>
      </c>
      <c r="G317" s="178" t="n">
        <v>132.4</v>
      </c>
      <c r="H317" s="178" t="n">
        <v>16.5</v>
      </c>
      <c r="I317" s="178" t="n">
        <v>-11</v>
      </c>
      <c r="J317" s="178" t="n">
        <v>-32.1</v>
      </c>
      <c r="K317" s="179" t="inlineStr">
        <is>
          <t>2706 HAIZHI TECH GP</t>
        </is>
      </c>
    </row>
    <row r="318">
      <c r="A318" s="17" t="inlineStr">
        <is>
          <t>Yang Juan (楊娟)</t>
        </is>
      </c>
      <c r="B318" s="171" t="n">
        <v>1</v>
      </c>
      <c r="C318" s="177" t="n">
        <v>100</v>
      </c>
      <c r="D318" s="178" t="n">
        <v>242.2</v>
      </c>
      <c r="E318" s="178" t="n">
        <v>298.7</v>
      </c>
      <c r="F318" s="178" t="n">
        <v>204.7</v>
      </c>
      <c r="G318" s="178" t="n">
        <v>132.4</v>
      </c>
      <c r="H318" s="178" t="n">
        <v>16.5</v>
      </c>
      <c r="I318" s="178" t="n">
        <v>-11</v>
      </c>
      <c r="J318" s="178" t="n">
        <v>-32.1</v>
      </c>
      <c r="K318" s="179" t="inlineStr">
        <is>
          <t>2706 HAIZHI TECH GP</t>
        </is>
      </c>
    </row>
    <row r="319">
      <c r="A319" s="17" t="inlineStr">
        <is>
          <t>Wan Pengjiang (萬澎江)</t>
        </is>
      </c>
      <c r="B319" s="171" t="n">
        <v>1</v>
      </c>
      <c r="C319" s="177" t="n">
        <v>100</v>
      </c>
      <c r="D319" s="178" t="n">
        <v>242.2</v>
      </c>
      <c r="E319" s="178" t="n">
        <v>298.7</v>
      </c>
      <c r="F319" s="178" t="n">
        <v>204.7</v>
      </c>
      <c r="G319" s="178" t="n">
        <v>132.4</v>
      </c>
      <c r="H319" s="178" t="n">
        <v>16.5</v>
      </c>
      <c r="I319" s="178" t="n">
        <v>-11</v>
      </c>
      <c r="J319" s="178" t="n">
        <v>-32.1</v>
      </c>
      <c r="K319" s="179" t="inlineStr">
        <is>
          <t>2706 HAIZHI TECH GP</t>
        </is>
      </c>
    </row>
    <row r="320">
      <c r="A320" s="17" t="inlineStr">
        <is>
          <t>Hu Song (胡嵩)</t>
        </is>
      </c>
      <c r="B320" s="171" t="n">
        <v>1</v>
      </c>
      <c r="C320" s="177" t="n">
        <v>100</v>
      </c>
      <c r="D320" s="178" t="n">
        <v>242.2</v>
      </c>
      <c r="E320" s="178" t="n">
        <v>298.7</v>
      </c>
      <c r="F320" s="178" t="n">
        <v>204.7</v>
      </c>
      <c r="G320" s="178" t="n">
        <v>132.4</v>
      </c>
      <c r="H320" s="178" t="n">
        <v>16.5</v>
      </c>
      <c r="I320" s="178" t="n">
        <v>-11</v>
      </c>
      <c r="J320" s="178" t="n">
        <v>-32.1</v>
      </c>
      <c r="K320" s="179" t="inlineStr">
        <is>
          <t>2706 HAIZHI TECH GP</t>
        </is>
      </c>
    </row>
    <row r="321">
      <c r="A321" s="17" t="inlineStr">
        <is>
          <t>TAL China Focus Master Fund</t>
        </is>
      </c>
      <c r="B321" s="171" t="n">
        <v>1</v>
      </c>
      <c r="C321" s="177" t="n">
        <v>100</v>
      </c>
      <c r="D321" s="178" t="n">
        <v>242.2</v>
      </c>
      <c r="E321" s="178" t="n">
        <v>298.7</v>
      </c>
      <c r="F321" s="178" t="n">
        <v>204.7</v>
      </c>
      <c r="G321" s="178" t="n">
        <v>132.4</v>
      </c>
      <c r="H321" s="178" t="n">
        <v>16.5</v>
      </c>
      <c r="I321" s="178" t="n">
        <v>-11</v>
      </c>
      <c r="J321" s="178" t="n">
        <v>-32.1</v>
      </c>
      <c r="K321" s="179" t="inlineStr">
        <is>
          <t>2706 HAIZHI TECH GP</t>
        </is>
      </c>
    </row>
    <row r="322">
      <c r="A322" s="17" t="inlineStr">
        <is>
          <t>Alternative Fund, L.P</t>
        </is>
      </c>
      <c r="B322" s="171" t="n">
        <v>1</v>
      </c>
      <c r="C322" s="177" t="n">
        <v>100</v>
      </c>
      <c r="D322" s="178" t="n">
        <v>242.2</v>
      </c>
      <c r="E322" s="178" t="n">
        <v>298.7</v>
      </c>
      <c r="F322" s="178" t="n">
        <v>204.7</v>
      </c>
      <c r="G322" s="178" t="n">
        <v>132.4</v>
      </c>
      <c r="H322" s="178" t="n">
        <v>16.5</v>
      </c>
      <c r="I322" s="178" t="n">
        <v>-11</v>
      </c>
      <c r="J322" s="178" t="n">
        <v>-32.1</v>
      </c>
      <c r="K322" s="179" t="inlineStr">
        <is>
          <t>2706 HAIZHI TECH GP</t>
        </is>
      </c>
    </row>
    <row r="323">
      <c r="A323" s="17" t="inlineStr">
        <is>
          <t>XINWUTANG CO., LIMITED</t>
        </is>
      </c>
      <c r="B323" s="171" t="n">
        <v>1</v>
      </c>
      <c r="C323" s="177" t="n">
        <v>100</v>
      </c>
      <c r="D323" s="178" t="n">
        <v>241.1</v>
      </c>
      <c r="E323" s="178" t="n">
        <v>216.6</v>
      </c>
      <c r="F323" s="178" t="n">
        <v>201.5</v>
      </c>
      <c r="G323" s="178" t="n">
        <v>136.7</v>
      </c>
      <c r="H323" s="178" t="n">
        <v>-7.2</v>
      </c>
      <c r="I323" s="178" t="n">
        <v>-11.6</v>
      </c>
      <c r="J323" s="178" t="n">
        <v>-30.6</v>
      </c>
      <c r="K323" s="179" t="inlineStr">
        <is>
          <t>6810 SUNMI TECH-W</t>
        </is>
      </c>
    </row>
    <row r="324">
      <c r="A324" s="17" t="inlineStr">
        <is>
          <t>Carsonlin Investment Ltd</t>
        </is>
      </c>
      <c r="B324" s="171" t="n">
        <v>1</v>
      </c>
      <c r="C324" s="177" t="n">
        <v>100</v>
      </c>
      <c r="D324" s="178" t="n">
        <v>230.2</v>
      </c>
      <c r="E324" s="178" t="n">
        <v>281.1</v>
      </c>
      <c r="F324" s="178" t="n">
        <v>196.2</v>
      </c>
      <c r="G324" s="178" t="n">
        <v>696.2</v>
      </c>
      <c r="H324" s="178" t="n">
        <v>15.4</v>
      </c>
      <c r="I324" s="178" t="n">
        <v>-10.3</v>
      </c>
      <c r="J324" s="178" t="n">
        <v>141.1</v>
      </c>
      <c r="K324" s="179" t="inlineStr">
        <is>
          <t>2427 GUANZE MEDICAL</t>
        </is>
      </c>
    </row>
    <row r="325">
      <c r="A325" s="17" t="inlineStr">
        <is>
          <t>Mu Min</t>
        </is>
      </c>
      <c r="B325" s="171" t="n">
        <v>1</v>
      </c>
      <c r="C325" s="177" t="n">
        <v>100</v>
      </c>
      <c r="D325" s="178" t="n">
        <v>230.2</v>
      </c>
      <c r="E325" s="178" t="n">
        <v>281.1</v>
      </c>
      <c r="F325" s="178" t="n">
        <v>196.2</v>
      </c>
      <c r="G325" s="178" t="n">
        <v>696.2</v>
      </c>
      <c r="H325" s="178" t="n">
        <v>15.4</v>
      </c>
      <c r="I325" s="178" t="n">
        <v>-10.3</v>
      </c>
      <c r="J325" s="178" t="n">
        <v>141.1</v>
      </c>
      <c r="K325" s="179" t="inlineStr">
        <is>
          <t>2427 GUANZE MEDICAL</t>
        </is>
      </c>
    </row>
    <row r="326">
      <c r="A326" s="17" t="inlineStr">
        <is>
          <t>Yang Xinyun</t>
        </is>
      </c>
      <c r="B326" s="171" t="n">
        <v>1</v>
      </c>
      <c r="C326" s="177" t="n">
        <v>100</v>
      </c>
      <c r="D326" s="178" t="n">
        <v>230.2</v>
      </c>
      <c r="E326" s="178" t="n">
        <v>281.1</v>
      </c>
      <c r="F326" s="178" t="n">
        <v>196.2</v>
      </c>
      <c r="G326" s="178" t="n">
        <v>696.2</v>
      </c>
      <c r="H326" s="178" t="n">
        <v>15.4</v>
      </c>
      <c r="I326" s="178" t="n">
        <v>-10.3</v>
      </c>
      <c r="J326" s="178" t="n">
        <v>141.1</v>
      </c>
      <c r="K326" s="179" t="inlineStr">
        <is>
          <t>2427 GUANZE MEDICAL</t>
        </is>
      </c>
    </row>
    <row r="327">
      <c r="A327" s="17" t="inlineStr">
        <is>
          <t>LI Huifeng ( ኇᅆჾ)</t>
        </is>
      </c>
      <c r="B327" s="171" t="n">
        <v>1</v>
      </c>
      <c r="C327" s="177" t="n">
        <v>100</v>
      </c>
      <c r="D327" s="178" t="n">
        <v>206.5</v>
      </c>
      <c r="E327" s="178" t="n">
        <v>183.7</v>
      </c>
      <c r="F327" s="178" t="n">
        <v>137.4</v>
      </c>
      <c r="G327" s="178" t="n">
        <v>84.59999999999999</v>
      </c>
      <c r="H327" s="178" t="n">
        <v>-7.4</v>
      </c>
      <c r="I327" s="178" t="n">
        <v>-22.6</v>
      </c>
      <c r="J327" s="178" t="n">
        <v>-39.8</v>
      </c>
      <c r="K327" s="179" t="inlineStr">
        <is>
          <t>2591 INNOGEN-B</t>
        </is>
      </c>
    </row>
    <row r="328">
      <c r="A328" s="17" t="inlineStr">
        <is>
          <t>SPC-XtalPi AI Fund SP</t>
        </is>
      </c>
      <c r="B328" s="171" t="n">
        <v>1</v>
      </c>
      <c r="C328" s="177" t="n">
        <v>100</v>
      </c>
      <c r="D328" s="178" t="n">
        <v>206.5</v>
      </c>
      <c r="E328" s="178" t="n">
        <v>183.7</v>
      </c>
      <c r="F328" s="178" t="n">
        <v>137.4</v>
      </c>
      <c r="G328" s="178" t="n">
        <v>84.59999999999999</v>
      </c>
      <c r="H328" s="178" t="n">
        <v>-7.4</v>
      </c>
      <c r="I328" s="178" t="n">
        <v>-22.6</v>
      </c>
      <c r="J328" s="178" t="n">
        <v>-39.8</v>
      </c>
      <c r="K328" s="179" t="inlineStr">
        <is>
          <t>2591 INNOGEN-B</t>
        </is>
      </c>
    </row>
    <row r="329">
      <c r="A329" s="17" t="inlineStr">
        <is>
          <t>Marketingforce Management Ltd</t>
        </is>
      </c>
      <c r="B329" s="171" t="n">
        <v>1</v>
      </c>
      <c r="C329" s="177" t="n">
        <v>100</v>
      </c>
      <c r="D329" s="178" t="n">
        <v>206.5</v>
      </c>
      <c r="E329" s="178" t="n">
        <v>183.7</v>
      </c>
      <c r="F329" s="178" t="n">
        <v>137.4</v>
      </c>
      <c r="G329" s="178" t="n">
        <v>84.59999999999999</v>
      </c>
      <c r="H329" s="178" t="n">
        <v>-7.4</v>
      </c>
      <c r="I329" s="178" t="n">
        <v>-22.6</v>
      </c>
      <c r="J329" s="178" t="n">
        <v>-39.8</v>
      </c>
      <c r="K329" s="179" t="inlineStr">
        <is>
          <t>2591 INNOGEN-B</t>
        </is>
      </c>
    </row>
    <row r="330">
      <c r="A330" s="17" t="inlineStr">
        <is>
          <t>DENG Haifeng</t>
        </is>
      </c>
      <c r="B330" s="171" t="n">
        <v>1</v>
      </c>
      <c r="C330" s="177" t="n">
        <v>100</v>
      </c>
      <c r="D330" s="178" t="n">
        <v>206.5</v>
      </c>
      <c r="E330" s="178" t="n">
        <v>183.7</v>
      </c>
      <c r="F330" s="178" t="n">
        <v>137.4</v>
      </c>
      <c r="G330" s="178" t="n">
        <v>84.59999999999999</v>
      </c>
      <c r="H330" s="178" t="n">
        <v>-7.4</v>
      </c>
      <c r="I330" s="178" t="n">
        <v>-22.6</v>
      </c>
      <c r="J330" s="178" t="n">
        <v>-39.8</v>
      </c>
      <c r="K330" s="179" t="inlineStr">
        <is>
          <t>2591 INNOGEN-B</t>
        </is>
      </c>
    </row>
    <row r="331">
      <c r="A331" s="17" t="inlineStr">
        <is>
          <t>Palace Investments Pte. Ltd</t>
        </is>
      </c>
      <c r="B331" s="171" t="n">
        <v>1</v>
      </c>
      <c r="C331" s="177" t="n">
        <v>100</v>
      </c>
      <c r="D331" s="178" t="n">
        <v>206.5</v>
      </c>
      <c r="E331" s="178" t="n">
        <v>183.7</v>
      </c>
      <c r="F331" s="178" t="n">
        <v>137.4</v>
      </c>
      <c r="G331" s="178" t="n">
        <v>84.59999999999999</v>
      </c>
      <c r="H331" s="178" t="n">
        <v>-7.4</v>
      </c>
      <c r="I331" s="178" t="n">
        <v>-22.6</v>
      </c>
      <c r="J331" s="178" t="n">
        <v>-39.8</v>
      </c>
      <c r="K331" s="179" t="inlineStr">
        <is>
          <t>2591 INNOGEN-B</t>
        </is>
      </c>
    </row>
    <row r="332">
      <c r="A332" s="17" t="inlineStr">
        <is>
          <t>BioTrack AA Limited</t>
        </is>
      </c>
      <c r="B332" s="171" t="n">
        <v>1</v>
      </c>
      <c r="C332" s="177" t="n">
        <v>100</v>
      </c>
      <c r="D332" s="178" t="n">
        <v>206.5</v>
      </c>
      <c r="E332" s="178" t="n">
        <v>183.7</v>
      </c>
      <c r="F332" s="178" t="n">
        <v>137.4</v>
      </c>
      <c r="G332" s="178" t="n">
        <v>84.59999999999999</v>
      </c>
      <c r="H332" s="178" t="n">
        <v>-7.4</v>
      </c>
      <c r="I332" s="178" t="n">
        <v>-22.6</v>
      </c>
      <c r="J332" s="178" t="n">
        <v>-39.8</v>
      </c>
      <c r="K332" s="179" t="inlineStr">
        <is>
          <t>2591 INNOGEN-B</t>
        </is>
      </c>
    </row>
    <row r="333">
      <c r="A333" s="17" t="inlineStr">
        <is>
          <t>AMR Action Fund, L.P</t>
        </is>
      </c>
      <c r="B333" s="171" t="n">
        <v>1</v>
      </c>
      <c r="C333" s="177" t="n">
        <v>100</v>
      </c>
      <c r="D333" s="178" t="n">
        <v>178.7</v>
      </c>
      <c r="E333" s="178" t="n">
        <v>166.8</v>
      </c>
      <c r="F333" s="178" t="n">
        <v>248.2</v>
      </c>
      <c r="G333" s="178" t="n">
        <v>165</v>
      </c>
      <c r="H333" s="178" t="n">
        <v>-4.3</v>
      </c>
      <c r="I333" s="178" t="n">
        <v>24.9</v>
      </c>
      <c r="J333" s="178" t="n">
        <v>-4.9</v>
      </c>
      <c r="K333" s="179" t="inlineStr">
        <is>
          <t>6872 TENNOR THERAP-B</t>
        </is>
      </c>
    </row>
    <row r="334">
      <c r="A334" s="17" t="inlineStr">
        <is>
          <t>Shanghai Yangtze River Delta Industry Upgrade Equity Investment</t>
        </is>
      </c>
      <c r="B334" s="171" t="n">
        <v>1</v>
      </c>
      <c r="C334" s="177" t="n">
        <v>100</v>
      </c>
      <c r="D334" s="178" t="n">
        <v>161</v>
      </c>
      <c r="E334" s="178" t="n">
        <v>94.59999999999999</v>
      </c>
      <c r="F334" s="178" t="n">
        <v>89.8</v>
      </c>
      <c r="G334" s="178" t="n">
        <v>112.9</v>
      </c>
      <c r="H334" s="178" t="n">
        <v>-25.4</v>
      </c>
      <c r="I334" s="178" t="n">
        <v>-27.3</v>
      </c>
      <c r="J334" s="178" t="n">
        <v>-18.4</v>
      </c>
      <c r="K334" s="179" t="inlineStr">
        <is>
          <t>2652 CF PHARMTECH</t>
        </is>
      </c>
    </row>
    <row r="335">
      <c r="A335" s="17" t="inlineStr">
        <is>
          <t>The Capital Group Funds</t>
        </is>
      </c>
      <c r="B335" s="171" t="n">
        <v>1</v>
      </c>
      <c r="C335" s="177" t="n">
        <v>100</v>
      </c>
      <c r="D335" s="178" t="n">
        <v>160.9</v>
      </c>
      <c r="E335" s="178" t="n">
        <v>250.4</v>
      </c>
      <c r="F335" s="178" t="n">
        <v>141.9</v>
      </c>
      <c r="G335" s="178" t="n">
        <v>105.4</v>
      </c>
      <c r="H335" s="178" t="n">
        <v>34.3</v>
      </c>
      <c r="I335" s="178" t="n">
        <v>-7.3</v>
      </c>
      <c r="J335" s="178" t="n">
        <v>-21.3</v>
      </c>
      <c r="K335" s="179" t="inlineStr">
        <is>
          <t>1024 KUAISHOU-W</t>
        </is>
      </c>
    </row>
    <row r="336">
      <c r="A336" s="17" t="inlineStr">
        <is>
          <t>Aoqin Heming</t>
        </is>
      </c>
      <c r="B336" s="171" t="n">
        <v>1</v>
      </c>
      <c r="C336" s="177" t="n">
        <v>100</v>
      </c>
      <c r="D336" s="178" t="n">
        <v>158.8</v>
      </c>
      <c r="E336" s="178" t="n">
        <v>229.4</v>
      </c>
      <c r="F336" s="178" t="n">
        <v>338.7</v>
      </c>
      <c r="G336" s="178" t="n">
        <v>592.7</v>
      </c>
      <c r="H336" s="178" t="n">
        <v>27.3</v>
      </c>
      <c r="I336" s="178" t="n">
        <v>69.5</v>
      </c>
      <c r="J336" s="178" t="n">
        <v>167.6</v>
      </c>
      <c r="K336" s="179" t="inlineStr">
        <is>
          <t>2661 QINGSONG HEALTH</t>
        </is>
      </c>
    </row>
    <row r="337">
      <c r="A337" s="17" t="inlineStr">
        <is>
          <t>Discretionary basis</t>
        </is>
      </c>
      <c r="B337" s="171" t="n">
        <v>1</v>
      </c>
      <c r="C337" s="177" t="n">
        <v>100</v>
      </c>
      <c r="D337" s="178" t="n">
        <v>158.8</v>
      </c>
      <c r="E337" s="178" t="n">
        <v>229.4</v>
      </c>
      <c r="F337" s="178" t="n">
        <v>338.7</v>
      </c>
      <c r="G337" s="178" t="n">
        <v>592.7</v>
      </c>
      <c r="H337" s="178" t="n">
        <v>27.3</v>
      </c>
      <c r="I337" s="178" t="n">
        <v>69.5</v>
      </c>
      <c r="J337" s="178" t="n">
        <v>167.6</v>
      </c>
      <c r="K337" s="179" t="inlineStr">
        <is>
          <t>2661 QINGSONG HEALTH</t>
        </is>
      </c>
    </row>
    <row r="338">
      <c r="A338" s="17" t="inlineStr">
        <is>
          <t>George Kent International Pte. Ltd</t>
        </is>
      </c>
      <c r="B338" s="171" t="n">
        <v>1</v>
      </c>
      <c r="C338" s="177" t="n">
        <v>100</v>
      </c>
      <c r="D338" s="178" t="n">
        <v>150</v>
      </c>
      <c r="E338" s="178" t="n">
        <v>164</v>
      </c>
      <c r="F338" s="178" t="n">
        <v>151.2</v>
      </c>
      <c r="G338" s="178" t="n">
        <v>112.5</v>
      </c>
      <c r="H338" s="178" t="n">
        <v>5.6</v>
      </c>
      <c r="I338" s="178" t="n">
        <v>0.5</v>
      </c>
      <c r="J338" s="178" t="n">
        <v>-15</v>
      </c>
      <c r="K338" s="179" t="inlineStr">
        <is>
          <t>6636 EXTREME VISION</t>
        </is>
      </c>
    </row>
    <row r="339">
      <c r="A339" s="17" t="inlineStr">
        <is>
          <t>Zhengjin (Hong Kong) International Co., Limited</t>
        </is>
      </c>
      <c r="B339" s="171" t="n">
        <v>1</v>
      </c>
      <c r="C339" s="177" t="n">
        <v>100</v>
      </c>
      <c r="D339" s="178" t="n">
        <v>150</v>
      </c>
      <c r="E339" s="178" t="n">
        <v>164</v>
      </c>
      <c r="F339" s="178" t="n">
        <v>151.2</v>
      </c>
      <c r="G339" s="178" t="n">
        <v>112.5</v>
      </c>
      <c r="H339" s="178" t="n">
        <v>5.6</v>
      </c>
      <c r="I339" s="178" t="n">
        <v>0.5</v>
      </c>
      <c r="J339" s="178" t="n">
        <v>-15</v>
      </c>
      <c r="K339" s="179" t="inlineStr">
        <is>
          <t>6636 EXTREME VISION</t>
        </is>
      </c>
    </row>
    <row r="340">
      <c r="A340" s="17" t="inlineStr">
        <is>
          <t>Ms. Jin Jie</t>
        </is>
      </c>
      <c r="B340" s="171" t="n">
        <v>1</v>
      </c>
      <c r="C340" s="177" t="n">
        <v>100</v>
      </c>
      <c r="D340" s="178" t="n">
        <v>145.7</v>
      </c>
      <c r="E340" s="178" t="n">
        <v>65</v>
      </c>
      <c r="F340" s="178" t="n">
        <v>131.1</v>
      </c>
      <c r="G340" s="178" t="n">
        <v>216.2</v>
      </c>
      <c r="H340" s="178" t="n">
        <v>-32.9</v>
      </c>
      <c r="I340" s="178" t="n">
        <v>-6</v>
      </c>
      <c r="J340" s="178" t="n">
        <v>28.7</v>
      </c>
      <c r="K340" s="179" t="inlineStr">
        <is>
          <t>2630 VIGONVITA-B</t>
        </is>
      </c>
    </row>
    <row r="341">
      <c r="A341" s="17" t="inlineStr">
        <is>
          <t>Dr. Shen</t>
        </is>
      </c>
      <c r="B341" s="171" t="n">
        <v>1</v>
      </c>
      <c r="C341" s="177" t="n">
        <v>100</v>
      </c>
      <c r="D341" s="178" t="n">
        <v>145.7</v>
      </c>
      <c r="E341" s="178" t="n">
        <v>65</v>
      </c>
      <c r="F341" s="178" t="n">
        <v>131.1</v>
      </c>
      <c r="G341" s="178" t="n">
        <v>216.2</v>
      </c>
      <c r="H341" s="178" t="n">
        <v>-32.9</v>
      </c>
      <c r="I341" s="178" t="n">
        <v>-6</v>
      </c>
      <c r="J341" s="178" t="n">
        <v>28.7</v>
      </c>
      <c r="K341" s="179" t="inlineStr">
        <is>
          <t>2630 VIGONVITA-B</t>
        </is>
      </c>
    </row>
    <row r="342">
      <c r="A342" s="17" t="inlineStr">
        <is>
          <t>Hesai Hong Kong Limited</t>
        </is>
      </c>
      <c r="B342" s="171" t="n">
        <v>1</v>
      </c>
      <c r="C342" s="177" t="n">
        <v>100</v>
      </c>
      <c r="D342" s="178" t="n">
        <v>144.1</v>
      </c>
      <c r="E342" s="178" t="n">
        <v>273.8</v>
      </c>
      <c r="F342" s="178" t="n">
        <v>142.9</v>
      </c>
      <c r="G342" s="178" t="n">
        <v>16.5</v>
      </c>
      <c r="H342" s="178" t="n">
        <v>53.1</v>
      </c>
      <c r="I342" s="178" t="n">
        <v>-0.5</v>
      </c>
      <c r="J342" s="178" t="n">
        <v>-52.3</v>
      </c>
      <c r="K342" s="179" t="inlineStr">
        <is>
          <t>0068 MANYCORE TECH</t>
        </is>
      </c>
    </row>
    <row r="343">
      <c r="A343" s="17" t="inlineStr">
        <is>
          <t>REDWOOD ELITE LIMITED</t>
        </is>
      </c>
      <c r="B343" s="171" t="n">
        <v>1</v>
      </c>
      <c r="C343" s="177" t="n">
        <v>100</v>
      </c>
      <c r="D343" s="178" t="n">
        <v>144.1</v>
      </c>
      <c r="E343" s="178" t="n">
        <v>273.8</v>
      </c>
      <c r="F343" s="178" t="n">
        <v>142.9</v>
      </c>
      <c r="G343" s="178" t="n">
        <v>16.5</v>
      </c>
      <c r="H343" s="178" t="n">
        <v>53.1</v>
      </c>
      <c r="I343" s="178" t="n">
        <v>-0.5</v>
      </c>
      <c r="J343" s="178" t="n">
        <v>-52.3</v>
      </c>
      <c r="K343" s="179" t="inlineStr">
        <is>
          <t>0068 MANYCORE TECH</t>
        </is>
      </c>
    </row>
    <row r="344">
      <c r="A344" s="17" t="inlineStr">
        <is>
          <t>Center Lab</t>
        </is>
      </c>
      <c r="B344" s="171" t="n">
        <v>1</v>
      </c>
      <c r="C344" s="177" t="n">
        <v>100</v>
      </c>
      <c r="D344" s="178" t="n">
        <v>138.8</v>
      </c>
      <c r="E344" s="178" t="n">
        <v>173.7</v>
      </c>
      <c r="F344" s="178" t="n">
        <v>226.8</v>
      </c>
      <c r="G344" s="178" t="n">
        <v>249.3</v>
      </c>
      <c r="H344" s="178" t="n">
        <v>14.6</v>
      </c>
      <c r="I344" s="178" t="n">
        <v>36.8</v>
      </c>
      <c r="J344" s="178" t="n">
        <v>46.3</v>
      </c>
      <c r="K344" s="179" t="inlineStr">
        <is>
          <t>2659 BAO PHARMA-B</t>
        </is>
      </c>
    </row>
    <row r="345">
      <c r="A345" s="17" t="inlineStr">
        <is>
          <t>Zhang Yahong (ߎ2,838,885</t>
        </is>
      </c>
      <c r="B345" s="171" t="n">
        <v>1</v>
      </c>
      <c r="C345" s="177" t="n">
        <v>100</v>
      </c>
      <c r="D345" s="178" t="n">
        <v>138.8</v>
      </c>
      <c r="E345" s="178" t="n">
        <v>173.7</v>
      </c>
      <c r="F345" s="178" t="n">
        <v>226.8</v>
      </c>
      <c r="G345" s="178" t="n">
        <v>249.3</v>
      </c>
      <c r="H345" s="178" t="n">
        <v>14.6</v>
      </c>
      <c r="I345" s="178" t="n">
        <v>36.8</v>
      </c>
      <c r="J345" s="178" t="n">
        <v>46.3</v>
      </c>
      <c r="K345" s="179" t="inlineStr">
        <is>
          <t>2659 BAO PHARMA-B</t>
        </is>
      </c>
    </row>
    <row r="346">
      <c r="A346" s="17" t="inlineStr">
        <is>
          <t>Fan Hong (ߎ2,365,735</t>
        </is>
      </c>
      <c r="B346" s="171" t="n">
        <v>1</v>
      </c>
      <c r="C346" s="177" t="n">
        <v>100</v>
      </c>
      <c r="D346" s="178" t="n">
        <v>138.8</v>
      </c>
      <c r="E346" s="178" t="n">
        <v>173.7</v>
      </c>
      <c r="F346" s="178" t="n">
        <v>226.8</v>
      </c>
      <c r="G346" s="178" t="n">
        <v>249.3</v>
      </c>
      <c r="H346" s="178" t="n">
        <v>14.6</v>
      </c>
      <c r="I346" s="178" t="n">
        <v>36.8</v>
      </c>
      <c r="J346" s="178" t="n">
        <v>46.3</v>
      </c>
      <c r="K346" s="179" t="inlineStr">
        <is>
          <t>2659 BAO PHARMA-B</t>
        </is>
      </c>
    </row>
    <row r="347">
      <c r="A347" s="17" t="inlineStr">
        <is>
          <t>Zheng Keqing (ڡ222,220</t>
        </is>
      </c>
      <c r="B347" s="171" t="n">
        <v>1</v>
      </c>
      <c r="C347" s="177" t="n">
        <v>100</v>
      </c>
      <c r="D347" s="178" t="n">
        <v>138.8</v>
      </c>
      <c r="E347" s="178" t="n">
        <v>173.7</v>
      </c>
      <c r="F347" s="178" t="n">
        <v>226.8</v>
      </c>
      <c r="G347" s="178" t="n">
        <v>249.3</v>
      </c>
      <c r="H347" s="178" t="n">
        <v>14.6</v>
      </c>
      <c r="I347" s="178" t="n">
        <v>36.8</v>
      </c>
      <c r="J347" s="178" t="n">
        <v>46.3</v>
      </c>
      <c r="K347" s="179" t="inlineStr">
        <is>
          <t>2659 BAO PHARMA-B</t>
        </is>
      </c>
    </row>
    <row r="348">
      <c r="A348" s="17" t="inlineStr">
        <is>
          <t>Nie Miao ( ᔗ↿) –</t>
        </is>
      </c>
      <c r="B348" s="171" t="n">
        <v>1</v>
      </c>
      <c r="C348" s="177" t="n">
        <v>100</v>
      </c>
      <c r="D348" s="178" t="n">
        <v>138.8</v>
      </c>
      <c r="E348" s="178" t="n">
        <v>173.7</v>
      </c>
      <c r="F348" s="178" t="n">
        <v>226.8</v>
      </c>
      <c r="G348" s="178" t="n">
        <v>249.3</v>
      </c>
      <c r="H348" s="178" t="n">
        <v>14.6</v>
      </c>
      <c r="I348" s="178" t="n">
        <v>36.8</v>
      </c>
      <c r="J348" s="178" t="n">
        <v>46.3</v>
      </c>
      <c r="K348" s="179" t="inlineStr">
        <is>
          <t>2659 BAO PHARMA-B</t>
        </is>
      </c>
    </row>
    <row r="349">
      <c r="A349" s="17" t="inlineStr">
        <is>
          <t>Wang Jufang (ٹ581,930</t>
        </is>
      </c>
      <c r="B349" s="171" t="n">
        <v>1</v>
      </c>
      <c r="C349" s="177" t="n">
        <v>100</v>
      </c>
      <c r="D349" s="178" t="n">
        <v>138.8</v>
      </c>
      <c r="E349" s="178" t="n">
        <v>173.7</v>
      </c>
      <c r="F349" s="178" t="n">
        <v>226.8</v>
      </c>
      <c r="G349" s="178" t="n">
        <v>249.3</v>
      </c>
      <c r="H349" s="178" t="n">
        <v>14.6</v>
      </c>
      <c r="I349" s="178" t="n">
        <v>36.8</v>
      </c>
      <c r="J349" s="178" t="n">
        <v>46.3</v>
      </c>
      <c r="K349" s="179" t="inlineStr">
        <is>
          <t>2659 BAO PHARMA-B</t>
        </is>
      </c>
    </row>
    <row r="350">
      <c r="A350" s="17" t="inlineStr">
        <is>
          <t>Cui Hongyan (ᜮ) –</t>
        </is>
      </c>
      <c r="B350" s="171" t="n">
        <v>1</v>
      </c>
      <c r="C350" s="177" t="n">
        <v>100</v>
      </c>
      <c r="D350" s="178" t="n">
        <v>138.8</v>
      </c>
      <c r="E350" s="178" t="n">
        <v>173.7</v>
      </c>
      <c r="F350" s="178" t="n">
        <v>226.8</v>
      </c>
      <c r="G350" s="178" t="n">
        <v>249.3</v>
      </c>
      <c r="H350" s="178" t="n">
        <v>14.6</v>
      </c>
      <c r="I350" s="178" t="n">
        <v>36.8</v>
      </c>
      <c r="J350" s="178" t="n">
        <v>46.3</v>
      </c>
      <c r="K350" s="179" t="inlineStr">
        <is>
          <t>2659 BAO PHARMA-B</t>
        </is>
      </c>
    </row>
    <row r="351">
      <c r="A351" s="17" t="inlineStr">
        <is>
          <t>Liu Jintao (ᏹ) –</t>
        </is>
      </c>
      <c r="B351" s="171" t="n">
        <v>1</v>
      </c>
      <c r="C351" s="177" t="n">
        <v>100</v>
      </c>
      <c r="D351" s="178" t="n">
        <v>138.8</v>
      </c>
      <c r="E351" s="178" t="n">
        <v>173.7</v>
      </c>
      <c r="F351" s="178" t="n">
        <v>226.8</v>
      </c>
      <c r="G351" s="178" t="n">
        <v>249.3</v>
      </c>
      <c r="H351" s="178" t="n">
        <v>14.6</v>
      </c>
      <c r="I351" s="178" t="n">
        <v>36.8</v>
      </c>
      <c r="J351" s="178" t="n">
        <v>46.3</v>
      </c>
      <c r="K351" s="179" t="inlineStr">
        <is>
          <t>2659 BAO PHARMA-B</t>
        </is>
      </c>
    </row>
    <row r="352">
      <c r="A352" s="17" t="inlineStr">
        <is>
          <t>Huang Haitao ( රऎᏹ)</t>
        </is>
      </c>
      <c r="B352" s="171" t="n">
        <v>1</v>
      </c>
      <c r="C352" s="177" t="n">
        <v>100</v>
      </c>
      <c r="D352" s="178" t="n">
        <v>138.8</v>
      </c>
      <c r="E352" s="178" t="n">
        <v>173.7</v>
      </c>
      <c r="F352" s="178" t="n">
        <v>226.8</v>
      </c>
      <c r="G352" s="178" t="n">
        <v>249.3</v>
      </c>
      <c r="H352" s="178" t="n">
        <v>14.6</v>
      </c>
      <c r="I352" s="178" t="n">
        <v>36.8</v>
      </c>
      <c r="J352" s="178" t="n">
        <v>46.3</v>
      </c>
      <c r="K352" s="179" t="inlineStr">
        <is>
          <t>2659 BAO PHARMA-B</t>
        </is>
      </c>
    </row>
    <row r="353">
      <c r="A353" s="17" t="inlineStr">
        <is>
          <t>Xu Sumin ( ஢९ઽ) –</t>
        </is>
      </c>
      <c r="B353" s="171" t="n">
        <v>1</v>
      </c>
      <c r="C353" s="177" t="n">
        <v>100</v>
      </c>
      <c r="D353" s="178" t="n">
        <v>138.8</v>
      </c>
      <c r="E353" s="178" t="n">
        <v>173.7</v>
      </c>
      <c r="F353" s="178" t="n">
        <v>226.8</v>
      </c>
      <c r="G353" s="178" t="n">
        <v>249.3</v>
      </c>
      <c r="H353" s="178" t="n">
        <v>14.6</v>
      </c>
      <c r="I353" s="178" t="n">
        <v>36.8</v>
      </c>
      <c r="J353" s="178" t="n">
        <v>46.3</v>
      </c>
      <c r="K353" s="179" t="inlineStr">
        <is>
          <t>2659 BAO PHARMA-B</t>
        </is>
      </c>
    </row>
    <row r="354">
      <c r="A354" s="17" t="inlineStr">
        <is>
          <t>Song Aihui ( ҂ฌฯ)</t>
        </is>
      </c>
      <c r="B354" s="171" t="n">
        <v>1</v>
      </c>
      <c r="C354" s="177" t="n">
        <v>100</v>
      </c>
      <c r="D354" s="178" t="n">
        <v>138.8</v>
      </c>
      <c r="E354" s="178" t="n">
        <v>173.7</v>
      </c>
      <c r="F354" s="178" t="n">
        <v>226.8</v>
      </c>
      <c r="G354" s="178" t="n">
        <v>249.3</v>
      </c>
      <c r="H354" s="178" t="n">
        <v>14.6</v>
      </c>
      <c r="I354" s="178" t="n">
        <v>36.8</v>
      </c>
      <c r="J354" s="178" t="n">
        <v>46.3</v>
      </c>
      <c r="K354" s="179" t="inlineStr">
        <is>
          <t>2659 BAO PHARMA-B</t>
        </is>
      </c>
    </row>
    <row r="355">
      <c r="A355" s="17" t="inlineStr">
        <is>
          <t>Zhao Liping ( Ⴛ஁റ)</t>
        </is>
      </c>
      <c r="B355" s="171" t="n">
        <v>1</v>
      </c>
      <c r="C355" s="177" t="n">
        <v>100</v>
      </c>
      <c r="D355" s="178" t="n">
        <v>138.8</v>
      </c>
      <c r="E355" s="178" t="n">
        <v>173.7</v>
      </c>
      <c r="F355" s="178" t="n">
        <v>226.8</v>
      </c>
      <c r="G355" s="178" t="n">
        <v>249.3</v>
      </c>
      <c r="H355" s="178" t="n">
        <v>14.6</v>
      </c>
      <c r="I355" s="178" t="n">
        <v>36.8</v>
      </c>
      <c r="J355" s="178" t="n">
        <v>46.3</v>
      </c>
      <c r="K355" s="179" t="inlineStr">
        <is>
          <t>2659 BAO PHARMA-B</t>
        </is>
      </c>
    </row>
    <row r="356">
      <c r="A356" s="17" t="inlineStr">
        <is>
          <t>Chample International Limited</t>
        </is>
      </c>
      <c r="B356" s="171" t="n">
        <v>1</v>
      </c>
      <c r="C356" s="177" t="n">
        <v>100</v>
      </c>
      <c r="D356" s="178" t="n">
        <v>127.1</v>
      </c>
      <c r="E356" s="178" t="n">
        <v>105.9</v>
      </c>
      <c r="F356" s="178" t="n">
        <v>10</v>
      </c>
      <c r="G356" s="178" t="n">
        <v>54.5</v>
      </c>
      <c r="H356" s="178" t="n">
        <v>-9.300000000000001</v>
      </c>
      <c r="I356" s="178" t="n">
        <v>-51.6</v>
      </c>
      <c r="J356" s="178" t="n">
        <v>-32</v>
      </c>
      <c r="K356" s="179" t="inlineStr">
        <is>
          <t>6675 SENASIC</t>
        </is>
      </c>
    </row>
    <row r="357">
      <c r="A357" s="17" t="inlineStr">
        <is>
          <t>Libra Fixed Income One SP</t>
        </is>
      </c>
      <c r="B357" s="171" t="n">
        <v>1</v>
      </c>
      <c r="C357" s="177" t="n">
        <v>100</v>
      </c>
      <c r="D357" s="178" t="n">
        <v>127.1</v>
      </c>
      <c r="E357" s="178" t="n">
        <v>105.9</v>
      </c>
      <c r="F357" s="178" t="n">
        <v>10</v>
      </c>
      <c r="G357" s="178" t="n">
        <v>54.5</v>
      </c>
      <c r="H357" s="178" t="n">
        <v>-9.300000000000001</v>
      </c>
      <c r="I357" s="178" t="n">
        <v>-51.6</v>
      </c>
      <c r="J357" s="178" t="n">
        <v>-32</v>
      </c>
      <c r="K357" s="179" t="inlineStr">
        <is>
          <t>6675 SENASIC</t>
        </is>
      </c>
    </row>
    <row r="358">
      <c r="A358" s="17" t="inlineStr">
        <is>
          <t>Longwei Hong Kong Company Limited</t>
        </is>
      </c>
      <c r="B358" s="171" t="n">
        <v>1</v>
      </c>
      <c r="C358" s="177" t="n">
        <v>100</v>
      </c>
      <c r="D358" s="178" t="n">
        <v>127.1</v>
      </c>
      <c r="E358" s="178" t="n">
        <v>105.9</v>
      </c>
      <c r="F358" s="178" t="n">
        <v>10</v>
      </c>
      <c r="G358" s="178" t="n">
        <v>54.5</v>
      </c>
      <c r="H358" s="178" t="n">
        <v>-9.300000000000001</v>
      </c>
      <c r="I358" s="178" t="n">
        <v>-51.6</v>
      </c>
      <c r="J358" s="178" t="n">
        <v>-32</v>
      </c>
      <c r="K358" s="179" t="inlineStr">
        <is>
          <t>6675 SENASIC</t>
        </is>
      </c>
    </row>
    <row r="359">
      <c r="A359" s="17" t="inlineStr">
        <is>
          <t>Mr. Andrew Y Yan</t>
        </is>
      </c>
      <c r="B359" s="171" t="n">
        <v>1</v>
      </c>
      <c r="C359" s="177" t="n">
        <v>100</v>
      </c>
      <c r="D359" s="178" t="n">
        <v>127.1</v>
      </c>
      <c r="E359" s="178" t="n">
        <v>105.9</v>
      </c>
      <c r="F359" s="178" t="n">
        <v>10</v>
      </c>
      <c r="G359" s="178" t="n">
        <v>54.5</v>
      </c>
      <c r="H359" s="178" t="n">
        <v>-9.300000000000001</v>
      </c>
      <c r="I359" s="178" t="n">
        <v>-51.6</v>
      </c>
      <c r="J359" s="178" t="n">
        <v>-32</v>
      </c>
      <c r="K359" s="179" t="inlineStr">
        <is>
          <t>6675 SENASIC</t>
        </is>
      </c>
    </row>
    <row r="360">
      <c r="A360" s="17" t="inlineStr">
        <is>
          <t>Tembusu Limited</t>
        </is>
      </c>
      <c r="B360" s="171" t="n">
        <v>1</v>
      </c>
      <c r="C360" s="177" t="n">
        <v>100</v>
      </c>
      <c r="D360" s="178" t="n">
        <v>127.1</v>
      </c>
      <c r="E360" s="178" t="n">
        <v>105.9</v>
      </c>
      <c r="F360" s="178" t="n">
        <v>10</v>
      </c>
      <c r="G360" s="178" t="n">
        <v>54.5</v>
      </c>
      <c r="H360" s="178" t="n">
        <v>-9.300000000000001</v>
      </c>
      <c r="I360" s="178" t="n">
        <v>-51.6</v>
      </c>
      <c r="J360" s="178" t="n">
        <v>-32</v>
      </c>
      <c r="K360" s="179" t="inlineStr">
        <is>
          <t>6675 SENASIC</t>
        </is>
      </c>
    </row>
    <row r="361">
      <c r="A361" s="17" t="inlineStr">
        <is>
          <t>Thalassa Capital Dynamics SPC</t>
        </is>
      </c>
      <c r="B361" s="171" t="n">
        <v>1</v>
      </c>
      <c r="C361" s="177" t="n">
        <v>100</v>
      </c>
      <c r="D361" s="178" t="n">
        <v>127.1</v>
      </c>
      <c r="E361" s="178" t="n">
        <v>105.9</v>
      </c>
      <c r="F361" s="178" t="n">
        <v>10</v>
      </c>
      <c r="G361" s="178" t="n">
        <v>54.5</v>
      </c>
      <c r="H361" s="178" t="n">
        <v>-9.300000000000001</v>
      </c>
      <c r="I361" s="178" t="n">
        <v>-51.6</v>
      </c>
      <c r="J361" s="178" t="n">
        <v>-32</v>
      </c>
      <c r="K361" s="179" t="inlineStr">
        <is>
          <t>6675 SENASIC</t>
        </is>
      </c>
    </row>
    <row r="362">
      <c r="A362" s="17" t="inlineStr">
        <is>
          <t>Xu Yanjun</t>
        </is>
      </c>
      <c r="B362" s="171" t="n">
        <v>1</v>
      </c>
      <c r="C362" s="177" t="n">
        <v>100</v>
      </c>
      <c r="D362" s="178" t="n">
        <v>126.7</v>
      </c>
      <c r="E362" s="178" t="n">
        <v>417.2</v>
      </c>
      <c r="F362" s="178" t="n">
        <v>451.3</v>
      </c>
      <c r="G362" s="178" t="n">
        <v>509.1</v>
      </c>
      <c r="H362" s="178" t="n">
        <v>128.1</v>
      </c>
      <c r="I362" s="178" t="n">
        <v>143.2</v>
      </c>
      <c r="J362" s="178" t="n">
        <v>168.6</v>
      </c>
      <c r="K362" s="179" t="inlineStr">
        <is>
          <t>2575 XUANZHUBIO-B</t>
        </is>
      </c>
    </row>
    <row r="363">
      <c r="A363" s="17" t="inlineStr">
        <is>
          <t>Li Jia Kui</t>
        </is>
      </c>
      <c r="B363" s="171" t="n">
        <v>1</v>
      </c>
      <c r="C363" s="177" t="n">
        <v>100</v>
      </c>
      <c r="D363" s="178" t="n">
        <v>126.7</v>
      </c>
      <c r="E363" s="178" t="n">
        <v>417.2</v>
      </c>
      <c r="F363" s="178" t="n">
        <v>451.3</v>
      </c>
      <c r="G363" s="178" t="n">
        <v>509.1</v>
      </c>
      <c r="H363" s="178" t="n">
        <v>128.1</v>
      </c>
      <c r="I363" s="178" t="n">
        <v>143.2</v>
      </c>
      <c r="J363" s="178" t="n">
        <v>168.6</v>
      </c>
      <c r="K363" s="179" t="inlineStr">
        <is>
          <t>2575 XUANZHUBIO-B</t>
        </is>
      </c>
    </row>
    <row r="364">
      <c r="A364" s="17" t="inlineStr">
        <is>
          <t>China Venture Capital Innovation Investment Fund Co., Ltd</t>
        </is>
      </c>
      <c r="B364" s="171" t="n">
        <v>1</v>
      </c>
      <c r="C364" s="177" t="n">
        <v>100</v>
      </c>
      <c r="D364" s="178" t="n">
        <v>126.7</v>
      </c>
      <c r="E364" s="178" t="n">
        <v>71.40000000000001</v>
      </c>
      <c r="F364" s="178" t="n">
        <v>25.6</v>
      </c>
      <c r="G364" s="178" t="n">
        <v>25.6</v>
      </c>
      <c r="H364" s="178" t="n">
        <v>-24.4</v>
      </c>
      <c r="I364" s="178" t="n">
        <v>-44.6</v>
      </c>
      <c r="J364" s="178" t="n">
        <v>-44.6</v>
      </c>
      <c r="K364" s="179" t="inlineStr">
        <is>
          <t>7666 METIS TECHBIO-P</t>
        </is>
      </c>
    </row>
    <row r="365">
      <c r="A365" s="17" t="inlineStr">
        <is>
          <t>Deerfield Management Company, L.P</t>
        </is>
      </c>
      <c r="B365" s="171" t="n">
        <v>1</v>
      </c>
      <c r="C365" s="177" t="n">
        <v>100</v>
      </c>
      <c r="D365" s="178" t="n">
        <v>126.7</v>
      </c>
      <c r="E365" s="178" t="n">
        <v>71.40000000000001</v>
      </c>
      <c r="F365" s="178" t="n">
        <v>25.6</v>
      </c>
      <c r="G365" s="178" t="n">
        <v>25.6</v>
      </c>
      <c r="H365" s="178" t="n">
        <v>-24.4</v>
      </c>
      <c r="I365" s="178" t="n">
        <v>-44.6</v>
      </c>
      <c r="J365" s="178" t="n">
        <v>-44.6</v>
      </c>
      <c r="K365" s="179" t="inlineStr">
        <is>
          <t>7666 METIS TECHBIO-P</t>
        </is>
      </c>
    </row>
    <row r="366">
      <c r="A366" s="17" t="inlineStr">
        <is>
          <t>Isometry Global Master Fund, L.P</t>
        </is>
      </c>
      <c r="B366" s="171" t="n">
        <v>1</v>
      </c>
      <c r="C366" s="177" t="n">
        <v>100</v>
      </c>
      <c r="D366" s="178" t="n">
        <v>126.7</v>
      </c>
      <c r="E366" s="178" t="n">
        <v>71.40000000000001</v>
      </c>
      <c r="F366" s="178" t="n">
        <v>25.6</v>
      </c>
      <c r="G366" s="178" t="n">
        <v>25.6</v>
      </c>
      <c r="H366" s="178" t="n">
        <v>-24.4</v>
      </c>
      <c r="I366" s="178" t="n">
        <v>-44.6</v>
      </c>
      <c r="J366" s="178" t="n">
        <v>-44.6</v>
      </c>
      <c r="K366" s="179" t="inlineStr">
        <is>
          <t>7666 METIS TECHBIO-P</t>
        </is>
      </c>
    </row>
    <row r="367">
      <c r="A367" s="17" t="inlineStr">
        <is>
          <t>OAP IV (HK) Limited</t>
        </is>
      </c>
      <c r="B367" s="171" t="n">
        <v>1</v>
      </c>
      <c r="C367" s="177" t="n">
        <v>100</v>
      </c>
      <c r="D367" s="178" t="n">
        <v>118.3</v>
      </c>
      <c r="E367" s="178" t="n">
        <v>102.4</v>
      </c>
      <c r="F367" s="178" t="n">
        <v>94.3</v>
      </c>
      <c r="G367" s="178" t="n">
        <v>26.4</v>
      </c>
      <c r="H367" s="178" t="n">
        <v>-7.2</v>
      </c>
      <c r="I367" s="178" t="n">
        <v>-11</v>
      </c>
      <c r="J367" s="178" t="n">
        <v>-42.1</v>
      </c>
      <c r="K367" s="179" t="inlineStr">
        <is>
          <t>1609 STAR SPORTS MED</t>
        </is>
      </c>
    </row>
    <row r="368">
      <c r="A368" s="17" t="inlineStr">
        <is>
          <t>E Fund Mangement</t>
        </is>
      </c>
      <c r="B368" s="171" t="n">
        <v>1</v>
      </c>
      <c r="C368" s="177" t="n">
        <v>100</v>
      </c>
      <c r="D368" s="178" t="n">
        <v>116.7</v>
      </c>
      <c r="E368" s="178" t="n">
        <v>137.8</v>
      </c>
      <c r="F368" s="178" t="n">
        <v>111.4</v>
      </c>
      <c r="G368" s="178" t="n">
        <v>255.2</v>
      </c>
      <c r="H368" s="178" t="n">
        <v>9.800000000000001</v>
      </c>
      <c r="I368" s="178" t="n">
        <v>-2.4</v>
      </c>
      <c r="J368" s="178" t="n">
        <v>63.9</v>
      </c>
      <c r="K368" s="179" t="inlineStr">
        <is>
          <t>9606 DUALITYBIO-B</t>
        </is>
      </c>
    </row>
    <row r="369">
      <c r="A369" s="17" t="inlineStr">
        <is>
          <t>BioNTech SE</t>
        </is>
      </c>
      <c r="B369" s="171" t="n">
        <v>1</v>
      </c>
      <c r="C369" s="177" t="n">
        <v>100</v>
      </c>
      <c r="D369" s="178" t="n">
        <v>116.7</v>
      </c>
      <c r="E369" s="178" t="n">
        <v>137.8</v>
      </c>
      <c r="F369" s="178" t="n">
        <v>111.4</v>
      </c>
      <c r="G369" s="178" t="n">
        <v>255.2</v>
      </c>
      <c r="H369" s="178" t="n">
        <v>9.800000000000001</v>
      </c>
      <c r="I369" s="178" t="n">
        <v>-2.4</v>
      </c>
      <c r="J369" s="178" t="n">
        <v>63.9</v>
      </c>
      <c r="K369" s="179" t="inlineStr">
        <is>
          <t>9606 DUALITYBIO-B</t>
        </is>
      </c>
    </row>
    <row r="370">
      <c r="A370" s="17" t="inlineStr">
        <is>
          <t>DualityBio Ltd</t>
        </is>
      </c>
      <c r="B370" s="171" t="n">
        <v>1</v>
      </c>
      <c r="C370" s="177" t="n">
        <v>100</v>
      </c>
      <c r="D370" s="178" t="n">
        <v>116.7</v>
      </c>
      <c r="E370" s="178" t="n">
        <v>137.8</v>
      </c>
      <c r="F370" s="178" t="n">
        <v>111.4</v>
      </c>
      <c r="G370" s="178" t="n">
        <v>255.2</v>
      </c>
      <c r="H370" s="178" t="n">
        <v>9.800000000000001</v>
      </c>
      <c r="I370" s="178" t="n">
        <v>-2.4</v>
      </c>
      <c r="J370" s="178" t="n">
        <v>63.9</v>
      </c>
      <c r="K370" s="179" t="inlineStr">
        <is>
          <t>9606 DUALITYBIO-B</t>
        </is>
      </c>
    </row>
    <row r="371">
      <c r="A371" s="17" t="inlineStr">
        <is>
          <t>Fighton Asia Master Fund Limited</t>
        </is>
      </c>
      <c r="B371" s="171" t="n">
        <v>1</v>
      </c>
      <c r="C371" s="177" t="n">
        <v>100</v>
      </c>
      <c r="D371" s="178" t="n">
        <v>110.9</v>
      </c>
      <c r="E371" s="178" t="n">
        <v>218.8</v>
      </c>
      <c r="F371" s="178" t="n">
        <v>314.1</v>
      </c>
      <c r="G371" s="178" t="n">
        <v>284.4</v>
      </c>
      <c r="H371" s="178" t="n">
        <v>51.1</v>
      </c>
      <c r="I371" s="178" t="n">
        <v>96.3</v>
      </c>
      <c r="J371" s="178" t="n">
        <v>82.2</v>
      </c>
      <c r="K371" s="179" t="inlineStr">
        <is>
          <t>2422 REGO INTERACT</t>
        </is>
      </c>
    </row>
    <row r="372">
      <c r="A372" s="17" t="inlineStr">
        <is>
          <t>Authority</t>
        </is>
      </c>
      <c r="B372" s="171" t="n">
        <v>1</v>
      </c>
      <c r="C372" s="177" t="n">
        <v>100</v>
      </c>
      <c r="D372" s="178" t="n">
        <v>109.1</v>
      </c>
      <c r="E372" s="178" t="n">
        <v>165.4</v>
      </c>
      <c r="F372" s="178" t="n">
        <v>212.1</v>
      </c>
      <c r="G372" s="178" t="n">
        <v>445.8</v>
      </c>
      <c r="H372" s="178" t="n">
        <v>26.9</v>
      </c>
      <c r="I372" s="178" t="n">
        <v>49.3</v>
      </c>
      <c r="J372" s="178" t="n">
        <v>161</v>
      </c>
      <c r="K372" s="179" t="inlineStr">
        <is>
          <t>0100 MINIMAX-WP</t>
        </is>
      </c>
    </row>
    <row r="373">
      <c r="A373" s="17" t="inlineStr">
        <is>
          <t>First Quarter Moon OFC — Phecda Fund</t>
        </is>
      </c>
      <c r="B373" s="171" t="n">
        <v>1</v>
      </c>
      <c r="C373" s="177" t="n">
        <v>100</v>
      </c>
      <c r="D373" s="178" t="n">
        <v>108.3</v>
      </c>
      <c r="E373" s="178" t="n">
        <v>86.3</v>
      </c>
      <c r="F373" s="178" t="n">
        <v>81.09999999999999</v>
      </c>
      <c r="G373" s="178" t="n">
        <v>-39.8</v>
      </c>
      <c r="H373" s="178" t="n">
        <v>-10.6</v>
      </c>
      <c r="I373" s="178" t="n">
        <v>-13.1</v>
      </c>
      <c r="J373" s="178" t="n">
        <v>-71.09999999999999</v>
      </c>
      <c r="K373" s="179" t="inlineStr">
        <is>
          <t>7630 IMPACT THERAP-B</t>
        </is>
      </c>
    </row>
    <row r="374">
      <c r="A374" s="17" t="inlineStr">
        <is>
          <t>E Fund Hong Kong</t>
        </is>
      </c>
      <c r="B374" s="171" t="n">
        <v>1</v>
      </c>
      <c r="C374" s="177" t="n">
        <v>100</v>
      </c>
      <c r="D374" s="178" t="n">
        <v>106.5</v>
      </c>
      <c r="E374" s="178" t="n">
        <v>87.3</v>
      </c>
      <c r="F374" s="178" t="n">
        <v>30.1</v>
      </c>
      <c r="G374" s="178" t="n">
        <v>25.8</v>
      </c>
      <c r="H374" s="178" t="n">
        <v>-9.300000000000001</v>
      </c>
      <c r="I374" s="178" t="n">
        <v>-37</v>
      </c>
      <c r="J374" s="178" t="n">
        <v>-39.1</v>
      </c>
      <c r="K374" s="179" t="inlineStr">
        <is>
          <t>2595 GENFLEET-B</t>
        </is>
      </c>
    </row>
    <row r="375">
      <c r="A375" s="17" t="inlineStr">
        <is>
          <t>Hundreds Capital</t>
        </is>
      </c>
      <c r="B375" s="171" t="n">
        <v>1</v>
      </c>
      <c r="C375" s="177" t="n">
        <v>100</v>
      </c>
      <c r="D375" s="178" t="n">
        <v>106.1</v>
      </c>
      <c r="E375" s="178" t="n">
        <v>57.2</v>
      </c>
      <c r="F375" s="178" t="n">
        <v>45.2</v>
      </c>
      <c r="G375" s="178" t="n">
        <v>77.90000000000001</v>
      </c>
      <c r="H375" s="178" t="n">
        <v>-23.8</v>
      </c>
      <c r="I375" s="178" t="n">
        <v>-29.5</v>
      </c>
      <c r="J375" s="178" t="n">
        <v>-13.7</v>
      </c>
      <c r="K375" s="179" t="inlineStr">
        <is>
          <t>2718 MININGLAMP-W</t>
        </is>
      </c>
    </row>
    <row r="376">
      <c r="A376" s="17" t="inlineStr">
        <is>
          <t>GFH Financial Group B.S.C</t>
        </is>
      </c>
      <c r="B376" s="171" t="n">
        <v>1</v>
      </c>
      <c r="C376" s="177" t="n">
        <v>100</v>
      </c>
      <c r="D376" s="178" t="n">
        <v>106.1</v>
      </c>
      <c r="E376" s="178" t="n">
        <v>57.2</v>
      </c>
      <c r="F376" s="178" t="n">
        <v>45.2</v>
      </c>
      <c r="G376" s="178" t="n">
        <v>77.90000000000001</v>
      </c>
      <c r="H376" s="178" t="n">
        <v>-23.8</v>
      </c>
      <c r="I376" s="178" t="n">
        <v>-29.5</v>
      </c>
      <c r="J376" s="178" t="n">
        <v>-13.7</v>
      </c>
      <c r="K376" s="179" t="inlineStr">
        <is>
          <t>2718 MININGLAMP-W</t>
        </is>
      </c>
    </row>
    <row r="377">
      <c r="A377" s="17" t="inlineStr">
        <is>
          <t>International Capital Management Limited</t>
        </is>
      </c>
      <c r="B377" s="171" t="n">
        <v>1</v>
      </c>
      <c r="C377" s="177" t="n">
        <v>100</v>
      </c>
      <c r="D377" s="178" t="n">
        <v>106.1</v>
      </c>
      <c r="E377" s="178" t="n">
        <v>57.2</v>
      </c>
      <c r="F377" s="178" t="n">
        <v>45.2</v>
      </c>
      <c r="G377" s="178" t="n">
        <v>77.90000000000001</v>
      </c>
      <c r="H377" s="178" t="n">
        <v>-23.8</v>
      </c>
      <c r="I377" s="178" t="n">
        <v>-29.5</v>
      </c>
      <c r="J377" s="178" t="n">
        <v>-13.7</v>
      </c>
      <c r="K377" s="179" t="inlineStr">
        <is>
          <t>2718 MININGLAMP-W</t>
        </is>
      </c>
    </row>
    <row r="378">
      <c r="A378" s="17" t="inlineStr">
        <is>
          <t>HK Yonglian Investment Development Co., Limited</t>
        </is>
      </c>
      <c r="B378" s="171" t="n">
        <v>1</v>
      </c>
      <c r="C378" s="177" t="n">
        <v>100</v>
      </c>
      <c r="D378" s="178" t="n">
        <v>103.8</v>
      </c>
      <c r="E378" s="178" t="n">
        <v>55.1</v>
      </c>
      <c r="F378" s="178" t="n">
        <v>30.3</v>
      </c>
      <c r="G378" s="178" t="n"/>
      <c r="H378" s="178" t="n">
        <v>-23.9</v>
      </c>
      <c r="I378" s="178" t="n">
        <v>-36.1</v>
      </c>
      <c r="J378" s="178" t="n"/>
      <c r="K378" s="179" t="inlineStr">
        <is>
          <t>9630 CFMEE</t>
        </is>
      </c>
    </row>
    <row r="379">
      <c r="A379" s="17" t="inlineStr">
        <is>
          <t>Hong Kong Xinyao Investment Limited</t>
        </is>
      </c>
      <c r="B379" s="171" t="n">
        <v>1</v>
      </c>
      <c r="C379" s="177" t="n">
        <v>100</v>
      </c>
      <c r="D379" s="178" t="n">
        <v>103.8</v>
      </c>
      <c r="E379" s="178" t="n">
        <v>55.1</v>
      </c>
      <c r="F379" s="178" t="n">
        <v>30.3</v>
      </c>
      <c r="G379" s="178" t="n"/>
      <c r="H379" s="178" t="n">
        <v>-23.9</v>
      </c>
      <c r="I379" s="178" t="n">
        <v>-36.1</v>
      </c>
      <c r="J379" s="178" t="n"/>
      <c r="K379" s="179" t="inlineStr">
        <is>
          <t>9630 CFMEE</t>
        </is>
      </c>
    </row>
    <row r="380">
      <c r="A380" s="17" t="inlineStr">
        <is>
          <t>Lion Global Investors Limited</t>
        </is>
      </c>
      <c r="B380" s="171" t="n">
        <v>1</v>
      </c>
      <c r="C380" s="177" t="n">
        <v>100</v>
      </c>
      <c r="D380" s="178" t="n">
        <v>103.8</v>
      </c>
      <c r="E380" s="178" t="n">
        <v>55.1</v>
      </c>
      <c r="F380" s="178" t="n">
        <v>30.3</v>
      </c>
      <c r="G380" s="178" t="n"/>
      <c r="H380" s="178" t="n">
        <v>-23.9</v>
      </c>
      <c r="I380" s="178" t="n">
        <v>-36.1</v>
      </c>
      <c r="J380" s="178" t="n"/>
      <c r="K380" s="179" t="inlineStr">
        <is>
          <t>9630 CFMEE</t>
        </is>
      </c>
    </row>
    <row r="381">
      <c r="A381" s="17" t="inlineStr">
        <is>
          <t>Monterey Park Finance Limited</t>
        </is>
      </c>
      <c r="B381" s="171" t="n">
        <v>1</v>
      </c>
      <c r="C381" s="177" t="n">
        <v>100</v>
      </c>
      <c r="D381" s="178" t="n">
        <v>103.8</v>
      </c>
      <c r="E381" s="178" t="n">
        <v>55.1</v>
      </c>
      <c r="F381" s="178" t="n">
        <v>30.3</v>
      </c>
      <c r="G381" s="178" t="n"/>
      <c r="H381" s="178" t="n">
        <v>-23.9</v>
      </c>
      <c r="I381" s="178" t="n">
        <v>-36.1</v>
      </c>
      <c r="J381" s="178" t="n"/>
      <c r="K381" s="179" t="inlineStr">
        <is>
          <t>9630 CFMEE</t>
        </is>
      </c>
    </row>
    <row r="382">
      <c r="A382" s="17" t="inlineStr">
        <is>
          <t>Nexchip Semiconductor Hong Kong Corporation Limited</t>
        </is>
      </c>
      <c r="B382" s="171" t="n">
        <v>1</v>
      </c>
      <c r="C382" s="177" t="n">
        <v>100</v>
      </c>
      <c r="D382" s="178" t="n">
        <v>103.8</v>
      </c>
      <c r="E382" s="178" t="n">
        <v>55.1</v>
      </c>
      <c r="F382" s="178" t="n">
        <v>30.3</v>
      </c>
      <c r="G382" s="178" t="n"/>
      <c r="H382" s="178" t="n">
        <v>-23.9</v>
      </c>
      <c r="I382" s="178" t="n">
        <v>-36.1</v>
      </c>
      <c r="J382" s="178" t="n"/>
      <c r="K382" s="179" t="inlineStr">
        <is>
          <t>9630 CFMEE</t>
        </is>
      </c>
    </row>
    <row r="383">
      <c r="A383" s="17" t="inlineStr">
        <is>
          <t>Loomis Sayles Trust Company, LLC</t>
        </is>
      </c>
      <c r="B383" s="171" t="n">
        <v>1</v>
      </c>
      <c r="C383" s="177" t="n">
        <v>100</v>
      </c>
      <c r="D383" s="178" t="n">
        <v>103.5</v>
      </c>
      <c r="E383" s="178" t="n">
        <v>29.1</v>
      </c>
      <c r="F383" s="178" t="n">
        <v>19.5</v>
      </c>
      <c r="G383" s="178" t="n"/>
      <c r="H383" s="178" t="n">
        <v>-36.6</v>
      </c>
      <c r="I383" s="178" t="n">
        <v>-41.3</v>
      </c>
      <c r="J383" s="178" t="n"/>
      <c r="K383" s="179" t="inlineStr">
        <is>
          <t>9637 ALEBUND-B</t>
        </is>
      </c>
    </row>
    <row r="384">
      <c r="A384" s="17" t="inlineStr">
        <is>
          <t>Perfect Ten Holding Limited</t>
        </is>
      </c>
      <c r="B384" s="171" t="n">
        <v>1</v>
      </c>
      <c r="C384" s="177" t="n">
        <v>100</v>
      </c>
      <c r="D384" s="178" t="n">
        <v>103.5</v>
      </c>
      <c r="E384" s="178" t="n">
        <v>29.1</v>
      </c>
      <c r="F384" s="178" t="n">
        <v>19.5</v>
      </c>
      <c r="G384" s="178" t="n"/>
      <c r="H384" s="178" t="n">
        <v>-36.6</v>
      </c>
      <c r="I384" s="178" t="n">
        <v>-41.3</v>
      </c>
      <c r="J384" s="178" t="n"/>
      <c r="K384" s="179" t="inlineStr">
        <is>
          <t>9637 ALEBUND-B</t>
        </is>
      </c>
    </row>
    <row r="385">
      <c r="A385" s="17" t="inlineStr">
        <is>
          <t>SymBiosis II, LLC</t>
        </is>
      </c>
      <c r="B385" s="171" t="n">
        <v>1</v>
      </c>
      <c r="C385" s="177" t="n">
        <v>100</v>
      </c>
      <c r="D385" s="178" t="n">
        <v>103.5</v>
      </c>
      <c r="E385" s="178" t="n">
        <v>29.1</v>
      </c>
      <c r="F385" s="178" t="n">
        <v>19.5</v>
      </c>
      <c r="G385" s="178" t="n"/>
      <c r="H385" s="178" t="n">
        <v>-36.6</v>
      </c>
      <c r="I385" s="178" t="n">
        <v>-41.3</v>
      </c>
      <c r="J385" s="178" t="n"/>
      <c r="K385" s="179" t="inlineStr">
        <is>
          <t>9637 ALEBUND-B</t>
        </is>
      </c>
    </row>
    <row r="386">
      <c r="A386" s="17" t="inlineStr">
        <is>
          <t>AXA Investment Managers UK Limited</t>
        </is>
      </c>
      <c r="B386" s="171" t="n">
        <v>1</v>
      </c>
      <c r="C386" s="177" t="n">
        <v>100</v>
      </c>
      <c r="D386" s="178" t="n">
        <v>103.4</v>
      </c>
      <c r="E386" s="178" t="n">
        <v>73.7</v>
      </c>
      <c r="F386" s="178" t="n">
        <v>64.40000000000001</v>
      </c>
      <c r="G386" s="178" t="n">
        <v>-14.7</v>
      </c>
      <c r="H386" s="178" t="n">
        <v>-14.6</v>
      </c>
      <c r="I386" s="178" t="n">
        <v>-19.2</v>
      </c>
      <c r="J386" s="178" t="n">
        <v>-58.1</v>
      </c>
      <c r="K386" s="179" t="inlineStr">
        <is>
          <t>6656 SIGENERGY</t>
        </is>
      </c>
    </row>
    <row r="387">
      <c r="A387" s="17" t="inlineStr">
        <is>
          <t>Lazurite Hime L.P</t>
        </is>
      </c>
      <c r="B387" s="171" t="n">
        <v>1</v>
      </c>
      <c r="C387" s="177" t="n">
        <v>100</v>
      </c>
      <c r="D387" s="178" t="n">
        <v>103.4</v>
      </c>
      <c r="E387" s="178" t="n">
        <v>73.7</v>
      </c>
      <c r="F387" s="178" t="n">
        <v>64.40000000000001</v>
      </c>
      <c r="G387" s="178" t="n">
        <v>-14.7</v>
      </c>
      <c r="H387" s="178" t="n">
        <v>-14.6</v>
      </c>
      <c r="I387" s="178" t="n">
        <v>-19.2</v>
      </c>
      <c r="J387" s="178" t="n">
        <v>-58.1</v>
      </c>
      <c r="K387" s="179" t="inlineStr">
        <is>
          <t>6656 SIGENERGY</t>
        </is>
      </c>
    </row>
    <row r="388">
      <c r="A388" s="17" t="inlineStr">
        <is>
          <t>Scene Cloud Global Limited</t>
        </is>
      </c>
      <c r="B388" s="171" t="n">
        <v>1</v>
      </c>
      <c r="C388" s="177" t="n">
        <v>100</v>
      </c>
      <c r="D388" s="178" t="n">
        <v>103.4</v>
      </c>
      <c r="E388" s="178" t="n">
        <v>73.7</v>
      </c>
      <c r="F388" s="178" t="n">
        <v>64.40000000000001</v>
      </c>
      <c r="G388" s="178" t="n">
        <v>-14.7</v>
      </c>
      <c r="H388" s="178" t="n">
        <v>-14.6</v>
      </c>
      <c r="I388" s="178" t="n">
        <v>-19.2</v>
      </c>
      <c r="J388" s="178" t="n">
        <v>-58.1</v>
      </c>
      <c r="K388" s="179" t="inlineStr">
        <is>
          <t>6656 SIGENERGY</t>
        </is>
      </c>
    </row>
    <row r="389">
      <c r="A389" s="17" t="inlineStr">
        <is>
          <t>Shanghai Lujiazui (Group) Co., Ltd</t>
        </is>
      </c>
      <c r="B389" s="171" t="n">
        <v>1</v>
      </c>
      <c r="C389" s="177" t="n">
        <v>100</v>
      </c>
      <c r="D389" s="178" t="n">
        <v>103.4</v>
      </c>
      <c r="E389" s="178" t="n">
        <v>73.7</v>
      </c>
      <c r="F389" s="178" t="n">
        <v>64.40000000000001</v>
      </c>
      <c r="G389" s="178" t="n">
        <v>-14.7</v>
      </c>
      <c r="H389" s="178" t="n">
        <v>-14.6</v>
      </c>
      <c r="I389" s="178" t="n">
        <v>-19.2</v>
      </c>
      <c r="J389" s="178" t="n">
        <v>-58.1</v>
      </c>
      <c r="K389" s="179" t="inlineStr">
        <is>
          <t>6656 SIGENERGY</t>
        </is>
      </c>
    </row>
    <row r="390">
      <c r="A390" s="17" t="inlineStr">
        <is>
          <t>Tropical Terrain Limited</t>
        </is>
      </c>
      <c r="B390" s="171" t="n">
        <v>1</v>
      </c>
      <c r="C390" s="177" t="n">
        <v>100</v>
      </c>
      <c r="D390" s="178" t="n">
        <v>103.4</v>
      </c>
      <c r="E390" s="178" t="n">
        <v>73.7</v>
      </c>
      <c r="F390" s="178" t="n">
        <v>64.40000000000001</v>
      </c>
      <c r="G390" s="178" t="n">
        <v>-14.7</v>
      </c>
      <c r="H390" s="178" t="n">
        <v>-14.6</v>
      </c>
      <c r="I390" s="178" t="n">
        <v>-19.2</v>
      </c>
      <c r="J390" s="178" t="n">
        <v>-58.1</v>
      </c>
      <c r="K390" s="179" t="inlineStr">
        <is>
          <t>6656 SIGENERGY</t>
        </is>
      </c>
    </row>
    <row r="391">
      <c r="A391" s="17" t="inlineStr">
        <is>
          <t>Everest Medicines Limited</t>
        </is>
      </c>
      <c r="B391" s="171" t="n">
        <v>1</v>
      </c>
      <c r="C391" s="177" t="n">
        <v>100</v>
      </c>
      <c r="D391" s="178" t="n">
        <v>102.8</v>
      </c>
      <c r="E391" s="178" t="n">
        <v>97.59999999999999</v>
      </c>
      <c r="F391" s="178" t="n">
        <v>86.8</v>
      </c>
      <c r="G391" s="178" t="n">
        <v>21.8</v>
      </c>
      <c r="H391" s="178" t="n">
        <v>-2.5</v>
      </c>
      <c r="I391" s="178" t="n">
        <v>-7.9</v>
      </c>
      <c r="J391" s="178" t="n">
        <v>-40</v>
      </c>
      <c r="K391" s="179" t="inlineStr">
        <is>
          <t>2335 MICOT PHARMA-B</t>
        </is>
      </c>
    </row>
    <row r="392">
      <c r="A392" s="17" t="inlineStr">
        <is>
          <t>Qiyuan High-tech Innovation Investment (Hong Kong) Limited</t>
        </is>
      </c>
      <c r="B392" s="171" t="n">
        <v>1</v>
      </c>
      <c r="C392" s="177" t="n">
        <v>100</v>
      </c>
      <c r="D392" s="178" t="n">
        <v>102.8</v>
      </c>
      <c r="E392" s="178" t="n">
        <v>97.59999999999999</v>
      </c>
      <c r="F392" s="178" t="n">
        <v>86.8</v>
      </c>
      <c r="G392" s="178" t="n">
        <v>21.8</v>
      </c>
      <c r="H392" s="178" t="n">
        <v>-2.5</v>
      </c>
      <c r="I392" s="178" t="n">
        <v>-7.9</v>
      </c>
      <c r="J392" s="178" t="n">
        <v>-40</v>
      </c>
      <c r="K392" s="179" t="inlineStr">
        <is>
          <t>2335 MICOT PHARMA-B</t>
        </is>
      </c>
    </row>
    <row r="393">
      <c r="A393" s="17" t="inlineStr">
        <is>
          <t>Summit Capital Limited</t>
        </is>
      </c>
      <c r="B393" s="171" t="n">
        <v>1</v>
      </c>
      <c r="C393" s="177" t="n">
        <v>100</v>
      </c>
      <c r="D393" s="178" t="n">
        <v>102.8</v>
      </c>
      <c r="E393" s="178" t="n">
        <v>97.59999999999999</v>
      </c>
      <c r="F393" s="178" t="n">
        <v>86.8</v>
      </c>
      <c r="G393" s="178" t="n">
        <v>21.8</v>
      </c>
      <c r="H393" s="178" t="n">
        <v>-2.5</v>
      </c>
      <c r="I393" s="178" t="n">
        <v>-7.9</v>
      </c>
      <c r="J393" s="178" t="n">
        <v>-40</v>
      </c>
      <c r="K393" s="179" t="inlineStr">
        <is>
          <t>2335 MICOT PHARMA-B</t>
        </is>
      </c>
    </row>
    <row r="394">
      <c r="A394" s="17" t="inlineStr">
        <is>
          <t>Mr. Yang</t>
        </is>
      </c>
      <c r="B394" s="171" t="n">
        <v>1</v>
      </c>
      <c r="C394" s="177" t="n">
        <v>100</v>
      </c>
      <c r="D394" s="178" t="n">
        <v>102.3</v>
      </c>
      <c r="E394" s="178" t="n">
        <v>124.5</v>
      </c>
      <c r="F394" s="178" t="n">
        <v>112.2</v>
      </c>
      <c r="G394" s="178" t="n">
        <v>100.8</v>
      </c>
      <c r="H394" s="178" t="n">
        <v>11</v>
      </c>
      <c r="I394" s="178" t="n">
        <v>4.9</v>
      </c>
      <c r="J394" s="178" t="n">
        <v>-0.7</v>
      </c>
      <c r="K394" s="179" t="inlineStr">
        <is>
          <t>2720 RIDGE OUTDOOR</t>
        </is>
      </c>
    </row>
    <row r="395">
      <c r="A395" s="17" t="inlineStr">
        <is>
          <t>GreatCast</t>
        </is>
      </c>
      <c r="B395" s="171" t="n">
        <v>1</v>
      </c>
      <c r="C395" s="177" t="n">
        <v>100</v>
      </c>
      <c r="D395" s="178" t="n">
        <v>102.3</v>
      </c>
      <c r="E395" s="178" t="n">
        <v>124.5</v>
      </c>
      <c r="F395" s="178" t="n">
        <v>112.2</v>
      </c>
      <c r="G395" s="178" t="n">
        <v>100.8</v>
      </c>
      <c r="H395" s="178" t="n">
        <v>11</v>
      </c>
      <c r="I395" s="178" t="n">
        <v>4.9</v>
      </c>
      <c r="J395" s="178" t="n">
        <v>-0.7</v>
      </c>
      <c r="K395" s="179" t="inlineStr">
        <is>
          <t>2720 RIDGE OUTDOOR</t>
        </is>
      </c>
    </row>
    <row r="396">
      <c r="A396" s="17" t="inlineStr">
        <is>
          <t>Taihong</t>
        </is>
      </c>
      <c r="B396" s="171" t="n">
        <v>1</v>
      </c>
      <c r="C396" s="177" t="n">
        <v>100</v>
      </c>
      <c r="D396" s="178" t="n">
        <v>102.3</v>
      </c>
      <c r="E396" s="178" t="n">
        <v>124.5</v>
      </c>
      <c r="F396" s="178" t="n">
        <v>112.2</v>
      </c>
      <c r="G396" s="178" t="n">
        <v>100.8</v>
      </c>
      <c r="H396" s="178" t="n">
        <v>11</v>
      </c>
      <c r="I396" s="178" t="n">
        <v>4.9</v>
      </c>
      <c r="J396" s="178" t="n">
        <v>-0.7</v>
      </c>
      <c r="K396" s="179" t="inlineStr">
        <is>
          <t>2720 RIDGE OUTDOOR</t>
        </is>
      </c>
    </row>
    <row r="397">
      <c r="A397" s="17" t="inlineStr">
        <is>
          <t>Outrider Partnership</t>
        </is>
      </c>
      <c r="B397" s="171" t="n">
        <v>1</v>
      </c>
      <c r="C397" s="177" t="n">
        <v>100</v>
      </c>
      <c r="D397" s="178" t="n">
        <v>102.3</v>
      </c>
      <c r="E397" s="178" t="n">
        <v>124.5</v>
      </c>
      <c r="F397" s="178" t="n">
        <v>112.2</v>
      </c>
      <c r="G397" s="178" t="n">
        <v>100.8</v>
      </c>
      <c r="H397" s="178" t="n">
        <v>11</v>
      </c>
      <c r="I397" s="178" t="n">
        <v>4.9</v>
      </c>
      <c r="J397" s="178" t="n">
        <v>-0.7</v>
      </c>
      <c r="K397" s="179" t="inlineStr">
        <is>
          <t>2720 RIDGE OUTDOOR</t>
        </is>
      </c>
    </row>
    <row r="398">
      <c r="A398" s="17" t="inlineStr">
        <is>
          <t>Orbit VC</t>
        </is>
      </c>
      <c r="B398" s="171" t="n">
        <v>1</v>
      </c>
      <c r="C398" s="177" t="n">
        <v>100</v>
      </c>
      <c r="D398" s="178" t="n">
        <v>102.3</v>
      </c>
      <c r="E398" s="178" t="n">
        <v>124.5</v>
      </c>
      <c r="F398" s="178" t="n">
        <v>112.2</v>
      </c>
      <c r="G398" s="178" t="n">
        <v>100.8</v>
      </c>
      <c r="H398" s="178" t="n">
        <v>11</v>
      </c>
      <c r="I398" s="178" t="n">
        <v>4.9</v>
      </c>
      <c r="J398" s="178" t="n">
        <v>-0.7</v>
      </c>
      <c r="K398" s="179" t="inlineStr">
        <is>
          <t>2720 RIDGE OUTDOOR</t>
        </is>
      </c>
    </row>
    <row r="399">
      <c r="A399" s="17" t="inlineStr">
        <is>
          <t>Vision Fund</t>
        </is>
      </c>
      <c r="B399" s="171" t="n">
        <v>1</v>
      </c>
      <c r="C399" s="177" t="n">
        <v>100</v>
      </c>
      <c r="D399" s="178" t="n">
        <v>91.7</v>
      </c>
      <c r="E399" s="178" t="n">
        <v>100</v>
      </c>
      <c r="F399" s="178" t="n">
        <v>94.3</v>
      </c>
      <c r="G399" s="178" t="n">
        <v>69.09999999999999</v>
      </c>
      <c r="H399" s="178" t="n">
        <v>4.3</v>
      </c>
      <c r="I399" s="178" t="n">
        <v>1.4</v>
      </c>
      <c r="J399" s="178" t="n">
        <v>-11.8</v>
      </c>
      <c r="K399" s="179" t="inlineStr">
        <is>
          <t>9887 LEADS BIOLABS-B</t>
        </is>
      </c>
    </row>
    <row r="400">
      <c r="A400" s="17" t="inlineStr">
        <is>
          <t>Digital Vista GD Investment LP</t>
        </is>
      </c>
      <c r="B400" s="171" t="n">
        <v>1</v>
      </c>
      <c r="C400" s="177" t="n">
        <v>100</v>
      </c>
      <c r="D400" s="178" t="n">
        <v>91.7</v>
      </c>
      <c r="E400" s="178" t="n">
        <v>66.90000000000001</v>
      </c>
      <c r="F400" s="178" t="n">
        <v>61</v>
      </c>
      <c r="G400" s="178" t="n">
        <v>34.5</v>
      </c>
      <c r="H400" s="178" t="n">
        <v>-12.9</v>
      </c>
      <c r="I400" s="178" t="n">
        <v>-16</v>
      </c>
      <c r="J400" s="178" t="n">
        <v>-29.9</v>
      </c>
      <c r="K400" s="179" t="inlineStr">
        <is>
          <t>3310 VIEWTRIX TECH</t>
        </is>
      </c>
    </row>
    <row r="401">
      <c r="A401" s="17" t="inlineStr">
        <is>
          <t>SpreadCom Limited</t>
        </is>
      </c>
      <c r="B401" s="171" t="n">
        <v>1</v>
      </c>
      <c r="C401" s="177" t="n">
        <v>100</v>
      </c>
      <c r="D401" s="178" t="n">
        <v>91.7</v>
      </c>
      <c r="E401" s="178" t="n">
        <v>66.90000000000001</v>
      </c>
      <c r="F401" s="178" t="n">
        <v>61</v>
      </c>
      <c r="G401" s="178" t="n">
        <v>34.5</v>
      </c>
      <c r="H401" s="178" t="n">
        <v>-12.9</v>
      </c>
      <c r="I401" s="178" t="n">
        <v>-16</v>
      </c>
      <c r="J401" s="178" t="n">
        <v>-29.9</v>
      </c>
      <c r="K401" s="179" t="inlineStr">
        <is>
          <t>3310 VIEWTRIX TECH</t>
        </is>
      </c>
    </row>
    <row r="402">
      <c r="A402" s="17" t="inlineStr">
        <is>
          <t>GIGA Industries Limited</t>
        </is>
      </c>
      <c r="B402" s="171" t="n">
        <v>1</v>
      </c>
      <c r="C402" s="177" t="n">
        <v>100</v>
      </c>
      <c r="D402" s="178" t="n">
        <v>90.7</v>
      </c>
      <c r="E402" s="178" t="n">
        <v>109.3</v>
      </c>
      <c r="F402" s="178" t="n">
        <v>186</v>
      </c>
      <c r="G402" s="178" t="n">
        <v>212.6</v>
      </c>
      <c r="H402" s="178" t="n">
        <v>9.800000000000001</v>
      </c>
      <c r="I402" s="178" t="n">
        <v>50</v>
      </c>
      <c r="J402" s="178" t="n">
        <v>64</v>
      </c>
      <c r="K402" s="179" t="inlineStr">
        <is>
          <t>2546 ZHIHUI MINING</t>
        </is>
      </c>
    </row>
    <row r="403">
      <c r="A403" s="17" t="inlineStr">
        <is>
          <t>Enterprises Limited</t>
        </is>
      </c>
      <c r="B403" s="171" t="n">
        <v>1</v>
      </c>
      <c r="C403" s="177" t="n">
        <v>100</v>
      </c>
      <c r="D403" s="178" t="n">
        <v>90.7</v>
      </c>
      <c r="E403" s="178" t="n">
        <v>109.3</v>
      </c>
      <c r="F403" s="178" t="n">
        <v>186</v>
      </c>
      <c r="G403" s="178" t="n">
        <v>212.6</v>
      </c>
      <c r="H403" s="178" t="n">
        <v>9.800000000000001</v>
      </c>
      <c r="I403" s="178" t="n">
        <v>50</v>
      </c>
      <c r="J403" s="178" t="n">
        <v>64</v>
      </c>
      <c r="K403" s="179" t="inlineStr">
        <is>
          <t>2546 ZHIHUI MINING</t>
        </is>
      </c>
    </row>
    <row r="404">
      <c r="A404" s="17" t="inlineStr">
        <is>
          <t>Origin Flair Limited</t>
        </is>
      </c>
      <c r="B404" s="171" t="n">
        <v>1</v>
      </c>
      <c r="C404" s="177" t="n">
        <v>100</v>
      </c>
      <c r="D404" s="178" t="n">
        <v>83.7</v>
      </c>
      <c r="E404" s="178" t="n">
        <v>25.9</v>
      </c>
      <c r="F404" s="178" t="n">
        <v>32.3</v>
      </c>
      <c r="G404" s="178" t="n">
        <v>130.9</v>
      </c>
      <c r="H404" s="178" t="n">
        <v>-31.5</v>
      </c>
      <c r="I404" s="178" t="n">
        <v>-28</v>
      </c>
      <c r="J404" s="178" t="n">
        <v>25.7</v>
      </c>
      <c r="K404" s="179" t="inlineStr">
        <is>
          <t>2125 STRAWBEAR ENT</t>
        </is>
      </c>
    </row>
    <row r="405">
      <c r="A405" s="17" t="inlineStr">
        <is>
          <t>Vipshop International Holdings Limited</t>
        </is>
      </c>
      <c r="B405" s="171" t="n">
        <v>1</v>
      </c>
      <c r="C405" s="177" t="n">
        <v>100</v>
      </c>
      <c r="D405" s="178" t="n">
        <v>83.7</v>
      </c>
      <c r="E405" s="178" t="n">
        <v>25.9</v>
      </c>
      <c r="F405" s="178" t="n">
        <v>32.3</v>
      </c>
      <c r="G405" s="178" t="n">
        <v>130.9</v>
      </c>
      <c r="H405" s="178" t="n">
        <v>-31.5</v>
      </c>
      <c r="I405" s="178" t="n">
        <v>-28</v>
      </c>
      <c r="J405" s="178" t="n">
        <v>25.7</v>
      </c>
      <c r="K405" s="179" t="inlineStr">
        <is>
          <t>2125 STRAWBEAR ENT</t>
        </is>
      </c>
    </row>
    <row r="406">
      <c r="A406" s="17" t="inlineStr">
        <is>
          <t>Shanghai Minhang Financial Investment Development Co., Ltd</t>
        </is>
      </c>
      <c r="B406" s="171" t="n">
        <v>1</v>
      </c>
      <c r="C406" s="177" t="n">
        <v>100</v>
      </c>
      <c r="D406" s="178" t="n">
        <v>80</v>
      </c>
      <c r="E406" s="178" t="n">
        <v>35.7</v>
      </c>
      <c r="F406" s="178" t="n">
        <v>11.2</v>
      </c>
      <c r="G406" s="178" t="n">
        <v>-38.8</v>
      </c>
      <c r="H406" s="178" t="n">
        <v>-24.6</v>
      </c>
      <c r="I406" s="178" t="n">
        <v>-38.2</v>
      </c>
      <c r="J406" s="178" t="n">
        <v>-66</v>
      </c>
      <c r="K406" s="179" t="inlineStr">
        <is>
          <t>7688 TOPNC</t>
        </is>
      </c>
    </row>
    <row r="407">
      <c r="A407" s="17" t="inlineStr">
        <is>
          <t>Akeso, Inc</t>
        </is>
      </c>
      <c r="B407" s="171" t="n">
        <v>1</v>
      </c>
      <c r="C407" s="177" t="n">
        <v>100</v>
      </c>
      <c r="D407" s="178" t="n">
        <v>78.7</v>
      </c>
      <c r="E407" s="178" t="n">
        <v>129.3</v>
      </c>
      <c r="F407" s="178" t="n">
        <v>138.8</v>
      </c>
      <c r="G407" s="178" t="n">
        <v>1039.9</v>
      </c>
      <c r="H407" s="178" t="n">
        <v>28.3</v>
      </c>
      <c r="I407" s="178" t="n">
        <v>33.6</v>
      </c>
      <c r="J407" s="178" t="n">
        <v>537.9</v>
      </c>
      <c r="K407" s="179" t="inlineStr">
        <is>
          <t>2617 TRANSTHERA-B</t>
        </is>
      </c>
    </row>
    <row r="408">
      <c r="A408" s="17" t="inlineStr">
        <is>
          <t>BOCOM International Securities Limited</t>
        </is>
      </c>
      <c r="B408" s="171" t="n">
        <v>1</v>
      </c>
      <c r="C408" s="177" t="n">
        <v>100</v>
      </c>
      <c r="D408" s="178" t="n">
        <v>78.7</v>
      </c>
      <c r="E408" s="178" t="n">
        <v>129.3</v>
      </c>
      <c r="F408" s="178" t="n">
        <v>138.8</v>
      </c>
      <c r="G408" s="178" t="n">
        <v>1039.9</v>
      </c>
      <c r="H408" s="178" t="n">
        <v>28.3</v>
      </c>
      <c r="I408" s="178" t="n">
        <v>33.6</v>
      </c>
      <c r="J408" s="178" t="n">
        <v>537.9</v>
      </c>
      <c r="K408" s="179" t="inlineStr">
        <is>
          <t>2617 TRANSTHERA-B</t>
        </is>
      </c>
    </row>
    <row r="409">
      <c r="A409" s="17" t="inlineStr">
        <is>
          <t>Fund LP and China Core Fund</t>
        </is>
      </c>
      <c r="B409" s="171" t="n">
        <v>1</v>
      </c>
      <c r="C409" s="177" t="n">
        <v>100</v>
      </c>
      <c r="D409" s="178" t="n">
        <v>76.5</v>
      </c>
      <c r="E409" s="178" t="n">
        <v>96.3</v>
      </c>
      <c r="F409" s="178" t="n">
        <v>98</v>
      </c>
      <c r="G409" s="178" t="n">
        <v>270.5</v>
      </c>
      <c r="H409" s="178" t="n">
        <v>11.2</v>
      </c>
      <c r="I409" s="178" t="n">
        <v>12.2</v>
      </c>
      <c r="J409" s="178" t="n">
        <v>109.9</v>
      </c>
      <c r="K409" s="179" t="inlineStr">
        <is>
          <t>1318 MAO GEPING</t>
        </is>
      </c>
    </row>
    <row r="410">
      <c r="A410" s="17" t="inlineStr">
        <is>
          <t>Qiming Venture Partners</t>
        </is>
      </c>
      <c r="B410" s="171" t="n">
        <v>1</v>
      </c>
      <c r="C410" s="177" t="n">
        <v>100</v>
      </c>
      <c r="D410" s="178" t="n">
        <v>75.8</v>
      </c>
      <c r="E410" s="178" t="n">
        <v>73.8</v>
      </c>
      <c r="F410" s="178" t="n">
        <v>67.3</v>
      </c>
      <c r="G410" s="178" t="n">
        <v>75.3</v>
      </c>
      <c r="H410" s="178" t="n">
        <v>-1.2</v>
      </c>
      <c r="I410" s="178" t="n">
        <v>-4.8</v>
      </c>
      <c r="J410" s="178" t="n">
        <v>-0.3</v>
      </c>
      <c r="K410" s="179" t="inlineStr">
        <is>
          <t>6082 BIREN TECH</t>
        </is>
      </c>
    </row>
    <row r="411">
      <c r="A411" s="17" t="inlineStr">
        <is>
          <t>Master Fund, L.P</t>
        </is>
      </c>
      <c r="B411" s="171" t="n">
        <v>1</v>
      </c>
      <c r="C411" s="177" t="n">
        <v>100</v>
      </c>
      <c r="D411" s="178" t="n">
        <v>75.8</v>
      </c>
      <c r="E411" s="178" t="n">
        <v>73.8</v>
      </c>
      <c r="F411" s="178" t="n">
        <v>67.3</v>
      </c>
      <c r="G411" s="178" t="n">
        <v>75.3</v>
      </c>
      <c r="H411" s="178" t="n">
        <v>-1.2</v>
      </c>
      <c r="I411" s="178" t="n">
        <v>-4.8</v>
      </c>
      <c r="J411" s="178" t="n">
        <v>-0.3</v>
      </c>
      <c r="K411" s="179" t="inlineStr">
        <is>
          <t>6082 BIREN TECH</t>
        </is>
      </c>
    </row>
    <row r="412">
      <c r="A412" s="17" t="inlineStr">
        <is>
          <t>有限公司)</t>
        </is>
      </c>
      <c r="B412" s="171" t="n">
        <v>1</v>
      </c>
      <c r="C412" s="177" t="n">
        <v>100</v>
      </c>
      <c r="D412" s="178" t="n">
        <v>75.8</v>
      </c>
      <c r="E412" s="178" t="n">
        <v>73.8</v>
      </c>
      <c r="F412" s="178" t="n">
        <v>67.3</v>
      </c>
      <c r="G412" s="178" t="n">
        <v>75.3</v>
      </c>
      <c r="H412" s="178" t="n">
        <v>-1.2</v>
      </c>
      <c r="I412" s="178" t="n">
        <v>-4.8</v>
      </c>
      <c r="J412" s="178" t="n">
        <v>-0.3</v>
      </c>
      <c r="K412" s="179" t="inlineStr">
        <is>
          <t>6082 BIREN TECH</t>
        </is>
      </c>
    </row>
    <row r="413">
      <c r="A413" s="17" t="inlineStr">
        <is>
          <t>Eastern Bell Capital VIII Investment Limited</t>
        </is>
      </c>
      <c r="B413" s="171" t="n">
        <v>1</v>
      </c>
      <c r="C413" s="177" t="n">
        <v>100</v>
      </c>
      <c r="D413" s="178" t="n">
        <v>75.5</v>
      </c>
      <c r="E413" s="178" t="n">
        <v>112.4</v>
      </c>
      <c r="F413" s="178" t="n">
        <v>107.6</v>
      </c>
      <c r="G413" s="178" t="n">
        <v>81.40000000000001</v>
      </c>
      <c r="H413" s="178" t="n">
        <v>21</v>
      </c>
      <c r="I413" s="178" t="n">
        <v>18.3</v>
      </c>
      <c r="J413" s="178" t="n">
        <v>3.4</v>
      </c>
      <c r="K413" s="179" t="inlineStr">
        <is>
          <t>3277 GPIXEL</t>
        </is>
      </c>
    </row>
    <row r="414">
      <c r="A414" s="17" t="inlineStr">
        <is>
          <t>Protium Capital Limited</t>
        </is>
      </c>
      <c r="B414" s="171" t="n">
        <v>1</v>
      </c>
      <c r="C414" s="177" t="n">
        <v>100</v>
      </c>
      <c r="D414" s="178" t="n">
        <v>75.5</v>
      </c>
      <c r="E414" s="178" t="n">
        <v>112.4</v>
      </c>
      <c r="F414" s="178" t="n">
        <v>107.6</v>
      </c>
      <c r="G414" s="178" t="n">
        <v>81.40000000000001</v>
      </c>
      <c r="H414" s="178" t="n">
        <v>21</v>
      </c>
      <c r="I414" s="178" t="n">
        <v>18.3</v>
      </c>
      <c r="J414" s="178" t="n">
        <v>3.4</v>
      </c>
      <c r="K414" s="179" t="inlineStr">
        <is>
          <t>3277 GPIXEL</t>
        </is>
      </c>
    </row>
    <row r="415">
      <c r="A415" s="17" t="inlineStr">
        <is>
          <t>Source Code Super Holdings Co</t>
        </is>
      </c>
      <c r="B415" s="171" t="n">
        <v>1</v>
      </c>
      <c r="C415" s="177" t="n">
        <v>100</v>
      </c>
      <c r="D415" s="178" t="n">
        <v>75.5</v>
      </c>
      <c r="E415" s="178" t="n">
        <v>112.4</v>
      </c>
      <c r="F415" s="178" t="n">
        <v>107.6</v>
      </c>
      <c r="G415" s="178" t="n">
        <v>81.40000000000001</v>
      </c>
      <c r="H415" s="178" t="n">
        <v>21</v>
      </c>
      <c r="I415" s="178" t="n">
        <v>18.3</v>
      </c>
      <c r="J415" s="178" t="n">
        <v>3.4</v>
      </c>
      <c r="K415" s="179" t="inlineStr">
        <is>
          <t>3277 GPIXEL</t>
        </is>
      </c>
    </row>
    <row r="416">
      <c r="A416" s="17" t="inlineStr">
        <is>
          <t>Voyage42 Master Fund</t>
        </is>
      </c>
      <c r="B416" s="171" t="n">
        <v>1</v>
      </c>
      <c r="C416" s="177" t="n">
        <v>100</v>
      </c>
      <c r="D416" s="178" t="n">
        <v>75.5</v>
      </c>
      <c r="E416" s="178" t="n">
        <v>112.4</v>
      </c>
      <c r="F416" s="178" t="n">
        <v>107.6</v>
      </c>
      <c r="G416" s="178" t="n">
        <v>81.40000000000001</v>
      </c>
      <c r="H416" s="178" t="n">
        <v>21</v>
      </c>
      <c r="I416" s="178" t="n">
        <v>18.3</v>
      </c>
      <c r="J416" s="178" t="n">
        <v>3.4</v>
      </c>
      <c r="K416" s="179" t="inlineStr">
        <is>
          <t>3277 GPIXEL</t>
        </is>
      </c>
    </row>
    <row r="417">
      <c r="A417" s="17" t="inlineStr">
        <is>
          <t>Mr. Zhao</t>
        </is>
      </c>
      <c r="B417" s="171" t="n">
        <v>1</v>
      </c>
      <c r="C417" s="177" t="n">
        <v>100</v>
      </c>
      <c r="D417" s="178" t="n">
        <v>69.09999999999999</v>
      </c>
      <c r="E417" s="178" t="n">
        <v>68.8</v>
      </c>
      <c r="F417" s="178" t="n">
        <v>65.2</v>
      </c>
      <c r="G417" s="178" t="n">
        <v>84.09999999999999</v>
      </c>
      <c r="H417" s="178" t="n">
        <v>-0.1</v>
      </c>
      <c r="I417" s="178" t="n">
        <v>-2.3</v>
      </c>
      <c r="J417" s="178" t="n">
        <v>8.9</v>
      </c>
      <c r="K417" s="179" t="inlineStr">
        <is>
          <t>1768 BUSYMING</t>
        </is>
      </c>
    </row>
    <row r="418">
      <c r="A418" s="17" t="inlineStr">
        <is>
          <t>Shanghai Bird Nest</t>
        </is>
      </c>
      <c r="B418" s="171" t="n">
        <v>1</v>
      </c>
      <c r="C418" s="177" t="n">
        <v>100</v>
      </c>
      <c r="D418" s="178" t="n">
        <v>69.09999999999999</v>
      </c>
      <c r="E418" s="178" t="n">
        <v>68.8</v>
      </c>
      <c r="F418" s="178" t="n">
        <v>65.2</v>
      </c>
      <c r="G418" s="178" t="n">
        <v>84.09999999999999</v>
      </c>
      <c r="H418" s="178" t="n">
        <v>-0.1</v>
      </c>
      <c r="I418" s="178" t="n">
        <v>-2.3</v>
      </c>
      <c r="J418" s="178" t="n">
        <v>8.9</v>
      </c>
      <c r="K418" s="179" t="inlineStr">
        <is>
          <t>1768 BUSYMING</t>
        </is>
      </c>
    </row>
    <row r="419">
      <c r="A419" s="17" t="inlineStr">
        <is>
          <t>Yichun Yikouniao</t>
        </is>
      </c>
      <c r="B419" s="171" t="n">
        <v>1</v>
      </c>
      <c r="C419" s="177" t="n">
        <v>100</v>
      </c>
      <c r="D419" s="178" t="n">
        <v>69.09999999999999</v>
      </c>
      <c r="E419" s="178" t="n">
        <v>68.8</v>
      </c>
      <c r="F419" s="178" t="n">
        <v>65.2</v>
      </c>
      <c r="G419" s="178" t="n">
        <v>84.09999999999999</v>
      </c>
      <c r="H419" s="178" t="n">
        <v>-0.1</v>
      </c>
      <c r="I419" s="178" t="n">
        <v>-2.3</v>
      </c>
      <c r="J419" s="178" t="n">
        <v>8.9</v>
      </c>
      <c r="K419" s="179" t="inlineStr">
        <is>
          <t>1768 BUSYMING</t>
        </is>
      </c>
    </row>
    <row r="420">
      <c r="A420" s="17" t="inlineStr">
        <is>
          <t>Gaorong LKZN</t>
        </is>
      </c>
      <c r="B420" s="171" t="n">
        <v>1</v>
      </c>
      <c r="C420" s="177" t="n">
        <v>100</v>
      </c>
      <c r="D420" s="178" t="n">
        <v>69.09999999999999</v>
      </c>
      <c r="E420" s="178" t="n">
        <v>68.8</v>
      </c>
      <c r="F420" s="178" t="n">
        <v>65.2</v>
      </c>
      <c r="G420" s="178" t="n">
        <v>84.09999999999999</v>
      </c>
      <c r="H420" s="178" t="n">
        <v>-0.1</v>
      </c>
      <c r="I420" s="178" t="n">
        <v>-2.3</v>
      </c>
      <c r="J420" s="178" t="n">
        <v>8.9</v>
      </c>
      <c r="K420" s="179" t="inlineStr">
        <is>
          <t>1768 BUSYMING</t>
        </is>
      </c>
    </row>
    <row r="421">
      <c r="A421" s="17" t="inlineStr">
        <is>
          <t>Discounter Seed</t>
        </is>
      </c>
      <c r="B421" s="171" t="n">
        <v>1</v>
      </c>
      <c r="C421" s="177" t="n">
        <v>100</v>
      </c>
      <c r="D421" s="178" t="n">
        <v>69.09999999999999</v>
      </c>
      <c r="E421" s="178" t="n">
        <v>68.8</v>
      </c>
      <c r="F421" s="178" t="n">
        <v>65.2</v>
      </c>
      <c r="G421" s="178" t="n">
        <v>84.09999999999999</v>
      </c>
      <c r="H421" s="178" t="n">
        <v>-0.1</v>
      </c>
      <c r="I421" s="178" t="n">
        <v>-2.3</v>
      </c>
      <c r="J421" s="178" t="n">
        <v>8.9</v>
      </c>
      <c r="K421" s="179" t="inlineStr">
        <is>
          <t>1768 BUSYMING</t>
        </is>
      </c>
    </row>
    <row r="422">
      <c r="A422" s="17" t="inlineStr">
        <is>
          <t>Shanghai Yihai</t>
        </is>
      </c>
      <c r="B422" s="171" t="n">
        <v>1</v>
      </c>
      <c r="C422" s="177" t="n">
        <v>100</v>
      </c>
      <c r="D422" s="178" t="n">
        <v>69.09999999999999</v>
      </c>
      <c r="E422" s="178" t="n">
        <v>68.8</v>
      </c>
      <c r="F422" s="178" t="n">
        <v>65.2</v>
      </c>
      <c r="G422" s="178" t="n">
        <v>84.09999999999999</v>
      </c>
      <c r="H422" s="178" t="n">
        <v>-0.1</v>
      </c>
      <c r="I422" s="178" t="n">
        <v>-2.3</v>
      </c>
      <c r="J422" s="178" t="n">
        <v>8.9</v>
      </c>
      <c r="K422" s="179" t="inlineStr">
        <is>
          <t>1768 BUSYMING</t>
        </is>
      </c>
    </row>
    <row r="423">
      <c r="A423" s="17" t="inlineStr">
        <is>
          <t>YSC Go (BVI) Limited</t>
        </is>
      </c>
      <c r="B423" s="171" t="n">
        <v>1</v>
      </c>
      <c r="C423" s="177" t="n">
        <v>100</v>
      </c>
      <c r="D423" s="178" t="n">
        <v>58.3</v>
      </c>
      <c r="E423" s="178" t="n">
        <v>17.6</v>
      </c>
      <c r="F423" s="178" t="n">
        <v>-11.1</v>
      </c>
      <c r="G423" s="178" t="n">
        <v>-14</v>
      </c>
      <c r="H423" s="178" t="n">
        <v>-25.7</v>
      </c>
      <c r="I423" s="178" t="n">
        <v>-43.8</v>
      </c>
      <c r="J423" s="178" t="n">
        <v>-45.7</v>
      </c>
      <c r="K423" s="179" t="inlineStr">
        <is>
          <t>2549 CAROTE LTD</t>
        </is>
      </c>
    </row>
    <row r="424">
      <c r="A424" s="17" t="inlineStr">
        <is>
          <t>CDG Group Fund L.P</t>
        </is>
      </c>
      <c r="B424" s="171" t="n">
        <v>1</v>
      </c>
      <c r="C424" s="177" t="n">
        <v>100</v>
      </c>
      <c r="D424" s="178" t="n">
        <v>54.3</v>
      </c>
      <c r="E424" s="178" t="n">
        <v>59.7</v>
      </c>
      <c r="F424" s="178" t="n">
        <v>29.5</v>
      </c>
      <c r="G424" s="178" t="n">
        <v>27.5</v>
      </c>
      <c r="H424" s="178" t="n">
        <v>3.5</v>
      </c>
      <c r="I424" s="178" t="n">
        <v>-16</v>
      </c>
      <c r="J424" s="178" t="n">
        <v>-17.3</v>
      </c>
      <c r="K424" s="179" t="inlineStr">
        <is>
          <t>2160 CARDIOFLOW-B</t>
        </is>
      </c>
    </row>
    <row r="425">
      <c r="A425" s="17" t="inlineStr">
        <is>
          <t>Kunlun Group Limited</t>
        </is>
      </c>
      <c r="B425" s="171" t="n">
        <v>1</v>
      </c>
      <c r="C425" s="177" t="n">
        <v>100</v>
      </c>
      <c r="D425" s="178" t="n">
        <v>54.3</v>
      </c>
      <c r="E425" s="178" t="n">
        <v>59.7</v>
      </c>
      <c r="F425" s="178" t="n">
        <v>29.5</v>
      </c>
      <c r="G425" s="178" t="n">
        <v>27.5</v>
      </c>
      <c r="H425" s="178" t="n">
        <v>3.5</v>
      </c>
      <c r="I425" s="178" t="n">
        <v>-16</v>
      </c>
      <c r="J425" s="178" t="n">
        <v>-17.3</v>
      </c>
      <c r="K425" s="179" t="inlineStr">
        <is>
          <t>2160 CARDIOFLOW-B</t>
        </is>
      </c>
    </row>
    <row r="426">
      <c r="A426" s="17" t="inlineStr">
        <is>
          <t>Tybourne Capital Management (HK) Limited</t>
        </is>
      </c>
      <c r="B426" s="171" t="n">
        <v>1</v>
      </c>
      <c r="C426" s="177" t="n">
        <v>100</v>
      </c>
      <c r="D426" s="178" t="n">
        <v>54.3</v>
      </c>
      <c r="E426" s="178" t="n">
        <v>59.7</v>
      </c>
      <c r="F426" s="178" t="n">
        <v>29.5</v>
      </c>
      <c r="G426" s="178" t="n">
        <v>27.5</v>
      </c>
      <c r="H426" s="178" t="n">
        <v>3.5</v>
      </c>
      <c r="I426" s="178" t="n">
        <v>-16</v>
      </c>
      <c r="J426" s="178" t="n">
        <v>-17.3</v>
      </c>
      <c r="K426" s="179" t="inlineStr">
        <is>
          <t>2160 CARDIOFLOW-B</t>
        </is>
      </c>
    </row>
    <row r="427">
      <c r="A427" s="17" t="inlineStr">
        <is>
          <t>Woodline Master Fund LP</t>
        </is>
      </c>
      <c r="B427" s="171" t="n">
        <v>1</v>
      </c>
      <c r="C427" s="177" t="n">
        <v>100</v>
      </c>
      <c r="D427" s="178" t="n">
        <v>54.3</v>
      </c>
      <c r="E427" s="178" t="n">
        <v>59.7</v>
      </c>
      <c r="F427" s="178" t="n">
        <v>29.5</v>
      </c>
      <c r="G427" s="178" t="n">
        <v>27.5</v>
      </c>
      <c r="H427" s="178" t="n">
        <v>3.5</v>
      </c>
      <c r="I427" s="178" t="n">
        <v>-16</v>
      </c>
      <c r="J427" s="178" t="n">
        <v>-17.3</v>
      </c>
      <c r="K427" s="179" t="inlineStr">
        <is>
          <t>2160 CARDIOFLOW-B</t>
        </is>
      </c>
    </row>
    <row r="428">
      <c r="A428" s="17" t="inlineStr">
        <is>
          <t>Juzi Holding Co., Ltd</t>
        </is>
      </c>
      <c r="B428" s="171" t="n">
        <v>1</v>
      </c>
      <c r="C428" s="177" t="n">
        <v>100</v>
      </c>
      <c r="D428" s="178" t="n">
        <v>53.5</v>
      </c>
      <c r="E428" s="178" t="n">
        <v>56.3</v>
      </c>
      <c r="F428" s="178" t="n">
        <v>46</v>
      </c>
      <c r="G428" s="178" t="n">
        <v>58.6</v>
      </c>
      <c r="H428" s="178" t="n">
        <v>1.9</v>
      </c>
      <c r="I428" s="178" t="n">
        <v>-4.9</v>
      </c>
      <c r="J428" s="178" t="n">
        <v>3.4</v>
      </c>
      <c r="K428" s="179" t="inlineStr">
        <is>
          <t>2373 BEAUTYFARM MED</t>
        </is>
      </c>
    </row>
    <row r="429">
      <c r="A429" s="17" t="inlineStr">
        <is>
          <t>CA Fern Parent</t>
        </is>
      </c>
      <c r="B429" s="171" t="n">
        <v>1</v>
      </c>
      <c r="C429" s="177" t="n">
        <v>100</v>
      </c>
      <c r="D429" s="178" t="n">
        <v>50.4</v>
      </c>
      <c r="E429" s="178" t="n">
        <v>42</v>
      </c>
      <c r="F429" s="178" t="n">
        <v>76.09999999999999</v>
      </c>
      <c r="G429" s="178" t="n">
        <v>44.3</v>
      </c>
      <c r="H429" s="178" t="n">
        <v>-5.5</v>
      </c>
      <c r="I429" s="178" t="n">
        <v>17.1</v>
      </c>
      <c r="J429" s="178" t="n">
        <v>-4.1</v>
      </c>
      <c r="K429" s="179" t="inlineStr">
        <is>
          <t>0013 HUTCHMED</t>
        </is>
      </c>
    </row>
    <row r="430">
      <c r="A430" s="17" t="inlineStr">
        <is>
          <t>HBM Healthcare Investments (Cayman) Ltd</t>
        </is>
      </c>
      <c r="B430" s="171" t="n">
        <v>1</v>
      </c>
      <c r="C430" s="177" t="n">
        <v>100</v>
      </c>
      <c r="D430" s="178" t="n">
        <v>50.4</v>
      </c>
      <c r="E430" s="178" t="n">
        <v>42</v>
      </c>
      <c r="F430" s="178" t="n">
        <v>76.09999999999999</v>
      </c>
      <c r="G430" s="178" t="n">
        <v>44.3</v>
      </c>
      <c r="H430" s="178" t="n">
        <v>-5.5</v>
      </c>
      <c r="I430" s="178" t="n">
        <v>17.1</v>
      </c>
      <c r="J430" s="178" t="n">
        <v>-4.1</v>
      </c>
      <c r="K430" s="179" t="inlineStr">
        <is>
          <t>0013 HUTCHMED</t>
        </is>
      </c>
    </row>
    <row r="431">
      <c r="A431" s="17" t="inlineStr">
        <is>
          <t>Cloudview Capital Limited</t>
        </is>
      </c>
      <c r="B431" s="171" t="n">
        <v>1</v>
      </c>
      <c r="C431" s="177" t="n">
        <v>100</v>
      </c>
      <c r="D431" s="178" t="n">
        <v>50.1</v>
      </c>
      <c r="E431" s="178" t="n">
        <v>42.9</v>
      </c>
      <c r="F431" s="178" t="n">
        <v>65</v>
      </c>
      <c r="G431" s="178" t="n">
        <v>9.6</v>
      </c>
      <c r="H431" s="178" t="n">
        <v>-4.8</v>
      </c>
      <c r="I431" s="178" t="n">
        <v>9.9</v>
      </c>
      <c r="J431" s="178" t="n">
        <v>-27</v>
      </c>
      <c r="K431" s="179" t="inlineStr">
        <is>
          <t>2476 VGT</t>
        </is>
      </c>
    </row>
    <row r="432">
      <c r="A432" s="17" t="inlineStr">
        <is>
          <t>CNCB (Hong Kong) Investment Limited</t>
        </is>
      </c>
      <c r="B432" s="171" t="n">
        <v>1</v>
      </c>
      <c r="C432" s="177" t="n">
        <v>100</v>
      </c>
      <c r="D432" s="178" t="n">
        <v>50.1</v>
      </c>
      <c r="E432" s="178" t="n">
        <v>42.9</v>
      </c>
      <c r="F432" s="178" t="n">
        <v>65</v>
      </c>
      <c r="G432" s="178" t="n">
        <v>9.6</v>
      </c>
      <c r="H432" s="178" t="n">
        <v>-4.8</v>
      </c>
      <c r="I432" s="178" t="n">
        <v>9.9</v>
      </c>
      <c r="J432" s="178" t="n">
        <v>-27</v>
      </c>
      <c r="K432" s="179" t="inlineStr">
        <is>
          <t>2476 VGT</t>
        </is>
      </c>
    </row>
    <row r="433">
      <c r="A433" s="17" t="inlineStr">
        <is>
          <t>Golden K2 Falcon Open-ended Fund Company</t>
        </is>
      </c>
      <c r="B433" s="171" t="n">
        <v>1</v>
      </c>
      <c r="C433" s="177" t="n">
        <v>100</v>
      </c>
      <c r="D433" s="178" t="n">
        <v>50.1</v>
      </c>
      <c r="E433" s="178" t="n">
        <v>42.9</v>
      </c>
      <c r="F433" s="178" t="n">
        <v>65</v>
      </c>
      <c r="G433" s="178" t="n">
        <v>9.6</v>
      </c>
      <c r="H433" s="178" t="n">
        <v>-4.8</v>
      </c>
      <c r="I433" s="178" t="n">
        <v>9.9</v>
      </c>
      <c r="J433" s="178" t="n">
        <v>-27</v>
      </c>
      <c r="K433" s="179" t="inlineStr">
        <is>
          <t>2476 VGT</t>
        </is>
      </c>
    </row>
    <row r="434">
      <c r="A434" s="17" t="inlineStr">
        <is>
          <t>Hong Kong Mason Electronics Co., Ltd</t>
        </is>
      </c>
      <c r="B434" s="171" t="n">
        <v>1</v>
      </c>
      <c r="C434" s="177" t="n">
        <v>100</v>
      </c>
      <c r="D434" s="178" t="n">
        <v>50.1</v>
      </c>
      <c r="E434" s="178" t="n">
        <v>42.9</v>
      </c>
      <c r="F434" s="178" t="n">
        <v>65</v>
      </c>
      <c r="G434" s="178" t="n">
        <v>9.6</v>
      </c>
      <c r="H434" s="178" t="n">
        <v>-4.8</v>
      </c>
      <c r="I434" s="178" t="n">
        <v>9.9</v>
      </c>
      <c r="J434" s="178" t="n">
        <v>-27</v>
      </c>
      <c r="K434" s="179" t="inlineStr">
        <is>
          <t>2476 VGT</t>
        </is>
      </c>
    </row>
    <row r="435">
      <c r="A435" s="17" t="inlineStr">
        <is>
          <t>Mr. Ye Guofu</t>
        </is>
      </c>
      <c r="B435" s="171" t="n">
        <v>1</v>
      </c>
      <c r="C435" s="177" t="n">
        <v>100</v>
      </c>
      <c r="D435" s="178" t="n">
        <v>50.1</v>
      </c>
      <c r="E435" s="178" t="n">
        <v>42.9</v>
      </c>
      <c r="F435" s="178" t="n">
        <v>65</v>
      </c>
      <c r="G435" s="178" t="n">
        <v>9.6</v>
      </c>
      <c r="H435" s="178" t="n">
        <v>-4.8</v>
      </c>
      <c r="I435" s="178" t="n">
        <v>9.9</v>
      </c>
      <c r="J435" s="178" t="n">
        <v>-27</v>
      </c>
      <c r="K435" s="179" t="inlineStr">
        <is>
          <t>2476 VGT</t>
        </is>
      </c>
    </row>
    <row r="436">
      <c r="A436" s="17" t="inlineStr">
        <is>
          <t>New Golden Future Limited</t>
        </is>
      </c>
      <c r="B436" s="171" t="n">
        <v>1</v>
      </c>
      <c r="C436" s="177" t="n">
        <v>100</v>
      </c>
      <c r="D436" s="178" t="n">
        <v>50.1</v>
      </c>
      <c r="E436" s="178" t="n">
        <v>42.9</v>
      </c>
      <c r="F436" s="178" t="n">
        <v>65</v>
      </c>
      <c r="G436" s="178" t="n">
        <v>9.6</v>
      </c>
      <c r="H436" s="178" t="n">
        <v>-4.8</v>
      </c>
      <c r="I436" s="178" t="n">
        <v>9.9</v>
      </c>
      <c r="J436" s="178" t="n">
        <v>-27</v>
      </c>
      <c r="K436" s="179" t="inlineStr">
        <is>
          <t>2476 VGT</t>
        </is>
      </c>
    </row>
    <row r="437">
      <c r="A437" s="17" t="inlineStr">
        <is>
          <t>Ding Shijia</t>
        </is>
      </c>
      <c r="B437" s="171" t="n">
        <v>1</v>
      </c>
      <c r="C437" s="177" t="n">
        <v>100</v>
      </c>
      <c r="D437" s="178" t="n">
        <v>47.8</v>
      </c>
      <c r="E437" s="178" t="n">
        <v>17.2</v>
      </c>
      <c r="F437" s="178" t="n">
        <v>6.9</v>
      </c>
      <c r="G437" s="178" t="n">
        <v>-1.2</v>
      </c>
      <c r="H437" s="178" t="n">
        <v>-20.7</v>
      </c>
      <c r="I437" s="178" t="n">
        <v>-27.7</v>
      </c>
      <c r="J437" s="178" t="n">
        <v>-33.2</v>
      </c>
      <c r="K437" s="179" t="inlineStr">
        <is>
          <t>2306 YH ENT</t>
        </is>
      </c>
    </row>
    <row r="438">
      <c r="A438" s="17" t="inlineStr">
        <is>
          <t>Maoyan Entertainment (HK) Limited</t>
        </is>
      </c>
      <c r="B438" s="171" t="n">
        <v>1</v>
      </c>
      <c r="C438" s="177" t="n">
        <v>100</v>
      </c>
      <c r="D438" s="178" t="n">
        <v>47.8</v>
      </c>
      <c r="E438" s="178" t="n">
        <v>17.2</v>
      </c>
      <c r="F438" s="178" t="n">
        <v>6.9</v>
      </c>
      <c r="G438" s="178" t="n">
        <v>-1.2</v>
      </c>
      <c r="H438" s="178" t="n">
        <v>-20.7</v>
      </c>
      <c r="I438" s="178" t="n">
        <v>-27.7</v>
      </c>
      <c r="J438" s="178" t="n">
        <v>-33.2</v>
      </c>
      <c r="K438" s="179" t="inlineStr">
        <is>
          <t>2306 YH ENT</t>
        </is>
      </c>
    </row>
    <row r="439">
      <c r="A439" s="17" t="inlineStr">
        <is>
          <t>Sun Mass Energy Development Limited</t>
        </is>
      </c>
      <c r="B439" s="171" t="n">
        <v>1</v>
      </c>
      <c r="C439" s="177" t="n">
        <v>100</v>
      </c>
      <c r="D439" s="178" t="n">
        <v>47.8</v>
      </c>
      <c r="E439" s="178" t="n">
        <v>17.2</v>
      </c>
      <c r="F439" s="178" t="n">
        <v>6.9</v>
      </c>
      <c r="G439" s="178" t="n">
        <v>-1.2</v>
      </c>
      <c r="H439" s="178" t="n">
        <v>-20.7</v>
      </c>
      <c r="I439" s="178" t="n">
        <v>-27.7</v>
      </c>
      <c r="J439" s="178" t="n">
        <v>-33.2</v>
      </c>
      <c r="K439" s="179" t="inlineStr">
        <is>
          <t>2306 YH ENT</t>
        </is>
      </c>
    </row>
    <row r="440">
      <c r="A440" s="17" t="inlineStr">
        <is>
          <t>Kingsoft Cloud Network Corporation Limited</t>
        </is>
      </c>
      <c r="B440" s="171" t="n">
        <v>1</v>
      </c>
      <c r="C440" s="177" t="n">
        <v>100</v>
      </c>
      <c r="D440" s="178" t="n">
        <v>44.7</v>
      </c>
      <c r="E440" s="178" t="n">
        <v>60.5</v>
      </c>
      <c r="F440" s="178" t="n">
        <v>-41.7</v>
      </c>
      <c r="G440" s="178" t="n"/>
      <c r="H440" s="178" t="n">
        <v>10.9</v>
      </c>
      <c r="I440" s="178" t="n">
        <v>-59.7</v>
      </c>
      <c r="J440" s="178" t="n"/>
      <c r="K440" s="179" t="inlineStr">
        <is>
          <t>1191 CREALIGHTS</t>
        </is>
      </c>
    </row>
    <row r="441">
      <c r="A441" s="17" t="inlineStr">
        <is>
          <t>Winwin Technology Investment Co., Limited</t>
        </is>
      </c>
      <c r="B441" s="171" t="n">
        <v>1</v>
      </c>
      <c r="C441" s="177" t="n">
        <v>100</v>
      </c>
      <c r="D441" s="178" t="n">
        <v>44.7</v>
      </c>
      <c r="E441" s="178" t="n">
        <v>60.5</v>
      </c>
      <c r="F441" s="178" t="n">
        <v>-41.7</v>
      </c>
      <c r="G441" s="178" t="n"/>
      <c r="H441" s="178" t="n">
        <v>10.9</v>
      </c>
      <c r="I441" s="178" t="n">
        <v>-59.7</v>
      </c>
      <c r="J441" s="178" t="n"/>
      <c r="K441" s="179" t="inlineStr">
        <is>
          <t>1191 CREALIGHTS</t>
        </is>
      </c>
    </row>
    <row r="442">
      <c r="A442" s="17" t="inlineStr">
        <is>
          <t>Nebula</t>
        </is>
      </c>
      <c r="B442" s="171" t="n">
        <v>1</v>
      </c>
      <c r="C442" s="177" t="n">
        <v>100</v>
      </c>
      <c r="D442" s="178" t="n">
        <v>44.6</v>
      </c>
      <c r="E442" s="178" t="n">
        <v>105.4</v>
      </c>
      <c r="F442" s="178" t="n">
        <v>184.9</v>
      </c>
      <c r="G442" s="178" t="n">
        <v>137.2</v>
      </c>
      <c r="H442" s="178" t="n">
        <v>42</v>
      </c>
      <c r="I442" s="178" t="n">
        <v>97</v>
      </c>
      <c r="J442" s="178" t="n">
        <v>64</v>
      </c>
      <c r="K442" s="179" t="inlineStr">
        <is>
          <t>9678 UNISOUND</t>
        </is>
      </c>
    </row>
    <row r="443">
      <c r="A443" s="17" t="inlineStr">
        <is>
          <t>Great Praise</t>
        </is>
      </c>
      <c r="B443" s="171" t="n">
        <v>1</v>
      </c>
      <c r="C443" s="177" t="n">
        <v>100</v>
      </c>
      <c r="D443" s="178" t="n">
        <v>44</v>
      </c>
      <c r="E443" s="178" t="n">
        <v>46.1</v>
      </c>
      <c r="F443" s="178" t="n">
        <v>36.3</v>
      </c>
      <c r="G443" s="178" t="n">
        <v>44.7</v>
      </c>
      <c r="H443" s="178" t="n">
        <v>1.5</v>
      </c>
      <c r="I443" s="178" t="n">
        <v>-5.3</v>
      </c>
      <c r="J443" s="178" t="n">
        <v>0.5</v>
      </c>
      <c r="K443" s="179" t="inlineStr">
        <is>
          <t>6090 BUTONG GROUP</t>
        </is>
      </c>
    </row>
    <row r="444">
      <c r="A444" s="17" t="inlineStr">
        <is>
          <t>Limited (TKAMC HK)</t>
        </is>
      </c>
      <c r="B444" s="171" t="n">
        <v>1</v>
      </c>
      <c r="C444" s="177" t="n">
        <v>100</v>
      </c>
      <c r="D444" s="178" t="n">
        <v>43.2</v>
      </c>
      <c r="E444" s="178" t="n">
        <v>94.3</v>
      </c>
      <c r="F444" s="178" t="n">
        <v>107.4</v>
      </c>
      <c r="G444" s="178" t="n">
        <v>180.5</v>
      </c>
      <c r="H444" s="178" t="n">
        <v>35.6</v>
      </c>
      <c r="I444" s="178" t="n">
        <v>44.8</v>
      </c>
      <c r="J444" s="178" t="n">
        <v>95.90000000000001</v>
      </c>
      <c r="K444" s="179" t="inlineStr">
        <is>
          <t>2097 MIXUE GROUP</t>
        </is>
      </c>
    </row>
    <row r="445">
      <c r="A445" s="17" t="inlineStr">
        <is>
          <t>Investment Limited (HTCI)</t>
        </is>
      </c>
      <c r="B445" s="171" t="n">
        <v>1</v>
      </c>
      <c r="C445" s="177" t="n">
        <v>100</v>
      </c>
      <c r="D445" s="178" t="n">
        <v>43.2</v>
      </c>
      <c r="E445" s="178" t="n">
        <v>94.3</v>
      </c>
      <c r="F445" s="178" t="n">
        <v>107.4</v>
      </c>
      <c r="G445" s="178" t="n">
        <v>180.5</v>
      </c>
      <c r="H445" s="178" t="n">
        <v>35.6</v>
      </c>
      <c r="I445" s="178" t="n">
        <v>44.8</v>
      </c>
      <c r="J445" s="178" t="n">
        <v>95.90000000000001</v>
      </c>
      <c r="K445" s="179" t="inlineStr">
        <is>
          <t>2097 MIXUE GROUP</t>
        </is>
      </c>
    </row>
    <row r="446">
      <c r="A446" s="17" t="inlineStr">
        <is>
          <t>Kong Limited (VPHK)</t>
        </is>
      </c>
      <c r="B446" s="171" t="n">
        <v>1</v>
      </c>
      <c r="C446" s="177" t="n">
        <v>100</v>
      </c>
      <c r="D446" s="178" t="n">
        <v>43.2</v>
      </c>
      <c r="E446" s="178" t="n">
        <v>94.3</v>
      </c>
      <c r="F446" s="178" t="n">
        <v>107.4</v>
      </c>
      <c r="G446" s="178" t="n">
        <v>180.5</v>
      </c>
      <c r="H446" s="178" t="n">
        <v>35.6</v>
      </c>
      <c r="I446" s="178" t="n">
        <v>44.8</v>
      </c>
      <c r="J446" s="178" t="n">
        <v>95.90000000000001</v>
      </c>
      <c r="K446" s="179" t="inlineStr">
        <is>
          <t>2097 MIXUE GROUP</t>
        </is>
      </c>
    </row>
    <row r="447">
      <c r="A447" s="17" t="inlineStr">
        <is>
          <t>M&amp;G Investments</t>
        </is>
      </c>
      <c r="B447" s="171" t="n">
        <v>1</v>
      </c>
      <c r="C447" s="177" t="n">
        <v>100</v>
      </c>
      <c r="D447" s="178" t="n">
        <v>43.2</v>
      </c>
      <c r="E447" s="178" t="n">
        <v>94.3</v>
      </c>
      <c r="F447" s="178" t="n">
        <v>107.4</v>
      </c>
      <c r="G447" s="178" t="n">
        <v>180.5</v>
      </c>
      <c r="H447" s="178" t="n">
        <v>35.6</v>
      </c>
      <c r="I447" s="178" t="n">
        <v>44.8</v>
      </c>
      <c r="J447" s="178" t="n">
        <v>95.90000000000001</v>
      </c>
      <c r="K447" s="179" t="inlineStr">
        <is>
          <t>2097 MIXUE GROUP</t>
        </is>
      </c>
    </row>
    <row r="448">
      <c r="A448" s="17" t="inlineStr">
        <is>
          <t>Persistence Growth Limited</t>
        </is>
      </c>
      <c r="B448" s="171" t="n">
        <v>1</v>
      </c>
      <c r="C448" s="177" t="n">
        <v>100</v>
      </c>
      <c r="D448" s="178" t="n">
        <v>43.2</v>
      </c>
      <c r="E448" s="178" t="n">
        <v>94.3</v>
      </c>
      <c r="F448" s="178" t="n">
        <v>107.4</v>
      </c>
      <c r="G448" s="178" t="n">
        <v>180.5</v>
      </c>
      <c r="H448" s="178" t="n">
        <v>35.6</v>
      </c>
      <c r="I448" s="178" t="n">
        <v>44.8</v>
      </c>
      <c r="J448" s="178" t="n">
        <v>95.90000000000001</v>
      </c>
      <c r="K448" s="179" t="inlineStr">
        <is>
          <t>2097 MIXUE GROUP</t>
        </is>
      </c>
    </row>
    <row r="449">
      <c r="A449" s="17" t="inlineStr">
        <is>
          <t>MeichengNote</t>
        </is>
      </c>
      <c r="B449" s="171" t="n">
        <v>1</v>
      </c>
      <c r="C449" s="177" t="n">
        <v>100</v>
      </c>
      <c r="D449" s="178" t="n">
        <v>43.2</v>
      </c>
      <c r="E449" s="178" t="n">
        <v>94.3</v>
      </c>
      <c r="F449" s="178" t="n">
        <v>107.4</v>
      </c>
      <c r="G449" s="178" t="n">
        <v>180.5</v>
      </c>
      <c r="H449" s="178" t="n">
        <v>35.6</v>
      </c>
      <c r="I449" s="178" t="n">
        <v>44.8</v>
      </c>
      <c r="J449" s="178" t="n">
        <v>95.90000000000001</v>
      </c>
      <c r="K449" s="179" t="inlineStr">
        <is>
          <t>2097 MIXUE GROUP</t>
        </is>
      </c>
    </row>
    <row r="450">
      <c r="A450" s="17" t="inlineStr">
        <is>
          <t>Shenzhen Yunqi</t>
        </is>
      </c>
      <c r="B450" s="171" t="n">
        <v>1</v>
      </c>
      <c r="C450" s="177" t="n">
        <v>100</v>
      </c>
      <c r="D450" s="178" t="n">
        <v>43.2</v>
      </c>
      <c r="E450" s="178" t="n">
        <v>94.3</v>
      </c>
      <c r="F450" s="178" t="n">
        <v>107.4</v>
      </c>
      <c r="G450" s="178" t="n">
        <v>180.5</v>
      </c>
      <c r="H450" s="178" t="n">
        <v>35.6</v>
      </c>
      <c r="I450" s="178" t="n">
        <v>44.8</v>
      </c>
      <c r="J450" s="178" t="n">
        <v>95.90000000000001</v>
      </c>
      <c r="K450" s="179" t="inlineStr">
        <is>
          <t>2097 MIXUE GROUP</t>
        </is>
      </c>
    </row>
    <row r="451">
      <c r="A451" s="17" t="inlineStr">
        <is>
          <t>Lin Xiaojian</t>
        </is>
      </c>
      <c r="B451" s="171" t="n">
        <v>1</v>
      </c>
      <c r="C451" s="177" t="n">
        <v>100</v>
      </c>
      <c r="D451" s="178" t="n">
        <v>42</v>
      </c>
      <c r="E451" s="178" t="n">
        <v>30</v>
      </c>
      <c r="F451" s="178" t="n">
        <v>3</v>
      </c>
      <c r="G451" s="178" t="n">
        <v>9.5</v>
      </c>
      <c r="H451" s="178" t="n">
        <v>-8.4</v>
      </c>
      <c r="I451" s="178" t="n">
        <v>-27.5</v>
      </c>
      <c r="J451" s="178" t="n">
        <v>-22.9</v>
      </c>
      <c r="K451" s="179" t="inlineStr">
        <is>
          <t>9881 RONGTA TECH</t>
        </is>
      </c>
    </row>
    <row r="452">
      <c r="A452" s="17" t="inlineStr">
        <is>
          <t>Sinos Group Limited</t>
        </is>
      </c>
      <c r="B452" s="171" t="n">
        <v>1</v>
      </c>
      <c r="C452" s="177" t="n">
        <v>100</v>
      </c>
      <c r="D452" s="178" t="n">
        <v>42</v>
      </c>
      <c r="E452" s="178" t="n">
        <v>30</v>
      </c>
      <c r="F452" s="178" t="n">
        <v>3</v>
      </c>
      <c r="G452" s="178" t="n">
        <v>9.5</v>
      </c>
      <c r="H452" s="178" t="n">
        <v>-8.4</v>
      </c>
      <c r="I452" s="178" t="n">
        <v>-27.5</v>
      </c>
      <c r="J452" s="178" t="n">
        <v>-22.9</v>
      </c>
      <c r="K452" s="179" t="inlineStr">
        <is>
          <t>9881 RONGTA TECH</t>
        </is>
      </c>
    </row>
    <row r="453">
      <c r="A453" s="17" t="inlineStr">
        <is>
          <t>Li Shuhan</t>
        </is>
      </c>
      <c r="B453" s="171" t="n">
        <v>1</v>
      </c>
      <c r="C453" s="177" t="n">
        <v>100</v>
      </c>
      <c r="D453" s="178" t="n">
        <v>42</v>
      </c>
      <c r="E453" s="178" t="n">
        <v>30</v>
      </c>
      <c r="F453" s="178" t="n">
        <v>3</v>
      </c>
      <c r="G453" s="178" t="n">
        <v>9.5</v>
      </c>
      <c r="H453" s="178" t="n">
        <v>-8.4</v>
      </c>
      <c r="I453" s="178" t="n">
        <v>-27.5</v>
      </c>
      <c r="J453" s="178" t="n">
        <v>-22.9</v>
      </c>
      <c r="K453" s="179" t="inlineStr">
        <is>
          <t>9881 RONGTA TECH</t>
        </is>
      </c>
    </row>
    <row r="454">
      <c r="A454" s="17" t="inlineStr">
        <is>
          <t>Ng Chi Fat</t>
        </is>
      </c>
      <c r="B454" s="171" t="n">
        <v>1</v>
      </c>
      <c r="C454" s="177" t="n">
        <v>100</v>
      </c>
      <c r="D454" s="178" t="n">
        <v>42</v>
      </c>
      <c r="E454" s="178" t="n">
        <v>30</v>
      </c>
      <c r="F454" s="178" t="n">
        <v>3</v>
      </c>
      <c r="G454" s="178" t="n">
        <v>9.5</v>
      </c>
      <c r="H454" s="178" t="n">
        <v>-8.4</v>
      </c>
      <c r="I454" s="178" t="n">
        <v>-27.5</v>
      </c>
      <c r="J454" s="178" t="n">
        <v>-22.9</v>
      </c>
      <c r="K454" s="179" t="inlineStr">
        <is>
          <t>9881 RONGTA TECH</t>
        </is>
      </c>
    </row>
    <row r="455">
      <c r="A455" s="17" t="inlineStr">
        <is>
          <t>Xu Kaiming</t>
        </is>
      </c>
      <c r="B455" s="171" t="n">
        <v>1</v>
      </c>
      <c r="C455" s="177" t="n">
        <v>100</v>
      </c>
      <c r="D455" s="178" t="n">
        <v>42</v>
      </c>
      <c r="E455" s="178" t="n">
        <v>30</v>
      </c>
      <c r="F455" s="178" t="n">
        <v>3</v>
      </c>
      <c r="G455" s="178" t="n">
        <v>9.5</v>
      </c>
      <c r="H455" s="178" t="n">
        <v>-8.4</v>
      </c>
      <c r="I455" s="178" t="n">
        <v>-27.5</v>
      </c>
      <c r="J455" s="178" t="n">
        <v>-22.9</v>
      </c>
      <c r="K455" s="179" t="inlineStr">
        <is>
          <t>9881 RONGTA TECH</t>
        </is>
      </c>
    </row>
    <row r="456">
      <c r="A456" s="17" t="inlineStr">
        <is>
          <t>Xu Kaihe</t>
        </is>
      </c>
      <c r="B456" s="171" t="n">
        <v>1</v>
      </c>
      <c r="C456" s="177" t="n">
        <v>100</v>
      </c>
      <c r="D456" s="178" t="n">
        <v>42</v>
      </c>
      <c r="E456" s="178" t="n">
        <v>30</v>
      </c>
      <c r="F456" s="178" t="n">
        <v>3</v>
      </c>
      <c r="G456" s="178" t="n">
        <v>9.5</v>
      </c>
      <c r="H456" s="178" t="n">
        <v>-8.4</v>
      </c>
      <c r="I456" s="178" t="n">
        <v>-27.5</v>
      </c>
      <c r="J456" s="178" t="n">
        <v>-22.9</v>
      </c>
      <c r="K456" s="179" t="inlineStr">
        <is>
          <t>9881 RONGTA TECH</t>
        </is>
      </c>
    </row>
    <row r="457">
      <c r="A457" s="17" t="inlineStr">
        <is>
          <t>Lin Huanan</t>
        </is>
      </c>
      <c r="B457" s="171" t="n">
        <v>1</v>
      </c>
      <c r="C457" s="177" t="n">
        <v>100</v>
      </c>
      <c r="D457" s="178" t="n">
        <v>42</v>
      </c>
      <c r="E457" s="178" t="n">
        <v>30</v>
      </c>
      <c r="F457" s="178" t="n">
        <v>3</v>
      </c>
      <c r="G457" s="178" t="n">
        <v>9.5</v>
      </c>
      <c r="H457" s="178" t="n">
        <v>-8.4</v>
      </c>
      <c r="I457" s="178" t="n">
        <v>-27.5</v>
      </c>
      <c r="J457" s="178" t="n">
        <v>-22.9</v>
      </c>
      <c r="K457" s="179" t="inlineStr">
        <is>
          <t>9881 RONGTA TECH</t>
        </is>
      </c>
    </row>
    <row r="458">
      <c r="A458" s="17" t="inlineStr">
        <is>
          <t>Yang Litie</t>
        </is>
      </c>
      <c r="B458" s="171" t="n">
        <v>1</v>
      </c>
      <c r="C458" s="177" t="n">
        <v>100</v>
      </c>
      <c r="D458" s="178" t="n">
        <v>42</v>
      </c>
      <c r="E458" s="178" t="n">
        <v>30</v>
      </c>
      <c r="F458" s="178" t="n">
        <v>3</v>
      </c>
      <c r="G458" s="178" t="n">
        <v>9.5</v>
      </c>
      <c r="H458" s="178" t="n">
        <v>-8.4</v>
      </c>
      <c r="I458" s="178" t="n">
        <v>-27.5</v>
      </c>
      <c r="J458" s="178" t="n">
        <v>-22.9</v>
      </c>
      <c r="K458" s="179" t="inlineStr">
        <is>
          <t>9881 RONGTA TECH</t>
        </is>
      </c>
    </row>
    <row r="459">
      <c r="A459" s="17" t="inlineStr">
        <is>
          <t>Bright Stone Holdings Limited</t>
        </is>
      </c>
      <c r="B459" s="171" t="n">
        <v>1</v>
      </c>
      <c r="C459" s="177" t="n">
        <v>100</v>
      </c>
      <c r="D459" s="178" t="n">
        <v>41.6</v>
      </c>
      <c r="E459" s="178" t="n">
        <v>30.8</v>
      </c>
      <c r="F459" s="178" t="n">
        <v>18.2</v>
      </c>
      <c r="G459" s="178" t="n">
        <v>14.6</v>
      </c>
      <c r="H459" s="178" t="n">
        <v>-7.7</v>
      </c>
      <c r="I459" s="178" t="n">
        <v>-16.5</v>
      </c>
      <c r="J459" s="178" t="n">
        <v>-19.1</v>
      </c>
      <c r="K459" s="179" t="inlineStr">
        <is>
          <t>6938 RIBOLIFE-B</t>
        </is>
      </c>
    </row>
    <row r="460">
      <c r="A460" s="17" t="inlineStr">
        <is>
          <t>Erik Selin Fastigheter Aktiebolag</t>
        </is>
      </c>
      <c r="B460" s="171" t="n">
        <v>1</v>
      </c>
      <c r="C460" s="177" t="n">
        <v>100</v>
      </c>
      <c r="D460" s="178" t="n">
        <v>41.6</v>
      </c>
      <c r="E460" s="178" t="n">
        <v>30.8</v>
      </c>
      <c r="F460" s="178" t="n">
        <v>18.2</v>
      </c>
      <c r="G460" s="178" t="n">
        <v>14.6</v>
      </c>
      <c r="H460" s="178" t="n">
        <v>-7.7</v>
      </c>
      <c r="I460" s="178" t="n">
        <v>-16.5</v>
      </c>
      <c r="J460" s="178" t="n">
        <v>-19.1</v>
      </c>
      <c r="K460" s="179" t="inlineStr">
        <is>
          <t>6938 RIBOLIFE-B</t>
        </is>
      </c>
    </row>
    <row r="461">
      <c r="A461" s="17" t="inlineStr">
        <is>
          <t>Himension Fund</t>
        </is>
      </c>
      <c r="B461" s="171" t="n">
        <v>1</v>
      </c>
      <c r="C461" s="177" t="n">
        <v>100</v>
      </c>
      <c r="D461" s="178" t="n">
        <v>41.6</v>
      </c>
      <c r="E461" s="178" t="n">
        <v>30.8</v>
      </c>
      <c r="F461" s="178" t="n">
        <v>18.2</v>
      </c>
      <c r="G461" s="178" t="n">
        <v>14.6</v>
      </c>
      <c r="H461" s="178" t="n">
        <v>-7.7</v>
      </c>
      <c r="I461" s="178" t="n">
        <v>-16.5</v>
      </c>
      <c r="J461" s="178" t="n">
        <v>-19.1</v>
      </c>
      <c r="K461" s="179" t="inlineStr">
        <is>
          <t>6938 RIBOLIFE-B</t>
        </is>
      </c>
    </row>
    <row r="462">
      <c r="A462" s="17" t="inlineStr">
        <is>
          <t>Mingxin Growth Ventures LS2 Limited</t>
        </is>
      </c>
      <c r="B462" s="171" t="n">
        <v>1</v>
      </c>
      <c r="C462" s="177" t="n">
        <v>100</v>
      </c>
      <c r="D462" s="178" t="n">
        <v>41.6</v>
      </c>
      <c r="E462" s="178" t="n">
        <v>30.8</v>
      </c>
      <c r="F462" s="178" t="n">
        <v>18.2</v>
      </c>
      <c r="G462" s="178" t="n">
        <v>14.6</v>
      </c>
      <c r="H462" s="178" t="n">
        <v>-7.7</v>
      </c>
      <c r="I462" s="178" t="n">
        <v>-16.5</v>
      </c>
      <c r="J462" s="178" t="n">
        <v>-19.1</v>
      </c>
      <c r="K462" s="179" t="inlineStr">
        <is>
          <t>6938 RIBOLIFE-B</t>
        </is>
      </c>
    </row>
    <row r="463">
      <c r="A463" s="17" t="inlineStr">
        <is>
          <t>William WONG ( ˮጳ਷)</t>
        </is>
      </c>
      <c r="B463" s="171" t="n">
        <v>1</v>
      </c>
      <c r="C463" s="177" t="n">
        <v>100</v>
      </c>
      <c r="D463" s="178" t="n">
        <v>41.6</v>
      </c>
      <c r="E463" s="178" t="n">
        <v>30.8</v>
      </c>
      <c r="F463" s="178" t="n">
        <v>18.2</v>
      </c>
      <c r="G463" s="178" t="n">
        <v>14.6</v>
      </c>
      <c r="H463" s="178" t="n">
        <v>-7.7</v>
      </c>
      <c r="I463" s="178" t="n">
        <v>-16.5</v>
      </c>
      <c r="J463" s="178" t="n">
        <v>-19.1</v>
      </c>
      <c r="K463" s="179" t="inlineStr">
        <is>
          <t>6938 RIBOLIFE-B</t>
        </is>
      </c>
    </row>
    <row r="464">
      <c r="A464" s="17" t="inlineStr">
        <is>
          <t>Worldstar Global Holdings Limited</t>
        </is>
      </c>
      <c r="B464" s="171" t="n">
        <v>1</v>
      </c>
      <c r="C464" s="177" t="n">
        <v>100</v>
      </c>
      <c r="D464" s="178" t="n">
        <v>41.6</v>
      </c>
      <c r="E464" s="178" t="n">
        <v>30.8</v>
      </c>
      <c r="F464" s="178" t="n">
        <v>18.2</v>
      </c>
      <c r="G464" s="178" t="n">
        <v>14.6</v>
      </c>
      <c r="H464" s="178" t="n">
        <v>-7.7</v>
      </c>
      <c r="I464" s="178" t="n">
        <v>-16.5</v>
      </c>
      <c r="J464" s="178" t="n">
        <v>-19.1</v>
      </c>
      <c r="K464" s="179" t="inlineStr">
        <is>
          <t>6938 RIBOLIFE-B</t>
        </is>
      </c>
    </row>
    <row r="465">
      <c r="A465" s="17" t="inlineStr">
        <is>
          <t>Wise Vigour Limited</t>
        </is>
      </c>
      <c r="B465" s="171" t="n">
        <v>1</v>
      </c>
      <c r="C465" s="177" t="n">
        <v>100</v>
      </c>
      <c r="D465" s="178" t="n">
        <v>41.6</v>
      </c>
      <c r="E465" s="178" t="n">
        <v>30.8</v>
      </c>
      <c r="F465" s="178" t="n">
        <v>18.2</v>
      </c>
      <c r="G465" s="178" t="n">
        <v>14.6</v>
      </c>
      <c r="H465" s="178" t="n">
        <v>-7.7</v>
      </c>
      <c r="I465" s="178" t="n">
        <v>-16.5</v>
      </c>
      <c r="J465" s="178" t="n">
        <v>-19.1</v>
      </c>
      <c r="K465" s="179" t="inlineStr">
        <is>
          <t>6938 RIBOLIFE-B</t>
        </is>
      </c>
    </row>
    <row r="466">
      <c r="A466" s="17" t="inlineStr">
        <is>
          <t>CURA International (Hong Kong) Investment Management Company Limited</t>
        </is>
      </c>
      <c r="B466" s="171" t="n">
        <v>1</v>
      </c>
      <c r="C466" s="177" t="n">
        <v>100</v>
      </c>
      <c r="D466" s="178" t="n">
        <v>41.5</v>
      </c>
      <c r="E466" s="178" t="n">
        <v>2.5</v>
      </c>
      <c r="F466" s="178" t="n">
        <v>0</v>
      </c>
      <c r="G466" s="178" t="n">
        <v>3.8</v>
      </c>
      <c r="H466" s="178" t="n">
        <v>-27.6</v>
      </c>
      <c r="I466" s="178" t="n">
        <v>-29.3</v>
      </c>
      <c r="J466" s="178" t="n">
        <v>-26.7</v>
      </c>
      <c r="K466" s="179" t="inlineStr">
        <is>
          <t>1965 LANDSEA LIFE</t>
        </is>
      </c>
    </row>
    <row r="467">
      <c r="A467" s="17" t="inlineStr">
        <is>
          <t>Dato Sri Ng Chong Keong</t>
        </is>
      </c>
      <c r="B467" s="171" t="n">
        <v>1</v>
      </c>
      <c r="C467" s="177" t="n">
        <v>100</v>
      </c>
      <c r="D467" s="178" t="n">
        <v>41.1</v>
      </c>
      <c r="E467" s="178" t="n">
        <v>62.5</v>
      </c>
      <c r="F467" s="178" t="n">
        <v>96.40000000000001</v>
      </c>
      <c r="G467" s="178" t="n">
        <v>258.9</v>
      </c>
      <c r="H467" s="178" t="n">
        <v>15.2</v>
      </c>
      <c r="I467" s="178" t="n">
        <v>39.2</v>
      </c>
      <c r="J467" s="178" t="n">
        <v>154.4</v>
      </c>
      <c r="K467" s="179" t="inlineStr">
        <is>
          <t>2321 SWANGCHAICHUAN</t>
        </is>
      </c>
    </row>
    <row r="468">
      <c r="A468" s="17" t="inlineStr">
        <is>
          <t>Huihuang Resources Limited</t>
        </is>
      </c>
      <c r="B468" s="171" t="n">
        <v>1</v>
      </c>
      <c r="C468" s="177" t="n">
        <v>100</v>
      </c>
      <c r="D468" s="178" t="n">
        <v>41.1</v>
      </c>
      <c r="E468" s="178" t="n">
        <v>62.5</v>
      </c>
      <c r="F468" s="178" t="n">
        <v>96.40000000000001</v>
      </c>
      <c r="G468" s="178" t="n">
        <v>258.9</v>
      </c>
      <c r="H468" s="178" t="n">
        <v>15.2</v>
      </c>
      <c r="I468" s="178" t="n">
        <v>39.2</v>
      </c>
      <c r="J468" s="178" t="n">
        <v>154.4</v>
      </c>
      <c r="K468" s="179" t="inlineStr">
        <is>
          <t>2321 SWANGCHAICHUAN</t>
        </is>
      </c>
    </row>
    <row r="469">
      <c r="A469" s="17" t="inlineStr">
        <is>
          <t>Mr. Tee Kian Heng</t>
        </is>
      </c>
      <c r="B469" s="171" t="n">
        <v>1</v>
      </c>
      <c r="C469" s="177" t="n">
        <v>100</v>
      </c>
      <c r="D469" s="178" t="n">
        <v>41.1</v>
      </c>
      <c r="E469" s="178" t="n">
        <v>62.5</v>
      </c>
      <c r="F469" s="178" t="n">
        <v>96.40000000000001</v>
      </c>
      <c r="G469" s="178" t="n">
        <v>258.9</v>
      </c>
      <c r="H469" s="178" t="n">
        <v>15.2</v>
      </c>
      <c r="I469" s="178" t="n">
        <v>39.2</v>
      </c>
      <c r="J469" s="178" t="n">
        <v>154.4</v>
      </c>
      <c r="K469" s="179" t="inlineStr">
        <is>
          <t>2321 SWANGCHAICHUAN</t>
        </is>
      </c>
    </row>
    <row r="470">
      <c r="A470" s="17" t="inlineStr">
        <is>
          <t>Nayuki Holdings Limited</t>
        </is>
      </c>
      <c r="B470" s="171" t="n">
        <v>1</v>
      </c>
      <c r="C470" s="177" t="n">
        <v>100</v>
      </c>
      <c r="D470" s="178" t="n">
        <v>40.9</v>
      </c>
      <c r="E470" s="178" t="n">
        <v>20.8</v>
      </c>
      <c r="F470" s="178" t="n">
        <v>55.9</v>
      </c>
      <c r="G470" s="178" t="n">
        <v>79.09999999999999</v>
      </c>
      <c r="H470" s="178" t="n">
        <v>-14.3</v>
      </c>
      <c r="I470" s="178" t="n">
        <v>10.7</v>
      </c>
      <c r="J470" s="178" t="n">
        <v>27.2</v>
      </c>
      <c r="K470" s="179" t="inlineStr">
        <is>
          <t>2429 UBOX ONLINE</t>
        </is>
      </c>
    </row>
    <row r="471">
      <c r="A471" s="17" t="inlineStr">
        <is>
          <t>Shenzhen Maliujia Network Technology Co., Ltd</t>
        </is>
      </c>
      <c r="B471" s="171" t="n">
        <v>1</v>
      </c>
      <c r="C471" s="177" t="n">
        <v>100</v>
      </c>
      <c r="D471" s="178" t="n">
        <v>40.9</v>
      </c>
      <c r="E471" s="178" t="n">
        <v>20.8</v>
      </c>
      <c r="F471" s="178" t="n">
        <v>55.9</v>
      </c>
      <c r="G471" s="178" t="n">
        <v>79.09999999999999</v>
      </c>
      <c r="H471" s="178" t="n">
        <v>-14.3</v>
      </c>
      <c r="I471" s="178" t="n">
        <v>10.7</v>
      </c>
      <c r="J471" s="178" t="n">
        <v>27.2</v>
      </c>
      <c r="K471" s="179" t="inlineStr">
        <is>
          <t>2429 UBOX ONLINE</t>
        </is>
      </c>
    </row>
    <row r="472">
      <c r="A472" s="17" t="inlineStr">
        <is>
          <t>Wei Jinbing</t>
        </is>
      </c>
      <c r="B472" s="171" t="n">
        <v>1</v>
      </c>
      <c r="C472" s="177" t="n">
        <v>100</v>
      </c>
      <c r="D472" s="178" t="n">
        <v>40.9</v>
      </c>
      <c r="E472" s="178" t="n">
        <v>20.8</v>
      </c>
      <c r="F472" s="178" t="n">
        <v>55.9</v>
      </c>
      <c r="G472" s="178" t="n">
        <v>79.09999999999999</v>
      </c>
      <c r="H472" s="178" t="n">
        <v>-14.3</v>
      </c>
      <c r="I472" s="178" t="n">
        <v>10.7</v>
      </c>
      <c r="J472" s="178" t="n">
        <v>27.2</v>
      </c>
      <c r="K472" s="179" t="inlineStr">
        <is>
          <t>2429 UBOX ONLINE</t>
        </is>
      </c>
    </row>
    <row r="473">
      <c r="A473" s="17" t="inlineStr">
        <is>
          <t>Gaintex Investment Limited</t>
        </is>
      </c>
      <c r="B473" s="171" t="n">
        <v>1</v>
      </c>
      <c r="C473" s="177" t="n">
        <v>100</v>
      </c>
      <c r="D473" s="178" t="n">
        <v>40.9</v>
      </c>
      <c r="E473" s="178" t="n">
        <v>49.6</v>
      </c>
      <c r="F473" s="178" t="n">
        <v>40.2</v>
      </c>
      <c r="G473" s="178" t="n">
        <v>101.7</v>
      </c>
      <c r="H473" s="178" t="n">
        <v>6.2</v>
      </c>
      <c r="I473" s="178" t="n">
        <v>-0.5</v>
      </c>
      <c r="J473" s="178" t="n">
        <v>43.2</v>
      </c>
      <c r="K473" s="179" t="inlineStr">
        <is>
          <t>0325 BLOKS</t>
        </is>
      </c>
    </row>
    <row r="474">
      <c r="A474" s="17" t="inlineStr">
        <is>
          <t>Plus Force Enterprise Limited</t>
        </is>
      </c>
      <c r="B474" s="171" t="n">
        <v>1</v>
      </c>
      <c r="C474" s="177" t="n">
        <v>100</v>
      </c>
      <c r="D474" s="178" t="n">
        <v>40.9</v>
      </c>
      <c r="E474" s="178" t="n">
        <v>49.6</v>
      </c>
      <c r="F474" s="178" t="n">
        <v>40.2</v>
      </c>
      <c r="G474" s="178" t="n">
        <v>101.7</v>
      </c>
      <c r="H474" s="178" t="n">
        <v>6.2</v>
      </c>
      <c r="I474" s="178" t="n">
        <v>-0.5</v>
      </c>
      <c r="J474" s="178" t="n">
        <v>43.2</v>
      </c>
      <c r="K474" s="179" t="inlineStr">
        <is>
          <t>0325 BLOKS</t>
        </is>
      </c>
    </row>
    <row r="475">
      <c r="A475" s="17" t="inlineStr">
        <is>
          <t>Merron Ventures Limited</t>
        </is>
      </c>
      <c r="B475" s="171" t="n">
        <v>1</v>
      </c>
      <c r="C475" s="177" t="n">
        <v>100</v>
      </c>
      <c r="D475" s="178" t="n">
        <v>40.9</v>
      </c>
      <c r="E475" s="178" t="n">
        <v>49.6</v>
      </c>
      <c r="F475" s="178" t="n">
        <v>40.2</v>
      </c>
      <c r="G475" s="178" t="n">
        <v>101.7</v>
      </c>
      <c r="H475" s="178" t="n">
        <v>6.2</v>
      </c>
      <c r="I475" s="178" t="n">
        <v>-0.5</v>
      </c>
      <c r="J475" s="178" t="n">
        <v>43.2</v>
      </c>
      <c r="K475" s="179" t="inlineStr">
        <is>
          <t>0325 BLOKS</t>
        </is>
      </c>
    </row>
    <row r="476">
      <c r="A476" s="17" t="inlineStr">
        <is>
          <t>JYCP Holding Limited</t>
        </is>
      </c>
      <c r="B476" s="171" t="n">
        <v>1</v>
      </c>
      <c r="C476" s="177" t="n">
        <v>100</v>
      </c>
      <c r="D476" s="178" t="n">
        <v>40.9</v>
      </c>
      <c r="E476" s="178" t="n">
        <v>49.6</v>
      </c>
      <c r="F476" s="178" t="n">
        <v>40.2</v>
      </c>
      <c r="G476" s="178" t="n">
        <v>101.7</v>
      </c>
      <c r="H476" s="178" t="n">
        <v>6.2</v>
      </c>
      <c r="I476" s="178" t="n">
        <v>-0.5</v>
      </c>
      <c r="J476" s="178" t="n">
        <v>43.2</v>
      </c>
      <c r="K476" s="179" t="inlineStr">
        <is>
          <t>0325 BLOKS</t>
        </is>
      </c>
    </row>
    <row r="477">
      <c r="A477" s="17" t="inlineStr">
        <is>
          <t>JYMB Holding Limited</t>
        </is>
      </c>
      <c r="B477" s="171" t="n">
        <v>1</v>
      </c>
      <c r="C477" s="177" t="n">
        <v>100</v>
      </c>
      <c r="D477" s="178" t="n">
        <v>40.9</v>
      </c>
      <c r="E477" s="178" t="n">
        <v>49.6</v>
      </c>
      <c r="F477" s="178" t="n">
        <v>40.2</v>
      </c>
      <c r="G477" s="178" t="n">
        <v>101.7</v>
      </c>
      <c r="H477" s="178" t="n">
        <v>6.2</v>
      </c>
      <c r="I477" s="178" t="n">
        <v>-0.5</v>
      </c>
      <c r="J477" s="178" t="n">
        <v>43.2</v>
      </c>
      <c r="K477" s="179" t="inlineStr">
        <is>
          <t>0325 BLOKS</t>
        </is>
      </c>
    </row>
    <row r="478">
      <c r="A478" s="17" t="inlineStr">
        <is>
          <t>Beihai Kmind Management Consulting Limited</t>
        </is>
      </c>
      <c r="B478" s="171" t="n">
        <v>1</v>
      </c>
      <c r="C478" s="177" t="n">
        <v>100</v>
      </c>
      <c r="D478" s="178" t="n">
        <v>40.9</v>
      </c>
      <c r="E478" s="178" t="n">
        <v>49.6</v>
      </c>
      <c r="F478" s="178" t="n">
        <v>40.2</v>
      </c>
      <c r="G478" s="178" t="n">
        <v>101.7</v>
      </c>
      <c r="H478" s="178" t="n">
        <v>6.2</v>
      </c>
      <c r="I478" s="178" t="n">
        <v>-0.5</v>
      </c>
      <c r="J478" s="178" t="n">
        <v>43.2</v>
      </c>
      <c r="K478" s="179" t="inlineStr">
        <is>
          <t>0325 BLOKS</t>
        </is>
      </c>
    </row>
    <row r="479">
      <c r="A479" s="17" t="inlineStr">
        <is>
          <t>BlueCo Investment L.P</t>
        </is>
      </c>
      <c r="B479" s="171" t="n">
        <v>1</v>
      </c>
      <c r="C479" s="177" t="n">
        <v>100</v>
      </c>
      <c r="D479" s="178" t="n">
        <v>40.9</v>
      </c>
      <c r="E479" s="178" t="n">
        <v>49.6</v>
      </c>
      <c r="F479" s="178" t="n">
        <v>40.2</v>
      </c>
      <c r="G479" s="178" t="n">
        <v>101.7</v>
      </c>
      <c r="H479" s="178" t="n">
        <v>6.2</v>
      </c>
      <c r="I479" s="178" t="n">
        <v>-0.5</v>
      </c>
      <c r="J479" s="178" t="n">
        <v>43.2</v>
      </c>
      <c r="K479" s="179" t="inlineStr">
        <is>
          <t>0325 BLOKS</t>
        </is>
      </c>
    </row>
    <row r="480">
      <c r="A480" s="17" t="inlineStr">
        <is>
          <t>Lenient Investment L.P</t>
        </is>
      </c>
      <c r="B480" s="171" t="n">
        <v>1</v>
      </c>
      <c r="C480" s="177" t="n">
        <v>100</v>
      </c>
      <c r="D480" s="178" t="n">
        <v>40.9</v>
      </c>
      <c r="E480" s="178" t="n">
        <v>49.6</v>
      </c>
      <c r="F480" s="178" t="n">
        <v>40.2</v>
      </c>
      <c r="G480" s="178" t="n">
        <v>101.7</v>
      </c>
      <c r="H480" s="178" t="n">
        <v>6.2</v>
      </c>
      <c r="I480" s="178" t="n">
        <v>-0.5</v>
      </c>
      <c r="J480" s="178" t="n">
        <v>43.2</v>
      </c>
      <c r="K480" s="179" t="inlineStr">
        <is>
          <t>0325 BLOKS</t>
        </is>
      </c>
    </row>
    <row r="481">
      <c r="A481" s="17" t="inlineStr">
        <is>
          <t>Golden Future LPF</t>
        </is>
      </c>
      <c r="B481" s="171" t="n">
        <v>1</v>
      </c>
      <c r="C481" s="177" t="n">
        <v>100</v>
      </c>
      <c r="D481" s="178" t="n">
        <v>40</v>
      </c>
      <c r="E481" s="178" t="n">
        <v>58.8</v>
      </c>
      <c r="F481" s="178" t="n">
        <v>110.6</v>
      </c>
      <c r="G481" s="178" t="n">
        <v>105.8</v>
      </c>
      <c r="H481" s="178" t="n">
        <v>13.4</v>
      </c>
      <c r="I481" s="178" t="n">
        <v>50.4</v>
      </c>
      <c r="J481" s="178" t="n">
        <v>47</v>
      </c>
      <c r="K481" s="179" t="inlineStr">
        <is>
          <t>0917 QUNABOX GROUP</t>
        </is>
      </c>
    </row>
    <row r="482">
      <c r="A482" s="17" t="inlineStr">
        <is>
          <t>Changfeng Growth Equity Fund</t>
        </is>
      </c>
      <c r="B482" s="171" t="n">
        <v>1</v>
      </c>
      <c r="C482" s="177" t="n">
        <v>100</v>
      </c>
      <c r="D482" s="178" t="n">
        <v>38.3</v>
      </c>
      <c r="E482" s="178" t="n">
        <v>31.1</v>
      </c>
      <c r="F482" s="178" t="n">
        <v>79.40000000000001</v>
      </c>
      <c r="G482" s="178" t="n">
        <v>53.3</v>
      </c>
      <c r="H482" s="178" t="n">
        <v>-5.2</v>
      </c>
      <c r="I482" s="178" t="n">
        <v>29.7</v>
      </c>
      <c r="J482" s="178" t="n">
        <v>10.8</v>
      </c>
      <c r="K482" s="179" t="inlineStr">
        <is>
          <t>1333 BRETON</t>
        </is>
      </c>
    </row>
    <row r="483">
      <c r="A483" s="17" t="inlineStr">
        <is>
          <t>Xiaomi</t>
        </is>
      </c>
      <c r="B483" s="171" t="n">
        <v>1</v>
      </c>
      <c r="C483" s="177" t="n">
        <v>100</v>
      </c>
      <c r="D483" s="178" t="n">
        <v>37.5</v>
      </c>
      <c r="E483" s="178" t="n">
        <v>88.90000000000001</v>
      </c>
      <c r="F483" s="178" t="n">
        <v>82.7</v>
      </c>
      <c r="G483" s="178" t="n">
        <v>161.1</v>
      </c>
      <c r="H483" s="178" t="n">
        <v>37.3</v>
      </c>
      <c r="I483" s="178" t="n">
        <v>32.9</v>
      </c>
      <c r="J483" s="178" t="n">
        <v>89.90000000000001</v>
      </c>
      <c r="K483" s="179" t="inlineStr">
        <is>
          <t>3986 GIGADEVICE</t>
        </is>
      </c>
    </row>
    <row r="484">
      <c r="A484" s="17" t="inlineStr">
        <is>
          <t>TCL Industries</t>
        </is>
      </c>
      <c r="B484" s="171" t="n">
        <v>1</v>
      </c>
      <c r="C484" s="177" t="n">
        <v>100</v>
      </c>
      <c r="D484" s="178" t="n">
        <v>37.5</v>
      </c>
      <c r="E484" s="178" t="n">
        <v>88.90000000000001</v>
      </c>
      <c r="F484" s="178" t="n">
        <v>82.7</v>
      </c>
      <c r="G484" s="178" t="n">
        <v>161.1</v>
      </c>
      <c r="H484" s="178" t="n">
        <v>37.3</v>
      </c>
      <c r="I484" s="178" t="n">
        <v>32.9</v>
      </c>
      <c r="J484" s="178" t="n">
        <v>89.90000000000001</v>
      </c>
      <c r="K484" s="179" t="inlineStr">
        <is>
          <t>3986 GIGADEVICE</t>
        </is>
      </c>
    </row>
    <row r="485">
      <c r="A485" s="17" t="inlineStr">
        <is>
          <t>Yuanfeng Future Growth Fund and CGII</t>
        </is>
      </c>
      <c r="B485" s="171" t="n">
        <v>1</v>
      </c>
      <c r="C485" s="177" t="n">
        <v>100</v>
      </c>
      <c r="D485" s="178" t="n">
        <v>37.2</v>
      </c>
      <c r="E485" s="178" t="n">
        <v>49.8</v>
      </c>
      <c r="F485" s="178" t="n">
        <v>-1.1</v>
      </c>
      <c r="G485" s="178" t="n">
        <v>33.2</v>
      </c>
      <c r="H485" s="178" t="n">
        <v>9.199999999999999</v>
      </c>
      <c r="I485" s="178" t="n">
        <v>-27.9</v>
      </c>
      <c r="J485" s="178" t="n">
        <v>-2.9</v>
      </c>
      <c r="K485" s="179" t="inlineStr">
        <is>
          <t>1779 LONGBIO-B</t>
        </is>
      </c>
    </row>
    <row r="486">
      <c r="A486" s="17" t="inlineStr">
        <is>
          <t>Affluent Base Limited</t>
        </is>
      </c>
      <c r="B486" s="171" t="n">
        <v>1</v>
      </c>
      <c r="C486" s="177" t="n">
        <v>100</v>
      </c>
      <c r="D486" s="178" t="n">
        <v>36.7</v>
      </c>
      <c r="E486" s="178" t="n">
        <v>98</v>
      </c>
      <c r="F486" s="178" t="n">
        <v>71.8</v>
      </c>
      <c r="G486" s="178" t="n">
        <v>303.2</v>
      </c>
      <c r="H486" s="178" t="n">
        <v>44.8</v>
      </c>
      <c r="I486" s="178" t="n">
        <v>25.7</v>
      </c>
      <c r="J486" s="178" t="n">
        <v>195</v>
      </c>
      <c r="K486" s="179" t="inlineStr">
        <is>
          <t>2587 HEALTHYWAY INC</t>
        </is>
      </c>
    </row>
    <row r="487">
      <c r="A487" s="17" t="inlineStr">
        <is>
          <t>HW MedSpect Limited</t>
        </is>
      </c>
      <c r="B487" s="171" t="n">
        <v>1</v>
      </c>
      <c r="C487" s="177" t="n">
        <v>100</v>
      </c>
      <c r="D487" s="178" t="n">
        <v>36.7</v>
      </c>
      <c r="E487" s="178" t="n">
        <v>98</v>
      </c>
      <c r="F487" s="178" t="n">
        <v>71.8</v>
      </c>
      <c r="G487" s="178" t="n">
        <v>303.2</v>
      </c>
      <c r="H487" s="178" t="n">
        <v>44.8</v>
      </c>
      <c r="I487" s="178" t="n">
        <v>25.7</v>
      </c>
      <c r="J487" s="178" t="n">
        <v>195</v>
      </c>
      <c r="K487" s="179" t="inlineStr">
        <is>
          <t>2587 HEALTHYWAY INC</t>
        </is>
      </c>
    </row>
    <row r="488">
      <c r="A488" s="17" t="inlineStr">
        <is>
          <t>Strait One Investment LTD</t>
        </is>
      </c>
      <c r="B488" s="171" t="n">
        <v>1</v>
      </c>
      <c r="C488" s="177" t="n">
        <v>100</v>
      </c>
      <c r="D488" s="178" t="n">
        <v>36.7</v>
      </c>
      <c r="E488" s="178" t="n">
        <v>98</v>
      </c>
      <c r="F488" s="178" t="n">
        <v>71.8</v>
      </c>
      <c r="G488" s="178" t="n">
        <v>303.2</v>
      </c>
      <c r="H488" s="178" t="n">
        <v>44.8</v>
      </c>
      <c r="I488" s="178" t="n">
        <v>25.7</v>
      </c>
      <c r="J488" s="178" t="n">
        <v>195</v>
      </c>
      <c r="K488" s="179" t="inlineStr">
        <is>
          <t>2587 HEALTHYWAY INC</t>
        </is>
      </c>
    </row>
    <row r="489">
      <c r="A489" s="17" t="inlineStr">
        <is>
          <t>May Jyu Limited</t>
        </is>
      </c>
      <c r="B489" s="171" t="n">
        <v>1</v>
      </c>
      <c r="C489" s="177" t="n">
        <v>100</v>
      </c>
      <c r="D489" s="178" t="n">
        <v>36.7</v>
      </c>
      <c r="E489" s="178" t="n">
        <v>98</v>
      </c>
      <c r="F489" s="178" t="n">
        <v>71.8</v>
      </c>
      <c r="G489" s="178" t="n">
        <v>303.2</v>
      </c>
      <c r="H489" s="178" t="n">
        <v>44.8</v>
      </c>
      <c r="I489" s="178" t="n">
        <v>25.7</v>
      </c>
      <c r="J489" s="178" t="n">
        <v>195</v>
      </c>
      <c r="K489" s="179" t="inlineStr">
        <is>
          <t>2587 HEALTHYWAY INC</t>
        </is>
      </c>
    </row>
    <row r="490">
      <c r="A490" s="17" t="inlineStr">
        <is>
          <t>Jyun Jing Limited</t>
        </is>
      </c>
      <c r="B490" s="171" t="n">
        <v>1</v>
      </c>
      <c r="C490" s="177" t="n">
        <v>100</v>
      </c>
      <c r="D490" s="178" t="n">
        <v>36.7</v>
      </c>
      <c r="E490" s="178" t="n">
        <v>98</v>
      </c>
      <c r="F490" s="178" t="n">
        <v>71.8</v>
      </c>
      <c r="G490" s="178" t="n">
        <v>303.2</v>
      </c>
      <c r="H490" s="178" t="n">
        <v>44.8</v>
      </c>
      <c r="I490" s="178" t="n">
        <v>25.7</v>
      </c>
      <c r="J490" s="178" t="n">
        <v>195</v>
      </c>
      <c r="K490" s="179" t="inlineStr">
        <is>
          <t>2587 HEALTHYWAY INC</t>
        </is>
      </c>
    </row>
    <row r="491">
      <c r="A491" s="17" t="inlineStr">
        <is>
          <t>Bai Sheng Enterprises Limited</t>
        </is>
      </c>
      <c r="B491" s="171" t="n">
        <v>1</v>
      </c>
      <c r="C491" s="177" t="n">
        <v>100</v>
      </c>
      <c r="D491" s="178" t="n">
        <v>36.7</v>
      </c>
      <c r="E491" s="178" t="n">
        <v>98</v>
      </c>
      <c r="F491" s="178" t="n">
        <v>71.8</v>
      </c>
      <c r="G491" s="178" t="n">
        <v>303.2</v>
      </c>
      <c r="H491" s="178" t="n">
        <v>44.8</v>
      </c>
      <c r="I491" s="178" t="n">
        <v>25.7</v>
      </c>
      <c r="J491" s="178" t="n">
        <v>195</v>
      </c>
      <c r="K491" s="179" t="inlineStr">
        <is>
          <t>2587 HEALTHYWAY INC</t>
        </is>
      </c>
    </row>
    <row r="492">
      <c r="A492" s="17" t="inlineStr">
        <is>
          <t>Novo Holdings A / S</t>
        </is>
      </c>
      <c r="B492" s="171" t="n">
        <v>1</v>
      </c>
      <c r="C492" s="177" t="n">
        <v>100</v>
      </c>
      <c r="D492" s="178" t="n">
        <v>35.9</v>
      </c>
      <c r="E492" s="178" t="n">
        <v>40.8</v>
      </c>
      <c r="F492" s="178" t="n">
        <v>51.2</v>
      </c>
      <c r="G492" s="178" t="n">
        <v>-10</v>
      </c>
      <c r="H492" s="178" t="n">
        <v>3.6</v>
      </c>
      <c r="I492" s="178" t="n">
        <v>11.2</v>
      </c>
      <c r="J492" s="178" t="n">
        <v>-33.8</v>
      </c>
      <c r="K492" s="179" t="inlineStr">
        <is>
          <t>2268 WUXI XDC</t>
        </is>
      </c>
    </row>
    <row r="493">
      <c r="A493" s="17" t="inlineStr">
        <is>
          <t>JKKB Limited</t>
        </is>
      </c>
      <c r="B493" s="171" t="n">
        <v>1</v>
      </c>
      <c r="C493" s="177" t="n">
        <v>100</v>
      </c>
      <c r="D493" s="178" t="n">
        <v>33.7</v>
      </c>
      <c r="E493" s="178" t="n">
        <v>0.5</v>
      </c>
      <c r="F493" s="178" t="n">
        <v>16.4</v>
      </c>
      <c r="G493" s="178" t="n">
        <v>-6.5</v>
      </c>
      <c r="H493" s="178" t="n">
        <v>-24.9</v>
      </c>
      <c r="I493" s="178" t="n">
        <v>-13</v>
      </c>
      <c r="J493" s="178" t="n">
        <v>-30.1</v>
      </c>
      <c r="K493" s="179" t="inlineStr">
        <is>
          <t>2508 SAINT BELLA</t>
        </is>
      </c>
    </row>
    <row r="494">
      <c r="A494" s="17" t="inlineStr">
        <is>
          <t>Carl Wu / 吳啟楠</t>
        </is>
      </c>
      <c r="B494" s="171" t="n">
        <v>1</v>
      </c>
      <c r="C494" s="177" t="n">
        <v>100</v>
      </c>
      <c r="D494" s="178" t="n">
        <v>33.7</v>
      </c>
      <c r="E494" s="178" t="n">
        <v>0.5</v>
      </c>
      <c r="F494" s="178" t="n">
        <v>16.4</v>
      </c>
      <c r="G494" s="178" t="n">
        <v>-6.5</v>
      </c>
      <c r="H494" s="178" t="n">
        <v>-24.9</v>
      </c>
      <c r="I494" s="178" t="n">
        <v>-13</v>
      </c>
      <c r="J494" s="178" t="n">
        <v>-30.1</v>
      </c>
      <c r="K494" s="179" t="inlineStr">
        <is>
          <t>2508 SAINT BELLA</t>
        </is>
      </c>
    </row>
    <row r="495">
      <c r="A495" s="17" t="inlineStr">
        <is>
          <t>Gigantic Wealth Holdings Limited</t>
        </is>
      </c>
      <c r="B495" s="171" t="n">
        <v>1</v>
      </c>
      <c r="C495" s="177" t="n">
        <v>100</v>
      </c>
      <c r="D495" s="178" t="n">
        <v>33</v>
      </c>
      <c r="E495" s="178" t="n">
        <v>44.3</v>
      </c>
      <c r="F495" s="178" t="n">
        <v>25.5</v>
      </c>
      <c r="G495" s="178" t="n">
        <v>-10.5</v>
      </c>
      <c r="H495" s="178" t="n">
        <v>8.5</v>
      </c>
      <c r="I495" s="178" t="n">
        <v>-5.7</v>
      </c>
      <c r="J495" s="178" t="n">
        <v>-32.7</v>
      </c>
      <c r="K495" s="179" t="inlineStr">
        <is>
          <t>2219 CHAOJU EYE CARE</t>
        </is>
      </c>
    </row>
    <row r="496">
      <c r="A496" s="17" t="inlineStr">
        <is>
          <t>GT Cedar Capital (Hong Kong) Limited</t>
        </is>
      </c>
      <c r="B496" s="171" t="n">
        <v>1</v>
      </c>
      <c r="C496" s="177" t="n">
        <v>100</v>
      </c>
      <c r="D496" s="178" t="n">
        <v>33</v>
      </c>
      <c r="E496" s="178" t="n">
        <v>44.3</v>
      </c>
      <c r="F496" s="178" t="n">
        <v>25.5</v>
      </c>
      <c r="G496" s="178" t="n">
        <v>-10.5</v>
      </c>
      <c r="H496" s="178" t="n">
        <v>8.5</v>
      </c>
      <c r="I496" s="178" t="n">
        <v>-5.7</v>
      </c>
      <c r="J496" s="178" t="n">
        <v>-32.7</v>
      </c>
      <c r="K496" s="179" t="inlineStr">
        <is>
          <t>2219 CHAOJU EYE CARE</t>
        </is>
      </c>
    </row>
    <row r="497">
      <c r="A497" s="17" t="inlineStr">
        <is>
          <t>Management (HK) Limited</t>
        </is>
      </c>
      <c r="B497" s="171" t="n">
        <v>1</v>
      </c>
      <c r="C497" s="177" t="n">
        <v>100</v>
      </c>
      <c r="D497" s="178" t="n">
        <v>32.8</v>
      </c>
      <c r="E497" s="178" t="n">
        <v>59.4</v>
      </c>
      <c r="F497" s="178" t="n">
        <v>78.3</v>
      </c>
      <c r="G497" s="178" t="n">
        <v>115.7</v>
      </c>
      <c r="H497" s="178" t="n">
        <v>20.1</v>
      </c>
      <c r="I497" s="178" t="n">
        <v>34.3</v>
      </c>
      <c r="J497" s="178" t="n">
        <v>62.4</v>
      </c>
      <c r="K497" s="179" t="inlineStr">
        <is>
          <t>2788 CHUANGXIN IND</t>
        </is>
      </c>
    </row>
    <row r="498">
      <c r="A498" s="17" t="inlineStr">
        <is>
          <t>CCB International Capital Limited</t>
        </is>
      </c>
      <c r="B498" s="171" t="n">
        <v>1</v>
      </c>
      <c r="C498" s="177" t="n">
        <v>100</v>
      </c>
      <c r="D498" s="178" t="n">
        <v>31.3</v>
      </c>
      <c r="E498" s="178" t="n">
        <v>20.1</v>
      </c>
      <c r="F498" s="178" t="n">
        <v>24.4</v>
      </c>
      <c r="G498" s="178" t="n">
        <v>20.1</v>
      </c>
      <c r="H498" s="178" t="n">
        <v>-8.6</v>
      </c>
      <c r="I498" s="178" t="n">
        <v>-5.2</v>
      </c>
      <c r="J498" s="178" t="n">
        <v>-8.6</v>
      </c>
      <c r="K498" s="179" t="inlineStr">
        <is>
          <t>6960 SHUANGDENG</t>
        </is>
      </c>
    </row>
    <row r="499">
      <c r="A499" s="17" t="inlineStr">
        <is>
          <t>Connected Client CSOP Asset Management Limited</t>
        </is>
      </c>
      <c r="B499" s="171" t="n">
        <v>1</v>
      </c>
      <c r="C499" s="177" t="n">
        <v>100</v>
      </c>
      <c r="D499" s="178" t="n">
        <v>31.3</v>
      </c>
      <c r="E499" s="178" t="n">
        <v>20.1</v>
      </c>
      <c r="F499" s="178" t="n">
        <v>24.4</v>
      </c>
      <c r="G499" s="178" t="n">
        <v>20.1</v>
      </c>
      <c r="H499" s="178" t="n">
        <v>-8.6</v>
      </c>
      <c r="I499" s="178" t="n">
        <v>-5.2</v>
      </c>
      <c r="J499" s="178" t="n">
        <v>-8.6</v>
      </c>
      <c r="K499" s="179" t="inlineStr">
        <is>
          <t>6960 SHUANGDENG</t>
        </is>
      </c>
    </row>
    <row r="500">
      <c r="A500" s="17" t="inlineStr">
        <is>
          <t>Abu Dhabi Investment Authority</t>
        </is>
      </c>
      <c r="B500" s="171" t="n">
        <v>1</v>
      </c>
      <c r="C500" s="177" t="n">
        <v>100</v>
      </c>
      <c r="D500" s="178" t="n">
        <v>30.9</v>
      </c>
      <c r="E500" s="178" t="n">
        <v>55.5</v>
      </c>
      <c r="F500" s="178" t="n">
        <v>37.7</v>
      </c>
      <c r="G500" s="178" t="n">
        <v>24.9</v>
      </c>
      <c r="H500" s="178" t="n">
        <v>18.8</v>
      </c>
      <c r="I500" s="178" t="n">
        <v>5.2</v>
      </c>
      <c r="J500" s="178" t="n">
        <v>-4.6</v>
      </c>
      <c r="K500" s="179" t="inlineStr">
        <is>
          <t>2675 EDGE MEDICAL-B</t>
        </is>
      </c>
    </row>
    <row r="501">
      <c r="A501" s="17" t="inlineStr">
        <is>
          <t>China Alpha Fund Management (HK) Ltd</t>
        </is>
      </c>
      <c r="B501" s="171" t="n">
        <v>1</v>
      </c>
      <c r="C501" s="177" t="n">
        <v>100</v>
      </c>
      <c r="D501" s="178" t="n">
        <v>30.9</v>
      </c>
      <c r="E501" s="178" t="n">
        <v>55.5</v>
      </c>
      <c r="F501" s="178" t="n">
        <v>37.7</v>
      </c>
      <c r="G501" s="178" t="n">
        <v>24.9</v>
      </c>
      <c r="H501" s="178" t="n">
        <v>18.8</v>
      </c>
      <c r="I501" s="178" t="n">
        <v>5.2</v>
      </c>
      <c r="J501" s="178" t="n">
        <v>-4.6</v>
      </c>
      <c r="K501" s="179" t="inlineStr">
        <is>
          <t>2675 EDGE MEDICAL-B</t>
        </is>
      </c>
    </row>
    <row r="502">
      <c r="A502" s="17" t="inlineStr">
        <is>
          <t>Tekful Limited</t>
        </is>
      </c>
      <c r="B502" s="171" t="n">
        <v>1</v>
      </c>
      <c r="C502" s="177" t="n">
        <v>100</v>
      </c>
      <c r="D502" s="178" t="n">
        <v>30.9</v>
      </c>
      <c r="E502" s="178" t="n">
        <v>55.5</v>
      </c>
      <c r="F502" s="178" t="n">
        <v>37.7</v>
      </c>
      <c r="G502" s="178" t="n">
        <v>24.9</v>
      </c>
      <c r="H502" s="178" t="n">
        <v>18.8</v>
      </c>
      <c r="I502" s="178" t="n">
        <v>5.2</v>
      </c>
      <c r="J502" s="178" t="n">
        <v>-4.6</v>
      </c>
      <c r="K502" s="179" t="inlineStr">
        <is>
          <t>2675 EDGE MEDICAL-B</t>
        </is>
      </c>
    </row>
    <row r="503">
      <c r="A503" s="17" t="inlineStr">
        <is>
          <t>Novotech SG Holdings Pte. Ltd</t>
        </is>
      </c>
      <c r="B503" s="171" t="n">
        <v>1</v>
      </c>
      <c r="C503" s="177" t="n">
        <v>100</v>
      </c>
      <c r="D503" s="178" t="n">
        <v>30</v>
      </c>
      <c r="E503" s="178" t="n">
        <v>75</v>
      </c>
      <c r="F503" s="178" t="n">
        <v>74.7</v>
      </c>
      <c r="G503" s="178" t="n">
        <v>-2.9</v>
      </c>
      <c r="H503" s="178" t="n">
        <v>34.6</v>
      </c>
      <c r="I503" s="178" t="n">
        <v>34.4</v>
      </c>
      <c r="J503" s="178" t="n">
        <v>-25.3</v>
      </c>
      <c r="K503" s="179" t="inlineStr">
        <is>
          <t>2563 BIOSTAR PHARM-B</t>
        </is>
      </c>
    </row>
    <row r="504">
      <c r="A504" s="17" t="inlineStr">
        <is>
          <t>Mr. Li Yi</t>
        </is>
      </c>
      <c r="B504" s="171" t="n">
        <v>1</v>
      </c>
      <c r="C504" s="177" t="n">
        <v>100</v>
      </c>
      <c r="D504" s="178" t="n">
        <v>29.9</v>
      </c>
      <c r="E504" s="178" t="n">
        <v>51.5</v>
      </c>
      <c r="F504" s="178" t="n">
        <v>212.5</v>
      </c>
      <c r="G504" s="178" t="n">
        <v>18.8</v>
      </c>
      <c r="H504" s="178" t="n">
        <v>16.6</v>
      </c>
      <c r="I504" s="178" t="n">
        <v>140.5</v>
      </c>
      <c r="J504" s="178" t="n">
        <v>-8.5</v>
      </c>
      <c r="K504" s="179" t="inlineStr">
        <is>
          <t>6651 51WORLD</t>
        </is>
      </c>
    </row>
    <row r="505">
      <c r="A505" s="17" t="inlineStr">
        <is>
          <t>III, L.P.</t>
        </is>
      </c>
      <c r="B505" s="171" t="n">
        <v>1</v>
      </c>
      <c r="C505" s="177" t="n">
        <v>100</v>
      </c>
      <c r="D505" s="178" t="n">
        <v>28.8</v>
      </c>
      <c r="E505" s="178" t="n">
        <v>25.3</v>
      </c>
      <c r="F505" s="178" t="n">
        <v>44.4</v>
      </c>
      <c r="G505" s="178" t="n">
        <v>87.5</v>
      </c>
      <c r="H505" s="178" t="n">
        <v>-2.7</v>
      </c>
      <c r="I505" s="178" t="n">
        <v>12.2</v>
      </c>
      <c r="J505" s="178" t="n">
        <v>45.7</v>
      </c>
      <c r="K505" s="179" t="inlineStr">
        <is>
          <t>2629 MIRXES-B</t>
        </is>
      </c>
    </row>
    <row r="506">
      <c r="A506" s="17" t="inlineStr">
        <is>
          <t>Creation Pte. Ltd.</t>
        </is>
      </c>
      <c r="B506" s="171" t="n">
        <v>1</v>
      </c>
      <c r="C506" s="177" t="n">
        <v>100</v>
      </c>
      <c r="D506" s="178" t="n">
        <v>28.8</v>
      </c>
      <c r="E506" s="178" t="n">
        <v>25.3</v>
      </c>
      <c r="F506" s="178" t="n">
        <v>44.4</v>
      </c>
      <c r="G506" s="178" t="n">
        <v>87.5</v>
      </c>
      <c r="H506" s="178" t="n">
        <v>-2.7</v>
      </c>
      <c r="I506" s="178" t="n">
        <v>12.2</v>
      </c>
      <c r="J506" s="178" t="n">
        <v>45.7</v>
      </c>
      <c r="K506" s="179" t="inlineStr">
        <is>
          <t>2629 MIRXES-B</t>
        </is>
      </c>
    </row>
    <row r="507">
      <c r="A507" s="17" t="inlineStr">
        <is>
          <t>NHH Venture Fund, L.P</t>
        </is>
      </c>
      <c r="B507" s="171" t="n">
        <v>1</v>
      </c>
      <c r="C507" s="177" t="n">
        <v>100</v>
      </c>
      <c r="D507" s="178" t="n">
        <v>28.8</v>
      </c>
      <c r="E507" s="178" t="n">
        <v>25.3</v>
      </c>
      <c r="F507" s="178" t="n">
        <v>44.4</v>
      </c>
      <c r="G507" s="178" t="n">
        <v>87.5</v>
      </c>
      <c r="H507" s="178" t="n">
        <v>-2.7</v>
      </c>
      <c r="I507" s="178" t="n">
        <v>12.2</v>
      </c>
      <c r="J507" s="178" t="n">
        <v>45.7</v>
      </c>
      <c r="K507" s="179" t="inlineStr">
        <is>
          <t>2629 MIRXES-B</t>
        </is>
      </c>
    </row>
    <row r="508">
      <c r="A508" s="17" t="inlineStr">
        <is>
          <t>源九號有限合夥基金</t>
        </is>
      </c>
      <c r="B508" s="171" t="n">
        <v>1</v>
      </c>
      <c r="C508" s="177" t="n">
        <v>100</v>
      </c>
      <c r="D508" s="178" t="n">
        <v>28.8</v>
      </c>
      <c r="E508" s="178" t="n">
        <v>25.3</v>
      </c>
      <c r="F508" s="178" t="n">
        <v>44.4</v>
      </c>
      <c r="G508" s="178" t="n">
        <v>87.5</v>
      </c>
      <c r="H508" s="178" t="n">
        <v>-2.7</v>
      </c>
      <c r="I508" s="178" t="n">
        <v>12.2</v>
      </c>
      <c r="J508" s="178" t="n">
        <v>45.7</v>
      </c>
      <c r="K508" s="179" t="inlineStr">
        <is>
          <t>2629 MIRXES-B</t>
        </is>
      </c>
    </row>
    <row r="509">
      <c r="A509" s="17" t="inlineStr">
        <is>
          <t>SDG Alpha Win PE LPF</t>
        </is>
      </c>
      <c r="B509" s="171" t="n">
        <v>1</v>
      </c>
      <c r="C509" s="177" t="n">
        <v>100</v>
      </c>
      <c r="D509" s="178" t="n">
        <v>28.8</v>
      </c>
      <c r="E509" s="178" t="n">
        <v>25.3</v>
      </c>
      <c r="F509" s="178" t="n">
        <v>44.4</v>
      </c>
      <c r="G509" s="178" t="n">
        <v>87.5</v>
      </c>
      <c r="H509" s="178" t="n">
        <v>-2.7</v>
      </c>
      <c r="I509" s="178" t="n">
        <v>12.2</v>
      </c>
      <c r="J509" s="178" t="n">
        <v>45.7</v>
      </c>
      <c r="K509" s="179" t="inlineStr">
        <is>
          <t>2629 MIRXES-B</t>
        </is>
      </c>
    </row>
    <row r="510">
      <c r="A510" s="17" t="inlineStr">
        <is>
          <t>Holdings Company Limited</t>
        </is>
      </c>
      <c r="B510" s="171" t="n">
        <v>1</v>
      </c>
      <c r="C510" s="177" t="n">
        <v>100</v>
      </c>
      <c r="D510" s="178" t="n">
        <v>28.8</v>
      </c>
      <c r="E510" s="178" t="n">
        <v>25.3</v>
      </c>
      <c r="F510" s="178" t="n">
        <v>44.4</v>
      </c>
      <c r="G510" s="178" t="n">
        <v>87.5</v>
      </c>
      <c r="H510" s="178" t="n">
        <v>-2.7</v>
      </c>
      <c r="I510" s="178" t="n">
        <v>12.2</v>
      </c>
      <c r="J510" s="178" t="n">
        <v>45.7</v>
      </c>
      <c r="K510" s="179" t="inlineStr">
        <is>
          <t>2629 MIRXES-B</t>
        </is>
      </c>
    </row>
    <row r="511">
      <c r="A511" s="17" t="inlineStr">
        <is>
          <t>BPC SPV MRX LIMITED</t>
        </is>
      </c>
      <c r="B511" s="171" t="n">
        <v>1</v>
      </c>
      <c r="C511" s="177" t="n">
        <v>100</v>
      </c>
      <c r="D511" s="178" t="n">
        <v>28.8</v>
      </c>
      <c r="E511" s="178" t="n">
        <v>25.3</v>
      </c>
      <c r="F511" s="178" t="n">
        <v>44.4</v>
      </c>
      <c r="G511" s="178" t="n">
        <v>87.5</v>
      </c>
      <c r="H511" s="178" t="n">
        <v>-2.7</v>
      </c>
      <c r="I511" s="178" t="n">
        <v>12.2</v>
      </c>
      <c r="J511" s="178" t="n">
        <v>45.7</v>
      </c>
      <c r="K511" s="179" t="inlineStr">
        <is>
          <t>2629 MIRXES-B</t>
        </is>
      </c>
    </row>
    <row r="512">
      <c r="A512" s="17" t="inlineStr">
        <is>
          <t>Accurate Gene Limited</t>
        </is>
      </c>
      <c r="B512" s="171" t="n">
        <v>1</v>
      </c>
      <c r="C512" s="177" t="n">
        <v>100</v>
      </c>
      <c r="D512" s="178" t="n">
        <v>28.8</v>
      </c>
      <c r="E512" s="178" t="n">
        <v>25.3</v>
      </c>
      <c r="F512" s="178" t="n">
        <v>44.4</v>
      </c>
      <c r="G512" s="178" t="n">
        <v>87.5</v>
      </c>
      <c r="H512" s="178" t="n">
        <v>-2.7</v>
      </c>
      <c r="I512" s="178" t="n">
        <v>12.2</v>
      </c>
      <c r="J512" s="178" t="n">
        <v>45.7</v>
      </c>
      <c r="K512" s="179" t="inlineStr">
        <is>
          <t>2629 MIRXES-B</t>
        </is>
      </c>
    </row>
    <row r="513">
      <c r="A513" s="17" t="inlineStr">
        <is>
          <t>Technologies Pte. Ltd.</t>
        </is>
      </c>
      <c r="B513" s="171" t="n">
        <v>1</v>
      </c>
      <c r="C513" s="177" t="n">
        <v>100</v>
      </c>
      <c r="D513" s="178" t="n">
        <v>28.8</v>
      </c>
      <c r="E513" s="178" t="n">
        <v>25.3</v>
      </c>
      <c r="F513" s="178" t="n">
        <v>44.4</v>
      </c>
      <c r="G513" s="178" t="n">
        <v>87.5</v>
      </c>
      <c r="H513" s="178" t="n">
        <v>-2.7</v>
      </c>
      <c r="I513" s="178" t="n">
        <v>12.2</v>
      </c>
      <c r="J513" s="178" t="n">
        <v>45.7</v>
      </c>
      <c r="K513" s="179" t="inlineStr">
        <is>
          <t>2629 MIRXES-B</t>
        </is>
      </c>
    </row>
    <row r="514">
      <c r="A514" s="17" t="inlineStr">
        <is>
          <t>Luo Jinhong</t>
        </is>
      </c>
      <c r="B514" s="171" t="n">
        <v>1</v>
      </c>
      <c r="C514" s="177" t="n">
        <v>100</v>
      </c>
      <c r="D514" s="178" t="n">
        <v>28.4</v>
      </c>
      <c r="E514" s="178" t="n">
        <v>28</v>
      </c>
      <c r="F514" s="178" t="n">
        <v>28.9</v>
      </c>
      <c r="G514" s="178" t="n">
        <v>27.1</v>
      </c>
      <c r="H514" s="178" t="n">
        <v>-0.4</v>
      </c>
      <c r="I514" s="178" t="n">
        <v>0.4</v>
      </c>
      <c r="J514" s="178" t="n">
        <v>-1.1</v>
      </c>
      <c r="K514" s="179" t="inlineStr">
        <is>
          <t>2285 CHERVON</t>
        </is>
      </c>
    </row>
    <row r="515">
      <c r="A515" s="17" t="inlineStr">
        <is>
          <t>Double Joy Ventures Limited</t>
        </is>
      </c>
      <c r="B515" s="171" t="n">
        <v>1</v>
      </c>
      <c r="C515" s="177" t="n">
        <v>100</v>
      </c>
      <c r="D515" s="178" t="n">
        <v>27.6</v>
      </c>
      <c r="E515" s="178" t="n">
        <v>27.9</v>
      </c>
      <c r="F515" s="178" t="n">
        <v>22.5</v>
      </c>
      <c r="G515" s="178" t="n">
        <v>-6.2</v>
      </c>
      <c r="H515" s="178" t="n">
        <v>0.3</v>
      </c>
      <c r="I515" s="178" t="n">
        <v>-4</v>
      </c>
      <c r="J515" s="178" t="n">
        <v>-26.5</v>
      </c>
      <c r="K515" s="179" t="inlineStr">
        <is>
          <t>2162 KEYMED BIO-B</t>
        </is>
      </c>
    </row>
    <row r="516">
      <c r="A516" s="17" t="inlineStr">
        <is>
          <t>Zhengxin Group Investment Limited</t>
        </is>
      </c>
      <c r="B516" s="171" t="n">
        <v>1</v>
      </c>
      <c r="C516" s="177" t="n">
        <v>100</v>
      </c>
      <c r="D516" s="178" t="n">
        <v>26</v>
      </c>
      <c r="E516" s="178" t="n">
        <v>31.3</v>
      </c>
      <c r="F516" s="178" t="n">
        <v>25.5</v>
      </c>
      <c r="G516" s="178" t="n">
        <v>-12.7</v>
      </c>
      <c r="H516" s="178" t="n">
        <v>4.2</v>
      </c>
      <c r="I516" s="178" t="n">
        <v>-0.4</v>
      </c>
      <c r="J516" s="178" t="n">
        <v>-30.7</v>
      </c>
      <c r="K516" s="179" t="inlineStr">
        <is>
          <t>3636 JINXUN RESOURCE</t>
        </is>
      </c>
    </row>
    <row r="517">
      <c r="A517" s="17" t="inlineStr">
        <is>
          <t>New Asia Ferrell Asset Management Limited</t>
        </is>
      </c>
      <c r="B517" s="171" t="n">
        <v>1</v>
      </c>
      <c r="C517" s="177" t="n">
        <v>100</v>
      </c>
      <c r="D517" s="178" t="n">
        <v>26</v>
      </c>
      <c r="E517" s="178" t="n">
        <v>31.3</v>
      </c>
      <c r="F517" s="178" t="n">
        <v>25.5</v>
      </c>
      <c r="G517" s="178" t="n">
        <v>-12.7</v>
      </c>
      <c r="H517" s="178" t="n">
        <v>4.2</v>
      </c>
      <c r="I517" s="178" t="n">
        <v>-0.4</v>
      </c>
      <c r="J517" s="178" t="n">
        <v>-30.7</v>
      </c>
      <c r="K517" s="179" t="inlineStr">
        <is>
          <t>3636 JINXUN RESOURCE</t>
        </is>
      </c>
    </row>
    <row r="518">
      <c r="A518" s="17" t="inlineStr">
        <is>
          <t>Mobilewise Limited</t>
        </is>
      </c>
      <c r="B518" s="171" t="n">
        <v>1</v>
      </c>
      <c r="C518" s="177" t="n">
        <v>100</v>
      </c>
      <c r="D518" s="178" t="n">
        <v>25.9</v>
      </c>
      <c r="E518" s="178" t="n">
        <v>66.09999999999999</v>
      </c>
      <c r="F518" s="178" t="n">
        <v>139.4</v>
      </c>
      <c r="G518" s="178" t="n">
        <v>167.2</v>
      </c>
      <c r="H518" s="178" t="n">
        <v>31.9</v>
      </c>
      <c r="I518" s="178" t="n">
        <v>90.09999999999999</v>
      </c>
      <c r="J518" s="178" t="n">
        <v>112.2</v>
      </c>
      <c r="K518" s="179" t="inlineStr">
        <is>
          <t>1244 3D MEDICINES-B</t>
        </is>
      </c>
    </row>
    <row r="519">
      <c r="A519" s="17" t="inlineStr">
        <is>
          <t>NewTrails Capital</t>
        </is>
      </c>
      <c r="B519" s="171" t="n">
        <v>1</v>
      </c>
      <c r="C519" s="177" t="n">
        <v>100</v>
      </c>
      <c r="D519" s="178" t="n">
        <v>25.9</v>
      </c>
      <c r="E519" s="178" t="n">
        <v>17.7</v>
      </c>
      <c r="F519" s="178" t="n">
        <v>14.5</v>
      </c>
      <c r="G519" s="178" t="n">
        <v>17.1</v>
      </c>
      <c r="H519" s="178" t="n">
        <v>-6.5</v>
      </c>
      <c r="I519" s="178" t="n">
        <v>-9.1</v>
      </c>
      <c r="J519" s="178" t="n">
        <v>-7</v>
      </c>
      <c r="K519" s="179" t="inlineStr">
        <is>
          <t>2698 SOFTCARE</t>
        </is>
      </c>
    </row>
    <row r="520">
      <c r="A520" s="17" t="inlineStr">
        <is>
          <t>Qihui Runjin</t>
        </is>
      </c>
      <c r="B520" s="171" t="n">
        <v>1</v>
      </c>
      <c r="C520" s="177" t="n">
        <v>100</v>
      </c>
      <c r="D520" s="178" t="n">
        <v>25.9</v>
      </c>
      <c r="E520" s="178" t="n">
        <v>17.7</v>
      </c>
      <c r="F520" s="178" t="n">
        <v>14.5</v>
      </c>
      <c r="G520" s="178" t="n">
        <v>17.1</v>
      </c>
      <c r="H520" s="178" t="n">
        <v>-6.5</v>
      </c>
      <c r="I520" s="178" t="n">
        <v>-9.1</v>
      </c>
      <c r="J520" s="178" t="n">
        <v>-7</v>
      </c>
      <c r="K520" s="179" t="inlineStr">
        <is>
          <t>2698 SOFTCARE</t>
        </is>
      </c>
    </row>
    <row r="521">
      <c r="A521" s="17" t="inlineStr">
        <is>
          <t>Strategies (Asia) Pte. Ltd</t>
        </is>
      </c>
      <c r="B521" s="171" t="n">
        <v>1</v>
      </c>
      <c r="C521" s="177" t="n">
        <v>100</v>
      </c>
      <c r="D521" s="178" t="n">
        <v>25.2</v>
      </c>
      <c r="E521" s="178" t="n">
        <v>31.7</v>
      </c>
      <c r="F521" s="178" t="n">
        <v>26.8</v>
      </c>
      <c r="G521" s="178" t="n">
        <v>76.5</v>
      </c>
      <c r="H521" s="178" t="n">
        <v>5.2</v>
      </c>
      <c r="I521" s="178" t="n">
        <v>1.3</v>
      </c>
      <c r="J521" s="178" t="n">
        <v>41</v>
      </c>
      <c r="K521" s="179" t="inlineStr">
        <is>
          <t>1276 HENGRUI PHARMA</t>
        </is>
      </c>
    </row>
    <row r="522">
      <c r="A522" s="17" t="inlineStr">
        <is>
          <t>Cordial Solar</t>
        </is>
      </c>
      <c r="B522" s="171" t="n">
        <v>1</v>
      </c>
      <c r="C522" s="177" t="n">
        <v>100</v>
      </c>
      <c r="D522" s="178" t="n">
        <v>25.2</v>
      </c>
      <c r="E522" s="178" t="n">
        <v>31.7</v>
      </c>
      <c r="F522" s="178" t="n">
        <v>26.8</v>
      </c>
      <c r="G522" s="178" t="n">
        <v>76.5</v>
      </c>
      <c r="H522" s="178" t="n">
        <v>5.2</v>
      </c>
      <c r="I522" s="178" t="n">
        <v>1.3</v>
      </c>
      <c r="J522" s="178" t="n">
        <v>41</v>
      </c>
      <c r="K522" s="179" t="inlineStr">
        <is>
          <t>1276 HENGRUI PHARMA</t>
        </is>
      </c>
    </row>
    <row r="523">
      <c r="A523" s="17" t="inlineStr">
        <is>
          <t>Zhou Keting</t>
        </is>
      </c>
      <c r="B523" s="171" t="n">
        <v>1</v>
      </c>
      <c r="C523" s="177" t="n">
        <v>100</v>
      </c>
      <c r="D523" s="178" t="n">
        <v>23.9</v>
      </c>
      <c r="E523" s="178" t="n">
        <v>8.5</v>
      </c>
      <c r="F523" s="178" t="n">
        <v>-15.1</v>
      </c>
      <c r="G523" s="178" t="n">
        <v>-6.3</v>
      </c>
      <c r="H523" s="178" t="n">
        <v>-12.4</v>
      </c>
      <c r="I523" s="178" t="n">
        <v>-31.4</v>
      </c>
      <c r="J523" s="178" t="n">
        <v>-24.3</v>
      </c>
      <c r="K523" s="179" t="inlineStr">
        <is>
          <t>6687 JST GROUP</t>
        </is>
      </c>
    </row>
    <row r="524">
      <c r="A524" s="17" t="inlineStr">
        <is>
          <t>CUAM Entities</t>
        </is>
      </c>
      <c r="B524" s="171" t="n">
        <v>1</v>
      </c>
      <c r="C524" s="177" t="n">
        <v>100</v>
      </c>
      <c r="D524" s="178" t="n">
        <v>23.9</v>
      </c>
      <c r="E524" s="178" t="n">
        <v>8.5</v>
      </c>
      <c r="F524" s="178" t="n">
        <v>-15.1</v>
      </c>
      <c r="G524" s="178" t="n">
        <v>-6.3</v>
      </c>
      <c r="H524" s="178" t="n">
        <v>-12.4</v>
      </c>
      <c r="I524" s="178" t="n">
        <v>-31.4</v>
      </c>
      <c r="J524" s="178" t="n">
        <v>-24.3</v>
      </c>
      <c r="K524" s="179" t="inlineStr">
        <is>
          <t>6687 JST GROUP</t>
        </is>
      </c>
    </row>
    <row r="525">
      <c r="A525" s="17" t="inlineStr">
        <is>
          <t>GTCS Holdings</t>
        </is>
      </c>
      <c r="B525" s="171" t="n">
        <v>1</v>
      </c>
      <c r="C525" s="177" t="n">
        <v>100</v>
      </c>
      <c r="D525" s="178" t="n">
        <v>23.9</v>
      </c>
      <c r="E525" s="178" t="n">
        <v>8.5</v>
      </c>
      <c r="F525" s="178" t="n">
        <v>-15.1</v>
      </c>
      <c r="G525" s="178" t="n">
        <v>-6.3</v>
      </c>
      <c r="H525" s="178" t="n">
        <v>-12.4</v>
      </c>
      <c r="I525" s="178" t="n">
        <v>-31.4</v>
      </c>
      <c r="J525" s="178" t="n">
        <v>-24.3</v>
      </c>
      <c r="K525" s="179" t="inlineStr">
        <is>
          <t>6687 JST GROUP</t>
        </is>
      </c>
    </row>
    <row r="526">
      <c r="A526" s="17" t="inlineStr">
        <is>
          <t>Blink Field Limited</t>
        </is>
      </c>
      <c r="B526" s="171" t="n">
        <v>1</v>
      </c>
      <c r="C526" s="177" t="n">
        <v>100</v>
      </c>
      <c r="D526" s="178" t="n">
        <v>23.8</v>
      </c>
      <c r="E526" s="178" t="n">
        <v>67.09999999999999</v>
      </c>
      <c r="F526" s="178" t="n">
        <v>34.4</v>
      </c>
      <c r="G526" s="178" t="n">
        <v>102.3</v>
      </c>
      <c r="H526" s="178" t="n">
        <v>35</v>
      </c>
      <c r="I526" s="178" t="n">
        <v>8.6</v>
      </c>
      <c r="J526" s="178" t="n">
        <v>63.5</v>
      </c>
      <c r="K526" s="179" t="inlineStr">
        <is>
          <t>6683 STARPLUS LEGEND</t>
        </is>
      </c>
    </row>
    <row r="527">
      <c r="A527" s="17" t="inlineStr">
        <is>
          <t>NETDRAGON WEBSOFT INC</t>
        </is>
      </c>
      <c r="B527" s="171" t="n">
        <v>1</v>
      </c>
      <c r="C527" s="177" t="n">
        <v>100</v>
      </c>
      <c r="D527" s="178" t="n">
        <v>23.8</v>
      </c>
      <c r="E527" s="178" t="n">
        <v>67.09999999999999</v>
      </c>
      <c r="F527" s="178" t="n">
        <v>34.4</v>
      </c>
      <c r="G527" s="178" t="n">
        <v>102.3</v>
      </c>
      <c r="H527" s="178" t="n">
        <v>35</v>
      </c>
      <c r="I527" s="178" t="n">
        <v>8.6</v>
      </c>
      <c r="J527" s="178" t="n">
        <v>63.5</v>
      </c>
      <c r="K527" s="179" t="inlineStr">
        <is>
          <t>6683 STARPLUS LEGEND</t>
        </is>
      </c>
    </row>
    <row r="528">
      <c r="A528" s="17" t="inlineStr">
        <is>
          <t>Beevest Capital Limited</t>
        </is>
      </c>
      <c r="B528" s="171" t="n">
        <v>1</v>
      </c>
      <c r="C528" s="177" t="n">
        <v>100</v>
      </c>
      <c r="D528" s="178" t="n">
        <v>23.7</v>
      </c>
      <c r="E528" s="178" t="n">
        <v>21</v>
      </c>
      <c r="F528" s="178" t="n">
        <v>20.7</v>
      </c>
      <c r="G528" s="178" t="n">
        <v>39.6</v>
      </c>
      <c r="H528" s="178" t="n">
        <v>-2.2</v>
      </c>
      <c r="I528" s="178" t="n">
        <v>-2.5</v>
      </c>
      <c r="J528" s="178" t="n">
        <v>12.9</v>
      </c>
      <c r="K528" s="179" t="inlineStr">
        <is>
          <t>2509 QYUNS-B</t>
        </is>
      </c>
    </row>
    <row r="529">
      <c r="A529" s="17" t="inlineStr">
        <is>
          <t>Huadong Medicine Investment Holding (Hong Kong) Limited</t>
        </is>
      </c>
      <c r="B529" s="171" t="n">
        <v>1</v>
      </c>
      <c r="C529" s="177" t="n">
        <v>100</v>
      </c>
      <c r="D529" s="178" t="n">
        <v>23.7</v>
      </c>
      <c r="E529" s="178" t="n">
        <v>21</v>
      </c>
      <c r="F529" s="178" t="n">
        <v>20.7</v>
      </c>
      <c r="G529" s="178" t="n">
        <v>39.6</v>
      </c>
      <c r="H529" s="178" t="n">
        <v>-2.2</v>
      </c>
      <c r="I529" s="178" t="n">
        <v>-2.5</v>
      </c>
      <c r="J529" s="178" t="n">
        <v>12.9</v>
      </c>
      <c r="K529" s="179" t="inlineStr">
        <is>
          <t>2509 QYUNS-B</t>
        </is>
      </c>
    </row>
    <row r="530">
      <c r="A530" s="17" t="inlineStr">
        <is>
          <t>JianXin Medical Technology Limited</t>
        </is>
      </c>
      <c r="B530" s="171" t="n">
        <v>1</v>
      </c>
      <c r="C530" s="177" t="n">
        <v>100</v>
      </c>
      <c r="D530" s="178" t="n">
        <v>23.7</v>
      </c>
      <c r="E530" s="178" t="n">
        <v>21</v>
      </c>
      <c r="F530" s="178" t="n">
        <v>20.7</v>
      </c>
      <c r="G530" s="178" t="n">
        <v>39.6</v>
      </c>
      <c r="H530" s="178" t="n">
        <v>-2.2</v>
      </c>
      <c r="I530" s="178" t="n">
        <v>-2.5</v>
      </c>
      <c r="J530" s="178" t="n">
        <v>12.9</v>
      </c>
      <c r="K530" s="179" t="inlineStr">
        <is>
          <t>2509 QYUNS-B</t>
        </is>
      </c>
    </row>
    <row r="531">
      <c r="A531" s="17" t="inlineStr">
        <is>
          <t>Xinmin Tianshi Agricultural Industry Development Company Limited</t>
        </is>
      </c>
      <c r="B531" s="171" t="n">
        <v>1</v>
      </c>
      <c r="C531" s="177" t="n">
        <v>100</v>
      </c>
      <c r="D531" s="178" t="n">
        <v>22.7</v>
      </c>
      <c r="E531" s="178" t="n">
        <v>60.8</v>
      </c>
      <c r="F531" s="178" t="n">
        <v>61.5</v>
      </c>
      <c r="G531" s="178" t="n">
        <v>68.3</v>
      </c>
      <c r="H531" s="178" t="n">
        <v>31.1</v>
      </c>
      <c r="I531" s="178" t="n">
        <v>31.6</v>
      </c>
      <c r="J531" s="178" t="n">
        <v>37.2</v>
      </c>
      <c r="K531" s="179" t="inlineStr">
        <is>
          <t>9676 SHIYUE DAOTIAN</t>
        </is>
      </c>
    </row>
    <row r="532">
      <c r="A532" s="17" t="inlineStr">
        <is>
          <t>Bona Star Consultant Limited</t>
        </is>
      </c>
      <c r="B532" s="171" t="n">
        <v>1</v>
      </c>
      <c r="C532" s="177" t="n">
        <v>100</v>
      </c>
      <c r="D532" s="178" t="n">
        <v>22.5</v>
      </c>
      <c r="E532" s="178" t="n">
        <v>10.2</v>
      </c>
      <c r="F532" s="178" t="n">
        <v>-12.2</v>
      </c>
      <c r="G532" s="178" t="n">
        <v>-12.3</v>
      </c>
      <c r="H532" s="178" t="n">
        <v>-10</v>
      </c>
      <c r="I532" s="178" t="n">
        <v>-28.4</v>
      </c>
      <c r="J532" s="178" t="n">
        <v>-28.4</v>
      </c>
      <c r="K532" s="179" t="inlineStr">
        <is>
          <t>6067 SENIOR MATERIAL</t>
        </is>
      </c>
    </row>
    <row r="533">
      <c r="A533" s="17" t="inlineStr">
        <is>
          <t>JINKOSOLAR INVESTMENT LIMITED</t>
        </is>
      </c>
      <c r="B533" s="171" t="n">
        <v>1</v>
      </c>
      <c r="C533" s="177" t="n">
        <v>100</v>
      </c>
      <c r="D533" s="178" t="n">
        <v>22.5</v>
      </c>
      <c r="E533" s="178" t="n">
        <v>10.2</v>
      </c>
      <c r="F533" s="178" t="n">
        <v>-12.2</v>
      </c>
      <c r="G533" s="178" t="n">
        <v>-12.3</v>
      </c>
      <c r="H533" s="178" t="n">
        <v>-10</v>
      </c>
      <c r="I533" s="178" t="n">
        <v>-28.4</v>
      </c>
      <c r="J533" s="178" t="n">
        <v>-28.4</v>
      </c>
      <c r="K533" s="179" t="inlineStr">
        <is>
          <t>6067 SENIOR MATERIAL</t>
        </is>
      </c>
    </row>
    <row r="534">
      <c r="A534" s="17" t="inlineStr">
        <is>
          <t>Mondeomax Limited</t>
        </is>
      </c>
      <c r="B534" s="171" t="n">
        <v>1</v>
      </c>
      <c r="C534" s="177" t="n">
        <v>100</v>
      </c>
      <c r="D534" s="178" t="n">
        <v>22.5</v>
      </c>
      <c r="E534" s="178" t="n">
        <v>10.2</v>
      </c>
      <c r="F534" s="178" t="n">
        <v>-12.2</v>
      </c>
      <c r="G534" s="178" t="n">
        <v>-12.3</v>
      </c>
      <c r="H534" s="178" t="n">
        <v>-10</v>
      </c>
      <c r="I534" s="178" t="n">
        <v>-28.4</v>
      </c>
      <c r="J534" s="178" t="n">
        <v>-28.4</v>
      </c>
      <c r="K534" s="179" t="inlineStr">
        <is>
          <t>6067 SENIOR MATERIAL</t>
        </is>
      </c>
    </row>
    <row r="535">
      <c r="A535" s="17" t="inlineStr">
        <is>
          <t>SHEEN NATION HOLDINGS LIMITED</t>
        </is>
      </c>
      <c r="B535" s="171" t="n">
        <v>1</v>
      </c>
      <c r="C535" s="177" t="n">
        <v>100</v>
      </c>
      <c r="D535" s="178" t="n">
        <v>22.5</v>
      </c>
      <c r="E535" s="178" t="n">
        <v>10.2</v>
      </c>
      <c r="F535" s="178" t="n">
        <v>-12.2</v>
      </c>
      <c r="G535" s="178" t="n">
        <v>-12.3</v>
      </c>
      <c r="H535" s="178" t="n">
        <v>-10</v>
      </c>
      <c r="I535" s="178" t="n">
        <v>-28.4</v>
      </c>
      <c r="J535" s="178" t="n">
        <v>-28.4</v>
      </c>
      <c r="K535" s="179" t="inlineStr">
        <is>
          <t>6067 SENIOR MATERIAL</t>
        </is>
      </c>
    </row>
    <row r="536">
      <c r="A536" s="17" t="inlineStr">
        <is>
          <t>SINSANWA HOLDINGS (H.K.) CO., LIMITED</t>
        </is>
      </c>
      <c r="B536" s="171" t="n">
        <v>1</v>
      </c>
      <c r="C536" s="177" t="n">
        <v>100</v>
      </c>
      <c r="D536" s="178" t="n">
        <v>22.5</v>
      </c>
      <c r="E536" s="178" t="n">
        <v>10.2</v>
      </c>
      <c r="F536" s="178" t="n">
        <v>-12.2</v>
      </c>
      <c r="G536" s="178" t="n">
        <v>-12.3</v>
      </c>
      <c r="H536" s="178" t="n">
        <v>-10</v>
      </c>
      <c r="I536" s="178" t="n">
        <v>-28.4</v>
      </c>
      <c r="J536" s="178" t="n">
        <v>-28.4</v>
      </c>
      <c r="K536" s="179" t="inlineStr">
        <is>
          <t>6067 SENIOR MATERIAL</t>
        </is>
      </c>
    </row>
    <row r="537">
      <c r="A537" s="17" t="inlineStr">
        <is>
          <t>Coast Flagship Investment SPC</t>
        </is>
      </c>
      <c r="B537" s="171" t="n">
        <v>1</v>
      </c>
      <c r="C537" s="177" t="n">
        <v>100</v>
      </c>
      <c r="D537" s="178" t="n">
        <v>21.9</v>
      </c>
      <c r="E537" s="178" t="n">
        <v>10.6</v>
      </c>
      <c r="F537" s="178" t="n">
        <v>8.1</v>
      </c>
      <c r="G537" s="178" t="n">
        <v>21.1</v>
      </c>
      <c r="H537" s="178" t="n">
        <v>-9.300000000000001</v>
      </c>
      <c r="I537" s="178" t="n">
        <v>-11.3</v>
      </c>
      <c r="J537" s="178" t="n">
        <v>-0.7</v>
      </c>
      <c r="K537" s="179" t="inlineStr">
        <is>
          <t>1490 CHESHI</t>
        </is>
      </c>
    </row>
    <row r="538">
      <c r="A538" s="17" t="inlineStr">
        <is>
          <t>Goldstream Capital Management Limited</t>
        </is>
      </c>
      <c r="B538" s="171" t="n">
        <v>1</v>
      </c>
      <c r="C538" s="177" t="n">
        <v>100</v>
      </c>
      <c r="D538" s="178" t="n">
        <v>21.9</v>
      </c>
      <c r="E538" s="178" t="n">
        <v>10.6</v>
      </c>
      <c r="F538" s="178" t="n">
        <v>8.1</v>
      </c>
      <c r="G538" s="178" t="n">
        <v>21.1</v>
      </c>
      <c r="H538" s="178" t="n">
        <v>-9.300000000000001</v>
      </c>
      <c r="I538" s="178" t="n">
        <v>-11.3</v>
      </c>
      <c r="J538" s="178" t="n">
        <v>-0.7</v>
      </c>
      <c r="K538" s="179" t="inlineStr">
        <is>
          <t>1490 CHESHI</t>
        </is>
      </c>
    </row>
    <row r="539">
      <c r="A539" s="17" t="inlineStr">
        <is>
          <t>Shimmering Skyline L.P</t>
        </is>
      </c>
      <c r="B539" s="171" t="n">
        <v>1</v>
      </c>
      <c r="C539" s="177" t="n">
        <v>100</v>
      </c>
      <c r="D539" s="178" t="n">
        <v>21.9</v>
      </c>
      <c r="E539" s="178" t="n">
        <v>10.6</v>
      </c>
      <c r="F539" s="178" t="n">
        <v>8.1</v>
      </c>
      <c r="G539" s="178" t="n">
        <v>21.1</v>
      </c>
      <c r="H539" s="178" t="n">
        <v>-9.300000000000001</v>
      </c>
      <c r="I539" s="178" t="n">
        <v>-11.3</v>
      </c>
      <c r="J539" s="178" t="n">
        <v>-0.7</v>
      </c>
      <c r="K539" s="179" t="inlineStr">
        <is>
          <t>1490 CHESHI</t>
        </is>
      </c>
    </row>
    <row r="540">
      <c r="A540" s="17" t="inlineStr">
        <is>
          <t>Pingtan Xinghang Investment</t>
        </is>
      </c>
      <c r="B540" s="171" t="n">
        <v>1</v>
      </c>
      <c r="C540" s="177" t="n">
        <v>100</v>
      </c>
      <c r="D540" s="178" t="n">
        <v>21.4</v>
      </c>
      <c r="E540" s="178" t="n">
        <v>-16.8</v>
      </c>
      <c r="F540" s="178" t="n">
        <v>-34.6</v>
      </c>
      <c r="G540" s="178" t="n">
        <v>-34.9</v>
      </c>
      <c r="H540" s="178" t="n">
        <v>-31.5</v>
      </c>
      <c r="I540" s="178" t="n">
        <v>-46.1</v>
      </c>
      <c r="J540" s="178" t="n">
        <v>-46.4</v>
      </c>
      <c r="K540" s="179" t="inlineStr">
        <is>
          <t>2573 NEWTREND GROUP</t>
        </is>
      </c>
    </row>
    <row r="541">
      <c r="A541" s="17" t="inlineStr">
        <is>
          <t>Ms. Huang</t>
        </is>
      </c>
      <c r="B541" s="171" t="n">
        <v>1</v>
      </c>
      <c r="C541" s="177" t="n">
        <v>100</v>
      </c>
      <c r="D541" s="178" t="n">
        <v>21.4</v>
      </c>
      <c r="E541" s="178" t="n">
        <v>-16.8</v>
      </c>
      <c r="F541" s="178" t="n">
        <v>-34.6</v>
      </c>
      <c r="G541" s="178" t="n">
        <v>-34.9</v>
      </c>
      <c r="H541" s="178" t="n">
        <v>-31.5</v>
      </c>
      <c r="I541" s="178" t="n">
        <v>-46.1</v>
      </c>
      <c r="J541" s="178" t="n">
        <v>-46.4</v>
      </c>
      <c r="K541" s="179" t="inlineStr">
        <is>
          <t>2573 NEWTREND GROUP</t>
        </is>
      </c>
    </row>
    <row r="542">
      <c r="A542" s="17" t="inlineStr">
        <is>
          <t>Ms. He</t>
        </is>
      </c>
      <c r="B542" s="171" t="n">
        <v>1</v>
      </c>
      <c r="C542" s="177" t="n">
        <v>100</v>
      </c>
      <c r="D542" s="178" t="n">
        <v>21.4</v>
      </c>
      <c r="E542" s="178" t="n">
        <v>-16.8</v>
      </c>
      <c r="F542" s="178" t="n">
        <v>-34.6</v>
      </c>
      <c r="G542" s="178" t="n">
        <v>-34.9</v>
      </c>
      <c r="H542" s="178" t="n">
        <v>-31.5</v>
      </c>
      <c r="I542" s="178" t="n">
        <v>-46.1</v>
      </c>
      <c r="J542" s="178" t="n">
        <v>-46.4</v>
      </c>
      <c r="K542" s="179" t="inlineStr">
        <is>
          <t>2573 NEWTREND GROUP</t>
        </is>
      </c>
    </row>
    <row r="543">
      <c r="A543" s="17" t="inlineStr">
        <is>
          <t>Ms. Chen</t>
        </is>
      </c>
      <c r="B543" s="171" t="n">
        <v>1</v>
      </c>
      <c r="C543" s="177" t="n">
        <v>100</v>
      </c>
      <c r="D543" s="178" t="n">
        <v>21.4</v>
      </c>
      <c r="E543" s="178" t="n">
        <v>-16.8</v>
      </c>
      <c r="F543" s="178" t="n">
        <v>-34.6</v>
      </c>
      <c r="G543" s="178" t="n">
        <v>-34.9</v>
      </c>
      <c r="H543" s="178" t="n">
        <v>-31.5</v>
      </c>
      <c r="I543" s="178" t="n">
        <v>-46.1</v>
      </c>
      <c r="J543" s="178" t="n">
        <v>-46.4</v>
      </c>
      <c r="K543" s="179" t="inlineStr">
        <is>
          <t>2573 NEWTREND GROUP</t>
        </is>
      </c>
    </row>
    <row r="544">
      <c r="A544" s="17" t="inlineStr">
        <is>
          <t>He Win Hong Kong Holdings</t>
        </is>
      </c>
      <c r="B544" s="171" t="n">
        <v>1</v>
      </c>
      <c r="C544" s="177" t="n">
        <v>100</v>
      </c>
      <c r="D544" s="178" t="n">
        <v>21.4</v>
      </c>
      <c r="E544" s="178" t="n">
        <v>-16.8</v>
      </c>
      <c r="F544" s="178" t="n">
        <v>-34.6</v>
      </c>
      <c r="G544" s="178" t="n">
        <v>-34.9</v>
      </c>
      <c r="H544" s="178" t="n">
        <v>-31.5</v>
      </c>
      <c r="I544" s="178" t="n">
        <v>-46.1</v>
      </c>
      <c r="J544" s="178" t="n">
        <v>-46.4</v>
      </c>
      <c r="K544" s="179" t="inlineStr">
        <is>
          <t>2573 NEWTREND GROUP</t>
        </is>
      </c>
    </row>
    <row r="545">
      <c r="A545" s="17" t="inlineStr">
        <is>
          <t>Apex Insight Investment L.P</t>
        </is>
      </c>
      <c r="B545" s="171" t="n">
        <v>1</v>
      </c>
      <c r="C545" s="177" t="n">
        <v>100</v>
      </c>
      <c r="D545" s="178" t="n">
        <v>21.3</v>
      </c>
      <c r="E545" s="178" t="n">
        <v>11.2</v>
      </c>
      <c r="F545" s="178" t="n">
        <v>38.7</v>
      </c>
      <c r="G545" s="178" t="n">
        <v>25.4</v>
      </c>
      <c r="H545" s="178" t="n">
        <v>-8.300000000000001</v>
      </c>
      <c r="I545" s="178" t="n">
        <v>14.4</v>
      </c>
      <c r="J545" s="178" t="n">
        <v>3.4</v>
      </c>
      <c r="K545" s="179" t="inlineStr">
        <is>
          <t>3388 CREALITY</t>
        </is>
      </c>
    </row>
    <row r="546">
      <c r="A546" s="17" t="inlineStr">
        <is>
          <t>Colloway Group Limited</t>
        </is>
      </c>
      <c r="B546" s="171" t="n">
        <v>1</v>
      </c>
      <c r="C546" s="177" t="n">
        <v>100</v>
      </c>
      <c r="D546" s="178" t="n">
        <v>21.3</v>
      </c>
      <c r="E546" s="178" t="n">
        <v>11.2</v>
      </c>
      <c r="F546" s="178" t="n">
        <v>38.7</v>
      </c>
      <c r="G546" s="178" t="n">
        <v>25.4</v>
      </c>
      <c r="H546" s="178" t="n">
        <v>-8.300000000000001</v>
      </c>
      <c r="I546" s="178" t="n">
        <v>14.4</v>
      </c>
      <c r="J546" s="178" t="n">
        <v>3.4</v>
      </c>
      <c r="K546" s="179" t="inlineStr">
        <is>
          <t>3388 CREALITY</t>
        </is>
      </c>
    </row>
    <row r="547">
      <c r="A547" s="17" t="inlineStr">
        <is>
          <t>Dingxin (Securities) Limited</t>
        </is>
      </c>
      <c r="B547" s="171" t="n">
        <v>1</v>
      </c>
      <c r="C547" s="177" t="n">
        <v>100</v>
      </c>
      <c r="D547" s="178" t="n">
        <v>21.3</v>
      </c>
      <c r="E547" s="178" t="n">
        <v>11.2</v>
      </c>
      <c r="F547" s="178" t="n">
        <v>38.7</v>
      </c>
      <c r="G547" s="178" t="n">
        <v>25.4</v>
      </c>
      <c r="H547" s="178" t="n">
        <v>-8.300000000000001</v>
      </c>
      <c r="I547" s="178" t="n">
        <v>14.4</v>
      </c>
      <c r="J547" s="178" t="n">
        <v>3.4</v>
      </c>
      <c r="K547" s="179" t="inlineStr">
        <is>
          <t>3388 CREALITY</t>
        </is>
      </c>
    </row>
    <row r="548">
      <c r="A548" s="17" t="inlineStr">
        <is>
          <t>GBA Homeland Limited</t>
        </is>
      </c>
      <c r="B548" s="171" t="n">
        <v>1</v>
      </c>
      <c r="C548" s="177" t="n">
        <v>100</v>
      </c>
      <c r="D548" s="178" t="n">
        <v>21.3</v>
      </c>
      <c r="E548" s="178" t="n">
        <v>11.2</v>
      </c>
      <c r="F548" s="178" t="n">
        <v>38.7</v>
      </c>
      <c r="G548" s="178" t="n">
        <v>25.4</v>
      </c>
      <c r="H548" s="178" t="n">
        <v>-8.300000000000001</v>
      </c>
      <c r="I548" s="178" t="n">
        <v>14.4</v>
      </c>
      <c r="J548" s="178" t="n">
        <v>3.4</v>
      </c>
      <c r="K548" s="179" t="inlineStr">
        <is>
          <t>3388 CREALITY</t>
        </is>
      </c>
    </row>
    <row r="549">
      <c r="A549" s="17" t="inlineStr">
        <is>
          <t>Optimas ACM Fund LP</t>
        </is>
      </c>
      <c r="B549" s="171" t="n">
        <v>1</v>
      </c>
      <c r="C549" s="177" t="n">
        <v>100</v>
      </c>
      <c r="D549" s="178" t="n">
        <v>21.3</v>
      </c>
      <c r="E549" s="178" t="n">
        <v>11.2</v>
      </c>
      <c r="F549" s="178" t="n">
        <v>38.7</v>
      </c>
      <c r="G549" s="178" t="n">
        <v>25.4</v>
      </c>
      <c r="H549" s="178" t="n">
        <v>-8.300000000000001</v>
      </c>
      <c r="I549" s="178" t="n">
        <v>14.4</v>
      </c>
      <c r="J549" s="178" t="n">
        <v>3.4</v>
      </c>
      <c r="K549" s="179" t="inlineStr">
        <is>
          <t>3388 CREALITY</t>
        </is>
      </c>
    </row>
    <row r="550">
      <c r="A550" s="17" t="inlineStr">
        <is>
          <t>Yuyao Yangming Equity Investment Fund Co., Ltd</t>
        </is>
      </c>
      <c r="B550" s="171" t="n">
        <v>1</v>
      </c>
      <c r="C550" s="177" t="n">
        <v>100</v>
      </c>
      <c r="D550" s="178" t="n">
        <v>20.9</v>
      </c>
      <c r="E550" s="178" t="n">
        <v>22.3</v>
      </c>
      <c r="F550" s="178" t="n">
        <v>16.5</v>
      </c>
      <c r="G550" s="178" t="n">
        <v>10.4</v>
      </c>
      <c r="H550" s="178" t="n">
        <v>1.2</v>
      </c>
      <c r="I550" s="178" t="n">
        <v>-3.6</v>
      </c>
      <c r="J550" s="178" t="n">
        <v>-8.699999999999999</v>
      </c>
      <c r="K550" s="179" t="inlineStr">
        <is>
          <t>2105 LAEKNA-B</t>
        </is>
      </c>
    </row>
    <row r="551">
      <c r="A551" s="17" t="inlineStr">
        <is>
          <t>Guosen (HK) Financial Products Company Limited</t>
        </is>
      </c>
      <c r="B551" s="171" t="n">
        <v>1</v>
      </c>
      <c r="C551" s="177" t="n">
        <v>100</v>
      </c>
      <c r="D551" s="178" t="n">
        <v>20.6</v>
      </c>
      <c r="E551" s="178" t="n">
        <v>30.7</v>
      </c>
      <c r="F551" s="178" t="n">
        <v>47.6</v>
      </c>
      <c r="G551" s="178" t="n">
        <v>62.9</v>
      </c>
      <c r="H551" s="178" t="n">
        <v>8.300000000000001</v>
      </c>
      <c r="I551" s="178" t="n">
        <v>22.4</v>
      </c>
      <c r="J551" s="178" t="n">
        <v>35</v>
      </c>
      <c r="K551" s="179" t="inlineStr">
        <is>
          <t>2637 HAIXI PHARMA</t>
        </is>
      </c>
    </row>
    <row r="552">
      <c r="A552" s="17" t="inlineStr">
        <is>
          <t>Zhuhai Gokin New Energy Investment Co., Ltd</t>
        </is>
      </c>
      <c r="B552" s="171" t="n">
        <v>1</v>
      </c>
      <c r="C552" s="177" t="n">
        <v>100</v>
      </c>
      <c r="D552" s="178" t="n">
        <v>20.1</v>
      </c>
      <c r="E552" s="178" t="n">
        <v>3.6</v>
      </c>
      <c r="F552" s="178" t="n">
        <v>8.1</v>
      </c>
      <c r="G552" s="178" t="n">
        <v>-2.5</v>
      </c>
      <c r="H552" s="178" t="n">
        <v>-13.7</v>
      </c>
      <c r="I552" s="178" t="n">
        <v>-10</v>
      </c>
      <c r="J552" s="178" t="n">
        <v>-18.8</v>
      </c>
      <c r="K552" s="179" t="inlineStr">
        <is>
          <t>2865 DRINDA</t>
        </is>
      </c>
    </row>
    <row r="553">
      <c r="A553" s="17" t="inlineStr">
        <is>
          <t>Modern Direct Investment New Energy Technology Co., Limited</t>
        </is>
      </c>
      <c r="B553" s="171" t="n">
        <v>1</v>
      </c>
      <c r="C553" s="177" t="n">
        <v>100</v>
      </c>
      <c r="D553" s="178" t="n">
        <v>20.1</v>
      </c>
      <c r="E553" s="178" t="n">
        <v>3.6</v>
      </c>
      <c r="F553" s="178" t="n">
        <v>8.1</v>
      </c>
      <c r="G553" s="178" t="n">
        <v>-2.5</v>
      </c>
      <c r="H553" s="178" t="n">
        <v>-13.7</v>
      </c>
      <c r="I553" s="178" t="n">
        <v>-10</v>
      </c>
      <c r="J553" s="178" t="n">
        <v>-18.8</v>
      </c>
      <c r="K553" s="179" t="inlineStr">
        <is>
          <t>2865 DRINDA</t>
        </is>
      </c>
    </row>
    <row r="554">
      <c r="A554" s="17" t="inlineStr">
        <is>
          <t>Yue Chuang New Energy HK Limited</t>
        </is>
      </c>
      <c r="B554" s="171" t="n">
        <v>1</v>
      </c>
      <c r="C554" s="177" t="n">
        <v>100</v>
      </c>
      <c r="D554" s="178" t="n">
        <v>20</v>
      </c>
      <c r="E554" s="178" t="n">
        <v>48.5</v>
      </c>
      <c r="F554" s="178" t="n">
        <v>69.8</v>
      </c>
      <c r="G554" s="178" t="n">
        <v>132.2</v>
      </c>
      <c r="H554" s="178" t="n">
        <v>23.8</v>
      </c>
      <c r="I554" s="178" t="n">
        <v>41.5</v>
      </c>
      <c r="J554" s="178" t="n">
        <v>93.5</v>
      </c>
      <c r="K554" s="179" t="inlineStr">
        <is>
          <t>2582 GUOFUHEE</t>
        </is>
      </c>
    </row>
    <row r="555">
      <c r="A555" s="17" t="inlineStr">
        <is>
          <t>Barjai Trading Company Limited</t>
        </is>
      </c>
      <c r="B555" s="171" t="n">
        <v>1</v>
      </c>
      <c r="C555" s="177" t="n">
        <v>100</v>
      </c>
      <c r="D555" s="178" t="n">
        <v>18.5</v>
      </c>
      <c r="E555" s="178" t="n">
        <v>40</v>
      </c>
      <c r="F555" s="178" t="n">
        <v>90.2</v>
      </c>
      <c r="G555" s="178" t="n">
        <v>125.3</v>
      </c>
      <c r="H555" s="178" t="n">
        <v>18.2</v>
      </c>
      <c r="I555" s="178" t="n">
        <v>60.6</v>
      </c>
      <c r="J555" s="178" t="n">
        <v>90.2</v>
      </c>
      <c r="K555" s="179" t="inlineStr">
        <is>
          <t>2556 MARKETINGFORCE</t>
        </is>
      </c>
    </row>
    <row r="556">
      <c r="A556" s="17" t="inlineStr">
        <is>
          <t>VH Nanchang Donghu Asset Capital LPF</t>
        </is>
      </c>
      <c r="B556" s="171" t="n">
        <v>1</v>
      </c>
      <c r="C556" s="177" t="n">
        <v>100</v>
      </c>
      <c r="D556" s="178" t="n">
        <v>18.5</v>
      </c>
      <c r="E556" s="178" t="n">
        <v>40</v>
      </c>
      <c r="F556" s="178" t="n">
        <v>90.2</v>
      </c>
      <c r="G556" s="178" t="n">
        <v>125.3</v>
      </c>
      <c r="H556" s="178" t="n">
        <v>18.2</v>
      </c>
      <c r="I556" s="178" t="n">
        <v>60.6</v>
      </c>
      <c r="J556" s="178" t="n">
        <v>90.2</v>
      </c>
      <c r="K556" s="179" t="inlineStr">
        <is>
          <t>2556 MARKETINGFORCE</t>
        </is>
      </c>
    </row>
    <row r="557">
      <c r="A557" s="17" t="inlineStr">
        <is>
          <t>Kuwait Investment</t>
        </is>
      </c>
      <c r="B557" s="171" t="n">
        <v>1</v>
      </c>
      <c r="C557" s="177" t="n">
        <v>100</v>
      </c>
      <c r="D557" s="178" t="n">
        <v>16.4</v>
      </c>
      <c r="E557" s="178" t="n">
        <v>17.5</v>
      </c>
      <c r="F557" s="178" t="n">
        <v>16.5</v>
      </c>
      <c r="G557" s="178" t="n">
        <v>57.4</v>
      </c>
      <c r="H557" s="178" t="n">
        <v>0.9</v>
      </c>
      <c r="I557" s="178" t="n">
        <v>0.1</v>
      </c>
      <c r="J557" s="178" t="n">
        <v>35.2</v>
      </c>
      <c r="K557" s="179" t="inlineStr">
        <is>
          <t>3750 CATL</t>
        </is>
      </c>
    </row>
    <row r="558">
      <c r="A558" s="17" t="inlineStr">
        <is>
          <t>Zenith Hop International Limited</t>
        </is>
      </c>
      <c r="B558" s="171" t="n">
        <v>1</v>
      </c>
      <c r="C558" s="177" t="n">
        <v>100</v>
      </c>
      <c r="D558" s="178" t="n">
        <v>16.4</v>
      </c>
      <c r="E558" s="178" t="n">
        <v>17.5</v>
      </c>
      <c r="F558" s="178" t="n">
        <v>16.5</v>
      </c>
      <c r="G558" s="178" t="n">
        <v>57.4</v>
      </c>
      <c r="H558" s="178" t="n">
        <v>0.9</v>
      </c>
      <c r="I558" s="178" t="n">
        <v>0.1</v>
      </c>
      <c r="J558" s="178" t="n">
        <v>35.2</v>
      </c>
      <c r="K558" s="179" t="inlineStr">
        <is>
          <t>3750 CATL</t>
        </is>
      </c>
    </row>
    <row r="559">
      <c r="A559" s="17" t="inlineStr">
        <is>
          <t>UG Investment</t>
        </is>
      </c>
      <c r="B559" s="171" t="n">
        <v>1</v>
      </c>
      <c r="C559" s="177" t="n">
        <v>100</v>
      </c>
      <c r="D559" s="178" t="n">
        <v>16.2</v>
      </c>
      <c r="E559" s="178" t="n">
        <v>11.2</v>
      </c>
      <c r="F559" s="178" t="n">
        <v>-0.1</v>
      </c>
      <c r="G559" s="178" t="n">
        <v>-25.1</v>
      </c>
      <c r="H559" s="178" t="n">
        <v>-4.3</v>
      </c>
      <c r="I559" s="178" t="n">
        <v>-14</v>
      </c>
      <c r="J559" s="178" t="n">
        <v>-35.5</v>
      </c>
      <c r="K559" s="179" t="inlineStr">
        <is>
          <t>0501 OMNIVISION</t>
        </is>
      </c>
    </row>
    <row r="560">
      <c r="A560" s="17" t="inlineStr">
        <is>
          <t>OPPO (Tiantian Trading)</t>
        </is>
      </c>
      <c r="B560" s="171" t="n">
        <v>1</v>
      </c>
      <c r="C560" s="177" t="n">
        <v>100</v>
      </c>
      <c r="D560" s="178" t="n">
        <v>16.2</v>
      </c>
      <c r="E560" s="178" t="n">
        <v>11.2</v>
      </c>
      <c r="F560" s="178" t="n">
        <v>-0.1</v>
      </c>
      <c r="G560" s="178" t="n">
        <v>-25.1</v>
      </c>
      <c r="H560" s="178" t="n">
        <v>-4.3</v>
      </c>
      <c r="I560" s="178" t="n">
        <v>-14</v>
      </c>
      <c r="J560" s="178" t="n">
        <v>-35.5</v>
      </c>
      <c r="K560" s="179" t="inlineStr">
        <is>
          <t>0501 OMNIVISION</t>
        </is>
      </c>
    </row>
    <row r="561">
      <c r="A561" s="17" t="inlineStr">
        <is>
          <t>Torus</t>
        </is>
      </c>
      <c r="B561" s="171" t="n">
        <v>1</v>
      </c>
      <c r="C561" s="177" t="n">
        <v>100</v>
      </c>
      <c r="D561" s="178" t="n">
        <v>16</v>
      </c>
      <c r="E561" s="178" t="n">
        <v>25.8</v>
      </c>
      <c r="F561" s="178" t="n">
        <v>30.9</v>
      </c>
      <c r="G561" s="178" t="n">
        <v>65.09999999999999</v>
      </c>
      <c r="H561" s="178" t="n">
        <v>8.4</v>
      </c>
      <c r="I561" s="178" t="n">
        <v>12.8</v>
      </c>
      <c r="J561" s="178" t="n">
        <v>42.3</v>
      </c>
      <c r="K561" s="179" t="inlineStr">
        <is>
          <t>1304 FORTIOR</t>
        </is>
      </c>
    </row>
    <row r="562">
      <c r="A562" s="17" t="inlineStr">
        <is>
          <t>Intac</t>
        </is>
      </c>
      <c r="B562" s="171" t="n">
        <v>1</v>
      </c>
      <c r="C562" s="177" t="n">
        <v>100</v>
      </c>
      <c r="D562" s="178" t="n">
        <v>16</v>
      </c>
      <c r="E562" s="178" t="n">
        <v>25.8</v>
      </c>
      <c r="F562" s="178" t="n">
        <v>30.9</v>
      </c>
      <c r="G562" s="178" t="n">
        <v>65.09999999999999</v>
      </c>
      <c r="H562" s="178" t="n">
        <v>8.4</v>
      </c>
      <c r="I562" s="178" t="n">
        <v>12.8</v>
      </c>
      <c r="J562" s="178" t="n">
        <v>42.3</v>
      </c>
      <c r="K562" s="179" t="inlineStr">
        <is>
          <t>1304 FORTIOR</t>
        </is>
      </c>
    </row>
    <row r="563">
      <c r="A563" s="17" t="inlineStr">
        <is>
          <t>Franklin Templeton Sealand Fund Management Co., Ltd</t>
        </is>
      </c>
      <c r="B563" s="171" t="n">
        <v>1</v>
      </c>
      <c r="C563" s="177" t="n">
        <v>100</v>
      </c>
      <c r="D563" s="178" t="n">
        <v>15.7</v>
      </c>
      <c r="E563" s="178" t="n">
        <v>1.3</v>
      </c>
      <c r="F563" s="178" t="n">
        <v>10.6</v>
      </c>
      <c r="G563" s="178" t="n"/>
      <c r="H563" s="178" t="n">
        <v>-12.4</v>
      </c>
      <c r="I563" s="178" t="n">
        <v>-4.4</v>
      </c>
      <c r="J563" s="178" t="n"/>
      <c r="K563" s="179" t="inlineStr">
        <is>
          <t>0668 ANKER</t>
        </is>
      </c>
    </row>
    <row r="564">
      <c r="A564" s="17" t="inlineStr">
        <is>
          <t>Principal Asset Management Company (Asia) Limited</t>
        </is>
      </c>
      <c r="B564" s="171" t="n">
        <v>1</v>
      </c>
      <c r="C564" s="177" t="n">
        <v>100</v>
      </c>
      <c r="D564" s="178" t="n">
        <v>15.7</v>
      </c>
      <c r="E564" s="178" t="n">
        <v>1.3</v>
      </c>
      <c r="F564" s="178" t="n">
        <v>10.6</v>
      </c>
      <c r="G564" s="178" t="n"/>
      <c r="H564" s="178" t="n">
        <v>-12.4</v>
      </c>
      <c r="I564" s="178" t="n">
        <v>-4.4</v>
      </c>
      <c r="J564" s="178" t="n"/>
      <c r="K564" s="179" t="inlineStr">
        <is>
          <t>0668 ANKER</t>
        </is>
      </c>
    </row>
    <row r="565">
      <c r="A565" s="17" t="inlineStr">
        <is>
          <t>All View Focus Fund LPF</t>
        </is>
      </c>
      <c r="B565" s="171" t="n">
        <v>1</v>
      </c>
      <c r="C565" s="177" t="n">
        <v>100</v>
      </c>
      <c r="D565" s="178" t="n">
        <v>15.2</v>
      </c>
      <c r="E565" s="178" t="n">
        <v>28.6</v>
      </c>
      <c r="F565" s="178" t="n">
        <v>89</v>
      </c>
      <c r="G565" s="178" t="n"/>
      <c r="H565" s="178" t="n">
        <v>11.7</v>
      </c>
      <c r="I565" s="178" t="n">
        <v>64</v>
      </c>
      <c r="J565" s="178" t="n"/>
      <c r="K565" s="179" t="inlineStr">
        <is>
          <t>3752 ROKAE ROBOTICS</t>
        </is>
      </c>
    </row>
    <row r="566">
      <c r="A566" s="17" t="inlineStr">
        <is>
          <t>Beijing Financial Street Capital Operation Group Co., Ltd</t>
        </is>
      </c>
      <c r="B566" s="171" t="n">
        <v>1</v>
      </c>
      <c r="C566" s="177" t="n">
        <v>100</v>
      </c>
      <c r="D566" s="178" t="n">
        <v>15.2</v>
      </c>
      <c r="E566" s="178" t="n">
        <v>28.6</v>
      </c>
      <c r="F566" s="178" t="n">
        <v>89</v>
      </c>
      <c r="G566" s="178" t="n"/>
      <c r="H566" s="178" t="n">
        <v>11.7</v>
      </c>
      <c r="I566" s="178" t="n">
        <v>64</v>
      </c>
      <c r="J566" s="178" t="n"/>
      <c r="K566" s="179" t="inlineStr">
        <is>
          <t>3752 ROKAE ROBOTICS</t>
        </is>
      </c>
    </row>
    <row r="567">
      <c r="A567" s="17" t="inlineStr">
        <is>
          <t>China Travel Service (Holdings) Hong Kong Limited</t>
        </is>
      </c>
      <c r="B567" s="171" t="n">
        <v>1</v>
      </c>
      <c r="C567" s="177" t="n">
        <v>100</v>
      </c>
      <c r="D567" s="178" t="n">
        <v>15</v>
      </c>
      <c r="E567" s="178" t="n">
        <v>6.6</v>
      </c>
      <c r="F567" s="178" t="n">
        <v>-15</v>
      </c>
      <c r="G567" s="178" t="n">
        <v>-18.1</v>
      </c>
      <c r="H567" s="178" t="n">
        <v>-7.3</v>
      </c>
      <c r="I567" s="178" t="n">
        <v>-26.1</v>
      </c>
      <c r="J567" s="178" t="n">
        <v>-28.8</v>
      </c>
      <c r="K567" s="179" t="inlineStr">
        <is>
          <t>2460 CR BEVERAGE</t>
        </is>
      </c>
    </row>
    <row r="568">
      <c r="A568" s="17" t="inlineStr">
        <is>
          <t>Wildlife Willow Limited</t>
        </is>
      </c>
      <c r="B568" s="171" t="n">
        <v>1</v>
      </c>
      <c r="C568" s="177" t="n">
        <v>100</v>
      </c>
      <c r="D568" s="178" t="n">
        <v>15</v>
      </c>
      <c r="E568" s="178" t="n">
        <v>6.6</v>
      </c>
      <c r="F568" s="178" t="n">
        <v>-15</v>
      </c>
      <c r="G568" s="178" t="n">
        <v>-18.1</v>
      </c>
      <c r="H568" s="178" t="n">
        <v>-7.3</v>
      </c>
      <c r="I568" s="178" t="n">
        <v>-26.1</v>
      </c>
      <c r="J568" s="178" t="n">
        <v>-28.8</v>
      </c>
      <c r="K568" s="179" t="inlineStr">
        <is>
          <t>2460 CR BEVERAGE</t>
        </is>
      </c>
    </row>
    <row r="569">
      <c r="A569" s="17" t="inlineStr">
        <is>
          <t>Asia Pacific Limited</t>
        </is>
      </c>
      <c r="B569" s="171" t="n">
        <v>1</v>
      </c>
      <c r="C569" s="177" t="n">
        <v>100</v>
      </c>
      <c r="D569" s="178" t="n">
        <v>14.9</v>
      </c>
      <c r="E569" s="178" t="n">
        <v>30</v>
      </c>
      <c r="F569" s="178" t="n">
        <v>0.9</v>
      </c>
      <c r="G569" s="178" t="n">
        <v>-17.4</v>
      </c>
      <c r="H569" s="178" t="n">
        <v>13.1</v>
      </c>
      <c r="I569" s="178" t="n">
        <v>-12.2</v>
      </c>
      <c r="J569" s="178" t="n">
        <v>-28.2</v>
      </c>
      <c r="K569" s="179" t="inlineStr">
        <is>
          <t>2543 DAHON TECH</t>
        </is>
      </c>
    </row>
    <row r="570">
      <c r="A570" s="17" t="inlineStr">
        <is>
          <t>Allianz Global Investors Asia Pacific Limited</t>
        </is>
      </c>
      <c r="B570" s="171" t="n">
        <v>1</v>
      </c>
      <c r="C570" s="177" t="n">
        <v>100</v>
      </c>
      <c r="D570" s="178" t="n">
        <v>14.9</v>
      </c>
      <c r="E570" s="178" t="n">
        <v>30</v>
      </c>
      <c r="F570" s="178" t="n">
        <v>0.9</v>
      </c>
      <c r="G570" s="178" t="n">
        <v>-17.4</v>
      </c>
      <c r="H570" s="178" t="n">
        <v>13.1</v>
      </c>
      <c r="I570" s="178" t="n">
        <v>-12.2</v>
      </c>
      <c r="J570" s="178" t="n">
        <v>-28.2</v>
      </c>
      <c r="K570" s="179" t="inlineStr">
        <is>
          <t>2543 DAHON TECH</t>
        </is>
      </c>
    </row>
    <row r="571">
      <c r="A571" s="17" t="inlineStr">
        <is>
          <t>GBAD Fund Management</t>
        </is>
      </c>
      <c r="B571" s="171" t="n">
        <v>1</v>
      </c>
      <c r="C571" s="177" t="n">
        <v>100</v>
      </c>
      <c r="D571" s="178" t="n">
        <v>14.9</v>
      </c>
      <c r="E571" s="178" t="n">
        <v>30</v>
      </c>
      <c r="F571" s="178" t="n">
        <v>0.9</v>
      </c>
      <c r="G571" s="178" t="n">
        <v>-17.4</v>
      </c>
      <c r="H571" s="178" t="n">
        <v>13.1</v>
      </c>
      <c r="I571" s="178" t="n">
        <v>-12.2</v>
      </c>
      <c r="J571" s="178" t="n">
        <v>-28.2</v>
      </c>
      <c r="K571" s="179" t="inlineStr">
        <is>
          <t>2543 DAHON TECH</t>
        </is>
      </c>
    </row>
    <row r="572">
      <c r="A572" s="17" t="inlineStr">
        <is>
          <t>Dahon Tech Enterprise LP</t>
        </is>
      </c>
      <c r="B572" s="171" t="n">
        <v>1</v>
      </c>
      <c r="C572" s="177" t="n">
        <v>100</v>
      </c>
      <c r="D572" s="178" t="n">
        <v>14.9</v>
      </c>
      <c r="E572" s="178" t="n">
        <v>30</v>
      </c>
      <c r="F572" s="178" t="n">
        <v>0.9</v>
      </c>
      <c r="G572" s="178" t="n">
        <v>-17.4</v>
      </c>
      <c r="H572" s="178" t="n">
        <v>13.1</v>
      </c>
      <c r="I572" s="178" t="n">
        <v>-12.2</v>
      </c>
      <c r="J572" s="178" t="n">
        <v>-28.2</v>
      </c>
      <c r="K572" s="179" t="inlineStr">
        <is>
          <t>2543 DAHON TECH</t>
        </is>
      </c>
    </row>
    <row r="573">
      <c r="A573" s="17" t="inlineStr">
        <is>
          <t>Industrial Bank WM</t>
        </is>
      </c>
      <c r="B573" s="171" t="n">
        <v>1</v>
      </c>
      <c r="C573" s="177" t="n">
        <v>100</v>
      </c>
      <c r="D573" s="178" t="n">
        <v>14.8</v>
      </c>
      <c r="E573" s="178" t="n">
        <v>17.5</v>
      </c>
      <c r="F573" s="178" t="n">
        <v>21.9</v>
      </c>
      <c r="G573" s="178" t="n">
        <v>69.40000000000001</v>
      </c>
      <c r="H573" s="178" t="n">
        <v>2.4</v>
      </c>
      <c r="I573" s="178" t="n">
        <v>6.2</v>
      </c>
      <c r="J573" s="178" t="n">
        <v>47.5</v>
      </c>
      <c r="K573" s="179" t="inlineStr">
        <is>
          <t>3200 HANS CNC</t>
        </is>
      </c>
    </row>
    <row r="574">
      <c r="A574" s="17" t="inlineStr">
        <is>
          <t>Emsdom Limited</t>
        </is>
      </c>
      <c r="B574" s="171" t="n">
        <v>1</v>
      </c>
      <c r="C574" s="177" t="n">
        <v>100</v>
      </c>
      <c r="D574" s="178" t="n">
        <v>14.3</v>
      </c>
      <c r="E574" s="178" t="n">
        <v>9.5</v>
      </c>
      <c r="F574" s="178" t="n">
        <v>-19.1</v>
      </c>
      <c r="G574" s="178" t="n">
        <v>-15.2</v>
      </c>
      <c r="H574" s="178" t="n">
        <v>-4.2</v>
      </c>
      <c r="I574" s="178" t="n">
        <v>-29.2</v>
      </c>
      <c r="J574" s="178" t="n">
        <v>-25.8</v>
      </c>
      <c r="K574" s="179" t="inlineStr">
        <is>
          <t>1334 RUICHANG INTL</t>
        </is>
      </c>
    </row>
    <row r="575">
      <c r="A575" s="17" t="inlineStr">
        <is>
          <t>Shanghai Huijin Asset Management Co., Ltd</t>
        </is>
      </c>
      <c r="B575" s="171" t="n">
        <v>1</v>
      </c>
      <c r="C575" s="177" t="n">
        <v>100</v>
      </c>
      <c r="D575" s="178" t="n">
        <v>13.8</v>
      </c>
      <c r="E575" s="178" t="n">
        <v>26.5</v>
      </c>
      <c r="F575" s="178" t="n">
        <v>93.8</v>
      </c>
      <c r="G575" s="178" t="n">
        <v>61.5</v>
      </c>
      <c r="H575" s="178" t="n">
        <v>11.1</v>
      </c>
      <c r="I575" s="178" t="n">
        <v>70.3</v>
      </c>
      <c r="J575" s="178" t="n">
        <v>41.9</v>
      </c>
      <c r="K575" s="179" t="inlineStr">
        <is>
          <t>6616 GLOBAL NEW MAT</t>
        </is>
      </c>
    </row>
    <row r="576">
      <c r="A576" s="17" t="inlineStr">
        <is>
          <t>YBN Investments</t>
        </is>
      </c>
      <c r="B576" s="171" t="n">
        <v>1</v>
      </c>
      <c r="C576" s="177" t="n">
        <v>100</v>
      </c>
      <c r="D576" s="178" t="n">
        <v>13.8</v>
      </c>
      <c r="E576" s="178" t="n">
        <v>26.5</v>
      </c>
      <c r="F576" s="178" t="n">
        <v>93.8</v>
      </c>
      <c r="G576" s="178" t="n">
        <v>61.5</v>
      </c>
      <c r="H576" s="178" t="n">
        <v>11.1</v>
      </c>
      <c r="I576" s="178" t="n">
        <v>70.3</v>
      </c>
      <c r="J576" s="178" t="n">
        <v>41.9</v>
      </c>
      <c r="K576" s="179" t="inlineStr">
        <is>
          <t>6616 GLOBAL NEW MAT</t>
        </is>
      </c>
    </row>
    <row r="577">
      <c r="A577" s="17" t="inlineStr">
        <is>
          <t>Aether Wave Fund L.P</t>
        </is>
      </c>
      <c r="B577" s="171" t="n">
        <v>1</v>
      </c>
      <c r="C577" s="177" t="n">
        <v>100</v>
      </c>
      <c r="D577" s="178" t="n">
        <v>13.5</v>
      </c>
      <c r="E577" s="178" t="n">
        <v>3.9</v>
      </c>
      <c r="F577" s="178" t="n">
        <v>7.5</v>
      </c>
      <c r="G577" s="178" t="n">
        <v>-14</v>
      </c>
      <c r="H577" s="178" t="n">
        <v>-8.4</v>
      </c>
      <c r="I577" s="178" t="n">
        <v>-5.2</v>
      </c>
      <c r="J577" s="178" t="n">
        <v>-24.2</v>
      </c>
      <c r="K577" s="179" t="inlineStr">
        <is>
          <t>3355 FS.COM</t>
        </is>
      </c>
    </row>
    <row r="578">
      <c r="A578" s="17" t="inlineStr">
        <is>
          <t>Great Holding Development Limited</t>
        </is>
      </c>
      <c r="B578" s="171" t="n">
        <v>1</v>
      </c>
      <c r="C578" s="177" t="n">
        <v>100</v>
      </c>
      <c r="D578" s="178" t="n">
        <v>13.5</v>
      </c>
      <c r="E578" s="178" t="n">
        <v>3.9</v>
      </c>
      <c r="F578" s="178" t="n">
        <v>7.5</v>
      </c>
      <c r="G578" s="178" t="n">
        <v>-14</v>
      </c>
      <c r="H578" s="178" t="n">
        <v>-8.4</v>
      </c>
      <c r="I578" s="178" t="n">
        <v>-5.2</v>
      </c>
      <c r="J578" s="178" t="n">
        <v>-24.2</v>
      </c>
      <c r="K578" s="179" t="inlineStr">
        <is>
          <t>3355 FS.COM</t>
        </is>
      </c>
    </row>
    <row r="579">
      <c r="A579" s="17" t="inlineStr">
        <is>
          <t>Wider Huge Group Limited</t>
        </is>
      </c>
      <c r="B579" s="171" t="n">
        <v>1</v>
      </c>
      <c r="C579" s="177" t="n">
        <v>100</v>
      </c>
      <c r="D579" s="178" t="n">
        <v>13.5</v>
      </c>
      <c r="E579" s="178" t="n">
        <v>3.9</v>
      </c>
      <c r="F579" s="178" t="n">
        <v>7.5</v>
      </c>
      <c r="G579" s="178" t="n">
        <v>-14</v>
      </c>
      <c r="H579" s="178" t="n">
        <v>-8.4</v>
      </c>
      <c r="I579" s="178" t="n">
        <v>-5.2</v>
      </c>
      <c r="J579" s="178" t="n">
        <v>-24.2</v>
      </c>
      <c r="K579" s="179" t="inlineStr">
        <is>
          <t>3355 FS.COM</t>
        </is>
      </c>
    </row>
    <row r="580">
      <c r="A580" s="17" t="inlineStr">
        <is>
          <t>Health Vision Hong Kong Limited</t>
        </is>
      </c>
      <c r="B580" s="171" t="n">
        <v>1</v>
      </c>
      <c r="C580" s="177" t="n">
        <v>100</v>
      </c>
      <c r="D580" s="178" t="n">
        <v>13.4</v>
      </c>
      <c r="E580" s="178" t="n">
        <v>-3.2</v>
      </c>
      <c r="F580" s="178" t="n">
        <v>9.1</v>
      </c>
      <c r="G580" s="178" t="n">
        <v>-54.5</v>
      </c>
      <c r="H580" s="178" t="n">
        <v>-14.6</v>
      </c>
      <c r="I580" s="178" t="n">
        <v>-3.8</v>
      </c>
      <c r="J580" s="178" t="n">
        <v>-59.9</v>
      </c>
      <c r="K580" s="179" t="inlineStr">
        <is>
          <t>2677 DISTINCT HEALTH</t>
        </is>
      </c>
    </row>
    <row r="581">
      <c r="A581" s="17" t="inlineStr">
        <is>
          <t>KingMed Diagnostics (Hong Kong) Limited (ਹᏨ᜕ (ಥ)ʮ̡</t>
        </is>
      </c>
      <c r="B581" s="171" t="n">
        <v>1</v>
      </c>
      <c r="C581" s="177" t="n">
        <v>100</v>
      </c>
      <c r="D581" s="178" t="n">
        <v>13.4</v>
      </c>
      <c r="E581" s="178" t="n">
        <v>-3.2</v>
      </c>
      <c r="F581" s="178" t="n">
        <v>9.1</v>
      </c>
      <c r="G581" s="178" t="n">
        <v>-54.5</v>
      </c>
      <c r="H581" s="178" t="n">
        <v>-14.6</v>
      </c>
      <c r="I581" s="178" t="n">
        <v>-3.8</v>
      </c>
      <c r="J581" s="178" t="n">
        <v>-59.9</v>
      </c>
      <c r="K581" s="179" t="inlineStr">
        <is>
          <t>2677 DISTINCT HEALTH</t>
        </is>
      </c>
    </row>
    <row r="582">
      <c r="A582" s="17" t="inlineStr">
        <is>
          <t>Mininglamp Technology</t>
        </is>
      </c>
      <c r="B582" s="171" t="n">
        <v>1</v>
      </c>
      <c r="C582" s="177" t="n">
        <v>100</v>
      </c>
      <c r="D582" s="178" t="n">
        <v>13.4</v>
      </c>
      <c r="E582" s="178" t="n">
        <v>-3.2</v>
      </c>
      <c r="F582" s="178" t="n">
        <v>9.1</v>
      </c>
      <c r="G582" s="178" t="n">
        <v>-54.5</v>
      </c>
      <c r="H582" s="178" t="n">
        <v>-14.6</v>
      </c>
      <c r="I582" s="178" t="n">
        <v>-3.8</v>
      </c>
      <c r="J582" s="178" t="n">
        <v>-59.9</v>
      </c>
      <c r="K582" s="179" t="inlineStr">
        <is>
          <t>2677 DISTINCT HEALTH</t>
        </is>
      </c>
    </row>
    <row r="583">
      <c r="A583" s="17" t="inlineStr">
        <is>
          <t>Awinic Technology Limited</t>
        </is>
      </c>
      <c r="B583" s="171" t="n">
        <v>1</v>
      </c>
      <c r="C583" s="177" t="n">
        <v>100</v>
      </c>
      <c r="D583" s="178" t="n">
        <v>13.3</v>
      </c>
      <c r="E583" s="178" t="n">
        <v>17.1</v>
      </c>
      <c r="F583" s="178" t="n">
        <v>52.2</v>
      </c>
      <c r="G583" s="178" t="n">
        <v>21.2</v>
      </c>
      <c r="H583" s="178" t="n">
        <v>3.4</v>
      </c>
      <c r="I583" s="178" t="n">
        <v>34.4</v>
      </c>
      <c r="J583" s="178" t="n">
        <v>7</v>
      </c>
      <c r="K583" s="179" t="inlineStr">
        <is>
          <t>3296 HUAQIN</t>
        </is>
      </c>
    </row>
    <row r="584">
      <c r="A584" s="17" t="inlineStr">
        <is>
          <t>Cloud Map Holdings Limited</t>
        </is>
      </c>
      <c r="B584" s="171" t="n">
        <v>1</v>
      </c>
      <c r="C584" s="177" t="n">
        <v>100</v>
      </c>
      <c r="D584" s="178" t="n">
        <v>13.3</v>
      </c>
      <c r="E584" s="178" t="n">
        <v>17.1</v>
      </c>
      <c r="F584" s="178" t="n">
        <v>52.2</v>
      </c>
      <c r="G584" s="178" t="n">
        <v>21.2</v>
      </c>
      <c r="H584" s="178" t="n">
        <v>3.4</v>
      </c>
      <c r="I584" s="178" t="n">
        <v>34.4</v>
      </c>
      <c r="J584" s="178" t="n">
        <v>7</v>
      </c>
      <c r="K584" s="179" t="inlineStr">
        <is>
          <t>3296 HUAQIN</t>
        </is>
      </c>
    </row>
    <row r="585">
      <c r="A585" s="17" t="inlineStr">
        <is>
          <t>Ung Choi Kun</t>
        </is>
      </c>
      <c r="B585" s="171" t="n">
        <v>1</v>
      </c>
      <c r="C585" s="177" t="n">
        <v>100</v>
      </c>
      <c r="D585" s="178" t="n">
        <v>13</v>
      </c>
      <c r="E585" s="178" t="n">
        <v>13</v>
      </c>
      <c r="F585" s="178" t="n">
        <v>10.2</v>
      </c>
      <c r="G585" s="178" t="n">
        <v>-3.7</v>
      </c>
      <c r="H585" s="178" t="n">
        <v>0</v>
      </c>
      <c r="I585" s="178" t="n">
        <v>-2.5</v>
      </c>
      <c r="J585" s="178" t="n">
        <v>-14.8</v>
      </c>
      <c r="K585" s="179" t="inlineStr">
        <is>
          <t>1204 BOARDWARE INTEL</t>
        </is>
      </c>
    </row>
    <row r="586">
      <c r="A586" s="17" t="inlineStr">
        <is>
          <t>Corelink Group Limited</t>
        </is>
      </c>
      <c r="B586" s="171" t="n">
        <v>1</v>
      </c>
      <c r="C586" s="177" t="n">
        <v>100</v>
      </c>
      <c r="D586" s="178" t="n">
        <v>12</v>
      </c>
      <c r="E586" s="178" t="n">
        <v>1.6</v>
      </c>
      <c r="F586" s="178" t="n">
        <v>0.7</v>
      </c>
      <c r="G586" s="178" t="n">
        <v>20</v>
      </c>
      <c r="H586" s="178" t="n">
        <v>-9.300000000000001</v>
      </c>
      <c r="I586" s="178" t="n">
        <v>-10.1</v>
      </c>
      <c r="J586" s="178" t="n">
        <v>7.1</v>
      </c>
      <c r="K586" s="179" t="inlineStr">
        <is>
          <t>9860 ADICON HOLDINGS</t>
        </is>
      </c>
    </row>
    <row r="587">
      <c r="A587" s="17" t="inlineStr">
        <is>
          <t>MR Global (HK) Limited</t>
        </is>
      </c>
      <c r="B587" s="171" t="n">
        <v>1</v>
      </c>
      <c r="C587" s="177" t="n">
        <v>100</v>
      </c>
      <c r="D587" s="178" t="n">
        <v>12</v>
      </c>
      <c r="E587" s="178" t="n">
        <v>1.6</v>
      </c>
      <c r="F587" s="178" t="n">
        <v>0.7</v>
      </c>
      <c r="G587" s="178" t="n">
        <v>20</v>
      </c>
      <c r="H587" s="178" t="n">
        <v>-9.300000000000001</v>
      </c>
      <c r="I587" s="178" t="n">
        <v>-10.1</v>
      </c>
      <c r="J587" s="178" t="n">
        <v>7.1</v>
      </c>
      <c r="K587" s="179" t="inlineStr">
        <is>
          <t>9860 ADICON HOLDINGS</t>
        </is>
      </c>
    </row>
    <row r="588">
      <c r="A588" s="17" t="inlineStr">
        <is>
          <t>Snibe Diagnostic (Hong Kong) Company Limited</t>
        </is>
      </c>
      <c r="B588" s="171" t="n">
        <v>1</v>
      </c>
      <c r="C588" s="177" t="n">
        <v>100</v>
      </c>
      <c r="D588" s="178" t="n">
        <v>12</v>
      </c>
      <c r="E588" s="178" t="n">
        <v>1.6</v>
      </c>
      <c r="F588" s="178" t="n">
        <v>0.7</v>
      </c>
      <c r="G588" s="178" t="n">
        <v>20</v>
      </c>
      <c r="H588" s="178" t="n">
        <v>-9.300000000000001</v>
      </c>
      <c r="I588" s="178" t="n">
        <v>-10.1</v>
      </c>
      <c r="J588" s="178" t="n">
        <v>7.1</v>
      </c>
      <c r="K588" s="179" t="inlineStr">
        <is>
          <t>9860 ADICON HOLDINGS</t>
        </is>
      </c>
    </row>
    <row r="589">
      <c r="A589" s="17" t="inlineStr">
        <is>
          <t>Timestar Elite Limited</t>
        </is>
      </c>
      <c r="B589" s="171" t="n">
        <v>1</v>
      </c>
      <c r="C589" s="177" t="n">
        <v>100</v>
      </c>
      <c r="D589" s="178" t="n">
        <v>12</v>
      </c>
      <c r="E589" s="178" t="n">
        <v>1.6</v>
      </c>
      <c r="F589" s="178" t="n">
        <v>0.7</v>
      </c>
      <c r="G589" s="178" t="n">
        <v>20</v>
      </c>
      <c r="H589" s="178" t="n">
        <v>-9.300000000000001</v>
      </c>
      <c r="I589" s="178" t="n">
        <v>-10.1</v>
      </c>
      <c r="J589" s="178" t="n">
        <v>7.1</v>
      </c>
      <c r="K589" s="179" t="inlineStr">
        <is>
          <t>9860 ADICON HOLDINGS</t>
        </is>
      </c>
    </row>
    <row r="590">
      <c r="A590" s="17" t="inlineStr">
        <is>
          <t>Nice First Investments Limited</t>
        </is>
      </c>
      <c r="B590" s="171" t="n">
        <v>1</v>
      </c>
      <c r="C590" s="177" t="n">
        <v>100</v>
      </c>
      <c r="D590" s="178" t="n">
        <v>11.6</v>
      </c>
      <c r="E590" s="178" t="n">
        <v>27.2</v>
      </c>
      <c r="F590" s="178" t="n">
        <v>33.2</v>
      </c>
      <c r="G590" s="178" t="n">
        <v>43.8</v>
      </c>
      <c r="H590" s="178" t="n">
        <v>14</v>
      </c>
      <c r="I590" s="178" t="n">
        <v>19.4</v>
      </c>
      <c r="J590" s="178" t="n">
        <v>28.9</v>
      </c>
      <c r="K590" s="179" t="inlineStr">
        <is>
          <t>2768 GON TECHNOLOGY</t>
        </is>
      </c>
    </row>
    <row r="591">
      <c r="A591" s="17" t="inlineStr">
        <is>
          <t>Zhou Wanyuan</t>
        </is>
      </c>
      <c r="B591" s="171" t="n">
        <v>1</v>
      </c>
      <c r="C591" s="177" t="n">
        <v>100</v>
      </c>
      <c r="D591" s="178" t="n">
        <v>11.6</v>
      </c>
      <c r="E591" s="178" t="n">
        <v>27.2</v>
      </c>
      <c r="F591" s="178" t="n">
        <v>33.2</v>
      </c>
      <c r="G591" s="178" t="n">
        <v>43.8</v>
      </c>
      <c r="H591" s="178" t="n">
        <v>14</v>
      </c>
      <c r="I591" s="178" t="n">
        <v>19.4</v>
      </c>
      <c r="J591" s="178" t="n">
        <v>28.9</v>
      </c>
      <c r="K591" s="179" t="inlineStr">
        <is>
          <t>2768 GON TECHNOLOGY</t>
        </is>
      </c>
    </row>
    <row r="592">
      <c r="A592" s="17" t="inlineStr">
        <is>
          <t>CMBI (Singapore) Pte. Limited</t>
        </is>
      </c>
      <c r="B592" s="171" t="n">
        <v>1</v>
      </c>
      <c r="C592" s="177" t="n">
        <v>100</v>
      </c>
      <c r="D592" s="178" t="n">
        <v>11.6</v>
      </c>
      <c r="E592" s="178" t="n">
        <v>27.2</v>
      </c>
      <c r="F592" s="178" t="n">
        <v>33.2</v>
      </c>
      <c r="G592" s="178" t="n">
        <v>43.8</v>
      </c>
      <c r="H592" s="178" t="n">
        <v>14</v>
      </c>
      <c r="I592" s="178" t="n">
        <v>19.4</v>
      </c>
      <c r="J592" s="178" t="n">
        <v>28.9</v>
      </c>
      <c r="K592" s="179" t="inlineStr">
        <is>
          <t>2768 GON TECHNOLOGY</t>
        </is>
      </c>
    </row>
    <row r="593">
      <c r="A593" s="17" t="inlineStr">
        <is>
          <t>SLD International Enterprises Limited</t>
        </is>
      </c>
      <c r="B593" s="171" t="n">
        <v>1</v>
      </c>
      <c r="C593" s="177" t="n">
        <v>100</v>
      </c>
      <c r="D593" s="178" t="n">
        <v>11.6</v>
      </c>
      <c r="E593" s="178" t="n">
        <v>27.2</v>
      </c>
      <c r="F593" s="178" t="n">
        <v>33.2</v>
      </c>
      <c r="G593" s="178" t="n">
        <v>43.8</v>
      </c>
      <c r="H593" s="178" t="n">
        <v>14</v>
      </c>
      <c r="I593" s="178" t="n">
        <v>19.4</v>
      </c>
      <c r="J593" s="178" t="n">
        <v>28.9</v>
      </c>
      <c r="K593" s="179" t="inlineStr">
        <is>
          <t>2768 GON TECHNOLOGY</t>
        </is>
      </c>
    </row>
    <row r="594">
      <c r="A594" s="17" t="inlineStr">
        <is>
          <t>Cheng A International Co., Limited</t>
        </is>
      </c>
      <c r="B594" s="171" t="n">
        <v>1</v>
      </c>
      <c r="C594" s="177" t="n">
        <v>100</v>
      </c>
      <c r="D594" s="178" t="n">
        <v>11.6</v>
      </c>
      <c r="E594" s="178" t="n">
        <v>27.2</v>
      </c>
      <c r="F594" s="178" t="n">
        <v>33.2</v>
      </c>
      <c r="G594" s="178" t="n">
        <v>43.8</v>
      </c>
      <c r="H594" s="178" t="n">
        <v>14</v>
      </c>
      <c r="I594" s="178" t="n">
        <v>19.4</v>
      </c>
      <c r="J594" s="178" t="n">
        <v>28.9</v>
      </c>
      <c r="K594" s="179" t="inlineStr">
        <is>
          <t>2768 GON TECHNOLOGY</t>
        </is>
      </c>
    </row>
    <row r="595">
      <c r="A595" s="17" t="inlineStr">
        <is>
          <t>Luminous Horizon</t>
        </is>
      </c>
      <c r="B595" s="171" t="n">
        <v>1</v>
      </c>
      <c r="C595" s="177" t="n">
        <v>100</v>
      </c>
      <c r="D595" s="178" t="n">
        <v>11.6</v>
      </c>
      <c r="E595" s="178" t="n">
        <v>27.2</v>
      </c>
      <c r="F595" s="178" t="n">
        <v>33.2</v>
      </c>
      <c r="G595" s="178" t="n">
        <v>43.8</v>
      </c>
      <c r="H595" s="178" t="n">
        <v>14</v>
      </c>
      <c r="I595" s="178" t="n">
        <v>19.4</v>
      </c>
      <c r="J595" s="178" t="n">
        <v>28.9</v>
      </c>
      <c r="K595" s="179" t="inlineStr">
        <is>
          <t>2768 GON TECHNOLOGY</t>
        </is>
      </c>
    </row>
    <row r="596">
      <c r="A596" s="17" t="inlineStr">
        <is>
          <t>Guo Shaojun</t>
        </is>
      </c>
      <c r="B596" s="171" t="n">
        <v>1</v>
      </c>
      <c r="C596" s="177" t="n">
        <v>100</v>
      </c>
      <c r="D596" s="178" t="n">
        <v>11.1</v>
      </c>
      <c r="E596" s="178" t="n">
        <v>6.7</v>
      </c>
      <c r="F596" s="178" t="n">
        <v>-7.8</v>
      </c>
      <c r="G596" s="178" t="n">
        <v>-36.7</v>
      </c>
      <c r="H596" s="178" t="n">
        <v>-4</v>
      </c>
      <c r="I596" s="178" t="n">
        <v>-17</v>
      </c>
      <c r="J596" s="178" t="n">
        <v>-43</v>
      </c>
      <c r="K596" s="179" t="inlineStr">
        <is>
          <t>2516 FAR INTL</t>
        </is>
      </c>
    </row>
    <row r="597">
      <c r="A597" s="17" t="inlineStr">
        <is>
          <t>Liu Liyun</t>
        </is>
      </c>
      <c r="B597" s="171" t="n">
        <v>1</v>
      </c>
      <c r="C597" s="177" t="n">
        <v>100</v>
      </c>
      <c r="D597" s="178" t="n">
        <v>11.1</v>
      </c>
      <c r="E597" s="178" t="n">
        <v>6.7</v>
      </c>
      <c r="F597" s="178" t="n">
        <v>-7.8</v>
      </c>
      <c r="G597" s="178" t="n">
        <v>-36.7</v>
      </c>
      <c r="H597" s="178" t="n">
        <v>-4</v>
      </c>
      <c r="I597" s="178" t="n">
        <v>-17</v>
      </c>
      <c r="J597" s="178" t="n">
        <v>-43</v>
      </c>
      <c r="K597" s="179" t="inlineStr">
        <is>
          <t>2516 FAR INTL</t>
        </is>
      </c>
    </row>
    <row r="598">
      <c r="A598" s="17" t="inlineStr">
        <is>
          <t>Yang Yingwu</t>
        </is>
      </c>
      <c r="B598" s="171" t="n">
        <v>1</v>
      </c>
      <c r="C598" s="177" t="n">
        <v>100</v>
      </c>
      <c r="D598" s="178" t="n">
        <v>11.1</v>
      </c>
      <c r="E598" s="178" t="n">
        <v>6.7</v>
      </c>
      <c r="F598" s="178" t="n">
        <v>-7.8</v>
      </c>
      <c r="G598" s="178" t="n">
        <v>-36.7</v>
      </c>
      <c r="H598" s="178" t="n">
        <v>-4</v>
      </c>
      <c r="I598" s="178" t="n">
        <v>-17</v>
      </c>
      <c r="J598" s="178" t="n">
        <v>-43</v>
      </c>
      <c r="K598" s="179" t="inlineStr">
        <is>
          <t>2516 FAR INTL</t>
        </is>
      </c>
    </row>
    <row r="599">
      <c r="A599" s="17" t="inlineStr">
        <is>
          <t>Vital Message</t>
        </is>
      </c>
      <c r="B599" s="171" t="n">
        <v>1</v>
      </c>
      <c r="C599" s="177" t="n">
        <v>100</v>
      </c>
      <c r="D599" s="178" t="n">
        <v>10.4</v>
      </c>
      <c r="E599" s="178" t="n">
        <v>-24.3</v>
      </c>
      <c r="F599" s="178" t="n">
        <v>-45.1</v>
      </c>
      <c r="G599" s="178" t="n">
        <v>-54.9</v>
      </c>
      <c r="H599" s="178" t="n">
        <v>-31.4</v>
      </c>
      <c r="I599" s="178" t="n">
        <v>-50.2</v>
      </c>
      <c r="J599" s="178" t="n">
        <v>-59.2</v>
      </c>
      <c r="K599" s="179" t="inlineStr">
        <is>
          <t>2593 HERBS GROUP</t>
        </is>
      </c>
    </row>
    <row r="600">
      <c r="A600" s="17" t="inlineStr">
        <is>
          <t>Chu Kin Lan</t>
        </is>
      </c>
      <c r="B600" s="171" t="n">
        <v>1</v>
      </c>
      <c r="C600" s="177" t="n">
        <v>100</v>
      </c>
      <c r="D600" s="178" t="n">
        <v>10</v>
      </c>
      <c r="E600" s="178" t="n">
        <v>2</v>
      </c>
      <c r="F600" s="178" t="n">
        <v>8</v>
      </c>
      <c r="G600" s="178" t="n">
        <v>0</v>
      </c>
      <c r="H600" s="178" t="n">
        <v>-7.3</v>
      </c>
      <c r="I600" s="178" t="n">
        <v>-1.8</v>
      </c>
      <c r="J600" s="178" t="n">
        <v>-9.1</v>
      </c>
      <c r="K600" s="179" t="inlineStr">
        <is>
          <t>1489 GC CONSTRUCTION</t>
        </is>
      </c>
    </row>
    <row r="601">
      <c r="A601" s="17" t="inlineStr">
        <is>
          <t>Infinitus Wealth Limited</t>
        </is>
      </c>
      <c r="B601" s="171" t="n">
        <v>1</v>
      </c>
      <c r="C601" s="177" t="n">
        <v>100</v>
      </c>
      <c r="D601" s="178" t="n">
        <v>10</v>
      </c>
      <c r="E601" s="178" t="n">
        <v>2</v>
      </c>
      <c r="F601" s="178" t="n">
        <v>8</v>
      </c>
      <c r="G601" s="178" t="n">
        <v>0</v>
      </c>
      <c r="H601" s="178" t="n">
        <v>-7.3</v>
      </c>
      <c r="I601" s="178" t="n">
        <v>-1.8</v>
      </c>
      <c r="J601" s="178" t="n">
        <v>-9.1</v>
      </c>
      <c r="K601" s="179" t="inlineStr">
        <is>
          <t>1489 GC CONSTRUCTION</t>
        </is>
      </c>
    </row>
    <row r="602">
      <c r="A602" s="17" t="inlineStr">
        <is>
          <t>Grab Inc</t>
        </is>
      </c>
      <c r="B602" s="171" t="n">
        <v>1</v>
      </c>
      <c r="C602" s="177" t="n">
        <v>100</v>
      </c>
      <c r="D602" s="178" t="n">
        <v>10</v>
      </c>
      <c r="E602" s="178" t="n">
        <v>8.1</v>
      </c>
      <c r="F602" s="178" t="n">
        <v>-20.5</v>
      </c>
      <c r="G602" s="178" t="n">
        <v>-20.4</v>
      </c>
      <c r="H602" s="178" t="n">
        <v>-1.7</v>
      </c>
      <c r="I602" s="178" t="n">
        <v>-27.7</v>
      </c>
      <c r="J602" s="178" t="n">
        <v>-27.6</v>
      </c>
      <c r="K602" s="179" t="inlineStr">
        <is>
          <t>2525 HESAI-W</t>
        </is>
      </c>
    </row>
    <row r="603">
      <c r="A603" s="17" t="inlineStr">
        <is>
          <t>Commando Global Fund</t>
        </is>
      </c>
      <c r="B603" s="171" t="n">
        <v>1</v>
      </c>
      <c r="C603" s="177" t="n">
        <v>100</v>
      </c>
      <c r="D603" s="178" t="n">
        <v>10</v>
      </c>
      <c r="E603" s="178" t="n">
        <v>8.1</v>
      </c>
      <c r="F603" s="178" t="n">
        <v>-20.5</v>
      </c>
      <c r="G603" s="178" t="n">
        <v>-20.4</v>
      </c>
      <c r="H603" s="178" t="n">
        <v>-1.7</v>
      </c>
      <c r="I603" s="178" t="n">
        <v>-27.7</v>
      </c>
      <c r="J603" s="178" t="n">
        <v>-27.6</v>
      </c>
      <c r="K603" s="179" t="inlineStr">
        <is>
          <t>2525 HESAI-W</t>
        </is>
      </c>
    </row>
    <row r="604">
      <c r="A604" s="17" t="inlineStr">
        <is>
          <t>Regal Partners Holdings Pty Limited</t>
        </is>
      </c>
      <c r="B604" s="171" t="n">
        <v>1</v>
      </c>
      <c r="C604" s="177" t="n">
        <v>100</v>
      </c>
      <c r="D604" s="178" t="n">
        <v>10</v>
      </c>
      <c r="E604" s="178" t="n">
        <v>2.6</v>
      </c>
      <c r="F604" s="178" t="n">
        <v>-5.6</v>
      </c>
      <c r="G604" s="178" t="n"/>
      <c r="H604" s="178" t="n">
        <v>-6.7</v>
      </c>
      <c r="I604" s="178" t="n">
        <v>-14.2</v>
      </c>
      <c r="J604" s="178" t="n"/>
      <c r="K604" s="179" t="inlineStr">
        <is>
          <t>7687 EACON</t>
        </is>
      </c>
    </row>
    <row r="605">
      <c r="A605" s="17" t="inlineStr">
        <is>
          <t>ZIJINNING Limited Partnership</t>
        </is>
      </c>
      <c r="B605" s="171" t="n">
        <v>1</v>
      </c>
      <c r="C605" s="177" t="n">
        <v>100</v>
      </c>
      <c r="D605" s="178" t="n">
        <v>10</v>
      </c>
      <c r="E605" s="178" t="n">
        <v>2.6</v>
      </c>
      <c r="F605" s="178" t="n">
        <v>-5.6</v>
      </c>
      <c r="G605" s="178" t="n"/>
      <c r="H605" s="178" t="n">
        <v>-6.7</v>
      </c>
      <c r="I605" s="178" t="n">
        <v>-14.2</v>
      </c>
      <c r="J605" s="178" t="n"/>
      <c r="K605" s="179" t="inlineStr">
        <is>
          <t>7687 EACON</t>
        </is>
      </c>
    </row>
    <row r="606">
      <c r="A606" s="17" t="inlineStr">
        <is>
          <t>Ontario Teachers Pension Plan Board</t>
        </is>
      </c>
      <c r="B606" s="171" t="n">
        <v>1</v>
      </c>
      <c r="C606" s="177" t="n">
        <v>100</v>
      </c>
      <c r="D606" s="178" t="n">
        <v>9.9</v>
      </c>
      <c r="E606" s="178" t="n">
        <v>25.4</v>
      </c>
      <c r="F606" s="178" t="n">
        <v>25.1</v>
      </c>
      <c r="G606" s="178" t="n">
        <v>-17.4</v>
      </c>
      <c r="H606" s="178" t="n">
        <v>14.1</v>
      </c>
      <c r="I606" s="178" t="n">
        <v>13.9</v>
      </c>
      <c r="J606" s="178" t="n">
        <v>-24.9</v>
      </c>
      <c r="K606" s="179" t="inlineStr">
        <is>
          <t>9959 LINKLOGIS–W</t>
        </is>
      </c>
    </row>
    <row r="607">
      <c r="A607" s="17" t="inlineStr">
        <is>
          <t>Sequoia Funds</t>
        </is>
      </c>
      <c r="B607" s="171" t="n">
        <v>1</v>
      </c>
      <c r="C607" s="177" t="n">
        <v>100</v>
      </c>
      <c r="D607" s="178" t="n">
        <v>9.9</v>
      </c>
      <c r="E607" s="178" t="n">
        <v>25.4</v>
      </c>
      <c r="F607" s="178" t="n">
        <v>25.1</v>
      </c>
      <c r="G607" s="178" t="n">
        <v>-17.4</v>
      </c>
      <c r="H607" s="178" t="n">
        <v>14.1</v>
      </c>
      <c r="I607" s="178" t="n">
        <v>13.9</v>
      </c>
      <c r="J607" s="178" t="n">
        <v>-24.9</v>
      </c>
      <c r="K607" s="179" t="inlineStr">
        <is>
          <t>9959 LINKLOGIS–W</t>
        </is>
      </c>
    </row>
    <row r="608">
      <c r="A608" s="17" t="inlineStr">
        <is>
          <t>Begonia No. 1 LPF</t>
        </is>
      </c>
      <c r="B608" s="171" t="n">
        <v>1</v>
      </c>
      <c r="C608" s="177" t="n">
        <v>100</v>
      </c>
      <c r="D608" s="178" t="n">
        <v>9.800000000000001</v>
      </c>
      <c r="E608" s="178" t="n">
        <v>0.4</v>
      </c>
      <c r="F608" s="178" t="n">
        <v>9.800000000000001</v>
      </c>
      <c r="G608" s="178" t="n">
        <v>165.9</v>
      </c>
      <c r="H608" s="178" t="n">
        <v>-8.6</v>
      </c>
      <c r="I608" s="178" t="n">
        <v>0</v>
      </c>
      <c r="J608" s="178" t="n">
        <v>142.1</v>
      </c>
      <c r="K608" s="179" t="inlineStr">
        <is>
          <t>2228 QUANTUMPH-P</t>
        </is>
      </c>
    </row>
    <row r="609">
      <c r="A609" s="17" t="inlineStr">
        <is>
          <t>Biocytogen Pharmaceuticals (Beijing) Co., Ltd</t>
        </is>
      </c>
      <c r="B609" s="171" t="n">
        <v>1</v>
      </c>
      <c r="C609" s="177" t="n">
        <v>100</v>
      </c>
      <c r="D609" s="178" t="n">
        <v>9.800000000000001</v>
      </c>
      <c r="E609" s="178" t="n">
        <v>0.4</v>
      </c>
      <c r="F609" s="178" t="n">
        <v>9.800000000000001</v>
      </c>
      <c r="G609" s="178" t="n">
        <v>165.9</v>
      </c>
      <c r="H609" s="178" t="n">
        <v>-8.6</v>
      </c>
      <c r="I609" s="178" t="n">
        <v>0</v>
      </c>
      <c r="J609" s="178" t="n">
        <v>142.1</v>
      </c>
      <c r="K609" s="179" t="inlineStr">
        <is>
          <t>2228 QUANTUMPH-P</t>
        </is>
      </c>
    </row>
    <row r="610">
      <c r="A610" s="17" t="inlineStr">
        <is>
          <t>Bradley Lether Pentelute</t>
        </is>
      </c>
      <c r="B610" s="171" t="n">
        <v>1</v>
      </c>
      <c r="C610" s="177" t="n">
        <v>100</v>
      </c>
      <c r="D610" s="178" t="n">
        <v>9.800000000000001</v>
      </c>
      <c r="E610" s="178" t="n">
        <v>0.4</v>
      </c>
      <c r="F610" s="178" t="n">
        <v>9.800000000000001</v>
      </c>
      <c r="G610" s="178" t="n">
        <v>165.9</v>
      </c>
      <c r="H610" s="178" t="n">
        <v>-8.6</v>
      </c>
      <c r="I610" s="178" t="n">
        <v>0</v>
      </c>
      <c r="J610" s="178" t="n">
        <v>142.1</v>
      </c>
      <c r="K610" s="179" t="inlineStr">
        <is>
          <t>2228 QUANTUMPH-P</t>
        </is>
      </c>
    </row>
    <row r="611">
      <c r="A611" s="17" t="inlineStr">
        <is>
          <t>FaaS Capital Longevity Limited</t>
        </is>
      </c>
      <c r="B611" s="171" t="n">
        <v>1</v>
      </c>
      <c r="C611" s="177" t="n">
        <v>100</v>
      </c>
      <c r="D611" s="178" t="n">
        <v>9.800000000000001</v>
      </c>
      <c r="E611" s="178" t="n">
        <v>0.4</v>
      </c>
      <c r="F611" s="178" t="n">
        <v>9.800000000000001</v>
      </c>
      <c r="G611" s="178" t="n">
        <v>165.9</v>
      </c>
      <c r="H611" s="178" t="n">
        <v>-8.6</v>
      </c>
      <c r="I611" s="178" t="n">
        <v>0</v>
      </c>
      <c r="J611" s="178" t="n">
        <v>142.1</v>
      </c>
      <c r="K611" s="179" t="inlineStr">
        <is>
          <t>2228 QUANTUMPH-P</t>
        </is>
      </c>
    </row>
    <row r="612">
      <c r="A612" s="17" t="inlineStr">
        <is>
          <t>Ginkgo Capital Global Fund SPC-Ginkgo Capital Global Fund I SP</t>
        </is>
      </c>
      <c r="B612" s="171" t="n">
        <v>1</v>
      </c>
      <c r="C612" s="177" t="n">
        <v>100</v>
      </c>
      <c r="D612" s="178" t="n">
        <v>9.800000000000001</v>
      </c>
      <c r="E612" s="178" t="n">
        <v>0.4</v>
      </c>
      <c r="F612" s="178" t="n">
        <v>9.800000000000001</v>
      </c>
      <c r="G612" s="178" t="n">
        <v>165.9</v>
      </c>
      <c r="H612" s="178" t="n">
        <v>-8.6</v>
      </c>
      <c r="I612" s="178" t="n">
        <v>0</v>
      </c>
      <c r="J612" s="178" t="n">
        <v>142.1</v>
      </c>
      <c r="K612" s="179" t="inlineStr">
        <is>
          <t>2228 QUANTUMPH-P</t>
        </is>
      </c>
    </row>
    <row r="613">
      <c r="A613" s="17" t="inlineStr">
        <is>
          <t>IntelliMed One Investment Limited</t>
        </is>
      </c>
      <c r="B613" s="171" t="n">
        <v>1</v>
      </c>
      <c r="C613" s="177" t="n">
        <v>100</v>
      </c>
      <c r="D613" s="178" t="n">
        <v>9.800000000000001</v>
      </c>
      <c r="E613" s="178" t="n">
        <v>0.4</v>
      </c>
      <c r="F613" s="178" t="n">
        <v>9.800000000000001</v>
      </c>
      <c r="G613" s="178" t="n">
        <v>165.9</v>
      </c>
      <c r="H613" s="178" t="n">
        <v>-8.6</v>
      </c>
      <c r="I613" s="178" t="n">
        <v>0</v>
      </c>
      <c r="J613" s="178" t="n">
        <v>142.1</v>
      </c>
      <c r="K613" s="179" t="inlineStr">
        <is>
          <t>2228 QUANTUMPH-P</t>
        </is>
      </c>
    </row>
    <row r="614">
      <c r="A614" s="17" t="inlineStr">
        <is>
          <t>Mammoth Medical Solutions</t>
        </is>
      </c>
      <c r="B614" s="171" t="n">
        <v>1</v>
      </c>
      <c r="C614" s="177" t="n">
        <v>100</v>
      </c>
      <c r="D614" s="178" t="n">
        <v>9.800000000000001</v>
      </c>
      <c r="E614" s="178" t="n">
        <v>0.4</v>
      </c>
      <c r="F614" s="178" t="n">
        <v>9.800000000000001</v>
      </c>
      <c r="G614" s="178" t="n">
        <v>165.9</v>
      </c>
      <c r="H614" s="178" t="n">
        <v>-8.6</v>
      </c>
      <c r="I614" s="178" t="n">
        <v>0</v>
      </c>
      <c r="J614" s="178" t="n">
        <v>142.1</v>
      </c>
      <c r="K614" s="179" t="inlineStr">
        <is>
          <t>2228 QUANTUMPH-P</t>
        </is>
      </c>
    </row>
    <row r="615">
      <c r="A615" s="17" t="inlineStr">
        <is>
          <t>Successful Lotus Limited</t>
        </is>
      </c>
      <c r="B615" s="171" t="n">
        <v>1</v>
      </c>
      <c r="C615" s="177" t="n">
        <v>100</v>
      </c>
      <c r="D615" s="178" t="n">
        <v>9.800000000000001</v>
      </c>
      <c r="E615" s="178" t="n">
        <v>0.4</v>
      </c>
      <c r="F615" s="178" t="n">
        <v>9.800000000000001</v>
      </c>
      <c r="G615" s="178" t="n">
        <v>165.9</v>
      </c>
      <c r="H615" s="178" t="n">
        <v>-8.6</v>
      </c>
      <c r="I615" s="178" t="n">
        <v>0</v>
      </c>
      <c r="J615" s="178" t="n">
        <v>142.1</v>
      </c>
      <c r="K615" s="179" t="inlineStr">
        <is>
          <t>2228 QUANTUMPH-P</t>
        </is>
      </c>
    </row>
    <row r="616">
      <c r="A616" s="17" t="inlineStr">
        <is>
          <t>SynerSuccess Capital Ltd</t>
        </is>
      </c>
      <c r="B616" s="171" t="n">
        <v>1</v>
      </c>
      <c r="C616" s="177" t="n">
        <v>100</v>
      </c>
      <c r="D616" s="178" t="n">
        <v>9.300000000000001</v>
      </c>
      <c r="E616" s="178" t="n">
        <v>6.7</v>
      </c>
      <c r="F616" s="178" t="n">
        <v>3.6</v>
      </c>
      <c r="G616" s="178" t="n">
        <v>-18.3</v>
      </c>
      <c r="H616" s="178" t="n">
        <v>-2.4</v>
      </c>
      <c r="I616" s="178" t="n">
        <v>-5.2</v>
      </c>
      <c r="J616" s="178" t="n">
        <v>-25.2</v>
      </c>
      <c r="K616" s="179" t="inlineStr">
        <is>
          <t>2657 FOREST CABIN</t>
        </is>
      </c>
    </row>
    <row r="617">
      <c r="A617" s="17" t="inlineStr">
        <is>
          <t>SS Capital</t>
        </is>
      </c>
      <c r="B617" s="171" t="n">
        <v>1</v>
      </c>
      <c r="C617" s="177" t="n">
        <v>100</v>
      </c>
      <c r="D617" s="178" t="n">
        <v>9.300000000000001</v>
      </c>
      <c r="E617" s="178" t="n">
        <v>6.7</v>
      </c>
      <c r="F617" s="178" t="n">
        <v>3.6</v>
      </c>
      <c r="G617" s="178" t="n">
        <v>-18.3</v>
      </c>
      <c r="H617" s="178" t="n">
        <v>-2.4</v>
      </c>
      <c r="I617" s="178" t="n">
        <v>-5.2</v>
      </c>
      <c r="J617" s="178" t="n">
        <v>-25.2</v>
      </c>
      <c r="K617" s="179" t="inlineStr">
        <is>
          <t>2657 FOREST CABIN</t>
        </is>
      </c>
    </row>
    <row r="618">
      <c r="A618" s="17" t="inlineStr">
        <is>
          <t>Youngor Fashion –</t>
        </is>
      </c>
      <c r="B618" s="171" t="n">
        <v>1</v>
      </c>
      <c r="C618" s="177" t="n">
        <v>100</v>
      </c>
      <c r="D618" s="178" t="n">
        <v>9.300000000000001</v>
      </c>
      <c r="E618" s="178" t="n">
        <v>6.7</v>
      </c>
      <c r="F618" s="178" t="n">
        <v>3.6</v>
      </c>
      <c r="G618" s="178" t="n">
        <v>-18.3</v>
      </c>
      <c r="H618" s="178" t="n">
        <v>-2.4</v>
      </c>
      <c r="I618" s="178" t="n">
        <v>-5.2</v>
      </c>
      <c r="J618" s="178" t="n">
        <v>-25.2</v>
      </c>
      <c r="K618" s="179" t="inlineStr">
        <is>
          <t>2657 FOREST CABIN</t>
        </is>
      </c>
    </row>
    <row r="619">
      <c r="A619" s="17" t="inlineStr">
        <is>
          <t>Toutoushidao –</t>
        </is>
      </c>
      <c r="B619" s="171" t="n">
        <v>1</v>
      </c>
      <c r="C619" s="177" t="n">
        <v>100</v>
      </c>
      <c r="D619" s="178" t="n">
        <v>9.300000000000001</v>
      </c>
      <c r="E619" s="178" t="n">
        <v>6.7</v>
      </c>
      <c r="F619" s="178" t="n">
        <v>3.6</v>
      </c>
      <c r="G619" s="178" t="n">
        <v>-18.3</v>
      </c>
      <c r="H619" s="178" t="n">
        <v>-2.4</v>
      </c>
      <c r="I619" s="178" t="n">
        <v>-5.2</v>
      </c>
      <c r="J619" s="178" t="n">
        <v>-25.2</v>
      </c>
      <c r="K619" s="179" t="inlineStr">
        <is>
          <t>2657 FOREST CABIN</t>
        </is>
      </c>
    </row>
    <row r="620">
      <c r="A620" s="17" t="inlineStr">
        <is>
          <t>Olympic Country</t>
        </is>
      </c>
      <c r="B620" s="171" t="n">
        <v>1</v>
      </c>
      <c r="C620" s="177" t="n">
        <v>100</v>
      </c>
      <c r="D620" s="178" t="n">
        <v>9.1</v>
      </c>
      <c r="E620" s="178" t="n">
        <v>6.4</v>
      </c>
      <c r="F620" s="178" t="n">
        <v>16.1</v>
      </c>
      <c r="G620" s="178" t="n">
        <v>76.8</v>
      </c>
      <c r="H620" s="178" t="n">
        <v>-2.5</v>
      </c>
      <c r="I620" s="178" t="n">
        <v>6.3</v>
      </c>
      <c r="J620" s="178" t="n">
        <v>62</v>
      </c>
      <c r="K620" s="179" t="inlineStr">
        <is>
          <t>6613 LENS</t>
        </is>
      </c>
    </row>
    <row r="621">
      <c r="A621" s="17" t="inlineStr">
        <is>
          <t>CMB International Capital Limited</t>
        </is>
      </c>
      <c r="B621" s="171" t="n">
        <v>1</v>
      </c>
      <c r="C621" s="177" t="n">
        <v>100</v>
      </c>
      <c r="D621" s="178" t="n">
        <v>8.4</v>
      </c>
      <c r="E621" s="178" t="n">
        <v>21.7</v>
      </c>
      <c r="F621" s="178" t="n">
        <v>14.2</v>
      </c>
      <c r="G621" s="178" t="n">
        <v>156.6</v>
      </c>
      <c r="H621" s="178" t="n">
        <v>12.2</v>
      </c>
      <c r="I621" s="178" t="n">
        <v>5.4</v>
      </c>
      <c r="J621" s="178" t="n">
        <v>136.6</v>
      </c>
      <c r="K621" s="179" t="inlineStr">
        <is>
          <t>9903 ILUVATAR COREX</t>
        </is>
      </c>
    </row>
    <row r="622">
      <c r="A622" s="17" t="inlineStr">
        <is>
          <t>XN Mountain International Limited</t>
        </is>
      </c>
      <c r="B622" s="171" t="n">
        <v>1</v>
      </c>
      <c r="C622" s="177" t="n">
        <v>100</v>
      </c>
      <c r="D622" s="178" t="n">
        <v>8.4</v>
      </c>
      <c r="E622" s="178" t="n">
        <v>21.7</v>
      </c>
      <c r="F622" s="178" t="n">
        <v>14.2</v>
      </c>
      <c r="G622" s="178" t="n">
        <v>156.6</v>
      </c>
      <c r="H622" s="178" t="n">
        <v>12.2</v>
      </c>
      <c r="I622" s="178" t="n">
        <v>5.4</v>
      </c>
      <c r="J622" s="178" t="n">
        <v>136.6</v>
      </c>
      <c r="K622" s="179" t="inlineStr">
        <is>
          <t>9903 ILUVATAR COREX</t>
        </is>
      </c>
    </row>
    <row r="623">
      <c r="A623" s="17" t="inlineStr">
        <is>
          <t>Engine International Technology Co., Limited</t>
        </is>
      </c>
      <c r="B623" s="171" t="n">
        <v>1</v>
      </c>
      <c r="C623" s="177" t="n">
        <v>100</v>
      </c>
      <c r="D623" s="178" t="n">
        <v>8.4</v>
      </c>
      <c r="E623" s="178" t="n">
        <v>21.7</v>
      </c>
      <c r="F623" s="178" t="n">
        <v>14.2</v>
      </c>
      <c r="G623" s="178" t="n">
        <v>156.6</v>
      </c>
      <c r="H623" s="178" t="n">
        <v>12.2</v>
      </c>
      <c r="I623" s="178" t="n">
        <v>5.4</v>
      </c>
      <c r="J623" s="178" t="n">
        <v>136.6</v>
      </c>
      <c r="K623" s="179" t="inlineStr">
        <is>
          <t>9903 ILUVATAR COREX</t>
        </is>
      </c>
    </row>
    <row r="624">
      <c r="A624" s="17" t="inlineStr">
        <is>
          <t>DeepRoot Alpha Ltd</t>
        </is>
      </c>
      <c r="B624" s="171" t="n">
        <v>1</v>
      </c>
      <c r="C624" s="177" t="n">
        <v>100</v>
      </c>
      <c r="D624" s="178" t="n">
        <v>8.4</v>
      </c>
      <c r="E624" s="178" t="n">
        <v>21.7</v>
      </c>
      <c r="F624" s="178" t="n">
        <v>14.2</v>
      </c>
      <c r="G624" s="178" t="n">
        <v>156.6</v>
      </c>
      <c r="H624" s="178" t="n">
        <v>12.2</v>
      </c>
      <c r="I624" s="178" t="n">
        <v>5.4</v>
      </c>
      <c r="J624" s="178" t="n">
        <v>136.6</v>
      </c>
      <c r="K624" s="179" t="inlineStr">
        <is>
          <t>9903 ILUVATAR COREX</t>
        </is>
      </c>
    </row>
    <row r="625">
      <c r="A625" s="17" t="inlineStr">
        <is>
          <t>CFIG Holdings Limited</t>
        </is>
      </c>
      <c r="B625" s="171" t="n">
        <v>1</v>
      </c>
      <c r="C625" s="177" t="n">
        <v>100</v>
      </c>
      <c r="D625" s="178" t="n">
        <v>8.4</v>
      </c>
      <c r="E625" s="178" t="n">
        <v>21.7</v>
      </c>
      <c r="F625" s="178" t="n">
        <v>14.2</v>
      </c>
      <c r="G625" s="178" t="n">
        <v>156.6</v>
      </c>
      <c r="H625" s="178" t="n">
        <v>12.2</v>
      </c>
      <c r="I625" s="178" t="n">
        <v>5.4</v>
      </c>
      <c r="J625" s="178" t="n">
        <v>136.6</v>
      </c>
      <c r="K625" s="179" t="inlineStr">
        <is>
          <t>9903 ILUVATAR COREX</t>
        </is>
      </c>
    </row>
    <row r="626">
      <c r="A626" s="17" t="inlineStr">
        <is>
          <t>Richfirm (Hong Kong) Development Limited</t>
        </is>
      </c>
      <c r="B626" s="171" t="n">
        <v>1</v>
      </c>
      <c r="C626" s="177" t="n">
        <v>100</v>
      </c>
      <c r="D626" s="178" t="n">
        <v>8.199999999999999</v>
      </c>
      <c r="E626" s="178" t="n">
        <v>5.4</v>
      </c>
      <c r="F626" s="178" t="n">
        <v>16.2</v>
      </c>
      <c r="G626" s="178" t="n">
        <v>-9.1</v>
      </c>
      <c r="H626" s="178" t="n">
        <v>-2.6</v>
      </c>
      <c r="I626" s="178" t="n">
        <v>7.4</v>
      </c>
      <c r="J626" s="178" t="n">
        <v>-16</v>
      </c>
      <c r="K626" s="179" t="inlineStr">
        <is>
          <t>1021 HUAYAN ROBOTICS</t>
        </is>
      </c>
    </row>
    <row r="627">
      <c r="A627" s="17" t="inlineStr">
        <is>
          <t>Samson Group Limited</t>
        </is>
      </c>
      <c r="B627" s="171" t="n">
        <v>1</v>
      </c>
      <c r="C627" s="177" t="n">
        <v>100</v>
      </c>
      <c r="D627" s="178" t="n">
        <v>8.199999999999999</v>
      </c>
      <c r="E627" s="178" t="n">
        <v>5.4</v>
      </c>
      <c r="F627" s="178" t="n">
        <v>16.2</v>
      </c>
      <c r="G627" s="178" t="n">
        <v>-9.1</v>
      </c>
      <c r="H627" s="178" t="n">
        <v>-2.6</v>
      </c>
      <c r="I627" s="178" t="n">
        <v>7.4</v>
      </c>
      <c r="J627" s="178" t="n">
        <v>-16</v>
      </c>
      <c r="K627" s="179" t="inlineStr">
        <is>
          <t>1021 HUAYAN ROBOTICS</t>
        </is>
      </c>
    </row>
    <row r="628">
      <c r="A628" s="17" t="inlineStr">
        <is>
          <t>Shrewd Pioneer Limited</t>
        </is>
      </c>
      <c r="B628" s="171" t="n">
        <v>1</v>
      </c>
      <c r="C628" s="177" t="n">
        <v>100</v>
      </c>
      <c r="D628" s="178" t="n">
        <v>8.199999999999999</v>
      </c>
      <c r="E628" s="178" t="n">
        <v>5.4</v>
      </c>
      <c r="F628" s="178" t="n">
        <v>16.2</v>
      </c>
      <c r="G628" s="178" t="n">
        <v>-9.1</v>
      </c>
      <c r="H628" s="178" t="n">
        <v>-2.6</v>
      </c>
      <c r="I628" s="178" t="n">
        <v>7.4</v>
      </c>
      <c r="J628" s="178" t="n">
        <v>-16</v>
      </c>
      <c r="K628" s="179" t="inlineStr">
        <is>
          <t>1021 HUAYAN ROBOTICS</t>
        </is>
      </c>
    </row>
    <row r="629">
      <c r="A629" s="17" t="inlineStr">
        <is>
          <t>He Sheng Overseas Holdings Limited</t>
        </is>
      </c>
      <c r="B629" s="171" t="n">
        <v>1</v>
      </c>
      <c r="C629" s="177" t="n">
        <v>100</v>
      </c>
      <c r="D629" s="178" t="n">
        <v>8.1</v>
      </c>
      <c r="E629" s="178" t="n">
        <v>11.9</v>
      </c>
      <c r="F629" s="178" t="n">
        <v>8.9</v>
      </c>
      <c r="G629" s="178" t="n">
        <v>14.1</v>
      </c>
      <c r="H629" s="178" t="n">
        <v>3.5</v>
      </c>
      <c r="I629" s="178" t="n">
        <v>0.8</v>
      </c>
      <c r="J629" s="178" t="n">
        <v>5.5</v>
      </c>
      <c r="K629" s="179" t="inlineStr">
        <is>
          <t>0606 SCE CM</t>
        </is>
      </c>
    </row>
    <row r="630">
      <c r="A630" s="17" t="inlineStr">
        <is>
          <t>Lam Yuen Ying</t>
        </is>
      </c>
      <c r="B630" s="171" t="n">
        <v>1</v>
      </c>
      <c r="C630" s="177" t="n">
        <v>100</v>
      </c>
      <c r="D630" s="178" t="n">
        <v>8.1</v>
      </c>
      <c r="E630" s="178" t="n">
        <v>11.9</v>
      </c>
      <c r="F630" s="178" t="n">
        <v>8.9</v>
      </c>
      <c r="G630" s="178" t="n">
        <v>14.1</v>
      </c>
      <c r="H630" s="178" t="n">
        <v>3.5</v>
      </c>
      <c r="I630" s="178" t="n">
        <v>0.8</v>
      </c>
      <c r="J630" s="178" t="n">
        <v>5.5</v>
      </c>
      <c r="K630" s="179" t="inlineStr">
        <is>
          <t>0606 SCE CM</t>
        </is>
      </c>
    </row>
    <row r="631">
      <c r="A631" s="17" t="inlineStr">
        <is>
          <t>TX Capital Value Fund</t>
        </is>
      </c>
      <c r="B631" s="171" t="n">
        <v>1</v>
      </c>
      <c r="C631" s="177" t="n">
        <v>100</v>
      </c>
      <c r="D631" s="178" t="n">
        <v>8.1</v>
      </c>
      <c r="E631" s="178" t="n">
        <v>11.9</v>
      </c>
      <c r="F631" s="178" t="n">
        <v>8.9</v>
      </c>
      <c r="G631" s="178" t="n">
        <v>14.1</v>
      </c>
      <c r="H631" s="178" t="n">
        <v>3.5</v>
      </c>
      <c r="I631" s="178" t="n">
        <v>0.8</v>
      </c>
      <c r="J631" s="178" t="n">
        <v>5.5</v>
      </c>
      <c r="K631" s="179" t="inlineStr">
        <is>
          <t>0606 SCE CM</t>
        </is>
      </c>
    </row>
    <row r="632">
      <c r="A632" s="17" t="inlineStr">
        <is>
          <t>Splendor Achieve Limited</t>
        </is>
      </c>
      <c r="B632" s="171" t="n">
        <v>1</v>
      </c>
      <c r="C632" s="177" t="n">
        <v>100</v>
      </c>
      <c r="D632" s="178" t="n">
        <v>7.8</v>
      </c>
      <c r="E632" s="178" t="n">
        <v>29</v>
      </c>
      <c r="F632" s="178" t="n">
        <v>36.7</v>
      </c>
      <c r="G632" s="178" t="n">
        <v>39</v>
      </c>
      <c r="H632" s="178" t="n">
        <v>19.6</v>
      </c>
      <c r="I632" s="178" t="n">
        <v>26.7</v>
      </c>
      <c r="J632" s="178" t="n">
        <v>28.9</v>
      </c>
      <c r="K632" s="179" t="inlineStr">
        <is>
          <t>0300 MIDEA GROUP</t>
        </is>
      </c>
    </row>
    <row r="633">
      <c r="A633" s="17" t="inlineStr">
        <is>
          <t>Vanguard Focus Limited</t>
        </is>
      </c>
      <c r="B633" s="171" t="n">
        <v>1</v>
      </c>
      <c r="C633" s="177" t="n">
        <v>100</v>
      </c>
      <c r="D633" s="178" t="n">
        <v>7.8</v>
      </c>
      <c r="E633" s="178" t="n">
        <v>29</v>
      </c>
      <c r="F633" s="178" t="n">
        <v>36.7</v>
      </c>
      <c r="G633" s="178" t="n">
        <v>39</v>
      </c>
      <c r="H633" s="178" t="n">
        <v>19.6</v>
      </c>
      <c r="I633" s="178" t="n">
        <v>26.7</v>
      </c>
      <c r="J633" s="178" t="n">
        <v>28.9</v>
      </c>
      <c r="K633" s="179" t="inlineStr">
        <is>
          <t>0300 MIDEA GROUP</t>
        </is>
      </c>
    </row>
    <row r="634">
      <c r="A634" s="17" t="inlineStr">
        <is>
          <t>YHLO (Hong Kong) Limited</t>
        </is>
      </c>
      <c r="B634" s="171" t="n">
        <v>1</v>
      </c>
      <c r="C634" s="177" t="n">
        <v>100</v>
      </c>
      <c r="D634" s="178" t="n">
        <v>7.7</v>
      </c>
      <c r="E634" s="178" t="n">
        <v>15.3</v>
      </c>
      <c r="F634" s="178" t="n">
        <v>94.40000000000001</v>
      </c>
      <c r="G634" s="178" t="n">
        <v>129.4</v>
      </c>
      <c r="H634" s="178" t="n">
        <v>7.1</v>
      </c>
      <c r="I634" s="178" t="n">
        <v>80.5</v>
      </c>
      <c r="J634" s="178" t="n">
        <v>112.9</v>
      </c>
      <c r="K634" s="179" t="inlineStr">
        <is>
          <t>2325 YUNKANG GROUP</t>
        </is>
      </c>
    </row>
    <row r="635">
      <c r="A635" s="17" t="inlineStr">
        <is>
          <t>Cangzhou Chuangrong Equity Investment Fund Co., Ltd</t>
        </is>
      </c>
      <c r="B635" s="171" t="n">
        <v>1</v>
      </c>
      <c r="C635" s="177" t="n">
        <v>100</v>
      </c>
      <c r="D635" s="178" t="n">
        <v>7.7</v>
      </c>
      <c r="E635" s="178" t="n">
        <v>1.9</v>
      </c>
      <c r="F635" s="178" t="n">
        <v>5.2</v>
      </c>
      <c r="G635" s="178" t="n">
        <v>-50.6</v>
      </c>
      <c r="H635" s="178" t="n">
        <v>-5.3</v>
      </c>
      <c r="I635" s="178" t="n">
        <v>-2.3</v>
      </c>
      <c r="J635" s="178" t="n">
        <v>-54.1</v>
      </c>
      <c r="K635" s="179" t="inlineStr">
        <is>
          <t>2511 HIGHTIDE-B</t>
        </is>
      </c>
    </row>
    <row r="636">
      <c r="A636" s="17" t="inlineStr">
        <is>
          <t>No5XJR Limited</t>
        </is>
      </c>
      <c r="B636" s="171" t="n">
        <v>1</v>
      </c>
      <c r="C636" s="177" t="n">
        <v>100</v>
      </c>
      <c r="D636" s="178" t="n">
        <v>7.6</v>
      </c>
      <c r="E636" s="178" t="n">
        <v>-47.4</v>
      </c>
      <c r="F636" s="178" t="n">
        <v>-60</v>
      </c>
      <c r="G636" s="178" t="n">
        <v>-49.6</v>
      </c>
      <c r="H636" s="178" t="n">
        <v>-51.1</v>
      </c>
      <c r="I636" s="178" t="n">
        <v>-62.8</v>
      </c>
      <c r="J636" s="178" t="n">
        <v>-53.2</v>
      </c>
      <c r="K636" s="179" t="inlineStr">
        <is>
          <t>2898 SUNHO BIO-B</t>
        </is>
      </c>
    </row>
    <row r="637">
      <c r="A637" s="17" t="inlineStr">
        <is>
          <t>Tiny Jade</t>
        </is>
      </c>
      <c r="B637" s="171" t="n">
        <v>1</v>
      </c>
      <c r="C637" s="177" t="n">
        <v>100</v>
      </c>
      <c r="D637" s="178" t="n">
        <v>7.6</v>
      </c>
      <c r="E637" s="178" t="n">
        <v>4.2</v>
      </c>
      <c r="F637" s="178" t="n">
        <v>-29.6</v>
      </c>
      <c r="G637" s="178" t="n">
        <v>-42.2</v>
      </c>
      <c r="H637" s="178" t="n">
        <v>-3.1</v>
      </c>
      <c r="I637" s="178" t="n">
        <v>-34.6</v>
      </c>
      <c r="J637" s="178" t="n">
        <v>-46.3</v>
      </c>
      <c r="K637" s="179" t="inlineStr">
        <is>
          <t>2671 USAS BUILDING</t>
        </is>
      </c>
    </row>
    <row r="638">
      <c r="A638" s="17" t="inlineStr">
        <is>
          <t>Logic Selective</t>
        </is>
      </c>
      <c r="B638" s="171" t="n">
        <v>1</v>
      </c>
      <c r="C638" s="177" t="n">
        <v>100</v>
      </c>
      <c r="D638" s="178" t="n">
        <v>7.6</v>
      </c>
      <c r="E638" s="178" t="n">
        <v>4.2</v>
      </c>
      <c r="F638" s="178" t="n">
        <v>-29.6</v>
      </c>
      <c r="G638" s="178" t="n">
        <v>-42.2</v>
      </c>
      <c r="H638" s="178" t="n">
        <v>-3.1</v>
      </c>
      <c r="I638" s="178" t="n">
        <v>-34.6</v>
      </c>
      <c r="J638" s="178" t="n">
        <v>-46.3</v>
      </c>
      <c r="K638" s="179" t="inlineStr">
        <is>
          <t>2671 USAS BUILDING</t>
        </is>
      </c>
    </row>
    <row r="639">
      <c r="A639" s="17" t="inlineStr">
        <is>
          <t>Swift Grace</t>
        </is>
      </c>
      <c r="B639" s="171" t="n">
        <v>1</v>
      </c>
      <c r="C639" s="177" t="n">
        <v>100</v>
      </c>
      <c r="D639" s="178" t="n">
        <v>7.5</v>
      </c>
      <c r="E639" s="178" t="n">
        <v>-3.3</v>
      </c>
      <c r="F639" s="178" t="n">
        <v>13.5</v>
      </c>
      <c r="G639" s="178" t="n">
        <v>48.7</v>
      </c>
      <c r="H639" s="178" t="n">
        <v>-10.1</v>
      </c>
      <c r="I639" s="178" t="n">
        <v>5.6</v>
      </c>
      <c r="J639" s="178" t="n">
        <v>38.3</v>
      </c>
      <c r="K639" s="179" t="inlineStr">
        <is>
          <t>2585 MOKINGRAN</t>
        </is>
      </c>
    </row>
    <row r="640">
      <c r="A640" s="17" t="inlineStr">
        <is>
          <t>C-MER Eye Care Holdings Limited</t>
        </is>
      </c>
      <c r="B640" s="171" t="n">
        <v>1</v>
      </c>
      <c r="C640" s="177" t="n">
        <v>100</v>
      </c>
      <c r="D640" s="178" t="n">
        <v>7.3</v>
      </c>
      <c r="E640" s="178" t="n">
        <v>106.5</v>
      </c>
      <c r="F640" s="178" t="n">
        <v>64.2</v>
      </c>
      <c r="G640" s="178" t="n">
        <v>59</v>
      </c>
      <c r="H640" s="178" t="n">
        <v>92.5</v>
      </c>
      <c r="I640" s="178" t="n">
        <v>53</v>
      </c>
      <c r="J640" s="178" t="n">
        <v>48.2</v>
      </c>
      <c r="K640" s="179" t="inlineStr">
        <is>
          <t>0020 SENSETIME-W</t>
        </is>
      </c>
    </row>
    <row r="641">
      <c r="A641" s="17" t="inlineStr">
        <is>
          <t>Guosheng Overseas Holdings (Hong Kong) Limited</t>
        </is>
      </c>
      <c r="B641" s="171" t="n">
        <v>1</v>
      </c>
      <c r="C641" s="177" t="n">
        <v>100</v>
      </c>
      <c r="D641" s="178" t="n">
        <v>7.3</v>
      </c>
      <c r="E641" s="178" t="n">
        <v>106.5</v>
      </c>
      <c r="F641" s="178" t="n">
        <v>64.2</v>
      </c>
      <c r="G641" s="178" t="n">
        <v>59</v>
      </c>
      <c r="H641" s="178" t="n">
        <v>92.5</v>
      </c>
      <c r="I641" s="178" t="n">
        <v>53</v>
      </c>
      <c r="J641" s="178" t="n">
        <v>48.2</v>
      </c>
      <c r="K641" s="179" t="inlineStr">
        <is>
          <t>0020 SENSETIME-W</t>
        </is>
      </c>
    </row>
    <row r="642">
      <c r="A642" s="17" t="inlineStr">
        <is>
          <t>HKSTP Venture Fund</t>
        </is>
      </c>
      <c r="B642" s="171" t="n">
        <v>1</v>
      </c>
      <c r="C642" s="177" t="n">
        <v>100</v>
      </c>
      <c r="D642" s="178" t="n">
        <v>7.3</v>
      </c>
      <c r="E642" s="178" t="n">
        <v>106.5</v>
      </c>
      <c r="F642" s="178" t="n">
        <v>64.2</v>
      </c>
      <c r="G642" s="178" t="n">
        <v>59</v>
      </c>
      <c r="H642" s="178" t="n">
        <v>92.5</v>
      </c>
      <c r="I642" s="178" t="n">
        <v>53</v>
      </c>
      <c r="J642" s="178" t="n">
        <v>48.2</v>
      </c>
      <c r="K642" s="179" t="inlineStr">
        <is>
          <t>0020 SENSETIME-W</t>
        </is>
      </c>
    </row>
    <row r="643">
      <c r="A643" s="17" t="inlineStr">
        <is>
          <t>SAIC Motor HK Investment Limited</t>
        </is>
      </c>
      <c r="B643" s="171" t="n">
        <v>1</v>
      </c>
      <c r="C643" s="177" t="n">
        <v>100</v>
      </c>
      <c r="D643" s="178" t="n">
        <v>7.3</v>
      </c>
      <c r="E643" s="178" t="n">
        <v>106.5</v>
      </c>
      <c r="F643" s="178" t="n">
        <v>64.2</v>
      </c>
      <c r="G643" s="178" t="n">
        <v>59</v>
      </c>
      <c r="H643" s="178" t="n">
        <v>92.5</v>
      </c>
      <c r="I643" s="178" t="n">
        <v>53</v>
      </c>
      <c r="J643" s="178" t="n">
        <v>48.2</v>
      </c>
      <c r="K643" s="179" t="inlineStr">
        <is>
          <t>0020 SENSETIME-W</t>
        </is>
      </c>
    </row>
    <row r="644">
      <c r="A644" s="17" t="inlineStr">
        <is>
          <t>Shanghai Xuhui Capital Investment Co., Ltd</t>
        </is>
      </c>
      <c r="B644" s="171" t="n">
        <v>1</v>
      </c>
      <c r="C644" s="177" t="n">
        <v>100</v>
      </c>
      <c r="D644" s="178" t="n">
        <v>7.3</v>
      </c>
      <c r="E644" s="178" t="n">
        <v>106.5</v>
      </c>
      <c r="F644" s="178" t="n">
        <v>64.2</v>
      </c>
      <c r="G644" s="178" t="n">
        <v>59</v>
      </c>
      <c r="H644" s="178" t="n">
        <v>92.5</v>
      </c>
      <c r="I644" s="178" t="n">
        <v>53</v>
      </c>
      <c r="J644" s="178" t="n">
        <v>48.2</v>
      </c>
      <c r="K644" s="179" t="inlineStr">
        <is>
          <t>0020 SENSETIME-W</t>
        </is>
      </c>
    </row>
    <row r="645">
      <c r="A645" s="17" t="inlineStr">
        <is>
          <t>Taizhou Culture &amp; Tourism Development Group Ltd</t>
        </is>
      </c>
      <c r="B645" s="171" t="n">
        <v>1</v>
      </c>
      <c r="C645" s="177" t="n">
        <v>100</v>
      </c>
      <c r="D645" s="178" t="n">
        <v>7.3</v>
      </c>
      <c r="E645" s="178" t="n">
        <v>106.5</v>
      </c>
      <c r="F645" s="178" t="n">
        <v>64.2</v>
      </c>
      <c r="G645" s="178" t="n">
        <v>59</v>
      </c>
      <c r="H645" s="178" t="n">
        <v>92.5</v>
      </c>
      <c r="I645" s="178" t="n">
        <v>53</v>
      </c>
      <c r="J645" s="178" t="n">
        <v>48.2</v>
      </c>
      <c r="K645" s="179" t="inlineStr">
        <is>
          <t>0020 SENSETIME-W</t>
        </is>
      </c>
    </row>
    <row r="646">
      <c r="A646" s="17" t="inlineStr">
        <is>
          <t>HONG KONG BAIJIADA NEW MATERIAL LIMITED</t>
        </is>
      </c>
      <c r="B646" s="171" t="n">
        <v>1</v>
      </c>
      <c r="C646" s="177" t="n">
        <v>100</v>
      </c>
      <c r="D646" s="178" t="n">
        <v>7.1</v>
      </c>
      <c r="E646" s="178" t="n">
        <v>1.1</v>
      </c>
      <c r="F646" s="178" t="n">
        <v>0.7</v>
      </c>
      <c r="G646" s="178" t="n">
        <v>5.5</v>
      </c>
      <c r="H646" s="178" t="n">
        <v>-5.7</v>
      </c>
      <c r="I646" s="178" t="n">
        <v>-6</v>
      </c>
      <c r="J646" s="178" t="n">
        <v>-1.5</v>
      </c>
      <c r="K646" s="179" t="inlineStr">
        <is>
          <t>2411 PAGODA GP</t>
        </is>
      </c>
    </row>
    <row r="647">
      <c r="A647" s="17" t="inlineStr">
        <is>
          <t>Nantong Douson Drilling and Production Equipment Co., Ltd</t>
        </is>
      </c>
      <c r="B647" s="171" t="n">
        <v>1</v>
      </c>
      <c r="C647" s="177" t="n">
        <v>100</v>
      </c>
      <c r="D647" s="178" t="n">
        <v>7.1</v>
      </c>
      <c r="E647" s="178" t="n">
        <v>1.1</v>
      </c>
      <c r="F647" s="178" t="n">
        <v>0.7</v>
      </c>
      <c r="G647" s="178" t="n">
        <v>5.5</v>
      </c>
      <c r="H647" s="178" t="n">
        <v>-5.7</v>
      </c>
      <c r="I647" s="178" t="n">
        <v>-6</v>
      </c>
      <c r="J647" s="178" t="n">
        <v>-1.5</v>
      </c>
      <c r="K647" s="179" t="inlineStr">
        <is>
          <t>2411 PAGODA GP</t>
        </is>
      </c>
    </row>
    <row r="648">
      <c r="A648" s="17" t="inlineStr">
        <is>
          <t>Yip Wing Kui</t>
        </is>
      </c>
      <c r="B648" s="171" t="n">
        <v>1</v>
      </c>
      <c r="C648" s="177" t="n">
        <v>100</v>
      </c>
      <c r="D648" s="178" t="n">
        <v>7.1</v>
      </c>
      <c r="E648" s="178" t="n">
        <v>1.1</v>
      </c>
      <c r="F648" s="178" t="n">
        <v>0.7</v>
      </c>
      <c r="G648" s="178" t="n">
        <v>5.5</v>
      </c>
      <c r="H648" s="178" t="n">
        <v>-5.7</v>
      </c>
      <c r="I648" s="178" t="n">
        <v>-6</v>
      </c>
      <c r="J648" s="178" t="n">
        <v>-1.5</v>
      </c>
      <c r="K648" s="179" t="inlineStr">
        <is>
          <t>2411 PAGODA GP</t>
        </is>
      </c>
    </row>
    <row r="649">
      <c r="A649" s="17" t="inlineStr">
        <is>
          <t>H&amp;T Intelligent Control International Co., Limited</t>
        </is>
      </c>
      <c r="B649" s="171" t="n">
        <v>1</v>
      </c>
      <c r="C649" s="177" t="n">
        <v>100</v>
      </c>
      <c r="D649" s="178" t="n">
        <v>6.4</v>
      </c>
      <c r="E649" s="178" t="n">
        <v>2.3</v>
      </c>
      <c r="F649" s="178" t="n">
        <v>42.3</v>
      </c>
      <c r="G649" s="178" t="n">
        <v>23.2</v>
      </c>
      <c r="H649" s="178" t="n">
        <v>-3.8</v>
      </c>
      <c r="I649" s="178" t="n">
        <v>33.7</v>
      </c>
      <c r="J649" s="178" t="n">
        <v>15.8</v>
      </c>
      <c r="K649" s="179" t="inlineStr">
        <is>
          <t>2631 SICC</t>
        </is>
      </c>
    </row>
    <row r="650">
      <c r="A650" s="17" t="inlineStr">
        <is>
          <t>Mr. Lan Kun ( ᚆտ)</t>
        </is>
      </c>
      <c r="B650" s="171" t="n">
        <v>1</v>
      </c>
      <c r="C650" s="177" t="n">
        <v>100</v>
      </c>
      <c r="D650" s="178" t="n">
        <v>6.4</v>
      </c>
      <c r="E650" s="178" t="n">
        <v>2.3</v>
      </c>
      <c r="F650" s="178" t="n">
        <v>42.3</v>
      </c>
      <c r="G650" s="178" t="n">
        <v>23.2</v>
      </c>
      <c r="H650" s="178" t="n">
        <v>-3.8</v>
      </c>
      <c r="I650" s="178" t="n">
        <v>33.7</v>
      </c>
      <c r="J650" s="178" t="n">
        <v>15.8</v>
      </c>
      <c r="K650" s="179" t="inlineStr">
        <is>
          <t>2631 SICC</t>
        </is>
      </c>
    </row>
    <row r="651">
      <c r="A651" s="17" t="inlineStr">
        <is>
          <t>Mr. Tiago Braz</t>
        </is>
      </c>
      <c r="B651" s="171" t="n">
        <v>1</v>
      </c>
      <c r="C651" s="177" t="n">
        <v>100</v>
      </c>
      <c r="D651" s="178" t="n">
        <v>6.3</v>
      </c>
      <c r="E651" s="178" t="n">
        <v>-5.7</v>
      </c>
      <c r="F651" s="178" t="n">
        <v>-4.1</v>
      </c>
      <c r="G651" s="178" t="n">
        <v>-8.699999999999999</v>
      </c>
      <c r="H651" s="178" t="n">
        <v>-11.2</v>
      </c>
      <c r="I651" s="178" t="n">
        <v>-9.800000000000001</v>
      </c>
      <c r="J651" s="178" t="n">
        <v>-14.1</v>
      </c>
      <c r="K651" s="179" t="inlineStr">
        <is>
          <t>2613 CONTIOCEAN</t>
        </is>
      </c>
    </row>
    <row r="652">
      <c r="A652" s="17" t="inlineStr">
        <is>
          <t>Yorkool International Limited</t>
        </is>
      </c>
      <c r="B652" s="171" t="n">
        <v>1</v>
      </c>
      <c r="C652" s="177" t="n">
        <v>100</v>
      </c>
      <c r="D652" s="178" t="n">
        <v>6</v>
      </c>
      <c r="E652" s="178" t="n">
        <v>34</v>
      </c>
      <c r="F652" s="178" t="n">
        <v>24.2</v>
      </c>
      <c r="G652" s="178" t="n">
        <v>9.9</v>
      </c>
      <c r="H652" s="178" t="n">
        <v>26.4</v>
      </c>
      <c r="I652" s="178" t="n">
        <v>17.1</v>
      </c>
      <c r="J652" s="178" t="n">
        <v>3.7</v>
      </c>
      <c r="K652" s="179" t="inlineStr">
        <is>
          <t>2252 MEDBOT-B</t>
        </is>
      </c>
    </row>
    <row r="653">
      <c r="A653" s="17" t="inlineStr">
        <is>
          <t>CS Logistics Holdings Ltd</t>
        </is>
      </c>
      <c r="B653" s="171" t="n">
        <v>1</v>
      </c>
      <c r="C653" s="177" t="n">
        <v>100</v>
      </c>
      <c r="D653" s="178" t="n">
        <v>5.5</v>
      </c>
      <c r="E653" s="178" t="n">
        <v>-7.6</v>
      </c>
      <c r="F653" s="178" t="n">
        <v>-20.1</v>
      </c>
      <c r="G653" s="178" t="n">
        <v>-56.1</v>
      </c>
      <c r="H653" s="178" t="n">
        <v>-12.4</v>
      </c>
      <c r="I653" s="178" t="n">
        <v>-24.3</v>
      </c>
      <c r="J653" s="178" t="n">
        <v>-58.4</v>
      </c>
      <c r="K653" s="179" t="inlineStr">
        <is>
          <t>2209 YESASIA HLDGS</t>
        </is>
      </c>
    </row>
    <row r="654">
      <c r="A654" s="17" t="inlineStr">
        <is>
          <t>De Well Group Singapore Pte. Ltd</t>
        </is>
      </c>
      <c r="B654" s="171" t="n">
        <v>1</v>
      </c>
      <c r="C654" s="177" t="n">
        <v>100</v>
      </c>
      <c r="D654" s="178" t="n">
        <v>5.5</v>
      </c>
      <c r="E654" s="178" t="n">
        <v>-16.4</v>
      </c>
      <c r="F654" s="178" t="n">
        <v>-20.9</v>
      </c>
      <c r="G654" s="178" t="n">
        <v>-33.8</v>
      </c>
      <c r="H654" s="178" t="n">
        <v>-20.8</v>
      </c>
      <c r="I654" s="178" t="n">
        <v>-25</v>
      </c>
      <c r="J654" s="178" t="n">
        <v>-37.3</v>
      </c>
      <c r="K654" s="179" t="inlineStr">
        <is>
          <t>2420 ZIBUYU</t>
        </is>
      </c>
    </row>
    <row r="655">
      <c r="A655" s="17" t="inlineStr">
        <is>
          <t>Castrol Holdings International Limited</t>
        </is>
      </c>
      <c r="B655" s="171" t="n">
        <v>1</v>
      </c>
      <c r="C655" s="177" t="n">
        <v>100</v>
      </c>
      <c r="D655" s="178" t="n">
        <v>5.4</v>
      </c>
      <c r="E655" s="178" t="n">
        <v>2.5</v>
      </c>
      <c r="F655" s="178" t="n">
        <v>25.7</v>
      </c>
      <c r="G655" s="178" t="n">
        <v>7</v>
      </c>
      <c r="H655" s="178" t="n">
        <v>-2.7</v>
      </c>
      <c r="I655" s="178" t="n">
        <v>19.3</v>
      </c>
      <c r="J655" s="178" t="n">
        <v>1.5</v>
      </c>
      <c r="K655" s="179" t="inlineStr">
        <is>
          <t>9690 TUHU-W</t>
        </is>
      </c>
    </row>
    <row r="656">
      <c r="A656" s="17" t="inlineStr">
        <is>
          <t>Image Frame Investment (HK) Limited</t>
        </is>
      </c>
      <c r="B656" s="171" t="n">
        <v>1</v>
      </c>
      <c r="C656" s="177" t="n">
        <v>100</v>
      </c>
      <c r="D656" s="178" t="n">
        <v>5.4</v>
      </c>
      <c r="E656" s="178" t="n">
        <v>2.5</v>
      </c>
      <c r="F656" s="178" t="n">
        <v>25.7</v>
      </c>
      <c r="G656" s="178" t="n">
        <v>7</v>
      </c>
      <c r="H656" s="178" t="n">
        <v>-2.7</v>
      </c>
      <c r="I656" s="178" t="n">
        <v>19.3</v>
      </c>
      <c r="J656" s="178" t="n">
        <v>1.5</v>
      </c>
      <c r="K656" s="179" t="inlineStr">
        <is>
          <t>9690 TUHU-W</t>
        </is>
      </c>
    </row>
    <row r="657">
      <c r="A657" s="17" t="inlineStr">
        <is>
          <t>Shanghai Zizhu High-tech Zone (Group) Co., Ltd</t>
        </is>
      </c>
      <c r="B657" s="171" t="n">
        <v>1</v>
      </c>
      <c r="C657" s="177" t="n">
        <v>100</v>
      </c>
      <c r="D657" s="178" t="n">
        <v>5.4</v>
      </c>
      <c r="E657" s="178" t="n">
        <v>2.5</v>
      </c>
      <c r="F657" s="178" t="n">
        <v>25.7</v>
      </c>
      <c r="G657" s="178" t="n">
        <v>7</v>
      </c>
      <c r="H657" s="178" t="n">
        <v>-2.7</v>
      </c>
      <c r="I657" s="178" t="n">
        <v>19.3</v>
      </c>
      <c r="J657" s="178" t="n">
        <v>1.5</v>
      </c>
      <c r="K657" s="179" t="inlineStr">
        <is>
          <t>9690 TUHU-W</t>
        </is>
      </c>
    </row>
    <row r="658">
      <c r="A658" s="17" t="inlineStr">
        <is>
          <t>Accelerator VI Ltd</t>
        </is>
      </c>
      <c r="B658" s="171" t="n">
        <v>1</v>
      </c>
      <c r="C658" s="177" t="n">
        <v>100</v>
      </c>
      <c r="D658" s="178" t="n">
        <v>5.4</v>
      </c>
      <c r="E658" s="178" t="n">
        <v>12.6</v>
      </c>
      <c r="F658" s="178" t="n">
        <v>9.9</v>
      </c>
      <c r="G658" s="178" t="n">
        <v>92.5</v>
      </c>
      <c r="H658" s="178" t="n">
        <v>6.9</v>
      </c>
      <c r="I658" s="178" t="n">
        <v>4.3</v>
      </c>
      <c r="J658" s="178" t="n">
        <v>82.7</v>
      </c>
      <c r="K658" s="179" t="inlineStr">
        <is>
          <t>2590 GEEKPLUS-W</t>
        </is>
      </c>
    </row>
    <row r="659">
      <c r="A659" s="17" t="inlineStr">
        <is>
          <t>Primus Cabibbo Limited</t>
        </is>
      </c>
      <c r="B659" s="171" t="n">
        <v>1</v>
      </c>
      <c r="C659" s="177" t="n">
        <v>100</v>
      </c>
      <c r="D659" s="178" t="n">
        <v>5.4</v>
      </c>
      <c r="E659" s="178" t="n">
        <v>12.6</v>
      </c>
      <c r="F659" s="178" t="n">
        <v>9.9</v>
      </c>
      <c r="G659" s="178" t="n">
        <v>92.5</v>
      </c>
      <c r="H659" s="178" t="n">
        <v>6.9</v>
      </c>
      <c r="I659" s="178" t="n">
        <v>4.3</v>
      </c>
      <c r="J659" s="178" t="n">
        <v>82.7</v>
      </c>
      <c r="K659" s="179" t="inlineStr">
        <is>
          <t>2590 GEEKPLUS-W</t>
        </is>
      </c>
    </row>
    <row r="660">
      <c r="A660" s="17" t="inlineStr">
        <is>
          <t>NCC China A-Share Master Fund</t>
        </is>
      </c>
      <c r="B660" s="171" t="n">
        <v>1</v>
      </c>
      <c r="C660" s="177" t="n">
        <v>100</v>
      </c>
      <c r="D660" s="178" t="n">
        <v>5.1</v>
      </c>
      <c r="E660" s="178" t="n">
        <v>1.1</v>
      </c>
      <c r="F660" s="178" t="n">
        <v>-17.3</v>
      </c>
      <c r="G660" s="178" t="n">
        <v>-38.1</v>
      </c>
      <c r="H660" s="178" t="n">
        <v>-3.7</v>
      </c>
      <c r="I660" s="178" t="n">
        <v>-21.3</v>
      </c>
      <c r="J660" s="178" t="n">
        <v>-41.1</v>
      </c>
      <c r="K660" s="179" t="inlineStr">
        <is>
          <t>2279 YONGHE MEDICAL</t>
        </is>
      </c>
    </row>
    <row r="661">
      <c r="A661" s="17" t="inlineStr">
        <is>
          <t>Xunyi Limited</t>
        </is>
      </c>
      <c r="B661" s="171" t="n">
        <v>1</v>
      </c>
      <c r="C661" s="177" t="n">
        <v>100</v>
      </c>
      <c r="D661" s="178" t="n">
        <v>5.1</v>
      </c>
      <c r="E661" s="178" t="n">
        <v>2.2</v>
      </c>
      <c r="F661" s="178" t="n">
        <v>5.4</v>
      </c>
      <c r="G661" s="178" t="n">
        <v>60.8</v>
      </c>
      <c r="H661" s="178" t="n">
        <v>-2.8</v>
      </c>
      <c r="I661" s="178" t="n">
        <v>0.3</v>
      </c>
      <c r="J661" s="178" t="n">
        <v>53</v>
      </c>
      <c r="K661" s="179" t="inlineStr">
        <is>
          <t>2506 XUNFEIHEALTH</t>
        </is>
      </c>
    </row>
    <row r="662">
      <c r="A662" s="17" t="inlineStr">
        <is>
          <t>ClinChoice Medical Development Limited</t>
        </is>
      </c>
      <c r="B662" s="171" t="n">
        <v>1</v>
      </c>
      <c r="C662" s="177" t="n">
        <v>100</v>
      </c>
      <c r="D662" s="178" t="n">
        <v>5</v>
      </c>
      <c r="E662" s="178" t="n">
        <v>34.4</v>
      </c>
      <c r="F662" s="178" t="n">
        <v>38.2</v>
      </c>
      <c r="G662" s="178" t="n">
        <v>53</v>
      </c>
      <c r="H662" s="178" t="n">
        <v>28.1</v>
      </c>
      <c r="I662" s="178" t="n">
        <v>31.6</v>
      </c>
      <c r="J662" s="178" t="n">
        <v>45.8</v>
      </c>
      <c r="K662" s="179" t="inlineStr">
        <is>
          <t>1541 IMMUNEONCO-B</t>
        </is>
      </c>
    </row>
    <row r="663">
      <c r="A663" s="17" t="inlineStr">
        <is>
          <t>Hong Tai International III LPF</t>
        </is>
      </c>
      <c r="B663" s="171" t="n">
        <v>1</v>
      </c>
      <c r="C663" s="177" t="n">
        <v>100</v>
      </c>
      <c r="D663" s="178" t="n">
        <v>5</v>
      </c>
      <c r="E663" s="178" t="n">
        <v>-19.4</v>
      </c>
      <c r="F663" s="178" t="n">
        <v>-17.1</v>
      </c>
      <c r="G663" s="178" t="n">
        <v>-2.7</v>
      </c>
      <c r="H663" s="178" t="n">
        <v>-23.3</v>
      </c>
      <c r="I663" s="178" t="n">
        <v>-21.1</v>
      </c>
      <c r="J663" s="178" t="n">
        <v>-7.3</v>
      </c>
      <c r="K663" s="179" t="inlineStr">
        <is>
          <t>1471 ZHONGMIAO</t>
        </is>
      </c>
    </row>
    <row r="664">
      <c r="A664" s="17" t="inlineStr">
        <is>
          <t>Golden Feather Corporation</t>
        </is>
      </c>
      <c r="B664" s="171" t="n">
        <v>1</v>
      </c>
      <c r="C664" s="177" t="n">
        <v>100</v>
      </c>
      <c r="D664" s="178" t="n">
        <v>4.9</v>
      </c>
      <c r="E664" s="178" t="n">
        <v>0</v>
      </c>
      <c r="F664" s="178" t="n">
        <v>-8.5</v>
      </c>
      <c r="G664" s="178" t="n">
        <v>3</v>
      </c>
      <c r="H664" s="178" t="n">
        <v>-4.7</v>
      </c>
      <c r="I664" s="178" t="n">
        <v>-12.8</v>
      </c>
      <c r="J664" s="178" t="n">
        <v>-1.8</v>
      </c>
      <c r="K664" s="179" t="inlineStr">
        <is>
          <t>9878 HUITONGDA NET</t>
        </is>
      </c>
    </row>
    <row r="665">
      <c r="A665" s="17" t="inlineStr">
        <is>
          <t>Skyworth Overseas Investment Holdings Limited</t>
        </is>
      </c>
      <c r="B665" s="171" t="n">
        <v>1</v>
      </c>
      <c r="C665" s="177" t="n">
        <v>100</v>
      </c>
      <c r="D665" s="178" t="n">
        <v>4.9</v>
      </c>
      <c r="E665" s="178" t="n">
        <v>0</v>
      </c>
      <c r="F665" s="178" t="n">
        <v>-8.5</v>
      </c>
      <c r="G665" s="178" t="n">
        <v>3</v>
      </c>
      <c r="H665" s="178" t="n">
        <v>-4.7</v>
      </c>
      <c r="I665" s="178" t="n">
        <v>-12.8</v>
      </c>
      <c r="J665" s="178" t="n">
        <v>-1.8</v>
      </c>
      <c r="K665" s="179" t="inlineStr">
        <is>
          <t>9878 HUITONGDA NET</t>
        </is>
      </c>
    </row>
    <row r="666">
      <c r="A666" s="17" t="inlineStr">
        <is>
          <t>Windfall T&amp;L SPC</t>
        </is>
      </c>
      <c r="B666" s="171" t="n">
        <v>1</v>
      </c>
      <c r="C666" s="177" t="n">
        <v>100</v>
      </c>
      <c r="D666" s="178" t="n">
        <v>4.9</v>
      </c>
      <c r="E666" s="178" t="n">
        <v>0</v>
      </c>
      <c r="F666" s="178" t="n">
        <v>-8.5</v>
      </c>
      <c r="G666" s="178" t="n">
        <v>3</v>
      </c>
      <c r="H666" s="178" t="n">
        <v>-4.7</v>
      </c>
      <c r="I666" s="178" t="n">
        <v>-12.8</v>
      </c>
      <c r="J666" s="178" t="n">
        <v>-1.8</v>
      </c>
      <c r="K666" s="179" t="inlineStr">
        <is>
          <t>9878 HUITONGDA NET</t>
        </is>
      </c>
    </row>
    <row r="667">
      <c r="A667" s="17" t="inlineStr">
        <is>
          <t>Manulife Investment Management (Hong Kong) Limited</t>
        </is>
      </c>
      <c r="B667" s="171" t="n">
        <v>1</v>
      </c>
      <c r="C667" s="177" t="n">
        <v>100</v>
      </c>
      <c r="D667" s="178" t="n">
        <v>4.7</v>
      </c>
      <c r="E667" s="178" t="n">
        <v>-2.3</v>
      </c>
      <c r="F667" s="178" t="n">
        <v>6.7</v>
      </c>
      <c r="G667" s="178" t="n"/>
      <c r="H667" s="178" t="n">
        <v>-6.7</v>
      </c>
      <c r="I667" s="178" t="n">
        <v>1.9</v>
      </c>
      <c r="J667" s="178" t="n"/>
      <c r="K667" s="179" t="inlineStr">
        <is>
          <t>6951 CCTC</t>
        </is>
      </c>
    </row>
    <row r="668">
      <c r="A668" s="17" t="inlineStr">
        <is>
          <t>Ambre Lau Trade Limited</t>
        </is>
      </c>
      <c r="B668" s="171" t="n">
        <v>1</v>
      </c>
      <c r="C668" s="177" t="n">
        <v>100</v>
      </c>
      <c r="D668" s="178" t="n">
        <v>4.6</v>
      </c>
      <c r="E668" s="178" t="n"/>
      <c r="F668" s="178" t="n"/>
      <c r="G668" s="178" t="n"/>
      <c r="H668" s="178" t="n"/>
      <c r="I668" s="178" t="n"/>
      <c r="J668" s="178" t="n"/>
      <c r="K668" s="179" t="inlineStr">
        <is>
          <t>9856 LIGENT</t>
        </is>
      </c>
    </row>
    <row r="669">
      <c r="A669" s="17" t="inlineStr">
        <is>
          <t>Amlogic Co., Limited</t>
        </is>
      </c>
      <c r="B669" s="171" t="n">
        <v>1</v>
      </c>
      <c r="C669" s="177" t="n">
        <v>100</v>
      </c>
      <c r="D669" s="178" t="n">
        <v>4.6</v>
      </c>
      <c r="E669" s="178" t="n"/>
      <c r="F669" s="178" t="n"/>
      <c r="G669" s="178" t="n"/>
      <c r="H669" s="178" t="n"/>
      <c r="I669" s="178" t="n"/>
      <c r="J669" s="178" t="n"/>
      <c r="K669" s="179" t="inlineStr">
        <is>
          <t>9856 LIGENT</t>
        </is>
      </c>
    </row>
    <row r="670">
      <c r="A670" s="17" t="inlineStr">
        <is>
          <t>Atlas Venture Limited</t>
        </is>
      </c>
      <c r="B670" s="171" t="n">
        <v>1</v>
      </c>
      <c r="C670" s="177" t="n">
        <v>100</v>
      </c>
      <c r="D670" s="178" t="n">
        <v>4.6</v>
      </c>
      <c r="E670" s="178" t="n"/>
      <c r="F670" s="178" t="n"/>
      <c r="G670" s="178" t="n"/>
      <c r="H670" s="178" t="n"/>
      <c r="I670" s="178" t="n"/>
      <c r="J670" s="178" t="n"/>
      <c r="K670" s="179" t="inlineStr">
        <is>
          <t>9856 LIGENT</t>
        </is>
      </c>
    </row>
    <row r="671">
      <c r="A671" s="17" t="inlineStr">
        <is>
          <t>CFTC Paragon SP</t>
        </is>
      </c>
      <c r="B671" s="171" t="n">
        <v>1</v>
      </c>
      <c r="C671" s="177" t="n">
        <v>100</v>
      </c>
      <c r="D671" s="178" t="n">
        <v>4.6</v>
      </c>
      <c r="E671" s="178" t="n"/>
      <c r="F671" s="178" t="n"/>
      <c r="G671" s="178" t="n"/>
      <c r="H671" s="178" t="n"/>
      <c r="I671" s="178" t="n"/>
      <c r="J671" s="178" t="n"/>
      <c r="K671" s="179" t="inlineStr">
        <is>
          <t>9856 LIGENT</t>
        </is>
      </c>
    </row>
    <row r="672">
      <c r="A672" s="17" t="inlineStr">
        <is>
          <t>China Securities (International) Investment Company Limited</t>
        </is>
      </c>
      <c r="B672" s="171" t="n">
        <v>1</v>
      </c>
      <c r="C672" s="177" t="n">
        <v>100</v>
      </c>
      <c r="D672" s="178" t="n">
        <v>4.6</v>
      </c>
      <c r="E672" s="178" t="n"/>
      <c r="F672" s="178" t="n"/>
      <c r="G672" s="178" t="n"/>
      <c r="H672" s="178" t="n"/>
      <c r="I672" s="178" t="n"/>
      <c r="J672" s="178" t="n"/>
      <c r="K672" s="179" t="inlineStr">
        <is>
          <t>9856 LIGENT</t>
        </is>
      </c>
    </row>
    <row r="673">
      <c r="A673" s="17" t="inlineStr">
        <is>
          <t>GaoTeng Global Asset Management Limited</t>
        </is>
      </c>
      <c r="B673" s="171" t="n">
        <v>1</v>
      </c>
      <c r="C673" s="177" t="n">
        <v>100</v>
      </c>
      <c r="D673" s="178" t="n">
        <v>4.6</v>
      </c>
      <c r="E673" s="178" t="n"/>
      <c r="F673" s="178" t="n"/>
      <c r="G673" s="178" t="n"/>
      <c r="H673" s="178" t="n"/>
      <c r="I673" s="178" t="n"/>
      <c r="J673" s="178" t="n"/>
      <c r="K673" s="179" t="inlineStr">
        <is>
          <t>9856 LIGENT</t>
        </is>
      </c>
    </row>
    <row r="674">
      <c r="A674" s="17" t="inlineStr">
        <is>
          <t>HK BVF I LPF</t>
        </is>
      </c>
      <c r="B674" s="171" t="n">
        <v>1</v>
      </c>
      <c r="C674" s="177" t="n">
        <v>100</v>
      </c>
      <c r="D674" s="178" t="n">
        <v>4.6</v>
      </c>
      <c r="E674" s="178" t="n"/>
      <c r="F674" s="178" t="n"/>
      <c r="G674" s="178" t="n"/>
      <c r="H674" s="178" t="n"/>
      <c r="I674" s="178" t="n"/>
      <c r="J674" s="178" t="n"/>
      <c r="K674" s="179" t="inlineStr">
        <is>
          <t>9856 LIGENT</t>
        </is>
      </c>
    </row>
    <row r="675">
      <c r="A675" s="17" t="inlineStr">
        <is>
          <t>Mount Altai Investments Limited</t>
        </is>
      </c>
      <c r="B675" s="171" t="n">
        <v>1</v>
      </c>
      <c r="C675" s="177" t="n">
        <v>100</v>
      </c>
      <c r="D675" s="178" t="n">
        <v>4.6</v>
      </c>
      <c r="E675" s="178" t="n"/>
      <c r="F675" s="178" t="n"/>
      <c r="G675" s="178" t="n"/>
      <c r="H675" s="178" t="n"/>
      <c r="I675" s="178" t="n"/>
      <c r="J675" s="178" t="n"/>
      <c r="K675" s="179" t="inlineStr">
        <is>
          <t>9856 LIGENT</t>
        </is>
      </c>
    </row>
    <row r="676">
      <c r="A676" s="17" t="inlineStr">
        <is>
          <t>PAG Capital Structure Opportunity Fund LP</t>
        </is>
      </c>
      <c r="B676" s="171" t="n">
        <v>1</v>
      </c>
      <c r="C676" s="177" t="n">
        <v>100</v>
      </c>
      <c r="D676" s="178" t="n">
        <v>4.6</v>
      </c>
      <c r="E676" s="178" t="n"/>
      <c r="F676" s="178" t="n"/>
      <c r="G676" s="178" t="n"/>
      <c r="H676" s="178" t="n"/>
      <c r="I676" s="178" t="n"/>
      <c r="J676" s="178" t="n"/>
      <c r="K676" s="179" t="inlineStr">
        <is>
          <t>9856 LIGENT</t>
        </is>
      </c>
    </row>
    <row r="677">
      <c r="A677" s="17" t="inlineStr">
        <is>
          <t>Primavera Cornflower Investment Fund L.P</t>
        </is>
      </c>
      <c r="B677" s="171" t="n">
        <v>1</v>
      </c>
      <c r="C677" s="177" t="n">
        <v>100</v>
      </c>
      <c r="D677" s="178" t="n">
        <v>4.6</v>
      </c>
      <c r="E677" s="178" t="n"/>
      <c r="F677" s="178" t="n"/>
      <c r="G677" s="178" t="n"/>
      <c r="H677" s="178" t="n"/>
      <c r="I677" s="178" t="n"/>
      <c r="J677" s="178" t="n"/>
      <c r="K677" s="179" t="inlineStr">
        <is>
          <t>9856 LIGENT</t>
        </is>
      </c>
    </row>
    <row r="678">
      <c r="A678" s="17" t="inlineStr">
        <is>
          <t>Yuanbao Family Office Limited</t>
        </is>
      </c>
      <c r="B678" s="171" t="n">
        <v>1</v>
      </c>
      <c r="C678" s="177" t="n">
        <v>100</v>
      </c>
      <c r="D678" s="178" t="n">
        <v>4.3</v>
      </c>
      <c r="E678" s="178" t="n">
        <v>-19.5</v>
      </c>
      <c r="F678" s="178" t="n">
        <v>-44.7</v>
      </c>
      <c r="G678" s="178" t="n">
        <v>-31.3</v>
      </c>
      <c r="H678" s="178" t="n">
        <v>-22.9</v>
      </c>
      <c r="I678" s="178" t="n">
        <v>-47</v>
      </c>
      <c r="J678" s="178" t="n">
        <v>-34.1</v>
      </c>
      <c r="K678" s="179" t="inlineStr">
        <is>
          <t>6106 SEER TECH</t>
        </is>
      </c>
    </row>
    <row r="679">
      <c r="A679" s="17" t="inlineStr">
        <is>
          <t>Fook Man Development Company Limited</t>
        </is>
      </c>
      <c r="B679" s="171" t="n">
        <v>1</v>
      </c>
      <c r="C679" s="177" t="n">
        <v>100</v>
      </c>
      <c r="D679" s="178" t="n">
        <v>4.2</v>
      </c>
      <c r="E679" s="178" t="n">
        <v>-4.9</v>
      </c>
      <c r="F679" s="178" t="n">
        <v>-8.6</v>
      </c>
      <c r="G679" s="178" t="n">
        <v>-4.7</v>
      </c>
      <c r="H679" s="178" t="n">
        <v>-8.699999999999999</v>
      </c>
      <c r="I679" s="178" t="n">
        <v>-12.2</v>
      </c>
      <c r="J679" s="178" t="n">
        <v>-8.5</v>
      </c>
      <c r="K679" s="179" t="inlineStr">
        <is>
          <t>9889 DRCB</t>
        </is>
      </c>
    </row>
    <row r="680">
      <c r="A680" s="17" t="inlineStr">
        <is>
          <t>Guohua Life Insurance Co., Ltd</t>
        </is>
      </c>
      <c r="B680" s="171" t="n">
        <v>1</v>
      </c>
      <c r="C680" s="177" t="n">
        <v>100</v>
      </c>
      <c r="D680" s="178" t="n">
        <v>4.2</v>
      </c>
      <c r="E680" s="178" t="n">
        <v>21.1</v>
      </c>
      <c r="F680" s="178" t="n">
        <v>14.5</v>
      </c>
      <c r="G680" s="178" t="n">
        <v>17.8</v>
      </c>
      <c r="H680" s="178" t="n">
        <v>16.3</v>
      </c>
      <c r="I680" s="178" t="n">
        <v>9.9</v>
      </c>
      <c r="J680" s="178" t="n">
        <v>13.1</v>
      </c>
      <c r="K680" s="179" t="inlineStr">
        <is>
          <t>2701 NSING TECH</t>
        </is>
      </c>
    </row>
    <row r="681">
      <c r="A681" s="17" t="inlineStr">
        <is>
          <t>Mr. An Jiangbo</t>
        </is>
      </c>
      <c r="B681" s="171" t="n">
        <v>1</v>
      </c>
      <c r="C681" s="177" t="n">
        <v>100</v>
      </c>
      <c r="D681" s="178" t="n">
        <v>4.2</v>
      </c>
      <c r="E681" s="178" t="n">
        <v>21.1</v>
      </c>
      <c r="F681" s="178" t="n">
        <v>14.5</v>
      </c>
      <c r="G681" s="178" t="n">
        <v>17.8</v>
      </c>
      <c r="H681" s="178" t="n">
        <v>16.3</v>
      </c>
      <c r="I681" s="178" t="n">
        <v>9.9</v>
      </c>
      <c r="J681" s="178" t="n">
        <v>13.1</v>
      </c>
      <c r="K681" s="179" t="inlineStr">
        <is>
          <t>2701 NSING TECH</t>
        </is>
      </c>
    </row>
    <row r="682">
      <c r="A682" s="17" t="inlineStr">
        <is>
          <t>Ms. Christine Tai</t>
        </is>
      </c>
      <c r="B682" s="171" t="n">
        <v>1</v>
      </c>
      <c r="C682" s="177" t="n">
        <v>100</v>
      </c>
      <c r="D682" s="178" t="n">
        <v>4.2</v>
      </c>
      <c r="E682" s="178" t="n">
        <v>21.1</v>
      </c>
      <c r="F682" s="178" t="n">
        <v>14.5</v>
      </c>
      <c r="G682" s="178" t="n">
        <v>17.8</v>
      </c>
      <c r="H682" s="178" t="n">
        <v>16.3</v>
      </c>
      <c r="I682" s="178" t="n">
        <v>9.9</v>
      </c>
      <c r="J682" s="178" t="n">
        <v>13.1</v>
      </c>
      <c r="K682" s="179" t="inlineStr">
        <is>
          <t>2701 NSING TECH</t>
        </is>
      </c>
    </row>
    <row r="683">
      <c r="A683" s="17" t="inlineStr">
        <is>
          <t>Hangzhou Fuyang Industrial Fund Investment Management Co., Ltd</t>
        </is>
      </c>
      <c r="B683" s="171" t="n">
        <v>1</v>
      </c>
      <c r="C683" s="177" t="n">
        <v>100</v>
      </c>
      <c r="D683" s="178" t="n">
        <v>4</v>
      </c>
      <c r="E683" s="178" t="n">
        <v>-5.1</v>
      </c>
      <c r="F683" s="178" t="n">
        <v>-6.2</v>
      </c>
      <c r="G683" s="178" t="n">
        <v>45.7</v>
      </c>
      <c r="H683" s="178" t="n">
        <v>-8.699999999999999</v>
      </c>
      <c r="I683" s="178" t="n">
        <v>-9.800000000000001</v>
      </c>
      <c r="J683" s="178" t="n">
        <v>40.1</v>
      </c>
      <c r="K683" s="179" t="inlineStr">
        <is>
          <t>6929 ORBUSNEICH</t>
        </is>
      </c>
    </row>
    <row r="684">
      <c r="A684" s="17" t="inlineStr">
        <is>
          <t>Wii Pte Ltd (Wilmar)</t>
        </is>
      </c>
      <c r="B684" s="171" t="n">
        <v>1</v>
      </c>
      <c r="C684" s="177" t="n">
        <v>100</v>
      </c>
      <c r="D684" s="178" t="n">
        <v>3.9</v>
      </c>
      <c r="E684" s="178" t="n">
        <v>0.5</v>
      </c>
      <c r="F684" s="178" t="n">
        <v>19.7</v>
      </c>
      <c r="G684" s="178" t="n">
        <v>0.7</v>
      </c>
      <c r="H684" s="178" t="n">
        <v>-3.3</v>
      </c>
      <c r="I684" s="178" t="n">
        <v>15.2</v>
      </c>
      <c r="J684" s="178" t="n">
        <v>-3.1</v>
      </c>
      <c r="K684" s="179" t="inlineStr">
        <is>
          <t>2714 MUYUAN</t>
        </is>
      </c>
    </row>
    <row r="685">
      <c r="A685" s="17" t="inlineStr">
        <is>
          <t>HPRY Holdings (Wilmar)</t>
        </is>
      </c>
      <c r="B685" s="171" t="n">
        <v>1</v>
      </c>
      <c r="C685" s="177" t="n">
        <v>100</v>
      </c>
      <c r="D685" s="178" t="n">
        <v>3.9</v>
      </c>
      <c r="E685" s="178" t="n">
        <v>0.5</v>
      </c>
      <c r="F685" s="178" t="n">
        <v>19.7</v>
      </c>
      <c r="G685" s="178" t="n">
        <v>0.7</v>
      </c>
      <c r="H685" s="178" t="n">
        <v>-3.3</v>
      </c>
      <c r="I685" s="178" t="n">
        <v>15.2</v>
      </c>
      <c r="J685" s="178" t="n">
        <v>-3.1</v>
      </c>
      <c r="K685" s="179" t="inlineStr">
        <is>
          <t>2714 MUYUAN</t>
        </is>
      </c>
    </row>
    <row r="686">
      <c r="A686" s="17" t="inlineStr">
        <is>
          <t>Sinochem Hong Kong (Group)</t>
        </is>
      </c>
      <c r="B686" s="171" t="n">
        <v>1</v>
      </c>
      <c r="C686" s="177" t="n">
        <v>100</v>
      </c>
      <c r="D686" s="178" t="n">
        <v>3.9</v>
      </c>
      <c r="E686" s="178" t="n">
        <v>0.5</v>
      </c>
      <c r="F686" s="178" t="n">
        <v>19.7</v>
      </c>
      <c r="G686" s="178" t="n">
        <v>0.7</v>
      </c>
      <c r="H686" s="178" t="n">
        <v>-3.3</v>
      </c>
      <c r="I686" s="178" t="n">
        <v>15.2</v>
      </c>
      <c r="J686" s="178" t="n">
        <v>-3.1</v>
      </c>
      <c r="K686" s="179" t="inlineStr">
        <is>
          <t>2714 MUYUAN</t>
        </is>
      </c>
    </row>
    <row r="687">
      <c r="A687" s="17" t="inlineStr">
        <is>
          <t>Hong Kong Henan Agri International</t>
        </is>
      </c>
      <c r="B687" s="171" t="n">
        <v>1</v>
      </c>
      <c r="C687" s="177" t="n">
        <v>100</v>
      </c>
      <c r="D687" s="178" t="n">
        <v>3.9</v>
      </c>
      <c r="E687" s="178" t="n">
        <v>0.5</v>
      </c>
      <c r="F687" s="178" t="n">
        <v>19.7</v>
      </c>
      <c r="G687" s="178" t="n">
        <v>0.7</v>
      </c>
      <c r="H687" s="178" t="n">
        <v>-3.3</v>
      </c>
      <c r="I687" s="178" t="n">
        <v>15.2</v>
      </c>
      <c r="J687" s="178" t="n">
        <v>-3.1</v>
      </c>
      <c r="K687" s="179" t="inlineStr">
        <is>
          <t>2714 MUYUAN</t>
        </is>
      </c>
    </row>
    <row r="688">
      <c r="A688" s="17" t="inlineStr">
        <is>
          <t>Midea Development Holding (BVI)</t>
        </is>
      </c>
      <c r="B688" s="171" t="n">
        <v>1</v>
      </c>
      <c r="C688" s="177" t="n">
        <v>100</v>
      </c>
      <c r="D688" s="178" t="n">
        <v>3.9</v>
      </c>
      <c r="E688" s="178" t="n">
        <v>0.5</v>
      </c>
      <c r="F688" s="178" t="n">
        <v>19.7</v>
      </c>
      <c r="G688" s="178" t="n">
        <v>0.7</v>
      </c>
      <c r="H688" s="178" t="n">
        <v>-3.3</v>
      </c>
      <c r="I688" s="178" t="n">
        <v>15.2</v>
      </c>
      <c r="J688" s="178" t="n">
        <v>-3.1</v>
      </c>
      <c r="K688" s="179" t="inlineStr">
        <is>
          <t>2714 MUYUAN</t>
        </is>
      </c>
    </row>
    <row r="689">
      <c r="A689" s="17" t="inlineStr">
        <is>
          <t>Cheng Hung Ping</t>
        </is>
      </c>
      <c r="B689" s="171" t="n">
        <v>1</v>
      </c>
      <c r="C689" s="177" t="n">
        <v>100</v>
      </c>
      <c r="D689" s="178" t="n">
        <v>3.8</v>
      </c>
      <c r="E689" s="178" t="n">
        <v>25</v>
      </c>
      <c r="F689" s="178" t="n">
        <v>60</v>
      </c>
      <c r="G689" s="178" t="n">
        <v>22.5</v>
      </c>
      <c r="H689" s="178" t="n">
        <v>20.5</v>
      </c>
      <c r="I689" s="178" t="n">
        <v>54.2</v>
      </c>
      <c r="J689" s="178" t="n">
        <v>18.1</v>
      </c>
      <c r="K689" s="179" t="inlineStr">
        <is>
          <t>1440 DEYUN HOLDING</t>
        </is>
      </c>
    </row>
    <row r="690">
      <c r="A690" s="17" t="inlineStr">
        <is>
          <t>Tam Yuk Ching Jenny</t>
        </is>
      </c>
      <c r="B690" s="171" t="n">
        <v>1</v>
      </c>
      <c r="C690" s="177" t="n">
        <v>100</v>
      </c>
      <c r="D690" s="178" t="n">
        <v>3.8</v>
      </c>
      <c r="E690" s="178" t="n">
        <v>25</v>
      </c>
      <c r="F690" s="178" t="n">
        <v>60</v>
      </c>
      <c r="G690" s="178" t="n">
        <v>22.5</v>
      </c>
      <c r="H690" s="178" t="n">
        <v>20.5</v>
      </c>
      <c r="I690" s="178" t="n">
        <v>54.2</v>
      </c>
      <c r="J690" s="178" t="n">
        <v>18.1</v>
      </c>
      <c r="K690" s="179" t="inlineStr">
        <is>
          <t>1440 DEYUN HOLDING</t>
        </is>
      </c>
    </row>
    <row r="691">
      <c r="A691" s="17" t="inlineStr">
        <is>
          <t>Tsai Chuen Sui Robert</t>
        </is>
      </c>
      <c r="B691" s="171" t="n">
        <v>1</v>
      </c>
      <c r="C691" s="177" t="n">
        <v>100</v>
      </c>
      <c r="D691" s="178" t="n">
        <v>3.8</v>
      </c>
      <c r="E691" s="178" t="n">
        <v>25</v>
      </c>
      <c r="F691" s="178" t="n">
        <v>60</v>
      </c>
      <c r="G691" s="178" t="n">
        <v>22.5</v>
      </c>
      <c r="H691" s="178" t="n">
        <v>20.5</v>
      </c>
      <c r="I691" s="178" t="n">
        <v>54.2</v>
      </c>
      <c r="J691" s="178" t="n">
        <v>18.1</v>
      </c>
      <c r="K691" s="179" t="inlineStr">
        <is>
          <t>1440 DEYUN HOLDING</t>
        </is>
      </c>
    </row>
    <row r="692">
      <c r="A692" s="17" t="inlineStr">
        <is>
          <t>Xingyu Automotive Lighting (Hong Kong) Company Limited</t>
        </is>
      </c>
      <c r="B692" s="171" t="n">
        <v>1</v>
      </c>
      <c r="C692" s="177" t="n">
        <v>100</v>
      </c>
      <c r="D692" s="178" t="n">
        <v>3.8</v>
      </c>
      <c r="E692" s="178" t="n">
        <v>3.7</v>
      </c>
      <c r="F692" s="178" t="n">
        <v>6.4</v>
      </c>
      <c r="G692" s="178" t="n">
        <v>-0.2</v>
      </c>
      <c r="H692" s="178" t="n">
        <v>-0.1</v>
      </c>
      <c r="I692" s="178" t="n">
        <v>2.5</v>
      </c>
      <c r="J692" s="178" t="n">
        <v>-3.8</v>
      </c>
      <c r="K692" s="179" t="inlineStr">
        <is>
          <t>9973 CHERY AUTO</t>
        </is>
      </c>
    </row>
    <row r="693">
      <c r="A693" s="17" t="inlineStr">
        <is>
          <t>Pilgrim Ever Project Company Limited</t>
        </is>
      </c>
      <c r="B693" s="171" t="n">
        <v>1</v>
      </c>
      <c r="C693" s="177" t="n">
        <v>100</v>
      </c>
      <c r="D693" s="178" t="n">
        <v>3.6</v>
      </c>
      <c r="E693" s="178" t="n">
        <v>3.1</v>
      </c>
      <c r="F693" s="178" t="n">
        <v>-8</v>
      </c>
      <c r="G693" s="178" t="n">
        <v>16.6</v>
      </c>
      <c r="H693" s="178" t="n">
        <v>-0.5</v>
      </c>
      <c r="I693" s="178" t="n">
        <v>-11.2</v>
      </c>
      <c r="J693" s="178" t="n">
        <v>12.5</v>
      </c>
      <c r="K693" s="179" t="inlineStr">
        <is>
          <t>6668 E-STAR CM</t>
        </is>
      </c>
    </row>
    <row r="694">
      <c r="A694" s="17" t="inlineStr">
        <is>
          <t>Shenzhen Qichang Investment Holding Limited</t>
        </is>
      </c>
      <c r="B694" s="171" t="n">
        <v>1</v>
      </c>
      <c r="C694" s="177" t="n">
        <v>100</v>
      </c>
      <c r="D694" s="178" t="n">
        <v>3.6</v>
      </c>
      <c r="E694" s="178" t="n">
        <v>3.1</v>
      </c>
      <c r="F694" s="178" t="n">
        <v>-8</v>
      </c>
      <c r="G694" s="178" t="n">
        <v>16.6</v>
      </c>
      <c r="H694" s="178" t="n">
        <v>-0.5</v>
      </c>
      <c r="I694" s="178" t="n">
        <v>-11.2</v>
      </c>
      <c r="J694" s="178" t="n">
        <v>12.5</v>
      </c>
      <c r="K694" s="179" t="inlineStr">
        <is>
          <t>6668 E-STAR CM</t>
        </is>
      </c>
    </row>
    <row r="695">
      <c r="A695" s="17" t="inlineStr">
        <is>
          <t>Virtues Origin SPC</t>
        </is>
      </c>
      <c r="B695" s="171" t="n">
        <v>1</v>
      </c>
      <c r="C695" s="177" t="n">
        <v>100</v>
      </c>
      <c r="D695" s="178" t="n">
        <v>3.6</v>
      </c>
      <c r="E695" s="178" t="n">
        <v>3.1</v>
      </c>
      <c r="F695" s="178" t="n">
        <v>-8</v>
      </c>
      <c r="G695" s="178" t="n">
        <v>16.6</v>
      </c>
      <c r="H695" s="178" t="n">
        <v>-0.5</v>
      </c>
      <c r="I695" s="178" t="n">
        <v>-11.2</v>
      </c>
      <c r="J695" s="178" t="n">
        <v>12.5</v>
      </c>
      <c r="K695" s="179" t="inlineStr">
        <is>
          <t>6668 E-STAR CM</t>
        </is>
      </c>
    </row>
    <row r="696">
      <c r="A696" s="17" t="inlineStr">
        <is>
          <t>Guokong Xinzhi Co., Limited</t>
        </is>
      </c>
      <c r="B696" s="171" t="n">
        <v>1</v>
      </c>
      <c r="C696" s="177" t="n">
        <v>100</v>
      </c>
      <c r="D696" s="178" t="n">
        <v>3.5</v>
      </c>
      <c r="E696" s="178" t="n">
        <v>-1.6</v>
      </c>
      <c r="F696" s="178" t="n">
        <v>-3.7</v>
      </c>
      <c r="G696" s="178" t="n">
        <v>-29.1</v>
      </c>
      <c r="H696" s="178" t="n">
        <v>-5</v>
      </c>
      <c r="I696" s="178" t="n">
        <v>-7</v>
      </c>
      <c r="J696" s="178" t="n">
        <v>-31.5</v>
      </c>
      <c r="K696" s="179" t="inlineStr">
        <is>
          <t>9611 LONGCHEER</t>
        </is>
      </c>
    </row>
    <row r="697">
      <c r="A697" s="17" t="inlineStr">
        <is>
          <t>Endless Growth NH Limited</t>
        </is>
      </c>
      <c r="B697" s="171" t="n">
        <v>1</v>
      </c>
      <c r="C697" s="177" t="n">
        <v>100</v>
      </c>
      <c r="D697" s="178" t="n">
        <v>3.5</v>
      </c>
      <c r="E697" s="178" t="n">
        <v>-1.6</v>
      </c>
      <c r="F697" s="178" t="n">
        <v>-3.7</v>
      </c>
      <c r="G697" s="178" t="n">
        <v>-29.1</v>
      </c>
      <c r="H697" s="178" t="n">
        <v>-5</v>
      </c>
      <c r="I697" s="178" t="n">
        <v>-7</v>
      </c>
      <c r="J697" s="178" t="n">
        <v>-31.5</v>
      </c>
      <c r="K697" s="179" t="inlineStr">
        <is>
          <t>9611 LONGCHEER</t>
        </is>
      </c>
    </row>
    <row r="698">
      <c r="A698" s="17" t="inlineStr">
        <is>
          <t>Qualcomm Ventures LLC</t>
        </is>
      </c>
      <c r="B698" s="171" t="n">
        <v>1</v>
      </c>
      <c r="C698" s="177" t="n">
        <v>100</v>
      </c>
      <c r="D698" s="178" t="n">
        <v>3.5</v>
      </c>
      <c r="E698" s="178" t="n">
        <v>-1.6</v>
      </c>
      <c r="F698" s="178" t="n">
        <v>-3.7</v>
      </c>
      <c r="G698" s="178" t="n">
        <v>-29.1</v>
      </c>
      <c r="H698" s="178" t="n">
        <v>-5</v>
      </c>
      <c r="I698" s="178" t="n">
        <v>-7</v>
      </c>
      <c r="J698" s="178" t="n">
        <v>-31.5</v>
      </c>
      <c r="K698" s="179" t="inlineStr">
        <is>
          <t>9611 LONGCHEER</t>
        </is>
      </c>
    </row>
    <row r="699">
      <c r="A699" s="17" t="inlineStr">
        <is>
          <t>Hong Kong Yuto Printing Company Limited</t>
        </is>
      </c>
      <c r="B699" s="171" t="n">
        <v>1</v>
      </c>
      <c r="C699" s="177" t="n">
        <v>100</v>
      </c>
      <c r="D699" s="178" t="n">
        <v>3.5</v>
      </c>
      <c r="E699" s="178" t="n">
        <v>-1.6</v>
      </c>
      <c r="F699" s="178" t="n">
        <v>-3.7</v>
      </c>
      <c r="G699" s="178" t="n">
        <v>-29.1</v>
      </c>
      <c r="H699" s="178" t="n">
        <v>-5</v>
      </c>
      <c r="I699" s="178" t="n">
        <v>-7</v>
      </c>
      <c r="J699" s="178" t="n">
        <v>-31.5</v>
      </c>
      <c r="K699" s="179" t="inlineStr">
        <is>
          <t>9611 LONGCHEER</t>
        </is>
      </c>
    </row>
    <row r="700">
      <c r="A700" s="17" t="inlineStr">
        <is>
          <t>Liugong Machinery Hongkong Co., Limited</t>
        </is>
      </c>
      <c r="B700" s="171" t="n">
        <v>1</v>
      </c>
      <c r="C700" s="177" t="n">
        <v>100</v>
      </c>
      <c r="D700" s="178" t="n">
        <v>3.4</v>
      </c>
      <c r="E700" s="178" t="n">
        <v>3.8</v>
      </c>
      <c r="F700" s="178" t="n">
        <v>2.7</v>
      </c>
      <c r="G700" s="178" t="n">
        <v>0.1</v>
      </c>
      <c r="H700" s="178" t="n">
        <v>0.4</v>
      </c>
      <c r="I700" s="178" t="n">
        <v>-0.7</v>
      </c>
      <c r="J700" s="178" t="n">
        <v>-3.1</v>
      </c>
      <c r="K700" s="179" t="inlineStr">
        <is>
          <t>2499 FOLANGSI</t>
        </is>
      </c>
    </row>
    <row r="701">
      <c r="A701" s="17" t="inlineStr">
        <is>
          <t>Huang Guangwei</t>
        </is>
      </c>
      <c r="B701" s="171" t="n">
        <v>1</v>
      </c>
      <c r="C701" s="177" t="n">
        <v>100</v>
      </c>
      <c r="D701" s="178" t="n">
        <v>3.4</v>
      </c>
      <c r="E701" s="178" t="n">
        <v>14.9</v>
      </c>
      <c r="F701" s="178" t="n">
        <v>73.90000000000001</v>
      </c>
      <c r="G701" s="178" t="n">
        <v>89.8</v>
      </c>
      <c r="H701" s="178" t="n">
        <v>11.1</v>
      </c>
      <c r="I701" s="178" t="n">
        <v>68.2</v>
      </c>
      <c r="J701" s="178" t="n">
        <v>83.5</v>
      </c>
      <c r="K701" s="179" t="inlineStr">
        <is>
          <t>6681 BRAINAURORA-B</t>
        </is>
      </c>
    </row>
    <row r="702">
      <c r="A702" s="17" t="inlineStr">
        <is>
          <t>Internet Fund IIIA Pte Ltd</t>
        </is>
      </c>
      <c r="B702" s="171" t="n">
        <v>1</v>
      </c>
      <c r="C702" s="177" t="n">
        <v>100</v>
      </c>
      <c r="D702" s="178" t="n">
        <v>3.3</v>
      </c>
      <c r="E702" s="178" t="n">
        <v>16.3</v>
      </c>
      <c r="F702" s="178" t="n">
        <v>4.2</v>
      </c>
      <c r="G702" s="178" t="n">
        <v>-24.2</v>
      </c>
      <c r="H702" s="178" t="n">
        <v>12.6</v>
      </c>
      <c r="I702" s="178" t="n">
        <v>0.8</v>
      </c>
      <c r="J702" s="178" t="n">
        <v>-26.6</v>
      </c>
      <c r="K702" s="179" t="inlineStr">
        <is>
          <t>2618 JD LOGISTICS</t>
        </is>
      </c>
    </row>
    <row r="703">
      <c r="A703" s="17" t="inlineStr">
        <is>
          <t>SoftBank Group</t>
        </is>
      </c>
      <c r="B703" s="171" t="n">
        <v>1</v>
      </c>
      <c r="C703" s="177" t="n">
        <v>100</v>
      </c>
      <c r="D703" s="178" t="n">
        <v>3.3</v>
      </c>
      <c r="E703" s="178" t="n">
        <v>16.3</v>
      </c>
      <c r="F703" s="178" t="n">
        <v>4.2</v>
      </c>
      <c r="G703" s="178" t="n">
        <v>-24.2</v>
      </c>
      <c r="H703" s="178" t="n">
        <v>12.6</v>
      </c>
      <c r="I703" s="178" t="n">
        <v>0.8</v>
      </c>
      <c r="J703" s="178" t="n">
        <v>-26.6</v>
      </c>
      <c r="K703" s="179" t="inlineStr">
        <is>
          <t>2618 JD LOGISTICS</t>
        </is>
      </c>
    </row>
    <row r="704">
      <c r="A704" s="17" t="inlineStr">
        <is>
          <t>The Blackstone Group Inc</t>
        </is>
      </c>
      <c r="B704" s="171" t="n">
        <v>1</v>
      </c>
      <c r="C704" s="177" t="n">
        <v>100</v>
      </c>
      <c r="D704" s="178" t="n">
        <v>3.3</v>
      </c>
      <c r="E704" s="178" t="n">
        <v>16.3</v>
      </c>
      <c r="F704" s="178" t="n">
        <v>4.2</v>
      </c>
      <c r="G704" s="178" t="n">
        <v>-24.2</v>
      </c>
      <c r="H704" s="178" t="n">
        <v>12.6</v>
      </c>
      <c r="I704" s="178" t="n">
        <v>0.8</v>
      </c>
      <c r="J704" s="178" t="n">
        <v>-26.6</v>
      </c>
      <c r="K704" s="179" t="inlineStr">
        <is>
          <t>2618 JD LOGISTICS</t>
        </is>
      </c>
    </row>
    <row r="705">
      <c r="A705" s="17" t="inlineStr">
        <is>
          <t>Youyu Global Limited</t>
        </is>
      </c>
      <c r="B705" s="171" t="n">
        <v>1</v>
      </c>
      <c r="C705" s="177" t="n">
        <v>100</v>
      </c>
      <c r="D705" s="178" t="n">
        <v>3.1</v>
      </c>
      <c r="E705" s="178" t="n">
        <v>-6.5</v>
      </c>
      <c r="F705" s="178" t="n">
        <v>79.8</v>
      </c>
      <c r="G705" s="178" t="n">
        <v>22</v>
      </c>
      <c r="H705" s="178" t="n">
        <v>-9.4</v>
      </c>
      <c r="I705" s="178" t="n">
        <v>74.3</v>
      </c>
      <c r="J705" s="178" t="n">
        <v>18.3</v>
      </c>
      <c r="K705" s="179" t="inlineStr">
        <is>
          <t>2137 BRII - B</t>
        </is>
      </c>
    </row>
    <row r="706">
      <c r="A706" s="17" t="inlineStr">
        <is>
          <t>Beijing Xingxing Equity Investment Partnership (Limited Partnership)</t>
        </is>
      </c>
      <c r="B706" s="171" t="n">
        <v>1</v>
      </c>
      <c r="C706" s="177" t="n">
        <v>100</v>
      </c>
      <c r="D706" s="178" t="n">
        <v>3.1</v>
      </c>
      <c r="E706" s="178" t="n">
        <v>0.7</v>
      </c>
      <c r="F706" s="178" t="n">
        <v>5.5</v>
      </c>
      <c r="G706" s="178" t="n">
        <v>3.1</v>
      </c>
      <c r="H706" s="178" t="n">
        <v>-2.3</v>
      </c>
      <c r="I706" s="178" t="n">
        <v>2.3</v>
      </c>
      <c r="J706" s="178" t="n">
        <v>0</v>
      </c>
      <c r="K706" s="179" t="inlineStr">
        <is>
          <t>2315 BIOCYTOGEN-B</t>
        </is>
      </c>
    </row>
    <row r="707">
      <c r="A707" s="17" t="inlineStr">
        <is>
          <t>VEKEN (HONGKONG) ECONOMIC AND TRADE CO., LIMITED</t>
        </is>
      </c>
      <c r="B707" s="171" t="n">
        <v>1</v>
      </c>
      <c r="C707" s="177" t="n">
        <v>100</v>
      </c>
      <c r="D707" s="178" t="n">
        <v>3.1</v>
      </c>
      <c r="E707" s="178" t="n">
        <v>0.7</v>
      </c>
      <c r="F707" s="178" t="n">
        <v>5.5</v>
      </c>
      <c r="G707" s="178" t="n">
        <v>3.1</v>
      </c>
      <c r="H707" s="178" t="n">
        <v>-2.3</v>
      </c>
      <c r="I707" s="178" t="n">
        <v>2.3</v>
      </c>
      <c r="J707" s="178" t="n">
        <v>0</v>
      </c>
      <c r="K707" s="179" t="inlineStr">
        <is>
          <t>2315 BIOCYTOGEN-B</t>
        </is>
      </c>
    </row>
    <row r="708">
      <c r="A708" s="17" t="inlineStr">
        <is>
          <t>Kelun International Development Co., Limited</t>
        </is>
      </c>
      <c r="B708" s="171" t="n">
        <v>1</v>
      </c>
      <c r="C708" s="177" t="n">
        <v>100</v>
      </c>
      <c r="D708" s="178" t="n">
        <v>3.1</v>
      </c>
      <c r="E708" s="178" t="n">
        <v>8.9</v>
      </c>
      <c r="F708" s="178" t="n">
        <v>19.6</v>
      </c>
      <c r="G708" s="178" t="n">
        <v>33.7</v>
      </c>
      <c r="H708" s="178" t="n">
        <v>5.6</v>
      </c>
      <c r="I708" s="178" t="n">
        <v>16</v>
      </c>
      <c r="J708" s="178" t="n">
        <v>29.6</v>
      </c>
      <c r="K708" s="179" t="inlineStr">
        <is>
          <t>6990 SKB BIO-B</t>
        </is>
      </c>
    </row>
    <row r="709">
      <c r="A709" s="17" t="inlineStr">
        <is>
          <t>Jiangxi Copper (via GTJA OTC swaps)</t>
        </is>
      </c>
      <c r="B709" s="171" t="n">
        <v>1</v>
      </c>
      <c r="C709" s="177" t="n">
        <v>100</v>
      </c>
      <c r="D709" s="178" t="n">
        <v>2.9</v>
      </c>
      <c r="E709" s="178" t="n">
        <v>3</v>
      </c>
      <c r="F709" s="178" t="n">
        <v>1.1</v>
      </c>
      <c r="G709" s="178" t="n">
        <v>-28.1</v>
      </c>
      <c r="H709" s="178" t="n">
        <v>0.1</v>
      </c>
      <c r="I709" s="178" t="n">
        <v>-1.8</v>
      </c>
      <c r="J709" s="178" t="n">
        <v>-30.1</v>
      </c>
      <c r="K709" s="179" t="inlineStr">
        <is>
          <t>9981 WOER</t>
        </is>
      </c>
    </row>
    <row r="710">
      <c r="A710" s="17" t="inlineStr">
        <is>
          <t>Shen Zhen New World Investment (H.K.)</t>
        </is>
      </c>
      <c r="B710" s="171" t="n">
        <v>1</v>
      </c>
      <c r="C710" s="177" t="n">
        <v>100</v>
      </c>
      <c r="D710" s="178" t="n">
        <v>2.9</v>
      </c>
      <c r="E710" s="178" t="n">
        <v>3</v>
      </c>
      <c r="F710" s="178" t="n">
        <v>1.1</v>
      </c>
      <c r="G710" s="178" t="n">
        <v>-28.1</v>
      </c>
      <c r="H710" s="178" t="n">
        <v>0.1</v>
      </c>
      <c r="I710" s="178" t="n">
        <v>-1.8</v>
      </c>
      <c r="J710" s="178" t="n">
        <v>-30.1</v>
      </c>
      <c r="K710" s="179" t="inlineStr">
        <is>
          <t>9981 WOER</t>
        </is>
      </c>
    </row>
    <row r="711">
      <c r="A711" s="17" t="inlineStr">
        <is>
          <t>Best Cheer Development</t>
        </is>
      </c>
      <c r="B711" s="171" t="n">
        <v>1</v>
      </c>
      <c r="C711" s="177" t="n">
        <v>100</v>
      </c>
      <c r="D711" s="178" t="n">
        <v>2.9</v>
      </c>
      <c r="E711" s="178" t="n">
        <v>3</v>
      </c>
      <c r="F711" s="178" t="n">
        <v>1.1</v>
      </c>
      <c r="G711" s="178" t="n">
        <v>-28.1</v>
      </c>
      <c r="H711" s="178" t="n">
        <v>0.1</v>
      </c>
      <c r="I711" s="178" t="n">
        <v>-1.8</v>
      </c>
      <c r="J711" s="178" t="n">
        <v>-30.1</v>
      </c>
      <c r="K711" s="179" t="inlineStr">
        <is>
          <t>9981 WOER</t>
        </is>
      </c>
    </row>
    <row r="712">
      <c r="A712" s="17" t="inlineStr">
        <is>
          <t>Pu Xin (via GTJA OTC swaps)</t>
        </is>
      </c>
      <c r="B712" s="171" t="n">
        <v>1</v>
      </c>
      <c r="C712" s="177" t="n">
        <v>100</v>
      </c>
      <c r="D712" s="178" t="n">
        <v>2.9</v>
      </c>
      <c r="E712" s="178" t="n">
        <v>3</v>
      </c>
      <c r="F712" s="178" t="n">
        <v>1.1</v>
      </c>
      <c r="G712" s="178" t="n">
        <v>-28.1</v>
      </c>
      <c r="H712" s="178" t="n">
        <v>0.1</v>
      </c>
      <c r="I712" s="178" t="n">
        <v>-1.8</v>
      </c>
      <c r="J712" s="178" t="n">
        <v>-30.1</v>
      </c>
      <c r="K712" s="179" t="inlineStr">
        <is>
          <t>9981 WOER</t>
        </is>
      </c>
    </row>
    <row r="713">
      <c r="A713" s="17" t="inlineStr">
        <is>
          <t>Capchem (Hongkong)</t>
        </is>
      </c>
      <c r="B713" s="171" t="n">
        <v>1</v>
      </c>
      <c r="C713" s="177" t="n">
        <v>100</v>
      </c>
      <c r="D713" s="178" t="n">
        <v>2.9</v>
      </c>
      <c r="E713" s="178" t="n">
        <v>3</v>
      </c>
      <c r="F713" s="178" t="n">
        <v>1.1</v>
      </c>
      <c r="G713" s="178" t="n">
        <v>-28.1</v>
      </c>
      <c r="H713" s="178" t="n">
        <v>0.1</v>
      </c>
      <c r="I713" s="178" t="n">
        <v>-1.8</v>
      </c>
      <c r="J713" s="178" t="n">
        <v>-30.1</v>
      </c>
      <c r="K713" s="179" t="inlineStr">
        <is>
          <t>9981 WOER</t>
        </is>
      </c>
    </row>
    <row r="714">
      <c r="A714" s="17" t="inlineStr">
        <is>
          <t>Enhanced Investment Products (EIP)</t>
        </is>
      </c>
      <c r="B714" s="171" t="n">
        <v>1</v>
      </c>
      <c r="C714" s="177" t="n">
        <v>100</v>
      </c>
      <c r="D714" s="178" t="n">
        <v>2.9</v>
      </c>
      <c r="E714" s="178" t="n">
        <v>3</v>
      </c>
      <c r="F714" s="178" t="n">
        <v>1.1</v>
      </c>
      <c r="G714" s="178" t="n">
        <v>-28.1</v>
      </c>
      <c r="H714" s="178" t="n">
        <v>0.1</v>
      </c>
      <c r="I714" s="178" t="n">
        <v>-1.8</v>
      </c>
      <c r="J714" s="178" t="n">
        <v>-30.1</v>
      </c>
      <c r="K714" s="179" t="inlineStr">
        <is>
          <t>9981 WOER</t>
        </is>
      </c>
    </row>
    <row r="715">
      <c r="A715" s="17" t="inlineStr">
        <is>
          <t>PARTICIPATIONS 1</t>
        </is>
      </c>
      <c r="B715" s="171" t="n">
        <v>1</v>
      </c>
      <c r="C715" s="177" t="n">
        <v>100</v>
      </c>
      <c r="D715" s="178" t="n">
        <v>2.8</v>
      </c>
      <c r="E715" s="178" t="n">
        <v>19.6</v>
      </c>
      <c r="F715" s="178" t="n">
        <v>-4.8</v>
      </c>
      <c r="G715" s="178" t="n">
        <v>10</v>
      </c>
      <c r="H715" s="178" t="n">
        <v>16.3</v>
      </c>
      <c r="I715" s="178" t="n">
        <v>-7.3</v>
      </c>
      <c r="J715" s="178" t="n">
        <v>7.1</v>
      </c>
      <c r="K715" s="179" t="inlineStr">
        <is>
          <t>9660 HORIZONROBOT-W</t>
        </is>
      </c>
    </row>
    <row r="716">
      <c r="A716" s="17" t="inlineStr">
        <is>
          <t>Temasek</t>
        </is>
      </c>
      <c r="B716" s="171" t="n">
        <v>1</v>
      </c>
      <c r="C716" s="177" t="n">
        <v>100</v>
      </c>
      <c r="D716" s="178" t="n">
        <v>2.8</v>
      </c>
      <c r="E716" s="178" t="n">
        <v>6.7</v>
      </c>
      <c r="F716" s="178" t="n">
        <v>0.2</v>
      </c>
      <c r="G716" s="178" t="n">
        <v>18.8</v>
      </c>
      <c r="H716" s="178" t="n">
        <v>3.7</v>
      </c>
      <c r="I716" s="178" t="n">
        <v>-2.6</v>
      </c>
      <c r="J716" s="178" t="n">
        <v>15.5</v>
      </c>
      <c r="K716" s="179" t="inlineStr">
        <is>
          <t>6031 SANY HEAVY IND</t>
        </is>
      </c>
    </row>
    <row r="717">
      <c r="A717" s="17" t="inlineStr">
        <is>
          <t>Weichai Power</t>
        </is>
      </c>
      <c r="B717" s="171" t="n">
        <v>1</v>
      </c>
      <c r="C717" s="177" t="n">
        <v>100</v>
      </c>
      <c r="D717" s="178" t="n">
        <v>2.8</v>
      </c>
      <c r="E717" s="178" t="n">
        <v>6.7</v>
      </c>
      <c r="F717" s="178" t="n">
        <v>0.2</v>
      </c>
      <c r="G717" s="178" t="n">
        <v>18.8</v>
      </c>
      <c r="H717" s="178" t="n">
        <v>3.7</v>
      </c>
      <c r="I717" s="178" t="n">
        <v>-2.6</v>
      </c>
      <c r="J717" s="178" t="n">
        <v>15.5</v>
      </c>
      <c r="K717" s="179" t="inlineStr">
        <is>
          <t>6031 SANY HEAVY IND</t>
        </is>
      </c>
    </row>
    <row r="718">
      <c r="A718" s="17" t="inlineStr">
        <is>
          <t>Heyuan Trading (Hong Kong) Limited</t>
        </is>
      </c>
      <c r="B718" s="171" t="n">
        <v>1</v>
      </c>
      <c r="C718" s="177" t="n">
        <v>100</v>
      </c>
      <c r="D718" s="178" t="n">
        <v>2.5</v>
      </c>
      <c r="E718" s="178" t="n">
        <v>-10.2</v>
      </c>
      <c r="F718" s="178" t="n">
        <v>-27.1</v>
      </c>
      <c r="G718" s="178" t="n">
        <v>-43.2</v>
      </c>
      <c r="H718" s="178" t="n">
        <v>-12.4</v>
      </c>
      <c r="I718" s="178" t="n">
        <v>-28.9</v>
      </c>
      <c r="J718" s="178" t="n">
        <v>-44.6</v>
      </c>
      <c r="K718" s="179" t="inlineStr">
        <is>
          <t>2271 ZHONGAN SERVICE</t>
        </is>
      </c>
    </row>
    <row r="719">
      <c r="A719" s="17" t="inlineStr">
        <is>
          <t>Wu Mingwu</t>
        </is>
      </c>
      <c r="B719" s="171" t="n">
        <v>1</v>
      </c>
      <c r="C719" s="177" t="n">
        <v>100</v>
      </c>
      <c r="D719" s="178" t="n">
        <v>2.5</v>
      </c>
      <c r="E719" s="178" t="n">
        <v>-10.2</v>
      </c>
      <c r="F719" s="178" t="n">
        <v>-27.1</v>
      </c>
      <c r="G719" s="178" t="n">
        <v>-43.2</v>
      </c>
      <c r="H719" s="178" t="n">
        <v>-12.4</v>
      </c>
      <c r="I719" s="178" t="n">
        <v>-28.9</v>
      </c>
      <c r="J719" s="178" t="n">
        <v>-44.6</v>
      </c>
      <c r="K719" s="179" t="inlineStr">
        <is>
          <t>2271 ZHONGAN SERVICE</t>
        </is>
      </c>
    </row>
    <row r="720">
      <c r="A720" s="17" t="inlineStr">
        <is>
          <t>BeingBoom Capital Limited</t>
        </is>
      </c>
      <c r="B720" s="171" t="n">
        <v>1</v>
      </c>
      <c r="C720" s="177" t="n">
        <v>100</v>
      </c>
      <c r="D720" s="178" t="n">
        <v>2.4</v>
      </c>
      <c r="E720" s="178" t="n">
        <v>11.4</v>
      </c>
      <c r="F720" s="178" t="n">
        <v>-7.5</v>
      </c>
      <c r="G720" s="178" t="n">
        <v>-13.1</v>
      </c>
      <c r="H720" s="178" t="n">
        <v>8.800000000000001</v>
      </c>
      <c r="I720" s="178" t="n">
        <v>-9.699999999999999</v>
      </c>
      <c r="J720" s="178" t="n">
        <v>-15.1</v>
      </c>
      <c r="K720" s="179" t="inlineStr">
        <is>
          <t>2692 ZHAOWEI</t>
        </is>
      </c>
    </row>
    <row r="721">
      <c r="A721" s="17" t="inlineStr">
        <is>
          <t>Hengbang and China Galaxy International Investment Company Limited</t>
        </is>
      </c>
      <c r="B721" s="171" t="n">
        <v>1</v>
      </c>
      <c r="C721" s="177" t="n">
        <v>100</v>
      </c>
      <c r="D721" s="178" t="n">
        <v>2.4</v>
      </c>
      <c r="E721" s="178" t="n">
        <v>11.4</v>
      </c>
      <c r="F721" s="178" t="n">
        <v>-7.5</v>
      </c>
      <c r="G721" s="178" t="n">
        <v>-13.1</v>
      </c>
      <c r="H721" s="178" t="n">
        <v>8.800000000000001</v>
      </c>
      <c r="I721" s="178" t="n">
        <v>-9.699999999999999</v>
      </c>
      <c r="J721" s="178" t="n">
        <v>-15.1</v>
      </c>
      <c r="K721" s="179" t="inlineStr">
        <is>
          <t>2692 ZHAOWEI</t>
        </is>
      </c>
    </row>
    <row r="722">
      <c r="A722" s="17" t="inlineStr">
        <is>
          <t>Mr. He Maoling</t>
        </is>
      </c>
      <c r="B722" s="171" t="n">
        <v>1</v>
      </c>
      <c r="C722" s="177" t="n">
        <v>100</v>
      </c>
      <c r="D722" s="178" t="n">
        <v>2.4</v>
      </c>
      <c r="E722" s="178" t="n">
        <v>11.4</v>
      </c>
      <c r="F722" s="178" t="n">
        <v>-7.5</v>
      </c>
      <c r="G722" s="178" t="n">
        <v>-13.1</v>
      </c>
      <c r="H722" s="178" t="n">
        <v>8.800000000000001</v>
      </c>
      <c r="I722" s="178" t="n">
        <v>-9.699999999999999</v>
      </c>
      <c r="J722" s="178" t="n">
        <v>-15.1</v>
      </c>
      <c r="K722" s="179" t="inlineStr">
        <is>
          <t>2692 ZHAOWEI</t>
        </is>
      </c>
    </row>
    <row r="723">
      <c r="A723" s="17" t="inlineStr">
        <is>
          <t>TOPSTAR WORLDWIDE GROUP LIMITED</t>
        </is>
      </c>
      <c r="B723" s="171" t="n">
        <v>1</v>
      </c>
      <c r="C723" s="177" t="n">
        <v>100</v>
      </c>
      <c r="D723" s="178" t="n">
        <v>2.4</v>
      </c>
      <c r="E723" s="178" t="n">
        <v>11.4</v>
      </c>
      <c r="F723" s="178" t="n">
        <v>-7.5</v>
      </c>
      <c r="G723" s="178" t="n">
        <v>-13.1</v>
      </c>
      <c r="H723" s="178" t="n">
        <v>8.800000000000001</v>
      </c>
      <c r="I723" s="178" t="n">
        <v>-9.699999999999999</v>
      </c>
      <c r="J723" s="178" t="n">
        <v>-15.1</v>
      </c>
      <c r="K723" s="179" t="inlineStr">
        <is>
          <t>2692 ZHAOWEI</t>
        </is>
      </c>
    </row>
    <row r="724">
      <c r="A724" s="17" t="inlineStr">
        <is>
          <t>W Investment Company Limited</t>
        </is>
      </c>
      <c r="B724" s="171" t="n">
        <v>1</v>
      </c>
      <c r="C724" s="177" t="n">
        <v>100</v>
      </c>
      <c r="D724" s="178" t="n">
        <v>2.4</v>
      </c>
      <c r="E724" s="178" t="n">
        <v>11.4</v>
      </c>
      <c r="F724" s="178" t="n">
        <v>-7.5</v>
      </c>
      <c r="G724" s="178" t="n">
        <v>-13.1</v>
      </c>
      <c r="H724" s="178" t="n">
        <v>8.800000000000001</v>
      </c>
      <c r="I724" s="178" t="n">
        <v>-9.699999999999999</v>
      </c>
      <c r="J724" s="178" t="n">
        <v>-15.1</v>
      </c>
      <c r="K724" s="179" t="inlineStr">
        <is>
          <t>2692 ZHAOWEI</t>
        </is>
      </c>
    </row>
    <row r="725">
      <c r="A725" s="17" t="inlineStr">
        <is>
          <t>Lai Shixian</t>
        </is>
      </c>
      <c r="B725" s="171" t="n">
        <v>1</v>
      </c>
      <c r="C725" s="177" t="n">
        <v>100</v>
      </c>
      <c r="D725" s="178" t="n">
        <v>2</v>
      </c>
      <c r="E725" s="178" t="n">
        <v>-15.8</v>
      </c>
      <c r="F725" s="178" t="n">
        <v>-64.3</v>
      </c>
      <c r="G725" s="178" t="n">
        <v>-70.90000000000001</v>
      </c>
      <c r="H725" s="178" t="n">
        <v>-17.5</v>
      </c>
      <c r="I725" s="178" t="n">
        <v>-65</v>
      </c>
      <c r="J725" s="178" t="n">
        <v>-71.5</v>
      </c>
      <c r="K725" s="179" t="inlineStr">
        <is>
          <t>6696 MANY IDEA CLOUD</t>
        </is>
      </c>
    </row>
    <row r="726">
      <c r="A726" s="17" t="inlineStr">
        <is>
          <t>SCHP Master Fund</t>
        </is>
      </c>
      <c r="B726" s="171" t="n">
        <v>1</v>
      </c>
      <c r="C726" s="177" t="n">
        <v>100</v>
      </c>
      <c r="D726" s="178" t="n">
        <v>1.8</v>
      </c>
      <c r="E726" s="178" t="n">
        <v>10.1</v>
      </c>
      <c r="F726" s="178" t="n">
        <v>0.2</v>
      </c>
      <c r="G726" s="178" t="n">
        <v>-8.699999999999999</v>
      </c>
      <c r="H726" s="178" t="n">
        <v>8.1</v>
      </c>
      <c r="I726" s="178" t="n">
        <v>-1.6</v>
      </c>
      <c r="J726" s="178" t="n">
        <v>-10.3</v>
      </c>
      <c r="K726" s="179" t="inlineStr">
        <is>
          <t>2179 RECBIO-B</t>
        </is>
      </c>
    </row>
    <row r="727">
      <c r="A727" s="17" t="inlineStr">
        <is>
          <t>Dongfang Gold Industry (Hong Kong) Limited</t>
        </is>
      </c>
      <c r="B727" s="171" t="n">
        <v>1</v>
      </c>
      <c r="C727" s="177" t="n">
        <v>100</v>
      </c>
      <c r="D727" s="178" t="n">
        <v>1.8</v>
      </c>
      <c r="E727" s="178" t="n">
        <v>0</v>
      </c>
      <c r="F727" s="178" t="n">
        <v>1.8</v>
      </c>
      <c r="G727" s="178" t="n">
        <v>12.7</v>
      </c>
      <c r="H727" s="178" t="n">
        <v>-1.8</v>
      </c>
      <c r="I727" s="178" t="n">
        <v>0</v>
      </c>
      <c r="J727" s="178" t="n">
        <v>10.7</v>
      </c>
      <c r="K727" s="179" t="inlineStr">
        <is>
          <t>2489 PERSISTENCE RES</t>
        </is>
      </c>
    </row>
    <row r="728">
      <c r="A728" s="17" t="inlineStr">
        <is>
          <t>LifeTech Scientific Corporation</t>
        </is>
      </c>
      <c r="B728" s="171" t="n">
        <v>1</v>
      </c>
      <c r="C728" s="177" t="n">
        <v>100</v>
      </c>
      <c r="D728" s="178" t="n">
        <v>1.6</v>
      </c>
      <c r="E728" s="178" t="n">
        <v>0.5</v>
      </c>
      <c r="F728" s="178" t="n">
        <v>11.5</v>
      </c>
      <c r="G728" s="178" t="n">
        <v>28.4</v>
      </c>
      <c r="H728" s="178" t="n">
        <v>-1.1</v>
      </c>
      <c r="I728" s="178" t="n">
        <v>9.699999999999999</v>
      </c>
      <c r="J728" s="178" t="n">
        <v>26.4</v>
      </c>
      <c r="K728" s="179" t="inlineStr">
        <is>
          <t>9877 JENSCARE-B</t>
        </is>
      </c>
    </row>
    <row r="729">
      <c r="A729" s="17" t="inlineStr">
        <is>
          <t>Guiyang Agricultural Investment Development Co., Ltd</t>
        </is>
      </c>
      <c r="B729" s="171" t="n">
        <v>1</v>
      </c>
      <c r="C729" s="177" t="n">
        <v>100</v>
      </c>
      <c r="D729" s="178" t="n">
        <v>1.5</v>
      </c>
      <c r="E729" s="178" t="n">
        <v>2.2</v>
      </c>
      <c r="F729" s="178" t="n">
        <v>59.7</v>
      </c>
      <c r="G729" s="178" t="n">
        <v>18.9</v>
      </c>
      <c r="H729" s="178" t="n">
        <v>0.7</v>
      </c>
      <c r="I729" s="178" t="n">
        <v>57.3</v>
      </c>
      <c r="J729" s="178" t="n">
        <v>17.2</v>
      </c>
      <c r="K729" s="179" t="inlineStr">
        <is>
          <t>2419 DEKON AGR</t>
        </is>
      </c>
    </row>
    <row r="730">
      <c r="A730" s="17" t="inlineStr">
        <is>
          <t>Quxian Huixing Industrial Investment Co., Ltd</t>
        </is>
      </c>
      <c r="B730" s="171" t="n">
        <v>1</v>
      </c>
      <c r="C730" s="177" t="n">
        <v>100</v>
      </c>
      <c r="D730" s="178" t="n">
        <v>1.5</v>
      </c>
      <c r="E730" s="178" t="n">
        <v>2.2</v>
      </c>
      <c r="F730" s="178" t="n">
        <v>59.7</v>
      </c>
      <c r="G730" s="178" t="n">
        <v>18.9</v>
      </c>
      <c r="H730" s="178" t="n">
        <v>0.7</v>
      </c>
      <c r="I730" s="178" t="n">
        <v>57.3</v>
      </c>
      <c r="J730" s="178" t="n">
        <v>17.2</v>
      </c>
      <c r="K730" s="179" t="inlineStr">
        <is>
          <t>2419 DEKON AGR</t>
        </is>
      </c>
    </row>
    <row r="731">
      <c r="A731" s="17" t="inlineStr">
        <is>
          <t>Xiushan County Xinzhiyuan Market Management Co., Ltd</t>
        </is>
      </c>
      <c r="B731" s="171" t="n">
        <v>1</v>
      </c>
      <c r="C731" s="177" t="n">
        <v>100</v>
      </c>
      <c r="D731" s="178" t="n">
        <v>1.5</v>
      </c>
      <c r="E731" s="178" t="n">
        <v>2.2</v>
      </c>
      <c r="F731" s="178" t="n">
        <v>59.7</v>
      </c>
      <c r="G731" s="178" t="n">
        <v>18.9</v>
      </c>
      <c r="H731" s="178" t="n">
        <v>0.7</v>
      </c>
      <c r="I731" s="178" t="n">
        <v>57.3</v>
      </c>
      <c r="J731" s="178" t="n">
        <v>17.2</v>
      </c>
      <c r="K731" s="179" t="inlineStr">
        <is>
          <t>2419 DEKON AGR</t>
        </is>
      </c>
    </row>
    <row r="732">
      <c r="A732" s="17" t="inlineStr">
        <is>
          <t>True Light Investments H Pte. Ltd</t>
        </is>
      </c>
      <c r="B732" s="171" t="n">
        <v>1</v>
      </c>
      <c r="C732" s="177" t="n">
        <v>100</v>
      </c>
      <c r="D732" s="178" t="n">
        <v>1.5</v>
      </c>
      <c r="E732" s="178" t="n">
        <v>0.8</v>
      </c>
      <c r="F732" s="178" t="n">
        <v>-13.9</v>
      </c>
      <c r="G732" s="178" t="n">
        <v>-12.5</v>
      </c>
      <c r="H732" s="178" t="n">
        <v>-0.7</v>
      </c>
      <c r="I732" s="178" t="n">
        <v>-15.2</v>
      </c>
      <c r="J732" s="178" t="n">
        <v>-13.8</v>
      </c>
      <c r="K732" s="179" t="inlineStr">
        <is>
          <t>9980 EASTROC</t>
        </is>
      </c>
    </row>
    <row r="733">
      <c r="A733" s="17" t="inlineStr">
        <is>
          <t>Investments 1 Limited</t>
        </is>
      </c>
      <c r="B733" s="171" t="n">
        <v>1</v>
      </c>
      <c r="C733" s="177" t="n">
        <v>100</v>
      </c>
      <c r="D733" s="178" t="n">
        <v>1.5</v>
      </c>
      <c r="E733" s="178" t="n">
        <v>0.8</v>
      </c>
      <c r="F733" s="178" t="n">
        <v>-13.9</v>
      </c>
      <c r="G733" s="178" t="n">
        <v>-12.5</v>
      </c>
      <c r="H733" s="178" t="n">
        <v>-0.7</v>
      </c>
      <c r="I733" s="178" t="n">
        <v>-15.2</v>
      </c>
      <c r="J733" s="178" t="n">
        <v>-13.8</v>
      </c>
      <c r="K733" s="179" t="inlineStr">
        <is>
          <t>9980 EASTROC</t>
        </is>
      </c>
    </row>
    <row r="734">
      <c r="A734" s="17" t="inlineStr">
        <is>
          <t>Amazing Mountain Limited</t>
        </is>
      </c>
      <c r="B734" s="171" t="n">
        <v>1</v>
      </c>
      <c r="C734" s="177" t="n">
        <v>100</v>
      </c>
      <c r="D734" s="178" t="n">
        <v>1.5</v>
      </c>
      <c r="E734" s="178" t="n">
        <v>0.8</v>
      </c>
      <c r="F734" s="178" t="n">
        <v>-13.9</v>
      </c>
      <c r="G734" s="178" t="n">
        <v>-12.5</v>
      </c>
      <c r="H734" s="178" t="n">
        <v>-0.7</v>
      </c>
      <c r="I734" s="178" t="n">
        <v>-15.2</v>
      </c>
      <c r="J734" s="178" t="n">
        <v>-13.8</v>
      </c>
      <c r="K734" s="179" t="inlineStr">
        <is>
          <t>9980 EASTROC</t>
        </is>
      </c>
    </row>
    <row r="735">
      <c r="A735" s="17" t="inlineStr">
        <is>
          <t>Phase II L.P</t>
        </is>
      </c>
      <c r="B735" s="171" t="n">
        <v>1</v>
      </c>
      <c r="C735" s="177" t="n">
        <v>100</v>
      </c>
      <c r="D735" s="178" t="n">
        <v>1.5</v>
      </c>
      <c r="E735" s="178" t="n">
        <v>0.8</v>
      </c>
      <c r="F735" s="178" t="n">
        <v>-13.9</v>
      </c>
      <c r="G735" s="178" t="n">
        <v>-12.5</v>
      </c>
      <c r="H735" s="178" t="n">
        <v>-0.7</v>
      </c>
      <c r="I735" s="178" t="n">
        <v>-15.2</v>
      </c>
      <c r="J735" s="178" t="n">
        <v>-13.8</v>
      </c>
      <c r="K735" s="179" t="inlineStr">
        <is>
          <t>9980 EASTROC</t>
        </is>
      </c>
    </row>
    <row r="736">
      <c r="A736" s="17" t="inlineStr">
        <is>
          <t>China Winning Limited</t>
        </is>
      </c>
      <c r="B736" s="171" t="n">
        <v>1</v>
      </c>
      <c r="C736" s="177" t="n">
        <v>100</v>
      </c>
      <c r="D736" s="178" t="n">
        <v>1.5</v>
      </c>
      <c r="E736" s="178" t="n">
        <v>-10.1</v>
      </c>
      <c r="F736" s="178" t="n">
        <v>-20</v>
      </c>
      <c r="G736" s="178" t="n">
        <v>-29.1</v>
      </c>
      <c r="H736" s="178" t="n">
        <v>-11.4</v>
      </c>
      <c r="I736" s="178" t="n">
        <v>-21.2</v>
      </c>
      <c r="J736" s="178" t="n">
        <v>-30.2</v>
      </c>
      <c r="K736" s="179" t="inlineStr">
        <is>
          <t>3268 MEIG</t>
        </is>
      </c>
    </row>
    <row r="737">
      <c r="A737" s="17" t="inlineStr">
        <is>
          <t>Meiko Elec. Hong Kong Co., Limited</t>
        </is>
      </c>
      <c r="B737" s="171" t="n">
        <v>1</v>
      </c>
      <c r="C737" s="177" t="n">
        <v>100</v>
      </c>
      <c r="D737" s="178" t="n">
        <v>1.5</v>
      </c>
      <c r="E737" s="178" t="n">
        <v>-10.1</v>
      </c>
      <c r="F737" s="178" t="n">
        <v>-20</v>
      </c>
      <c r="G737" s="178" t="n">
        <v>-29.1</v>
      </c>
      <c r="H737" s="178" t="n">
        <v>-11.4</v>
      </c>
      <c r="I737" s="178" t="n">
        <v>-21.2</v>
      </c>
      <c r="J737" s="178" t="n">
        <v>-30.2</v>
      </c>
      <c r="K737" s="179" t="inlineStr">
        <is>
          <t>3268 MEIG</t>
        </is>
      </c>
    </row>
    <row r="738">
      <c r="A738" s="17" t="inlineStr">
        <is>
          <t>Mr. Chau Tsang Cheong</t>
        </is>
      </c>
      <c r="B738" s="171" t="n">
        <v>1</v>
      </c>
      <c r="C738" s="177" t="n">
        <v>100</v>
      </c>
      <c r="D738" s="178" t="n">
        <v>1.5</v>
      </c>
      <c r="E738" s="178" t="n">
        <v>-10.1</v>
      </c>
      <c r="F738" s="178" t="n">
        <v>-20</v>
      </c>
      <c r="G738" s="178" t="n">
        <v>-29.1</v>
      </c>
      <c r="H738" s="178" t="n">
        <v>-11.4</v>
      </c>
      <c r="I738" s="178" t="n">
        <v>-21.2</v>
      </c>
      <c r="J738" s="178" t="n">
        <v>-30.2</v>
      </c>
      <c r="K738" s="179" t="inlineStr">
        <is>
          <t>3268 MEIG</t>
        </is>
      </c>
    </row>
    <row r="739">
      <c r="A739" s="17" t="inlineStr">
        <is>
          <t>Open Wealth Management Limited</t>
        </is>
      </c>
      <c r="B739" s="171" t="n">
        <v>1</v>
      </c>
      <c r="C739" s="177" t="n">
        <v>100</v>
      </c>
      <c r="D739" s="178" t="n">
        <v>1.5</v>
      </c>
      <c r="E739" s="178" t="n">
        <v>-10.1</v>
      </c>
      <c r="F739" s="178" t="n">
        <v>-20</v>
      </c>
      <c r="G739" s="178" t="n">
        <v>-29.1</v>
      </c>
      <c r="H739" s="178" t="n">
        <v>-11.4</v>
      </c>
      <c r="I739" s="178" t="n">
        <v>-21.2</v>
      </c>
      <c r="J739" s="178" t="n">
        <v>-30.2</v>
      </c>
      <c r="K739" s="179" t="inlineStr">
        <is>
          <t>3268 MEIG</t>
        </is>
      </c>
    </row>
    <row r="740">
      <c r="A740" s="17" t="inlineStr">
        <is>
          <t>WinTwin Capital Limited</t>
        </is>
      </c>
      <c r="B740" s="171" t="n">
        <v>1</v>
      </c>
      <c r="C740" s="177" t="n">
        <v>100</v>
      </c>
      <c r="D740" s="178" t="n">
        <v>1.2</v>
      </c>
      <c r="E740" s="178" t="n">
        <v>17</v>
      </c>
      <c r="F740" s="178" t="n">
        <v>-25.3</v>
      </c>
      <c r="G740" s="178" t="n">
        <v>-1.3</v>
      </c>
      <c r="H740" s="178" t="n">
        <v>15.5</v>
      </c>
      <c r="I740" s="178" t="n">
        <v>-26.2</v>
      </c>
      <c r="J740" s="178" t="n">
        <v>-2.5</v>
      </c>
      <c r="K740" s="179" t="inlineStr">
        <is>
          <t>2170 BASECARE-B</t>
        </is>
      </c>
    </row>
    <row r="741">
      <c r="A741" s="17" t="inlineStr">
        <is>
          <t>RSC Ltd</t>
        </is>
      </c>
      <c r="B741" s="171" t="n">
        <v>1</v>
      </c>
      <c r="C741" s="177" t="n">
        <v>100</v>
      </c>
      <c r="D741" s="178" t="n">
        <v>1.1</v>
      </c>
      <c r="E741" s="178" t="n">
        <v>0.7</v>
      </c>
      <c r="F741" s="178" t="n">
        <v>0.3</v>
      </c>
      <c r="G741" s="178" t="n">
        <v>21.1</v>
      </c>
      <c r="H741" s="178" t="n">
        <v>-0.4</v>
      </c>
      <c r="I741" s="178" t="n">
        <v>-0.8</v>
      </c>
      <c r="J741" s="178" t="n">
        <v>19.8</v>
      </c>
      <c r="K741" s="179" t="inlineStr">
        <is>
          <t>1828 FWD</t>
        </is>
      </c>
    </row>
    <row r="742">
      <c r="A742" s="17" t="inlineStr">
        <is>
          <t>Crimson White Investment Pte. Ltd</t>
        </is>
      </c>
      <c r="B742" s="171" t="n">
        <v>1</v>
      </c>
      <c r="C742" s="177" t="n">
        <v>100</v>
      </c>
      <c r="D742" s="178" t="n">
        <v>1.1</v>
      </c>
      <c r="E742" s="178" t="n">
        <v>0.7</v>
      </c>
      <c r="F742" s="178" t="n">
        <v>0.3</v>
      </c>
      <c r="G742" s="178" t="n">
        <v>21.1</v>
      </c>
      <c r="H742" s="178" t="n">
        <v>-0.4</v>
      </c>
      <c r="I742" s="178" t="n">
        <v>-0.8</v>
      </c>
      <c r="J742" s="178" t="n">
        <v>19.8</v>
      </c>
      <c r="K742" s="179" t="inlineStr">
        <is>
          <t>1828 FWD</t>
        </is>
      </c>
    </row>
    <row r="743">
      <c r="A743" s="17" t="inlineStr">
        <is>
          <t>Apollo Principal Holdings C, L.P</t>
        </is>
      </c>
      <c r="B743" s="171" t="n">
        <v>1</v>
      </c>
      <c r="C743" s="177" t="n">
        <v>100</v>
      </c>
      <c r="D743" s="178" t="n">
        <v>1.1</v>
      </c>
      <c r="E743" s="178" t="n">
        <v>0.7</v>
      </c>
      <c r="F743" s="178" t="n">
        <v>0.3</v>
      </c>
      <c r="G743" s="178" t="n">
        <v>21.1</v>
      </c>
      <c r="H743" s="178" t="n">
        <v>-0.4</v>
      </c>
      <c r="I743" s="178" t="n">
        <v>-0.8</v>
      </c>
      <c r="J743" s="178" t="n">
        <v>19.8</v>
      </c>
      <c r="K743" s="179" t="inlineStr">
        <is>
          <t>1828 FWD</t>
        </is>
      </c>
    </row>
    <row r="744">
      <c r="A744" s="17" t="inlineStr">
        <is>
          <t>SCB X Public Company Limited</t>
        </is>
      </c>
      <c r="B744" s="171" t="n">
        <v>1</v>
      </c>
      <c r="C744" s="177" t="n">
        <v>100</v>
      </c>
      <c r="D744" s="178" t="n">
        <v>1.1</v>
      </c>
      <c r="E744" s="178" t="n">
        <v>0.7</v>
      </c>
      <c r="F744" s="178" t="n">
        <v>0.3</v>
      </c>
      <c r="G744" s="178" t="n">
        <v>21.1</v>
      </c>
      <c r="H744" s="178" t="n">
        <v>-0.4</v>
      </c>
      <c r="I744" s="178" t="n">
        <v>-0.8</v>
      </c>
      <c r="J744" s="178" t="n">
        <v>19.8</v>
      </c>
      <c r="K744" s="179" t="inlineStr">
        <is>
          <t>1828 FWD</t>
        </is>
      </c>
    </row>
    <row r="745">
      <c r="A745" s="17" t="inlineStr">
        <is>
          <t>DGA Capital (Master) Fund I LP</t>
        </is>
      </c>
      <c r="B745" s="171" t="n">
        <v>1</v>
      </c>
      <c r="C745" s="177" t="n">
        <v>100</v>
      </c>
      <c r="D745" s="178" t="n">
        <v>1.1</v>
      </c>
      <c r="E745" s="178" t="n">
        <v>0.7</v>
      </c>
      <c r="F745" s="178" t="n">
        <v>0.3</v>
      </c>
      <c r="G745" s="178" t="n">
        <v>21.1</v>
      </c>
      <c r="H745" s="178" t="n">
        <v>-0.4</v>
      </c>
      <c r="I745" s="178" t="n">
        <v>-0.8</v>
      </c>
      <c r="J745" s="178" t="n">
        <v>19.8</v>
      </c>
      <c r="K745" s="179" t="inlineStr">
        <is>
          <t>1828 FWD</t>
        </is>
      </c>
    </row>
    <row r="746">
      <c r="A746" s="17" t="inlineStr">
        <is>
          <t>Mr. Wang Wei</t>
        </is>
      </c>
      <c r="B746" s="171" t="n">
        <v>1</v>
      </c>
      <c r="C746" s="177" t="n">
        <v>100</v>
      </c>
      <c r="D746" s="178" t="n">
        <v>1</v>
      </c>
      <c r="E746" s="178" t="n">
        <v>1.5</v>
      </c>
      <c r="F746" s="178" t="n">
        <v>23.8</v>
      </c>
      <c r="G746" s="178" t="n">
        <v>313.5</v>
      </c>
      <c r="H746" s="178" t="n">
        <v>0.5</v>
      </c>
      <c r="I746" s="178" t="n">
        <v>22.5</v>
      </c>
      <c r="J746" s="178" t="n">
        <v>309.3</v>
      </c>
      <c r="K746" s="179" t="inlineStr">
        <is>
          <t>3317 XUNCE</t>
        </is>
      </c>
    </row>
    <row r="747">
      <c r="A747" s="17" t="inlineStr">
        <is>
          <t>Chongqing Dazuhuaiyuan Construction Investment Co., L</t>
        </is>
      </c>
      <c r="B747" s="171" t="n">
        <v>1</v>
      </c>
      <c r="C747" s="177" t="n">
        <v>100</v>
      </c>
      <c r="D747" s="178" t="n">
        <v>0.9</v>
      </c>
      <c r="E747" s="178" t="n">
        <v>-1.6</v>
      </c>
      <c r="F747" s="178" t="n">
        <v>0.5</v>
      </c>
      <c r="G747" s="178" t="n">
        <v>-1.4</v>
      </c>
      <c r="H747" s="178" t="n">
        <v>-2.6</v>
      </c>
      <c r="I747" s="178" t="n">
        <v>-0.4</v>
      </c>
      <c r="J747" s="178" t="n">
        <v>-2.3</v>
      </c>
      <c r="K747" s="179" t="inlineStr">
        <is>
          <t>2451 LUYUAN GP HLDG</t>
        </is>
      </c>
    </row>
    <row r="748">
      <c r="A748" s="17" t="inlineStr">
        <is>
          <t>Phylion Battery Co., Ltd</t>
        </is>
      </c>
      <c r="B748" s="171" t="n">
        <v>1</v>
      </c>
      <c r="C748" s="177" t="n">
        <v>100</v>
      </c>
      <c r="D748" s="178" t="n">
        <v>0.9</v>
      </c>
      <c r="E748" s="178" t="n">
        <v>-1.6</v>
      </c>
      <c r="F748" s="178" t="n">
        <v>0.5</v>
      </c>
      <c r="G748" s="178" t="n">
        <v>-1.4</v>
      </c>
      <c r="H748" s="178" t="n">
        <v>-2.6</v>
      </c>
      <c r="I748" s="178" t="n">
        <v>-0.4</v>
      </c>
      <c r="J748" s="178" t="n">
        <v>-2.3</v>
      </c>
      <c r="K748" s="179" t="inlineStr">
        <is>
          <t>2451 LUYUAN GP HLDG</t>
        </is>
      </c>
    </row>
    <row r="749">
      <c r="A749" s="17" t="inlineStr">
        <is>
          <t>E-Town International Holding (Hong Kong) Co., Limited</t>
        </is>
      </c>
      <c r="B749" s="171" t="n">
        <v>1</v>
      </c>
      <c r="C749" s="177" t="n">
        <v>100</v>
      </c>
      <c r="D749" s="178" t="n">
        <v>0.9</v>
      </c>
      <c r="E749" s="178" t="n">
        <v>-2.2</v>
      </c>
      <c r="F749" s="178" t="n">
        <v>0</v>
      </c>
      <c r="G749" s="178" t="n">
        <v>143.8</v>
      </c>
      <c r="H749" s="178" t="n">
        <v>-3.1</v>
      </c>
      <c r="I749" s="178" t="n">
        <v>-0.9</v>
      </c>
      <c r="J749" s="178" t="n">
        <v>141.5</v>
      </c>
      <c r="K749" s="179" t="inlineStr">
        <is>
          <t>9880 UBTECH ROBOTICS</t>
        </is>
      </c>
    </row>
    <row r="750">
      <c r="A750" s="17" t="inlineStr">
        <is>
          <t>Chen Xiong</t>
        </is>
      </c>
      <c r="B750" s="171" t="n">
        <v>1</v>
      </c>
      <c r="C750" s="177" t="n">
        <v>100</v>
      </c>
      <c r="D750" s="178" t="n">
        <v>0.8</v>
      </c>
      <c r="E750" s="178" t="n">
        <v>0.8</v>
      </c>
      <c r="F750" s="178" t="n">
        <v>0</v>
      </c>
      <c r="G750" s="178" t="n">
        <v>0</v>
      </c>
      <c r="H750" s="178" t="n">
        <v>0</v>
      </c>
      <c r="I750" s="178" t="n">
        <v>-0.8</v>
      </c>
      <c r="J750" s="178" t="n">
        <v>-0.8</v>
      </c>
      <c r="K750" s="179" t="inlineStr">
        <is>
          <t>2260 VANOV HOLDINGS</t>
        </is>
      </c>
    </row>
    <row r="751">
      <c r="A751" s="17" t="inlineStr">
        <is>
          <t>Gong Chaohui</t>
        </is>
      </c>
      <c r="B751" s="171" t="n">
        <v>1</v>
      </c>
      <c r="C751" s="177" t="n">
        <v>100</v>
      </c>
      <c r="D751" s="178" t="n">
        <v>0.8</v>
      </c>
      <c r="E751" s="178" t="n">
        <v>0.8</v>
      </c>
      <c r="F751" s="178" t="n">
        <v>0</v>
      </c>
      <c r="G751" s="178" t="n">
        <v>0</v>
      </c>
      <c r="H751" s="178" t="n">
        <v>0</v>
      </c>
      <c r="I751" s="178" t="n">
        <v>-0.8</v>
      </c>
      <c r="J751" s="178" t="n">
        <v>-0.8</v>
      </c>
      <c r="K751" s="179" t="inlineStr">
        <is>
          <t>2260 VANOV HOLDINGS</t>
        </is>
      </c>
    </row>
    <row r="752">
      <c r="A752" s="17" t="inlineStr">
        <is>
          <t>Duke King Holdings Limited</t>
        </is>
      </c>
      <c r="B752" s="171" t="n">
        <v>1</v>
      </c>
      <c r="C752" s="177" t="n">
        <v>100</v>
      </c>
      <c r="D752" s="178" t="n">
        <v>0.8</v>
      </c>
      <c r="E752" s="178" t="n">
        <v>-0.8</v>
      </c>
      <c r="F752" s="178" t="n">
        <v>-7.7</v>
      </c>
      <c r="G752" s="178" t="n">
        <v>-4.8</v>
      </c>
      <c r="H752" s="178" t="n">
        <v>-1.6</v>
      </c>
      <c r="I752" s="178" t="n">
        <v>-8.4</v>
      </c>
      <c r="J752" s="178" t="n">
        <v>-5.6</v>
      </c>
      <c r="K752" s="179" t="inlineStr">
        <is>
          <t>9636 JF WEALTH</t>
        </is>
      </c>
    </row>
    <row r="753">
      <c r="A753" s="17" t="inlineStr">
        <is>
          <t>Garland Glory Holdings Limited</t>
        </is>
      </c>
      <c r="B753" s="171" t="n">
        <v>1</v>
      </c>
      <c r="C753" s="177" t="n">
        <v>100</v>
      </c>
      <c r="D753" s="178" t="n">
        <v>0.8</v>
      </c>
      <c r="E753" s="178" t="n">
        <v>-0.8</v>
      </c>
      <c r="F753" s="178" t="n">
        <v>-7.7</v>
      </c>
      <c r="G753" s="178" t="n">
        <v>-4.8</v>
      </c>
      <c r="H753" s="178" t="n">
        <v>-1.6</v>
      </c>
      <c r="I753" s="178" t="n">
        <v>-8.4</v>
      </c>
      <c r="J753" s="178" t="n">
        <v>-5.6</v>
      </c>
      <c r="K753" s="179" t="inlineStr">
        <is>
          <t>9636 JF WEALTH</t>
        </is>
      </c>
    </row>
    <row r="754">
      <c r="A754" s="17" t="inlineStr">
        <is>
          <t>Orchid Asia V Co-Investment, Limited</t>
        </is>
      </c>
      <c r="B754" s="171" t="n">
        <v>1</v>
      </c>
      <c r="C754" s="177" t="n">
        <v>100</v>
      </c>
      <c r="D754" s="178" t="n">
        <v>0.8</v>
      </c>
      <c r="E754" s="178" t="n">
        <v>-0.8</v>
      </c>
      <c r="F754" s="178" t="n">
        <v>-7.7</v>
      </c>
      <c r="G754" s="178" t="n">
        <v>-4.8</v>
      </c>
      <c r="H754" s="178" t="n">
        <v>-1.6</v>
      </c>
      <c r="I754" s="178" t="n">
        <v>-8.4</v>
      </c>
      <c r="J754" s="178" t="n">
        <v>-5.6</v>
      </c>
      <c r="K754" s="179" t="inlineStr">
        <is>
          <t>9636 JF WEALTH</t>
        </is>
      </c>
    </row>
    <row r="755">
      <c r="A755" s="17" t="inlineStr">
        <is>
          <t>Welight Capital L.P</t>
        </is>
      </c>
      <c r="B755" s="171" t="n">
        <v>1</v>
      </c>
      <c r="C755" s="177" t="n">
        <v>100</v>
      </c>
      <c r="D755" s="178" t="n">
        <v>0.7</v>
      </c>
      <c r="E755" s="178" t="n">
        <v>1.6</v>
      </c>
      <c r="F755" s="178" t="n">
        <v>15.5</v>
      </c>
      <c r="G755" s="178" t="n">
        <v>0</v>
      </c>
      <c r="H755" s="178" t="n">
        <v>1</v>
      </c>
      <c r="I755" s="178" t="n">
        <v>14.8</v>
      </c>
      <c r="J755" s="178" t="n">
        <v>-0.7</v>
      </c>
      <c r="K755" s="179" t="inlineStr">
        <is>
          <t>3880 MEDTIDE</t>
        </is>
      </c>
    </row>
    <row r="756">
      <c r="A756" s="17" t="inlineStr">
        <is>
          <t>Shenzhen Victory Investment Fund Management Company Limited</t>
        </is>
      </c>
      <c r="B756" s="171" t="n">
        <v>1</v>
      </c>
      <c r="C756" s="177" t="n">
        <v>100</v>
      </c>
      <c r="D756" s="178" t="n">
        <v>0.6</v>
      </c>
      <c r="E756" s="178" t="n">
        <v>-3.4</v>
      </c>
      <c r="F756" s="178" t="n">
        <v>-1.6</v>
      </c>
      <c r="G756" s="178" t="n">
        <v>-6.5</v>
      </c>
      <c r="H756" s="178" t="n">
        <v>-4</v>
      </c>
      <c r="I756" s="178" t="n">
        <v>-2.2</v>
      </c>
      <c r="J756" s="178" t="n">
        <v>-7</v>
      </c>
      <c r="K756" s="179" t="inlineStr">
        <is>
          <t>3288 HAITIAN FLAV</t>
        </is>
      </c>
    </row>
    <row r="757">
      <c r="A757" s="17" t="inlineStr">
        <is>
          <t>Charm Harvest International Limited</t>
        </is>
      </c>
      <c r="B757" s="171" t="n">
        <v>1</v>
      </c>
      <c r="C757" s="177" t="n">
        <v>100</v>
      </c>
      <c r="D757" s="178" t="n">
        <v>0.6</v>
      </c>
      <c r="E757" s="178" t="n">
        <v>-2</v>
      </c>
      <c r="F757" s="178" t="n">
        <v>-17.6</v>
      </c>
      <c r="G757" s="178" t="n">
        <v>-24.2</v>
      </c>
      <c r="H757" s="178" t="n">
        <v>-2.6</v>
      </c>
      <c r="I757" s="178" t="n">
        <v>-18.1</v>
      </c>
      <c r="J757" s="178" t="n">
        <v>-24.6</v>
      </c>
      <c r="K757" s="179" t="inlineStr">
        <is>
          <t>2493 MABWELL-B</t>
        </is>
      </c>
    </row>
    <row r="758">
      <c r="A758" s="17" t="inlineStr">
        <is>
          <t>Junshi Hong Kong Limited</t>
        </is>
      </c>
      <c r="B758" s="171" t="n">
        <v>1</v>
      </c>
      <c r="C758" s="177" t="n">
        <v>100</v>
      </c>
      <c r="D758" s="178" t="n">
        <v>0.6</v>
      </c>
      <c r="E758" s="178" t="n">
        <v>-2</v>
      </c>
      <c r="F758" s="178" t="n">
        <v>-17.6</v>
      </c>
      <c r="G758" s="178" t="n">
        <v>-24.2</v>
      </c>
      <c r="H758" s="178" t="n">
        <v>-2.6</v>
      </c>
      <c r="I758" s="178" t="n">
        <v>-18.1</v>
      </c>
      <c r="J758" s="178" t="n">
        <v>-24.6</v>
      </c>
      <c r="K758" s="179" t="inlineStr">
        <is>
          <t>2493 MABWELL-B</t>
        </is>
      </c>
    </row>
    <row r="759">
      <c r="A759" s="17" t="inlineStr">
        <is>
          <t>Golden Star International Pty Limited</t>
        </is>
      </c>
      <c r="B759" s="171" t="n">
        <v>1</v>
      </c>
      <c r="C759" s="177" t="n">
        <v>100</v>
      </c>
      <c r="D759" s="178" t="n">
        <v>0.5</v>
      </c>
      <c r="E759" s="178" t="n">
        <v>5</v>
      </c>
      <c r="F759" s="178" t="n">
        <v>-25.8</v>
      </c>
      <c r="G759" s="178" t="n">
        <v>-45.3</v>
      </c>
      <c r="H759" s="178" t="n">
        <v>4.5</v>
      </c>
      <c r="I759" s="178" t="n">
        <v>-26.2</v>
      </c>
      <c r="J759" s="178" t="n">
        <v>-45.5</v>
      </c>
      <c r="K759" s="179" t="inlineStr">
        <is>
          <t>3658 NEW HOPE SERV</t>
        </is>
      </c>
    </row>
    <row r="760">
      <c r="A760" s="17" t="inlineStr">
        <is>
          <t>Neptune Investments Holdings Limited</t>
        </is>
      </c>
      <c r="B760" s="171" t="n">
        <v>1</v>
      </c>
      <c r="C760" s="177" t="n">
        <v>100</v>
      </c>
      <c r="D760" s="178" t="n">
        <v>0.5</v>
      </c>
      <c r="E760" s="178" t="n">
        <v>5</v>
      </c>
      <c r="F760" s="178" t="n">
        <v>-25.8</v>
      </c>
      <c r="G760" s="178" t="n">
        <v>-45.3</v>
      </c>
      <c r="H760" s="178" t="n">
        <v>4.5</v>
      </c>
      <c r="I760" s="178" t="n">
        <v>-26.2</v>
      </c>
      <c r="J760" s="178" t="n">
        <v>-45.5</v>
      </c>
      <c r="K760" s="179" t="inlineStr">
        <is>
          <t>3658 NEW HOPE SERV</t>
        </is>
      </c>
    </row>
    <row r="761">
      <c r="A761" s="17" t="inlineStr">
        <is>
          <t>So-Young Hong Kong Limited</t>
        </is>
      </c>
      <c r="B761" s="171" t="n">
        <v>1</v>
      </c>
      <c r="C761" s="177" t="n">
        <v>100</v>
      </c>
      <c r="D761" s="178" t="n">
        <v>0.5</v>
      </c>
      <c r="E761" s="178" t="n">
        <v>38.7</v>
      </c>
      <c r="F761" s="178" t="n">
        <v>-1.6</v>
      </c>
      <c r="G761" s="178" t="n">
        <v>1.4</v>
      </c>
      <c r="H761" s="178" t="n">
        <v>38</v>
      </c>
      <c r="I761" s="178" t="n">
        <v>-2</v>
      </c>
      <c r="J761" s="178" t="n">
        <v>0.9</v>
      </c>
      <c r="K761" s="179" t="inlineStr">
        <is>
          <t>2487 CUTIA-B</t>
        </is>
      </c>
    </row>
    <row r="762">
      <c r="A762" s="17" t="inlineStr">
        <is>
          <t>HK InnoSC</t>
        </is>
      </c>
      <c r="B762" s="171" t="n">
        <v>1</v>
      </c>
      <c r="C762" s="177" t="n">
        <v>100</v>
      </c>
      <c r="D762" s="178" t="n">
        <v>0.5</v>
      </c>
      <c r="E762" s="178" t="n">
        <v>-0</v>
      </c>
      <c r="F762" s="178" t="n">
        <v>32.7</v>
      </c>
      <c r="G762" s="178" t="n">
        <v>44.2</v>
      </c>
      <c r="H762" s="178" t="n">
        <v>-0.5</v>
      </c>
      <c r="I762" s="178" t="n">
        <v>32.1</v>
      </c>
      <c r="J762" s="178" t="n">
        <v>43.5</v>
      </c>
      <c r="K762" s="179" t="inlineStr">
        <is>
          <t>2577 INNOSCIENCE</t>
        </is>
      </c>
    </row>
    <row r="763">
      <c r="A763" s="17" t="inlineStr">
        <is>
          <t>Inno CL</t>
        </is>
      </c>
      <c r="B763" s="171" t="n">
        <v>1</v>
      </c>
      <c r="C763" s="177" t="n">
        <v>100</v>
      </c>
      <c r="D763" s="178" t="n">
        <v>0.5</v>
      </c>
      <c r="E763" s="178" t="n">
        <v>-0</v>
      </c>
      <c r="F763" s="178" t="n">
        <v>32.7</v>
      </c>
      <c r="G763" s="178" t="n">
        <v>44.2</v>
      </c>
      <c r="H763" s="178" t="n">
        <v>-0.5</v>
      </c>
      <c r="I763" s="178" t="n">
        <v>32.1</v>
      </c>
      <c r="J763" s="178" t="n">
        <v>43.5</v>
      </c>
      <c r="K763" s="179" t="inlineStr">
        <is>
          <t>2577 INNOSCIENCE</t>
        </is>
      </c>
    </row>
    <row r="764">
      <c r="A764" s="17" t="inlineStr">
        <is>
          <t>Fuqing Shengde Calorie Investment Co., Ltd</t>
        </is>
      </c>
      <c r="B764" s="171" t="n">
        <v>1</v>
      </c>
      <c r="C764" s="177" t="n">
        <v>100</v>
      </c>
      <c r="D764" s="178" t="n">
        <v>0.3</v>
      </c>
      <c r="E764" s="178" t="n">
        <v>-0.2</v>
      </c>
      <c r="F764" s="178" t="n">
        <v>9.300000000000001</v>
      </c>
      <c r="G764" s="178" t="n">
        <v>0.6</v>
      </c>
      <c r="H764" s="178" t="n">
        <v>-0.5</v>
      </c>
      <c r="I764" s="178" t="n">
        <v>9</v>
      </c>
      <c r="J764" s="178" t="n">
        <v>0.3</v>
      </c>
      <c r="K764" s="179" t="inlineStr">
        <is>
          <t>3650 KEEP</t>
        </is>
      </c>
    </row>
    <row r="765">
      <c r="A765" s="17" t="inlineStr">
        <is>
          <t>Shenzhen Fenda Technology Co., Ltd</t>
        </is>
      </c>
      <c r="B765" s="171" t="n">
        <v>1</v>
      </c>
      <c r="C765" s="177" t="n">
        <v>100</v>
      </c>
      <c r="D765" s="178" t="n">
        <v>0.3</v>
      </c>
      <c r="E765" s="178" t="n">
        <v>-0.2</v>
      </c>
      <c r="F765" s="178" t="n">
        <v>9.300000000000001</v>
      </c>
      <c r="G765" s="178" t="n">
        <v>0.6</v>
      </c>
      <c r="H765" s="178" t="n">
        <v>-0.5</v>
      </c>
      <c r="I765" s="178" t="n">
        <v>9</v>
      </c>
      <c r="J765" s="178" t="n">
        <v>0.3</v>
      </c>
      <c r="K765" s="179" t="inlineStr">
        <is>
          <t>3650 KEEP</t>
        </is>
      </c>
    </row>
    <row r="766">
      <c r="A766" s="17" t="inlineStr">
        <is>
          <t>Leyard (HongKong) Co., Limited</t>
        </is>
      </c>
      <c r="B766" s="171" t="n">
        <v>1</v>
      </c>
      <c r="C766" s="177" t="n">
        <v>100</v>
      </c>
      <c r="D766" s="178" t="n">
        <v>0.3</v>
      </c>
      <c r="E766" s="178" t="n">
        <v>-19.4</v>
      </c>
      <c r="F766" s="178" t="n">
        <v>-7.8</v>
      </c>
      <c r="G766" s="178" t="n">
        <v>-12.5</v>
      </c>
      <c r="H766" s="178" t="n">
        <v>-19.6</v>
      </c>
      <c r="I766" s="178" t="n">
        <v>-8.1</v>
      </c>
      <c r="J766" s="178" t="n">
        <v>-12.8</v>
      </c>
      <c r="K766" s="179" t="inlineStr">
        <is>
          <t>2529 HOLLWIN URBAN</t>
        </is>
      </c>
    </row>
    <row r="767">
      <c r="A767" s="17" t="inlineStr">
        <is>
          <t>Sanan International Holding Co., Limited</t>
        </is>
      </c>
      <c r="B767" s="171" t="n">
        <v>1</v>
      </c>
      <c r="C767" s="177" t="n">
        <v>100</v>
      </c>
      <c r="D767" s="178" t="n">
        <v>0.3</v>
      </c>
      <c r="E767" s="178" t="n">
        <v>-19.4</v>
      </c>
      <c r="F767" s="178" t="n">
        <v>-7.8</v>
      </c>
      <c r="G767" s="178" t="n">
        <v>-12.5</v>
      </c>
      <c r="H767" s="178" t="n">
        <v>-19.6</v>
      </c>
      <c r="I767" s="178" t="n">
        <v>-8.1</v>
      </c>
      <c r="J767" s="178" t="n">
        <v>-12.8</v>
      </c>
      <c r="K767" s="179" t="inlineStr">
        <is>
          <t>2529 HOLLWIN URBAN</t>
        </is>
      </c>
    </row>
    <row r="768">
      <c r="A768" s="17" t="inlineStr">
        <is>
          <t>Xiangzheng Capital Limited</t>
        </is>
      </c>
      <c r="B768" s="171" t="n">
        <v>1</v>
      </c>
      <c r="C768" s="177" t="n">
        <v>100</v>
      </c>
      <c r="D768" s="178" t="n">
        <v>0.3</v>
      </c>
      <c r="E768" s="178" t="n">
        <v>-19.4</v>
      </c>
      <c r="F768" s="178" t="n">
        <v>-7.8</v>
      </c>
      <c r="G768" s="178" t="n">
        <v>-12.5</v>
      </c>
      <c r="H768" s="178" t="n">
        <v>-19.6</v>
      </c>
      <c r="I768" s="178" t="n">
        <v>-8.1</v>
      </c>
      <c r="J768" s="178" t="n">
        <v>-12.8</v>
      </c>
      <c r="K768" s="179" t="inlineStr">
        <is>
          <t>2529 HOLLWIN URBAN</t>
        </is>
      </c>
    </row>
    <row r="769">
      <c r="A769" s="17" t="inlineStr">
        <is>
          <t>FUHUIDA HK</t>
        </is>
      </c>
      <c r="B769" s="171" t="n">
        <v>1</v>
      </c>
      <c r="C769" s="177" t="n">
        <v>100</v>
      </c>
      <c r="D769" s="178" t="n">
        <v>0.3</v>
      </c>
      <c r="E769" s="178" t="n">
        <v>-18.8</v>
      </c>
      <c r="F769" s="178" t="n">
        <v>-30.5</v>
      </c>
      <c r="G769" s="178" t="n">
        <v>-42.1</v>
      </c>
      <c r="H769" s="178" t="n">
        <v>-19</v>
      </c>
      <c r="I769" s="178" t="n">
        <v>-30.7</v>
      </c>
      <c r="J769" s="178" t="n">
        <v>-42.3</v>
      </c>
      <c r="K769" s="179" t="inlineStr">
        <is>
          <t>1641 HX COLDCHAIN</t>
        </is>
      </c>
    </row>
    <row r="770">
      <c r="A770" s="17" t="inlineStr">
        <is>
          <t>Huang Fusheng (黃福生)</t>
        </is>
      </c>
      <c r="B770" s="171" t="n">
        <v>1</v>
      </c>
      <c r="C770" s="177" t="n">
        <v>100</v>
      </c>
      <c r="D770" s="178" t="n">
        <v>0.3</v>
      </c>
      <c r="E770" s="178" t="n">
        <v>-18.8</v>
      </c>
      <c r="F770" s="178" t="n">
        <v>-30.5</v>
      </c>
      <c r="G770" s="178" t="n">
        <v>-42.1</v>
      </c>
      <c r="H770" s="178" t="n">
        <v>-19</v>
      </c>
      <c r="I770" s="178" t="n">
        <v>-30.7</v>
      </c>
      <c r="J770" s="178" t="n">
        <v>-42.3</v>
      </c>
      <c r="K770" s="179" t="inlineStr">
        <is>
          <t>1641 HX COLDCHAIN</t>
        </is>
      </c>
    </row>
    <row r="771">
      <c r="A771" s="17" t="inlineStr">
        <is>
          <t>Cheng Yan (成燕)</t>
        </is>
      </c>
      <c r="B771" s="171" t="n">
        <v>1</v>
      </c>
      <c r="C771" s="177" t="n">
        <v>100</v>
      </c>
      <c r="D771" s="178" t="n">
        <v>0.3</v>
      </c>
      <c r="E771" s="178" t="n">
        <v>-18.8</v>
      </c>
      <c r="F771" s="178" t="n">
        <v>-30.5</v>
      </c>
      <c r="G771" s="178" t="n">
        <v>-42.1</v>
      </c>
      <c r="H771" s="178" t="n">
        <v>-19</v>
      </c>
      <c r="I771" s="178" t="n">
        <v>-30.7</v>
      </c>
      <c r="J771" s="178" t="n">
        <v>-42.3</v>
      </c>
      <c r="K771" s="179" t="inlineStr">
        <is>
          <t>1641 HX COLDCHAIN</t>
        </is>
      </c>
    </row>
    <row r="772">
      <c r="A772" s="17" t="inlineStr">
        <is>
          <t>Luo Tiexing (羅鐵興)</t>
        </is>
      </c>
      <c r="B772" s="171" t="n">
        <v>1</v>
      </c>
      <c r="C772" s="177" t="n">
        <v>100</v>
      </c>
      <c r="D772" s="178" t="n">
        <v>0.3</v>
      </c>
      <c r="E772" s="178" t="n">
        <v>-18.8</v>
      </c>
      <c r="F772" s="178" t="n">
        <v>-30.5</v>
      </c>
      <c r="G772" s="178" t="n">
        <v>-42.1</v>
      </c>
      <c r="H772" s="178" t="n">
        <v>-19</v>
      </c>
      <c r="I772" s="178" t="n">
        <v>-30.7</v>
      </c>
      <c r="J772" s="178" t="n">
        <v>-42.3</v>
      </c>
      <c r="K772" s="179" t="inlineStr">
        <is>
          <t>1641 HX COLDCHAIN</t>
        </is>
      </c>
    </row>
    <row r="773">
      <c r="A773" s="17" t="inlineStr">
        <is>
          <t>Li Changxiao (李昌孝)</t>
        </is>
      </c>
      <c r="B773" s="171" t="n">
        <v>1</v>
      </c>
      <c r="C773" s="177" t="n">
        <v>100</v>
      </c>
      <c r="D773" s="178" t="n">
        <v>0.3</v>
      </c>
      <c r="E773" s="178" t="n">
        <v>-18.8</v>
      </c>
      <c r="F773" s="178" t="n">
        <v>-30.5</v>
      </c>
      <c r="G773" s="178" t="n">
        <v>-42.1</v>
      </c>
      <c r="H773" s="178" t="n">
        <v>-19</v>
      </c>
      <c r="I773" s="178" t="n">
        <v>-30.7</v>
      </c>
      <c r="J773" s="178" t="n">
        <v>-42.3</v>
      </c>
      <c r="K773" s="179" t="inlineStr">
        <is>
          <t>1641 HX COLDCHAIN</t>
        </is>
      </c>
    </row>
    <row r="774">
      <c r="A774" s="17" t="inlineStr">
        <is>
          <t>Kong Yu (孔昱)</t>
        </is>
      </c>
      <c r="B774" s="171" t="n">
        <v>1</v>
      </c>
      <c r="C774" s="177" t="n">
        <v>100</v>
      </c>
      <c r="D774" s="178" t="n">
        <v>0.3</v>
      </c>
      <c r="E774" s="178" t="n">
        <v>-18.8</v>
      </c>
      <c r="F774" s="178" t="n">
        <v>-30.5</v>
      </c>
      <c r="G774" s="178" t="n">
        <v>-42.1</v>
      </c>
      <c r="H774" s="178" t="n">
        <v>-19</v>
      </c>
      <c r="I774" s="178" t="n">
        <v>-30.7</v>
      </c>
      <c r="J774" s="178" t="n">
        <v>-42.3</v>
      </c>
      <c r="K774" s="179" t="inlineStr">
        <is>
          <t>1641 HX COLDCHAIN</t>
        </is>
      </c>
    </row>
    <row r="775">
      <c r="A775" s="17" t="inlineStr">
        <is>
          <t>Li Zhenbin (李振斌)</t>
        </is>
      </c>
      <c r="B775" s="171" t="n">
        <v>1</v>
      </c>
      <c r="C775" s="177" t="n">
        <v>100</v>
      </c>
      <c r="D775" s="178" t="n">
        <v>0.3</v>
      </c>
      <c r="E775" s="178" t="n">
        <v>-18.8</v>
      </c>
      <c r="F775" s="178" t="n">
        <v>-30.5</v>
      </c>
      <c r="G775" s="178" t="n">
        <v>-42.1</v>
      </c>
      <c r="H775" s="178" t="n">
        <v>-19</v>
      </c>
      <c r="I775" s="178" t="n">
        <v>-30.7</v>
      </c>
      <c r="J775" s="178" t="n">
        <v>-42.3</v>
      </c>
      <c r="K775" s="179" t="inlineStr">
        <is>
          <t>1641 HX COLDCHAIN</t>
        </is>
      </c>
    </row>
    <row r="776">
      <c r="A776" s="17" t="inlineStr">
        <is>
          <t>Li Zhenwu (李振武)</t>
        </is>
      </c>
      <c r="B776" s="171" t="n">
        <v>1</v>
      </c>
      <c r="C776" s="177" t="n">
        <v>100</v>
      </c>
      <c r="D776" s="178" t="n">
        <v>0.3</v>
      </c>
      <c r="E776" s="178" t="n">
        <v>-18.8</v>
      </c>
      <c r="F776" s="178" t="n">
        <v>-30.5</v>
      </c>
      <c r="G776" s="178" t="n">
        <v>-42.1</v>
      </c>
      <c r="H776" s="178" t="n">
        <v>-19</v>
      </c>
      <c r="I776" s="178" t="n">
        <v>-30.7</v>
      </c>
      <c r="J776" s="178" t="n">
        <v>-42.3</v>
      </c>
      <c r="K776" s="179" t="inlineStr">
        <is>
          <t>1641 HX COLDCHAIN</t>
        </is>
      </c>
    </row>
    <row r="777">
      <c r="A777" s="17" t="inlineStr">
        <is>
          <t>Li Dengyun (李登雲)</t>
        </is>
      </c>
      <c r="B777" s="171" t="n">
        <v>1</v>
      </c>
      <c r="C777" s="177" t="n">
        <v>100</v>
      </c>
      <c r="D777" s="178" t="n">
        <v>0.3</v>
      </c>
      <c r="E777" s="178" t="n">
        <v>-18.8</v>
      </c>
      <c r="F777" s="178" t="n">
        <v>-30.5</v>
      </c>
      <c r="G777" s="178" t="n">
        <v>-42.1</v>
      </c>
      <c r="H777" s="178" t="n">
        <v>-19</v>
      </c>
      <c r="I777" s="178" t="n">
        <v>-30.7</v>
      </c>
      <c r="J777" s="178" t="n">
        <v>-42.3</v>
      </c>
      <c r="K777" s="179" t="inlineStr">
        <is>
          <t>1641 HX COLDCHAIN</t>
        </is>
      </c>
    </row>
    <row r="778">
      <c r="A778" s="17" t="inlineStr">
        <is>
          <t>Zhang Ying (張穎)</t>
        </is>
      </c>
      <c r="B778" s="171" t="n">
        <v>1</v>
      </c>
      <c r="C778" s="177" t="n">
        <v>100</v>
      </c>
      <c r="D778" s="178" t="n">
        <v>0.3</v>
      </c>
      <c r="E778" s="178" t="n">
        <v>-18.8</v>
      </c>
      <c r="F778" s="178" t="n">
        <v>-30.5</v>
      </c>
      <c r="G778" s="178" t="n">
        <v>-42.1</v>
      </c>
      <c r="H778" s="178" t="n">
        <v>-19</v>
      </c>
      <c r="I778" s="178" t="n">
        <v>-30.7</v>
      </c>
      <c r="J778" s="178" t="n">
        <v>-42.3</v>
      </c>
      <c r="K778" s="179" t="inlineStr">
        <is>
          <t>1641 HX COLDCHAIN</t>
        </is>
      </c>
    </row>
    <row r="779">
      <c r="A779" s="17" t="inlineStr">
        <is>
          <t>Pioneer Top Holdings Limited</t>
        </is>
      </c>
      <c r="B779" s="171" t="n">
        <v>1</v>
      </c>
      <c r="C779" s="177" t="n">
        <v>100</v>
      </c>
      <c r="D779" s="178" t="n">
        <v>0.2</v>
      </c>
      <c r="E779" s="178" t="n">
        <v>0</v>
      </c>
      <c r="F779" s="178" t="n">
        <v>31.1</v>
      </c>
      <c r="G779" s="178" t="n">
        <v>98.5</v>
      </c>
      <c r="H779" s="178" t="n">
        <v>-0.2</v>
      </c>
      <c r="I779" s="178" t="n">
        <v>30.8</v>
      </c>
      <c r="J779" s="178" t="n">
        <v>98</v>
      </c>
      <c r="K779" s="179" t="inlineStr">
        <is>
          <t>9879 MIGAO GROUP</t>
        </is>
      </c>
    </row>
    <row r="780">
      <c r="A780" s="17" t="inlineStr">
        <is>
          <t>Shenyang Xinchang Grain Trade Co., Ltd</t>
        </is>
      </c>
      <c r="B780" s="171" t="n">
        <v>1</v>
      </c>
      <c r="C780" s="177" t="n">
        <v>100</v>
      </c>
      <c r="D780" s="178" t="n">
        <v>0.2</v>
      </c>
      <c r="E780" s="178" t="n">
        <v>0</v>
      </c>
      <c r="F780" s="178" t="n">
        <v>31.1</v>
      </c>
      <c r="G780" s="178" t="n">
        <v>98.5</v>
      </c>
      <c r="H780" s="178" t="n">
        <v>-0.2</v>
      </c>
      <c r="I780" s="178" t="n">
        <v>30.8</v>
      </c>
      <c r="J780" s="178" t="n">
        <v>98</v>
      </c>
      <c r="K780" s="179" t="inlineStr">
        <is>
          <t>9879 MIGAO GROUP</t>
        </is>
      </c>
    </row>
    <row r="781">
      <c r="A781" s="17" t="inlineStr">
        <is>
          <t>Tongzhou International</t>
        </is>
      </c>
      <c r="B781" s="171" t="n">
        <v>1</v>
      </c>
      <c r="C781" s="177" t="n">
        <v>100</v>
      </c>
      <c r="D781" s="178" t="n">
        <v>0.2</v>
      </c>
      <c r="E781" s="178" t="n">
        <v>-0.4</v>
      </c>
      <c r="F781" s="178" t="n">
        <v>-0.4</v>
      </c>
      <c r="G781" s="178" t="n">
        <v>47.6</v>
      </c>
      <c r="H781" s="178" t="n">
        <v>-0.6</v>
      </c>
      <c r="I781" s="178" t="n">
        <v>-0.6</v>
      </c>
      <c r="J781" s="178" t="n">
        <v>47.3</v>
      </c>
      <c r="K781" s="179" t="inlineStr">
        <is>
          <t>2597 XUNZHONG</t>
        </is>
      </c>
    </row>
    <row r="782">
      <c r="A782" s="17" t="inlineStr">
        <is>
          <t>China New Rich Medicine Holding Co. Limited</t>
        </is>
      </c>
      <c r="B782" s="171" t="n">
        <v>1</v>
      </c>
      <c r="C782" s="177" t="n">
        <v>100</v>
      </c>
      <c r="D782" s="178" t="n">
        <v>0.1</v>
      </c>
      <c r="E782" s="178" t="n">
        <v>28.3</v>
      </c>
      <c r="F782" s="178" t="n">
        <v>15.1</v>
      </c>
      <c r="G782" s="178" t="n">
        <v>34.2</v>
      </c>
      <c r="H782" s="178" t="n">
        <v>28.1</v>
      </c>
      <c r="I782" s="178" t="n">
        <v>14.9</v>
      </c>
      <c r="J782" s="178" t="n">
        <v>34</v>
      </c>
      <c r="K782" s="179" t="inlineStr">
        <is>
          <t>2522 RIMAG GROUP</t>
        </is>
      </c>
    </row>
    <row r="783">
      <c r="A783" s="17" t="inlineStr">
        <is>
          <t>Excellent Investment Enterprise Management (Hong Kong) Co., Limited</t>
        </is>
      </c>
      <c r="B783" s="171" t="n">
        <v>1</v>
      </c>
      <c r="C783" s="177" t="n">
        <v>100</v>
      </c>
      <c r="D783" s="178" t="n">
        <v>0.1</v>
      </c>
      <c r="E783" s="178" t="n">
        <v>28.3</v>
      </c>
      <c r="F783" s="178" t="n">
        <v>15.1</v>
      </c>
      <c r="G783" s="178" t="n">
        <v>34.2</v>
      </c>
      <c r="H783" s="178" t="n">
        <v>28.1</v>
      </c>
      <c r="I783" s="178" t="n">
        <v>14.9</v>
      </c>
      <c r="J783" s="178" t="n">
        <v>34</v>
      </c>
      <c r="K783" s="179" t="inlineStr">
        <is>
          <t>2522 RIMAG GROUP</t>
        </is>
      </c>
    </row>
    <row r="784">
      <c r="A784" s="17" t="inlineStr">
        <is>
          <t>Hunter Ventures Limited</t>
        </is>
      </c>
      <c r="B784" s="171" t="n">
        <v>1</v>
      </c>
      <c r="C784" s="177" t="n">
        <v>100</v>
      </c>
      <c r="D784" s="178" t="n">
        <v>0.1</v>
      </c>
      <c r="E784" s="178" t="n">
        <v>40.2</v>
      </c>
      <c r="F784" s="178" t="n">
        <v>129.3</v>
      </c>
      <c r="G784" s="178" t="n">
        <v>33.4</v>
      </c>
      <c r="H784" s="178" t="n">
        <v>40.1</v>
      </c>
      <c r="I784" s="178" t="n">
        <v>129.1</v>
      </c>
      <c r="J784" s="178" t="n">
        <v>33.3</v>
      </c>
      <c r="K784" s="179" t="inlineStr">
        <is>
          <t>6600 ONEROBOTICS</t>
        </is>
      </c>
    </row>
    <row r="785">
      <c r="A785" s="17" t="inlineStr">
        <is>
          <t>Li Zhichen / 李志晨</t>
        </is>
      </c>
      <c r="B785" s="171" t="n">
        <v>1</v>
      </c>
      <c r="C785" s="177" t="n">
        <v>100</v>
      </c>
      <c r="D785" s="178" t="n">
        <v>0.1</v>
      </c>
      <c r="E785" s="178" t="n">
        <v>40.2</v>
      </c>
      <c r="F785" s="178" t="n">
        <v>129.3</v>
      </c>
      <c r="G785" s="178" t="n">
        <v>33.4</v>
      </c>
      <c r="H785" s="178" t="n">
        <v>40.1</v>
      </c>
      <c r="I785" s="178" t="n">
        <v>129.1</v>
      </c>
      <c r="J785" s="178" t="n">
        <v>33.3</v>
      </c>
      <c r="K785" s="179" t="inlineStr">
        <is>
          <t>6600 ONEROBOTICS</t>
        </is>
      </c>
    </row>
    <row r="786">
      <c r="A786" s="17" t="inlineStr">
        <is>
          <t>Pan Yang / 潘陽</t>
        </is>
      </c>
      <c r="B786" s="171" t="n">
        <v>1</v>
      </c>
      <c r="C786" s="177" t="n">
        <v>100</v>
      </c>
      <c r="D786" s="178" t="n">
        <v>0.1</v>
      </c>
      <c r="E786" s="178" t="n">
        <v>40.2</v>
      </c>
      <c r="F786" s="178" t="n">
        <v>129.3</v>
      </c>
      <c r="G786" s="178" t="n">
        <v>33.4</v>
      </c>
      <c r="H786" s="178" t="n">
        <v>40.1</v>
      </c>
      <c r="I786" s="178" t="n">
        <v>129.1</v>
      </c>
      <c r="J786" s="178" t="n">
        <v>33.3</v>
      </c>
      <c r="K786" s="179" t="inlineStr">
        <is>
          <t>6600 ONEROBOTICS</t>
        </is>
      </c>
    </row>
    <row r="787">
      <c r="A787" s="17" t="inlineStr">
        <is>
          <t>Brizan Ventures V LP</t>
        </is>
      </c>
      <c r="B787" s="171" t="n">
        <v>1</v>
      </c>
      <c r="C787" s="177" t="n">
        <v>100</v>
      </c>
      <c r="D787" s="178" t="n">
        <v>0.1</v>
      </c>
      <c r="E787" s="178" t="n">
        <v>40.2</v>
      </c>
      <c r="F787" s="178" t="n">
        <v>129.3</v>
      </c>
      <c r="G787" s="178" t="n">
        <v>33.4</v>
      </c>
      <c r="H787" s="178" t="n">
        <v>40.1</v>
      </c>
      <c r="I787" s="178" t="n">
        <v>129.1</v>
      </c>
      <c r="J787" s="178" t="n">
        <v>33.3</v>
      </c>
      <c r="K787" s="179" t="inlineStr">
        <is>
          <t>6600 ONEROBOTICS</t>
        </is>
      </c>
    </row>
    <row r="788">
      <c r="A788" s="17" t="inlineStr">
        <is>
          <t>Crotona Assets Limited</t>
        </is>
      </c>
      <c r="B788" s="171" t="n">
        <v>1</v>
      </c>
      <c r="C788" s="177" t="n">
        <v>0</v>
      </c>
      <c r="D788" s="178" t="n">
        <v>0</v>
      </c>
      <c r="E788" s="178" t="n">
        <v>10</v>
      </c>
      <c r="F788" s="178" t="n">
        <v>-13.9</v>
      </c>
      <c r="G788" s="178" t="n">
        <v>-33.8</v>
      </c>
      <c r="H788" s="178" t="n">
        <v>10</v>
      </c>
      <c r="I788" s="178" t="n">
        <v>-13.9</v>
      </c>
      <c r="J788" s="178" t="n">
        <v>-33.8</v>
      </c>
      <c r="K788" s="179" t="inlineStr">
        <is>
          <t>6626 YUEXIU SERVICES</t>
        </is>
      </c>
    </row>
    <row r="789">
      <c r="A789" s="17" t="inlineStr">
        <is>
          <t>Goingup Inc Limited</t>
        </is>
      </c>
      <c r="B789" s="171" t="n">
        <v>1</v>
      </c>
      <c r="C789" s="177" t="n">
        <v>0</v>
      </c>
      <c r="D789" s="178" t="n">
        <v>0</v>
      </c>
      <c r="E789" s="178" t="n">
        <v>10</v>
      </c>
      <c r="F789" s="178" t="n">
        <v>-13.9</v>
      </c>
      <c r="G789" s="178" t="n">
        <v>-33.8</v>
      </c>
      <c r="H789" s="178" t="n">
        <v>10</v>
      </c>
      <c r="I789" s="178" t="n">
        <v>-13.9</v>
      </c>
      <c r="J789" s="178" t="n">
        <v>-33.8</v>
      </c>
      <c r="K789" s="179" t="inlineStr">
        <is>
          <t>6626 YUEXIU SERVICES</t>
        </is>
      </c>
    </row>
    <row r="790">
      <c r="A790" s="17" t="inlineStr">
        <is>
          <t>Jiang Ganjun</t>
        </is>
      </c>
      <c r="B790" s="171" t="n">
        <v>1</v>
      </c>
      <c r="C790" s="177" t="n">
        <v>0</v>
      </c>
      <c r="D790" s="178" t="n">
        <v>0</v>
      </c>
      <c r="E790" s="178" t="n">
        <v>10</v>
      </c>
      <c r="F790" s="178" t="n">
        <v>-13.9</v>
      </c>
      <c r="G790" s="178" t="n">
        <v>-33.8</v>
      </c>
      <c r="H790" s="178" t="n">
        <v>10</v>
      </c>
      <c r="I790" s="178" t="n">
        <v>-13.9</v>
      </c>
      <c r="J790" s="178" t="n">
        <v>-33.8</v>
      </c>
      <c r="K790" s="179" t="inlineStr">
        <is>
          <t>6626 YUEXIU SERVICES</t>
        </is>
      </c>
    </row>
    <row r="791">
      <c r="A791" s="17" t="inlineStr">
        <is>
          <t>Kaiser Private Equity Fund SPC-SPI</t>
        </is>
      </c>
      <c r="B791" s="171" t="n">
        <v>1</v>
      </c>
      <c r="C791" s="177" t="n">
        <v>0</v>
      </c>
      <c r="D791" s="178" t="n">
        <v>0</v>
      </c>
      <c r="E791" s="178" t="n">
        <v>10</v>
      </c>
      <c r="F791" s="178" t="n">
        <v>-13.9</v>
      </c>
      <c r="G791" s="178" t="n">
        <v>-33.8</v>
      </c>
      <c r="H791" s="178" t="n">
        <v>10</v>
      </c>
      <c r="I791" s="178" t="n">
        <v>-13.9</v>
      </c>
      <c r="J791" s="178" t="n">
        <v>-33.8</v>
      </c>
      <c r="K791" s="179" t="inlineStr">
        <is>
          <t>6626 YUEXIU SERVICES</t>
        </is>
      </c>
    </row>
    <row r="792">
      <c r="A792" s="17" t="inlineStr">
        <is>
          <t>Ke Jiansheng</t>
        </is>
      </c>
      <c r="B792" s="171" t="n">
        <v>1</v>
      </c>
      <c r="C792" s="177" t="n">
        <v>0</v>
      </c>
      <c r="D792" s="178" t="n">
        <v>0</v>
      </c>
      <c r="E792" s="178" t="n">
        <v>10</v>
      </c>
      <c r="F792" s="178" t="n">
        <v>-13.9</v>
      </c>
      <c r="G792" s="178" t="n">
        <v>-33.8</v>
      </c>
      <c r="H792" s="178" t="n">
        <v>10</v>
      </c>
      <c r="I792" s="178" t="n">
        <v>-13.9</v>
      </c>
      <c r="J792" s="178" t="n">
        <v>-33.8</v>
      </c>
      <c r="K792" s="179" t="inlineStr">
        <is>
          <t>6626 YUEXIU SERVICES</t>
        </is>
      </c>
    </row>
    <row r="793">
      <c r="A793" s="17" t="inlineStr">
        <is>
          <t>Sunfly Holding Co., Ltd</t>
        </is>
      </c>
      <c r="B793" s="171" t="n">
        <v>1</v>
      </c>
      <c r="C793" s="177" t="n">
        <v>0</v>
      </c>
      <c r="D793" s="178" t="n">
        <v>0</v>
      </c>
      <c r="E793" s="178" t="n">
        <v>10</v>
      </c>
      <c r="F793" s="178" t="n">
        <v>-13.9</v>
      </c>
      <c r="G793" s="178" t="n">
        <v>-33.8</v>
      </c>
      <c r="H793" s="178" t="n">
        <v>10</v>
      </c>
      <c r="I793" s="178" t="n">
        <v>-13.9</v>
      </c>
      <c r="J793" s="178" t="n">
        <v>-33.8</v>
      </c>
      <c r="K793" s="179" t="inlineStr">
        <is>
          <t>6626 YUEXIU SERVICES</t>
        </is>
      </c>
    </row>
    <row r="794">
      <c r="A794" s="17" t="inlineStr">
        <is>
          <t>Wealthking Investments Limited</t>
        </is>
      </c>
      <c r="B794" s="171" t="n">
        <v>1</v>
      </c>
      <c r="C794" s="177" t="n">
        <v>0</v>
      </c>
      <c r="D794" s="178" t="n">
        <v>0</v>
      </c>
      <c r="E794" s="178" t="n">
        <v>10</v>
      </c>
      <c r="F794" s="178" t="n">
        <v>-13.9</v>
      </c>
      <c r="G794" s="178" t="n">
        <v>-33.8</v>
      </c>
      <c r="H794" s="178" t="n">
        <v>10</v>
      </c>
      <c r="I794" s="178" t="n">
        <v>-13.9</v>
      </c>
      <c r="J794" s="178" t="n">
        <v>-33.8</v>
      </c>
      <c r="K794" s="179" t="inlineStr">
        <is>
          <t>6626 YUEXIU SERVICES</t>
        </is>
      </c>
    </row>
    <row r="795">
      <c r="A795" s="17" t="inlineStr">
        <is>
          <t>Hangzhou Jintou Shenghan Investment Partnership (Limited Partnership)</t>
        </is>
      </c>
      <c r="B795" s="171" t="n">
        <v>1</v>
      </c>
      <c r="C795" s="177" t="n">
        <v>0</v>
      </c>
      <c r="D795" s="178" t="n">
        <v>0</v>
      </c>
      <c r="E795" s="178" t="n">
        <v>0</v>
      </c>
      <c r="F795" s="178" t="n">
        <v>9.800000000000001</v>
      </c>
      <c r="G795" s="178" t="n">
        <v>10.1</v>
      </c>
      <c r="H795" s="178" t="n">
        <v>0</v>
      </c>
      <c r="I795" s="178" t="n">
        <v>9.800000000000001</v>
      </c>
      <c r="J795" s="178" t="n">
        <v>10.1</v>
      </c>
      <c r="K795" s="179" t="inlineStr">
        <is>
          <t>2215 DEXIN SER GROUP</t>
        </is>
      </c>
    </row>
    <row r="796">
      <c r="A796" s="17" t="inlineStr">
        <is>
          <t>Hangzhou Light Industrial Association Investment Group Co.,Ltd</t>
        </is>
      </c>
      <c r="B796" s="171" t="n">
        <v>1</v>
      </c>
      <c r="C796" s="177" t="n">
        <v>0</v>
      </c>
      <c r="D796" s="178" t="n">
        <v>0</v>
      </c>
      <c r="E796" s="178" t="n">
        <v>0</v>
      </c>
      <c r="F796" s="178" t="n">
        <v>9.800000000000001</v>
      </c>
      <c r="G796" s="178" t="n">
        <v>10.1</v>
      </c>
      <c r="H796" s="178" t="n">
        <v>0</v>
      </c>
      <c r="I796" s="178" t="n">
        <v>9.800000000000001</v>
      </c>
      <c r="J796" s="178" t="n">
        <v>10.1</v>
      </c>
      <c r="K796" s="179" t="inlineStr">
        <is>
          <t>2215 DEXIN SER GROUP</t>
        </is>
      </c>
    </row>
    <row r="797">
      <c r="A797" s="17" t="inlineStr">
        <is>
          <t>JIC TRUST CO., LTD</t>
        </is>
      </c>
      <c r="B797" s="171" t="n">
        <v>1</v>
      </c>
      <c r="C797" s="177" t="n">
        <v>0</v>
      </c>
      <c r="D797" s="178" t="n">
        <v>0</v>
      </c>
      <c r="E797" s="178" t="n">
        <v>0</v>
      </c>
      <c r="F797" s="178" t="n">
        <v>9.800000000000001</v>
      </c>
      <c r="G797" s="178" t="n">
        <v>10.1</v>
      </c>
      <c r="H797" s="178" t="n">
        <v>0</v>
      </c>
      <c r="I797" s="178" t="n">
        <v>9.800000000000001</v>
      </c>
      <c r="J797" s="178" t="n">
        <v>10.1</v>
      </c>
      <c r="K797" s="179" t="inlineStr">
        <is>
          <t>2215 DEXIN SER GROUP</t>
        </is>
      </c>
    </row>
    <row r="798">
      <c r="A798" s="17" t="inlineStr">
        <is>
          <t>Maccura Biotechnology Co., Ltd</t>
        </is>
      </c>
      <c r="B798" s="171" t="n">
        <v>1</v>
      </c>
      <c r="C798" s="177" t="n">
        <v>0</v>
      </c>
      <c r="D798" s="178" t="n">
        <v>0</v>
      </c>
      <c r="E798" s="178" t="n">
        <v>-1.1</v>
      </c>
      <c r="F798" s="178" t="n">
        <v>-1.2</v>
      </c>
      <c r="G798" s="178" t="n">
        <v>-24.2</v>
      </c>
      <c r="H798" s="178" t="n">
        <v>-1.1</v>
      </c>
      <c r="I798" s="178" t="n">
        <v>-1.2</v>
      </c>
      <c r="J798" s="178" t="n">
        <v>-24.2</v>
      </c>
      <c r="K798" s="179" t="inlineStr">
        <is>
          <t>6667 MEGA GENOMICS</t>
        </is>
      </c>
    </row>
    <row r="799">
      <c r="A799" s="17" t="inlineStr">
        <is>
          <t>Nanchang Financial Holdings Co., Ltd</t>
        </is>
      </c>
      <c r="B799" s="171" t="n">
        <v>1</v>
      </c>
      <c r="C799" s="177" t="n">
        <v>0</v>
      </c>
      <c r="D799" s="178" t="n">
        <v>0</v>
      </c>
      <c r="E799" s="178" t="n">
        <v>-1.1</v>
      </c>
      <c r="F799" s="178" t="n">
        <v>-1.2</v>
      </c>
      <c r="G799" s="178" t="n">
        <v>-24.2</v>
      </c>
      <c r="H799" s="178" t="n">
        <v>-1.1</v>
      </c>
      <c r="I799" s="178" t="n">
        <v>-1.2</v>
      </c>
      <c r="J799" s="178" t="n">
        <v>-24.2</v>
      </c>
      <c r="K799" s="179" t="inlineStr">
        <is>
          <t>6667 MEGA GENOMICS</t>
        </is>
      </c>
    </row>
    <row r="800">
      <c r="A800" s="17" t="inlineStr">
        <is>
          <t>Kangshi No.1 LP</t>
        </is>
      </c>
      <c r="B800" s="171" t="n">
        <v>1</v>
      </c>
      <c r="C800" s="177" t="n">
        <v>0</v>
      </c>
      <c r="D800" s="178" t="n">
        <v>0</v>
      </c>
      <c r="E800" s="178" t="n">
        <v>11.9</v>
      </c>
      <c r="F800" s="178" t="n">
        <v>-1.5</v>
      </c>
      <c r="G800" s="178" t="n">
        <v>-38.1</v>
      </c>
      <c r="H800" s="178" t="n">
        <v>11.9</v>
      </c>
      <c r="I800" s="178" t="n">
        <v>-1.5</v>
      </c>
      <c r="J800" s="178" t="n">
        <v>-38.1</v>
      </c>
      <c r="K800" s="179" t="inlineStr">
        <is>
          <t>2361 SINOHEALTH HLDG</t>
        </is>
      </c>
    </row>
    <row r="801">
      <c r="A801" s="17" t="inlineStr">
        <is>
          <t>Luns Family Holdings Limited</t>
        </is>
      </c>
      <c r="B801" s="171" t="n">
        <v>1</v>
      </c>
      <c r="C801" s="177" t="n">
        <v>0</v>
      </c>
      <c r="D801" s="178" t="n">
        <v>0</v>
      </c>
      <c r="E801" s="178" t="n">
        <v>11.9</v>
      </c>
      <c r="F801" s="178" t="n">
        <v>-1.5</v>
      </c>
      <c r="G801" s="178" t="n">
        <v>-38.1</v>
      </c>
      <c r="H801" s="178" t="n">
        <v>11.9</v>
      </c>
      <c r="I801" s="178" t="n">
        <v>-1.5</v>
      </c>
      <c r="J801" s="178" t="n">
        <v>-38.1</v>
      </c>
      <c r="K801" s="179" t="inlineStr">
        <is>
          <t>2361 SINOHEALTH HLDG</t>
        </is>
      </c>
    </row>
    <row r="802">
      <c r="A802" s="17" t="inlineStr">
        <is>
          <t>Zheng Jingjie</t>
        </is>
      </c>
      <c r="B802" s="171" t="n">
        <v>1</v>
      </c>
      <c r="C802" s="177" t="n">
        <v>0</v>
      </c>
      <c r="D802" s="178" t="n">
        <v>0</v>
      </c>
      <c r="E802" s="178" t="n">
        <v>11.9</v>
      </c>
      <c r="F802" s="178" t="n">
        <v>-1.5</v>
      </c>
      <c r="G802" s="178" t="n">
        <v>-38.1</v>
      </c>
      <c r="H802" s="178" t="n">
        <v>11.9</v>
      </c>
      <c r="I802" s="178" t="n">
        <v>-1.5</v>
      </c>
      <c r="J802" s="178" t="n">
        <v>-38.1</v>
      </c>
      <c r="K802" s="179" t="inlineStr">
        <is>
          <t>2361 SINOHEALTH HLDG</t>
        </is>
      </c>
    </row>
    <row r="803">
      <c r="A803" s="17" t="inlineStr">
        <is>
          <t>LG Chem, Ltd</t>
        </is>
      </c>
      <c r="B803" s="171" t="n">
        <v>1</v>
      </c>
      <c r="C803" s="177" t="n">
        <v>0</v>
      </c>
      <c r="D803" s="178" t="n">
        <v>0</v>
      </c>
      <c r="E803" s="178" t="n">
        <v>-3.8</v>
      </c>
      <c r="F803" s="178" t="n">
        <v>4.3</v>
      </c>
      <c r="G803" s="178" t="n">
        <v>-21.2</v>
      </c>
      <c r="H803" s="178" t="n">
        <v>-3.8</v>
      </c>
      <c r="I803" s="178" t="n">
        <v>4.3</v>
      </c>
      <c r="J803" s="178" t="n">
        <v>-21.2</v>
      </c>
      <c r="K803" s="179" t="inlineStr">
        <is>
          <t>9696 TIANQI LITHIUM</t>
        </is>
      </c>
    </row>
    <row r="804">
      <c r="A804" s="17" t="inlineStr">
        <is>
          <t>Shenzhen Dynanonic Company Limited</t>
        </is>
      </c>
      <c r="B804" s="171" t="n">
        <v>1</v>
      </c>
      <c r="C804" s="177" t="n">
        <v>0</v>
      </c>
      <c r="D804" s="178" t="n">
        <v>0</v>
      </c>
      <c r="E804" s="178" t="n">
        <v>-3.8</v>
      </c>
      <c r="F804" s="178" t="n">
        <v>4.3</v>
      </c>
      <c r="G804" s="178" t="n">
        <v>-21.2</v>
      </c>
      <c r="H804" s="178" t="n">
        <v>-3.8</v>
      </c>
      <c r="I804" s="178" t="n">
        <v>4.3</v>
      </c>
      <c r="J804" s="178" t="n">
        <v>-21.2</v>
      </c>
      <c r="K804" s="179" t="inlineStr">
        <is>
          <t>9696 TIANQI LITHIUM</t>
        </is>
      </c>
    </row>
    <row r="805">
      <c r="A805" s="17" t="inlineStr">
        <is>
          <t>Shaanxi Tide Automobile Air Conditioning Co., Ltd</t>
        </is>
      </c>
      <c r="B805" s="171" t="n">
        <v>1</v>
      </c>
      <c r="C805" s="177" t="n">
        <v>0</v>
      </c>
      <c r="D805" s="178" t="n">
        <v>0</v>
      </c>
      <c r="E805" s="178" t="n">
        <v>-8.9</v>
      </c>
      <c r="F805" s="178" t="n">
        <v>-31.7</v>
      </c>
      <c r="G805" s="178" t="n">
        <v>-46.1</v>
      </c>
      <c r="H805" s="178" t="n">
        <v>-8.9</v>
      </c>
      <c r="I805" s="178" t="n">
        <v>-31.7</v>
      </c>
      <c r="J805" s="178" t="n">
        <v>-46.1</v>
      </c>
      <c r="K805" s="179" t="inlineStr">
        <is>
          <t>2418 DEEWIN</t>
        </is>
      </c>
    </row>
    <row r="806">
      <c r="A806" s="17" t="inlineStr">
        <is>
          <t>AMOREPACIFIC Group</t>
        </is>
      </c>
      <c r="B806" s="171" t="n">
        <v>1</v>
      </c>
      <c r="C806" s="177" t="n">
        <v>0</v>
      </c>
      <c r="D806" s="178" t="n">
        <v>0</v>
      </c>
      <c r="E806" s="178" t="n">
        <v>8.199999999999999</v>
      </c>
      <c r="F806" s="178" t="n">
        <v>17.1</v>
      </c>
      <c r="G806" s="178" t="n">
        <v>9.300000000000001</v>
      </c>
      <c r="H806" s="178" t="n">
        <v>8.199999999999999</v>
      </c>
      <c r="I806" s="178" t="n">
        <v>17.1</v>
      </c>
      <c r="J806" s="178" t="n">
        <v>9.300000000000001</v>
      </c>
      <c r="K806" s="179" t="inlineStr">
        <is>
          <t>1880 CTG DUTY-FREE</t>
        </is>
      </c>
    </row>
    <row r="807">
      <c r="A807" s="17" t="inlineStr">
        <is>
          <t>Luzhou Laojiao Co., Ltd</t>
        </is>
      </c>
      <c r="B807" s="171" t="n">
        <v>1</v>
      </c>
      <c r="C807" s="177" t="n">
        <v>0</v>
      </c>
      <c r="D807" s="178" t="n">
        <v>0</v>
      </c>
      <c r="E807" s="178" t="n">
        <v>8.199999999999999</v>
      </c>
      <c r="F807" s="178" t="n">
        <v>17.1</v>
      </c>
      <c r="G807" s="178" t="n">
        <v>9.300000000000001</v>
      </c>
      <c r="H807" s="178" t="n">
        <v>8.199999999999999</v>
      </c>
      <c r="I807" s="178" t="n">
        <v>17.1</v>
      </c>
      <c r="J807" s="178" t="n">
        <v>9.300000000000001</v>
      </c>
      <c r="K807" s="179" t="inlineStr">
        <is>
          <t>1880 CTG DUTY-FREE</t>
        </is>
      </c>
    </row>
    <row r="808">
      <c r="A808" s="17" t="inlineStr">
        <is>
          <t>Rongshi International Holding Company Limited</t>
        </is>
      </c>
      <c r="B808" s="171" t="n">
        <v>1</v>
      </c>
      <c r="C808" s="177" t="n">
        <v>0</v>
      </c>
      <c r="D808" s="178" t="n">
        <v>0</v>
      </c>
      <c r="E808" s="178" t="n">
        <v>8.199999999999999</v>
      </c>
      <c r="F808" s="178" t="n">
        <v>17.1</v>
      </c>
      <c r="G808" s="178" t="n">
        <v>9.300000000000001</v>
      </c>
      <c r="H808" s="178" t="n">
        <v>8.199999999999999</v>
      </c>
      <c r="I808" s="178" t="n">
        <v>17.1</v>
      </c>
      <c r="J808" s="178" t="n">
        <v>9.300000000000001</v>
      </c>
      <c r="K808" s="179" t="inlineStr">
        <is>
          <t>1880 CTG DUTY-FREE</t>
        </is>
      </c>
    </row>
    <row r="809">
      <c r="A809" s="17" t="inlineStr">
        <is>
          <t>Shanghai Airport Investment Corporation Limited</t>
        </is>
      </c>
      <c r="B809" s="171" t="n">
        <v>1</v>
      </c>
      <c r="C809" s="177" t="n">
        <v>0</v>
      </c>
      <c r="D809" s="178" t="n">
        <v>0</v>
      </c>
      <c r="E809" s="178" t="n">
        <v>8.199999999999999</v>
      </c>
      <c r="F809" s="178" t="n">
        <v>17.1</v>
      </c>
      <c r="G809" s="178" t="n">
        <v>9.300000000000001</v>
      </c>
      <c r="H809" s="178" t="n">
        <v>8.199999999999999</v>
      </c>
      <c r="I809" s="178" t="n">
        <v>17.1</v>
      </c>
      <c r="J809" s="178" t="n">
        <v>9.300000000000001</v>
      </c>
      <c r="K809" s="179" t="inlineStr">
        <is>
          <t>1880 CTG DUTY-FREE</t>
        </is>
      </c>
    </row>
    <row r="810">
      <c r="A810" s="17" t="inlineStr">
        <is>
          <t>Jumpcan International Co., Ltd</t>
        </is>
      </c>
      <c r="B810" s="171" t="n">
        <v>1</v>
      </c>
      <c r="C810" s="177" t="n">
        <v>0</v>
      </c>
      <c r="D810" s="178" t="n">
        <v>0</v>
      </c>
      <c r="E810" s="178" t="n">
        <v>0.3</v>
      </c>
      <c r="F810" s="178" t="n">
        <v>-1</v>
      </c>
      <c r="G810" s="178" t="n">
        <v>0</v>
      </c>
      <c r="H810" s="178" t="n">
        <v>0.3</v>
      </c>
      <c r="I810" s="178" t="n">
        <v>-1</v>
      </c>
      <c r="J810" s="178" t="n">
        <v>0</v>
      </c>
      <c r="K810" s="179" t="inlineStr">
        <is>
          <t>9886 DINGDANG HEALTH</t>
        </is>
      </c>
    </row>
    <row r="811">
      <c r="A811" s="17" t="inlineStr">
        <is>
          <t>Changzhou Jingce New Energy Tech Co., Ltd</t>
        </is>
      </c>
      <c r="B811" s="171" t="n">
        <v>1</v>
      </c>
      <c r="C811" s="177" t="n">
        <v>0</v>
      </c>
      <c r="D811" s="178" t="n">
        <v>0</v>
      </c>
      <c r="E811" s="178" t="n">
        <v>-2.6</v>
      </c>
      <c r="F811" s="178" t="n">
        <v>-37.8</v>
      </c>
      <c r="G811" s="178" t="n">
        <v>-45.8</v>
      </c>
      <c r="H811" s="178" t="n">
        <v>-2.6</v>
      </c>
      <c r="I811" s="178" t="n">
        <v>-37.8</v>
      </c>
      <c r="J811" s="178" t="n">
        <v>-45.8</v>
      </c>
      <c r="K811" s="179" t="inlineStr">
        <is>
          <t>3931 CALB</t>
        </is>
      </c>
    </row>
    <row r="812">
      <c r="A812" s="17" t="inlineStr">
        <is>
          <t>Hans Laser Technology Co., Limited</t>
        </is>
      </c>
      <c r="B812" s="171" t="n">
        <v>1</v>
      </c>
      <c r="C812" s="177" t="n">
        <v>0</v>
      </c>
      <c r="D812" s="178" t="n">
        <v>0</v>
      </c>
      <c r="E812" s="178" t="n">
        <v>-2.6</v>
      </c>
      <c r="F812" s="178" t="n">
        <v>-37.8</v>
      </c>
      <c r="G812" s="178" t="n">
        <v>-45.8</v>
      </c>
      <c r="H812" s="178" t="n">
        <v>-2.6</v>
      </c>
      <c r="I812" s="178" t="n">
        <v>-37.8</v>
      </c>
      <c r="J812" s="178" t="n">
        <v>-45.8</v>
      </c>
      <c r="K812" s="179" t="inlineStr">
        <is>
          <t>3931 CALB</t>
        </is>
      </c>
    </row>
    <row r="813">
      <c r="A813" s="17" t="inlineStr">
        <is>
          <t>Jiangmen New Energy</t>
        </is>
      </c>
      <c r="B813" s="171" t="n">
        <v>1</v>
      </c>
      <c r="C813" s="177" t="n">
        <v>0</v>
      </c>
      <c r="D813" s="178" t="n">
        <v>0</v>
      </c>
      <c r="E813" s="178" t="n">
        <v>-2.6</v>
      </c>
      <c r="F813" s="178" t="n">
        <v>-37.8</v>
      </c>
      <c r="G813" s="178" t="n">
        <v>-45.8</v>
      </c>
      <c r="H813" s="178" t="n">
        <v>-2.6</v>
      </c>
      <c r="I813" s="178" t="n">
        <v>-37.8</v>
      </c>
      <c r="J813" s="178" t="n">
        <v>-45.8</v>
      </c>
      <c r="K813" s="179" t="inlineStr">
        <is>
          <t>3931 CALB</t>
        </is>
      </c>
    </row>
    <row r="814">
      <c r="A814" s="17" t="inlineStr">
        <is>
          <t>Lv Lizhi</t>
        </is>
      </c>
      <c r="B814" s="171" t="n">
        <v>1</v>
      </c>
      <c r="C814" s="177" t="n">
        <v>0</v>
      </c>
      <c r="D814" s="178" t="n">
        <v>0</v>
      </c>
      <c r="E814" s="178" t="n">
        <v>-2.6</v>
      </c>
      <c r="F814" s="178" t="n">
        <v>-37.8</v>
      </c>
      <c r="G814" s="178" t="n">
        <v>-45.8</v>
      </c>
      <c r="H814" s="178" t="n">
        <v>-2.6</v>
      </c>
      <c r="I814" s="178" t="n">
        <v>-37.8</v>
      </c>
      <c r="J814" s="178" t="n">
        <v>-45.8</v>
      </c>
      <c r="K814" s="179" t="inlineStr">
        <is>
          <t>3931 CALB</t>
        </is>
      </c>
    </row>
    <row r="815">
      <c r="A815" s="17" t="inlineStr">
        <is>
          <t>Tianqi Lithium HK Co., Limited</t>
        </is>
      </c>
      <c r="B815" s="171" t="n">
        <v>1</v>
      </c>
      <c r="C815" s="177" t="n">
        <v>0</v>
      </c>
      <c r="D815" s="178" t="n">
        <v>0</v>
      </c>
      <c r="E815" s="178" t="n">
        <v>-2.6</v>
      </c>
      <c r="F815" s="178" t="n">
        <v>-37.8</v>
      </c>
      <c r="G815" s="178" t="n">
        <v>-45.8</v>
      </c>
      <c r="H815" s="178" t="n">
        <v>-2.6</v>
      </c>
      <c r="I815" s="178" t="n">
        <v>-37.8</v>
      </c>
      <c r="J815" s="178" t="n">
        <v>-45.8</v>
      </c>
      <c r="K815" s="179" t="inlineStr">
        <is>
          <t>3931 CALB</t>
        </is>
      </c>
    </row>
    <row r="816">
      <c r="A816" s="17" t="inlineStr">
        <is>
          <t>Tibet Nord Technology Co., Ltd</t>
        </is>
      </c>
      <c r="B816" s="171" t="n">
        <v>1</v>
      </c>
      <c r="C816" s="177" t="n">
        <v>0</v>
      </c>
      <c r="D816" s="178" t="n">
        <v>0</v>
      </c>
      <c r="E816" s="178" t="n">
        <v>-2.6</v>
      </c>
      <c r="F816" s="178" t="n">
        <v>-37.8</v>
      </c>
      <c r="G816" s="178" t="n">
        <v>-45.8</v>
      </c>
      <c r="H816" s="178" t="n">
        <v>-2.6</v>
      </c>
      <c r="I816" s="178" t="n">
        <v>-37.8</v>
      </c>
      <c r="J816" s="178" t="n">
        <v>-45.8</v>
      </c>
      <c r="K816" s="179" t="inlineStr">
        <is>
          <t>3931 CALB</t>
        </is>
      </c>
    </row>
    <row r="817">
      <c r="A817" s="17" t="inlineStr">
        <is>
          <t>TMA International PTE. LTD</t>
        </is>
      </c>
      <c r="B817" s="171" t="n">
        <v>1</v>
      </c>
      <c r="C817" s="177" t="n">
        <v>0</v>
      </c>
      <c r="D817" s="178" t="n">
        <v>0</v>
      </c>
      <c r="E817" s="178" t="n">
        <v>-2.6</v>
      </c>
      <c r="F817" s="178" t="n">
        <v>-37.8</v>
      </c>
      <c r="G817" s="178" t="n">
        <v>-45.8</v>
      </c>
      <c r="H817" s="178" t="n">
        <v>-2.6</v>
      </c>
      <c r="I817" s="178" t="n">
        <v>-37.8</v>
      </c>
      <c r="J817" s="178" t="n">
        <v>-45.8</v>
      </c>
      <c r="K817" s="179" t="inlineStr">
        <is>
          <t>3931 CALB</t>
        </is>
      </c>
    </row>
    <row r="818">
      <c r="A818" s="17" t="inlineStr">
        <is>
          <t>Wang Sing International Resources Limited</t>
        </is>
      </c>
      <c r="B818" s="171" t="n">
        <v>1</v>
      </c>
      <c r="C818" s="177" t="n">
        <v>0</v>
      </c>
      <c r="D818" s="178" t="n">
        <v>0</v>
      </c>
      <c r="E818" s="178" t="n">
        <v>-2.6</v>
      </c>
      <c r="F818" s="178" t="n">
        <v>-37.8</v>
      </c>
      <c r="G818" s="178" t="n">
        <v>-45.8</v>
      </c>
      <c r="H818" s="178" t="n">
        <v>-2.6</v>
      </c>
      <c r="I818" s="178" t="n">
        <v>-37.8</v>
      </c>
      <c r="J818" s="178" t="n">
        <v>-45.8</v>
      </c>
      <c r="K818" s="179" t="inlineStr">
        <is>
          <t>3931 CALB</t>
        </is>
      </c>
    </row>
    <row r="819">
      <c r="A819" s="17" t="inlineStr">
        <is>
          <t>XPeng Inc</t>
        </is>
      </c>
      <c r="B819" s="171" t="n">
        <v>1</v>
      </c>
      <c r="C819" s="177" t="n">
        <v>0</v>
      </c>
      <c r="D819" s="178" t="n">
        <v>0</v>
      </c>
      <c r="E819" s="178" t="n">
        <v>-2.6</v>
      </c>
      <c r="F819" s="178" t="n">
        <v>-37.8</v>
      </c>
      <c r="G819" s="178" t="n">
        <v>-45.8</v>
      </c>
      <c r="H819" s="178" t="n">
        <v>-2.6</v>
      </c>
      <c r="I819" s="178" t="n">
        <v>-37.8</v>
      </c>
      <c r="J819" s="178" t="n">
        <v>-45.8</v>
      </c>
      <c r="K819" s="179" t="inlineStr">
        <is>
          <t>3931 CALB</t>
        </is>
      </c>
    </row>
    <row r="820">
      <c r="A820" s="17" t="inlineStr">
        <is>
          <t>Zhenshi Group (HK) Heshi Composite Materials Co., Limited</t>
        </is>
      </c>
      <c r="B820" s="171" t="n">
        <v>1</v>
      </c>
      <c r="C820" s="177" t="n">
        <v>0</v>
      </c>
      <c r="D820" s="178" t="n">
        <v>0</v>
      </c>
      <c r="E820" s="178" t="n">
        <v>-2.6</v>
      </c>
      <c r="F820" s="178" t="n">
        <v>-37.8</v>
      </c>
      <c r="G820" s="178" t="n">
        <v>-45.8</v>
      </c>
      <c r="H820" s="178" t="n">
        <v>-2.6</v>
      </c>
      <c r="I820" s="178" t="n">
        <v>-37.8</v>
      </c>
      <c r="J820" s="178" t="n">
        <v>-45.8</v>
      </c>
      <c r="K820" s="179" t="inlineStr">
        <is>
          <t>3931 CALB</t>
        </is>
      </c>
    </row>
    <row r="821">
      <c r="A821" s="17" t="inlineStr">
        <is>
          <t>GEM Hong Kong International Co., Limited</t>
        </is>
      </c>
      <c r="B821" s="171" t="n">
        <v>1</v>
      </c>
      <c r="C821" s="177" t="n">
        <v>0</v>
      </c>
      <c r="D821" s="178" t="n">
        <v>0</v>
      </c>
      <c r="E821" s="178" t="n">
        <v>-3.7</v>
      </c>
      <c r="F821" s="178" t="n">
        <v>1.1</v>
      </c>
      <c r="G821" s="178" t="n">
        <v>-19.4</v>
      </c>
      <c r="H821" s="178" t="n">
        <v>-3.7</v>
      </c>
      <c r="I821" s="178" t="n">
        <v>1.1</v>
      </c>
      <c r="J821" s="178" t="n">
        <v>-19.4</v>
      </c>
      <c r="K821" s="179" t="inlineStr">
        <is>
          <t>2245 LYGEND RESOURCE</t>
        </is>
      </c>
    </row>
    <row r="822">
      <c r="A822" s="17" t="inlineStr">
        <is>
          <t>Hubei Ronbay Battery Triangle No. 1 Equity Investment Fund Partnership</t>
        </is>
      </c>
      <c r="B822" s="171" t="n">
        <v>1</v>
      </c>
      <c r="C822" s="177" t="n">
        <v>0</v>
      </c>
      <c r="D822" s="178" t="n">
        <v>0</v>
      </c>
      <c r="E822" s="178" t="n">
        <v>-3.7</v>
      </c>
      <c r="F822" s="178" t="n">
        <v>1.1</v>
      </c>
      <c r="G822" s="178" t="n">
        <v>-19.4</v>
      </c>
      <c r="H822" s="178" t="n">
        <v>-3.7</v>
      </c>
      <c r="I822" s="178" t="n">
        <v>1.1</v>
      </c>
      <c r="J822" s="178" t="n">
        <v>-19.4</v>
      </c>
      <c r="K822" s="179" t="inlineStr">
        <is>
          <t>2245 LYGEND RESOURCE</t>
        </is>
      </c>
    </row>
    <row r="823">
      <c r="A823" s="17" t="inlineStr">
        <is>
          <t>CL Kiwi Holding Ltd</t>
        </is>
      </c>
      <c r="B823" s="171" t="n">
        <v>1</v>
      </c>
      <c r="C823" s="177" t="n">
        <v>0</v>
      </c>
      <c r="D823" s="178" t="n">
        <v>0</v>
      </c>
      <c r="E823" s="178" t="n">
        <v>0</v>
      </c>
      <c r="F823" s="178" t="n">
        <v>-2.7</v>
      </c>
      <c r="G823" s="178" t="n">
        <v>-4.3</v>
      </c>
      <c r="H823" s="178" t="n">
        <v>0</v>
      </c>
      <c r="I823" s="178" t="n">
        <v>-2.7</v>
      </c>
      <c r="J823" s="178" t="n">
        <v>-4.3</v>
      </c>
      <c r="K823" s="179" t="inlineStr">
        <is>
          <t>2407 GAUSH MEDITECH</t>
        </is>
      </c>
    </row>
    <row r="824">
      <c r="A824" s="17" t="inlineStr">
        <is>
          <t>Fu Heliang</t>
        </is>
      </c>
      <c r="B824" s="171" t="n">
        <v>1</v>
      </c>
      <c r="C824" s="177" t="n">
        <v>0</v>
      </c>
      <c r="D824" s="178" t="n">
        <v>0</v>
      </c>
      <c r="E824" s="178" t="n">
        <v>-17.2</v>
      </c>
      <c r="F824" s="178" t="n">
        <v>-22</v>
      </c>
      <c r="G824" s="178" t="n">
        <v>-2.3</v>
      </c>
      <c r="H824" s="178" t="n">
        <v>-17.2</v>
      </c>
      <c r="I824" s="178" t="n">
        <v>-22</v>
      </c>
      <c r="J824" s="178" t="n">
        <v>-2.3</v>
      </c>
      <c r="K824" s="179" t="inlineStr">
        <is>
          <t>6955 BOAN BIOTECH-B</t>
        </is>
      </c>
    </row>
    <row r="825">
      <c r="A825" s="17" t="inlineStr">
        <is>
          <t>Sino Biopharmaceutical Limited</t>
        </is>
      </c>
      <c r="B825" s="171" t="n">
        <v>1</v>
      </c>
      <c r="C825" s="177" t="n">
        <v>0</v>
      </c>
      <c r="D825" s="178" t="n">
        <v>0</v>
      </c>
      <c r="E825" s="178" t="n">
        <v>-17.2</v>
      </c>
      <c r="F825" s="178" t="n">
        <v>-22</v>
      </c>
      <c r="G825" s="178" t="n">
        <v>-2.3</v>
      </c>
      <c r="H825" s="178" t="n">
        <v>-17.2</v>
      </c>
      <c r="I825" s="178" t="n">
        <v>-22</v>
      </c>
      <c r="J825" s="178" t="n">
        <v>-2.3</v>
      </c>
      <c r="K825" s="179" t="inlineStr">
        <is>
          <t>6955 BOAN BIOTECH-B</t>
        </is>
      </c>
    </row>
    <row r="826">
      <c r="A826" s="17" t="inlineStr">
        <is>
          <t>Astonish Investment Pte. Ltd</t>
        </is>
      </c>
      <c r="B826" s="171" t="n">
        <v>1</v>
      </c>
      <c r="C826" s="177" t="n">
        <v>0</v>
      </c>
      <c r="D826" s="178" t="n">
        <v>0</v>
      </c>
      <c r="E826" s="178" t="n">
        <v>0</v>
      </c>
      <c r="F826" s="178" t="n">
        <v>8.199999999999999</v>
      </c>
      <c r="G826" s="178" t="n">
        <v>-0.5</v>
      </c>
      <c r="H826" s="178" t="n">
        <v>0</v>
      </c>
      <c r="I826" s="178" t="n">
        <v>8.199999999999999</v>
      </c>
      <c r="J826" s="178" t="n">
        <v>-0.5</v>
      </c>
      <c r="K826" s="179" t="inlineStr">
        <is>
          <t>2402 SINOHYTEC</t>
        </is>
      </c>
    </row>
    <row r="827">
      <c r="A827" s="17" t="inlineStr">
        <is>
          <t>Jiang Gang International Investment Company Limited</t>
        </is>
      </c>
      <c r="B827" s="171" t="n">
        <v>1</v>
      </c>
      <c r="C827" s="177" t="n">
        <v>0</v>
      </c>
      <c r="D827" s="178" t="n">
        <v>0</v>
      </c>
      <c r="E827" s="178" t="n">
        <v>-19.7</v>
      </c>
      <c r="F827" s="178" t="n">
        <v>-22.2</v>
      </c>
      <c r="G827" s="178" t="n">
        <v>-26.9</v>
      </c>
      <c r="H827" s="178" t="n">
        <v>-19.7</v>
      </c>
      <c r="I827" s="178" t="n">
        <v>-22.2</v>
      </c>
      <c r="J827" s="178" t="n">
        <v>-26.9</v>
      </c>
      <c r="K827" s="179" t="inlineStr">
        <is>
          <t>2481 WISE LIVING TEC</t>
        </is>
      </c>
    </row>
    <row r="828">
      <c r="A828" s="17" t="inlineStr">
        <is>
          <t>Chengdu Puhua Kaizhi Biotechnology Co., Ltd</t>
        </is>
      </c>
      <c r="B828" s="171" t="n">
        <v>1</v>
      </c>
      <c r="C828" s="177" t="n">
        <v>0</v>
      </c>
      <c r="D828" s="178" t="n">
        <v>0</v>
      </c>
      <c r="E828" s="178" t="n">
        <v>-6.2</v>
      </c>
      <c r="F828" s="178" t="n">
        <v>-40.4</v>
      </c>
      <c r="G828" s="178" t="n">
        <v>-45.2</v>
      </c>
      <c r="H828" s="178" t="n">
        <v>-6.2</v>
      </c>
      <c r="I828" s="178" t="n">
        <v>-40.4</v>
      </c>
      <c r="J828" s="178" t="n">
        <v>-45.2</v>
      </c>
      <c r="K828" s="179" t="inlineStr">
        <is>
          <t>2496 YZYBIO-B</t>
        </is>
      </c>
    </row>
    <row r="829">
      <c r="A829" s="17" t="inlineStr">
        <is>
          <t>Wuhan Optics Valley Health Industry Investment Ltd</t>
        </is>
      </c>
      <c r="B829" s="171" t="n">
        <v>1</v>
      </c>
      <c r="C829" s="177" t="n">
        <v>0</v>
      </c>
      <c r="D829" s="178" t="n">
        <v>0</v>
      </c>
      <c r="E829" s="178" t="n">
        <v>-6.2</v>
      </c>
      <c r="F829" s="178" t="n">
        <v>-40.4</v>
      </c>
      <c r="G829" s="178" t="n">
        <v>-45.2</v>
      </c>
      <c r="H829" s="178" t="n">
        <v>-6.2</v>
      </c>
      <c r="I829" s="178" t="n">
        <v>-40.4</v>
      </c>
      <c r="J829" s="178" t="n">
        <v>-45.2</v>
      </c>
      <c r="K829" s="179" t="inlineStr">
        <is>
          <t>2496 YZYBIO-B</t>
        </is>
      </c>
    </row>
    <row r="830">
      <c r="A830" s="17" t="inlineStr">
        <is>
          <t>4399 Net Limited</t>
        </is>
      </c>
      <c r="B830" s="171" t="n">
        <v>1</v>
      </c>
      <c r="C830" s="177" t="n">
        <v>0</v>
      </c>
      <c r="D830" s="178" t="n">
        <v>0</v>
      </c>
      <c r="E830" s="178" t="n">
        <v>-3.9</v>
      </c>
      <c r="F830" s="178" t="n">
        <v>-14.3</v>
      </c>
      <c r="G830" s="178" t="n">
        <v>240.4</v>
      </c>
      <c r="H830" s="178" t="n">
        <v>-3.9</v>
      </c>
      <c r="I830" s="178" t="n">
        <v>-14.3</v>
      </c>
      <c r="J830" s="178" t="n">
        <v>240.4</v>
      </c>
      <c r="K830" s="179" t="inlineStr">
        <is>
          <t>9890 ZX INC</t>
        </is>
      </c>
    </row>
    <row r="831">
      <c r="A831" s="17" t="inlineStr">
        <is>
          <t>Aofei Data International Company Limited</t>
        </is>
      </c>
      <c r="B831" s="171" t="n">
        <v>1</v>
      </c>
      <c r="C831" s="177" t="n">
        <v>0</v>
      </c>
      <c r="D831" s="178" t="n">
        <v>0</v>
      </c>
      <c r="E831" s="178" t="n">
        <v>-3.9</v>
      </c>
      <c r="F831" s="178" t="n">
        <v>-14.3</v>
      </c>
      <c r="G831" s="178" t="n">
        <v>240.4</v>
      </c>
      <c r="H831" s="178" t="n">
        <v>-3.9</v>
      </c>
      <c r="I831" s="178" t="n">
        <v>-14.3</v>
      </c>
      <c r="J831" s="178" t="n">
        <v>240.4</v>
      </c>
      <c r="K831" s="179" t="inlineStr">
        <is>
          <t>9890 ZX INC</t>
        </is>
      </c>
    </row>
    <row r="832">
      <c r="A832" s="17" t="inlineStr">
        <is>
          <t>Hong Kong Longsin Co., Limited</t>
        </is>
      </c>
      <c r="B832" s="171" t="n">
        <v>1</v>
      </c>
      <c r="C832" s="177" t="n">
        <v>0</v>
      </c>
      <c r="D832" s="178" t="n">
        <v>0</v>
      </c>
      <c r="E832" s="178" t="n">
        <v>-3.9</v>
      </c>
      <c r="F832" s="178" t="n">
        <v>-14.3</v>
      </c>
      <c r="G832" s="178" t="n">
        <v>240.4</v>
      </c>
      <c r="H832" s="178" t="n">
        <v>-3.9</v>
      </c>
      <c r="I832" s="178" t="n">
        <v>-14.3</v>
      </c>
      <c r="J832" s="178" t="n">
        <v>240.4</v>
      </c>
      <c r="K832" s="179" t="inlineStr">
        <is>
          <t>9890 ZX INC</t>
        </is>
      </c>
    </row>
    <row r="833">
      <c r="A833" s="17" t="inlineStr">
        <is>
          <t>Shangrao High-speed Industrial Investment</t>
        </is>
      </c>
      <c r="B833" s="171" t="n">
        <v>1</v>
      </c>
      <c r="C833" s="177" t="n">
        <v>0</v>
      </c>
      <c r="D833" s="178" t="n">
        <v>0</v>
      </c>
      <c r="E833" s="178" t="n">
        <v>-3.9</v>
      </c>
      <c r="F833" s="178" t="n">
        <v>-14.3</v>
      </c>
      <c r="G833" s="178" t="n">
        <v>240.4</v>
      </c>
      <c r="H833" s="178" t="n">
        <v>-3.9</v>
      </c>
      <c r="I833" s="178" t="n">
        <v>-14.3</v>
      </c>
      <c r="J833" s="178" t="n">
        <v>240.4</v>
      </c>
      <c r="K833" s="179" t="inlineStr">
        <is>
          <t>9890 ZX INC</t>
        </is>
      </c>
    </row>
    <row r="834">
      <c r="A834" s="17" t="inlineStr">
        <is>
          <t>D1 SPV Jupiter (Hong Kong) Limited</t>
        </is>
      </c>
      <c r="B834" s="171" t="n">
        <v>1</v>
      </c>
      <c r="C834" s="177" t="n">
        <v>0</v>
      </c>
      <c r="D834" s="178" t="n">
        <v>0</v>
      </c>
      <c r="E834" s="178" t="n">
        <v>3.3</v>
      </c>
      <c r="F834" s="178" t="n">
        <v>-1.2</v>
      </c>
      <c r="G834" s="178" t="n">
        <v>34</v>
      </c>
      <c r="H834" s="178" t="n">
        <v>3.3</v>
      </c>
      <c r="I834" s="178" t="n">
        <v>-1.2</v>
      </c>
      <c r="J834" s="178" t="n">
        <v>34</v>
      </c>
      <c r="K834" s="179" t="inlineStr">
        <is>
          <t>1519 J&amp;T EXPRESS-W</t>
        </is>
      </c>
    </row>
    <row r="835">
      <c r="A835" s="17" t="inlineStr">
        <is>
          <t>Dahlia Investments Pte. Ltd</t>
        </is>
      </c>
      <c r="B835" s="171" t="n">
        <v>1</v>
      </c>
      <c r="C835" s="177" t="n">
        <v>0</v>
      </c>
      <c r="D835" s="178" t="n">
        <v>0</v>
      </c>
      <c r="E835" s="178" t="n">
        <v>3.3</v>
      </c>
      <c r="F835" s="178" t="n">
        <v>-1.2</v>
      </c>
      <c r="G835" s="178" t="n">
        <v>34</v>
      </c>
      <c r="H835" s="178" t="n">
        <v>3.3</v>
      </c>
      <c r="I835" s="178" t="n">
        <v>-1.2</v>
      </c>
      <c r="J835" s="178" t="n">
        <v>34</v>
      </c>
      <c r="K835" s="179" t="inlineStr">
        <is>
          <t>1519 J&amp;T EXPRESS-W</t>
        </is>
      </c>
    </row>
    <row r="836">
      <c r="A836" s="17" t="inlineStr">
        <is>
          <t>Hidden Hill SPV VIII</t>
        </is>
      </c>
      <c r="B836" s="171" t="n">
        <v>1</v>
      </c>
      <c r="C836" s="177" t="n">
        <v>0</v>
      </c>
      <c r="D836" s="178" t="n">
        <v>0</v>
      </c>
      <c r="E836" s="178" t="n">
        <v>3.3</v>
      </c>
      <c r="F836" s="178" t="n">
        <v>-1.2</v>
      </c>
      <c r="G836" s="178" t="n">
        <v>34</v>
      </c>
      <c r="H836" s="178" t="n">
        <v>3.3</v>
      </c>
      <c r="I836" s="178" t="n">
        <v>-1.2</v>
      </c>
      <c r="J836" s="178" t="n">
        <v>34</v>
      </c>
      <c r="K836" s="179" t="inlineStr">
        <is>
          <t>1519 J&amp;T EXPRESS-W</t>
        </is>
      </c>
    </row>
    <row r="837">
      <c r="A837" s="17" t="inlineStr">
        <is>
          <t>Jallion Global Limited</t>
        </is>
      </c>
      <c r="B837" s="171" t="n">
        <v>1</v>
      </c>
      <c r="C837" s="177" t="n">
        <v>0</v>
      </c>
      <c r="D837" s="178" t="n">
        <v>0</v>
      </c>
      <c r="E837" s="178" t="n">
        <v>3.3</v>
      </c>
      <c r="F837" s="178" t="n">
        <v>-1.2</v>
      </c>
      <c r="G837" s="178" t="n">
        <v>34</v>
      </c>
      <c r="H837" s="178" t="n">
        <v>3.3</v>
      </c>
      <c r="I837" s="178" t="n">
        <v>-1.2</v>
      </c>
      <c r="J837" s="178" t="n">
        <v>34</v>
      </c>
      <c r="K837" s="179" t="inlineStr">
        <is>
          <t>1519 J&amp;T EXPRESS-W</t>
        </is>
      </c>
    </row>
    <row r="838">
      <c r="A838" s="17" t="inlineStr">
        <is>
          <t>JNRY III HOLDINGS LIMITED</t>
        </is>
      </c>
      <c r="B838" s="171" t="n">
        <v>1</v>
      </c>
      <c r="C838" s="177" t="n">
        <v>0</v>
      </c>
      <c r="D838" s="178" t="n">
        <v>0</v>
      </c>
      <c r="E838" s="178" t="n">
        <v>3.3</v>
      </c>
      <c r="F838" s="178" t="n">
        <v>-1.2</v>
      </c>
      <c r="G838" s="178" t="n">
        <v>34</v>
      </c>
      <c r="H838" s="178" t="n">
        <v>3.3</v>
      </c>
      <c r="I838" s="178" t="n">
        <v>-1.2</v>
      </c>
      <c r="J838" s="178" t="n">
        <v>34</v>
      </c>
      <c r="K838" s="179" t="inlineStr">
        <is>
          <t>1519 J&amp;T EXPRESS-W</t>
        </is>
      </c>
    </row>
    <row r="839">
      <c r="A839" s="17" t="inlineStr">
        <is>
          <t>Joyous Tempinis Limited</t>
        </is>
      </c>
      <c r="B839" s="171" t="n">
        <v>1</v>
      </c>
      <c r="C839" s="177" t="n">
        <v>0</v>
      </c>
      <c r="D839" s="178" t="n">
        <v>0</v>
      </c>
      <c r="E839" s="178" t="n">
        <v>3.3</v>
      </c>
      <c r="F839" s="178" t="n">
        <v>-1.2</v>
      </c>
      <c r="G839" s="178" t="n">
        <v>34</v>
      </c>
      <c r="H839" s="178" t="n">
        <v>3.3</v>
      </c>
      <c r="I839" s="178" t="n">
        <v>-1.2</v>
      </c>
      <c r="J839" s="178" t="n">
        <v>34</v>
      </c>
      <c r="K839" s="179" t="inlineStr">
        <is>
          <t>1519 J&amp;T EXPRESS-W</t>
        </is>
      </c>
    </row>
    <row r="840">
      <c r="A840" s="17" t="inlineStr">
        <is>
          <t>Parallel Cluster Investment Limited</t>
        </is>
      </c>
      <c r="B840" s="171" t="n">
        <v>1</v>
      </c>
      <c r="C840" s="177" t="n">
        <v>0</v>
      </c>
      <c r="D840" s="178" t="n">
        <v>0</v>
      </c>
      <c r="E840" s="178" t="n">
        <v>3.3</v>
      </c>
      <c r="F840" s="178" t="n">
        <v>-1.2</v>
      </c>
      <c r="G840" s="178" t="n">
        <v>34</v>
      </c>
      <c r="H840" s="178" t="n">
        <v>3.3</v>
      </c>
      <c r="I840" s="178" t="n">
        <v>-1.2</v>
      </c>
      <c r="J840" s="178" t="n">
        <v>34</v>
      </c>
      <c r="K840" s="179" t="inlineStr">
        <is>
          <t>1519 J&amp;T EXPRESS-W</t>
        </is>
      </c>
    </row>
    <row r="841">
      <c r="A841" s="17" t="inlineStr">
        <is>
          <t>SC GGF III Holdco, Ltd</t>
        </is>
      </c>
      <c r="B841" s="171" t="n">
        <v>1</v>
      </c>
      <c r="C841" s="177" t="n">
        <v>0</v>
      </c>
      <c r="D841" s="178" t="n">
        <v>0</v>
      </c>
      <c r="E841" s="178" t="n">
        <v>3.3</v>
      </c>
      <c r="F841" s="178" t="n">
        <v>-1.2</v>
      </c>
      <c r="G841" s="178" t="n">
        <v>34</v>
      </c>
      <c r="H841" s="178" t="n">
        <v>3.3</v>
      </c>
      <c r="I841" s="178" t="n">
        <v>-1.2</v>
      </c>
      <c r="J841" s="178" t="n">
        <v>34</v>
      </c>
      <c r="K841" s="179" t="inlineStr">
        <is>
          <t>1519 J&amp;T EXPRESS-W</t>
        </is>
      </c>
    </row>
    <row r="842">
      <c r="A842" s="17" t="inlineStr">
        <is>
          <t>COFCO Capital Special Opportunity Fund 2 SP</t>
        </is>
      </c>
      <c r="B842" s="171" t="n">
        <v>1</v>
      </c>
      <c r="C842" s="177" t="n">
        <v>0</v>
      </c>
      <c r="D842" s="178" t="n">
        <v>0</v>
      </c>
      <c r="E842" s="178" t="n">
        <v>6.5</v>
      </c>
      <c r="F842" s="178" t="n">
        <v>22.9</v>
      </c>
      <c r="G842" s="178" t="n">
        <v>42.1</v>
      </c>
      <c r="H842" s="178" t="n">
        <v>6.5</v>
      </c>
      <c r="I842" s="178" t="n">
        <v>22.9</v>
      </c>
      <c r="J842" s="178" t="n">
        <v>42.1</v>
      </c>
      <c r="K842" s="179" t="inlineStr">
        <is>
          <t>2517 GUOQUAN</t>
        </is>
      </c>
    </row>
    <row r="843">
      <c r="A843" s="17" t="inlineStr">
        <is>
          <t>Jinding Capital Management (Shenzhen) Co., Ltd</t>
        </is>
      </c>
      <c r="B843" s="171" t="n">
        <v>1</v>
      </c>
      <c r="C843" s="177" t="n">
        <v>0</v>
      </c>
      <c r="D843" s="178" t="n">
        <v>0</v>
      </c>
      <c r="E843" s="178" t="n">
        <v>6.5</v>
      </c>
      <c r="F843" s="178" t="n">
        <v>22.9</v>
      </c>
      <c r="G843" s="178" t="n">
        <v>42.1</v>
      </c>
      <c r="H843" s="178" t="n">
        <v>6.5</v>
      </c>
      <c r="I843" s="178" t="n">
        <v>22.9</v>
      </c>
      <c r="J843" s="178" t="n">
        <v>42.1</v>
      </c>
      <c r="K843" s="179" t="inlineStr">
        <is>
          <t>2517 GUOQUAN</t>
        </is>
      </c>
    </row>
    <row r="844">
      <c r="A844" s="17" t="inlineStr">
        <is>
          <t>Profit Joy (Hong Kong) Limited</t>
        </is>
      </c>
      <c r="B844" s="171" t="n">
        <v>1</v>
      </c>
      <c r="C844" s="177" t="n">
        <v>0</v>
      </c>
      <c r="D844" s="178" t="n">
        <v>0</v>
      </c>
      <c r="E844" s="178" t="n">
        <v>6.5</v>
      </c>
      <c r="F844" s="178" t="n">
        <v>22.9</v>
      </c>
      <c r="G844" s="178" t="n">
        <v>42.1</v>
      </c>
      <c r="H844" s="178" t="n">
        <v>6.5</v>
      </c>
      <c r="I844" s="178" t="n">
        <v>22.9</v>
      </c>
      <c r="J844" s="178" t="n">
        <v>42.1</v>
      </c>
      <c r="K844" s="179" t="inlineStr">
        <is>
          <t>2517 GUOQUAN</t>
        </is>
      </c>
    </row>
    <row r="845">
      <c r="A845" s="17" t="inlineStr">
        <is>
          <t>Mingyang Smart Energy Group Co., Ltd</t>
        </is>
      </c>
      <c r="B845" s="171" t="n">
        <v>1</v>
      </c>
      <c r="C845" s="177" t="n">
        <v>0</v>
      </c>
      <c r="D845" s="178" t="n">
        <v>0</v>
      </c>
      <c r="E845" s="178" t="n">
        <v>-5.5</v>
      </c>
      <c r="F845" s="178" t="n">
        <v>-17.4</v>
      </c>
      <c r="G845" s="178" t="n">
        <v>-11.5</v>
      </c>
      <c r="H845" s="178" t="n">
        <v>-5.5</v>
      </c>
      <c r="I845" s="178" t="n">
        <v>-17.4</v>
      </c>
      <c r="J845" s="178" t="n">
        <v>-11.5</v>
      </c>
      <c r="K845" s="179" t="inlineStr">
        <is>
          <t>2520 SHANXI INSTALL</t>
        </is>
      </c>
    </row>
    <row r="846">
      <c r="A846" s="17" t="inlineStr">
        <is>
          <t>WU Chen</t>
        </is>
      </c>
      <c r="B846" s="171" t="n">
        <v>1</v>
      </c>
      <c r="C846" s="177" t="n">
        <v>0</v>
      </c>
      <c r="D846" s="178" t="n">
        <v>0</v>
      </c>
      <c r="E846" s="178" t="n">
        <v>-5.2</v>
      </c>
      <c r="F846" s="178" t="n">
        <v>1</v>
      </c>
      <c r="G846" s="178" t="n">
        <v>3.1</v>
      </c>
      <c r="H846" s="178" t="n">
        <v>-5.2</v>
      </c>
      <c r="I846" s="178" t="n">
        <v>1</v>
      </c>
      <c r="J846" s="178" t="n">
        <v>3.1</v>
      </c>
      <c r="K846" s="179" t="inlineStr">
        <is>
          <t>1497 YAN PALACE</t>
        </is>
      </c>
    </row>
    <row r="847">
      <c r="A847" s="17" t="inlineStr">
        <is>
          <t>Shenzhen Nanshan Strategic Emerging Industries Investment Co., Ltd</t>
        </is>
      </c>
      <c r="B847" s="171" t="n">
        <v>1</v>
      </c>
      <c r="C847" s="177" t="n">
        <v>0</v>
      </c>
      <c r="D847" s="178" t="n">
        <v>0</v>
      </c>
      <c r="E847" s="178" t="n">
        <v>0</v>
      </c>
      <c r="F847" s="178" t="n">
        <v>-9.300000000000001</v>
      </c>
      <c r="G847" s="178" t="n">
        <v>-1.2</v>
      </c>
      <c r="H847" s="178" t="n">
        <v>0</v>
      </c>
      <c r="I847" s="178" t="n">
        <v>-9.300000000000001</v>
      </c>
      <c r="J847" s="178" t="n">
        <v>-1.2</v>
      </c>
      <c r="K847" s="179" t="inlineStr">
        <is>
          <t>2498 ROBOSENSE</t>
        </is>
      </c>
    </row>
    <row r="848">
      <c r="A848" s="17" t="inlineStr">
        <is>
          <t>Changshu Southeast Industrial Investment Co., Ltd</t>
        </is>
      </c>
      <c r="B848" s="171" t="n">
        <v>1</v>
      </c>
      <c r="C848" s="177" t="n">
        <v>0</v>
      </c>
      <c r="D848" s="178" t="n">
        <v>0</v>
      </c>
      <c r="E848" s="178" t="n">
        <v>-10.4</v>
      </c>
      <c r="F848" s="178" t="n">
        <v>-9.6</v>
      </c>
      <c r="G848" s="178" t="n">
        <v>-30.2</v>
      </c>
      <c r="H848" s="178" t="n">
        <v>-10.4</v>
      </c>
      <c r="I848" s="178" t="n">
        <v>-9.6</v>
      </c>
      <c r="J848" s="178" t="n">
        <v>-30.2</v>
      </c>
      <c r="K848" s="179" t="inlineStr">
        <is>
          <t>2507 CIRRUS</t>
        </is>
      </c>
    </row>
    <row r="849">
      <c r="A849" s="17" t="inlineStr">
        <is>
          <t>Taicang High Tech Science and Innovation Development Co</t>
        </is>
      </c>
      <c r="B849" s="171" t="n">
        <v>1</v>
      </c>
      <c r="C849" s="177" t="n">
        <v>0</v>
      </c>
      <c r="D849" s="178" t="n">
        <v>0</v>
      </c>
      <c r="E849" s="178" t="n">
        <v>-10.4</v>
      </c>
      <c r="F849" s="178" t="n">
        <v>-9.6</v>
      </c>
      <c r="G849" s="178" t="n">
        <v>-30.2</v>
      </c>
      <c r="H849" s="178" t="n">
        <v>-10.4</v>
      </c>
      <c r="I849" s="178" t="n">
        <v>-9.6</v>
      </c>
      <c r="J849" s="178" t="n">
        <v>-30.2</v>
      </c>
      <c r="K849" s="179" t="inlineStr">
        <is>
          <t>2507 CIRRUS</t>
        </is>
      </c>
    </row>
    <row r="850">
      <c r="A850" s="17" t="inlineStr">
        <is>
          <t>Norges Bank</t>
        </is>
      </c>
      <c r="B850" s="171" t="n">
        <v>1</v>
      </c>
      <c r="C850" s="177" t="n">
        <v>0</v>
      </c>
      <c r="D850" s="178" t="n">
        <v>0</v>
      </c>
      <c r="E850" s="178" t="n">
        <v>-5</v>
      </c>
      <c r="F850" s="178" t="n">
        <v>-1.3</v>
      </c>
      <c r="G850" s="178" t="n">
        <v>10.9</v>
      </c>
      <c r="H850" s="178" t="n">
        <v>-5</v>
      </c>
      <c r="I850" s="178" t="n">
        <v>-1.3</v>
      </c>
      <c r="J850" s="178" t="n">
        <v>10.9</v>
      </c>
      <c r="K850" s="179" t="inlineStr">
        <is>
          <t>6936 SF HOLDING</t>
        </is>
      </c>
    </row>
    <row r="851">
      <c r="A851" s="17" t="inlineStr">
        <is>
          <t>International Mining Company Limited</t>
        </is>
      </c>
      <c r="B851" s="171" t="n">
        <v>1</v>
      </c>
      <c r="C851" s="177" t="n">
        <v>0</v>
      </c>
      <c r="D851" s="178" t="n">
        <v>0</v>
      </c>
      <c r="E851" s="178" t="n">
        <v>2</v>
      </c>
      <c r="F851" s="178" t="n">
        <v>25.5</v>
      </c>
      <c r="G851" s="178" t="n">
        <v>110.6</v>
      </c>
      <c r="H851" s="178" t="n">
        <v>2</v>
      </c>
      <c r="I851" s="178" t="n">
        <v>25.5</v>
      </c>
      <c r="J851" s="178" t="n">
        <v>110.6</v>
      </c>
      <c r="K851" s="179" t="inlineStr">
        <is>
          <t>6693 CHIFENG GOLD</t>
        </is>
      </c>
    </row>
    <row r="852">
      <c r="A852" s="17" t="inlineStr">
        <is>
          <t>Jefferies Hong Kong Limited</t>
        </is>
      </c>
      <c r="B852" s="171" t="n">
        <v>1</v>
      </c>
      <c r="C852" s="177" t="n">
        <v>0</v>
      </c>
      <c r="D852" s="178" t="n">
        <v>0</v>
      </c>
      <c r="E852" s="178" t="n">
        <v>-16.8</v>
      </c>
      <c r="F852" s="178" t="n">
        <v>-30.8</v>
      </c>
      <c r="G852" s="178" t="n">
        <v>-31</v>
      </c>
      <c r="H852" s="178" t="n">
        <v>-16.8</v>
      </c>
      <c r="I852" s="178" t="n">
        <v>-30.8</v>
      </c>
      <c r="J852" s="178" t="n">
        <v>-31</v>
      </c>
      <c r="K852" s="179" t="inlineStr">
        <is>
          <t>2561 VISEN PHARMA-B</t>
        </is>
      </c>
    </row>
    <row r="853">
      <c r="A853" s="17" t="inlineStr">
        <is>
          <t>Cosmic Clover Limited</t>
        </is>
      </c>
      <c r="B853" s="171" t="n">
        <v>1</v>
      </c>
      <c r="C853" s="177" t="n">
        <v>0</v>
      </c>
      <c r="D853" s="178" t="n">
        <v>0</v>
      </c>
      <c r="E853" s="178" t="n">
        <v>-16.8</v>
      </c>
      <c r="F853" s="178" t="n">
        <v>-30.8</v>
      </c>
      <c r="G853" s="178" t="n">
        <v>-31</v>
      </c>
      <c r="H853" s="178" t="n">
        <v>-16.8</v>
      </c>
      <c r="I853" s="178" t="n">
        <v>-30.8</v>
      </c>
      <c r="J853" s="178" t="n">
        <v>-31</v>
      </c>
      <c r="K853" s="179" t="inlineStr">
        <is>
          <t>2561 VISEN PHARMA-B</t>
        </is>
      </c>
    </row>
    <row r="854">
      <c r="A854" s="17" t="inlineStr">
        <is>
          <t>Logos Opportunities Fund II LP</t>
        </is>
      </c>
      <c r="B854" s="171" t="n">
        <v>1</v>
      </c>
      <c r="C854" s="177" t="n">
        <v>0</v>
      </c>
      <c r="D854" s="178" t="n">
        <v>0</v>
      </c>
      <c r="E854" s="178" t="n">
        <v>-16.8</v>
      </c>
      <c r="F854" s="178" t="n">
        <v>-30.8</v>
      </c>
      <c r="G854" s="178" t="n">
        <v>-31</v>
      </c>
      <c r="H854" s="178" t="n">
        <v>-16.8</v>
      </c>
      <c r="I854" s="178" t="n">
        <v>-30.8</v>
      </c>
      <c r="J854" s="178" t="n">
        <v>-31</v>
      </c>
      <c r="K854" s="179" t="inlineStr">
        <is>
          <t>2561 VISEN PHARMA-B</t>
        </is>
      </c>
    </row>
    <row r="855">
      <c r="A855" s="17" t="inlineStr">
        <is>
          <t>Xu Shihe (許世和)</t>
        </is>
      </c>
      <c r="B855" s="171" t="n">
        <v>1</v>
      </c>
      <c r="C855" s="177" t="n">
        <v>0</v>
      </c>
      <c r="D855" s="178" t="n">
        <v>0</v>
      </c>
      <c r="E855" s="178" t="n">
        <v>-14.4</v>
      </c>
      <c r="F855" s="178" t="n">
        <v>33.6</v>
      </c>
      <c r="G855" s="178" t="n">
        <v>11.2</v>
      </c>
      <c r="H855" s="178" t="n">
        <v>-14.4</v>
      </c>
      <c r="I855" s="178" t="n">
        <v>33.6</v>
      </c>
      <c r="J855" s="178" t="n">
        <v>11.2</v>
      </c>
      <c r="K855" s="179" t="inlineStr">
        <is>
          <t>2625 JIANGSU HORIZON</t>
        </is>
      </c>
    </row>
    <row r="856">
      <c r="A856" s="17" t="inlineStr">
        <is>
          <t>Yin Qin (印勤)</t>
        </is>
      </c>
      <c r="B856" s="171" t="n">
        <v>1</v>
      </c>
      <c r="C856" s="177" t="n">
        <v>0</v>
      </c>
      <c r="D856" s="178" t="n">
        <v>0</v>
      </c>
      <c r="E856" s="178" t="n">
        <v>-14.4</v>
      </c>
      <c r="F856" s="178" t="n">
        <v>33.6</v>
      </c>
      <c r="G856" s="178" t="n">
        <v>11.2</v>
      </c>
      <c r="H856" s="178" t="n">
        <v>-14.4</v>
      </c>
      <c r="I856" s="178" t="n">
        <v>33.6</v>
      </c>
      <c r="J856" s="178" t="n">
        <v>11.2</v>
      </c>
      <c r="K856" s="179" t="inlineStr">
        <is>
          <t>2625 JIANGSU HORIZON</t>
        </is>
      </c>
    </row>
    <row r="857">
      <c r="A857" s="17" t="inlineStr">
        <is>
          <t>Hu Qinghua (胡慶華)</t>
        </is>
      </c>
      <c r="B857" s="171" t="n">
        <v>1</v>
      </c>
      <c r="C857" s="177" t="n">
        <v>0</v>
      </c>
      <c r="D857" s="178" t="n">
        <v>0</v>
      </c>
      <c r="E857" s="178" t="n">
        <v>-14.4</v>
      </c>
      <c r="F857" s="178" t="n">
        <v>33.6</v>
      </c>
      <c r="G857" s="178" t="n">
        <v>11.2</v>
      </c>
      <c r="H857" s="178" t="n">
        <v>-14.4</v>
      </c>
      <c r="I857" s="178" t="n">
        <v>33.6</v>
      </c>
      <c r="J857" s="178" t="n">
        <v>11.2</v>
      </c>
      <c r="K857" s="179" t="inlineStr">
        <is>
          <t>2625 JIANGSU HORIZON</t>
        </is>
      </c>
    </row>
    <row r="858">
      <c r="A858" s="17" t="inlineStr">
        <is>
          <t>Zhu Zheng (朱政)</t>
        </is>
      </c>
      <c r="B858" s="171" t="n">
        <v>1</v>
      </c>
      <c r="C858" s="177" t="n">
        <v>0</v>
      </c>
      <c r="D858" s="178" t="n">
        <v>0</v>
      </c>
      <c r="E858" s="178" t="n">
        <v>-14.4</v>
      </c>
      <c r="F858" s="178" t="n">
        <v>33.6</v>
      </c>
      <c r="G858" s="178" t="n">
        <v>11.2</v>
      </c>
      <c r="H858" s="178" t="n">
        <v>-14.4</v>
      </c>
      <c r="I858" s="178" t="n">
        <v>33.6</v>
      </c>
      <c r="J858" s="178" t="n">
        <v>11.2</v>
      </c>
      <c r="K858" s="179" t="inlineStr">
        <is>
          <t>2625 JIANGSU HORIZON</t>
        </is>
      </c>
    </row>
    <row r="859">
      <c r="A859" s="17" t="inlineStr">
        <is>
          <t>Zhan Mingyu (詹明玉)</t>
        </is>
      </c>
      <c r="B859" s="171" t="n">
        <v>1</v>
      </c>
      <c r="C859" s="177" t="n">
        <v>0</v>
      </c>
      <c r="D859" s="178" t="n">
        <v>0</v>
      </c>
      <c r="E859" s="178" t="n">
        <v>-14.4</v>
      </c>
      <c r="F859" s="178" t="n">
        <v>33.6</v>
      </c>
      <c r="G859" s="178" t="n">
        <v>11.2</v>
      </c>
      <c r="H859" s="178" t="n">
        <v>-14.4</v>
      </c>
      <c r="I859" s="178" t="n">
        <v>33.6</v>
      </c>
      <c r="J859" s="178" t="n">
        <v>11.2</v>
      </c>
      <c r="K859" s="179" t="inlineStr">
        <is>
          <t>2625 JIANGSU HORIZON</t>
        </is>
      </c>
    </row>
    <row r="860">
      <c r="A860" s="17" t="inlineStr">
        <is>
          <t>Jiang Xianyue (江顯月)</t>
        </is>
      </c>
      <c r="B860" s="171" t="n">
        <v>1</v>
      </c>
      <c r="C860" s="177" t="n">
        <v>0</v>
      </c>
      <c r="D860" s="178" t="n">
        <v>0</v>
      </c>
      <c r="E860" s="178" t="n">
        <v>-14.4</v>
      </c>
      <c r="F860" s="178" t="n">
        <v>33.6</v>
      </c>
      <c r="G860" s="178" t="n">
        <v>11.2</v>
      </c>
      <c r="H860" s="178" t="n">
        <v>-14.4</v>
      </c>
      <c r="I860" s="178" t="n">
        <v>33.6</v>
      </c>
      <c r="J860" s="178" t="n">
        <v>11.2</v>
      </c>
      <c r="K860" s="179" t="inlineStr">
        <is>
          <t>2625 JIANGSU HORIZON</t>
        </is>
      </c>
    </row>
    <row r="861">
      <c r="A861" s="17" t="inlineStr">
        <is>
          <t>Yao Xinhua (姚新華)</t>
        </is>
      </c>
      <c r="B861" s="171" t="n">
        <v>1</v>
      </c>
      <c r="C861" s="177" t="n">
        <v>0</v>
      </c>
      <c r="D861" s="178" t="n">
        <v>0</v>
      </c>
      <c r="E861" s="178" t="n">
        <v>-14.4</v>
      </c>
      <c r="F861" s="178" t="n">
        <v>33.6</v>
      </c>
      <c r="G861" s="178" t="n">
        <v>11.2</v>
      </c>
      <c r="H861" s="178" t="n">
        <v>-14.4</v>
      </c>
      <c r="I861" s="178" t="n">
        <v>33.6</v>
      </c>
      <c r="J861" s="178" t="n">
        <v>11.2</v>
      </c>
      <c r="K861" s="179" t="inlineStr">
        <is>
          <t>2625 JIANGSU HORIZON</t>
        </is>
      </c>
    </row>
    <row r="862">
      <c r="A862" s="17" t="inlineStr">
        <is>
          <t>Guo Xia (郭霞)</t>
        </is>
      </c>
      <c r="B862" s="171" t="n">
        <v>1</v>
      </c>
      <c r="C862" s="177" t="n">
        <v>0</v>
      </c>
      <c r="D862" s="178" t="n">
        <v>0</v>
      </c>
      <c r="E862" s="178" t="n">
        <v>-14.4</v>
      </c>
      <c r="F862" s="178" t="n">
        <v>33.6</v>
      </c>
      <c r="G862" s="178" t="n">
        <v>11.2</v>
      </c>
      <c r="H862" s="178" t="n">
        <v>-14.4</v>
      </c>
      <c r="I862" s="178" t="n">
        <v>33.6</v>
      </c>
      <c r="J862" s="178" t="n">
        <v>11.2</v>
      </c>
      <c r="K862" s="179" t="inlineStr">
        <is>
          <t>2625 JIANGSU HORIZON</t>
        </is>
      </c>
    </row>
    <row r="863">
      <c r="A863" s="17" t="inlineStr">
        <is>
          <t>Lu Shouping (陸壽萍)</t>
        </is>
      </c>
      <c r="B863" s="171" t="n">
        <v>1</v>
      </c>
      <c r="C863" s="177" t="n">
        <v>0</v>
      </c>
      <c r="D863" s="178" t="n">
        <v>0</v>
      </c>
      <c r="E863" s="178" t="n">
        <v>-14.4</v>
      </c>
      <c r="F863" s="178" t="n">
        <v>33.6</v>
      </c>
      <c r="G863" s="178" t="n">
        <v>11.2</v>
      </c>
      <c r="H863" s="178" t="n">
        <v>-14.4</v>
      </c>
      <c r="I863" s="178" t="n">
        <v>33.6</v>
      </c>
      <c r="J863" s="178" t="n">
        <v>11.2</v>
      </c>
      <c r="K863" s="179" t="inlineStr">
        <is>
          <t>2625 JIANGSU HORIZON</t>
        </is>
      </c>
    </row>
    <row r="864">
      <c r="A864" s="17" t="inlineStr">
        <is>
          <t>Kan Chuanling (闞傳玲)</t>
        </is>
      </c>
      <c r="B864" s="171" t="n">
        <v>1</v>
      </c>
      <c r="C864" s="177" t="n">
        <v>0</v>
      </c>
      <c r="D864" s="178" t="n">
        <v>0</v>
      </c>
      <c r="E864" s="178" t="n">
        <v>-14.4</v>
      </c>
      <c r="F864" s="178" t="n">
        <v>33.6</v>
      </c>
      <c r="G864" s="178" t="n">
        <v>11.2</v>
      </c>
      <c r="H864" s="178" t="n">
        <v>-14.4</v>
      </c>
      <c r="I864" s="178" t="n">
        <v>33.6</v>
      </c>
      <c r="J864" s="178" t="n">
        <v>11.2</v>
      </c>
      <c r="K864" s="179" t="inlineStr">
        <is>
          <t>2625 JIANGSU HORIZON</t>
        </is>
      </c>
    </row>
    <row r="865">
      <c r="A865" s="17" t="inlineStr">
        <is>
          <t>Huang Haiyan (黃海燕)</t>
        </is>
      </c>
      <c r="B865" s="171" t="n">
        <v>1</v>
      </c>
      <c r="C865" s="177" t="n">
        <v>0</v>
      </c>
      <c r="D865" s="178" t="n">
        <v>0</v>
      </c>
      <c r="E865" s="178" t="n">
        <v>-14.4</v>
      </c>
      <c r="F865" s="178" t="n">
        <v>33.6</v>
      </c>
      <c r="G865" s="178" t="n">
        <v>11.2</v>
      </c>
      <c r="H865" s="178" t="n">
        <v>-14.4</v>
      </c>
      <c r="I865" s="178" t="n">
        <v>33.6</v>
      </c>
      <c r="J865" s="178" t="n">
        <v>11.2</v>
      </c>
      <c r="K865" s="179" t="inlineStr">
        <is>
          <t>2625 JIANGSU HORIZON</t>
        </is>
      </c>
    </row>
    <row r="866">
      <c r="A866" s="17" t="inlineStr">
        <is>
          <t>Zhen Yizuo (殷義左)</t>
        </is>
      </c>
      <c r="B866" s="171" t="n">
        <v>1</v>
      </c>
      <c r="C866" s="177" t="n">
        <v>0</v>
      </c>
      <c r="D866" s="178" t="n">
        <v>0</v>
      </c>
      <c r="E866" s="178" t="n">
        <v>-14.4</v>
      </c>
      <c r="F866" s="178" t="n">
        <v>33.6</v>
      </c>
      <c r="G866" s="178" t="n">
        <v>11.2</v>
      </c>
      <c r="H866" s="178" t="n">
        <v>-14.4</v>
      </c>
      <c r="I866" s="178" t="n">
        <v>33.6</v>
      </c>
      <c r="J866" s="178" t="n">
        <v>11.2</v>
      </c>
      <c r="K866" s="179" t="inlineStr">
        <is>
          <t>2625 JIANGSU HORIZON</t>
        </is>
      </c>
    </row>
    <row r="867">
      <c r="A867" s="17" t="inlineStr">
        <is>
          <t>Shen Zhigen (沈志艮)</t>
        </is>
      </c>
      <c r="B867" s="171" t="n">
        <v>1</v>
      </c>
      <c r="C867" s="177" t="n">
        <v>0</v>
      </c>
      <c r="D867" s="178" t="n">
        <v>0</v>
      </c>
      <c r="E867" s="178" t="n">
        <v>-14.4</v>
      </c>
      <c r="F867" s="178" t="n">
        <v>33.6</v>
      </c>
      <c r="G867" s="178" t="n">
        <v>11.2</v>
      </c>
      <c r="H867" s="178" t="n">
        <v>-14.4</v>
      </c>
      <c r="I867" s="178" t="n">
        <v>33.6</v>
      </c>
      <c r="J867" s="178" t="n">
        <v>11.2</v>
      </c>
      <c r="K867" s="179" t="inlineStr">
        <is>
          <t>2625 JIANGSU HORIZON</t>
        </is>
      </c>
    </row>
    <row r="868">
      <c r="A868" s="17" t="inlineStr">
        <is>
          <t>Xia Zhonglin (夏忠林)</t>
        </is>
      </c>
      <c r="B868" s="171" t="n">
        <v>1</v>
      </c>
      <c r="C868" s="177" t="n">
        <v>0</v>
      </c>
      <c r="D868" s="178" t="n">
        <v>0</v>
      </c>
      <c r="E868" s="178" t="n">
        <v>-14.4</v>
      </c>
      <c r="F868" s="178" t="n">
        <v>33.6</v>
      </c>
      <c r="G868" s="178" t="n">
        <v>11.2</v>
      </c>
      <c r="H868" s="178" t="n">
        <v>-14.4</v>
      </c>
      <c r="I868" s="178" t="n">
        <v>33.6</v>
      </c>
      <c r="J868" s="178" t="n">
        <v>11.2</v>
      </c>
      <c r="K868" s="179" t="inlineStr">
        <is>
          <t>2625 JIANGSU HORIZON</t>
        </is>
      </c>
    </row>
    <row r="869">
      <c r="A869" s="17" t="inlineStr">
        <is>
          <t>Lin Yuan</t>
        </is>
      </c>
      <c r="B869" s="171" t="n">
        <v>1</v>
      </c>
      <c r="C869" s="177" t="n">
        <v>0</v>
      </c>
      <c r="D869" s="178" t="n">
        <v>0</v>
      </c>
      <c r="E869" s="178" t="n">
        <v>-12.2</v>
      </c>
      <c r="F869" s="178" t="n">
        <v>-11.9</v>
      </c>
      <c r="G869" s="178" t="n">
        <v>-26.2</v>
      </c>
      <c r="H869" s="178" t="n">
        <v>-12.2</v>
      </c>
      <c r="I869" s="178" t="n">
        <v>-11.9</v>
      </c>
      <c r="J869" s="178" t="n">
        <v>-26.2</v>
      </c>
      <c r="K869" s="179" t="inlineStr">
        <is>
          <t>9927 SERES</t>
        </is>
      </c>
    </row>
    <row r="870">
      <c r="A870" s="17" t="inlineStr">
        <is>
          <t>Sanhua (Hong Kong)</t>
        </is>
      </c>
      <c r="B870" s="171" t="n">
        <v>1</v>
      </c>
      <c r="C870" s="177" t="n">
        <v>0</v>
      </c>
      <c r="D870" s="178" t="n">
        <v>0</v>
      </c>
      <c r="E870" s="178" t="n">
        <v>-12.2</v>
      </c>
      <c r="F870" s="178" t="n">
        <v>-11.9</v>
      </c>
      <c r="G870" s="178" t="n">
        <v>-26.2</v>
      </c>
      <c r="H870" s="178" t="n">
        <v>-12.2</v>
      </c>
      <c r="I870" s="178" t="n">
        <v>-11.9</v>
      </c>
      <c r="J870" s="178" t="n">
        <v>-26.2</v>
      </c>
      <c r="K870" s="179" t="inlineStr">
        <is>
          <t>9927 SERES</t>
        </is>
      </c>
    </row>
    <row r="871">
      <c r="A871" s="17" t="inlineStr">
        <is>
          <t>Zhink International</t>
        </is>
      </c>
      <c r="B871" s="171" t="n">
        <v>1</v>
      </c>
      <c r="C871" s="177" t="n">
        <v>0</v>
      </c>
      <c r="D871" s="178" t="n">
        <v>0</v>
      </c>
      <c r="E871" s="178" t="n">
        <v>-12.2</v>
      </c>
      <c r="F871" s="178" t="n">
        <v>-11.9</v>
      </c>
      <c r="G871" s="178" t="n">
        <v>-26.2</v>
      </c>
      <c r="H871" s="178" t="n">
        <v>-12.2</v>
      </c>
      <c r="I871" s="178" t="n">
        <v>-11.9</v>
      </c>
      <c r="J871" s="178" t="n">
        <v>-26.2</v>
      </c>
      <c r="K871" s="179" t="inlineStr">
        <is>
          <t>9927 SERES</t>
        </is>
      </c>
    </row>
    <row r="872">
      <c r="A872" s="17" t="inlineStr">
        <is>
          <t>Honour Goal Investments</t>
        </is>
      </c>
      <c r="B872" s="171" t="n">
        <v>1</v>
      </c>
      <c r="C872" s="177" t="n">
        <v>0</v>
      </c>
      <c r="D872" s="178" t="n">
        <v>0</v>
      </c>
      <c r="E872" s="178" t="n">
        <v>-12.2</v>
      </c>
      <c r="F872" s="178" t="n">
        <v>-11.9</v>
      </c>
      <c r="G872" s="178" t="n">
        <v>-26.2</v>
      </c>
      <c r="H872" s="178" t="n">
        <v>-12.2</v>
      </c>
      <c r="I872" s="178" t="n">
        <v>-11.9</v>
      </c>
      <c r="J872" s="178" t="n">
        <v>-26.2</v>
      </c>
      <c r="K872" s="179" t="inlineStr">
        <is>
          <t>9927 SERES</t>
        </is>
      </c>
    </row>
    <row r="873">
      <c r="A873" s="17" t="inlineStr">
        <is>
          <t>Hichain Logistics</t>
        </is>
      </c>
      <c r="B873" s="171" t="n">
        <v>1</v>
      </c>
      <c r="C873" s="177" t="n">
        <v>0</v>
      </c>
      <c r="D873" s="178" t="n">
        <v>0</v>
      </c>
      <c r="E873" s="178" t="n">
        <v>-12.2</v>
      </c>
      <c r="F873" s="178" t="n">
        <v>-11.9</v>
      </c>
      <c r="G873" s="178" t="n">
        <v>-26.2</v>
      </c>
      <c r="H873" s="178" t="n">
        <v>-12.2</v>
      </c>
      <c r="I873" s="178" t="n">
        <v>-11.9</v>
      </c>
      <c r="J873" s="178" t="n">
        <v>-26.2</v>
      </c>
      <c r="K873" s="179" t="inlineStr">
        <is>
          <t>9927 SERES</t>
        </is>
      </c>
    </row>
    <row r="874">
      <c r="A874" s="17" t="inlineStr">
        <is>
          <t>China Meidong</t>
        </is>
      </c>
      <c r="B874" s="171" t="n">
        <v>1</v>
      </c>
      <c r="C874" s="177" t="n">
        <v>0</v>
      </c>
      <c r="D874" s="178" t="n">
        <v>0</v>
      </c>
      <c r="E874" s="178" t="n">
        <v>-12.2</v>
      </c>
      <c r="F874" s="178" t="n">
        <v>-11.9</v>
      </c>
      <c r="G874" s="178" t="n">
        <v>-26.2</v>
      </c>
      <c r="H874" s="178" t="n">
        <v>-12.2</v>
      </c>
      <c r="I874" s="178" t="n">
        <v>-11.9</v>
      </c>
      <c r="J874" s="178" t="n">
        <v>-26.2</v>
      </c>
      <c r="K874" s="179" t="inlineStr">
        <is>
          <t>9927 SERES</t>
        </is>
      </c>
    </row>
    <row r="875">
      <c r="A875" s="17" t="inlineStr">
        <is>
          <t>CoreView</t>
        </is>
      </c>
      <c r="B875" s="171" t="n">
        <v>1</v>
      </c>
      <c r="C875" s="177" t="n">
        <v>0</v>
      </c>
      <c r="D875" s="178" t="n">
        <v>0</v>
      </c>
      <c r="E875" s="178" t="n">
        <v>-1.3</v>
      </c>
      <c r="F875" s="178" t="n">
        <v>-3.4</v>
      </c>
      <c r="G875" s="178" t="n">
        <v>-8.4</v>
      </c>
      <c r="H875" s="178" t="n">
        <v>-1.3</v>
      </c>
      <c r="I875" s="178" t="n">
        <v>-3.4</v>
      </c>
      <c r="J875" s="178" t="n">
        <v>-8.4</v>
      </c>
      <c r="K875" s="179" t="inlineStr">
        <is>
          <t>7618 JD INDUSTRIALS</t>
        </is>
      </c>
    </row>
    <row r="876">
      <c r="A876" s="17" t="inlineStr">
        <is>
          <t>Jupiter Global Master Fund Ltd.</t>
        </is>
      </c>
      <c r="B876" s="171" t="n">
        <v>1</v>
      </c>
      <c r="C876" s="177" t="n">
        <v>0</v>
      </c>
      <c r="D876" s="178" t="n">
        <v>0</v>
      </c>
      <c r="E876" s="178" t="n">
        <v>20.2</v>
      </c>
      <c r="F876" s="178" t="n">
        <v>-11.2</v>
      </c>
      <c r="G876" s="178" t="n">
        <v>-28</v>
      </c>
      <c r="H876" s="178" t="n">
        <v>20.2</v>
      </c>
      <c r="I876" s="178" t="n">
        <v>-11.2</v>
      </c>
      <c r="J876" s="178" t="n">
        <v>-28</v>
      </c>
      <c r="K876" s="179" t="inlineStr">
        <is>
          <t>0600 AXERA</t>
        </is>
      </c>
    </row>
    <row r="877">
      <c r="A877" s="17" t="inlineStr">
        <is>
          <t>NonaVerse (Hong Kong) Limited</t>
        </is>
      </c>
      <c r="B877" s="171" t="n">
        <v>1</v>
      </c>
      <c r="C877" s="177" t="n">
        <v>0</v>
      </c>
      <c r="D877" s="178" t="n">
        <v>0</v>
      </c>
      <c r="E877" s="178" t="n">
        <v>20.2</v>
      </c>
      <c r="F877" s="178" t="n">
        <v>-11.2</v>
      </c>
      <c r="G877" s="178" t="n">
        <v>-28</v>
      </c>
      <c r="H877" s="178" t="n">
        <v>20.2</v>
      </c>
      <c r="I877" s="178" t="n">
        <v>-11.2</v>
      </c>
      <c r="J877" s="178" t="n">
        <v>-28</v>
      </c>
      <c r="K877" s="179" t="inlineStr">
        <is>
          <t>0600 AXERA</t>
        </is>
      </c>
    </row>
    <row r="878">
      <c r="A878" s="17" t="inlineStr">
        <is>
          <t>Xin Ma Apparel International Limited</t>
        </is>
      </c>
      <c r="B878" s="171" t="n">
        <v>1</v>
      </c>
      <c r="C878" s="177" t="n">
        <v>0</v>
      </c>
      <c r="D878" s="178" t="n">
        <v>0</v>
      </c>
      <c r="E878" s="178" t="n">
        <v>20.2</v>
      </c>
      <c r="F878" s="178" t="n">
        <v>-11.2</v>
      </c>
      <c r="G878" s="178" t="n">
        <v>-28</v>
      </c>
      <c r="H878" s="178" t="n">
        <v>20.2</v>
      </c>
      <c r="I878" s="178" t="n">
        <v>-11.2</v>
      </c>
      <c r="J878" s="178" t="n">
        <v>-28</v>
      </c>
      <c r="K878" s="179" t="inlineStr">
        <is>
          <t>0600 AXERA</t>
        </is>
      </c>
    </row>
    <row r="879">
      <c r="A879" s="17" t="inlineStr">
        <is>
          <t>Desay SV Automotive Singapore Pte. Ltd</t>
        </is>
      </c>
      <c r="B879" s="171" t="n">
        <v>1</v>
      </c>
      <c r="C879" s="177" t="n">
        <v>0</v>
      </c>
      <c r="D879" s="178" t="n">
        <v>0</v>
      </c>
      <c r="E879" s="178" t="n">
        <v>20.2</v>
      </c>
      <c r="F879" s="178" t="n">
        <v>-11.2</v>
      </c>
      <c r="G879" s="178" t="n">
        <v>-28</v>
      </c>
      <c r="H879" s="178" t="n">
        <v>20.2</v>
      </c>
      <c r="I879" s="178" t="n">
        <v>-11.2</v>
      </c>
      <c r="J879" s="178" t="n">
        <v>-28</v>
      </c>
      <c r="K879" s="179" t="inlineStr">
        <is>
          <t>0600 AXERA</t>
        </is>
      </c>
    </row>
    <row r="880">
      <c r="A880" s="17" t="inlineStr">
        <is>
          <t>Offshore SP3</t>
        </is>
      </c>
      <c r="B880" s="171" t="n">
        <v>1</v>
      </c>
      <c r="C880" s="177" t="n">
        <v>0</v>
      </c>
      <c r="D880" s="178" t="n">
        <v>0</v>
      </c>
      <c r="E880" s="178" t="n">
        <v>0.6</v>
      </c>
      <c r="F880" s="178" t="n">
        <v>-9</v>
      </c>
      <c r="G880" s="178" t="n">
        <v>15.5</v>
      </c>
      <c r="H880" s="178" t="n">
        <v>0.6</v>
      </c>
      <c r="I880" s="178" t="n">
        <v>-9</v>
      </c>
      <c r="J880" s="178" t="n">
        <v>15.5</v>
      </c>
      <c r="K880" s="179" t="inlineStr">
        <is>
          <t>0470 WUXI LEAD</t>
        </is>
      </c>
    </row>
    <row r="881">
      <c r="A881" s="17" t="inlineStr">
        <is>
          <t>Marshall Wace Asia Limited</t>
        </is>
      </c>
      <c r="B881" s="171" t="n">
        <v>1</v>
      </c>
      <c r="C881" s="177" t="n">
        <v>0</v>
      </c>
      <c r="D881" s="178" t="n">
        <v>0</v>
      </c>
      <c r="E881" s="178" t="n">
        <v>-3.7</v>
      </c>
      <c r="F881" s="178" t="n">
        <v>-30.7</v>
      </c>
      <c r="G881" s="178" t="n">
        <v>-57</v>
      </c>
      <c r="H881" s="178" t="n">
        <v>-3.7</v>
      </c>
      <c r="I881" s="178" t="n">
        <v>-30.7</v>
      </c>
      <c r="J881" s="178" t="n">
        <v>-57</v>
      </c>
      <c r="K881" s="179" t="inlineStr">
        <is>
          <t>1081 DAJIN</t>
        </is>
      </c>
    </row>
    <row r="882">
      <c r="A882" s="17" t="inlineStr">
        <is>
          <t>Templeton Asset Management Ltd</t>
        </is>
      </c>
      <c r="B882" s="171" t="n">
        <v>1</v>
      </c>
      <c r="C882" s="177" t="n">
        <v>0</v>
      </c>
      <c r="D882" s="178" t="n">
        <v>0</v>
      </c>
      <c r="E882" s="178" t="n">
        <v>0.3</v>
      </c>
      <c r="F882" s="178" t="n">
        <v>-10.1</v>
      </c>
      <c r="G882" s="178" t="n"/>
      <c r="H882" s="178" t="n">
        <v>0.3</v>
      </c>
      <c r="I882" s="178" t="n">
        <v>-10.1</v>
      </c>
      <c r="J882" s="178" t="n"/>
      <c r="K882" s="179" t="inlineStr">
        <is>
          <t>6880 MOMENTA-W</t>
        </is>
      </c>
    </row>
    <row r="883">
      <c r="A883" s="17" t="inlineStr">
        <is>
          <t>Goertek (HongKong) Co., Limited</t>
        </is>
      </c>
      <c r="B883" s="171" t="n">
        <v>1</v>
      </c>
      <c r="C883" s="177" t="n">
        <v>0</v>
      </c>
      <c r="D883" s="178" t="n">
        <v>0</v>
      </c>
      <c r="E883" s="178" t="n">
        <v>-9.699999999999999</v>
      </c>
      <c r="F883" s="178" t="n">
        <v>-0.1</v>
      </c>
      <c r="G883" s="178" t="n"/>
      <c r="H883" s="178" t="n">
        <v>-9.699999999999999</v>
      </c>
      <c r="I883" s="178" t="n">
        <v>-0.1</v>
      </c>
      <c r="J883" s="178" t="n"/>
      <c r="K883" s="179" t="inlineStr">
        <is>
          <t>2249 NEXCHIP</t>
        </is>
      </c>
    </row>
    <row r="884">
      <c r="A884" s="17" t="inlineStr">
        <is>
          <t>Puxin Technology Limited</t>
        </is>
      </c>
      <c r="B884" s="171" t="n">
        <v>1</v>
      </c>
      <c r="C884" s="177" t="n">
        <v>0</v>
      </c>
      <c r="D884" s="178" t="n">
        <v>0</v>
      </c>
      <c r="E884" s="178" t="n">
        <v>-9.699999999999999</v>
      </c>
      <c r="F884" s="178" t="n">
        <v>-0.1</v>
      </c>
      <c r="G884" s="178" t="n"/>
      <c r="H884" s="178" t="n">
        <v>-9.699999999999999</v>
      </c>
      <c r="I884" s="178" t="n">
        <v>-0.1</v>
      </c>
      <c r="J884" s="178" t="n"/>
      <c r="K884" s="179" t="inlineStr">
        <is>
          <t>2249 NEXCHIP</t>
        </is>
      </c>
    </row>
    <row r="885">
      <c r="A885" s="17" t="inlineStr">
        <is>
          <t>Smartsens Technology (HK) Co., Limited</t>
        </is>
      </c>
      <c r="B885" s="171" t="n">
        <v>1</v>
      </c>
      <c r="C885" s="177" t="n">
        <v>0</v>
      </c>
      <c r="D885" s="178" t="n">
        <v>0</v>
      </c>
      <c r="E885" s="178" t="n">
        <v>-9.699999999999999</v>
      </c>
      <c r="F885" s="178" t="n">
        <v>-0.1</v>
      </c>
      <c r="G885" s="178" t="n"/>
      <c r="H885" s="178" t="n">
        <v>-9.699999999999999</v>
      </c>
      <c r="I885" s="178" t="n">
        <v>-0.1</v>
      </c>
      <c r="J885" s="178" t="n"/>
      <c r="K885" s="179" t="inlineStr">
        <is>
          <t>2249 NEXCHIP</t>
        </is>
      </c>
    </row>
    <row r="886">
      <c r="A886" s="17" t="inlineStr">
        <is>
          <t>Agora, Inc</t>
        </is>
      </c>
      <c r="B886" s="171" t="n">
        <v>1</v>
      </c>
      <c r="C886" s="177" t="n">
        <v>0</v>
      </c>
      <c r="D886" s="178" t="n">
        <v>-0.1</v>
      </c>
      <c r="E886" s="178" t="n">
        <v>2.7</v>
      </c>
      <c r="F886" s="178" t="n">
        <v>-19.1</v>
      </c>
      <c r="G886" s="178" t="n">
        <v>-22.3</v>
      </c>
      <c r="H886" s="178" t="n">
        <v>2.8</v>
      </c>
      <c r="I886" s="178" t="n">
        <v>-19</v>
      </c>
      <c r="J886" s="178" t="n">
        <v>-22.2</v>
      </c>
      <c r="K886" s="179" t="inlineStr">
        <is>
          <t>2167 TI CLOUD</t>
        </is>
      </c>
    </row>
    <row r="887">
      <c r="A887" s="17" t="inlineStr">
        <is>
          <t>Platinum Investment Management Limited</t>
        </is>
      </c>
      <c r="B887" s="171" t="n">
        <v>1</v>
      </c>
      <c r="C887" s="177" t="n">
        <v>0</v>
      </c>
      <c r="D887" s="178" t="n">
        <v>-0.1</v>
      </c>
      <c r="E887" s="178" t="n">
        <v>2.7</v>
      </c>
      <c r="F887" s="178" t="n">
        <v>-19.1</v>
      </c>
      <c r="G887" s="178" t="n">
        <v>-22.3</v>
      </c>
      <c r="H887" s="178" t="n">
        <v>2.8</v>
      </c>
      <c r="I887" s="178" t="n">
        <v>-19</v>
      </c>
      <c r="J887" s="178" t="n">
        <v>-22.2</v>
      </c>
      <c r="K887" s="179" t="inlineStr">
        <is>
          <t>2167 TI CLOUD</t>
        </is>
      </c>
    </row>
    <row r="888">
      <c r="A888" s="17" t="inlineStr">
        <is>
          <t>Chiyu International Capital Limited</t>
        </is>
      </c>
      <c r="B888" s="171" t="n">
        <v>1</v>
      </c>
      <c r="C888" s="177" t="n">
        <v>0</v>
      </c>
      <c r="D888" s="178" t="n">
        <v>-0.1</v>
      </c>
      <c r="E888" s="178" t="n">
        <v>-0.1</v>
      </c>
      <c r="F888" s="178" t="n">
        <v>-27.3</v>
      </c>
      <c r="G888" s="178" t="n">
        <v>-29.1</v>
      </c>
      <c r="H888" s="178" t="n">
        <v>0</v>
      </c>
      <c r="I888" s="178" t="n">
        <v>-27.2</v>
      </c>
      <c r="J888" s="178" t="n">
        <v>-29</v>
      </c>
      <c r="K888" s="179" t="inlineStr">
        <is>
          <t>2152 SUXIN SERVICES</t>
        </is>
      </c>
    </row>
    <row r="889">
      <c r="A889" s="17" t="inlineStr">
        <is>
          <t>Capital VIII</t>
        </is>
      </c>
      <c r="B889" s="171" t="n">
        <v>1</v>
      </c>
      <c r="C889" s="177" t="n">
        <v>0</v>
      </c>
      <c r="D889" s="178" t="n">
        <v>-0.1</v>
      </c>
      <c r="E889" s="178" t="n">
        <v>11.6</v>
      </c>
      <c r="F889" s="178" t="n">
        <v>26.5</v>
      </c>
      <c r="G889" s="178" t="n">
        <v>70.3</v>
      </c>
      <c r="H889" s="178" t="n">
        <v>11.8</v>
      </c>
      <c r="I889" s="178" t="n">
        <v>26.7</v>
      </c>
      <c r="J889" s="178" t="n">
        <v>70.59999999999999</v>
      </c>
      <c r="K889" s="179" t="inlineStr">
        <is>
          <t>2050 SANHUA</t>
        </is>
      </c>
    </row>
    <row r="890">
      <c r="A890" s="17" t="inlineStr">
        <is>
          <t>Guizhou New Industrialization Fund</t>
        </is>
      </c>
      <c r="B890" s="171" t="n">
        <v>1</v>
      </c>
      <c r="C890" s="177" t="n">
        <v>0</v>
      </c>
      <c r="D890" s="178" t="n">
        <v>-0.1</v>
      </c>
      <c r="E890" s="178" t="n">
        <v>-10.9</v>
      </c>
      <c r="F890" s="178" t="n">
        <v>-22.6</v>
      </c>
      <c r="G890" s="178" t="n">
        <v>2.5</v>
      </c>
      <c r="H890" s="178" t="n">
        <v>-10.8</v>
      </c>
      <c r="I890" s="178" t="n">
        <v>-22.6</v>
      </c>
      <c r="J890" s="178" t="n">
        <v>2.6</v>
      </c>
      <c r="K890" s="179" t="inlineStr">
        <is>
          <t>2579 CNGR</t>
        </is>
      </c>
    </row>
    <row r="891">
      <c r="A891" s="17" t="inlineStr">
        <is>
          <t>Baoda Investment</t>
        </is>
      </c>
      <c r="B891" s="171" t="n">
        <v>1</v>
      </c>
      <c r="C891" s="177" t="n">
        <v>0</v>
      </c>
      <c r="D891" s="178" t="n">
        <v>-0.1</v>
      </c>
      <c r="E891" s="178" t="n">
        <v>-10.9</v>
      </c>
      <c r="F891" s="178" t="n">
        <v>-22.6</v>
      </c>
      <c r="G891" s="178" t="n">
        <v>2.5</v>
      </c>
      <c r="H891" s="178" t="n">
        <v>-10.8</v>
      </c>
      <c r="I891" s="178" t="n">
        <v>-22.6</v>
      </c>
      <c r="J891" s="178" t="n">
        <v>2.6</v>
      </c>
      <c r="K891" s="179" t="inlineStr">
        <is>
          <t>2579 CNGR</t>
        </is>
      </c>
    </row>
    <row r="892">
      <c r="A892" s="17" t="inlineStr">
        <is>
          <t>Gaoyi Asset Management</t>
        </is>
      </c>
      <c r="B892" s="171" t="n">
        <v>1</v>
      </c>
      <c r="C892" s="177" t="n">
        <v>0</v>
      </c>
      <c r="D892" s="178" t="n">
        <v>-0.1</v>
      </c>
      <c r="E892" s="178" t="n">
        <v>-10.9</v>
      </c>
      <c r="F892" s="178" t="n">
        <v>-22.6</v>
      </c>
      <c r="G892" s="178" t="n">
        <v>2.5</v>
      </c>
      <c r="H892" s="178" t="n">
        <v>-10.8</v>
      </c>
      <c r="I892" s="178" t="n">
        <v>-22.6</v>
      </c>
      <c r="J892" s="178" t="n">
        <v>2.6</v>
      </c>
      <c r="K892" s="179" t="inlineStr">
        <is>
          <t>2579 CNGR</t>
        </is>
      </c>
    </row>
    <row r="893">
      <c r="A893" s="17" t="inlineStr">
        <is>
          <t>North Rock</t>
        </is>
      </c>
      <c r="B893" s="171" t="n">
        <v>1</v>
      </c>
      <c r="C893" s="177" t="n">
        <v>0</v>
      </c>
      <c r="D893" s="178" t="n">
        <v>-0.1</v>
      </c>
      <c r="E893" s="178" t="n">
        <v>-10.9</v>
      </c>
      <c r="F893" s="178" t="n">
        <v>-22.6</v>
      </c>
      <c r="G893" s="178" t="n">
        <v>2.5</v>
      </c>
      <c r="H893" s="178" t="n">
        <v>-10.8</v>
      </c>
      <c r="I893" s="178" t="n">
        <v>-22.6</v>
      </c>
      <c r="J893" s="178" t="n">
        <v>2.6</v>
      </c>
      <c r="K893" s="179" t="inlineStr">
        <is>
          <t>2579 CNGR</t>
        </is>
      </c>
    </row>
    <row r="894">
      <c r="A894" s="17" t="inlineStr">
        <is>
          <t>Hunan Xingxiang Industry Fund</t>
        </is>
      </c>
      <c r="B894" s="171" t="n">
        <v>1</v>
      </c>
      <c r="C894" s="177" t="n">
        <v>0</v>
      </c>
      <c r="D894" s="178" t="n">
        <v>-0.1</v>
      </c>
      <c r="E894" s="178" t="n">
        <v>-10.9</v>
      </c>
      <c r="F894" s="178" t="n">
        <v>-22.6</v>
      </c>
      <c r="G894" s="178" t="n">
        <v>2.5</v>
      </c>
      <c r="H894" s="178" t="n">
        <v>-10.8</v>
      </c>
      <c r="I894" s="178" t="n">
        <v>-22.6</v>
      </c>
      <c r="J894" s="178" t="n">
        <v>2.6</v>
      </c>
      <c r="K894" s="179" t="inlineStr">
        <is>
          <t>2579 CNGR</t>
        </is>
      </c>
    </row>
    <row r="895">
      <c r="A895" s="17" t="inlineStr">
        <is>
          <t>Space Z PTE. LTD</t>
        </is>
      </c>
      <c r="B895" s="171" t="n">
        <v>1</v>
      </c>
      <c r="C895" s="177" t="n">
        <v>0</v>
      </c>
      <c r="D895" s="178" t="n">
        <v>-0.1</v>
      </c>
      <c r="E895" s="178" t="n">
        <v>-14.2</v>
      </c>
      <c r="F895" s="178" t="n">
        <v>7.3</v>
      </c>
      <c r="G895" s="178" t="n">
        <v>-29.3</v>
      </c>
      <c r="H895" s="178" t="n">
        <v>-14.1</v>
      </c>
      <c r="I895" s="178" t="n">
        <v>7.5</v>
      </c>
      <c r="J895" s="178" t="n">
        <v>-29.2</v>
      </c>
      <c r="K895" s="179" t="inlineStr">
        <is>
          <t>3887 HASHKEY HLDGS</t>
        </is>
      </c>
    </row>
    <row r="896">
      <c r="A896" s="17" t="inlineStr">
        <is>
          <t>Epoch Vantage Limited</t>
        </is>
      </c>
      <c r="B896" s="171" t="n">
        <v>1</v>
      </c>
      <c r="C896" s="177" t="n">
        <v>0</v>
      </c>
      <c r="D896" s="178" t="n">
        <v>-0.1</v>
      </c>
      <c r="E896" s="178" t="n">
        <v>-14.2</v>
      </c>
      <c r="F896" s="178" t="n">
        <v>7.3</v>
      </c>
      <c r="G896" s="178" t="n">
        <v>-29.3</v>
      </c>
      <c r="H896" s="178" t="n">
        <v>-14.1</v>
      </c>
      <c r="I896" s="178" t="n">
        <v>7.5</v>
      </c>
      <c r="J896" s="178" t="n">
        <v>-29.2</v>
      </c>
      <c r="K896" s="179" t="inlineStr">
        <is>
          <t>3887 HASHKEY HLDGS</t>
        </is>
      </c>
    </row>
    <row r="897">
      <c r="A897" s="17" t="inlineStr">
        <is>
          <t>XChainX Limited</t>
        </is>
      </c>
      <c r="B897" s="171" t="n">
        <v>1</v>
      </c>
      <c r="C897" s="177" t="n">
        <v>0</v>
      </c>
      <c r="D897" s="178" t="n">
        <v>-0.1</v>
      </c>
      <c r="E897" s="178" t="n">
        <v>-14.2</v>
      </c>
      <c r="F897" s="178" t="n">
        <v>7.3</v>
      </c>
      <c r="G897" s="178" t="n">
        <v>-29.3</v>
      </c>
      <c r="H897" s="178" t="n">
        <v>-14.1</v>
      </c>
      <c r="I897" s="178" t="n">
        <v>7.5</v>
      </c>
      <c r="J897" s="178" t="n">
        <v>-29.2</v>
      </c>
      <c r="K897" s="179" t="inlineStr">
        <is>
          <t>3887 HASHKEY HLDGS</t>
        </is>
      </c>
    </row>
    <row r="898">
      <c r="A898" s="17" t="inlineStr">
        <is>
          <t>TDR Investment Inc</t>
        </is>
      </c>
      <c r="B898" s="171" t="n">
        <v>1</v>
      </c>
      <c r="C898" s="177" t="n">
        <v>0</v>
      </c>
      <c r="D898" s="178" t="n">
        <v>-0.1</v>
      </c>
      <c r="E898" s="178" t="n">
        <v>-14.2</v>
      </c>
      <c r="F898" s="178" t="n">
        <v>7.3</v>
      </c>
      <c r="G898" s="178" t="n">
        <v>-29.3</v>
      </c>
      <c r="H898" s="178" t="n">
        <v>-14.1</v>
      </c>
      <c r="I898" s="178" t="n">
        <v>7.5</v>
      </c>
      <c r="J898" s="178" t="n">
        <v>-29.2</v>
      </c>
      <c r="K898" s="179" t="inlineStr">
        <is>
          <t>3887 HASHKEY HLDGS</t>
        </is>
      </c>
    </row>
    <row r="899">
      <c r="A899" s="17" t="inlineStr">
        <is>
          <t>Tomars Limited</t>
        </is>
      </c>
      <c r="B899" s="171" t="n">
        <v>1</v>
      </c>
      <c r="C899" s="177" t="n">
        <v>0</v>
      </c>
      <c r="D899" s="178" t="n">
        <v>-0.1</v>
      </c>
      <c r="E899" s="178" t="n">
        <v>-14.2</v>
      </c>
      <c r="F899" s="178" t="n">
        <v>7.3</v>
      </c>
      <c r="G899" s="178" t="n">
        <v>-29.3</v>
      </c>
      <c r="H899" s="178" t="n">
        <v>-14.1</v>
      </c>
      <c r="I899" s="178" t="n">
        <v>7.5</v>
      </c>
      <c r="J899" s="178" t="n">
        <v>-29.2</v>
      </c>
      <c r="K899" s="179" t="inlineStr">
        <is>
          <t>3887 HASHKEY HLDGS</t>
        </is>
      </c>
    </row>
    <row r="900">
      <c r="A900" s="17" t="inlineStr">
        <is>
          <t>Glodon (Hongkong) Software Limited</t>
        </is>
      </c>
      <c r="B900" s="171" t="n">
        <v>1</v>
      </c>
      <c r="C900" s="177" t="n">
        <v>0</v>
      </c>
      <c r="D900" s="178" t="n">
        <v>-0.2</v>
      </c>
      <c r="E900" s="178" t="n">
        <v>-9.300000000000001</v>
      </c>
      <c r="F900" s="178" t="n">
        <v>-31.3</v>
      </c>
      <c r="G900" s="178" t="n">
        <v>-42.6</v>
      </c>
      <c r="H900" s="178" t="n">
        <v>-9.1</v>
      </c>
      <c r="I900" s="178" t="n">
        <v>-31.1</v>
      </c>
      <c r="J900" s="178" t="n">
        <v>-42.5</v>
      </c>
      <c r="K900" s="179" t="inlineStr">
        <is>
          <t>2210 BEIJING JIAYE</t>
        </is>
      </c>
    </row>
    <row r="901">
      <c r="A901" s="17" t="inlineStr">
        <is>
          <t>Xinhuanet Co., Ltd</t>
        </is>
      </c>
      <c r="B901" s="171" t="n">
        <v>1</v>
      </c>
      <c r="C901" s="177" t="n">
        <v>0</v>
      </c>
      <c r="D901" s="178" t="n">
        <v>-0.2</v>
      </c>
      <c r="E901" s="178" t="n">
        <v>-0.4</v>
      </c>
      <c r="F901" s="178" t="n">
        <v>-1</v>
      </c>
      <c r="G901" s="178" t="n">
        <v>-0.4</v>
      </c>
      <c r="H901" s="178" t="n">
        <v>-0.2</v>
      </c>
      <c r="I901" s="178" t="n">
        <v>-0.8</v>
      </c>
      <c r="J901" s="178" t="n">
        <v>-0.2</v>
      </c>
      <c r="K901" s="179" t="inlineStr">
        <is>
          <t>2172 MICROPORT NEURO</t>
        </is>
      </c>
    </row>
    <row r="902">
      <c r="A902" s="17" t="inlineStr">
        <is>
          <t>Epsomite Gem Investments Ltd</t>
        </is>
      </c>
      <c r="B902" s="171" t="n">
        <v>1</v>
      </c>
      <c r="C902" s="177" t="n">
        <v>0</v>
      </c>
      <c r="D902" s="178" t="n">
        <v>-0.5</v>
      </c>
      <c r="E902" s="178" t="n">
        <v>-6.9</v>
      </c>
      <c r="F902" s="178" t="n">
        <v>-13</v>
      </c>
      <c r="G902" s="178" t="n">
        <v>-31.9</v>
      </c>
      <c r="H902" s="178" t="n">
        <v>-6.5</v>
      </c>
      <c r="I902" s="178" t="n">
        <v>-12.6</v>
      </c>
      <c r="J902" s="178" t="n">
        <v>-31.6</v>
      </c>
      <c r="K902" s="179" t="inlineStr">
        <is>
          <t>2256 ABBISKO-B</t>
        </is>
      </c>
    </row>
    <row r="903">
      <c r="A903" s="17" t="inlineStr">
        <is>
          <t>Proterra Asia Food Fund 3 VCC</t>
        </is>
      </c>
      <c r="B903" s="171" t="n">
        <v>1</v>
      </c>
      <c r="C903" s="177" t="n">
        <v>0</v>
      </c>
      <c r="D903" s="178" t="n">
        <v>-0.5</v>
      </c>
      <c r="E903" s="178" t="n">
        <v>-5.8</v>
      </c>
      <c r="F903" s="178" t="n">
        <v>-23</v>
      </c>
      <c r="G903" s="178" t="n">
        <v>-47.8</v>
      </c>
      <c r="H903" s="178" t="n">
        <v>-5.3</v>
      </c>
      <c r="I903" s="178" t="n">
        <v>-22.6</v>
      </c>
      <c r="J903" s="178" t="n">
        <v>-47.6</v>
      </c>
      <c r="K903" s="179" t="inlineStr">
        <is>
          <t>2425 AUSTASIA GROUP</t>
        </is>
      </c>
    </row>
    <row r="904">
      <c r="A904" s="17" t="inlineStr">
        <is>
          <t>Well Alliance Investment Holdings Limited</t>
        </is>
      </c>
      <c r="B904" s="171" t="n">
        <v>1</v>
      </c>
      <c r="C904" s="177" t="n">
        <v>0</v>
      </c>
      <c r="D904" s="178" t="n">
        <v>-0.5</v>
      </c>
      <c r="E904" s="178" t="n">
        <v>-5.8</v>
      </c>
      <c r="F904" s="178" t="n">
        <v>-23</v>
      </c>
      <c r="G904" s="178" t="n">
        <v>-47.8</v>
      </c>
      <c r="H904" s="178" t="n">
        <v>-5.3</v>
      </c>
      <c r="I904" s="178" t="n">
        <v>-22.6</v>
      </c>
      <c r="J904" s="178" t="n">
        <v>-47.6</v>
      </c>
      <c r="K904" s="179" t="inlineStr">
        <is>
          <t>2425 AUSTASIA GROUP</t>
        </is>
      </c>
    </row>
    <row r="905">
      <c r="A905" s="17" t="inlineStr">
        <is>
          <t>Admiralty Harbour Growth Opportunities SPC SP1</t>
        </is>
      </c>
      <c r="B905" s="171" t="n">
        <v>1</v>
      </c>
      <c r="C905" s="177" t="n">
        <v>0</v>
      </c>
      <c r="D905" s="178" t="n">
        <v>-1</v>
      </c>
      <c r="E905" s="178" t="n">
        <v>-23.9</v>
      </c>
      <c r="F905" s="178" t="n"/>
      <c r="G905" s="178" t="n"/>
      <c r="H905" s="178" t="n">
        <v>-23.2</v>
      </c>
      <c r="I905" s="178" t="n"/>
      <c r="J905" s="178" t="n"/>
      <c r="K905" s="179" t="inlineStr">
        <is>
          <t>9976 LONGSYS</t>
        </is>
      </c>
    </row>
    <row r="906">
      <c r="A906" s="17" t="inlineStr">
        <is>
          <t>CQTech Limited</t>
        </is>
      </c>
      <c r="B906" s="171" t="n">
        <v>1</v>
      </c>
      <c r="C906" s="177" t="n">
        <v>0</v>
      </c>
      <c r="D906" s="178" t="n">
        <v>-1</v>
      </c>
      <c r="E906" s="178" t="n">
        <v>-23.9</v>
      </c>
      <c r="F906" s="178" t="n"/>
      <c r="G906" s="178" t="n"/>
      <c r="H906" s="178" t="n">
        <v>-23.2</v>
      </c>
      <c r="I906" s="178" t="n"/>
      <c r="J906" s="178" t="n"/>
      <c r="K906" s="179" t="inlineStr">
        <is>
          <t>9976 LONGSYS</t>
        </is>
      </c>
    </row>
    <row r="907">
      <c r="A907" s="17" t="inlineStr">
        <is>
          <t>HOSIN Global (HK) Electronics Co., Limited</t>
        </is>
      </c>
      <c r="B907" s="171" t="n">
        <v>1</v>
      </c>
      <c r="C907" s="177" t="n">
        <v>0</v>
      </c>
      <c r="D907" s="178" t="n">
        <v>-1</v>
      </c>
      <c r="E907" s="178" t="n">
        <v>-23.9</v>
      </c>
      <c r="F907" s="178" t="n"/>
      <c r="G907" s="178" t="n"/>
      <c r="H907" s="178" t="n">
        <v>-23.2</v>
      </c>
      <c r="I907" s="178" t="n"/>
      <c r="J907" s="178" t="n"/>
      <c r="K907" s="179" t="inlineStr">
        <is>
          <t>9976 LONGSYS</t>
        </is>
      </c>
    </row>
    <row r="908">
      <c r="A908" s="17" t="inlineStr">
        <is>
          <t>Ju Yuen (Hong Kong) International Limited</t>
        </is>
      </c>
      <c r="B908" s="171" t="n">
        <v>1</v>
      </c>
      <c r="C908" s="177" t="n">
        <v>0</v>
      </c>
      <c r="D908" s="178" t="n">
        <v>-1</v>
      </c>
      <c r="E908" s="178" t="n">
        <v>-23.9</v>
      </c>
      <c r="F908" s="178" t="n"/>
      <c r="G908" s="178" t="n"/>
      <c r="H908" s="178" t="n">
        <v>-23.2</v>
      </c>
      <c r="I908" s="178" t="n"/>
      <c r="J908" s="178" t="n"/>
      <c r="K908" s="179" t="inlineStr">
        <is>
          <t>9976 LONGSYS</t>
        </is>
      </c>
    </row>
    <row r="909">
      <c r="A909" s="17" t="inlineStr">
        <is>
          <t>SDMC Technology (Hong Kong) Limited</t>
        </is>
      </c>
      <c r="B909" s="171" t="n">
        <v>1</v>
      </c>
      <c r="C909" s="177" t="n">
        <v>0</v>
      </c>
      <c r="D909" s="178" t="n">
        <v>-1</v>
      </c>
      <c r="E909" s="178" t="n">
        <v>-23.9</v>
      </c>
      <c r="F909" s="178" t="n"/>
      <c r="G909" s="178" t="n"/>
      <c r="H909" s="178" t="n">
        <v>-23.2</v>
      </c>
      <c r="I909" s="178" t="n"/>
      <c r="J909" s="178" t="n"/>
      <c r="K909" s="179" t="inlineStr">
        <is>
          <t>9976 LONGSYS</t>
        </is>
      </c>
    </row>
    <row r="910">
      <c r="A910" s="17" t="inlineStr">
        <is>
          <t>Transsion International Limited</t>
        </is>
      </c>
      <c r="B910" s="171" t="n">
        <v>1</v>
      </c>
      <c r="C910" s="177" t="n">
        <v>0</v>
      </c>
      <c r="D910" s="178" t="n">
        <v>-1</v>
      </c>
      <c r="E910" s="178" t="n">
        <v>-23.9</v>
      </c>
      <c r="F910" s="178" t="n"/>
      <c r="G910" s="178" t="n"/>
      <c r="H910" s="178" t="n">
        <v>-23.2</v>
      </c>
      <c r="I910" s="178" t="n"/>
      <c r="J910" s="178" t="n"/>
      <c r="K910" s="179" t="inlineStr">
        <is>
          <t>9976 LONGSYS</t>
        </is>
      </c>
    </row>
    <row r="911">
      <c r="A911" s="17" t="inlineStr">
        <is>
          <t>YuFeng Financial Group Limited</t>
        </is>
      </c>
      <c r="B911" s="171" t="n">
        <v>1</v>
      </c>
      <c r="C911" s="177" t="n">
        <v>0</v>
      </c>
      <c r="D911" s="178" t="n">
        <v>-1</v>
      </c>
      <c r="E911" s="178" t="n">
        <v>-23.9</v>
      </c>
      <c r="F911" s="178" t="n"/>
      <c r="G911" s="178" t="n"/>
      <c r="H911" s="178" t="n">
        <v>-23.2</v>
      </c>
      <c r="I911" s="178" t="n"/>
      <c r="J911" s="178" t="n"/>
      <c r="K911" s="179" t="inlineStr">
        <is>
          <t>9976 LONGSYS</t>
        </is>
      </c>
    </row>
    <row r="912">
      <c r="A912" s="17" t="inlineStr">
        <is>
          <t>58.com Holdings Inc</t>
        </is>
      </c>
      <c r="B912" s="171" t="n">
        <v>1</v>
      </c>
      <c r="C912" s="177" t="n">
        <v>0</v>
      </c>
      <c r="D912" s="178" t="n">
        <v>-1.1</v>
      </c>
      <c r="E912" s="178" t="n">
        <v>-1.1</v>
      </c>
      <c r="F912" s="178" t="n">
        <v>-3</v>
      </c>
      <c r="G912" s="178" t="n">
        <v>-0.8</v>
      </c>
      <c r="H912" s="178" t="n">
        <v>0</v>
      </c>
      <c r="I912" s="178" t="n">
        <v>-1.9</v>
      </c>
      <c r="J912" s="178" t="n">
        <v>0.3</v>
      </c>
      <c r="K912" s="179" t="inlineStr">
        <is>
          <t>2205 KANGQIAO SER</t>
        </is>
      </c>
    </row>
    <row r="913">
      <c r="A913" s="17" t="inlineStr">
        <is>
          <t>Autobio Group Co., Ltd</t>
        </is>
      </c>
      <c r="B913" s="171" t="n">
        <v>1</v>
      </c>
      <c r="C913" s="177" t="n">
        <v>0</v>
      </c>
      <c r="D913" s="178" t="n">
        <v>-1.1</v>
      </c>
      <c r="E913" s="178" t="n">
        <v>-1.1</v>
      </c>
      <c r="F913" s="178" t="n">
        <v>-3</v>
      </c>
      <c r="G913" s="178" t="n">
        <v>-0.8</v>
      </c>
      <c r="H913" s="178" t="n">
        <v>0</v>
      </c>
      <c r="I913" s="178" t="n">
        <v>-1.9</v>
      </c>
      <c r="J913" s="178" t="n">
        <v>0.3</v>
      </c>
      <c r="K913" s="179" t="inlineStr">
        <is>
          <t>2205 KANGQIAO SER</t>
        </is>
      </c>
    </row>
    <row r="914">
      <c r="A914" s="17" t="inlineStr">
        <is>
          <t>Mr. Dai Junan</t>
        </is>
      </c>
      <c r="B914" s="171" t="n">
        <v>1</v>
      </c>
      <c r="C914" s="177" t="n">
        <v>0</v>
      </c>
      <c r="D914" s="178" t="n">
        <v>-1.1</v>
      </c>
      <c r="E914" s="178" t="n">
        <v>-6.7</v>
      </c>
      <c r="F914" s="178" t="n">
        <v>-16.1</v>
      </c>
      <c r="G914" s="178" t="n">
        <v>-17.7</v>
      </c>
      <c r="H914" s="178" t="n">
        <v>-5.7</v>
      </c>
      <c r="I914" s="178" t="n">
        <v>-15.2</v>
      </c>
      <c r="J914" s="178" t="n">
        <v>-16.8</v>
      </c>
      <c r="K914" s="179" t="inlineStr">
        <is>
          <t>1187 COFOE MEDICAL</t>
        </is>
      </c>
    </row>
    <row r="915">
      <c r="A915" s="17" t="inlineStr">
        <is>
          <t>Mr. Huang Xuelin</t>
        </is>
      </c>
      <c r="B915" s="171" t="n">
        <v>1</v>
      </c>
      <c r="C915" s="177" t="n">
        <v>0</v>
      </c>
      <c r="D915" s="178" t="n">
        <v>-1.1</v>
      </c>
      <c r="E915" s="178" t="n">
        <v>-6.7</v>
      </c>
      <c r="F915" s="178" t="n">
        <v>-16.1</v>
      </c>
      <c r="G915" s="178" t="n">
        <v>-17.7</v>
      </c>
      <c r="H915" s="178" t="n">
        <v>-5.7</v>
      </c>
      <c r="I915" s="178" t="n">
        <v>-15.2</v>
      </c>
      <c r="J915" s="178" t="n">
        <v>-16.8</v>
      </c>
      <c r="K915" s="179" t="inlineStr">
        <is>
          <t>1187 COFOE MEDICAL</t>
        </is>
      </c>
    </row>
    <row r="916">
      <c r="A916" s="17" t="inlineStr">
        <is>
          <t>Ms. Lu Qinchao</t>
        </is>
      </c>
      <c r="B916" s="171" t="n">
        <v>1</v>
      </c>
      <c r="C916" s="177" t="n">
        <v>0</v>
      </c>
      <c r="D916" s="178" t="n">
        <v>-1.1</v>
      </c>
      <c r="E916" s="178" t="n">
        <v>-6.7</v>
      </c>
      <c r="F916" s="178" t="n">
        <v>-16.1</v>
      </c>
      <c r="G916" s="178" t="n">
        <v>-17.7</v>
      </c>
      <c r="H916" s="178" t="n">
        <v>-5.7</v>
      </c>
      <c r="I916" s="178" t="n">
        <v>-15.2</v>
      </c>
      <c r="J916" s="178" t="n">
        <v>-16.8</v>
      </c>
      <c r="K916" s="179" t="inlineStr">
        <is>
          <t>1187 COFOE MEDICAL</t>
        </is>
      </c>
    </row>
    <row r="917">
      <c r="A917" s="17" t="inlineStr">
        <is>
          <t>Sinohealth Technology Holdings Limited</t>
        </is>
      </c>
      <c r="B917" s="171" t="n">
        <v>1</v>
      </c>
      <c r="C917" s="177" t="n">
        <v>0</v>
      </c>
      <c r="D917" s="178" t="n">
        <v>-1.1</v>
      </c>
      <c r="E917" s="178" t="n">
        <v>-6.7</v>
      </c>
      <c r="F917" s="178" t="n">
        <v>-16.1</v>
      </c>
      <c r="G917" s="178" t="n">
        <v>-17.7</v>
      </c>
      <c r="H917" s="178" t="n">
        <v>-5.7</v>
      </c>
      <c r="I917" s="178" t="n">
        <v>-15.2</v>
      </c>
      <c r="J917" s="178" t="n">
        <v>-16.8</v>
      </c>
      <c r="K917" s="179" t="inlineStr">
        <is>
          <t>1187 COFOE MEDICAL</t>
        </is>
      </c>
    </row>
    <row r="918">
      <c r="A918" s="17" t="inlineStr">
        <is>
          <t>Dynamic Holding Co., Ltd</t>
        </is>
      </c>
      <c r="B918" s="171" t="n">
        <v>1</v>
      </c>
      <c r="C918" s="177" t="n">
        <v>0</v>
      </c>
      <c r="D918" s="178" t="n">
        <v>-1.8</v>
      </c>
      <c r="E918" s="178" t="n">
        <v>9.9</v>
      </c>
      <c r="F918" s="178" t="n">
        <v>2.6</v>
      </c>
      <c r="G918" s="178" t="n"/>
      <c r="H918" s="178" t="n">
        <v>11.9</v>
      </c>
      <c r="I918" s="178" t="n">
        <v>4.5</v>
      </c>
      <c r="J918" s="178" t="n"/>
      <c r="K918" s="179" t="inlineStr">
        <is>
          <t>1377 DTECH</t>
        </is>
      </c>
    </row>
    <row r="919">
      <c r="A919" s="17" t="inlineStr">
        <is>
          <t>IFUND SPC– Vision IX SP</t>
        </is>
      </c>
      <c r="B919" s="171" t="n">
        <v>1</v>
      </c>
      <c r="C919" s="177" t="n">
        <v>0</v>
      </c>
      <c r="D919" s="178" t="n">
        <v>-1.8</v>
      </c>
      <c r="E919" s="178" t="n">
        <v>9.9</v>
      </c>
      <c r="F919" s="178" t="n">
        <v>2.6</v>
      </c>
      <c r="G919" s="178" t="n"/>
      <c r="H919" s="178" t="n">
        <v>11.9</v>
      </c>
      <c r="I919" s="178" t="n">
        <v>4.5</v>
      </c>
      <c r="J919" s="178" t="n"/>
      <c r="K919" s="179" t="inlineStr">
        <is>
          <t>1377 DTECH</t>
        </is>
      </c>
    </row>
    <row r="920">
      <c r="A920" s="17" t="inlineStr">
        <is>
          <t>Crane Movement</t>
        </is>
      </c>
      <c r="B920" s="171" t="n">
        <v>1</v>
      </c>
      <c r="C920" s="177" t="n">
        <v>0</v>
      </c>
      <c r="D920" s="178" t="n">
        <v>-1.9</v>
      </c>
      <c r="E920" s="178" t="n">
        <v>0</v>
      </c>
      <c r="F920" s="178" t="n">
        <v>7.7</v>
      </c>
      <c r="G920" s="178" t="n">
        <v>3.4</v>
      </c>
      <c r="H920" s="178" t="n">
        <v>1.9</v>
      </c>
      <c r="I920" s="178" t="n">
        <v>9.800000000000001</v>
      </c>
      <c r="J920" s="178" t="n">
        <v>5.4</v>
      </c>
      <c r="K920" s="179" t="inlineStr">
        <is>
          <t>2510 TS LINES</t>
        </is>
      </c>
    </row>
    <row r="921">
      <c r="A921" s="17" t="inlineStr">
        <is>
          <t>HUNG Chi-Li</t>
        </is>
      </c>
      <c r="B921" s="171" t="n">
        <v>1</v>
      </c>
      <c r="C921" s="177" t="n">
        <v>0</v>
      </c>
      <c r="D921" s="178" t="n">
        <v>-1.9</v>
      </c>
      <c r="E921" s="178" t="n">
        <v>0</v>
      </c>
      <c r="F921" s="178" t="n">
        <v>7.7</v>
      </c>
      <c r="G921" s="178" t="n">
        <v>3.4</v>
      </c>
      <c r="H921" s="178" t="n">
        <v>1.9</v>
      </c>
      <c r="I921" s="178" t="n">
        <v>9.800000000000001</v>
      </c>
      <c r="J921" s="178" t="n">
        <v>5.4</v>
      </c>
      <c r="K921" s="179" t="inlineStr">
        <is>
          <t>2510 TS LINES</t>
        </is>
      </c>
    </row>
    <row r="922">
      <c r="A922" s="17" t="inlineStr">
        <is>
          <t>Indigo Rainbow Limited</t>
        </is>
      </c>
      <c r="B922" s="171" t="n">
        <v>1</v>
      </c>
      <c r="C922" s="177" t="n">
        <v>0</v>
      </c>
      <c r="D922" s="178" t="n">
        <v>-1.9</v>
      </c>
      <c r="E922" s="178" t="n">
        <v>0</v>
      </c>
      <c r="F922" s="178" t="n">
        <v>7.7</v>
      </c>
      <c r="G922" s="178" t="n">
        <v>3.4</v>
      </c>
      <c r="H922" s="178" t="n">
        <v>1.9</v>
      </c>
      <c r="I922" s="178" t="n">
        <v>9.800000000000001</v>
      </c>
      <c r="J922" s="178" t="n">
        <v>5.4</v>
      </c>
      <c r="K922" s="179" t="inlineStr">
        <is>
          <t>2510 TS LINES</t>
        </is>
      </c>
    </row>
    <row r="923">
      <c r="A923" s="17" t="inlineStr">
        <is>
          <t>Metro Shine Group Limited</t>
        </is>
      </c>
      <c r="B923" s="171" t="n">
        <v>1</v>
      </c>
      <c r="C923" s="177" t="n">
        <v>0</v>
      </c>
      <c r="D923" s="178" t="n">
        <v>-1.9</v>
      </c>
      <c r="E923" s="178" t="n">
        <v>0</v>
      </c>
      <c r="F923" s="178" t="n">
        <v>7.7</v>
      </c>
      <c r="G923" s="178" t="n">
        <v>3.4</v>
      </c>
      <c r="H923" s="178" t="n">
        <v>1.9</v>
      </c>
      <c r="I923" s="178" t="n">
        <v>9.800000000000001</v>
      </c>
      <c r="J923" s="178" t="n">
        <v>5.4</v>
      </c>
      <c r="K923" s="179" t="inlineStr">
        <is>
          <t>2510 TS LINES</t>
        </is>
      </c>
    </row>
    <row r="924">
      <c r="A924" s="17" t="inlineStr">
        <is>
          <t>WANG Yi-Fen</t>
        </is>
      </c>
      <c r="B924" s="171" t="n">
        <v>1</v>
      </c>
      <c r="C924" s="177" t="n">
        <v>0</v>
      </c>
      <c r="D924" s="178" t="n">
        <v>-1.9</v>
      </c>
      <c r="E924" s="178" t="n">
        <v>0</v>
      </c>
      <c r="F924" s="178" t="n">
        <v>7.7</v>
      </c>
      <c r="G924" s="178" t="n">
        <v>3.4</v>
      </c>
      <c r="H924" s="178" t="n">
        <v>1.9</v>
      </c>
      <c r="I924" s="178" t="n">
        <v>9.800000000000001</v>
      </c>
      <c r="J924" s="178" t="n">
        <v>5.4</v>
      </c>
      <c r="K924" s="179" t="inlineStr">
        <is>
          <t>2510 TS LINES</t>
        </is>
      </c>
    </row>
    <row r="925">
      <c r="A925" s="17" t="inlineStr">
        <is>
          <t>Worldwide Logistics Holding HK Limited</t>
        </is>
      </c>
      <c r="B925" s="171" t="n">
        <v>1</v>
      </c>
      <c r="C925" s="177" t="n">
        <v>0</v>
      </c>
      <c r="D925" s="178" t="n">
        <v>-1.9</v>
      </c>
      <c r="E925" s="178" t="n">
        <v>0</v>
      </c>
      <c r="F925" s="178" t="n">
        <v>7.7</v>
      </c>
      <c r="G925" s="178" t="n">
        <v>3.4</v>
      </c>
      <c r="H925" s="178" t="n">
        <v>1.9</v>
      </c>
      <c r="I925" s="178" t="n">
        <v>9.800000000000001</v>
      </c>
      <c r="J925" s="178" t="n">
        <v>5.4</v>
      </c>
      <c r="K925" s="179" t="inlineStr">
        <is>
          <t>2510 TS LINES</t>
        </is>
      </c>
    </row>
    <row r="926">
      <c r="A926" s="17" t="inlineStr">
        <is>
          <t>BCC Asia Aggregator, L.P</t>
        </is>
      </c>
      <c r="B926" s="171" t="n">
        <v>1</v>
      </c>
      <c r="C926" s="177" t="n">
        <v>0</v>
      </c>
      <c r="D926" s="178" t="n">
        <v>-2</v>
      </c>
      <c r="E926" s="178" t="n">
        <v>17.4</v>
      </c>
      <c r="F926" s="178" t="n">
        <v>6.1</v>
      </c>
      <c r="G926" s="178" t="n"/>
      <c r="H926" s="178" t="n">
        <v>19.9</v>
      </c>
      <c r="I926" s="178" t="n">
        <v>8.300000000000001</v>
      </c>
      <c r="J926" s="178" t="n"/>
      <c r="K926" s="179" t="inlineStr">
        <is>
          <t>3308 ZJ INNOLIGHT</t>
        </is>
      </c>
    </row>
    <row r="927">
      <c r="A927" s="17" t="inlineStr">
        <is>
          <t>Chow Tai Fook Enterprises Limited</t>
        </is>
      </c>
      <c r="B927" s="171" t="n">
        <v>1</v>
      </c>
      <c r="C927" s="177" t="n">
        <v>0</v>
      </c>
      <c r="D927" s="178" t="n">
        <v>-2</v>
      </c>
      <c r="E927" s="178" t="n">
        <v>17.4</v>
      </c>
      <c r="F927" s="178" t="n">
        <v>6.1</v>
      </c>
      <c r="G927" s="178" t="n"/>
      <c r="H927" s="178" t="n">
        <v>19.9</v>
      </c>
      <c r="I927" s="178" t="n">
        <v>8.300000000000001</v>
      </c>
      <c r="J927" s="178" t="n"/>
      <c r="K927" s="179" t="inlineStr">
        <is>
          <t>3308 ZJ INNOLIGHT</t>
        </is>
      </c>
    </row>
    <row r="928">
      <c r="A928" s="17" t="inlineStr">
        <is>
          <t>IDG Capital Project Fund Rhododendron L.P</t>
        </is>
      </c>
      <c r="B928" s="171" t="n">
        <v>1</v>
      </c>
      <c r="C928" s="177" t="n">
        <v>0</v>
      </c>
      <c r="D928" s="178" t="n">
        <v>-2</v>
      </c>
      <c r="E928" s="178" t="n">
        <v>17.4</v>
      </c>
      <c r="F928" s="178" t="n">
        <v>6.1</v>
      </c>
      <c r="G928" s="178" t="n"/>
      <c r="H928" s="178" t="n">
        <v>19.9</v>
      </c>
      <c r="I928" s="178" t="n">
        <v>8.300000000000001</v>
      </c>
      <c r="J928" s="178" t="n"/>
      <c r="K928" s="179" t="inlineStr">
        <is>
          <t>3308 ZJ INNOLIGHT</t>
        </is>
      </c>
    </row>
    <row r="929">
      <c r="A929" s="17" t="inlineStr">
        <is>
          <t>XINGTAI HOLDING COMPANY (HONG KONG) LIMITED</t>
        </is>
      </c>
      <c r="B929" s="171" t="n">
        <v>1</v>
      </c>
      <c r="C929" s="177" t="n">
        <v>0</v>
      </c>
      <c r="D929" s="178" t="n">
        <v>-2.1</v>
      </c>
      <c r="E929" s="178" t="n">
        <v>-1.4</v>
      </c>
      <c r="F929" s="178" t="n">
        <v>-4.5</v>
      </c>
      <c r="G929" s="178" t="n">
        <v>-6.9</v>
      </c>
      <c r="H929" s="178" t="n">
        <v>0.7</v>
      </c>
      <c r="I929" s="178" t="n">
        <v>-2.5</v>
      </c>
      <c r="J929" s="178" t="n">
        <v>-4.9</v>
      </c>
      <c r="K929" s="179" t="inlineStr">
        <is>
          <t>2482 LOGORY</t>
        </is>
      </c>
    </row>
    <row r="930">
      <c r="A930" s="17" t="inlineStr">
        <is>
          <t>NetEase, Inc</t>
        </is>
      </c>
      <c r="B930" s="171" t="n">
        <v>1</v>
      </c>
      <c r="C930" s="177" t="n">
        <v>0</v>
      </c>
      <c r="D930" s="178" t="n">
        <v>-2.5</v>
      </c>
      <c r="E930" s="178" t="n">
        <v>-2.7</v>
      </c>
      <c r="F930" s="178" t="n">
        <v>-27</v>
      </c>
      <c r="G930" s="178" t="n">
        <v>-55.1</v>
      </c>
      <c r="H930" s="178" t="n">
        <v>-0.2</v>
      </c>
      <c r="I930" s="178" t="n">
        <v>-25.2</v>
      </c>
      <c r="J930" s="178" t="n">
        <v>-54</v>
      </c>
      <c r="K930" s="179" t="inlineStr">
        <is>
          <t>9899 CLOUD VILLAGE</t>
        </is>
      </c>
    </row>
    <row r="931">
      <c r="A931" s="17" t="inlineStr">
        <is>
          <t>Orbis Investment Management Limited</t>
        </is>
      </c>
      <c r="B931" s="171" t="n">
        <v>1</v>
      </c>
      <c r="C931" s="177" t="n">
        <v>0</v>
      </c>
      <c r="D931" s="178" t="n">
        <v>-2.5</v>
      </c>
      <c r="E931" s="178" t="n">
        <v>-2.7</v>
      </c>
      <c r="F931" s="178" t="n">
        <v>-27</v>
      </c>
      <c r="G931" s="178" t="n">
        <v>-55.1</v>
      </c>
      <c r="H931" s="178" t="n">
        <v>-0.2</v>
      </c>
      <c r="I931" s="178" t="n">
        <v>-25.2</v>
      </c>
      <c r="J931" s="178" t="n">
        <v>-54</v>
      </c>
      <c r="K931" s="179" t="inlineStr">
        <is>
          <t>9899 CLOUD VILLAGE</t>
        </is>
      </c>
    </row>
    <row r="932">
      <c r="A932" s="17" t="inlineStr">
        <is>
          <t>Sony Music Entertainment</t>
        </is>
      </c>
      <c r="B932" s="171" t="n">
        <v>1</v>
      </c>
      <c r="C932" s="177" t="n">
        <v>0</v>
      </c>
      <c r="D932" s="178" t="n">
        <v>-2.5</v>
      </c>
      <c r="E932" s="178" t="n">
        <v>-2.7</v>
      </c>
      <c r="F932" s="178" t="n">
        <v>-27</v>
      </c>
      <c r="G932" s="178" t="n">
        <v>-55.1</v>
      </c>
      <c r="H932" s="178" t="n">
        <v>-0.2</v>
      </c>
      <c r="I932" s="178" t="n">
        <v>-25.2</v>
      </c>
      <c r="J932" s="178" t="n">
        <v>-54</v>
      </c>
      <c r="K932" s="179" t="inlineStr">
        <is>
          <t>9899 CLOUD VILLAGE</t>
        </is>
      </c>
    </row>
    <row r="933">
      <c r="A933" s="17" t="inlineStr">
        <is>
          <t>Oceanpine Capital Management Limited</t>
        </is>
      </c>
      <c r="B933" s="171" t="n">
        <v>1</v>
      </c>
      <c r="C933" s="177" t="n">
        <v>0</v>
      </c>
      <c r="D933" s="178" t="n">
        <v>-3</v>
      </c>
      <c r="E933" s="178" t="n">
        <v>-22.6</v>
      </c>
      <c r="F933" s="178" t="n">
        <v>-16.9</v>
      </c>
      <c r="G933" s="178" t="n">
        <v>-17.8</v>
      </c>
      <c r="H933" s="178" t="n">
        <v>-20.2</v>
      </c>
      <c r="I933" s="178" t="n">
        <v>-14.3</v>
      </c>
      <c r="J933" s="178" t="n">
        <v>-15.3</v>
      </c>
      <c r="K933" s="179" t="inlineStr">
        <is>
          <t>2197 CLOVER BIO-B</t>
        </is>
      </c>
    </row>
    <row r="934">
      <c r="A934" s="17" t="inlineStr">
        <is>
          <t>Rock Springs Capital Master Fund LP</t>
        </is>
      </c>
      <c r="B934" s="171" t="n">
        <v>1</v>
      </c>
      <c r="C934" s="177" t="n">
        <v>0</v>
      </c>
      <c r="D934" s="178" t="n">
        <v>-3</v>
      </c>
      <c r="E934" s="178" t="n">
        <v>-22.6</v>
      </c>
      <c r="F934" s="178" t="n">
        <v>-16.9</v>
      </c>
      <c r="G934" s="178" t="n">
        <v>-17.8</v>
      </c>
      <c r="H934" s="178" t="n">
        <v>-20.2</v>
      </c>
      <c r="I934" s="178" t="n">
        <v>-14.3</v>
      </c>
      <c r="J934" s="178" t="n">
        <v>-15.3</v>
      </c>
      <c r="K934" s="179" t="inlineStr">
        <is>
          <t>2197 CLOVER BIO-B</t>
        </is>
      </c>
    </row>
    <row r="935">
      <c r="A935" s="17" t="inlineStr">
        <is>
          <t>Toroa Master Fund</t>
        </is>
      </c>
      <c r="B935" s="171" t="n">
        <v>1</v>
      </c>
      <c r="C935" s="177" t="n">
        <v>0</v>
      </c>
      <c r="D935" s="178" t="n">
        <v>-3</v>
      </c>
      <c r="E935" s="178" t="n">
        <v>-22.6</v>
      </c>
      <c r="F935" s="178" t="n">
        <v>-16.9</v>
      </c>
      <c r="G935" s="178" t="n">
        <v>-17.8</v>
      </c>
      <c r="H935" s="178" t="n">
        <v>-20.2</v>
      </c>
      <c r="I935" s="178" t="n">
        <v>-14.3</v>
      </c>
      <c r="J935" s="178" t="n">
        <v>-15.3</v>
      </c>
      <c r="K935" s="179" t="inlineStr">
        <is>
          <t>2197 CLOVER BIO-B</t>
        </is>
      </c>
    </row>
    <row r="936">
      <c r="A936" s="17" t="inlineStr">
        <is>
          <t>Orinno Investment</t>
        </is>
      </c>
      <c r="B936" s="171" t="n">
        <v>1</v>
      </c>
      <c r="C936" s="177" t="n">
        <v>0</v>
      </c>
      <c r="D936" s="178" t="n">
        <v>-3</v>
      </c>
      <c r="E936" s="178" t="n">
        <v>8</v>
      </c>
      <c r="F936" s="178" t="n">
        <v>2.6</v>
      </c>
      <c r="G936" s="178" t="n">
        <v>-36.1</v>
      </c>
      <c r="H936" s="178" t="n">
        <v>11.3</v>
      </c>
      <c r="I936" s="178" t="n">
        <v>5.9</v>
      </c>
      <c r="J936" s="178" t="n">
        <v>-34.1</v>
      </c>
      <c r="K936" s="179" t="inlineStr">
        <is>
          <t>2416 EDIANYUN</t>
        </is>
      </c>
    </row>
    <row r="937">
      <c r="A937" s="17" t="inlineStr">
        <is>
          <t>Guangzhou Automobile Industry Group Co., Ltd</t>
        </is>
      </c>
      <c r="B937" s="171" t="n">
        <v>1</v>
      </c>
      <c r="C937" s="177" t="n">
        <v>0</v>
      </c>
      <c r="D937" s="178" t="n">
        <v>-3.1</v>
      </c>
      <c r="E937" s="178" t="n">
        <v>-20.6</v>
      </c>
      <c r="F937" s="178" t="n">
        <v>-16.6</v>
      </c>
      <c r="G937" s="178" t="n">
        <v>-34.6</v>
      </c>
      <c r="H937" s="178" t="n">
        <v>-18</v>
      </c>
      <c r="I937" s="178" t="n">
        <v>-13.9</v>
      </c>
      <c r="J937" s="178" t="n">
        <v>-32.5</v>
      </c>
      <c r="K937" s="179" t="inlineStr">
        <is>
          <t>9680 CHENQI TECH</t>
        </is>
      </c>
    </row>
    <row r="938">
      <c r="A938" s="17" t="inlineStr">
        <is>
          <t>Voyager Group Inc</t>
        </is>
      </c>
      <c r="B938" s="171" t="n">
        <v>1</v>
      </c>
      <c r="C938" s="177" t="n">
        <v>0</v>
      </c>
      <c r="D938" s="178" t="n">
        <v>-3.1</v>
      </c>
      <c r="E938" s="178" t="n">
        <v>-20.6</v>
      </c>
      <c r="F938" s="178" t="n">
        <v>-16.6</v>
      </c>
      <c r="G938" s="178" t="n">
        <v>-34.6</v>
      </c>
      <c r="H938" s="178" t="n">
        <v>-18</v>
      </c>
      <c r="I938" s="178" t="n">
        <v>-13.9</v>
      </c>
      <c r="J938" s="178" t="n">
        <v>-32.5</v>
      </c>
      <c r="K938" s="179" t="inlineStr">
        <is>
          <t>9680 CHENQI TECH</t>
        </is>
      </c>
    </row>
    <row r="939">
      <c r="A939" s="17" t="inlineStr">
        <is>
          <t>WeRide Inc</t>
        </is>
      </c>
      <c r="B939" s="171" t="n">
        <v>1</v>
      </c>
      <c r="C939" s="177" t="n">
        <v>0</v>
      </c>
      <c r="D939" s="178" t="n">
        <v>-3.1</v>
      </c>
      <c r="E939" s="178" t="n">
        <v>-20.6</v>
      </c>
      <c r="F939" s="178" t="n">
        <v>-16.6</v>
      </c>
      <c r="G939" s="178" t="n">
        <v>-34.6</v>
      </c>
      <c r="H939" s="178" t="n">
        <v>-18</v>
      </c>
      <c r="I939" s="178" t="n">
        <v>-13.9</v>
      </c>
      <c r="J939" s="178" t="n">
        <v>-32.5</v>
      </c>
      <c r="K939" s="179" t="inlineStr">
        <is>
          <t>9680 CHENQI TECH</t>
        </is>
      </c>
    </row>
    <row r="940">
      <c r="A940" s="17" t="inlineStr">
        <is>
          <t>Nanjing Jingkai Juzhi Investment L.P</t>
        </is>
      </c>
      <c r="B940" s="171" t="n">
        <v>1</v>
      </c>
      <c r="C940" s="177" t="n">
        <v>0</v>
      </c>
      <c r="D940" s="178" t="n">
        <v>-3.2</v>
      </c>
      <c r="E940" s="178" t="n">
        <v>1.3</v>
      </c>
      <c r="F940" s="178" t="n">
        <v>-5.3</v>
      </c>
      <c r="G940" s="178" t="n">
        <v>-69.7</v>
      </c>
      <c r="H940" s="178" t="n">
        <v>4.6</v>
      </c>
      <c r="I940" s="178" t="n">
        <v>-2.2</v>
      </c>
      <c r="J940" s="178" t="n">
        <v>-68.8</v>
      </c>
      <c r="K940" s="179" t="inlineStr">
        <is>
          <t>2438 MOBVOI</t>
        </is>
      </c>
    </row>
    <row r="941">
      <c r="A941" s="17" t="inlineStr">
        <is>
          <t>TradeGo FinTech Limited</t>
        </is>
      </c>
      <c r="B941" s="171" t="n">
        <v>1</v>
      </c>
      <c r="C941" s="177" t="n">
        <v>0</v>
      </c>
      <c r="D941" s="178" t="n">
        <v>-4.1</v>
      </c>
      <c r="E941" s="178" t="n">
        <v>3.6</v>
      </c>
      <c r="F941" s="178" t="n">
        <v>48</v>
      </c>
      <c r="G941" s="178" t="n">
        <v>89.59999999999999</v>
      </c>
      <c r="H941" s="178" t="n">
        <v>8</v>
      </c>
      <c r="I941" s="178" t="n">
        <v>54.2</v>
      </c>
      <c r="J941" s="178" t="n">
        <v>97.59999999999999</v>
      </c>
      <c r="K941" s="179" t="inlineStr">
        <is>
          <t>6610 FLOWING CLOUD</t>
        </is>
      </c>
    </row>
    <row r="942">
      <c r="A942" s="17" t="inlineStr">
        <is>
          <t>Hield International</t>
        </is>
      </c>
      <c r="B942" s="171" t="n">
        <v>1</v>
      </c>
      <c r="C942" s="177" t="n">
        <v>0</v>
      </c>
      <c r="D942" s="178" t="n">
        <v>-4.3</v>
      </c>
      <c r="E942" s="178" t="n">
        <v>-2.5</v>
      </c>
      <c r="F942" s="178" t="n">
        <v>20.8</v>
      </c>
      <c r="G942" s="178" t="n">
        <v>8.6</v>
      </c>
      <c r="H942" s="178" t="n">
        <v>1.9</v>
      </c>
      <c r="I942" s="178" t="n">
        <v>26.2</v>
      </c>
      <c r="J942" s="178" t="n">
        <v>13.5</v>
      </c>
      <c r="K942" s="179" t="inlineStr">
        <is>
          <t>2676 NOVOSENSE</t>
        </is>
      </c>
    </row>
    <row r="943">
      <c r="A943" s="17" t="inlineStr">
        <is>
          <t>Oriza Naxin</t>
        </is>
      </c>
      <c r="B943" s="171" t="n">
        <v>1</v>
      </c>
      <c r="C943" s="177" t="n">
        <v>0</v>
      </c>
      <c r="D943" s="178" t="n">
        <v>-4.3</v>
      </c>
      <c r="E943" s="178" t="n">
        <v>-2.5</v>
      </c>
      <c r="F943" s="178" t="n">
        <v>20.8</v>
      </c>
      <c r="G943" s="178" t="n">
        <v>8.6</v>
      </c>
      <c r="H943" s="178" t="n">
        <v>1.9</v>
      </c>
      <c r="I943" s="178" t="n">
        <v>26.2</v>
      </c>
      <c r="J943" s="178" t="n">
        <v>13.5</v>
      </c>
      <c r="K943" s="179" t="inlineStr">
        <is>
          <t>2676 NOVOSENSE</t>
        </is>
      </c>
    </row>
    <row r="944">
      <c r="A944" s="17" t="inlineStr">
        <is>
          <t>BYTEDANCE (HK) LIMITED</t>
        </is>
      </c>
      <c r="B944" s="171" t="n">
        <v>1</v>
      </c>
      <c r="C944" s="177" t="n">
        <v>0</v>
      </c>
      <c r="D944" s="178" t="n">
        <v>-4.5</v>
      </c>
      <c r="E944" s="178" t="n">
        <v>-1.9</v>
      </c>
      <c r="F944" s="178" t="n">
        <v>-19.4</v>
      </c>
      <c r="G944" s="178" t="n">
        <v>-13.6</v>
      </c>
      <c r="H944" s="178" t="n">
        <v>2.7</v>
      </c>
      <c r="I944" s="178" t="n">
        <v>-15.6</v>
      </c>
      <c r="J944" s="178" t="n">
        <v>-9.5</v>
      </c>
      <c r="K944" s="179" t="inlineStr">
        <is>
          <t>1948 UJU HOLDING</t>
        </is>
      </c>
    </row>
    <row r="945">
      <c r="A945" s="17" t="inlineStr">
        <is>
          <t>I-China Holdings Limited</t>
        </is>
      </c>
      <c r="B945" s="171" t="n">
        <v>1</v>
      </c>
      <c r="C945" s="177" t="n">
        <v>0</v>
      </c>
      <c r="D945" s="178" t="n">
        <v>-4.6</v>
      </c>
      <c r="E945" s="178" t="n">
        <v>-4.5</v>
      </c>
      <c r="F945" s="178" t="n">
        <v>-21.3</v>
      </c>
      <c r="G945" s="178" t="n">
        <v>-61.9</v>
      </c>
      <c r="H945" s="178" t="n">
        <v>0.2</v>
      </c>
      <c r="I945" s="178" t="n">
        <v>-17.5</v>
      </c>
      <c r="J945" s="178" t="n">
        <v>-60</v>
      </c>
      <c r="K945" s="179" t="inlineStr">
        <is>
          <t>6633 QINGCI GAMES</t>
        </is>
      </c>
    </row>
    <row r="946">
      <c r="A946" s="17" t="inlineStr">
        <is>
          <t>Qookka Entertainment Limited</t>
        </is>
      </c>
      <c r="B946" s="171" t="n">
        <v>1</v>
      </c>
      <c r="C946" s="177" t="n">
        <v>0</v>
      </c>
      <c r="D946" s="178" t="n">
        <v>-4.6</v>
      </c>
      <c r="E946" s="178" t="n">
        <v>-4.5</v>
      </c>
      <c r="F946" s="178" t="n">
        <v>-21.3</v>
      </c>
      <c r="G946" s="178" t="n">
        <v>-61.9</v>
      </c>
      <c r="H946" s="178" t="n">
        <v>0.2</v>
      </c>
      <c r="I946" s="178" t="n">
        <v>-17.5</v>
      </c>
      <c r="J946" s="178" t="n">
        <v>-60</v>
      </c>
      <c r="K946" s="179" t="inlineStr">
        <is>
          <t>6633 QINGCI GAMES</t>
        </is>
      </c>
    </row>
    <row r="947">
      <c r="A947" s="17" t="inlineStr">
        <is>
          <t>Starwin International A LPF</t>
        </is>
      </c>
      <c r="B947" s="171" t="n">
        <v>1</v>
      </c>
      <c r="C947" s="177" t="n">
        <v>0</v>
      </c>
      <c r="D947" s="178" t="n">
        <v>-4.6</v>
      </c>
      <c r="E947" s="178" t="n">
        <v>22.3</v>
      </c>
      <c r="F947" s="178" t="n">
        <v>68.7</v>
      </c>
      <c r="G947" s="178" t="n">
        <v>-0.8</v>
      </c>
      <c r="H947" s="178" t="n">
        <v>28.3</v>
      </c>
      <c r="I947" s="178" t="n">
        <v>76.90000000000001</v>
      </c>
      <c r="J947" s="178" t="n">
        <v>4</v>
      </c>
      <c r="K947" s="179" t="inlineStr">
        <is>
          <t>1511 UISEE TECH</t>
        </is>
      </c>
    </row>
    <row r="948">
      <c r="A948" s="17" t="inlineStr">
        <is>
          <t>Xiongan Autonomous Driving Limited</t>
        </is>
      </c>
      <c r="B948" s="171" t="n">
        <v>1</v>
      </c>
      <c r="C948" s="177" t="n">
        <v>0</v>
      </c>
      <c r="D948" s="178" t="n">
        <v>-4.6</v>
      </c>
      <c r="E948" s="178" t="n">
        <v>22.3</v>
      </c>
      <c r="F948" s="178" t="n">
        <v>68.7</v>
      </c>
      <c r="G948" s="178" t="n">
        <v>-0.8</v>
      </c>
      <c r="H948" s="178" t="n">
        <v>28.3</v>
      </c>
      <c r="I948" s="178" t="n">
        <v>76.90000000000001</v>
      </c>
      <c r="J948" s="178" t="n">
        <v>4</v>
      </c>
      <c r="K948" s="179" t="inlineStr">
        <is>
          <t>1511 UISEE TECH</t>
        </is>
      </c>
    </row>
    <row r="949">
      <c r="A949" s="17" t="inlineStr">
        <is>
          <t>GRANITE ASIA IX VCC</t>
        </is>
      </c>
      <c r="B949" s="171" t="n">
        <v>1</v>
      </c>
      <c r="C949" s="177" t="n">
        <v>0</v>
      </c>
      <c r="D949" s="178" t="n">
        <v>-4.6</v>
      </c>
      <c r="E949" s="178" t="n">
        <v>-5.1</v>
      </c>
      <c r="F949" s="178" t="n">
        <v>-37.2</v>
      </c>
      <c r="G949" s="178" t="n"/>
      <c r="H949" s="178" t="n">
        <v>-0.5</v>
      </c>
      <c r="I949" s="178" t="n">
        <v>-34.2</v>
      </c>
      <c r="J949" s="178" t="n"/>
      <c r="K949" s="179" t="inlineStr">
        <is>
          <t>1688 LINGYI ITECH</t>
        </is>
      </c>
    </row>
    <row r="950">
      <c r="A950" s="17" t="inlineStr">
        <is>
          <t>Honor Information Technology Limited</t>
        </is>
      </c>
      <c r="B950" s="171" t="n">
        <v>1</v>
      </c>
      <c r="C950" s="177" t="n">
        <v>0</v>
      </c>
      <c r="D950" s="178" t="n">
        <v>-4.6</v>
      </c>
      <c r="E950" s="178" t="n">
        <v>-5.1</v>
      </c>
      <c r="F950" s="178" t="n">
        <v>-37.2</v>
      </c>
      <c r="G950" s="178" t="n"/>
      <c r="H950" s="178" t="n">
        <v>-0.5</v>
      </c>
      <c r="I950" s="178" t="n">
        <v>-34.2</v>
      </c>
      <c r="J950" s="178" t="n"/>
      <c r="K950" s="179" t="inlineStr">
        <is>
          <t>1688 LINGYI ITECH</t>
        </is>
      </c>
    </row>
    <row r="951">
      <c r="A951" s="17" t="inlineStr">
        <is>
          <t>Kaide Global Investment Ltd</t>
        </is>
      </c>
      <c r="B951" s="171" t="n">
        <v>1</v>
      </c>
      <c r="C951" s="177" t="n">
        <v>0</v>
      </c>
      <c r="D951" s="178" t="n">
        <v>-4.6</v>
      </c>
      <c r="E951" s="178" t="n">
        <v>-5.1</v>
      </c>
      <c r="F951" s="178" t="n">
        <v>-37.2</v>
      </c>
      <c r="G951" s="178" t="n"/>
      <c r="H951" s="178" t="n">
        <v>-0.5</v>
      </c>
      <c r="I951" s="178" t="n">
        <v>-34.2</v>
      </c>
      <c r="J951" s="178" t="n"/>
      <c r="K951" s="179" t="inlineStr">
        <is>
          <t>1688 LINGYI ITECH</t>
        </is>
      </c>
    </row>
    <row r="952">
      <c r="A952" s="17" t="inlineStr">
        <is>
          <t>Qube Master Fund Ltd</t>
        </is>
      </c>
      <c r="B952" s="171" t="n">
        <v>1</v>
      </c>
      <c r="C952" s="177" t="n">
        <v>0</v>
      </c>
      <c r="D952" s="178" t="n">
        <v>-4.6</v>
      </c>
      <c r="E952" s="178" t="n">
        <v>-5.1</v>
      </c>
      <c r="F952" s="178" t="n">
        <v>-37.2</v>
      </c>
      <c r="G952" s="178" t="n"/>
      <c r="H952" s="178" t="n">
        <v>-0.5</v>
      </c>
      <c r="I952" s="178" t="n">
        <v>-34.2</v>
      </c>
      <c r="J952" s="178" t="n"/>
      <c r="K952" s="179" t="inlineStr">
        <is>
          <t>1688 LINGYI ITECH</t>
        </is>
      </c>
    </row>
    <row r="953">
      <c r="A953" s="17" t="inlineStr">
        <is>
          <t>Ti-Capital (HK) Pioneer Fund III</t>
        </is>
      </c>
      <c r="B953" s="171" t="n">
        <v>1</v>
      </c>
      <c r="C953" s="177" t="n">
        <v>0</v>
      </c>
      <c r="D953" s="178" t="n">
        <v>-4.6</v>
      </c>
      <c r="E953" s="178" t="n">
        <v>-5.1</v>
      </c>
      <c r="F953" s="178" t="n">
        <v>-37.2</v>
      </c>
      <c r="G953" s="178" t="n"/>
      <c r="H953" s="178" t="n">
        <v>-0.5</v>
      </c>
      <c r="I953" s="178" t="n">
        <v>-34.2</v>
      </c>
      <c r="J953" s="178" t="n"/>
      <c r="K953" s="179" t="inlineStr">
        <is>
          <t>1688 LINGYI ITECH</t>
        </is>
      </c>
    </row>
    <row r="954">
      <c r="A954" s="17" t="inlineStr">
        <is>
          <t>Hosen Capital</t>
        </is>
      </c>
      <c r="B954" s="171" t="n">
        <v>1</v>
      </c>
      <c r="C954" s="177" t="n">
        <v>0</v>
      </c>
      <c r="D954" s="178" t="n">
        <v>-5</v>
      </c>
      <c r="E954" s="178" t="n">
        <v>0.1</v>
      </c>
      <c r="F954" s="178" t="n">
        <v>0</v>
      </c>
      <c r="G954" s="178" t="n">
        <v>-2.6</v>
      </c>
      <c r="H954" s="178" t="n">
        <v>5.3</v>
      </c>
      <c r="I954" s="178" t="n">
        <v>5.3</v>
      </c>
      <c r="J954" s="178" t="n">
        <v>2.5</v>
      </c>
      <c r="K954" s="179" t="inlineStr">
        <is>
          <t>2648 ANJOY FOOD</t>
        </is>
      </c>
    </row>
    <row r="955">
      <c r="A955" s="17" t="inlineStr">
        <is>
          <t>FCP Domains</t>
        </is>
      </c>
      <c r="B955" s="171" t="n">
        <v>1</v>
      </c>
      <c r="C955" s="177" t="n">
        <v>0</v>
      </c>
      <c r="D955" s="178" t="n">
        <v>-5</v>
      </c>
      <c r="E955" s="178" t="n">
        <v>0.1</v>
      </c>
      <c r="F955" s="178" t="n">
        <v>0</v>
      </c>
      <c r="G955" s="178" t="n">
        <v>-2.6</v>
      </c>
      <c r="H955" s="178" t="n">
        <v>5.3</v>
      </c>
      <c r="I955" s="178" t="n">
        <v>5.3</v>
      </c>
      <c r="J955" s="178" t="n">
        <v>2.5</v>
      </c>
      <c r="K955" s="179" t="inlineStr">
        <is>
          <t>2648 ANJOY FOOD</t>
        </is>
      </c>
    </row>
    <row r="956">
      <c r="A956" s="17" t="inlineStr">
        <is>
          <t>NonaV erse</t>
        </is>
      </c>
      <c r="B956" s="171" t="n">
        <v>1</v>
      </c>
      <c r="C956" s="177" t="n">
        <v>0</v>
      </c>
      <c r="D956" s="178" t="n">
        <v>-5</v>
      </c>
      <c r="E956" s="178" t="n">
        <v>0.1</v>
      </c>
      <c r="F956" s="178" t="n">
        <v>0</v>
      </c>
      <c r="G956" s="178" t="n">
        <v>-2.6</v>
      </c>
      <c r="H956" s="178" t="n">
        <v>5.3</v>
      </c>
      <c r="I956" s="178" t="n">
        <v>5.3</v>
      </c>
      <c r="J956" s="178" t="n">
        <v>2.5</v>
      </c>
      <c r="K956" s="179" t="inlineStr">
        <is>
          <t>2648 ANJOY FOOD</t>
        </is>
      </c>
    </row>
    <row r="957">
      <c r="A957" s="17" t="inlineStr">
        <is>
          <t>Media Global Management Limited</t>
        </is>
      </c>
      <c r="B957" s="171" t="n">
        <v>1</v>
      </c>
      <c r="C957" s="177" t="n">
        <v>0</v>
      </c>
      <c r="D957" s="178" t="n">
        <v>-5.1</v>
      </c>
      <c r="E957" s="178" t="n">
        <v>-12.1</v>
      </c>
      <c r="F957" s="178" t="n">
        <v>-0.6</v>
      </c>
      <c r="G957" s="178" t="n">
        <v>8</v>
      </c>
      <c r="H957" s="178" t="n">
        <v>-7.4</v>
      </c>
      <c r="I957" s="178" t="n">
        <v>4.8</v>
      </c>
      <c r="J957" s="178" t="n">
        <v>13.8</v>
      </c>
      <c r="K957" s="179" t="inlineStr">
        <is>
          <t>9985 WEILONG</t>
        </is>
      </c>
    </row>
    <row r="958">
      <c r="A958" s="17" t="inlineStr">
        <is>
          <t>Prospect Bridge Value L.P</t>
        </is>
      </c>
      <c r="B958" s="171" t="n">
        <v>1</v>
      </c>
      <c r="C958" s="177" t="n">
        <v>0</v>
      </c>
      <c r="D958" s="178" t="n">
        <v>-5.1</v>
      </c>
      <c r="E958" s="178" t="n">
        <v>-12.1</v>
      </c>
      <c r="F958" s="178" t="n">
        <v>-0.6</v>
      </c>
      <c r="G958" s="178" t="n">
        <v>8</v>
      </c>
      <c r="H958" s="178" t="n">
        <v>-7.4</v>
      </c>
      <c r="I958" s="178" t="n">
        <v>4.8</v>
      </c>
      <c r="J958" s="178" t="n">
        <v>13.8</v>
      </c>
      <c r="K958" s="179" t="inlineStr">
        <is>
          <t>9985 WEILONG</t>
        </is>
      </c>
    </row>
    <row r="959">
      <c r="A959" s="17" t="inlineStr">
        <is>
          <t>Eastland</t>
        </is>
      </c>
      <c r="B959" s="171" t="n">
        <v>1</v>
      </c>
      <c r="C959" s="177" t="n">
        <v>0</v>
      </c>
      <c r="D959" s="178" t="n">
        <v>-5.3</v>
      </c>
      <c r="E959" s="178" t="n">
        <v>-3</v>
      </c>
      <c r="F959" s="178" t="n">
        <v>-7.9</v>
      </c>
      <c r="G959" s="178" t="n">
        <v>-6.3</v>
      </c>
      <c r="H959" s="178" t="n">
        <v>2.4</v>
      </c>
      <c r="I959" s="178" t="n">
        <v>-2.8</v>
      </c>
      <c r="J959" s="178" t="n">
        <v>-1.1</v>
      </c>
      <c r="K959" s="179" t="inlineStr">
        <is>
          <t>2385 READBOY</t>
        </is>
      </c>
    </row>
    <row r="960">
      <c r="A960" s="17" t="inlineStr">
        <is>
          <t>Gui Chunfang</t>
        </is>
      </c>
      <c r="B960" s="171" t="n">
        <v>1</v>
      </c>
      <c r="C960" s="177" t="n">
        <v>0</v>
      </c>
      <c r="D960" s="178" t="n">
        <v>-5.3</v>
      </c>
      <c r="E960" s="178" t="n">
        <v>-3</v>
      </c>
      <c r="F960" s="178" t="n">
        <v>-7.9</v>
      </c>
      <c r="G960" s="178" t="n">
        <v>-6.3</v>
      </c>
      <c r="H960" s="178" t="n">
        <v>2.4</v>
      </c>
      <c r="I960" s="178" t="n">
        <v>-2.8</v>
      </c>
      <c r="J960" s="178" t="n">
        <v>-1.1</v>
      </c>
      <c r="K960" s="179" t="inlineStr">
        <is>
          <t>2385 READBOY</t>
        </is>
      </c>
    </row>
    <row r="961">
      <c r="A961" s="17" t="inlineStr">
        <is>
          <t>Jin Tao</t>
        </is>
      </c>
      <c r="B961" s="171" t="n">
        <v>1</v>
      </c>
      <c r="C961" s="177" t="n">
        <v>0</v>
      </c>
      <c r="D961" s="178" t="n">
        <v>-5.3</v>
      </c>
      <c r="E961" s="178" t="n">
        <v>-3</v>
      </c>
      <c r="F961" s="178" t="n">
        <v>-7.9</v>
      </c>
      <c r="G961" s="178" t="n">
        <v>-6.3</v>
      </c>
      <c r="H961" s="178" t="n">
        <v>2.4</v>
      </c>
      <c r="I961" s="178" t="n">
        <v>-2.8</v>
      </c>
      <c r="J961" s="178" t="n">
        <v>-1.1</v>
      </c>
      <c r="K961" s="179" t="inlineStr">
        <is>
          <t>2385 READBOY</t>
        </is>
      </c>
    </row>
    <row r="962">
      <c r="A962" s="17" t="inlineStr">
        <is>
          <t>Tower Lead</t>
        </is>
      </c>
      <c r="B962" s="171" t="n">
        <v>1</v>
      </c>
      <c r="C962" s="177" t="n">
        <v>0</v>
      </c>
      <c r="D962" s="178" t="n">
        <v>-5.3</v>
      </c>
      <c r="E962" s="178" t="n">
        <v>-3</v>
      </c>
      <c r="F962" s="178" t="n">
        <v>-7.9</v>
      </c>
      <c r="G962" s="178" t="n">
        <v>-6.3</v>
      </c>
      <c r="H962" s="178" t="n">
        <v>2.4</v>
      </c>
      <c r="I962" s="178" t="n">
        <v>-2.8</v>
      </c>
      <c r="J962" s="178" t="n">
        <v>-1.1</v>
      </c>
      <c r="K962" s="179" t="inlineStr">
        <is>
          <t>2385 READBOY</t>
        </is>
      </c>
    </row>
    <row r="963">
      <c r="A963" s="17" t="inlineStr">
        <is>
          <t>Yang Xiaojie</t>
        </is>
      </c>
      <c r="B963" s="171" t="n">
        <v>1</v>
      </c>
      <c r="C963" s="177" t="n">
        <v>0</v>
      </c>
      <c r="D963" s="178" t="n">
        <v>-5.3</v>
      </c>
      <c r="E963" s="178" t="n">
        <v>-3</v>
      </c>
      <c r="F963" s="178" t="n">
        <v>-7.9</v>
      </c>
      <c r="G963" s="178" t="n">
        <v>-6.3</v>
      </c>
      <c r="H963" s="178" t="n">
        <v>2.4</v>
      </c>
      <c r="I963" s="178" t="n">
        <v>-2.8</v>
      </c>
      <c r="J963" s="178" t="n">
        <v>-1.1</v>
      </c>
      <c r="K963" s="179" t="inlineStr">
        <is>
          <t>2385 READBOY</t>
        </is>
      </c>
    </row>
    <row r="964">
      <c r="A964" s="17" t="inlineStr">
        <is>
          <t>Zheng Changping</t>
        </is>
      </c>
      <c r="B964" s="171" t="n">
        <v>1</v>
      </c>
      <c r="C964" s="177" t="n">
        <v>0</v>
      </c>
      <c r="D964" s="178" t="n">
        <v>-5.3</v>
      </c>
      <c r="E964" s="178" t="n">
        <v>-3</v>
      </c>
      <c r="F964" s="178" t="n">
        <v>-7.9</v>
      </c>
      <c r="G964" s="178" t="n">
        <v>-6.3</v>
      </c>
      <c r="H964" s="178" t="n">
        <v>2.4</v>
      </c>
      <c r="I964" s="178" t="n">
        <v>-2.8</v>
      </c>
      <c r="J964" s="178" t="n">
        <v>-1.1</v>
      </c>
      <c r="K964" s="179" t="inlineStr">
        <is>
          <t>2385 READBOY</t>
        </is>
      </c>
    </row>
    <row r="965">
      <c r="A965" s="17" t="inlineStr">
        <is>
          <t>Abax Asian Structured Private Credit Fund III, LP</t>
        </is>
      </c>
      <c r="B965" s="171" t="n">
        <v>1</v>
      </c>
      <c r="C965" s="177" t="n">
        <v>0</v>
      </c>
      <c r="D965" s="178" t="n">
        <v>-5.6</v>
      </c>
      <c r="E965" s="178" t="n">
        <v>-1.5</v>
      </c>
      <c r="F965" s="178" t="n">
        <v>-20.5</v>
      </c>
      <c r="G965" s="178" t="n">
        <v>-19.6</v>
      </c>
      <c r="H965" s="178" t="n">
        <v>4.3</v>
      </c>
      <c r="I965" s="178" t="n">
        <v>-15.8</v>
      </c>
      <c r="J965" s="178" t="n">
        <v>-14.8</v>
      </c>
      <c r="K965" s="179" t="inlineStr">
        <is>
          <t>6639 ARRAIL GROUP</t>
        </is>
      </c>
    </row>
    <row r="966">
      <c r="A966" s="17" t="inlineStr">
        <is>
          <t>Hony Goldstream Special Opportunity Fund I</t>
        </is>
      </c>
      <c r="B966" s="171" t="n">
        <v>1</v>
      </c>
      <c r="C966" s="177" t="n">
        <v>0</v>
      </c>
      <c r="D966" s="178" t="n">
        <v>-6</v>
      </c>
      <c r="E966" s="178" t="n">
        <v>-11.2</v>
      </c>
      <c r="F966" s="178" t="n">
        <v>-28</v>
      </c>
      <c r="G966" s="178" t="n">
        <v>-50.2</v>
      </c>
      <c r="H966" s="178" t="n">
        <v>-5.6</v>
      </c>
      <c r="I966" s="178" t="n">
        <v>-23.4</v>
      </c>
      <c r="J966" s="178" t="n">
        <v>-47.1</v>
      </c>
      <c r="K966" s="179" t="inlineStr">
        <is>
          <t>9600 NEWLINK TECH</t>
        </is>
      </c>
    </row>
    <row r="967">
      <c r="A967" s="17" t="inlineStr">
        <is>
          <t>Mr. Qi</t>
        </is>
      </c>
      <c r="B967" s="171" t="n">
        <v>1</v>
      </c>
      <c r="C967" s="177" t="n">
        <v>0</v>
      </c>
      <c r="D967" s="178" t="n">
        <v>-6.4</v>
      </c>
      <c r="E967" s="178" t="n">
        <v>-2.1</v>
      </c>
      <c r="F967" s="178" t="n">
        <v>45.1</v>
      </c>
      <c r="G967" s="178" t="n">
        <v>157</v>
      </c>
      <c r="H967" s="178" t="n">
        <v>4.6</v>
      </c>
      <c r="I967" s="178" t="n">
        <v>55.1</v>
      </c>
      <c r="J967" s="178" t="n">
        <v>174.7</v>
      </c>
      <c r="K967" s="179" t="inlineStr">
        <is>
          <t>1364 GUMING</t>
        </is>
      </c>
    </row>
    <row r="968">
      <c r="A968" s="17" t="inlineStr">
        <is>
          <t>Mr. Ruan</t>
        </is>
      </c>
      <c r="B968" s="171" t="n">
        <v>1</v>
      </c>
      <c r="C968" s="177" t="n">
        <v>0</v>
      </c>
      <c r="D968" s="178" t="n">
        <v>-6.4</v>
      </c>
      <c r="E968" s="178" t="n">
        <v>-2.1</v>
      </c>
      <c r="F968" s="178" t="n">
        <v>45.1</v>
      </c>
      <c r="G968" s="178" t="n">
        <v>157</v>
      </c>
      <c r="H968" s="178" t="n">
        <v>4.6</v>
      </c>
      <c r="I968" s="178" t="n">
        <v>55.1</v>
      </c>
      <c r="J968" s="178" t="n">
        <v>174.7</v>
      </c>
      <c r="K968" s="179" t="inlineStr">
        <is>
          <t>1364 GUMING</t>
        </is>
      </c>
    </row>
    <row r="969">
      <c r="A969" s="17" t="inlineStr">
        <is>
          <t>Intera Mining Investment Limited</t>
        </is>
      </c>
      <c r="B969" s="171" t="n">
        <v>1</v>
      </c>
      <c r="C969" s="177" t="n">
        <v>0</v>
      </c>
      <c r="D969" s="178" t="n">
        <v>-6.5</v>
      </c>
      <c r="E969" s="178" t="n">
        <v>-2.3</v>
      </c>
      <c r="F969" s="178" t="n">
        <v>-0.4</v>
      </c>
      <c r="G969" s="178" t="n"/>
      <c r="H969" s="178" t="n">
        <v>4.6</v>
      </c>
      <c r="I969" s="178" t="n">
        <v>6.6</v>
      </c>
      <c r="J969" s="178" t="n"/>
      <c r="K969" s="179" t="inlineStr">
        <is>
          <t>6228 MERDEKAGOLD-DRS</t>
        </is>
      </c>
    </row>
    <row r="970">
      <c r="A970" s="17" t="inlineStr">
        <is>
          <t>Mercuria Holdings (Singapore) Pte. Ltd</t>
        </is>
      </c>
      <c r="B970" s="171" t="n">
        <v>1</v>
      </c>
      <c r="C970" s="177" t="n">
        <v>0</v>
      </c>
      <c r="D970" s="178" t="n">
        <v>-6.5</v>
      </c>
      <c r="E970" s="178" t="n">
        <v>-2.3</v>
      </c>
      <c r="F970" s="178" t="n">
        <v>-0.4</v>
      </c>
      <c r="G970" s="178" t="n"/>
      <c r="H970" s="178" t="n">
        <v>4.6</v>
      </c>
      <c r="I970" s="178" t="n">
        <v>6.6</v>
      </c>
      <c r="J970" s="178" t="n"/>
      <c r="K970" s="179" t="inlineStr">
        <is>
          <t>6228 MERDEKAGOLD-DRS</t>
        </is>
      </c>
    </row>
    <row r="971">
      <c r="A971" s="17" t="inlineStr">
        <is>
          <t>Trafigura Group Pte. Ltd</t>
        </is>
      </c>
      <c r="B971" s="171" t="n">
        <v>1</v>
      </c>
      <c r="C971" s="177" t="n">
        <v>0</v>
      </c>
      <c r="D971" s="178" t="n">
        <v>-6.5</v>
      </c>
      <c r="E971" s="178" t="n">
        <v>-2.3</v>
      </c>
      <c r="F971" s="178" t="n">
        <v>-0.4</v>
      </c>
      <c r="G971" s="178" t="n"/>
      <c r="H971" s="178" t="n">
        <v>4.6</v>
      </c>
      <c r="I971" s="178" t="n">
        <v>6.6</v>
      </c>
      <c r="J971" s="178" t="n"/>
      <c r="K971" s="179" t="inlineStr">
        <is>
          <t>6228 MERDEKAGOLD-DRS</t>
        </is>
      </c>
    </row>
    <row r="972">
      <c r="A972" s="17" t="inlineStr">
        <is>
          <t>Wanguo Gold Group Limited</t>
        </is>
      </c>
      <c r="B972" s="171" t="n">
        <v>1</v>
      </c>
      <c r="C972" s="177" t="n">
        <v>0</v>
      </c>
      <c r="D972" s="178" t="n">
        <v>-6.5</v>
      </c>
      <c r="E972" s="178" t="n">
        <v>-2.3</v>
      </c>
      <c r="F972" s="178" t="n">
        <v>-0.4</v>
      </c>
      <c r="G972" s="178" t="n"/>
      <c r="H972" s="178" t="n">
        <v>4.6</v>
      </c>
      <c r="I972" s="178" t="n">
        <v>6.6</v>
      </c>
      <c r="J972" s="178" t="n"/>
      <c r="K972" s="179" t="inlineStr">
        <is>
          <t>6228 MERDEKAGOLD-DRS</t>
        </is>
      </c>
    </row>
    <row r="973">
      <c r="A973" s="17" t="inlineStr">
        <is>
          <t>Sanofi Foreign Participations B.V</t>
        </is>
      </c>
      <c r="B973" s="171" t="n">
        <v>1</v>
      </c>
      <c r="C973" s="177" t="n">
        <v>0</v>
      </c>
      <c r="D973" s="178" t="n">
        <v>-7.5</v>
      </c>
      <c r="E973" s="178" t="n">
        <v>-9.800000000000001</v>
      </c>
      <c r="F973" s="178" t="n">
        <v>-33.8</v>
      </c>
      <c r="G973" s="178" t="n">
        <v>-54.4</v>
      </c>
      <c r="H973" s="178" t="n">
        <v>-2.5</v>
      </c>
      <c r="I973" s="178" t="n">
        <v>-28.4</v>
      </c>
      <c r="J973" s="178" t="n">
        <v>-50.7</v>
      </c>
      <c r="K973" s="179" t="inlineStr">
        <is>
          <t>9955 CLOUDR</t>
        </is>
      </c>
    </row>
    <row r="974">
      <c r="A974" s="17" t="inlineStr">
        <is>
          <t>Tasly International Capital Limited</t>
        </is>
      </c>
      <c r="B974" s="171" t="n">
        <v>1</v>
      </c>
      <c r="C974" s="177" t="n">
        <v>0</v>
      </c>
      <c r="D974" s="178" t="n">
        <v>-7.5</v>
      </c>
      <c r="E974" s="178" t="n">
        <v>-9.800000000000001</v>
      </c>
      <c r="F974" s="178" t="n">
        <v>-33.8</v>
      </c>
      <c r="G974" s="178" t="n">
        <v>-54.4</v>
      </c>
      <c r="H974" s="178" t="n">
        <v>-2.5</v>
      </c>
      <c r="I974" s="178" t="n">
        <v>-28.4</v>
      </c>
      <c r="J974" s="178" t="n">
        <v>-50.7</v>
      </c>
      <c r="K974" s="179" t="inlineStr">
        <is>
          <t>9955 CLOUDR</t>
        </is>
      </c>
    </row>
    <row r="975">
      <c r="A975" s="17" t="inlineStr">
        <is>
          <t>DNCA Finance</t>
        </is>
      </c>
      <c r="B975" s="171" t="n">
        <v>1</v>
      </c>
      <c r="C975" s="177" t="n">
        <v>0</v>
      </c>
      <c r="D975" s="178" t="n">
        <v>-7.6</v>
      </c>
      <c r="E975" s="178" t="n">
        <v>-18</v>
      </c>
      <c r="F975" s="178" t="n">
        <v>-20.8</v>
      </c>
      <c r="G975" s="178" t="n">
        <v>-45.3</v>
      </c>
      <c r="H975" s="178" t="n">
        <v>-11.3</v>
      </c>
      <c r="I975" s="178" t="n">
        <v>-14.3</v>
      </c>
      <c r="J975" s="178" t="n">
        <v>-40.8</v>
      </c>
      <c r="K975" s="179" t="inlineStr">
        <is>
          <t>9960 KINDSTAR GLOBAL</t>
        </is>
      </c>
    </row>
    <row r="976">
      <c r="A976" s="17" t="inlineStr">
        <is>
          <t>Hangzhou High-tech Venture Capital Co., Ltd</t>
        </is>
      </c>
      <c r="B976" s="171" t="n">
        <v>1</v>
      </c>
      <c r="C976" s="177" t="n">
        <v>0</v>
      </c>
      <c r="D976" s="178" t="n">
        <v>-7.6</v>
      </c>
      <c r="E976" s="178" t="n">
        <v>-4.8</v>
      </c>
      <c r="F976" s="178" t="n">
        <v>-5.5</v>
      </c>
      <c r="G976" s="178" t="n">
        <v>-7</v>
      </c>
      <c r="H976" s="178" t="n">
        <v>3.1</v>
      </c>
      <c r="I976" s="178" t="n">
        <v>2.3</v>
      </c>
      <c r="J976" s="178" t="n">
        <v>0.6</v>
      </c>
      <c r="K976" s="179" t="inlineStr">
        <is>
          <t>2598 LIANLIAN</t>
        </is>
      </c>
    </row>
    <row r="977">
      <c r="A977" s="17" t="inlineStr">
        <is>
          <t>Zhongding Capital Fund VIII</t>
        </is>
      </c>
      <c r="B977" s="171" t="n">
        <v>1</v>
      </c>
      <c r="C977" s="177" t="n">
        <v>0</v>
      </c>
      <c r="D977" s="178" t="n">
        <v>-8</v>
      </c>
      <c r="E977" s="178" t="n">
        <v>-20.4</v>
      </c>
      <c r="F977" s="178" t="n">
        <v>-20.8</v>
      </c>
      <c r="G977" s="178" t="n">
        <v>-22.9</v>
      </c>
      <c r="H977" s="178" t="n">
        <v>-13.5</v>
      </c>
      <c r="I977" s="178" t="n">
        <v>-13.9</v>
      </c>
      <c r="J977" s="178" t="n">
        <v>-16.1</v>
      </c>
      <c r="K977" s="179" t="inlineStr">
        <is>
          <t>0699 JOYSON ELEC</t>
        </is>
      </c>
    </row>
    <row r="978">
      <c r="A978" s="17" t="inlineStr">
        <is>
          <t>Vandi (CCB International)</t>
        </is>
      </c>
      <c r="B978" s="171" t="n">
        <v>1</v>
      </c>
      <c r="C978" s="177" t="n">
        <v>0</v>
      </c>
      <c r="D978" s="178" t="n">
        <v>-8</v>
      </c>
      <c r="E978" s="178" t="n">
        <v>-20.4</v>
      </c>
      <c r="F978" s="178" t="n">
        <v>-20.8</v>
      </c>
      <c r="G978" s="178" t="n">
        <v>-22.9</v>
      </c>
      <c r="H978" s="178" t="n">
        <v>-13.5</v>
      </c>
      <c r="I978" s="178" t="n">
        <v>-13.9</v>
      </c>
      <c r="J978" s="178" t="n">
        <v>-16.1</v>
      </c>
      <c r="K978" s="179" t="inlineStr">
        <is>
          <t>0699 JOYSON ELEC</t>
        </is>
      </c>
    </row>
    <row r="979">
      <c r="A979" s="17" t="inlineStr">
        <is>
          <t>Fidelidade (Fosun)</t>
        </is>
      </c>
      <c r="B979" s="171" t="n">
        <v>1</v>
      </c>
      <c r="C979" s="177" t="n">
        <v>0</v>
      </c>
      <c r="D979" s="178" t="n">
        <v>-8</v>
      </c>
      <c r="E979" s="178" t="n">
        <v>-20.4</v>
      </c>
      <c r="F979" s="178" t="n">
        <v>-20.8</v>
      </c>
      <c r="G979" s="178" t="n">
        <v>-22.9</v>
      </c>
      <c r="H979" s="178" t="n">
        <v>-13.5</v>
      </c>
      <c r="I979" s="178" t="n">
        <v>-13.9</v>
      </c>
      <c r="J979" s="178" t="n">
        <v>-16.1</v>
      </c>
      <c r="K979" s="179" t="inlineStr">
        <is>
          <t>0699 JOYSON ELEC</t>
        </is>
      </c>
    </row>
    <row r="980">
      <c r="A980" s="17" t="inlineStr">
        <is>
          <t>Yanlord Investment Limited</t>
        </is>
      </c>
      <c r="B980" s="171" t="n">
        <v>1</v>
      </c>
      <c r="C980" s="177" t="n">
        <v>0</v>
      </c>
      <c r="D980" s="178" t="n">
        <v>-8.699999999999999</v>
      </c>
      <c r="E980" s="178" t="n">
        <v>5.8</v>
      </c>
      <c r="F980" s="178" t="n">
        <v>-13.9</v>
      </c>
      <c r="G980" s="178" t="n">
        <v>-13.3</v>
      </c>
      <c r="H980" s="178" t="n">
        <v>15.8</v>
      </c>
      <c r="I980" s="178" t="n">
        <v>-5.7</v>
      </c>
      <c r="J980" s="178" t="n">
        <v>-5.1</v>
      </c>
      <c r="K980" s="179" t="inlineStr">
        <is>
          <t>2153 TAT HONG EQUIP</t>
        </is>
      </c>
    </row>
    <row r="981">
      <c r="A981" s="17" t="inlineStr">
        <is>
          <t>Electronic Channel Limited</t>
        </is>
      </c>
      <c r="B981" s="171" t="n">
        <v>1</v>
      </c>
      <c r="C981" s="177" t="n">
        <v>0</v>
      </c>
      <c r="D981" s="178" t="n">
        <v>-9.199999999999999</v>
      </c>
      <c r="E981" s="178" t="n"/>
      <c r="F981" s="178" t="n"/>
      <c r="G981" s="178" t="n"/>
      <c r="H981" s="178" t="n"/>
      <c r="I981" s="178" t="n"/>
      <c r="J981" s="178" t="n"/>
      <c r="K981" s="179" t="inlineStr">
        <is>
          <t>6727 TRANSWARP</t>
        </is>
      </c>
    </row>
    <row r="982">
      <c r="A982" s="17" t="inlineStr">
        <is>
          <t>Luoyang Science Technology Innovate Group, Ltd</t>
        </is>
      </c>
      <c r="B982" s="171" t="n">
        <v>1</v>
      </c>
      <c r="C982" s="177" t="n">
        <v>0</v>
      </c>
      <c r="D982" s="178" t="n">
        <v>-9.199999999999999</v>
      </c>
      <c r="E982" s="178" t="n"/>
      <c r="F982" s="178" t="n"/>
      <c r="G982" s="178" t="n"/>
      <c r="H982" s="178" t="n"/>
      <c r="I982" s="178" t="n"/>
      <c r="J982" s="178" t="n"/>
      <c r="K982" s="179" t="inlineStr">
        <is>
          <t>6727 TRANSWARP</t>
        </is>
      </c>
    </row>
    <row r="983">
      <c r="A983" s="17" t="inlineStr">
        <is>
          <t>Hello Inc</t>
        </is>
      </c>
      <c r="B983" s="171" t="n">
        <v>1</v>
      </c>
      <c r="C983" s="177" t="n">
        <v>0</v>
      </c>
      <c r="D983" s="178" t="n">
        <v>-9.300000000000001</v>
      </c>
      <c r="E983" s="178" t="n">
        <v>-6.9</v>
      </c>
      <c r="F983" s="178" t="n">
        <v>-19.9</v>
      </c>
      <c r="G983" s="178" t="n">
        <v>-52</v>
      </c>
      <c r="H983" s="178" t="n">
        <v>2.6</v>
      </c>
      <c r="I983" s="178" t="n">
        <v>-11.7</v>
      </c>
      <c r="J983" s="178" t="n">
        <v>-47.1</v>
      </c>
      <c r="K983" s="179" t="inlineStr">
        <is>
          <t>9699 SF INTRA-CITY</t>
        </is>
      </c>
    </row>
    <row r="984">
      <c r="A984" s="17" t="inlineStr">
        <is>
          <t>Taobao China Holding Limited</t>
        </is>
      </c>
      <c r="B984" s="171" t="n">
        <v>1</v>
      </c>
      <c r="C984" s="177" t="n">
        <v>0</v>
      </c>
      <c r="D984" s="178" t="n">
        <v>-9.300000000000001</v>
      </c>
      <c r="E984" s="178" t="n">
        <v>-6.9</v>
      </c>
      <c r="F984" s="178" t="n">
        <v>-19.9</v>
      </c>
      <c r="G984" s="178" t="n">
        <v>-52</v>
      </c>
      <c r="H984" s="178" t="n">
        <v>2.6</v>
      </c>
      <c r="I984" s="178" t="n">
        <v>-11.7</v>
      </c>
      <c r="J984" s="178" t="n">
        <v>-47.1</v>
      </c>
      <c r="K984" s="179" t="inlineStr">
        <is>
          <t>9699 SF INTRA-CITY</t>
        </is>
      </c>
    </row>
    <row r="985">
      <c r="A985" s="17" t="inlineStr">
        <is>
          <t>Qindao Gantong</t>
        </is>
      </c>
      <c r="B985" s="171" t="n">
        <v>1</v>
      </c>
      <c r="C985" s="177" t="n">
        <v>0</v>
      </c>
      <c r="D985" s="178" t="n">
        <v>-11.7</v>
      </c>
      <c r="E985" s="178" t="n">
        <v>-10.2</v>
      </c>
      <c r="F985" s="178" t="n">
        <v>-27.9</v>
      </c>
      <c r="G985" s="178" t="n">
        <v>-24.9</v>
      </c>
      <c r="H985" s="178" t="n">
        <v>1.7</v>
      </c>
      <c r="I985" s="178" t="n">
        <v>-18.3</v>
      </c>
      <c r="J985" s="178" t="n">
        <v>-14.9</v>
      </c>
      <c r="K985" s="179" t="inlineStr">
        <is>
          <t>0638 FIBOCOM</t>
        </is>
      </c>
    </row>
    <row r="986">
      <c r="A986" s="17" t="inlineStr">
        <is>
          <t>Genimous Investment</t>
        </is>
      </c>
      <c r="B986" s="171" t="n">
        <v>1</v>
      </c>
      <c r="C986" s="177" t="n">
        <v>0</v>
      </c>
      <c r="D986" s="178" t="n">
        <v>-11.7</v>
      </c>
      <c r="E986" s="178" t="n">
        <v>-10.2</v>
      </c>
      <c r="F986" s="178" t="n">
        <v>-27.9</v>
      </c>
      <c r="G986" s="178" t="n">
        <v>-24.9</v>
      </c>
      <c r="H986" s="178" t="n">
        <v>1.7</v>
      </c>
      <c r="I986" s="178" t="n">
        <v>-18.3</v>
      </c>
      <c r="J986" s="178" t="n">
        <v>-14.9</v>
      </c>
      <c r="K986" s="179" t="inlineStr">
        <is>
          <t>0638 FIBOCOM</t>
        </is>
      </c>
    </row>
    <row r="987">
      <c r="A987" s="17" t="inlineStr">
        <is>
          <t>Mr. Zhang Xiaolei</t>
        </is>
      </c>
      <c r="B987" s="171" t="n">
        <v>1</v>
      </c>
      <c r="C987" s="177" t="n">
        <v>0</v>
      </c>
      <c r="D987" s="178" t="n">
        <v>-11.7</v>
      </c>
      <c r="E987" s="178" t="n">
        <v>-10.2</v>
      </c>
      <c r="F987" s="178" t="n">
        <v>-27.9</v>
      </c>
      <c r="G987" s="178" t="n">
        <v>-24.9</v>
      </c>
      <c r="H987" s="178" t="n">
        <v>1.7</v>
      </c>
      <c r="I987" s="178" t="n">
        <v>-18.3</v>
      </c>
      <c r="J987" s="178" t="n">
        <v>-14.9</v>
      </c>
      <c r="K987" s="179" t="inlineStr">
        <is>
          <t>0638 FIBOCOM</t>
        </is>
      </c>
    </row>
    <row r="988">
      <c r="A988" s="17" t="inlineStr">
        <is>
          <t>GTINV</t>
        </is>
      </c>
      <c r="B988" s="171" t="n">
        <v>1</v>
      </c>
      <c r="C988" s="177" t="n">
        <v>0</v>
      </c>
      <c r="D988" s="178" t="n">
        <v>-11.7</v>
      </c>
      <c r="E988" s="178" t="n">
        <v>-10.2</v>
      </c>
      <c r="F988" s="178" t="n">
        <v>-27.9</v>
      </c>
      <c r="G988" s="178" t="n">
        <v>-24.9</v>
      </c>
      <c r="H988" s="178" t="n">
        <v>1.7</v>
      </c>
      <c r="I988" s="178" t="n">
        <v>-18.3</v>
      </c>
      <c r="J988" s="178" t="n">
        <v>-14.9</v>
      </c>
      <c r="K988" s="179" t="inlineStr">
        <is>
          <t>0638 FIBOCOM</t>
        </is>
      </c>
    </row>
    <row r="989">
      <c r="A989" s="17" t="inlineStr">
        <is>
          <t>Shunjie Investment</t>
        </is>
      </c>
      <c r="B989" s="171" t="n">
        <v>1</v>
      </c>
      <c r="C989" s="177" t="n">
        <v>0</v>
      </c>
      <c r="D989" s="178" t="n">
        <v>-11.9</v>
      </c>
      <c r="E989" s="178" t="n">
        <v>-18.5</v>
      </c>
      <c r="F989" s="178" t="n">
        <v>-16.1</v>
      </c>
      <c r="G989" s="178" t="n">
        <v>-31.8</v>
      </c>
      <c r="H989" s="178" t="n">
        <v>-7.5</v>
      </c>
      <c r="I989" s="178" t="n">
        <v>-4.8</v>
      </c>
      <c r="J989" s="178" t="n">
        <v>-22.6</v>
      </c>
      <c r="K989" s="179" t="inlineStr">
        <is>
          <t>2619 XJ ELECTRICS</t>
        </is>
      </c>
    </row>
    <row r="990">
      <c r="A990" s="17" t="inlineStr">
        <is>
          <t>Xinghuang Holdings</t>
        </is>
      </c>
      <c r="B990" s="171" t="n">
        <v>1</v>
      </c>
      <c r="C990" s="177" t="n">
        <v>0</v>
      </c>
      <c r="D990" s="178" t="n">
        <v>-11.9</v>
      </c>
      <c r="E990" s="178" t="n">
        <v>-18.5</v>
      </c>
      <c r="F990" s="178" t="n">
        <v>-16.1</v>
      </c>
      <c r="G990" s="178" t="n">
        <v>-31.8</v>
      </c>
      <c r="H990" s="178" t="n">
        <v>-7.5</v>
      </c>
      <c r="I990" s="178" t="n">
        <v>-4.8</v>
      </c>
      <c r="J990" s="178" t="n">
        <v>-22.6</v>
      </c>
      <c r="K990" s="179" t="inlineStr">
        <is>
          <t>2619 XJ ELECTRICS</t>
        </is>
      </c>
    </row>
    <row r="991">
      <c r="A991" s="17" t="inlineStr">
        <is>
          <t>Yunxing Technology</t>
        </is>
      </c>
      <c r="B991" s="171" t="n">
        <v>1</v>
      </c>
      <c r="C991" s="177" t="n">
        <v>0</v>
      </c>
      <c r="D991" s="178" t="n">
        <v>-11.9</v>
      </c>
      <c r="E991" s="178" t="n">
        <v>-18.5</v>
      </c>
      <c r="F991" s="178" t="n">
        <v>-16.1</v>
      </c>
      <c r="G991" s="178" t="n">
        <v>-31.8</v>
      </c>
      <c r="H991" s="178" t="n">
        <v>-7.5</v>
      </c>
      <c r="I991" s="178" t="n">
        <v>-4.8</v>
      </c>
      <c r="J991" s="178" t="n">
        <v>-22.6</v>
      </c>
      <c r="K991" s="179" t="inlineStr">
        <is>
          <t>2619 XJ ELECTRICS</t>
        </is>
      </c>
    </row>
    <row r="992">
      <c r="A992" s="17" t="inlineStr">
        <is>
          <t>Lucky Advent Limited</t>
        </is>
      </c>
      <c r="B992" s="171" t="n">
        <v>1</v>
      </c>
      <c r="C992" s="177" t="n">
        <v>0</v>
      </c>
      <c r="D992" s="178" t="n">
        <v>-12</v>
      </c>
      <c r="E992" s="178" t="n">
        <v>-9</v>
      </c>
      <c r="F992" s="178" t="n">
        <v>-23.7</v>
      </c>
      <c r="G992" s="178" t="n">
        <v>-38.3</v>
      </c>
      <c r="H992" s="178" t="n">
        <v>3.4</v>
      </c>
      <c r="I992" s="178" t="n">
        <v>-13.3</v>
      </c>
      <c r="J992" s="178" t="n">
        <v>-29.9</v>
      </c>
      <c r="K992" s="179" t="inlineStr">
        <is>
          <t>9982 CENTRALCHINA MT</t>
        </is>
      </c>
    </row>
    <row r="993">
      <c r="A993" s="17" t="inlineStr">
        <is>
          <t>Action Chain</t>
        </is>
      </c>
      <c r="B993" s="171" t="n">
        <v>1</v>
      </c>
      <c r="C993" s="177" t="n">
        <v>0</v>
      </c>
      <c r="D993" s="178" t="n">
        <v>-12.5</v>
      </c>
      <c r="E993" s="178" t="n">
        <v>-19.6</v>
      </c>
      <c r="F993" s="178" t="n">
        <v>-11.3</v>
      </c>
      <c r="G993" s="178" t="n">
        <v>3.2</v>
      </c>
      <c r="H993" s="178" t="n">
        <v>-8.1</v>
      </c>
      <c r="I993" s="178" t="n">
        <v>1.4</v>
      </c>
      <c r="J993" s="178" t="n">
        <v>18</v>
      </c>
      <c r="K993" s="179" t="inlineStr">
        <is>
          <t>6831 GREEN TEA GROUP</t>
        </is>
      </c>
    </row>
    <row r="994">
      <c r="A994" s="17" t="inlineStr">
        <is>
          <t>Chia Tai</t>
        </is>
      </c>
      <c r="B994" s="171" t="n">
        <v>1</v>
      </c>
      <c r="C994" s="177" t="n">
        <v>0</v>
      </c>
      <c r="D994" s="178" t="n">
        <v>-12.5</v>
      </c>
      <c r="E994" s="178" t="n">
        <v>-19.6</v>
      </c>
      <c r="F994" s="178" t="n">
        <v>-11.3</v>
      </c>
      <c r="G994" s="178" t="n">
        <v>3.2</v>
      </c>
      <c r="H994" s="178" t="n">
        <v>-8.1</v>
      </c>
      <c r="I994" s="178" t="n">
        <v>1.4</v>
      </c>
      <c r="J994" s="178" t="n">
        <v>18</v>
      </c>
      <c r="K994" s="179" t="inlineStr">
        <is>
          <t>6831 GREEN TEA GROUP</t>
        </is>
      </c>
    </row>
    <row r="995">
      <c r="A995" s="17" t="inlineStr">
        <is>
          <t>Grand Rejuvenation Premium Selection Fund SPC</t>
        </is>
      </c>
      <c r="B995" s="171" t="n">
        <v>1</v>
      </c>
      <c r="C995" s="177" t="n">
        <v>0</v>
      </c>
      <c r="D995" s="178" t="n">
        <v>-13.5</v>
      </c>
      <c r="E995" s="178" t="n">
        <v>-19.1</v>
      </c>
      <c r="F995" s="178" t="n">
        <v>-42.9</v>
      </c>
      <c r="G995" s="178" t="n">
        <v>-39.2</v>
      </c>
      <c r="H995" s="178" t="n">
        <v>-6.4</v>
      </c>
      <c r="I995" s="178" t="n">
        <v>-34</v>
      </c>
      <c r="J995" s="178" t="n">
        <v>-29.7</v>
      </c>
      <c r="K995" s="179" t="inlineStr">
        <is>
          <t>2150 NAYUKI</t>
        </is>
      </c>
    </row>
    <row r="996">
      <c r="A996" s="17" t="inlineStr">
        <is>
          <t>Xiangjiang Zhicheng (Hunan state fund)</t>
        </is>
      </c>
      <c r="B996" s="171" t="n">
        <v>1</v>
      </c>
      <c r="C996" s="177" t="n">
        <v>0</v>
      </c>
      <c r="D996" s="178" t="n">
        <v>-13.7</v>
      </c>
      <c r="E996" s="178" t="n">
        <v>-15.2</v>
      </c>
      <c r="F996" s="178" t="n">
        <v>-7.8</v>
      </c>
      <c r="G996" s="178" t="n">
        <v>-11.8</v>
      </c>
      <c r="H996" s="178" t="n">
        <v>-1.8</v>
      </c>
      <c r="I996" s="178" t="n">
        <v>6.8</v>
      </c>
      <c r="J996" s="178" t="n">
        <v>2.2</v>
      </c>
      <c r="K996" s="179" t="inlineStr">
        <is>
          <t>3881 CIDI</t>
        </is>
      </c>
    </row>
    <row r="997">
      <c r="A997" s="17" t="inlineStr">
        <is>
          <t>Zhijia No. 1 (Nanning Ruiyue LP)</t>
        </is>
      </c>
      <c r="B997" s="171" t="n">
        <v>1</v>
      </c>
      <c r="C997" s="177" t="n">
        <v>0</v>
      </c>
      <c r="D997" s="178" t="n">
        <v>-13.7</v>
      </c>
      <c r="E997" s="178" t="n">
        <v>-15.2</v>
      </c>
      <c r="F997" s="178" t="n">
        <v>-7.8</v>
      </c>
      <c r="G997" s="178" t="n">
        <v>-11.8</v>
      </c>
      <c r="H997" s="178" t="n">
        <v>-1.8</v>
      </c>
      <c r="I997" s="178" t="n">
        <v>6.8</v>
      </c>
      <c r="J997" s="178" t="n">
        <v>2.2</v>
      </c>
      <c r="K997" s="179" t="inlineStr">
        <is>
          <t>3881 CIDI</t>
        </is>
      </c>
    </row>
    <row r="998">
      <c r="A998" s="17" t="inlineStr">
        <is>
          <t>EVE Asia</t>
        </is>
      </c>
      <c r="B998" s="171" t="n">
        <v>1</v>
      </c>
      <c r="C998" s="177" t="n">
        <v>0</v>
      </c>
      <c r="D998" s="178" t="n">
        <v>-14.2</v>
      </c>
      <c r="E998" s="178" t="n">
        <v>-16.2</v>
      </c>
      <c r="F998" s="178" t="n">
        <v>-3.5</v>
      </c>
      <c r="G998" s="178" t="n">
        <v>25.2</v>
      </c>
      <c r="H998" s="178" t="n">
        <v>-2.4</v>
      </c>
      <c r="I998" s="178" t="n">
        <v>12.4</v>
      </c>
      <c r="J998" s="178" t="n">
        <v>45.8</v>
      </c>
      <c r="K998" s="179" t="inlineStr">
        <is>
          <t>2643 CAOCAO INC</t>
        </is>
      </c>
    </row>
    <row r="999">
      <c r="A999" s="17" t="inlineStr">
        <is>
          <t>RoboSense Hong Kong</t>
        </is>
      </c>
      <c r="B999" s="171" t="n">
        <v>1</v>
      </c>
      <c r="C999" s="177" t="n">
        <v>0</v>
      </c>
      <c r="D999" s="178" t="n">
        <v>-14.2</v>
      </c>
      <c r="E999" s="178" t="n">
        <v>-16.2</v>
      </c>
      <c r="F999" s="178" t="n">
        <v>-3.5</v>
      </c>
      <c r="G999" s="178" t="n">
        <v>25.2</v>
      </c>
      <c r="H999" s="178" t="n">
        <v>-2.4</v>
      </c>
      <c r="I999" s="178" t="n">
        <v>12.4</v>
      </c>
      <c r="J999" s="178" t="n">
        <v>45.8</v>
      </c>
      <c r="K999" s="179" t="inlineStr">
        <is>
          <t>2643 CAOCAO INC</t>
        </is>
      </c>
    </row>
    <row r="1000">
      <c r="A1000" s="17" t="inlineStr">
        <is>
          <t>Eurus Holdings SPC</t>
        </is>
      </c>
      <c r="B1000" s="171" t="n">
        <v>1</v>
      </c>
      <c r="C1000" s="177" t="n">
        <v>0</v>
      </c>
      <c r="D1000" s="178" t="n">
        <v>-14.6</v>
      </c>
      <c r="E1000" s="178" t="n">
        <v>21.9</v>
      </c>
      <c r="F1000" s="178" t="n">
        <v>-42.2</v>
      </c>
      <c r="G1000" s="178" t="n"/>
      <c r="H1000" s="178" t="n">
        <v>42.7</v>
      </c>
      <c r="I1000" s="178" t="n">
        <v>-32.3</v>
      </c>
      <c r="J1000" s="178" t="n"/>
      <c r="K1000" s="179" t="inlineStr">
        <is>
          <t>3952 LAIFUAL</t>
        </is>
      </c>
    </row>
    <row r="1001">
      <c r="A1001" s="17" t="inlineStr">
        <is>
          <t>CaaS Capital Master Fund LP</t>
        </is>
      </c>
      <c r="B1001" s="171" t="n">
        <v>1</v>
      </c>
      <c r="C1001" s="177" t="n">
        <v>0</v>
      </c>
      <c r="D1001" s="178" t="n">
        <v>-14.8</v>
      </c>
      <c r="E1001" s="178" t="n">
        <v>-32.1</v>
      </c>
      <c r="F1001" s="178" t="n">
        <v>-20.9</v>
      </c>
      <c r="G1001" s="178" t="n">
        <v>-52.4</v>
      </c>
      <c r="H1001" s="178" t="n">
        <v>-20.4</v>
      </c>
      <c r="I1001" s="178" t="n">
        <v>-7.3</v>
      </c>
      <c r="J1001" s="178" t="n">
        <v>-44.1</v>
      </c>
      <c r="K1001" s="179" t="inlineStr">
        <is>
          <t>6622 ZHAOKE OPHTH-B</t>
        </is>
      </c>
    </row>
    <row r="1002">
      <c r="A1002" s="17" t="inlineStr">
        <is>
          <t>Jennison Associates LLC</t>
        </is>
      </c>
      <c r="B1002" s="171" t="n">
        <v>1</v>
      </c>
      <c r="C1002" s="177" t="n">
        <v>0</v>
      </c>
      <c r="D1002" s="178" t="n">
        <v>-14.8</v>
      </c>
      <c r="E1002" s="178" t="n">
        <v>-32.1</v>
      </c>
      <c r="F1002" s="178" t="n">
        <v>-20.9</v>
      </c>
      <c r="G1002" s="178" t="n">
        <v>-52.4</v>
      </c>
      <c r="H1002" s="178" t="n">
        <v>-20.4</v>
      </c>
      <c r="I1002" s="178" t="n">
        <v>-7.3</v>
      </c>
      <c r="J1002" s="178" t="n">
        <v>-44.1</v>
      </c>
      <c r="K1002" s="179" t="inlineStr">
        <is>
          <t>6622 ZHAOKE OPHTH-B</t>
        </is>
      </c>
    </row>
    <row r="1003">
      <c r="A1003" s="17" t="inlineStr">
        <is>
          <t>Mass Ave Global, Inc</t>
        </is>
      </c>
      <c r="B1003" s="171" t="n">
        <v>1</v>
      </c>
      <c r="C1003" s="177" t="n">
        <v>0</v>
      </c>
      <c r="D1003" s="178" t="n">
        <v>-14.8</v>
      </c>
      <c r="E1003" s="178" t="n">
        <v>-32.1</v>
      </c>
      <c r="F1003" s="178" t="n">
        <v>-20.9</v>
      </c>
      <c r="G1003" s="178" t="n">
        <v>-52.4</v>
      </c>
      <c r="H1003" s="178" t="n">
        <v>-20.4</v>
      </c>
      <c r="I1003" s="178" t="n">
        <v>-7.3</v>
      </c>
      <c r="J1003" s="178" t="n">
        <v>-44.1</v>
      </c>
      <c r="K1003" s="179" t="inlineStr">
        <is>
          <t>6622 ZHAOKE OPHTH-B</t>
        </is>
      </c>
    </row>
    <row r="1004">
      <c r="A1004" s="17" t="inlineStr">
        <is>
          <t>VMS Zhaoke Investment Fund SP</t>
        </is>
      </c>
      <c r="B1004" s="171" t="n">
        <v>1</v>
      </c>
      <c r="C1004" s="177" t="n">
        <v>0</v>
      </c>
      <c r="D1004" s="178" t="n">
        <v>-14.8</v>
      </c>
      <c r="E1004" s="178" t="n">
        <v>-32.1</v>
      </c>
      <c r="F1004" s="178" t="n">
        <v>-20.9</v>
      </c>
      <c r="G1004" s="178" t="n">
        <v>-52.4</v>
      </c>
      <c r="H1004" s="178" t="n">
        <v>-20.4</v>
      </c>
      <c r="I1004" s="178" t="n">
        <v>-7.3</v>
      </c>
      <c r="J1004" s="178" t="n">
        <v>-44.1</v>
      </c>
      <c r="K1004" s="179" t="inlineStr">
        <is>
          <t>6622 ZHAOKE OPHTH-B</t>
        </is>
      </c>
    </row>
    <row r="1005">
      <c r="A1005" s="17" t="inlineStr">
        <is>
          <t>Accel Group Holdings Limited</t>
        </is>
      </c>
      <c r="B1005" s="171" t="n">
        <v>1</v>
      </c>
      <c r="C1005" s="177" t="n">
        <v>0</v>
      </c>
      <c r="D1005" s="178" t="n">
        <v>-15.1</v>
      </c>
      <c r="E1005" s="178" t="n">
        <v>-39.7</v>
      </c>
      <c r="F1005" s="178" t="n">
        <v>-37</v>
      </c>
      <c r="G1005" s="178" t="n">
        <v>-44.5</v>
      </c>
      <c r="H1005" s="178" t="n">
        <v>-29</v>
      </c>
      <c r="I1005" s="178" t="n">
        <v>-25.8</v>
      </c>
      <c r="J1005" s="178" t="n">
        <v>-34.7</v>
      </c>
      <c r="K1005" s="179" t="inlineStr">
        <is>
          <t>9639 WING LEE DEV</t>
        </is>
      </c>
    </row>
    <row r="1006">
      <c r="A1006" s="17" t="inlineStr">
        <is>
          <t>Cederberg Capital Limited</t>
        </is>
      </c>
      <c r="B1006" s="171" t="n">
        <v>1</v>
      </c>
      <c r="C1006" s="177" t="n">
        <v>0</v>
      </c>
      <c r="D1006" s="178" t="n">
        <v>-16</v>
      </c>
      <c r="E1006" s="178" t="n">
        <v>-23.1</v>
      </c>
      <c r="F1006" s="178" t="n">
        <v>-35.1</v>
      </c>
      <c r="G1006" s="178" t="n">
        <v>-40.6</v>
      </c>
      <c r="H1006" s="178" t="n">
        <v>-8.4</v>
      </c>
      <c r="I1006" s="178" t="n">
        <v>-22.6</v>
      </c>
      <c r="J1006" s="178" t="n">
        <v>-29.2</v>
      </c>
      <c r="K1006" s="179" t="inlineStr">
        <is>
          <t>6608 BAIRONG-W</t>
        </is>
      </c>
    </row>
    <row r="1007">
      <c r="A1007" s="17" t="inlineStr">
        <is>
          <t>Franchise Fund LP</t>
        </is>
      </c>
      <c r="B1007" s="171" t="n">
        <v>1</v>
      </c>
      <c r="C1007" s="177" t="n">
        <v>0</v>
      </c>
      <c r="D1007" s="178" t="n">
        <v>-16</v>
      </c>
      <c r="E1007" s="178" t="n">
        <v>-23.1</v>
      </c>
      <c r="F1007" s="178" t="n">
        <v>-35.1</v>
      </c>
      <c r="G1007" s="178" t="n">
        <v>-40.6</v>
      </c>
      <c r="H1007" s="178" t="n">
        <v>-8.4</v>
      </c>
      <c r="I1007" s="178" t="n">
        <v>-22.6</v>
      </c>
      <c r="J1007" s="178" t="n">
        <v>-29.2</v>
      </c>
      <c r="K1007" s="179" t="inlineStr">
        <is>
          <t>6608 BAIRONG-W</t>
        </is>
      </c>
    </row>
    <row r="1008">
      <c r="A1008" s="17" t="inlineStr">
        <is>
          <t>Deep Source Holdings Limited</t>
        </is>
      </c>
      <c r="B1008" s="171" t="n">
        <v>1</v>
      </c>
      <c r="C1008" s="177" t="n">
        <v>0</v>
      </c>
      <c r="D1008" s="178" t="n">
        <v>-16</v>
      </c>
      <c r="E1008" s="178" t="n">
        <v>-16.4</v>
      </c>
      <c r="F1008" s="178" t="n">
        <v>-16.7</v>
      </c>
      <c r="G1008" s="178" t="n">
        <v>8.300000000000001</v>
      </c>
      <c r="H1008" s="178" t="n">
        <v>-0.5</v>
      </c>
      <c r="I1008" s="178" t="n">
        <v>-0.8</v>
      </c>
      <c r="J1008" s="178" t="n">
        <v>28.9</v>
      </c>
      <c r="K1008" s="179" t="inlineStr">
        <is>
          <t>2715 ESTUN</t>
        </is>
      </c>
    </row>
    <row r="1009">
      <c r="A1009" s="17" t="inlineStr">
        <is>
          <t>Haitian Huayuan (Singapore) Pte. Ltd</t>
        </is>
      </c>
      <c r="B1009" s="171" t="n">
        <v>1</v>
      </c>
      <c r="C1009" s="177" t="n">
        <v>0</v>
      </c>
      <c r="D1009" s="178" t="n">
        <v>-16</v>
      </c>
      <c r="E1009" s="178" t="n">
        <v>-16.4</v>
      </c>
      <c r="F1009" s="178" t="n">
        <v>-16.7</v>
      </c>
      <c r="G1009" s="178" t="n">
        <v>8.300000000000001</v>
      </c>
      <c r="H1009" s="178" t="n">
        <v>-0.5</v>
      </c>
      <c r="I1009" s="178" t="n">
        <v>-0.8</v>
      </c>
      <c r="J1009" s="178" t="n">
        <v>28.9</v>
      </c>
      <c r="K1009" s="179" t="inlineStr">
        <is>
          <t>2715 ESTUN</t>
        </is>
      </c>
    </row>
    <row r="1010">
      <c r="A1010" s="17" t="inlineStr">
        <is>
          <t>Hengtong Optic-electric International Co., Limited</t>
        </is>
      </c>
      <c r="B1010" s="171" t="n">
        <v>1</v>
      </c>
      <c r="C1010" s="177" t="n">
        <v>0</v>
      </c>
      <c r="D1010" s="178" t="n">
        <v>-16</v>
      </c>
      <c r="E1010" s="178" t="n">
        <v>-16.4</v>
      </c>
      <c r="F1010" s="178" t="n">
        <v>-16.7</v>
      </c>
      <c r="G1010" s="178" t="n">
        <v>8.300000000000001</v>
      </c>
      <c r="H1010" s="178" t="n">
        <v>-0.5</v>
      </c>
      <c r="I1010" s="178" t="n">
        <v>-0.8</v>
      </c>
      <c r="J1010" s="178" t="n">
        <v>28.9</v>
      </c>
      <c r="K1010" s="179" t="inlineStr">
        <is>
          <t>2715 ESTUN</t>
        </is>
      </c>
    </row>
    <row r="1011">
      <c r="A1011" s="17" t="inlineStr">
        <is>
          <t>New Fortune Holdings Group Limited</t>
        </is>
      </c>
      <c r="B1011" s="171" t="n">
        <v>1</v>
      </c>
      <c r="C1011" s="177" t="n">
        <v>0</v>
      </c>
      <c r="D1011" s="178" t="n">
        <v>-16</v>
      </c>
      <c r="E1011" s="178" t="n">
        <v>-16.4</v>
      </c>
      <c r="F1011" s="178" t="n">
        <v>-16.7</v>
      </c>
      <c r="G1011" s="178" t="n">
        <v>8.300000000000001</v>
      </c>
      <c r="H1011" s="178" t="n">
        <v>-0.5</v>
      </c>
      <c r="I1011" s="178" t="n">
        <v>-0.8</v>
      </c>
      <c r="J1011" s="178" t="n">
        <v>28.9</v>
      </c>
      <c r="K1011" s="179" t="inlineStr">
        <is>
          <t>2715 ESTUN</t>
        </is>
      </c>
    </row>
    <row r="1012">
      <c r="A1012" s="17" t="inlineStr">
        <is>
          <t>CI Global Asset Management</t>
        </is>
      </c>
      <c r="B1012" s="171" t="n">
        <v>1</v>
      </c>
      <c r="C1012" s="177" t="n">
        <v>0</v>
      </c>
      <c r="D1012" s="178" t="n">
        <v>-16.5</v>
      </c>
      <c r="E1012" s="178" t="n">
        <v>-7.6</v>
      </c>
      <c r="F1012" s="178" t="n">
        <v>-9.6</v>
      </c>
      <c r="G1012" s="178" t="n">
        <v>-12.4</v>
      </c>
      <c r="H1012" s="178" t="n">
        <v>10.6</v>
      </c>
      <c r="I1012" s="178" t="n">
        <v>8.199999999999999</v>
      </c>
      <c r="J1012" s="178" t="n">
        <v>4.8</v>
      </c>
      <c r="K1012" s="179" t="inlineStr">
        <is>
          <t>2191 SF REIT</t>
        </is>
      </c>
    </row>
    <row r="1013">
      <c r="A1013" s="17" t="inlineStr">
        <is>
          <t>SINO-BLR Industrial Investment Fund, L.P</t>
        </is>
      </c>
      <c r="B1013" s="171" t="n">
        <v>1</v>
      </c>
      <c r="C1013" s="177" t="n">
        <v>0</v>
      </c>
      <c r="D1013" s="178" t="n">
        <v>-16.6</v>
      </c>
      <c r="E1013" s="178" t="n">
        <v>-19.2</v>
      </c>
      <c r="F1013" s="178" t="n">
        <v>-11.5</v>
      </c>
      <c r="G1013" s="178" t="n">
        <v>-35.1</v>
      </c>
      <c r="H1013" s="178" t="n">
        <v>-3.2</v>
      </c>
      <c r="I1013" s="178" t="n">
        <v>6</v>
      </c>
      <c r="J1013" s="178" t="n">
        <v>-22.2</v>
      </c>
      <c r="K1013" s="179" t="inlineStr">
        <is>
          <t>6680 JLMAG</t>
        </is>
      </c>
    </row>
    <row r="1014">
      <c r="A1014" s="17" t="inlineStr">
        <is>
          <t>HiTai</t>
        </is>
      </c>
      <c r="B1014" s="171" t="n">
        <v>1</v>
      </c>
      <c r="C1014" s="177" t="n">
        <v>0</v>
      </c>
      <c r="D1014" s="178" t="n">
        <v>-18.2</v>
      </c>
      <c r="E1014" s="178" t="n">
        <v>-33</v>
      </c>
      <c r="F1014" s="178" t="n">
        <v>-39.5</v>
      </c>
      <c r="G1014" s="178" t="n">
        <v>-41.8</v>
      </c>
      <c r="H1014" s="178" t="n">
        <v>-18.1</v>
      </c>
      <c r="I1014" s="178" t="n">
        <v>-26</v>
      </c>
      <c r="J1014" s="178" t="n">
        <v>-28.9</v>
      </c>
      <c r="K1014" s="179" t="inlineStr">
        <is>
          <t>2621 SHOUHUI GROUP</t>
        </is>
      </c>
    </row>
    <row r="1015">
      <c r="A1015" s="17" t="inlineStr">
        <is>
          <t>Lancang Green Resource Investment Co., Ltd</t>
        </is>
      </c>
      <c r="B1015" s="171" t="n">
        <v>1</v>
      </c>
      <c r="C1015" s="177" t="n">
        <v>0</v>
      </c>
      <c r="D1015" s="178" t="n">
        <v>-18.7</v>
      </c>
      <c r="E1015" s="178" t="n">
        <v>0</v>
      </c>
      <c r="F1015" s="178" t="n">
        <v>-14.8</v>
      </c>
      <c r="G1015" s="178" t="n">
        <v>2.8</v>
      </c>
      <c r="H1015" s="178" t="n">
        <v>23</v>
      </c>
      <c r="I1015" s="178" t="n">
        <v>4.8</v>
      </c>
      <c r="J1015" s="178" t="n">
        <v>26.4</v>
      </c>
      <c r="K1015" s="179" t="inlineStr">
        <is>
          <t>6911 LANCANG TEA</t>
        </is>
      </c>
    </row>
    <row r="1016">
      <c r="A1016" s="17" t="inlineStr">
        <is>
          <t>ROSY DAY INVESTMENTS LIMITED</t>
        </is>
      </c>
      <c r="B1016" s="171" t="n">
        <v>1</v>
      </c>
      <c r="C1016" s="177" t="n">
        <v>0</v>
      </c>
      <c r="D1016" s="178" t="n">
        <v>-18.7</v>
      </c>
      <c r="E1016" s="178" t="n">
        <v>0</v>
      </c>
      <c r="F1016" s="178" t="n">
        <v>-14.8</v>
      </c>
      <c r="G1016" s="178" t="n">
        <v>2.8</v>
      </c>
      <c r="H1016" s="178" t="n">
        <v>23</v>
      </c>
      <c r="I1016" s="178" t="n">
        <v>4.8</v>
      </c>
      <c r="J1016" s="178" t="n">
        <v>26.4</v>
      </c>
      <c r="K1016" s="179" t="inlineStr">
        <is>
          <t>6911 LANCANG TEA</t>
        </is>
      </c>
    </row>
    <row r="1017">
      <c r="A1017" s="17" t="inlineStr">
        <is>
          <t>Wang Chunyu</t>
        </is>
      </c>
      <c r="B1017" s="171" t="n">
        <v>1</v>
      </c>
      <c r="C1017" s="177" t="n">
        <v>0</v>
      </c>
      <c r="D1017" s="178" t="n">
        <v>-18.7</v>
      </c>
      <c r="E1017" s="178" t="n">
        <v>0</v>
      </c>
      <c r="F1017" s="178" t="n">
        <v>-14.8</v>
      </c>
      <c r="G1017" s="178" t="n">
        <v>2.8</v>
      </c>
      <c r="H1017" s="178" t="n">
        <v>23</v>
      </c>
      <c r="I1017" s="178" t="n">
        <v>4.8</v>
      </c>
      <c r="J1017" s="178" t="n">
        <v>26.4</v>
      </c>
      <c r="K1017" s="179" t="inlineStr">
        <is>
          <t>6911 LANCANG TEA</t>
        </is>
      </c>
    </row>
    <row r="1018">
      <c r="A1018" s="17" t="inlineStr">
        <is>
          <t>Beijing Yian Capital Management Co. Ltd</t>
        </is>
      </c>
      <c r="B1018" s="171" t="n">
        <v>1</v>
      </c>
      <c r="C1018" s="177" t="n">
        <v>0</v>
      </c>
      <c r="D1018" s="178" t="n">
        <v>-18.7</v>
      </c>
      <c r="E1018" s="178" t="n">
        <v>-13.2</v>
      </c>
      <c r="F1018" s="178" t="n">
        <v>-3.2</v>
      </c>
      <c r="G1018" s="178" t="n"/>
      <c r="H1018" s="178" t="n">
        <v>6.7</v>
      </c>
      <c r="I1018" s="178" t="n">
        <v>19.1</v>
      </c>
      <c r="J1018" s="178" t="n"/>
      <c r="K1018" s="179" t="inlineStr">
        <is>
          <t>6745 BEFAR GROUP</t>
        </is>
      </c>
    </row>
    <row r="1019">
      <c r="A1019" s="17" t="inlineStr">
        <is>
          <t>Hyperion Venture Capital Partners Limited</t>
        </is>
      </c>
      <c r="B1019" s="171" t="n">
        <v>1</v>
      </c>
      <c r="C1019" s="177" t="n">
        <v>0</v>
      </c>
      <c r="D1019" s="178" t="n">
        <v>-18.7</v>
      </c>
      <c r="E1019" s="178" t="n">
        <v>-13.2</v>
      </c>
      <c r="F1019" s="178" t="n">
        <v>-3.2</v>
      </c>
      <c r="G1019" s="178" t="n"/>
      <c r="H1019" s="178" t="n">
        <v>6.7</v>
      </c>
      <c r="I1019" s="178" t="n">
        <v>19.1</v>
      </c>
      <c r="J1019" s="178" t="n"/>
      <c r="K1019" s="179" t="inlineStr">
        <is>
          <t>6745 BEFAR GROUP</t>
        </is>
      </c>
    </row>
    <row r="1020">
      <c r="A1020" s="17" t="inlineStr">
        <is>
          <t>Luhua Daosheng Group Co., Ltd</t>
        </is>
      </c>
      <c r="B1020" s="171" t="n">
        <v>1</v>
      </c>
      <c r="C1020" s="177" t="n">
        <v>0</v>
      </c>
      <c r="D1020" s="178" t="n">
        <v>-18.7</v>
      </c>
      <c r="E1020" s="178" t="n">
        <v>-13.2</v>
      </c>
      <c r="F1020" s="178" t="n">
        <v>-3.2</v>
      </c>
      <c r="G1020" s="178" t="n"/>
      <c r="H1020" s="178" t="n">
        <v>6.7</v>
      </c>
      <c r="I1020" s="178" t="n">
        <v>19.1</v>
      </c>
      <c r="J1020" s="178" t="n"/>
      <c r="K1020" s="179" t="inlineStr">
        <is>
          <t>6745 BEFAR GROUP</t>
        </is>
      </c>
    </row>
    <row r="1021">
      <c r="A1021" s="17" t="inlineStr">
        <is>
          <t>Safewell Equipment Limited</t>
        </is>
      </c>
      <c r="B1021" s="171" t="n">
        <v>1</v>
      </c>
      <c r="C1021" s="177" t="n">
        <v>0</v>
      </c>
      <c r="D1021" s="178" t="n">
        <v>-18.7</v>
      </c>
      <c r="E1021" s="178" t="n">
        <v>-13.2</v>
      </c>
      <c r="F1021" s="178" t="n">
        <v>-3.2</v>
      </c>
      <c r="G1021" s="178" t="n"/>
      <c r="H1021" s="178" t="n">
        <v>6.7</v>
      </c>
      <c r="I1021" s="178" t="n">
        <v>19.1</v>
      </c>
      <c r="J1021" s="178" t="n"/>
      <c r="K1021" s="179" t="inlineStr">
        <is>
          <t>6745 BEFAR GROUP</t>
        </is>
      </c>
    </row>
    <row r="1022">
      <c r="A1022" s="17" t="inlineStr">
        <is>
          <t>Tianto Technology Limited</t>
        </is>
      </c>
      <c r="B1022" s="171" t="n">
        <v>1</v>
      </c>
      <c r="C1022" s="177" t="n">
        <v>0</v>
      </c>
      <c r="D1022" s="178" t="n">
        <v>-18.7</v>
      </c>
      <c r="E1022" s="178" t="n">
        <v>-13.2</v>
      </c>
      <c r="F1022" s="178" t="n">
        <v>-3.2</v>
      </c>
      <c r="G1022" s="178" t="n"/>
      <c r="H1022" s="178" t="n">
        <v>6.7</v>
      </c>
      <c r="I1022" s="178" t="n">
        <v>19.1</v>
      </c>
      <c r="J1022" s="178" t="n"/>
      <c r="K1022" s="179" t="inlineStr">
        <is>
          <t>6745 BEFAR GROUP</t>
        </is>
      </c>
    </row>
    <row r="1023">
      <c r="A1023" s="17" t="inlineStr">
        <is>
          <t>Emerging Markets Healthcare Partners LLC</t>
        </is>
      </c>
      <c r="B1023" s="171" t="n">
        <v>1</v>
      </c>
      <c r="C1023" s="177" t="n">
        <v>0</v>
      </c>
      <c r="D1023" s="178" t="n">
        <v>-19.8</v>
      </c>
      <c r="E1023" s="178" t="n">
        <v>-27.8</v>
      </c>
      <c r="F1023" s="178" t="n">
        <v>-39.6</v>
      </c>
      <c r="G1023" s="178" t="n">
        <v>-56.7</v>
      </c>
      <c r="H1023" s="178" t="n">
        <v>-10</v>
      </c>
      <c r="I1023" s="178" t="n">
        <v>-24.7</v>
      </c>
      <c r="J1023" s="178" t="n">
        <v>-46.1</v>
      </c>
      <c r="K1023" s="179" t="inlineStr">
        <is>
          <t>2216 BRONCUS-B</t>
        </is>
      </c>
    </row>
    <row r="1024">
      <c r="A1024" s="17" t="inlineStr">
        <is>
          <t>Summer Healthcare Fund, L.P</t>
        </is>
      </c>
      <c r="B1024" s="171" t="n">
        <v>1</v>
      </c>
      <c r="C1024" s="177" t="n">
        <v>0</v>
      </c>
      <c r="D1024" s="178" t="n">
        <v>-19.8</v>
      </c>
      <c r="E1024" s="178" t="n">
        <v>-27.8</v>
      </c>
      <c r="F1024" s="178" t="n">
        <v>-39.6</v>
      </c>
      <c r="G1024" s="178" t="n">
        <v>-56.7</v>
      </c>
      <c r="H1024" s="178" t="n">
        <v>-10</v>
      </c>
      <c r="I1024" s="178" t="n">
        <v>-24.7</v>
      </c>
      <c r="J1024" s="178" t="n">
        <v>-46.1</v>
      </c>
      <c r="K1024" s="179" t="inlineStr">
        <is>
          <t>2216 BRONCUS-B</t>
        </is>
      </c>
    </row>
    <row r="1025">
      <c r="A1025" s="17" t="inlineStr">
        <is>
          <t>Danube Bridge Shipping Limited</t>
        </is>
      </c>
      <c r="B1025" s="171" t="n">
        <v>1</v>
      </c>
      <c r="C1025" s="177" t="n">
        <v>0</v>
      </c>
      <c r="D1025" s="178" t="n">
        <v>-21.1</v>
      </c>
      <c r="E1025" s="178" t="n">
        <v>-7.7</v>
      </c>
      <c r="F1025" s="178" t="n">
        <v>-13.8</v>
      </c>
      <c r="G1025" s="178" t="n">
        <v>-5.8</v>
      </c>
      <c r="H1025" s="178" t="n">
        <v>17.1</v>
      </c>
      <c r="I1025" s="178" t="n">
        <v>9.300000000000001</v>
      </c>
      <c r="J1025" s="178" t="n">
        <v>19.4</v>
      </c>
      <c r="K1025" s="179" t="inlineStr">
        <is>
          <t>2409 SEACON</t>
        </is>
      </c>
    </row>
    <row r="1026">
      <c r="A1026" s="17" t="inlineStr">
        <is>
          <t>Guodian Shipping (Hong Kong) Company Limited</t>
        </is>
      </c>
      <c r="B1026" s="171" t="n">
        <v>1</v>
      </c>
      <c r="C1026" s="177" t="n">
        <v>0</v>
      </c>
      <c r="D1026" s="178" t="n">
        <v>-21.1</v>
      </c>
      <c r="E1026" s="178" t="n">
        <v>-7.7</v>
      </c>
      <c r="F1026" s="178" t="n">
        <v>-13.8</v>
      </c>
      <c r="G1026" s="178" t="n">
        <v>-5.8</v>
      </c>
      <c r="H1026" s="178" t="n">
        <v>17.1</v>
      </c>
      <c r="I1026" s="178" t="n">
        <v>9.300000000000001</v>
      </c>
      <c r="J1026" s="178" t="n">
        <v>19.4</v>
      </c>
      <c r="K1026" s="179" t="inlineStr">
        <is>
          <t>2409 SEACON</t>
        </is>
      </c>
    </row>
    <row r="1027">
      <c r="A1027" s="17" t="inlineStr">
        <is>
          <t>BYD Company Limited –</t>
        </is>
      </c>
      <c r="B1027" s="171" t="n">
        <v>1</v>
      </c>
      <c r="C1027" s="177" t="n">
        <v>0</v>
      </c>
      <c r="D1027" s="178" t="n">
        <v>-23</v>
      </c>
      <c r="E1027" s="178" t="n">
        <v>-21.5</v>
      </c>
      <c r="F1027" s="178" t="n">
        <v>-35.4</v>
      </c>
      <c r="G1027" s="178" t="n">
        <v>-36.2</v>
      </c>
      <c r="H1027" s="178" t="n">
        <v>1.9</v>
      </c>
      <c r="I1027" s="178" t="n">
        <v>-16.2</v>
      </c>
      <c r="J1027" s="178" t="n">
        <v>-17.2</v>
      </c>
      <c r="K1027" s="179" t="inlineStr">
        <is>
          <t>9609 HAIWEI ELEC</t>
        </is>
      </c>
    </row>
    <row r="1028">
      <c r="A1028" s="17" t="inlineStr">
        <is>
          <t>Kobayashi Pharmaceutical Co., Ltd</t>
        </is>
      </c>
      <c r="B1028" s="171" t="n">
        <v>1</v>
      </c>
      <c r="C1028" s="177" t="n">
        <v>0</v>
      </c>
      <c r="D1028" s="178" t="n">
        <v>-23.8</v>
      </c>
      <c r="E1028" s="178" t="n">
        <v>-29.1</v>
      </c>
      <c r="F1028" s="178" t="n">
        <v>-50.4</v>
      </c>
      <c r="G1028" s="178" t="n">
        <v>-57</v>
      </c>
      <c r="H1028" s="178" t="n">
        <v>-7</v>
      </c>
      <c r="I1028" s="178" t="n">
        <v>-35</v>
      </c>
      <c r="J1028" s="178" t="n">
        <v>-43.6</v>
      </c>
      <c r="K1028" s="179" t="inlineStr">
        <is>
          <t>2177 UNQ HOLDINGS</t>
        </is>
      </c>
    </row>
    <row r="1029">
      <c r="A1029" s="17" t="inlineStr">
        <is>
          <t>Unicharm Corporation</t>
        </is>
      </c>
      <c r="B1029" s="171" t="n">
        <v>1</v>
      </c>
      <c r="C1029" s="177" t="n">
        <v>0</v>
      </c>
      <c r="D1029" s="178" t="n">
        <v>-23.8</v>
      </c>
      <c r="E1029" s="178" t="n">
        <v>-29.1</v>
      </c>
      <c r="F1029" s="178" t="n">
        <v>-50.4</v>
      </c>
      <c r="G1029" s="178" t="n">
        <v>-57</v>
      </c>
      <c r="H1029" s="178" t="n">
        <v>-7</v>
      </c>
      <c r="I1029" s="178" t="n">
        <v>-35</v>
      </c>
      <c r="J1029" s="178" t="n">
        <v>-43.6</v>
      </c>
      <c r="K1029" s="179" t="inlineStr">
        <is>
          <t>2177 UNQ HOLDINGS</t>
        </is>
      </c>
    </row>
    <row r="1030">
      <c r="A1030" s="17" t="inlineStr">
        <is>
          <t>Shenzhen Futian Guiding Fund Investment Co., Ltd</t>
        </is>
      </c>
      <c r="B1030" s="171" t="n">
        <v>1</v>
      </c>
      <c r="C1030" s="177" t="n">
        <v>0</v>
      </c>
      <c r="D1030" s="178" t="n">
        <v>-24.9</v>
      </c>
      <c r="E1030" s="178" t="n">
        <v>-38.5</v>
      </c>
      <c r="F1030" s="178" t="n">
        <v>-13.8</v>
      </c>
      <c r="G1030" s="178" t="n">
        <v>-20.1</v>
      </c>
      <c r="H1030" s="178" t="n">
        <v>-18</v>
      </c>
      <c r="I1030" s="178" t="n">
        <v>14.7</v>
      </c>
      <c r="J1030" s="178" t="n">
        <v>6.3</v>
      </c>
      <c r="K1030" s="179" t="inlineStr">
        <is>
          <t>1973 TIAN TU CAPITAL</t>
        </is>
      </c>
    </row>
    <row r="1031">
      <c r="A1031" s="17" t="inlineStr">
        <is>
          <t>SVF II Zeal</t>
        </is>
      </c>
      <c r="B1031" s="171" t="n">
        <v>1</v>
      </c>
      <c r="C1031" s="177" t="n">
        <v>0</v>
      </c>
      <c r="D1031" s="178" t="n">
        <v>-25.5</v>
      </c>
      <c r="E1031" s="178" t="n">
        <v>-34.4</v>
      </c>
      <c r="F1031" s="178" t="n">
        <v>-46.8</v>
      </c>
      <c r="G1031" s="178" t="n">
        <v>-24.1</v>
      </c>
      <c r="H1031" s="178" t="n">
        <v>-11.9</v>
      </c>
      <c r="I1031" s="178" t="n">
        <v>-28.6</v>
      </c>
      <c r="J1031" s="178" t="n">
        <v>1.8</v>
      </c>
      <c r="K1031" s="179" t="inlineStr">
        <is>
          <t>2121 AINNOVATION</t>
        </is>
      </c>
    </row>
    <row r="1032">
      <c r="A1032" s="17" t="inlineStr">
        <is>
          <t>Jinan Huaiyin Urban Construction Investment Group Co., Ltd</t>
        </is>
      </c>
      <c r="B1032" s="171" t="n">
        <v>1</v>
      </c>
      <c r="C1032" s="177" t="n">
        <v>0</v>
      </c>
      <c r="D1032" s="178" t="n">
        <v>-25.9</v>
      </c>
      <c r="E1032" s="178" t="n">
        <v>-23.5</v>
      </c>
      <c r="F1032" s="178" t="n">
        <v>-25.9</v>
      </c>
      <c r="G1032" s="178" t="n">
        <v>-20</v>
      </c>
      <c r="H1032" s="178" t="n">
        <v>3.2</v>
      </c>
      <c r="I1032" s="178" t="n">
        <v>0</v>
      </c>
      <c r="J1032" s="178" t="n">
        <v>7.9</v>
      </c>
      <c r="K1032" s="179" t="inlineStr">
        <is>
          <t>2455 RUNHUA SERVICE</t>
        </is>
      </c>
    </row>
    <row r="1033">
      <c r="A1033" s="17" t="inlineStr">
        <is>
          <t>Yizekangrui</t>
        </is>
      </c>
      <c r="B1033" s="171" t="n">
        <v>1</v>
      </c>
      <c r="C1033" s="177" t="n">
        <v>0</v>
      </c>
      <c r="D1033" s="178" t="n">
        <v>-25.9</v>
      </c>
      <c r="E1033" s="178" t="n">
        <v>-37.8</v>
      </c>
      <c r="F1033" s="178" t="n">
        <v>-42.3</v>
      </c>
      <c r="G1033" s="178" t="n">
        <v>118</v>
      </c>
      <c r="H1033" s="178" t="n">
        <v>-16.1</v>
      </c>
      <c r="I1033" s="178" t="n">
        <v>-22.1</v>
      </c>
      <c r="J1033" s="178" t="n">
        <v>194.1</v>
      </c>
      <c r="K1033" s="179" t="inlineStr">
        <is>
          <t>2565 PEGBIO CO-B</t>
        </is>
      </c>
    </row>
    <row r="1034">
      <c r="A1034" s="17" t="inlineStr">
        <is>
          <t>Unlisted Shares in issue</t>
        </is>
      </c>
      <c r="B1034" s="171" t="n">
        <v>1</v>
      </c>
      <c r="C1034" s="177" t="n">
        <v>0</v>
      </c>
      <c r="D1034" s="178" t="n">
        <v>-25.9</v>
      </c>
      <c r="E1034" s="178" t="n">
        <v>-37.8</v>
      </c>
      <c r="F1034" s="178" t="n">
        <v>-42.3</v>
      </c>
      <c r="G1034" s="178" t="n">
        <v>118</v>
      </c>
      <c r="H1034" s="178" t="n">
        <v>-16.1</v>
      </c>
      <c r="I1034" s="178" t="n">
        <v>-22.1</v>
      </c>
      <c r="J1034" s="178" t="n">
        <v>194.1</v>
      </c>
      <c r="K1034" s="179" t="inlineStr">
        <is>
          <t>2565 PEGBIO CO-B</t>
        </is>
      </c>
    </row>
    <row r="1035">
      <c r="A1035" s="17" t="inlineStr">
        <is>
          <t>H Share to be converted from Unlisted Shares</t>
        </is>
      </c>
      <c r="B1035" s="171" t="n">
        <v>1</v>
      </c>
      <c r="C1035" s="177" t="n">
        <v>0</v>
      </c>
      <c r="D1035" s="178" t="n">
        <v>-25.9</v>
      </c>
      <c r="E1035" s="178" t="n">
        <v>-37.8</v>
      </c>
      <c r="F1035" s="178" t="n">
        <v>-42.3</v>
      </c>
      <c r="G1035" s="178" t="n">
        <v>118</v>
      </c>
      <c r="H1035" s="178" t="n">
        <v>-16.1</v>
      </c>
      <c r="I1035" s="178" t="n">
        <v>-22.1</v>
      </c>
      <c r="J1035" s="178" t="n">
        <v>194.1</v>
      </c>
      <c r="K1035" s="179" t="inlineStr">
        <is>
          <t>2565 PEGBIO CO-B</t>
        </is>
      </c>
    </row>
    <row r="1036">
      <c r="A1036" s="17" t="inlineStr">
        <is>
          <t>Daguan International Limited</t>
        </is>
      </c>
      <c r="B1036" s="171" t="n">
        <v>1</v>
      </c>
      <c r="C1036" s="177" t="n">
        <v>0</v>
      </c>
      <c r="D1036" s="178" t="n">
        <v>-26.1</v>
      </c>
      <c r="E1036" s="178" t="n">
        <v>-26.9</v>
      </c>
      <c r="F1036" s="178" t="n">
        <v>-37.9</v>
      </c>
      <c r="G1036" s="178" t="n">
        <v>-41</v>
      </c>
      <c r="H1036" s="178" t="n">
        <v>-1.1</v>
      </c>
      <c r="I1036" s="178" t="n">
        <v>-16</v>
      </c>
      <c r="J1036" s="178" t="n">
        <v>-20.2</v>
      </c>
      <c r="K1036" s="179" t="inlineStr">
        <is>
          <t>6669 ACOTEC-B</t>
        </is>
      </c>
    </row>
    <row r="1037">
      <c r="A1037" s="17" t="inlineStr">
        <is>
          <t>New Journey Hospital Group Ltd</t>
        </is>
      </c>
      <c r="B1037" s="171" t="n">
        <v>1</v>
      </c>
      <c r="C1037" s="177" t="n">
        <v>0</v>
      </c>
      <c r="D1037" s="178" t="n">
        <v>-26.1</v>
      </c>
      <c r="E1037" s="178" t="n">
        <v>-26.9</v>
      </c>
      <c r="F1037" s="178" t="n">
        <v>-37.9</v>
      </c>
      <c r="G1037" s="178" t="n">
        <v>-41</v>
      </c>
      <c r="H1037" s="178" t="n">
        <v>-1.1</v>
      </c>
      <c r="I1037" s="178" t="n">
        <v>-16</v>
      </c>
      <c r="J1037" s="178" t="n">
        <v>-20.2</v>
      </c>
      <c r="K1037" s="179" t="inlineStr">
        <is>
          <t>6669 ACOTEC-B</t>
        </is>
      </c>
    </row>
    <row r="1038">
      <c r="A1038" s="17" t="inlineStr">
        <is>
          <t>PRIMEONE LUCK LIMITED</t>
        </is>
      </c>
      <c r="B1038" s="171" t="n">
        <v>1</v>
      </c>
      <c r="C1038" s="177" t="n">
        <v>0</v>
      </c>
      <c r="D1038" s="178" t="n">
        <v>-26.1</v>
      </c>
      <c r="E1038" s="178" t="n">
        <v>-26.9</v>
      </c>
      <c r="F1038" s="178" t="n">
        <v>-37.9</v>
      </c>
      <c r="G1038" s="178" t="n">
        <v>-41</v>
      </c>
      <c r="H1038" s="178" t="n">
        <v>-1.1</v>
      </c>
      <c r="I1038" s="178" t="n">
        <v>-16</v>
      </c>
      <c r="J1038" s="178" t="n">
        <v>-20.2</v>
      </c>
      <c r="K1038" s="179" t="inlineStr">
        <is>
          <t>6669 ACOTEC-B</t>
        </is>
      </c>
    </row>
    <row r="1039">
      <c r="A1039" s="17" t="inlineStr">
        <is>
          <t>Belinda A. Termeer</t>
        </is>
      </c>
      <c r="B1039" s="171" t="n">
        <v>1</v>
      </c>
      <c r="C1039" s="177" t="n">
        <v>0</v>
      </c>
      <c r="D1039" s="178" t="n">
        <v>-26.9</v>
      </c>
      <c r="E1039" s="178" t="n">
        <v>-30.1</v>
      </c>
      <c r="F1039" s="178" t="n">
        <v>-32.8</v>
      </c>
      <c r="G1039" s="178" t="n">
        <v>-64.40000000000001</v>
      </c>
      <c r="H1039" s="178" t="n">
        <v>-4.4</v>
      </c>
      <c r="I1039" s="178" t="n">
        <v>-8.1</v>
      </c>
      <c r="J1039" s="178" t="n">
        <v>-51.2</v>
      </c>
      <c r="K1039" s="179" t="inlineStr">
        <is>
          <t>1228 CANBRIDGE-B</t>
        </is>
      </c>
    </row>
    <row r="1040">
      <c r="A1040" s="17" t="inlineStr">
        <is>
          <t>RA Capital Healthcare Fund, L.P</t>
        </is>
      </c>
      <c r="B1040" s="171" t="n">
        <v>1</v>
      </c>
      <c r="C1040" s="177" t="n">
        <v>0</v>
      </c>
      <c r="D1040" s="178" t="n">
        <v>-26.9</v>
      </c>
      <c r="E1040" s="178" t="n">
        <v>-30.1</v>
      </c>
      <c r="F1040" s="178" t="n">
        <v>-32.8</v>
      </c>
      <c r="G1040" s="178" t="n">
        <v>-64.40000000000001</v>
      </c>
      <c r="H1040" s="178" t="n">
        <v>-4.4</v>
      </c>
      <c r="I1040" s="178" t="n">
        <v>-8.1</v>
      </c>
      <c r="J1040" s="178" t="n">
        <v>-51.2</v>
      </c>
      <c r="K1040" s="179" t="inlineStr">
        <is>
          <t>1228 CANBRIDGE-B</t>
        </is>
      </c>
    </row>
    <row r="1041">
      <c r="A1041" s="17" t="inlineStr">
        <is>
          <t>Gardex Development Limited</t>
        </is>
      </c>
      <c r="B1041" s="171" t="n">
        <v>1</v>
      </c>
      <c r="C1041" s="177" t="n">
        <v>0</v>
      </c>
      <c r="D1041" s="178" t="n">
        <v>-27</v>
      </c>
      <c r="E1041" s="178" t="n">
        <v>-28</v>
      </c>
      <c r="F1041" s="178" t="n">
        <v>-23.6</v>
      </c>
      <c r="G1041" s="178" t="n">
        <v>-7.7</v>
      </c>
      <c r="H1041" s="178" t="n">
        <v>-1.5</v>
      </c>
      <c r="I1041" s="178" t="n">
        <v>4.6</v>
      </c>
      <c r="J1041" s="178" t="n">
        <v>26.4</v>
      </c>
      <c r="K1041" s="179" t="inlineStr">
        <is>
          <t>2533 BLACK SESAME</t>
        </is>
      </c>
    </row>
    <row r="1042">
      <c r="A1042" s="17" t="inlineStr">
        <is>
          <t>Joyson Electronic USA LLC</t>
        </is>
      </c>
      <c r="B1042" s="171" t="n">
        <v>1</v>
      </c>
      <c r="C1042" s="177" t="n">
        <v>0</v>
      </c>
      <c r="D1042" s="178" t="n">
        <v>-27</v>
      </c>
      <c r="E1042" s="178" t="n">
        <v>-28</v>
      </c>
      <c r="F1042" s="178" t="n">
        <v>-23.6</v>
      </c>
      <c r="G1042" s="178" t="n">
        <v>-7.7</v>
      </c>
      <c r="H1042" s="178" t="n">
        <v>-1.5</v>
      </c>
      <c r="I1042" s="178" t="n">
        <v>4.6</v>
      </c>
      <c r="J1042" s="178" t="n">
        <v>26.4</v>
      </c>
      <c r="K1042" s="179" t="inlineStr">
        <is>
          <t>2533 BLACK SESAME</t>
        </is>
      </c>
    </row>
    <row r="1043">
      <c r="A1043" s="17" t="inlineStr">
        <is>
          <t>ATNT Group Management Limited</t>
        </is>
      </c>
      <c r="B1043" s="171" t="n">
        <v>1</v>
      </c>
      <c r="C1043" s="177" t="n">
        <v>0</v>
      </c>
      <c r="D1043" s="178" t="n">
        <v>-27.1</v>
      </c>
      <c r="E1043" s="178" t="n">
        <v>-34.1</v>
      </c>
      <c r="F1043" s="178" t="n">
        <v>-41.2</v>
      </c>
      <c r="G1043" s="178" t="n">
        <v>-54.1</v>
      </c>
      <c r="H1043" s="178" t="n">
        <v>-9.699999999999999</v>
      </c>
      <c r="I1043" s="178" t="n">
        <v>-19.4</v>
      </c>
      <c r="J1043" s="178" t="n">
        <v>-37.1</v>
      </c>
      <c r="K1043" s="179" t="inlineStr">
        <is>
          <t>2350 MTT GROUP</t>
        </is>
      </c>
    </row>
    <row r="1044">
      <c r="A1044" s="17" t="inlineStr">
        <is>
          <t>EC InfoTech Limited</t>
        </is>
      </c>
      <c r="B1044" s="171" t="n">
        <v>1</v>
      </c>
      <c r="C1044" s="177" t="n">
        <v>0</v>
      </c>
      <c r="D1044" s="178" t="n">
        <v>-27.1</v>
      </c>
      <c r="E1044" s="178" t="n">
        <v>-34.1</v>
      </c>
      <c r="F1044" s="178" t="n">
        <v>-41.2</v>
      </c>
      <c r="G1044" s="178" t="n">
        <v>-54.1</v>
      </c>
      <c r="H1044" s="178" t="n">
        <v>-9.699999999999999</v>
      </c>
      <c r="I1044" s="178" t="n">
        <v>-19.4</v>
      </c>
      <c r="J1044" s="178" t="n">
        <v>-37.1</v>
      </c>
      <c r="K1044" s="179" t="inlineStr">
        <is>
          <t>2350 MTT GROUP</t>
        </is>
      </c>
    </row>
    <row r="1045">
      <c r="A1045" s="17" t="inlineStr">
        <is>
          <t>Mr. Hung Kwong Yee</t>
        </is>
      </c>
      <c r="B1045" s="171" t="n">
        <v>1</v>
      </c>
      <c r="C1045" s="177" t="n">
        <v>0</v>
      </c>
      <c r="D1045" s="178" t="n">
        <v>-27.1</v>
      </c>
      <c r="E1045" s="178" t="n">
        <v>-34.1</v>
      </c>
      <c r="F1045" s="178" t="n">
        <v>-41.2</v>
      </c>
      <c r="G1045" s="178" t="n">
        <v>-54.1</v>
      </c>
      <c r="H1045" s="178" t="n">
        <v>-9.699999999999999</v>
      </c>
      <c r="I1045" s="178" t="n">
        <v>-19.4</v>
      </c>
      <c r="J1045" s="178" t="n">
        <v>-37.1</v>
      </c>
      <c r="K1045" s="179" t="inlineStr">
        <is>
          <t>2350 MTT GROUP</t>
        </is>
      </c>
    </row>
    <row r="1046">
      <c r="A1046" s="17" t="inlineStr">
        <is>
          <t>Genesis M Co., Limited</t>
        </is>
      </c>
      <c r="B1046" s="171" t="n">
        <v>1</v>
      </c>
      <c r="C1046" s="177" t="n">
        <v>0</v>
      </c>
      <c r="D1046" s="178" t="n">
        <v>-27.5</v>
      </c>
      <c r="E1046" s="178" t="n">
        <v>-20.8</v>
      </c>
      <c r="F1046" s="178" t="n">
        <v>-28.3</v>
      </c>
      <c r="G1046" s="178" t="n">
        <v>-37.5</v>
      </c>
      <c r="H1046" s="178" t="n">
        <v>9.199999999999999</v>
      </c>
      <c r="I1046" s="178" t="n">
        <v>-1.1</v>
      </c>
      <c r="J1046" s="178" t="n">
        <v>-13.8</v>
      </c>
      <c r="K1046" s="179" t="inlineStr">
        <is>
          <t>2502 JINYUAN HCHEM</t>
        </is>
      </c>
    </row>
    <row r="1047">
      <c r="A1047" s="17" t="inlineStr">
        <is>
          <t>Max Success Group Holdings Limited</t>
        </is>
      </c>
      <c r="B1047" s="171" t="n">
        <v>1</v>
      </c>
      <c r="C1047" s="177" t="n">
        <v>0</v>
      </c>
      <c r="D1047" s="178" t="n">
        <v>-27.5</v>
      </c>
      <c r="E1047" s="178" t="n">
        <v>-20.8</v>
      </c>
      <c r="F1047" s="178" t="n">
        <v>-28.3</v>
      </c>
      <c r="G1047" s="178" t="n">
        <v>-37.5</v>
      </c>
      <c r="H1047" s="178" t="n">
        <v>9.199999999999999</v>
      </c>
      <c r="I1047" s="178" t="n">
        <v>-1.1</v>
      </c>
      <c r="J1047" s="178" t="n">
        <v>-13.8</v>
      </c>
      <c r="K1047" s="179" t="inlineStr">
        <is>
          <t>2502 JINYUAN HCHEM</t>
        </is>
      </c>
    </row>
    <row r="1048">
      <c r="A1048" s="17" t="inlineStr">
        <is>
          <t>Prosperity Steel United Singapore Pte. Ltd</t>
        </is>
      </c>
      <c r="B1048" s="171" t="n">
        <v>1</v>
      </c>
      <c r="C1048" s="177" t="n">
        <v>0</v>
      </c>
      <c r="D1048" s="178" t="n">
        <v>-27.5</v>
      </c>
      <c r="E1048" s="178" t="n">
        <v>-20.8</v>
      </c>
      <c r="F1048" s="178" t="n">
        <v>-28.3</v>
      </c>
      <c r="G1048" s="178" t="n">
        <v>-37.5</v>
      </c>
      <c r="H1048" s="178" t="n">
        <v>9.199999999999999</v>
      </c>
      <c r="I1048" s="178" t="n">
        <v>-1.1</v>
      </c>
      <c r="J1048" s="178" t="n">
        <v>-13.8</v>
      </c>
      <c r="K1048" s="179" t="inlineStr">
        <is>
          <t>2502 JINYUAN HCHEM</t>
        </is>
      </c>
    </row>
    <row r="1049">
      <c r="A1049" s="17" t="inlineStr">
        <is>
          <t>Zhongsheng Holdings Company Limited</t>
        </is>
      </c>
      <c r="B1049" s="171" t="n">
        <v>1</v>
      </c>
      <c r="C1049" s="177" t="n">
        <v>0</v>
      </c>
      <c r="D1049" s="178" t="n">
        <v>-27.5</v>
      </c>
      <c r="E1049" s="178" t="n">
        <v>-20.8</v>
      </c>
      <c r="F1049" s="178" t="n">
        <v>-28.3</v>
      </c>
      <c r="G1049" s="178" t="n">
        <v>-37.5</v>
      </c>
      <c r="H1049" s="178" t="n">
        <v>9.199999999999999</v>
      </c>
      <c r="I1049" s="178" t="n">
        <v>-1.1</v>
      </c>
      <c r="J1049" s="178" t="n">
        <v>-13.8</v>
      </c>
      <c r="K1049" s="179" t="inlineStr">
        <is>
          <t>2502 JINYUAN HCHEM</t>
        </is>
      </c>
    </row>
    <row r="1050">
      <c r="A1050" s="17" t="inlineStr">
        <is>
          <t>Qingcong Capital</t>
        </is>
      </c>
      <c r="B1050" s="171" t="n">
        <v>1</v>
      </c>
      <c r="C1050" s="177" t="n">
        <v>0</v>
      </c>
      <c r="D1050" s="178" t="n">
        <v>-27.8</v>
      </c>
      <c r="E1050" s="178" t="n">
        <v>-28.7</v>
      </c>
      <c r="F1050" s="178" t="n">
        <v>-37.2</v>
      </c>
      <c r="G1050" s="178" t="n">
        <v>-33.7</v>
      </c>
      <c r="H1050" s="178" t="n">
        <v>-1.2</v>
      </c>
      <c r="I1050" s="178" t="n">
        <v>-13</v>
      </c>
      <c r="J1050" s="178" t="n">
        <v>-8.1</v>
      </c>
      <c r="K1050" s="179" t="inlineStr">
        <is>
          <t>2408 XIAO NOODLES</t>
        </is>
      </c>
    </row>
    <row r="1051">
      <c r="A1051" s="17" t="inlineStr">
        <is>
          <t>Mr. Gao Defu</t>
        </is>
      </c>
      <c r="B1051" s="171" t="n">
        <v>1</v>
      </c>
      <c r="C1051" s="177" t="n">
        <v>0</v>
      </c>
      <c r="D1051" s="178" t="n">
        <v>-27.8</v>
      </c>
      <c r="E1051" s="178" t="n">
        <v>-28.7</v>
      </c>
      <c r="F1051" s="178" t="n">
        <v>-37.2</v>
      </c>
      <c r="G1051" s="178" t="n">
        <v>-33.7</v>
      </c>
      <c r="H1051" s="178" t="n">
        <v>-1.2</v>
      </c>
      <c r="I1051" s="178" t="n">
        <v>-13</v>
      </c>
      <c r="J1051" s="178" t="n">
        <v>-8.1</v>
      </c>
      <c r="K1051" s="179" t="inlineStr">
        <is>
          <t>2408 XIAO NOODLES</t>
        </is>
      </c>
    </row>
    <row r="1052">
      <c r="A1052" s="17" t="inlineStr">
        <is>
          <t>Hong Kong Shengying Investment Limited</t>
        </is>
      </c>
      <c r="B1052" s="171" t="n">
        <v>1</v>
      </c>
      <c r="C1052" s="177" t="n">
        <v>0</v>
      </c>
      <c r="D1052" s="178" t="n">
        <v>-27.8</v>
      </c>
      <c r="E1052" s="178" t="n">
        <v>-28.7</v>
      </c>
      <c r="F1052" s="178" t="n">
        <v>-37.2</v>
      </c>
      <c r="G1052" s="178" t="n">
        <v>-33.7</v>
      </c>
      <c r="H1052" s="178" t="n">
        <v>-1.2</v>
      </c>
      <c r="I1052" s="178" t="n">
        <v>-13</v>
      </c>
      <c r="J1052" s="178" t="n">
        <v>-8.1</v>
      </c>
      <c r="K1052" s="179" t="inlineStr">
        <is>
          <t>2408 XIAO NOODLES</t>
        </is>
      </c>
    </row>
    <row r="1053">
      <c r="A1053" s="17" t="inlineStr">
        <is>
          <t>Hai Di Lao Holdings Pte. Ltd</t>
        </is>
      </c>
      <c r="B1053" s="171" t="n">
        <v>1</v>
      </c>
      <c r="C1053" s="177" t="n">
        <v>0</v>
      </c>
      <c r="D1053" s="178" t="n">
        <v>-27.8</v>
      </c>
      <c r="E1053" s="178" t="n">
        <v>-28.7</v>
      </c>
      <c r="F1053" s="178" t="n">
        <v>-37.2</v>
      </c>
      <c r="G1053" s="178" t="n">
        <v>-33.7</v>
      </c>
      <c r="H1053" s="178" t="n">
        <v>-1.2</v>
      </c>
      <c r="I1053" s="178" t="n">
        <v>-13</v>
      </c>
      <c r="J1053" s="178" t="n">
        <v>-8.1</v>
      </c>
      <c r="K1053" s="179" t="inlineStr">
        <is>
          <t>2408 XIAO NOODLES</t>
        </is>
      </c>
    </row>
    <row r="1054">
      <c r="A1054" s="17" t="inlineStr">
        <is>
          <t>Pusheng Fund</t>
        </is>
      </c>
      <c r="B1054" s="171" t="n">
        <v>1</v>
      </c>
      <c r="C1054" s="177" t="n">
        <v>0</v>
      </c>
      <c r="D1054" s="178" t="n">
        <v>-27.8</v>
      </c>
      <c r="E1054" s="178" t="n">
        <v>-28.7</v>
      </c>
      <c r="F1054" s="178" t="n">
        <v>-37.2</v>
      </c>
      <c r="G1054" s="178" t="n">
        <v>-33.7</v>
      </c>
      <c r="H1054" s="178" t="n">
        <v>-1.2</v>
      </c>
      <c r="I1054" s="178" t="n">
        <v>-13</v>
      </c>
      <c r="J1054" s="178" t="n">
        <v>-8.1</v>
      </c>
      <c r="K1054" s="179" t="inlineStr">
        <is>
          <t>2408 XIAO NOODLES</t>
        </is>
      </c>
    </row>
    <row r="1055">
      <c r="A1055" s="17" t="inlineStr">
        <is>
          <t>HK Dongbin Joint Victory Development Co. Limited</t>
        </is>
      </c>
      <c r="B1055" s="171" t="n">
        <v>1</v>
      </c>
      <c r="C1055" s="177" t="n">
        <v>0</v>
      </c>
      <c r="D1055" s="178" t="n">
        <v>-29</v>
      </c>
      <c r="E1055" s="178" t="n">
        <v>-41.4</v>
      </c>
      <c r="F1055" s="178" t="n">
        <v>-44.7</v>
      </c>
      <c r="G1055" s="178" t="n">
        <v>-37</v>
      </c>
      <c r="H1055" s="178" t="n">
        <v>-17.4</v>
      </c>
      <c r="I1055" s="178" t="n">
        <v>-22.1</v>
      </c>
      <c r="J1055" s="178" t="n">
        <v>-11.2</v>
      </c>
      <c r="K1055" s="179" t="inlineStr">
        <is>
          <t>9930 HORIZON CD</t>
        </is>
      </c>
    </row>
    <row r="1056">
      <c r="A1056" s="17" t="inlineStr">
        <is>
          <t>LGMG International Limited</t>
        </is>
      </c>
      <c r="B1056" s="171" t="n">
        <v>1</v>
      </c>
      <c r="C1056" s="177" t="n">
        <v>0</v>
      </c>
      <c r="D1056" s="178" t="n">
        <v>-29</v>
      </c>
      <c r="E1056" s="178" t="n">
        <v>-41.4</v>
      </c>
      <c r="F1056" s="178" t="n">
        <v>-44.7</v>
      </c>
      <c r="G1056" s="178" t="n">
        <v>-37</v>
      </c>
      <c r="H1056" s="178" t="n">
        <v>-17.4</v>
      </c>
      <c r="I1056" s="178" t="n">
        <v>-22.1</v>
      </c>
      <c r="J1056" s="178" t="n">
        <v>-11.2</v>
      </c>
      <c r="K1056" s="179" t="inlineStr">
        <is>
          <t>9930 HORIZON CD</t>
        </is>
      </c>
    </row>
    <row r="1057">
      <c r="A1057" s="17" t="inlineStr">
        <is>
          <t>Shanghai Gold Ring Enterprise Group Co., Ltd</t>
        </is>
      </c>
      <c r="B1057" s="171" t="n">
        <v>1</v>
      </c>
      <c r="C1057" s="177" t="n">
        <v>0</v>
      </c>
      <c r="D1057" s="178" t="n">
        <v>-29</v>
      </c>
      <c r="E1057" s="178" t="n">
        <v>-41.4</v>
      </c>
      <c r="F1057" s="178" t="n">
        <v>-44.7</v>
      </c>
      <c r="G1057" s="178" t="n">
        <v>-37</v>
      </c>
      <c r="H1057" s="178" t="n">
        <v>-17.4</v>
      </c>
      <c r="I1057" s="178" t="n">
        <v>-22.1</v>
      </c>
      <c r="J1057" s="178" t="n">
        <v>-11.2</v>
      </c>
      <c r="K1057" s="179" t="inlineStr">
        <is>
          <t>9930 HORIZON CD</t>
        </is>
      </c>
    </row>
    <row r="1058">
      <c r="A1058" s="17" t="inlineStr">
        <is>
          <t>Shanghai Putuo Science and Technology Investment Co., Ltd</t>
        </is>
      </c>
      <c r="B1058" s="171" t="n">
        <v>1</v>
      </c>
      <c r="C1058" s="177" t="n">
        <v>0</v>
      </c>
      <c r="D1058" s="178" t="n">
        <v>-29</v>
      </c>
      <c r="E1058" s="178" t="n">
        <v>-41.4</v>
      </c>
      <c r="F1058" s="178" t="n">
        <v>-44.7</v>
      </c>
      <c r="G1058" s="178" t="n">
        <v>-37</v>
      </c>
      <c r="H1058" s="178" t="n">
        <v>-17.4</v>
      </c>
      <c r="I1058" s="178" t="n">
        <v>-22.1</v>
      </c>
      <c r="J1058" s="178" t="n">
        <v>-11.2</v>
      </c>
      <c r="K1058" s="179" t="inlineStr">
        <is>
          <t>9930 HORIZON CD</t>
        </is>
      </c>
    </row>
    <row r="1059">
      <c r="A1059" s="17" t="inlineStr">
        <is>
          <t>Xinheng Holding Limited</t>
        </is>
      </c>
      <c r="B1059" s="171" t="n">
        <v>1</v>
      </c>
      <c r="C1059" s="177" t="n">
        <v>0</v>
      </c>
      <c r="D1059" s="178" t="n">
        <v>-29</v>
      </c>
      <c r="E1059" s="178" t="n">
        <v>-41.4</v>
      </c>
      <c r="F1059" s="178" t="n">
        <v>-44.7</v>
      </c>
      <c r="G1059" s="178" t="n">
        <v>-37</v>
      </c>
      <c r="H1059" s="178" t="n">
        <v>-17.4</v>
      </c>
      <c r="I1059" s="178" t="n">
        <v>-22.1</v>
      </c>
      <c r="J1059" s="178" t="n">
        <v>-11.2</v>
      </c>
      <c r="K1059" s="179" t="inlineStr">
        <is>
          <t>9930 HORIZON CD</t>
        </is>
      </c>
    </row>
    <row r="1060">
      <c r="A1060" s="17" t="inlineStr">
        <is>
          <t>Tenancy Co., Limited</t>
        </is>
      </c>
      <c r="B1060" s="171" t="n">
        <v>1</v>
      </c>
      <c r="C1060" s="177" t="n">
        <v>0</v>
      </c>
      <c r="D1060" s="178" t="n">
        <v>-29.3</v>
      </c>
      <c r="E1060" s="178" t="n">
        <v>-30</v>
      </c>
      <c r="F1060" s="178" t="n">
        <v>-23.3</v>
      </c>
      <c r="G1060" s="178" t="n">
        <v>-16</v>
      </c>
      <c r="H1060" s="178" t="n">
        <v>-0.9</v>
      </c>
      <c r="I1060" s="178" t="n">
        <v>8.5</v>
      </c>
      <c r="J1060" s="178" t="n">
        <v>18.9</v>
      </c>
      <c r="K1060" s="179" t="inlineStr">
        <is>
          <t>2187 ZHIXIN GP HLDG</t>
        </is>
      </c>
    </row>
    <row r="1061">
      <c r="A1061" s="17" t="inlineStr">
        <is>
          <t>Wang Miao</t>
        </is>
      </c>
      <c r="B1061" s="171" t="n">
        <v>1</v>
      </c>
      <c r="C1061" s="177" t="n">
        <v>0</v>
      </c>
      <c r="D1061" s="178" t="n">
        <v>-29.3</v>
      </c>
      <c r="E1061" s="178" t="n">
        <v>-30</v>
      </c>
      <c r="F1061" s="178" t="n">
        <v>-23.3</v>
      </c>
      <c r="G1061" s="178" t="n">
        <v>-16</v>
      </c>
      <c r="H1061" s="178" t="n">
        <v>-0.9</v>
      </c>
      <c r="I1061" s="178" t="n">
        <v>8.5</v>
      </c>
      <c r="J1061" s="178" t="n">
        <v>18.9</v>
      </c>
      <c r="K1061" s="179" t="inlineStr">
        <is>
          <t>2187 ZHIXIN GP HLDG</t>
        </is>
      </c>
    </row>
    <row r="1062">
      <c r="A1062" s="17" t="inlineStr">
        <is>
          <t>Mr. Mao Xiangyu</t>
        </is>
      </c>
      <c r="B1062" s="171" t="n">
        <v>1</v>
      </c>
      <c r="C1062" s="177" t="n">
        <v>0</v>
      </c>
      <c r="D1062" s="178" t="n">
        <v>-30.2</v>
      </c>
      <c r="E1062" s="178" t="n">
        <v>-21.7</v>
      </c>
      <c r="F1062" s="178" t="n">
        <v>-17.8</v>
      </c>
      <c r="G1062" s="178" t="n">
        <v>-17.9</v>
      </c>
      <c r="H1062" s="178" t="n">
        <v>12.1</v>
      </c>
      <c r="I1062" s="178" t="n">
        <v>17.7</v>
      </c>
      <c r="J1062" s="178" t="n">
        <v>17.5</v>
      </c>
      <c r="K1062" s="179" t="inlineStr">
        <is>
          <t>2658 TIANYU SEMI</t>
        </is>
      </c>
    </row>
    <row r="1063">
      <c r="A1063" s="17" t="inlineStr">
        <is>
          <t>Kwok Tai East International Group Limited</t>
        </is>
      </c>
      <c r="B1063" s="171" t="n">
        <v>1</v>
      </c>
      <c r="C1063" s="177" t="n">
        <v>0</v>
      </c>
      <c r="D1063" s="178" t="n">
        <v>-33.5</v>
      </c>
      <c r="E1063" s="178" t="n">
        <v>-48.3</v>
      </c>
      <c r="F1063" s="178" t="n">
        <v>-62.2</v>
      </c>
      <c r="G1063" s="178" t="n">
        <v>-37.1</v>
      </c>
      <c r="H1063" s="178" t="n">
        <v>-22.2</v>
      </c>
      <c r="I1063" s="178" t="n">
        <v>-43.1</v>
      </c>
      <c r="J1063" s="178" t="n">
        <v>-5.3</v>
      </c>
      <c r="K1063" s="179" t="inlineStr">
        <is>
          <t>9863 LEAPMOTOR</t>
        </is>
      </c>
    </row>
    <row r="1064">
      <c r="A1064" s="17" t="inlineStr">
        <is>
          <t>ZhongBaoNew materials. Ltd</t>
        </is>
      </c>
      <c r="B1064" s="171" t="n">
        <v>1</v>
      </c>
      <c r="C1064" s="177" t="n">
        <v>0</v>
      </c>
      <c r="D1064" s="178" t="n">
        <v>-35.2</v>
      </c>
      <c r="E1064" s="178" t="n">
        <v>-36.2</v>
      </c>
      <c r="F1064" s="178" t="n">
        <v>-39</v>
      </c>
      <c r="G1064" s="178" t="n">
        <v>-50.5</v>
      </c>
      <c r="H1064" s="178" t="n">
        <v>-1.5</v>
      </c>
      <c r="I1064" s="178" t="n">
        <v>-5.9</v>
      </c>
      <c r="J1064" s="178" t="n">
        <v>-23.5</v>
      </c>
      <c r="K1064" s="179" t="inlineStr">
        <is>
          <t>2439 CH TREASURES NM</t>
        </is>
      </c>
    </row>
    <row r="1065">
      <c r="A1065" s="17" t="inlineStr">
        <is>
          <t>Jiu Rong Holdings Limited</t>
        </is>
      </c>
      <c r="B1065" s="171" t="n">
        <v>1</v>
      </c>
      <c r="C1065" s="177" t="n">
        <v>0</v>
      </c>
      <c r="D1065" s="178" t="n">
        <v>-36</v>
      </c>
      <c r="E1065" s="178" t="n">
        <v>-48</v>
      </c>
      <c r="F1065" s="178" t="n">
        <v>-50.4</v>
      </c>
      <c r="G1065" s="178" t="n">
        <v>-52.4</v>
      </c>
      <c r="H1065" s="178" t="n">
        <v>-18.8</v>
      </c>
      <c r="I1065" s="178" t="n">
        <v>-22.5</v>
      </c>
      <c r="J1065" s="178" t="n">
        <v>-25.6</v>
      </c>
      <c r="K1065" s="179" t="inlineStr">
        <is>
          <t>9608 SUNDY SERVICE</t>
        </is>
      </c>
    </row>
    <row r="1066">
      <c r="A1066" s="17" t="inlineStr">
        <is>
          <t>Yingke No.1 (Hongkong) Limited</t>
        </is>
      </c>
      <c r="B1066" s="171" t="n">
        <v>1</v>
      </c>
      <c r="C1066" s="177" t="n">
        <v>0</v>
      </c>
      <c r="D1066" s="178" t="n">
        <v>-36.9</v>
      </c>
      <c r="E1066" s="178" t="n">
        <v>1.8</v>
      </c>
      <c r="F1066" s="178" t="n">
        <v>94.09999999999999</v>
      </c>
      <c r="G1066" s="178" t="n">
        <v>149.1</v>
      </c>
      <c r="H1066" s="178" t="n">
        <v>61.4</v>
      </c>
      <c r="I1066" s="178" t="n">
        <v>207.7</v>
      </c>
      <c r="J1066" s="178" t="n">
        <v>294.9</v>
      </c>
      <c r="K1066" s="179" t="inlineStr">
        <is>
          <t>2632 NEW VISION CO</t>
        </is>
      </c>
    </row>
    <row r="1067">
      <c r="A1067" s="17" t="inlineStr">
        <is>
          <t>Purple Diamond Ltd</t>
        </is>
      </c>
      <c r="B1067" s="171" t="n">
        <v>1</v>
      </c>
      <c r="C1067" s="177" t="n">
        <v>0</v>
      </c>
      <c r="D1067" s="178" t="n">
        <v>-37.4</v>
      </c>
      <c r="E1067" s="178" t="n">
        <v>-44.3</v>
      </c>
      <c r="F1067" s="178" t="n">
        <v>-45.1</v>
      </c>
      <c r="G1067" s="178" t="n"/>
      <c r="H1067" s="178" t="n">
        <v>-11.1</v>
      </c>
      <c r="I1067" s="178" t="n">
        <v>-12.3</v>
      </c>
      <c r="J1067" s="178" t="n"/>
      <c r="K1067" s="179" t="inlineStr">
        <is>
          <t>0537 RIGOL</t>
        </is>
      </c>
    </row>
    <row r="1068">
      <c r="A1068" s="17" t="inlineStr">
        <is>
          <t>Heda Jinyuan (HK)</t>
        </is>
      </c>
      <c r="B1068" s="171" t="n">
        <v>1</v>
      </c>
      <c r="C1068" s="177" t="n">
        <v>0</v>
      </c>
      <c r="D1068" s="178" t="n">
        <v>-38.4</v>
      </c>
      <c r="E1068" s="178" t="n">
        <v>-35.4</v>
      </c>
      <c r="F1068" s="178" t="n">
        <v>-46.9</v>
      </c>
      <c r="G1068" s="178" t="n">
        <v>-47.4</v>
      </c>
      <c r="H1068" s="178" t="n">
        <v>5</v>
      </c>
      <c r="I1068" s="178" t="n">
        <v>-13.7</v>
      </c>
      <c r="J1068" s="178" t="n">
        <v>-14.6</v>
      </c>
      <c r="K1068" s="179" t="inlineStr">
        <is>
          <t>2566 JIUYUAN GENE</t>
        </is>
      </c>
    </row>
    <row r="1069">
      <c r="A1069" s="17" t="inlineStr">
        <is>
          <t>Delta Capital Hong Kong</t>
        </is>
      </c>
      <c r="B1069" s="171" t="n">
        <v>1</v>
      </c>
      <c r="C1069" s="177" t="n">
        <v>0</v>
      </c>
      <c r="D1069" s="178" t="n">
        <v>-38.4</v>
      </c>
      <c r="E1069" s="178" t="n">
        <v>-35.4</v>
      </c>
      <c r="F1069" s="178" t="n">
        <v>-46.9</v>
      </c>
      <c r="G1069" s="178" t="n">
        <v>-47.4</v>
      </c>
      <c r="H1069" s="178" t="n">
        <v>5</v>
      </c>
      <c r="I1069" s="178" t="n">
        <v>-13.7</v>
      </c>
      <c r="J1069" s="178" t="n">
        <v>-14.6</v>
      </c>
      <c r="K1069" s="179" t="inlineStr">
        <is>
          <t>2566 JIUYUAN GENE</t>
        </is>
      </c>
    </row>
    <row r="1070">
      <c r="A1070" s="17" t="inlineStr">
        <is>
          <t>Offering WSH</t>
        </is>
      </c>
      <c r="B1070" s="171" t="n">
        <v>1</v>
      </c>
      <c r="C1070" s="177" t="n">
        <v>0</v>
      </c>
      <c r="D1070" s="178" t="n">
        <v>-38.6</v>
      </c>
      <c r="E1070" s="178" t="n">
        <v>-42.6</v>
      </c>
      <c r="F1070" s="178" t="n">
        <v>-49.5</v>
      </c>
      <c r="G1070" s="178" t="n">
        <v>-55.4</v>
      </c>
      <c r="H1070" s="178" t="n">
        <v>-6.5</v>
      </c>
      <c r="I1070" s="178" t="n">
        <v>-17.7</v>
      </c>
      <c r="J1070" s="178" t="n">
        <v>-27.3</v>
      </c>
      <c r="K1070" s="179" t="inlineStr">
        <is>
          <t>2592 CLOUDBREAK-B</t>
        </is>
      </c>
    </row>
    <row r="1071">
      <c r="A1071" s="17" t="inlineStr">
        <is>
          <t>AIRPORT TECHNOLOGY CAPITAL (HONG KONG) CO., LIMITED</t>
        </is>
      </c>
      <c r="B1071" s="171" t="n">
        <v>1</v>
      </c>
      <c r="C1071" s="177" t="n">
        <v>0</v>
      </c>
      <c r="D1071" s="178" t="n">
        <v>-39.1</v>
      </c>
      <c r="E1071" s="178" t="n">
        <v>-44.7</v>
      </c>
      <c r="F1071" s="178" t="n">
        <v>-49.1</v>
      </c>
      <c r="G1071" s="178" t="n"/>
      <c r="H1071" s="178" t="n">
        <v>-9.300000000000001</v>
      </c>
      <c r="I1071" s="178" t="n">
        <v>-16.4</v>
      </c>
      <c r="J1071" s="178" t="n"/>
      <c r="K1071" s="179" t="inlineStr">
        <is>
          <t>2667 TONGRENTANGCARE</t>
        </is>
      </c>
    </row>
    <row r="1072">
      <c r="A1072" s="17" t="inlineStr">
        <is>
          <t>Ms. Dou</t>
        </is>
      </c>
      <c r="B1072" s="171" t="n">
        <v>1</v>
      </c>
      <c r="C1072" s="177" t="n">
        <v>0</v>
      </c>
      <c r="D1072" s="178" t="n">
        <v>-39.2</v>
      </c>
      <c r="E1072" s="178" t="n">
        <v>-39.2</v>
      </c>
      <c r="F1072" s="178" t="n">
        <v>-50</v>
      </c>
      <c r="G1072" s="178" t="n">
        <v>-52.4</v>
      </c>
      <c r="H1072" s="178" t="n">
        <v>0</v>
      </c>
      <c r="I1072" s="178" t="n">
        <v>-17.8</v>
      </c>
      <c r="J1072" s="178" t="n">
        <v>-21.7</v>
      </c>
      <c r="K1072" s="179" t="inlineStr">
        <is>
          <t>2515 TJCD</t>
        </is>
      </c>
    </row>
    <row r="1073">
      <c r="A1073" s="17" t="inlineStr">
        <is>
          <t>Arda (HK) Investment Co., Limited</t>
        </is>
      </c>
      <c r="B1073" s="171" t="n">
        <v>1</v>
      </c>
      <c r="C1073" s="177" t="n">
        <v>0</v>
      </c>
      <c r="D1073" s="178" t="n">
        <v>-40</v>
      </c>
      <c r="E1073" s="178" t="n">
        <v>-25</v>
      </c>
      <c r="F1073" s="178" t="n">
        <v>-15</v>
      </c>
      <c r="G1073" s="178" t="n">
        <v>-31</v>
      </c>
      <c r="H1073" s="178" t="n">
        <v>25</v>
      </c>
      <c r="I1073" s="178" t="n">
        <v>41.7</v>
      </c>
      <c r="J1073" s="178" t="n">
        <v>15</v>
      </c>
      <c r="K1073" s="179" t="inlineStr">
        <is>
          <t>2457 BUYANG INTL</t>
        </is>
      </c>
    </row>
    <row r="1074">
      <c r="A1074" s="17" t="inlineStr">
        <is>
          <t>INFO EXPERT SERVICES LIMITED</t>
        </is>
      </c>
      <c r="B1074" s="171" t="n">
        <v>1</v>
      </c>
      <c r="C1074" s="177" t="n">
        <v>0</v>
      </c>
      <c r="D1074" s="178" t="n">
        <v>-42.9</v>
      </c>
      <c r="E1074" s="178" t="n">
        <v>-51.3</v>
      </c>
      <c r="F1074" s="178" t="n">
        <v>-66.40000000000001</v>
      </c>
      <c r="G1074" s="178" t="n">
        <v>-70.2</v>
      </c>
      <c r="H1074" s="178" t="n">
        <v>-14.7</v>
      </c>
      <c r="I1074" s="178" t="n">
        <v>-41.2</v>
      </c>
      <c r="J1074" s="178" t="n">
        <v>-47.8</v>
      </c>
      <c r="K1074" s="179" t="inlineStr">
        <is>
          <t>9686 NEUSOFT XIKANG</t>
        </is>
      </c>
    </row>
    <row r="1075">
      <c r="A1075" s="17" t="inlineStr">
        <is>
          <t>YStem Holding Limited</t>
        </is>
      </c>
      <c r="B1075" s="171" t="n">
        <v>1</v>
      </c>
      <c r="C1075" s="177" t="n">
        <v>0</v>
      </c>
      <c r="D1075" s="178" t="n">
        <v>-46.2</v>
      </c>
      <c r="E1075" s="178" t="n">
        <v>-46.7</v>
      </c>
      <c r="F1075" s="178" t="n">
        <v>-47</v>
      </c>
      <c r="G1075" s="178" t="n">
        <v>-3.5</v>
      </c>
      <c r="H1075" s="178" t="n">
        <v>-0.8</v>
      </c>
      <c r="I1075" s="178" t="n">
        <v>-1.3</v>
      </c>
      <c r="J1075" s="178" t="n">
        <v>79.5</v>
      </c>
      <c r="K1075" s="179" t="inlineStr">
        <is>
          <t>3378 HANXBIO-B</t>
        </is>
      </c>
    </row>
    <row r="1076">
      <c r="A1076" s="17" t="inlineStr">
        <is>
          <t>Awaken Thunder Capital Limited</t>
        </is>
      </c>
      <c r="B1076" s="171" t="n">
        <v>1</v>
      </c>
      <c r="C1076" s="177" t="n">
        <v>0</v>
      </c>
      <c r="D1076" s="178" t="n">
        <v>-46.2</v>
      </c>
      <c r="E1076" s="178" t="n">
        <v>-46.7</v>
      </c>
      <c r="F1076" s="178" t="n">
        <v>-47</v>
      </c>
      <c r="G1076" s="178" t="n">
        <v>-3.5</v>
      </c>
      <c r="H1076" s="178" t="n">
        <v>-0.8</v>
      </c>
      <c r="I1076" s="178" t="n">
        <v>-1.3</v>
      </c>
      <c r="J1076" s="178" t="n">
        <v>79.5</v>
      </c>
      <c r="K1076" s="179" t="inlineStr">
        <is>
          <t>3378 HANXBIO-B</t>
        </is>
      </c>
    </row>
    <row r="1077">
      <c r="A1077" s="17" t="inlineStr">
        <is>
          <t>Betta Pharmaceuticals Co., Ltd</t>
        </is>
      </c>
      <c r="B1077" s="171" t="n">
        <v>1</v>
      </c>
      <c r="C1077" s="177" t="n">
        <v>0</v>
      </c>
      <c r="D1077" s="178" t="n">
        <v>-46.2</v>
      </c>
      <c r="E1077" s="178" t="n">
        <v>-46.7</v>
      </c>
      <c r="F1077" s="178" t="n">
        <v>-47</v>
      </c>
      <c r="G1077" s="178" t="n">
        <v>-3.5</v>
      </c>
      <c r="H1077" s="178" t="n">
        <v>-0.8</v>
      </c>
      <c r="I1077" s="178" t="n">
        <v>-1.3</v>
      </c>
      <c r="J1077" s="178" t="n">
        <v>79.5</v>
      </c>
      <c r="K1077" s="179" t="inlineStr">
        <is>
          <t>3378 HANXBIO-B</t>
        </is>
      </c>
    </row>
    <row r="1078">
      <c r="A1078" s="17" t="inlineStr">
        <is>
          <t>Lapam Capital HK Co., Limited</t>
        </is>
      </c>
      <c r="B1078" s="171" t="n">
        <v>1</v>
      </c>
      <c r="C1078" s="177" t="n">
        <v>0</v>
      </c>
      <c r="D1078" s="178" t="n">
        <v>-46.2</v>
      </c>
      <c r="E1078" s="178" t="n">
        <v>-46.7</v>
      </c>
      <c r="F1078" s="178" t="n">
        <v>-47</v>
      </c>
      <c r="G1078" s="178" t="n">
        <v>-3.5</v>
      </c>
      <c r="H1078" s="178" t="n">
        <v>-0.8</v>
      </c>
      <c r="I1078" s="178" t="n">
        <v>-1.3</v>
      </c>
      <c r="J1078" s="178" t="n">
        <v>79.5</v>
      </c>
      <c r="K1078" s="179" t="inlineStr">
        <is>
          <t>3378 HANXBIO-B</t>
        </is>
      </c>
    </row>
    <row r="1079">
      <c r="A1079" s="17" t="inlineStr">
        <is>
          <t>Xiao Jieyu</t>
        </is>
      </c>
      <c r="B1079" s="171" t="n">
        <v>1</v>
      </c>
      <c r="C1079" s="177" t="n">
        <v>0</v>
      </c>
      <c r="D1079" s="178" t="n">
        <v>-46.2</v>
      </c>
      <c r="E1079" s="178" t="n">
        <v>-46.7</v>
      </c>
      <c r="F1079" s="178" t="n">
        <v>-47</v>
      </c>
      <c r="G1079" s="178" t="n">
        <v>-3.5</v>
      </c>
      <c r="H1079" s="178" t="n">
        <v>-0.8</v>
      </c>
      <c r="I1079" s="178" t="n">
        <v>-1.3</v>
      </c>
      <c r="J1079" s="178" t="n">
        <v>79.5</v>
      </c>
      <c r="K1079" s="179" t="inlineStr">
        <is>
          <t>3378 HANXBIO-B</t>
        </is>
      </c>
    </row>
    <row r="1080">
      <c r="A1080" s="17" t="inlineStr">
        <is>
          <t>Liao Tong</t>
        </is>
      </c>
      <c r="B1080" s="171" t="n">
        <v>1</v>
      </c>
      <c r="C1080" s="177" t="n">
        <v>0</v>
      </c>
      <c r="D1080" s="178" t="n">
        <v>-46.2</v>
      </c>
      <c r="E1080" s="178" t="n">
        <v>-46.7</v>
      </c>
      <c r="F1080" s="178" t="n">
        <v>-47</v>
      </c>
      <c r="G1080" s="178" t="n">
        <v>-3.5</v>
      </c>
      <c r="H1080" s="178" t="n">
        <v>-0.8</v>
      </c>
      <c r="I1080" s="178" t="n">
        <v>-1.3</v>
      </c>
      <c r="J1080" s="178" t="n">
        <v>79.5</v>
      </c>
      <c r="K1080" s="179" t="inlineStr">
        <is>
          <t>3378 HANXBIO-B</t>
        </is>
      </c>
    </row>
    <row r="1081">
      <c r="A1081" s="17" t="inlineStr">
        <is>
          <t>Anhui Shengchang</t>
        </is>
      </c>
      <c r="B1081" s="171" t="n">
        <v>1</v>
      </c>
      <c r="C1081" s="177" t="n">
        <v>0</v>
      </c>
      <c r="D1081" s="178" t="n">
        <v>-47.7</v>
      </c>
      <c r="E1081" s="178" t="n">
        <v>-51.7</v>
      </c>
      <c r="F1081" s="178" t="n">
        <v>-54.7</v>
      </c>
      <c r="G1081" s="178" t="n">
        <v>-41.3</v>
      </c>
      <c r="H1081" s="178" t="n">
        <v>-7.6</v>
      </c>
      <c r="I1081" s="178" t="n">
        <v>-13.4</v>
      </c>
      <c r="J1081" s="178" t="n">
        <v>12.1</v>
      </c>
      <c r="K1081" s="179" t="inlineStr">
        <is>
          <t>2560 CONCH MAT TECH</t>
        </is>
      </c>
    </row>
    <row r="1082">
      <c r="A1082" s="17" t="inlineStr">
        <is>
          <t>Wuhu Artec</t>
        </is>
      </c>
      <c r="B1082" s="171" t="n">
        <v>1</v>
      </c>
      <c r="C1082" s="177" t="n">
        <v>0</v>
      </c>
      <c r="D1082" s="178" t="n">
        <v>-47.7</v>
      </c>
      <c r="E1082" s="178" t="n">
        <v>-51.7</v>
      </c>
      <c r="F1082" s="178" t="n">
        <v>-54.7</v>
      </c>
      <c r="G1082" s="178" t="n">
        <v>-41.3</v>
      </c>
      <c r="H1082" s="178" t="n">
        <v>-7.6</v>
      </c>
      <c r="I1082" s="178" t="n">
        <v>-13.4</v>
      </c>
      <c r="J1082" s="178" t="n">
        <v>12.1</v>
      </c>
      <c r="K1082" s="179" t="inlineStr">
        <is>
          <t>2560 CONCH MAT TECH</t>
        </is>
      </c>
    </row>
    <row r="1083">
      <c r="A1083" s="17" t="inlineStr">
        <is>
          <t>Guangdong Zongxing</t>
        </is>
      </c>
      <c r="B1083" s="171" t="n">
        <v>1</v>
      </c>
      <c r="C1083" s="177" t="n">
        <v>0</v>
      </c>
      <c r="D1083" s="178" t="n">
        <v>-47.7</v>
      </c>
      <c r="E1083" s="178" t="n">
        <v>-51.7</v>
      </c>
      <c r="F1083" s="178" t="n">
        <v>-54.7</v>
      </c>
      <c r="G1083" s="178" t="n">
        <v>-41.3</v>
      </c>
      <c r="H1083" s="178" t="n">
        <v>-7.6</v>
      </c>
      <c r="I1083" s="178" t="n">
        <v>-13.4</v>
      </c>
      <c r="J1083" s="178" t="n">
        <v>12.1</v>
      </c>
      <c r="K1083" s="179" t="inlineStr">
        <is>
          <t>2560 CONCH MAT TECH</t>
        </is>
      </c>
    </row>
    <row r="1084">
      <c r="A1084" s="17" t="inlineStr">
        <is>
          <t>Shenzhen Gaodeng</t>
        </is>
      </c>
      <c r="B1084" s="171" t="n">
        <v>1</v>
      </c>
      <c r="C1084" s="177" t="n">
        <v>0</v>
      </c>
      <c r="D1084" s="178" t="n">
        <v>-47.7</v>
      </c>
      <c r="E1084" s="178" t="n">
        <v>-51.7</v>
      </c>
      <c r="F1084" s="178" t="n">
        <v>-54.7</v>
      </c>
      <c r="G1084" s="178" t="n">
        <v>-41.3</v>
      </c>
      <c r="H1084" s="178" t="n">
        <v>-7.6</v>
      </c>
      <c r="I1084" s="178" t="n">
        <v>-13.4</v>
      </c>
      <c r="J1084" s="178" t="n">
        <v>12.1</v>
      </c>
      <c r="K1084" s="179" t="inlineStr">
        <is>
          <t>2560 CONCH MAT TECH</t>
        </is>
      </c>
    </row>
    <row r="1085">
      <c r="A1085" s="17" t="inlineStr">
        <is>
          <t>Jiantou International (Hong Kong) Co., Limited</t>
        </is>
      </c>
      <c r="B1085" s="171" t="n">
        <v>1</v>
      </c>
      <c r="C1085" s="177" t="n">
        <v>0</v>
      </c>
      <c r="D1085" s="178" t="n">
        <v>-49.2</v>
      </c>
      <c r="E1085" s="178" t="n">
        <v>-53.2</v>
      </c>
      <c r="F1085" s="178" t="n">
        <v>-62.3</v>
      </c>
      <c r="G1085" s="178" t="n">
        <v>-74.8</v>
      </c>
      <c r="H1085" s="178" t="n">
        <v>-7.9</v>
      </c>
      <c r="I1085" s="178" t="n">
        <v>-25.8</v>
      </c>
      <c r="J1085" s="178" t="n">
        <v>-50.5</v>
      </c>
      <c r="K1085" s="179" t="inlineStr">
        <is>
          <t>0664 TONGSHIFU</t>
        </is>
      </c>
    </row>
    <row r="1086">
      <c r="A1086" s="17" t="inlineStr">
        <is>
          <t>Heron Neutron Medical</t>
        </is>
      </c>
      <c r="B1086" s="171" t="n">
        <v>1</v>
      </c>
      <c r="C1086" s="177" t="n">
        <v>0</v>
      </c>
      <c r="D1086" s="178" t="n">
        <v>-49.5</v>
      </c>
      <c r="E1086" s="178" t="n">
        <v>-56</v>
      </c>
      <c r="F1086" s="178" t="n">
        <v>-56.2</v>
      </c>
      <c r="G1086" s="178" t="n">
        <v>-63.1</v>
      </c>
      <c r="H1086" s="178" t="n">
        <v>-12.9</v>
      </c>
      <c r="I1086" s="178" t="n">
        <v>-13.4</v>
      </c>
      <c r="J1086" s="178" t="n">
        <v>-26.9</v>
      </c>
      <c r="K1086" s="179" t="inlineStr">
        <is>
          <t>2581 BENQ HOLDING</t>
        </is>
      </c>
    </row>
    <row r="1087">
      <c r="A1087" s="17" t="inlineStr">
        <is>
          <t>Cowealth (China)</t>
        </is>
      </c>
      <c r="B1087" s="171" t="n">
        <v>1</v>
      </c>
      <c r="C1087" s="177" t="n">
        <v>0</v>
      </c>
      <c r="D1087" s="178" t="n">
        <v>-49.5</v>
      </c>
      <c r="E1087" s="178" t="n">
        <v>-56</v>
      </c>
      <c r="F1087" s="178" t="n">
        <v>-56.2</v>
      </c>
      <c r="G1087" s="178" t="n">
        <v>-63.1</v>
      </c>
      <c r="H1087" s="178" t="n">
        <v>-12.9</v>
      </c>
      <c r="I1087" s="178" t="n">
        <v>-13.4</v>
      </c>
      <c r="J1087" s="178" t="n">
        <v>-26.9</v>
      </c>
      <c r="K1087" s="179" t="inlineStr">
        <is>
          <t>2581 BENQ HOLDING</t>
        </is>
      </c>
    </row>
    <row r="1088">
      <c r="A1088" s="17" t="inlineStr">
        <is>
          <t>DFI Development Holdings Limited</t>
        </is>
      </c>
      <c r="B1088" s="171" t="n">
        <v>1</v>
      </c>
      <c r="C1088" s="177" t="n">
        <v>0</v>
      </c>
      <c r="D1088" s="178" t="n">
        <v>-54.3</v>
      </c>
      <c r="E1088" s="178" t="n">
        <v>-79.2</v>
      </c>
      <c r="F1088" s="178" t="n">
        <v>-80.2</v>
      </c>
      <c r="G1088" s="178" t="n">
        <v>-57</v>
      </c>
      <c r="H1088" s="178" t="n">
        <v>-54.4</v>
      </c>
      <c r="I1088" s="178" t="n">
        <v>-56.6</v>
      </c>
      <c r="J1088" s="178" t="n">
        <v>-5.8</v>
      </c>
      <c r="K1088" s="179" t="inlineStr">
        <is>
          <t>2586 DMALL</t>
        </is>
      </c>
    </row>
    <row r="1089">
      <c r="A1089" s="17" t="inlineStr">
        <is>
          <t>CAPRET (SG) PTE. LTD</t>
        </is>
      </c>
      <c r="B1089" s="171" t="n">
        <v>1</v>
      </c>
      <c r="C1089" s="177" t="n">
        <v>0</v>
      </c>
      <c r="D1089" s="178" t="n">
        <v>-54.3</v>
      </c>
      <c r="E1089" s="178" t="n">
        <v>-79.2</v>
      </c>
      <c r="F1089" s="178" t="n">
        <v>-80.2</v>
      </c>
      <c r="G1089" s="178" t="n">
        <v>-57</v>
      </c>
      <c r="H1089" s="178" t="n">
        <v>-54.4</v>
      </c>
      <c r="I1089" s="178" t="n">
        <v>-56.6</v>
      </c>
      <c r="J1089" s="178" t="n">
        <v>-5.8</v>
      </c>
      <c r="K1089" s="179" t="inlineStr">
        <is>
          <t>2586 DMALL</t>
        </is>
      </c>
    </row>
    <row r="1090">
      <c r="A1090" s="17" t="inlineStr">
        <is>
          <t>Odor Nice Limited</t>
        </is>
      </c>
      <c r="B1090" s="171" t="n">
        <v>1</v>
      </c>
      <c r="C1090" s="177" t="n">
        <v>0</v>
      </c>
      <c r="D1090" s="178" t="n">
        <v>-54.3</v>
      </c>
      <c r="E1090" s="178" t="n">
        <v>-79.2</v>
      </c>
      <c r="F1090" s="178" t="n">
        <v>-80.2</v>
      </c>
      <c r="G1090" s="178" t="n">
        <v>-57</v>
      </c>
      <c r="H1090" s="178" t="n">
        <v>-54.4</v>
      </c>
      <c r="I1090" s="178" t="n">
        <v>-56.6</v>
      </c>
      <c r="J1090" s="178" t="n">
        <v>-5.8</v>
      </c>
      <c r="K1090" s="179" t="inlineStr">
        <is>
          <t>2586 DMALL</t>
        </is>
      </c>
    </row>
    <row r="1091">
      <c r="A1091" s="17" t="inlineStr">
        <is>
          <t>Woseon Limited Partnership</t>
        </is>
      </c>
      <c r="B1091" s="171" t="n">
        <v>1</v>
      </c>
      <c r="C1091" s="177" t="n">
        <v>0</v>
      </c>
      <c r="D1091" s="178" t="n">
        <v>-56.7</v>
      </c>
      <c r="E1091" s="178" t="n">
        <v>-56.7</v>
      </c>
      <c r="F1091" s="178" t="n">
        <v>-62.5</v>
      </c>
      <c r="G1091" s="178" t="n">
        <v>-75.3</v>
      </c>
      <c r="H1091" s="178" t="n">
        <v>0</v>
      </c>
      <c r="I1091" s="178" t="n">
        <v>-13.4</v>
      </c>
      <c r="J1091" s="178" t="n">
        <v>-42.9</v>
      </c>
      <c r="K1091" s="179" t="inlineStr">
        <is>
          <t>2567 QINIU</t>
        </is>
      </c>
    </row>
    <row r="1092">
      <c r="A1092" s="17" t="inlineStr">
        <is>
          <t>Key Broad Future Limited</t>
        </is>
      </c>
      <c r="B1092" s="171" t="n">
        <v>1</v>
      </c>
      <c r="C1092" s="177" t="n">
        <v>0</v>
      </c>
      <c r="D1092" s="178" t="n">
        <v>-56.9</v>
      </c>
      <c r="E1092" s="178" t="n">
        <v>-56.1</v>
      </c>
      <c r="F1092" s="178" t="n">
        <v>-42.5</v>
      </c>
      <c r="G1092" s="178" t="n">
        <v>-47.1</v>
      </c>
      <c r="H1092" s="178" t="n">
        <v>1.7</v>
      </c>
      <c r="I1092" s="178" t="n">
        <v>33.3</v>
      </c>
      <c r="J1092" s="178" t="n">
        <v>22.7</v>
      </c>
      <c r="K1092" s="179" t="inlineStr">
        <is>
          <t>6132 HJ SCIENCE-B</t>
        </is>
      </c>
    </row>
  </sheetData>
  <autoFilter ref="A4:K1092"/>
  <conditionalFormatting sqref="D5:D1092">
    <cfRule type="colorScale" priority="1">
      <colorScale>
        <cfvo type="num" val="-40"/>
        <cfvo type="num" val="0"/>
        <cfvo type="num" val="60"/>
        <color rgb="00F8696B"/>
        <color rgb="00FFFFFF"/>
        <color rgb="0063BE7B"/>
      </colorScale>
    </cfRule>
  </conditionalFormatting>
  <conditionalFormatting sqref="E5:E1092">
    <cfRule type="colorScale" priority="2">
      <colorScale>
        <cfvo type="num" val="-40"/>
        <cfvo type="num" val="0"/>
        <cfvo type="num" val="60"/>
        <color rgb="00F8696B"/>
        <color rgb="00FFFFFF"/>
        <color rgb="0063BE7B"/>
      </colorScale>
    </cfRule>
  </conditionalFormatting>
  <conditionalFormatting sqref="F5:F1092">
    <cfRule type="colorScale" priority="3">
      <colorScale>
        <cfvo type="num" val="-40"/>
        <cfvo type="num" val="0"/>
        <cfvo type="num" val="60"/>
        <color rgb="00F8696B"/>
        <color rgb="00FFFFFF"/>
        <color rgb="0063BE7B"/>
      </colorScale>
    </cfRule>
  </conditionalFormatting>
  <conditionalFormatting sqref="G5:G1092">
    <cfRule type="colorScale" priority="4">
      <colorScale>
        <cfvo type="num" val="-40"/>
        <cfvo type="num" val="0"/>
        <cfvo type="num" val="60"/>
        <color rgb="00F8696B"/>
        <color rgb="00FFFFFF"/>
        <color rgb="0063BE7B"/>
      </colorScale>
    </cfRule>
  </conditionalFormatting>
  <conditionalFormatting sqref="H5:H1092">
    <cfRule type="colorScale" priority="5">
      <colorScale>
        <cfvo type="num" val="-40"/>
        <cfvo type="num" val="0"/>
        <cfvo type="num" val="60"/>
        <color rgb="00F8696B"/>
        <color rgb="00FFFFFF"/>
        <color rgb="0063BE7B"/>
      </colorScale>
    </cfRule>
  </conditionalFormatting>
  <conditionalFormatting sqref="I5:I1092">
    <cfRule type="colorScale" priority="6">
      <colorScale>
        <cfvo type="num" val="-40"/>
        <cfvo type="num" val="0"/>
        <cfvo type="num" val="60"/>
        <color rgb="00F8696B"/>
        <color rgb="00FFFFFF"/>
        <color rgb="0063BE7B"/>
      </colorScale>
    </cfRule>
  </conditionalFormatting>
  <conditionalFormatting sqref="J5:J109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9" t="inlineStr">
        <is>
          <t>DAY 1</t>
        </is>
      </c>
      <c r="H3" s="169" t="inlineStr">
        <is>
          <t>VS OFFER (WITH POP)</t>
        </is>
      </c>
      <c r="K3" s="169" t="inlineStr">
        <is>
          <t>FROM DAY-1 CLOSE (EX-POP)</t>
        </is>
      </c>
      <c r="N3" s="169"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71" t="n">
        <v>91</v>
      </c>
      <c r="C5" s="177" t="n">
        <v>60</v>
      </c>
      <c r="D5" s="178" t="n">
        <v>24.9</v>
      </c>
      <c r="E5" s="178" t="n">
        <v>29.1</v>
      </c>
      <c r="F5" s="178" t="n">
        <v>2.6</v>
      </c>
      <c r="G5" s="171" t="n">
        <v>91</v>
      </c>
      <c r="H5" s="178" t="n">
        <v>32.4</v>
      </c>
      <c r="I5" s="178" t="n">
        <v>35.9</v>
      </c>
      <c r="J5" s="178" t="n">
        <v>47.4</v>
      </c>
      <c r="K5" s="178" t="n">
        <v>2.5</v>
      </c>
      <c r="L5" s="178" t="n">
        <v>5.7</v>
      </c>
      <c r="M5" s="178" t="n">
        <v>16.3</v>
      </c>
      <c r="N5" s="177" t="n">
        <v>24</v>
      </c>
      <c r="O5" s="177" t="n">
        <v>39</v>
      </c>
      <c r="P5" s="171" t="n">
        <v>71</v>
      </c>
      <c r="Q5" s="180" t="n">
        <v>2610.8</v>
      </c>
      <c r="R5" s="179"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71" t="n">
        <v>39</v>
      </c>
      <c r="C6" s="177" t="n">
        <v>62</v>
      </c>
      <c r="D6" s="178" t="n">
        <v>20.3</v>
      </c>
      <c r="E6" s="178" t="n">
        <v>19.7</v>
      </c>
      <c r="F6" s="178" t="n">
        <v>-0.1</v>
      </c>
      <c r="G6" s="171" t="n">
        <v>39</v>
      </c>
      <c r="H6" s="178" t="n">
        <v>22.9</v>
      </c>
      <c r="I6" s="178" t="n">
        <v>19.2</v>
      </c>
      <c r="J6" s="178" t="n">
        <v>27.1</v>
      </c>
      <c r="K6" s="178" t="n">
        <v>0.3</v>
      </c>
      <c r="L6" s="178" t="n">
        <v>-1.6</v>
      </c>
      <c r="M6" s="178" t="n">
        <v>2.4</v>
      </c>
      <c r="N6" s="177" t="n">
        <v>31</v>
      </c>
      <c r="O6" s="177" t="n">
        <v>40</v>
      </c>
      <c r="P6" s="171" t="n">
        <v>35</v>
      </c>
      <c r="Q6" s="180" t="n">
        <v>4848.1</v>
      </c>
      <c r="R6" s="179"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71" t="n">
        <v>32</v>
      </c>
      <c r="C7" s="177" t="n">
        <v>41</v>
      </c>
      <c r="D7" s="178" t="n">
        <v>13.8</v>
      </c>
      <c r="E7" s="178" t="n">
        <v>12.2</v>
      </c>
      <c r="F7" s="178" t="n">
        <v>-1.4</v>
      </c>
      <c r="G7" s="171" t="n">
        <v>32</v>
      </c>
      <c r="H7" s="178" t="n">
        <v>11.7</v>
      </c>
      <c r="I7" s="178" t="n">
        <v>12.9</v>
      </c>
      <c r="J7" s="178" t="n">
        <v>10.1</v>
      </c>
      <c r="K7" s="178" t="n">
        <v>-0.5</v>
      </c>
      <c r="L7" s="178" t="n">
        <v>-0.2</v>
      </c>
      <c r="M7" s="178" t="n">
        <v>-0.2</v>
      </c>
      <c r="N7" s="177" t="n">
        <v>21</v>
      </c>
      <c r="O7" s="177" t="n">
        <v>32</v>
      </c>
      <c r="P7" s="171" t="n">
        <v>28</v>
      </c>
      <c r="Q7" s="180" t="n">
        <v>5695.1</v>
      </c>
      <c r="R7" s="179"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71" t="n">
        <v>27</v>
      </c>
      <c r="C8" s="177" t="n">
        <v>70</v>
      </c>
      <c r="D8" s="178" t="n">
        <v>47</v>
      </c>
      <c r="E8" s="178" t="n">
        <v>39.5</v>
      </c>
      <c r="F8" s="178" t="n">
        <v>-4.1</v>
      </c>
      <c r="G8" s="171" t="n">
        <v>27</v>
      </c>
      <c r="H8" s="178" t="n">
        <v>33</v>
      </c>
      <c r="I8" s="178" t="n">
        <v>38.1</v>
      </c>
      <c r="J8" s="178" t="n">
        <v>87.8</v>
      </c>
      <c r="K8" s="178" t="n">
        <v>-4.4</v>
      </c>
      <c r="L8" s="178" t="n">
        <v>-1.7</v>
      </c>
      <c r="M8" s="178" t="n">
        <v>29</v>
      </c>
      <c r="N8" s="177" t="n">
        <v>44</v>
      </c>
      <c r="O8" s="177" t="n">
        <v>33</v>
      </c>
      <c r="P8" s="171" t="n">
        <v>18</v>
      </c>
      <c r="Q8" s="180" t="n">
        <v>2203.8</v>
      </c>
      <c r="R8" s="179"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t>
        </is>
      </c>
    </row>
    <row r="9">
      <c r="A9" s="17" t="inlineStr">
        <is>
          <t>Huatai Financial Holdings</t>
        </is>
      </c>
      <c r="B9" s="171" t="n">
        <v>18</v>
      </c>
      <c r="C9" s="177" t="n">
        <v>33</v>
      </c>
      <c r="D9" s="178" t="n">
        <v>2.1</v>
      </c>
      <c r="E9" s="178" t="n">
        <v>-1</v>
      </c>
      <c r="F9" s="178" t="n">
        <v>-2.2</v>
      </c>
      <c r="G9" s="171" t="n">
        <v>18</v>
      </c>
      <c r="H9" s="178" t="n">
        <v>-1.3</v>
      </c>
      <c r="I9" s="178" t="n">
        <v>-11.6</v>
      </c>
      <c r="J9" s="178" t="n">
        <v>-3.1</v>
      </c>
      <c r="K9" s="178" t="n">
        <v>-1.7</v>
      </c>
      <c r="L9" s="178" t="n">
        <v>-10.3</v>
      </c>
      <c r="M9" s="178" t="n">
        <v>-1.1</v>
      </c>
      <c r="N9" s="177" t="n">
        <v>7</v>
      </c>
      <c r="O9" s="177" t="n">
        <v>67</v>
      </c>
      <c r="P9" s="171" t="n">
        <v>15</v>
      </c>
      <c r="Q9" s="180" t="n">
        <v>2345.8</v>
      </c>
      <c r="R9" s="179"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71" t="n">
        <v>13</v>
      </c>
      <c r="C10" s="177" t="n">
        <v>54</v>
      </c>
      <c r="D10" s="178" t="n">
        <v>5.2</v>
      </c>
      <c r="E10" s="178" t="n">
        <v>8.9</v>
      </c>
      <c r="F10" s="178" t="n">
        <v>2.9</v>
      </c>
      <c r="G10" s="171" t="n">
        <v>13</v>
      </c>
      <c r="H10" s="178" t="n">
        <v>9.199999999999999</v>
      </c>
      <c r="I10" s="178" t="n">
        <v>13.1</v>
      </c>
      <c r="J10" s="178" t="n">
        <v>60.8</v>
      </c>
      <c r="K10" s="178" t="n">
        <v>1.2</v>
      </c>
      <c r="L10" s="178" t="n">
        <v>6.1</v>
      </c>
      <c r="M10" s="178" t="n">
        <v>54</v>
      </c>
      <c r="N10" s="177" t="n">
        <v>8</v>
      </c>
      <c r="O10" s="177" t="n">
        <v>42</v>
      </c>
      <c r="P10" s="171" t="n">
        <v>12</v>
      </c>
      <c r="Q10" s="180" t="n">
        <v>1262</v>
      </c>
      <c r="R10" s="179"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71" t="n">
        <v>12</v>
      </c>
      <c r="C11" s="177" t="n">
        <v>50</v>
      </c>
      <c r="D11" s="178" t="n">
        <v>8.199999999999999</v>
      </c>
      <c r="E11" s="178" t="n">
        <v>18.3</v>
      </c>
      <c r="F11" s="178" t="n">
        <v>8.199999999999999</v>
      </c>
      <c r="G11" s="171" t="n">
        <v>12</v>
      </c>
      <c r="H11" s="178" t="n">
        <v>16.8</v>
      </c>
      <c r="I11" s="178" t="n">
        <v>23.5</v>
      </c>
      <c r="J11" s="178" t="n">
        <v>49.3</v>
      </c>
      <c r="K11" s="178" t="n">
        <v>-1.7</v>
      </c>
      <c r="L11" s="178" t="n">
        <v>-0.9</v>
      </c>
      <c r="M11" s="178" t="n">
        <v>13.9</v>
      </c>
      <c r="N11" s="177" t="n">
        <v>20</v>
      </c>
      <c r="O11" s="177" t="n">
        <v>20</v>
      </c>
      <c r="P11" s="171" t="n">
        <v>10</v>
      </c>
      <c r="Q11" s="180" t="n">
        <v>485.5</v>
      </c>
      <c r="R11" s="179"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71" t="n">
        <v>11</v>
      </c>
      <c r="C12" s="177" t="n">
        <v>82</v>
      </c>
      <c r="D12" s="178" t="n">
        <v>24</v>
      </c>
      <c r="E12" s="178" t="n">
        <v>24</v>
      </c>
      <c r="F12" s="178" t="n">
        <v>1.2</v>
      </c>
      <c r="G12" s="171" t="n">
        <v>11</v>
      </c>
      <c r="H12" s="178" t="n">
        <v>12.4</v>
      </c>
      <c r="I12" s="178" t="n">
        <v>8.5</v>
      </c>
      <c r="J12" s="178" t="n">
        <v>4.1</v>
      </c>
      <c r="K12" s="178" t="n">
        <v>-6.2</v>
      </c>
      <c r="L12" s="178" t="n">
        <v>-9.5</v>
      </c>
      <c r="M12" s="178" t="n">
        <v>-10</v>
      </c>
      <c r="N12" s="177" t="n">
        <v>11</v>
      </c>
      <c r="O12" s="177" t="n">
        <v>67</v>
      </c>
      <c r="P12" s="171" t="n">
        <v>9</v>
      </c>
      <c r="Q12" s="180" t="n">
        <v>677</v>
      </c>
      <c r="R12" s="179" t="inlineStr">
        <is>
          <t>2219 CHAOJU EYE CARE; 1965 LANDSEA LIFE; 2436 LX TECHNOLOGY; 2482 LOGORY; 2499 FOLANGSI; 2502 JINYUAN HCHEM; 6657 BAIWANG CO; 2651 DAZHONG DENTAL; 1236 LDROBOT; 7687 EACON; 2261 NASN TECH</t>
        </is>
      </c>
    </row>
    <row r="13">
      <c r="A13" s="17" t="inlineStr">
        <is>
          <t>J.P. Morgan Securities</t>
        </is>
      </c>
      <c r="B13" s="171" t="n">
        <v>10</v>
      </c>
      <c r="C13" s="177" t="n">
        <v>20</v>
      </c>
      <c r="D13" s="178" t="n">
        <v>21.3</v>
      </c>
      <c r="E13" s="178" t="n">
        <v>14.5</v>
      </c>
      <c r="F13" s="178" t="n">
        <v>-5.1</v>
      </c>
      <c r="G13" s="171" t="n">
        <v>10</v>
      </c>
      <c r="H13" s="178" t="n">
        <v>22.2</v>
      </c>
      <c r="I13" s="178" t="n">
        <v>9.800000000000001</v>
      </c>
      <c r="J13" s="178" t="n">
        <v>-6.9</v>
      </c>
      <c r="K13" s="178" t="n">
        <v>-0.5</v>
      </c>
      <c r="L13" s="178" t="n">
        <v>-7</v>
      </c>
      <c r="M13" s="178" t="n">
        <v>-13.1</v>
      </c>
      <c r="N13" s="177" t="n">
        <v>11</v>
      </c>
      <c r="O13" s="177" t="n">
        <v>33</v>
      </c>
      <c r="P13" s="171" t="n">
        <v>9</v>
      </c>
      <c r="Q13" s="180" t="n">
        <v>6089</v>
      </c>
      <c r="R13" s="179" t="inlineStr">
        <is>
          <t>2150 NAYUKI; 9868 XPENG-W; 9863 LEAPMOTOR; 2498 ROBOSENSE; 2510 TS LINES; 6936 SF HOLDING; 3887 HASHKEY HLDGS; 0470 WUXI LEAD; 0068 MANYCORE TECH; 2476 VGT</t>
        </is>
      </c>
    </row>
    <row r="14">
      <c r="A14" s="17" t="inlineStr">
        <is>
          <t>CMB International Global Markets Limited</t>
        </is>
      </c>
      <c r="B14" s="171" t="n">
        <v>8</v>
      </c>
      <c r="C14" s="177" t="n">
        <v>50</v>
      </c>
      <c r="D14" s="178" t="n">
        <v>4.1</v>
      </c>
      <c r="E14" s="178" t="n">
        <v>5.8</v>
      </c>
      <c r="F14" s="178" t="n">
        <v>-0.2</v>
      </c>
      <c r="G14" s="171" t="n">
        <v>8</v>
      </c>
      <c r="H14" s="178" t="n">
        <v>-2.3</v>
      </c>
      <c r="I14" s="178" t="n">
        <v>2.3</v>
      </c>
      <c r="J14" s="178" t="n">
        <v>8</v>
      </c>
      <c r="K14" s="178" t="n">
        <v>-3.4</v>
      </c>
      <c r="L14" s="178" t="n">
        <v>-3.7</v>
      </c>
      <c r="M14" s="178" t="n">
        <v>0.5</v>
      </c>
      <c r="N14" s="177" t="n">
        <v>12</v>
      </c>
      <c r="O14" s="177" t="n">
        <v>62</v>
      </c>
      <c r="P14" s="171" t="n">
        <v>8</v>
      </c>
      <c r="Q14" s="180" t="n">
        <v>740.3</v>
      </c>
      <c r="R14" s="179" t="inlineStr">
        <is>
          <t>2325 YUNKANG GROUP; 2392 XUANWU CLOUD; 2505 EDA GROUP HLDGS; 2549 CAROTE LTD; 6831 GREEN TEA GROUP; 2408 XIAO NOODLES; 0664 TONGSHIFU; 3952 LAIFUAL</t>
        </is>
      </c>
    </row>
    <row r="15">
      <c r="A15" s="17" t="inlineStr">
        <is>
          <t>Merrill Lynch</t>
        </is>
      </c>
      <c r="B15" s="171" t="n">
        <v>8</v>
      </c>
      <c r="C15" s="177" t="n">
        <v>25</v>
      </c>
      <c r="D15" s="178" t="n">
        <v>5.9</v>
      </c>
      <c r="E15" s="178" t="n">
        <v>5.1</v>
      </c>
      <c r="F15" s="178" t="n">
        <v>-0.7</v>
      </c>
      <c r="G15" s="171" t="n">
        <v>8</v>
      </c>
      <c r="H15" s="178" t="n">
        <v>12</v>
      </c>
      <c r="I15" s="178" t="n">
        <v>14.6</v>
      </c>
      <c r="J15" s="178" t="n">
        <v>3.4</v>
      </c>
      <c r="K15" s="178" t="n">
        <v>4.9</v>
      </c>
      <c r="L15" s="178" t="n">
        <v>7</v>
      </c>
      <c r="M15" s="178" t="n">
        <v>-7</v>
      </c>
      <c r="N15" s="177" t="n">
        <v>17</v>
      </c>
      <c r="O15" s="177" t="n">
        <v>33</v>
      </c>
      <c r="P15" s="171" t="n">
        <v>6</v>
      </c>
      <c r="Q15" s="180" t="n">
        <v>7514</v>
      </c>
      <c r="R15" s="179" t="inlineStr">
        <is>
          <t>9888 BIDU-SW; 2618 JD LOGISTICS; 9899 CLOUD VILLAGE; 2273 GUSHENGTANG; 9896 MNSO; 1405 DPC DASH; 2097 MIXUE GROUP; 7618 JD INDUSTRIALS</t>
        </is>
      </c>
    </row>
    <row r="16">
      <c r="A16" s="17" t="inlineStr">
        <is>
          <t>UBS AG Hong Kong Branch</t>
        </is>
      </c>
      <c r="B16" s="171" t="n">
        <v>8</v>
      </c>
      <c r="C16" s="177" t="n">
        <v>50</v>
      </c>
      <c r="D16" s="178" t="n">
        <v>2.9</v>
      </c>
      <c r="E16" s="178" t="n">
        <v>-3.9</v>
      </c>
      <c r="F16" s="178" t="n">
        <v>-8.4</v>
      </c>
      <c r="G16" s="171" t="n">
        <v>8</v>
      </c>
      <c r="H16" s="178" t="n">
        <v>-19</v>
      </c>
      <c r="I16" s="178" t="n">
        <v>-25.2</v>
      </c>
      <c r="J16" s="178" t="n">
        <v>-18.2</v>
      </c>
      <c r="K16" s="178" t="n">
        <v>-18.8</v>
      </c>
      <c r="L16" s="178" t="n">
        <v>-26.5</v>
      </c>
      <c r="M16" s="178" t="n">
        <v>-15</v>
      </c>
      <c r="N16" s="177" t="n">
        <v>0</v>
      </c>
      <c r="O16" s="177" t="n">
        <v>60</v>
      </c>
      <c r="P16" s="171" t="n">
        <v>5</v>
      </c>
      <c r="Q16" s="180" t="n">
        <v>1406</v>
      </c>
      <c r="R16" s="179" t="inlineStr">
        <is>
          <t>0606 SCE CM; 2121 AINNOVATION; 2246 GOGOX; 6955 BOAN BIOTECH-B; 2460 CR BEVERAGE; 2586 DMALL; 0999 XIAOCAIYUAN; 2508 SAINT BELLA</t>
        </is>
      </c>
    </row>
    <row r="17">
      <c r="A17" s="17" t="inlineStr">
        <is>
          <t>CMBC Securities Company Limited</t>
        </is>
      </c>
      <c r="B17" s="171" t="n">
        <v>7</v>
      </c>
      <c r="C17" s="177" t="n">
        <v>86</v>
      </c>
      <c r="D17" s="178" t="n">
        <v>89.3</v>
      </c>
      <c r="E17" s="178" t="n">
        <v>90.5</v>
      </c>
      <c r="F17" s="178" t="n">
        <v>-3.4</v>
      </c>
      <c r="G17" s="171" t="n">
        <v>7</v>
      </c>
      <c r="H17" s="178" t="n">
        <v>83.09999999999999</v>
      </c>
      <c r="I17" s="178" t="n">
        <v>81.3</v>
      </c>
      <c r="J17" s="178" t="n">
        <v>32.7</v>
      </c>
      <c r="K17" s="178" t="n">
        <v>-2.6</v>
      </c>
      <c r="L17" s="178" t="n">
        <v>-5</v>
      </c>
      <c r="M17" s="178" t="n">
        <v>-8</v>
      </c>
      <c r="N17" s="177" t="n">
        <v>20</v>
      </c>
      <c r="O17" s="177" t="n">
        <v>60</v>
      </c>
      <c r="P17" s="171" t="n">
        <v>5</v>
      </c>
      <c r="Q17" s="180" t="n">
        <v>204.9</v>
      </c>
      <c r="R17" s="179" t="inlineStr">
        <is>
          <t>6939 MEGAIN; 2260 VANOV HOLDINGS; 2347 YOHO GROUP; 2422 REGO INTERACT; 2433 ZT HN GROUP; 2573 NEWTREND GROUP; 2672 BAIGE DIGITAL</t>
        </is>
      </c>
    </row>
    <row r="18">
      <c r="A18" s="17" t="inlineStr">
        <is>
          <t>CCB International Capital Limited</t>
        </is>
      </c>
      <c r="B18" s="171" t="n">
        <v>7</v>
      </c>
      <c r="C18" s="177" t="n">
        <v>43</v>
      </c>
      <c r="D18" s="178" t="n">
        <v>17.9</v>
      </c>
      <c r="E18" s="178" t="n">
        <v>15.2</v>
      </c>
      <c r="F18" s="178" t="n">
        <v>-2.9</v>
      </c>
      <c r="G18" s="171" t="n">
        <v>7</v>
      </c>
      <c r="H18" s="178" t="n">
        <v>14.3</v>
      </c>
      <c r="I18" s="178" t="n">
        <v>11.3</v>
      </c>
      <c r="J18" s="178" t="n">
        <v>6.5</v>
      </c>
      <c r="K18" s="178" t="n">
        <v>-0.5</v>
      </c>
      <c r="L18" s="178" t="n">
        <v>-2.7</v>
      </c>
      <c r="M18" s="178" t="n">
        <v>-2.8</v>
      </c>
      <c r="N18" s="177" t="n">
        <v>0</v>
      </c>
      <c r="O18" s="177" t="n">
        <v>33</v>
      </c>
      <c r="P18" s="171" t="n">
        <v>6</v>
      </c>
      <c r="Q18" s="180" t="n">
        <v>898.7</v>
      </c>
      <c r="R18" s="179" t="inlineStr">
        <is>
          <t>6668 E-STAR CM; 2165 LING YUE SER GP; 2215 DEXIN SER GROUP; 2205 KANGQIAO SER; 6611 SANXUN GROUP; 2596 YIBIN BANK; 2335 MICOT PHARMA-B</t>
        </is>
      </c>
    </row>
    <row r="19">
      <c r="A19" s="17" t="inlineStr">
        <is>
          <t>Shenwan Hongyuan Securities</t>
        </is>
      </c>
      <c r="B19" s="171" t="n">
        <v>5</v>
      </c>
      <c r="C19" s="177" t="n">
        <v>40</v>
      </c>
      <c r="D19" s="178" t="n">
        <v>59.7</v>
      </c>
      <c r="E19" s="178" t="n">
        <v>52.7</v>
      </c>
      <c r="F19" s="178" t="n">
        <v>-8.4</v>
      </c>
      <c r="G19" s="171" t="n">
        <v>5</v>
      </c>
      <c r="H19" s="178" t="n">
        <v>51.6</v>
      </c>
      <c r="I19" s="178" t="n">
        <v>77.5</v>
      </c>
      <c r="J19" s="178" t="n">
        <v>122</v>
      </c>
      <c r="K19" s="178" t="n">
        <v>1.5</v>
      </c>
      <c r="L19" s="178" t="n">
        <v>15.6</v>
      </c>
      <c r="M19" s="178" t="n">
        <v>33.4</v>
      </c>
      <c r="N19" s="177" t="n">
        <v>0</v>
      </c>
      <c r="O19" s="177" t="n">
        <v>75</v>
      </c>
      <c r="P19" s="171" t="n">
        <v>4</v>
      </c>
      <c r="Q19" s="180" t="n">
        <v>401.2</v>
      </c>
      <c r="R19" s="179" t="inlineStr">
        <is>
          <t>2270 DESUN SERVICES; 6610 FLOWING CLOUD; 2567 QINIU; 2656 160 HEALTH; 2650 ZHIDA TECH</t>
        </is>
      </c>
    </row>
    <row r="20">
      <c r="A20" s="17" t="inlineStr">
        <is>
          <t>Yue Xiu Securities Company Limited</t>
        </is>
      </c>
      <c r="B20" s="171" t="n">
        <v>5</v>
      </c>
      <c r="C20" s="177" t="n">
        <v>80</v>
      </c>
      <c r="D20" s="178" t="n">
        <v>31.4</v>
      </c>
      <c r="E20" s="178" t="n">
        <v>25.8</v>
      </c>
      <c r="F20" s="178" t="n">
        <v>1</v>
      </c>
      <c r="G20" s="171" t="n">
        <v>5</v>
      </c>
      <c r="H20" s="178" t="n">
        <v>31.4</v>
      </c>
      <c r="I20" s="178" t="n">
        <v>51.5</v>
      </c>
      <c r="J20" s="178" t="n">
        <v>43.2</v>
      </c>
      <c r="K20" s="178" t="n">
        <v>3.7</v>
      </c>
      <c r="L20" s="178" t="n">
        <v>18.5</v>
      </c>
      <c r="M20" s="178" t="n">
        <v>11.7</v>
      </c>
      <c r="N20" s="177" t="n">
        <v>0</v>
      </c>
      <c r="O20" s="177" t="n">
        <v>75</v>
      </c>
      <c r="P20" s="171" t="n">
        <v>4</v>
      </c>
      <c r="Q20" s="180" t="n">
        <v>595</v>
      </c>
      <c r="R20" s="179" t="inlineStr">
        <is>
          <t>6626 YUEXIU SERVICES; 2459 SANERGY GROUP; 2569 SOFT INTL; 9881 RONGTA TECH; 2553 SHOUGANG LANZA</t>
        </is>
      </c>
    </row>
    <row r="21">
      <c r="A21" s="17" t="inlineStr">
        <is>
          <t>Sinolink Securities</t>
        </is>
      </c>
      <c r="B21" s="171" t="n">
        <v>4</v>
      </c>
      <c r="C21" s="177" t="n">
        <v>75</v>
      </c>
      <c r="D21" s="178" t="n">
        <v>37.7</v>
      </c>
      <c r="E21" s="178" t="n">
        <v>72.3</v>
      </c>
      <c r="F21" s="178" t="n">
        <v>15.8</v>
      </c>
      <c r="G21" s="171" t="n">
        <v>4</v>
      </c>
      <c r="H21" s="178" t="n">
        <v>131.2</v>
      </c>
      <c r="I21" s="178" t="n">
        <v>90.2</v>
      </c>
      <c r="J21" s="178" t="n">
        <v>97.40000000000001</v>
      </c>
      <c r="K21" s="178" t="n">
        <v>21.2</v>
      </c>
      <c r="L21" s="178" t="n">
        <v>11.5</v>
      </c>
      <c r="M21" s="178" t="n">
        <v>-5.5</v>
      </c>
      <c r="N21" s="177" t="n">
        <v>67</v>
      </c>
      <c r="O21" s="177" t="n">
        <v>33</v>
      </c>
      <c r="P21" s="171" t="n">
        <v>3</v>
      </c>
      <c r="Q21" s="180" t="n">
        <v>761.1</v>
      </c>
      <c r="R21" s="179" t="inlineStr">
        <is>
          <t>2155 MORIMATSU INTL; 2619 XJ ELECTRICS; 1779 LONGBIO-B; 9971 BASICSEMI</t>
        </is>
      </c>
    </row>
    <row r="22">
      <c r="A22" s="17" t="inlineStr">
        <is>
          <t>ABCI Securities Company Limited</t>
        </is>
      </c>
      <c r="B22" s="171" t="n">
        <v>4</v>
      </c>
      <c r="C22" s="177" t="n">
        <v>75</v>
      </c>
      <c r="D22" s="178" t="n">
        <v>8.699999999999999</v>
      </c>
      <c r="E22" s="178" t="n">
        <v>6.8</v>
      </c>
      <c r="F22" s="178" t="n">
        <v>-1.6</v>
      </c>
      <c r="G22" s="171" t="n">
        <v>4</v>
      </c>
      <c r="H22" s="178" t="n">
        <v>16.9</v>
      </c>
      <c r="I22" s="178" t="n">
        <v>11.4</v>
      </c>
      <c r="J22" s="178" t="n">
        <v>31.1</v>
      </c>
      <c r="K22" s="178" t="n">
        <v>5.6</v>
      </c>
      <c r="L22" s="178" t="n">
        <v>-1.4</v>
      </c>
      <c r="M22" s="178" t="n">
        <v>14.1</v>
      </c>
      <c r="N22" s="177" t="n">
        <v>25</v>
      </c>
      <c r="O22" s="177" t="n">
        <v>75</v>
      </c>
      <c r="P22" s="171" t="n">
        <v>4</v>
      </c>
      <c r="Q22" s="180" t="n">
        <v>2383.8</v>
      </c>
      <c r="R22" s="179" t="inlineStr">
        <is>
          <t>1490 CHESHI; 9889 DRCB; 2370 REDCO HEALTHY; 2376 LUSHANGSERVICES</t>
        </is>
      </c>
    </row>
    <row r="23">
      <c r="A23" s="17" t="inlineStr">
        <is>
          <t>Zhongtai International Securities Limited</t>
        </is>
      </c>
      <c r="B23" s="171" t="n">
        <v>4</v>
      </c>
      <c r="C23" s="177" t="n">
        <v>25</v>
      </c>
      <c r="D23" s="178" t="n">
        <v>0.2</v>
      </c>
      <c r="E23" s="178" t="n">
        <v>-21.2</v>
      </c>
      <c r="F23" s="178" t="n">
        <v>-19.2</v>
      </c>
      <c r="G23" s="171" t="n">
        <v>4</v>
      </c>
      <c r="H23" s="178" t="n">
        <v>-18</v>
      </c>
      <c r="I23" s="178" t="n">
        <v>-29.7</v>
      </c>
      <c r="J23" s="178" t="n">
        <v>-31.9</v>
      </c>
      <c r="K23" s="178" t="n">
        <v>6.9</v>
      </c>
      <c r="L23" s="178" t="n">
        <v>-3.5</v>
      </c>
      <c r="M23" s="178" t="n">
        <v>-7.3</v>
      </c>
      <c r="N23" s="177" t="n">
        <v>0</v>
      </c>
      <c r="O23" s="177" t="n">
        <v>100</v>
      </c>
      <c r="P23" s="171" t="n">
        <v>4</v>
      </c>
      <c r="Q23" s="180" t="n">
        <v>243.7</v>
      </c>
      <c r="R23" s="179" t="inlineStr">
        <is>
          <t>6696 MANY IDEA CLOUD; 2457 BUYANG INTL; 2455 RUNHUA SERVICE; 2409 SEACON</t>
        </is>
      </c>
    </row>
    <row r="24">
      <c r="A24" s="17" t="inlineStr">
        <is>
          <t>China Tonghai Securities Limited</t>
        </is>
      </c>
      <c r="B24" s="171" t="n">
        <v>3</v>
      </c>
      <c r="C24" s="177" t="n">
        <v>100</v>
      </c>
      <c r="D24" s="178" t="n">
        <v>9.699999999999999</v>
      </c>
      <c r="E24" s="178" t="n">
        <v>8.5</v>
      </c>
      <c r="F24" s="178" t="n">
        <v>-0.4</v>
      </c>
      <c r="G24" s="171" t="n">
        <v>3</v>
      </c>
      <c r="H24" s="178" t="n">
        <v>3.3</v>
      </c>
      <c r="I24" s="178" t="n">
        <v>4.4</v>
      </c>
      <c r="J24" s="178" t="n">
        <v>-0.1</v>
      </c>
      <c r="K24" s="178" t="n">
        <v>-4.9</v>
      </c>
      <c r="L24" s="178" t="n">
        <v>-3.9</v>
      </c>
      <c r="M24" s="178" t="n">
        <v>-7.6</v>
      </c>
      <c r="N24" s="177" t="n">
        <v>0</v>
      </c>
      <c r="O24" s="177" t="n">
        <v>100</v>
      </c>
      <c r="P24" s="171" t="n">
        <v>2</v>
      </c>
      <c r="Q24" s="180" t="n">
        <v>132.5</v>
      </c>
      <c r="R24" s="179" t="inlineStr">
        <is>
          <t>1855 ZONBONG ENVIRO; 1204 BOARDWARE INTEL; 1489 GC CONSTRUCTION</t>
        </is>
      </c>
    </row>
    <row r="25">
      <c r="A25" s="17" t="inlineStr">
        <is>
          <t>BOCOM International Securities</t>
        </is>
      </c>
      <c r="B25" s="171" t="n">
        <v>3</v>
      </c>
      <c r="C25" s="177" t="n">
        <v>33</v>
      </c>
      <c r="D25" s="178" t="n">
        <v>24.4</v>
      </c>
      <c r="E25" s="178" t="n">
        <v>6.5</v>
      </c>
      <c r="F25" s="178" t="n">
        <v>-10.2</v>
      </c>
      <c r="G25" s="171" t="n">
        <v>3</v>
      </c>
      <c r="H25" s="178" t="n">
        <v>3.8</v>
      </c>
      <c r="I25" s="178" t="n">
        <v>-16.8</v>
      </c>
      <c r="J25" s="178" t="n">
        <v>-19.4</v>
      </c>
      <c r="K25" s="178" t="n">
        <v>-1.5</v>
      </c>
      <c r="L25" s="178" t="n">
        <v>-20.5</v>
      </c>
      <c r="M25" s="178" t="n">
        <v>-22.2</v>
      </c>
      <c r="N25" s="177" t="n">
        <v>0</v>
      </c>
      <c r="O25" s="177" t="n">
        <v>33</v>
      </c>
      <c r="P25" s="171" t="n">
        <v>3</v>
      </c>
      <c r="Q25" s="180" t="n">
        <v>206.6</v>
      </c>
      <c r="R25" s="179" t="inlineStr">
        <is>
          <t>6661 HUZHOU GAS; 2152 SUXIN SERVICES; 2881 WUHAN YOUJI</t>
        </is>
      </c>
    </row>
    <row r="26">
      <c r="A26" s="17" t="inlineStr">
        <is>
          <t>GF Securities</t>
        </is>
      </c>
      <c r="B26" s="171" t="n">
        <v>3</v>
      </c>
      <c r="C26" s="177" t="n">
        <v>33</v>
      </c>
      <c r="D26" s="178" t="n">
        <v>-0.9</v>
      </c>
      <c r="E26" s="178" t="n">
        <v>1.9</v>
      </c>
      <c r="F26" s="178" t="n">
        <v>3.1</v>
      </c>
      <c r="G26" s="171" t="n">
        <v>3</v>
      </c>
      <c r="H26" s="178" t="n">
        <v>9.6</v>
      </c>
      <c r="I26" s="178" t="n">
        <v>42</v>
      </c>
      <c r="J26" s="178" t="n">
        <v>138</v>
      </c>
      <c r="K26" s="178" t="n">
        <v>5.8</v>
      </c>
      <c r="L26" s="178" t="n">
        <v>34.6</v>
      </c>
      <c r="M26" s="178" t="n">
        <v>117.9</v>
      </c>
      <c r="N26" s="177" t="n">
        <v>0</v>
      </c>
      <c r="O26" s="177" t="n">
        <v>67</v>
      </c>
      <c r="P26" s="171" t="n">
        <v>3</v>
      </c>
      <c r="Q26" s="180" t="n">
        <v>767.8</v>
      </c>
      <c r="R26" s="179" t="inlineStr">
        <is>
          <t>2405 POWERWIN TECH; 1497 YAN PALACE; 2643 CAOCAO INC</t>
        </is>
      </c>
    </row>
    <row r="27">
      <c r="A27" s="17" t="inlineStr">
        <is>
          <t>China Everbright Securities</t>
        </is>
      </c>
      <c r="B27" s="171" t="n">
        <v>3</v>
      </c>
      <c r="C27" s="177" t="n">
        <v>33</v>
      </c>
      <c r="D27" s="178" t="n">
        <v>-3.5</v>
      </c>
      <c r="E27" s="178" t="n">
        <v>-10.6</v>
      </c>
      <c r="F27" s="178" t="n">
        <v>-7.9</v>
      </c>
      <c r="G27" s="171" t="n">
        <v>3</v>
      </c>
      <c r="H27" s="178" t="n">
        <v>-18.4</v>
      </c>
      <c r="I27" s="178" t="n">
        <v>-23.4</v>
      </c>
      <c r="J27" s="178" t="n">
        <v>-34.8</v>
      </c>
      <c r="K27" s="178" t="n">
        <v>-8.1</v>
      </c>
      <c r="L27" s="178" t="n">
        <v>-15.8</v>
      </c>
      <c r="M27" s="178" t="n">
        <v>-28.4</v>
      </c>
      <c r="N27" s="177" t="n">
        <v>0</v>
      </c>
      <c r="O27" s="177" t="n">
        <v>100</v>
      </c>
      <c r="P27" s="171" t="n">
        <v>3</v>
      </c>
      <c r="Q27" s="180" t="n">
        <v>196.6</v>
      </c>
      <c r="R27" s="179" t="inlineStr">
        <is>
          <t>2250 SEMK HOLDINGS; 1406 CLARITY MEDICAL; 2450 HUAIBEI GD CO</t>
        </is>
      </c>
    </row>
    <row r="28">
      <c r="A28" s="17" t="inlineStr">
        <is>
          <t>Citigroup Global Markets Asia Limited</t>
        </is>
      </c>
      <c r="B28" s="171" t="n">
        <v>3</v>
      </c>
      <c r="C28" s="177" t="n">
        <v>67</v>
      </c>
      <c r="D28" s="178" t="n">
        <v>-9.6</v>
      </c>
      <c r="E28" s="178" t="n">
        <v>-12.5</v>
      </c>
      <c r="F28" s="178" t="n">
        <v>-3.1</v>
      </c>
      <c r="G28" s="171" t="n">
        <v>3</v>
      </c>
      <c r="H28" s="178" t="n">
        <v>-3.9</v>
      </c>
      <c r="I28" s="178" t="n">
        <v>1.9</v>
      </c>
      <c r="J28" s="178" t="n">
        <v>7.8</v>
      </c>
      <c r="K28" s="178" t="n">
        <v>8.6</v>
      </c>
      <c r="L28" s="178" t="n">
        <v>13.1</v>
      </c>
      <c r="M28" s="178" t="n">
        <v>27.8</v>
      </c>
      <c r="N28" s="177" t="n">
        <v>0</v>
      </c>
      <c r="O28" s="177" t="n">
        <v>100</v>
      </c>
      <c r="P28" s="171" t="n">
        <v>2</v>
      </c>
      <c r="Q28" s="180" t="n">
        <v>697.3</v>
      </c>
      <c r="R28" s="179" t="inlineStr">
        <is>
          <t>3660 360 DIGITECH-S; 6086 FANGZHOU JIANKE; 9611 LONGCHEER</t>
        </is>
      </c>
    </row>
    <row r="29">
      <c r="A29" s="17" t="inlineStr">
        <is>
          <t>Credit Suisse</t>
        </is>
      </c>
      <c r="B29" s="171" t="n">
        <v>3</v>
      </c>
      <c r="C29" s="177" t="n">
        <v>0</v>
      </c>
      <c r="D29" s="178" t="n">
        <v>-14</v>
      </c>
      <c r="E29" s="178" t="n">
        <v>-17.3</v>
      </c>
      <c r="F29" s="178" t="n">
        <v>-3.7</v>
      </c>
      <c r="G29" s="171" t="n">
        <v>3</v>
      </c>
      <c r="H29" s="178" t="n">
        <v>-11.6</v>
      </c>
      <c r="I29" s="178" t="n">
        <v>-24.3</v>
      </c>
      <c r="J29" s="178" t="n">
        <v>-24.8</v>
      </c>
      <c r="K29" s="178" t="n">
        <v>7.1</v>
      </c>
      <c r="L29" s="178" t="n">
        <v>-8.5</v>
      </c>
      <c r="M29" s="178" t="n">
        <v>-9</v>
      </c>
      <c r="N29" s="177" t="n">
        <v>0</v>
      </c>
      <c r="O29" s="177" t="n">
        <v>100</v>
      </c>
      <c r="P29" s="171" t="n">
        <v>3</v>
      </c>
      <c r="Q29" s="180" t="n">
        <v>2775.1</v>
      </c>
      <c r="R29" s="179" t="inlineStr">
        <is>
          <t>2191 SF REIT; 9858 YOURAN DAIRY; 2390 ZHIHU-W</t>
        </is>
      </c>
    </row>
    <row r="30">
      <c r="A30" s="17" t="inlineStr">
        <is>
          <t>Jefferies Hong Kong Limited</t>
        </is>
      </c>
      <c r="B30" s="171" t="n">
        <v>2</v>
      </c>
      <c r="C30" s="177" t="n">
        <v>50</v>
      </c>
      <c r="D30" s="178" t="n">
        <v>42</v>
      </c>
      <c r="E30" s="178" t="n">
        <v>39.5</v>
      </c>
      <c r="F30" s="178" t="n">
        <v>-6.8</v>
      </c>
      <c r="G30" s="171" t="n">
        <v>2</v>
      </c>
      <c r="H30" s="178" t="n">
        <v>-0.1</v>
      </c>
      <c r="I30" s="178" t="n">
        <v>-12.1</v>
      </c>
      <c r="J30" s="178" t="n">
        <v>-50</v>
      </c>
      <c r="K30" s="178" t="n">
        <v>-21.4</v>
      </c>
      <c r="L30" s="178" t="n">
        <v>-33.3</v>
      </c>
      <c r="M30" s="178" t="n">
        <v>-33.7</v>
      </c>
      <c r="N30" s="177" t="n">
        <v>50</v>
      </c>
      <c r="O30" s="177" t="n">
        <v>50</v>
      </c>
      <c r="P30" s="171" t="n">
        <v>2</v>
      </c>
      <c r="Q30" s="180" t="n">
        <v>773.9</v>
      </c>
      <c r="R30" s="179" t="inlineStr">
        <is>
          <t>2486 PLUS GP HOLDING; 9637 ALEBUND-B</t>
        </is>
      </c>
    </row>
    <row r="31">
      <c r="A31" s="17" t="inlineStr">
        <is>
          <t>Elstone Securities Limited</t>
        </is>
      </c>
      <c r="B31" s="171" t="n">
        <v>2</v>
      </c>
      <c r="C31" s="177" t="n">
        <v>50</v>
      </c>
      <c r="D31" s="178" t="n">
        <v>16.4</v>
      </c>
      <c r="E31" s="178" t="n">
        <v>2.5</v>
      </c>
      <c r="F31" s="178" t="n">
        <v>-15.1</v>
      </c>
      <c r="G31" s="171" t="n">
        <v>2</v>
      </c>
      <c r="H31" s="178" t="n">
        <v>7.2</v>
      </c>
      <c r="I31" s="178" t="n">
        <v>23</v>
      </c>
      <c r="J31" s="178" t="n">
        <v>103.3</v>
      </c>
      <c r="K31" s="178" t="n">
        <v>-1.8</v>
      </c>
      <c r="L31" s="178" t="n">
        <v>8.4</v>
      </c>
      <c r="M31" s="178" t="n">
        <v>64.40000000000001</v>
      </c>
      <c r="N31" s="177" t="n">
        <v>50</v>
      </c>
      <c r="O31" s="177" t="n">
        <v>50</v>
      </c>
      <c r="P31" s="171" t="n">
        <v>2</v>
      </c>
      <c r="Q31" s="180" t="n">
        <v>167.5</v>
      </c>
      <c r="R31" s="179" t="inlineStr">
        <is>
          <t>9608 SUNDY SERVICE; 2321 SWANGCHAICHUAN</t>
        </is>
      </c>
    </row>
    <row r="32">
      <c r="A32" s="17" t="inlineStr">
        <is>
          <t>Grand Moore Capital</t>
        </is>
      </c>
      <c r="B32" s="171" t="n">
        <v>2</v>
      </c>
      <c r="C32" s="177" t="n">
        <v>50</v>
      </c>
      <c r="D32" s="178" t="n">
        <v>26.6</v>
      </c>
      <c r="E32" s="178" t="n">
        <v>-3.3</v>
      </c>
      <c r="F32" s="178" t="n">
        <v>-23.7</v>
      </c>
      <c r="G32" s="171" t="n">
        <v>2</v>
      </c>
      <c r="H32" s="178" t="n">
        <v>-11.4</v>
      </c>
      <c r="I32" s="178" t="n">
        <v>-19.3</v>
      </c>
      <c r="J32" s="178" t="n">
        <v>-19.1</v>
      </c>
      <c r="K32" s="178" t="n">
        <v>-9.1</v>
      </c>
      <c r="L32" s="178" t="n">
        <v>-16.5</v>
      </c>
      <c r="M32" s="178" t="n">
        <v>-11.7</v>
      </c>
      <c r="N32" s="177" t="n">
        <v>0</v>
      </c>
      <c r="O32" s="177" t="n">
        <v>100</v>
      </c>
      <c r="P32" s="171" t="n">
        <v>2</v>
      </c>
      <c r="Q32" s="180" t="n">
        <v>111.7</v>
      </c>
      <c r="R32" s="179" t="inlineStr">
        <is>
          <t>2147 ZHENGWEI GROUP; 2516 FAR INTL</t>
        </is>
      </c>
    </row>
    <row r="33">
      <c r="A33" s="17" t="inlineStr">
        <is>
          <t>CEB International Capital Corporation Limited</t>
        </is>
      </c>
      <c r="B33" s="171" t="n">
        <v>2</v>
      </c>
      <c r="C33" s="177" t="n">
        <v>50</v>
      </c>
      <c r="D33" s="178" t="n">
        <v>2.2</v>
      </c>
      <c r="E33" s="178" t="n">
        <v>-5</v>
      </c>
      <c r="F33" s="178" t="n">
        <v>-7.1</v>
      </c>
      <c r="G33" s="171" t="n">
        <v>2</v>
      </c>
      <c r="H33" s="178" t="n">
        <v>-11.8</v>
      </c>
      <c r="I33" s="178" t="n">
        <v>21.6</v>
      </c>
      <c r="J33" s="178" t="n">
        <v>81.7</v>
      </c>
      <c r="K33" s="178" t="n">
        <v>-7.6</v>
      </c>
      <c r="L33" s="178" t="n">
        <v>29</v>
      </c>
      <c r="M33" s="178" t="n">
        <v>98.40000000000001</v>
      </c>
      <c r="N33" s="177" t="n">
        <v>0</v>
      </c>
      <c r="O33" s="177" t="n">
        <v>100</v>
      </c>
      <c r="P33" s="171" t="n">
        <v>2</v>
      </c>
      <c r="Q33" s="180" t="n">
        <v>279</v>
      </c>
      <c r="R33" s="179" t="inlineStr">
        <is>
          <t>1354 KINGFARPROPERTY; 2571 SAIMO</t>
        </is>
      </c>
    </row>
    <row r="34">
      <c r="A34" s="17" t="inlineStr">
        <is>
          <t>Chin a International Capital Corporation Hong Kong Securities Limited</t>
        </is>
      </c>
      <c r="B34" s="171" t="n">
        <v>2</v>
      </c>
      <c r="C34" s="177" t="n">
        <v>50</v>
      </c>
      <c r="D34" s="178" t="n">
        <v>-18.3</v>
      </c>
      <c r="E34" s="178" t="n">
        <v>-5.8</v>
      </c>
      <c r="F34" s="178" t="n">
        <v>18.1</v>
      </c>
      <c r="G34" s="171" t="n">
        <v>2</v>
      </c>
      <c r="H34" s="178" t="n">
        <v>-33.9</v>
      </c>
      <c r="I34" s="178" t="n">
        <v>13.7</v>
      </c>
      <c r="J34" s="178" t="n">
        <v>-15.2</v>
      </c>
      <c r="K34" s="178" t="n">
        <v>-31.7</v>
      </c>
      <c r="L34" s="178" t="n">
        <v>22.2</v>
      </c>
      <c r="M34" s="178" t="n">
        <v>-16.1</v>
      </c>
      <c r="N34" s="177" t="n">
        <v>0</v>
      </c>
      <c r="O34" s="177" t="n">
        <v>100</v>
      </c>
      <c r="P34" s="171" t="n">
        <v>1</v>
      </c>
      <c r="Q34" s="180" t="n">
        <v>506.8</v>
      </c>
      <c r="R34" s="179" t="inlineStr">
        <is>
          <t>2415 MEDSCI; 6915 JIANGXI BIO</t>
        </is>
      </c>
    </row>
    <row r="35">
      <c r="A35" s="17" t="inlineStr">
        <is>
          <t>BNP Paribas Securities</t>
        </is>
      </c>
      <c r="B35" s="171" t="n">
        <v>2</v>
      </c>
      <c r="C35" s="177" t="n">
        <v>0</v>
      </c>
      <c r="D35" s="178" t="n">
        <v>-10.2</v>
      </c>
      <c r="E35" s="178" t="n">
        <v>-8.5</v>
      </c>
      <c r="F35" s="178" t="n">
        <v>2.1</v>
      </c>
      <c r="G35" s="171" t="n">
        <v>2</v>
      </c>
      <c r="H35" s="178" t="n">
        <v>-10.7</v>
      </c>
      <c r="I35" s="178" t="n">
        <v>-6.7</v>
      </c>
      <c r="J35" s="178" t="n">
        <v>-31.3</v>
      </c>
      <c r="K35" s="178" t="n">
        <v>-3.9</v>
      </c>
      <c r="L35" s="178" t="n">
        <v>2.3</v>
      </c>
      <c r="M35" s="178" t="n">
        <v>-23.6</v>
      </c>
      <c r="N35" s="177" t="n">
        <v>0</v>
      </c>
      <c r="O35" s="177" t="n">
        <v>50</v>
      </c>
      <c r="P35" s="171" t="n">
        <v>2</v>
      </c>
      <c r="Q35" s="180" t="n">
        <v>466.6</v>
      </c>
      <c r="R35" s="179" t="inlineStr">
        <is>
          <t>6913 SCVE GROUP; 2361 SINOHEALTH HLDG</t>
        </is>
      </c>
    </row>
    <row r="36">
      <c r="A36" s="17" t="inlineStr">
        <is>
          <t>China PA Securities</t>
        </is>
      </c>
      <c r="B36" s="171" t="n">
        <v>2</v>
      </c>
      <c r="C36" s="177" t="n">
        <v>0</v>
      </c>
      <c r="D36" s="178" t="n">
        <v>-14.6</v>
      </c>
      <c r="E36" s="178" t="n">
        <v>-13.6</v>
      </c>
      <c r="F36" s="178" t="n">
        <v>0.6</v>
      </c>
      <c r="G36" s="171" t="n">
        <v>2</v>
      </c>
      <c r="H36" s="178" t="n">
        <v>-23.4</v>
      </c>
      <c r="I36" s="178" t="n">
        <v>-26.1</v>
      </c>
      <c r="J36" s="178" t="n">
        <v>-24.8</v>
      </c>
      <c r="K36" s="178" t="n">
        <v>-12.5</v>
      </c>
      <c r="L36" s="178" t="n">
        <v>-16.2</v>
      </c>
      <c r="M36" s="178" t="n">
        <v>-14.5</v>
      </c>
      <c r="N36" s="177" t="n">
        <v>0</v>
      </c>
      <c r="O36" s="177" t="n">
        <v>100</v>
      </c>
      <c r="P36" s="171" t="n">
        <v>1</v>
      </c>
      <c r="Q36" s="180" t="n">
        <v>161.7</v>
      </c>
      <c r="R36" s="179" t="inlineStr">
        <is>
          <t>2440 HOWKINGTECH; 2483 K CASH</t>
        </is>
      </c>
    </row>
    <row r="37">
      <c r="A37" s="17" t="inlineStr">
        <is>
          <t>Wealth Link Securities Limited</t>
        </is>
      </c>
      <c r="B37" s="171" t="n">
        <v>2</v>
      </c>
      <c r="C37" s="177" t="n">
        <v>50</v>
      </c>
      <c r="D37" s="178" t="n">
        <v>-19.5</v>
      </c>
      <c r="E37" s="178" t="n">
        <v>-14.2</v>
      </c>
      <c r="F37" s="178" t="n">
        <v>6.2</v>
      </c>
      <c r="G37" s="171" t="n">
        <v>2</v>
      </c>
      <c r="H37" s="178" t="n">
        <v>-24</v>
      </c>
      <c r="I37" s="178" t="n">
        <v>-30.1</v>
      </c>
      <c r="J37" s="178" t="n">
        <v>-39.6</v>
      </c>
      <c r="K37" s="178" t="n">
        <v>-9.5</v>
      </c>
      <c r="L37" s="178" t="n">
        <v>-16</v>
      </c>
      <c r="M37" s="178" t="n">
        <v>-28.4</v>
      </c>
      <c r="N37" s="177" t="n">
        <v>0</v>
      </c>
      <c r="O37" s="177" t="n">
        <v>100</v>
      </c>
      <c r="P37" s="171" t="n">
        <v>1</v>
      </c>
      <c r="Q37" s="180" t="n">
        <v>219.8</v>
      </c>
      <c r="R37" s="179" t="inlineStr">
        <is>
          <t>1643 MODERN CHI MED; 2439 CH TREASURES NM</t>
        </is>
      </c>
    </row>
    <row r="38">
      <c r="A38" s="17" t="inlineStr">
        <is>
          <t>China Industrial Securities International Capital Limited</t>
        </is>
      </c>
      <c r="B38" s="171" t="n">
        <v>2</v>
      </c>
      <c r="C38" s="177" t="n">
        <v>0</v>
      </c>
      <c r="D38" s="178" t="n">
        <v>-1.2</v>
      </c>
      <c r="E38" s="178" t="n">
        <v>-17.6</v>
      </c>
      <c r="F38" s="178" t="n">
        <v>-17.6</v>
      </c>
      <c r="G38" s="171" t="n">
        <v>2</v>
      </c>
      <c r="H38" s="178" t="n">
        <v>-23.4</v>
      </c>
      <c r="I38" s="178" t="n">
        <v>-30.5</v>
      </c>
      <c r="J38" s="178" t="n">
        <v>-49.1</v>
      </c>
      <c r="K38" s="178" t="n">
        <v>-7.3</v>
      </c>
      <c r="L38" s="178" t="n">
        <v>-12.9</v>
      </c>
      <c r="M38" s="178" t="n">
        <v>-35.5</v>
      </c>
      <c r="N38" s="177" t="n">
        <v>0</v>
      </c>
      <c r="O38" s="177" t="n">
        <v>100</v>
      </c>
      <c r="P38" s="171" t="n">
        <v>1</v>
      </c>
      <c r="Q38" s="180" t="n">
        <v>143.1</v>
      </c>
      <c r="R38" s="179" t="inlineStr">
        <is>
          <t>1407 JY GAS; 2695 IMPRESSION DHP</t>
        </is>
      </c>
    </row>
    <row r="39">
      <c r="A39" s="17" t="inlineStr">
        <is>
          <t>Innovax Securities</t>
        </is>
      </c>
      <c r="B39" s="171" t="n">
        <v>2</v>
      </c>
      <c r="C39" s="177" t="n">
        <v>0</v>
      </c>
      <c r="D39" s="178" t="n">
        <v>-1.8</v>
      </c>
      <c r="E39" s="178" t="n">
        <v>-20.7</v>
      </c>
      <c r="F39" s="178" t="n">
        <v>-18.2</v>
      </c>
      <c r="G39" s="171" t="n">
        <v>2</v>
      </c>
      <c r="H39" s="178" t="n">
        <v>-36.7</v>
      </c>
      <c r="I39" s="178" t="n">
        <v>-39</v>
      </c>
      <c r="J39" s="178" t="n">
        <v>-47.3</v>
      </c>
      <c r="K39" s="178" t="n">
        <v>-19.4</v>
      </c>
      <c r="L39" s="178" t="n">
        <v>-22.9</v>
      </c>
      <c r="M39" s="178" t="n">
        <v>-33.8</v>
      </c>
      <c r="N39" s="177" t="n">
        <v>0</v>
      </c>
      <c r="O39" s="177" t="n">
        <v>100</v>
      </c>
      <c r="P39" s="171" t="n">
        <v>2</v>
      </c>
      <c r="Q39" s="180" t="n">
        <v>122.8</v>
      </c>
      <c r="R39" s="179" t="inlineStr">
        <is>
          <t>2350 MTT GROUP; 1947 MEIHAO GROUP</t>
        </is>
      </c>
    </row>
    <row r="40">
      <c r="A40" s="17" t="inlineStr">
        <is>
          <t>Eddid Secu rities and Futures Limited</t>
        </is>
      </c>
      <c r="B40" s="171" t="n">
        <v>1</v>
      </c>
      <c r="C40" s="177" t="n">
        <v>100</v>
      </c>
      <c r="D40" s="178" t="n">
        <v>77</v>
      </c>
      <c r="E40" s="178" t="n">
        <v>164</v>
      </c>
      <c r="F40" s="178" t="n">
        <v>49.1</v>
      </c>
      <c r="G40" s="171" t="n">
        <v>1</v>
      </c>
      <c r="H40" s="178" t="n">
        <v>250</v>
      </c>
      <c r="I40" s="178" t="n">
        <v>230</v>
      </c>
      <c r="J40" s="178" t="n">
        <v>232</v>
      </c>
      <c r="K40" s="178" t="n">
        <v>32.6</v>
      </c>
      <c r="L40" s="178" t="n">
        <v>25</v>
      </c>
      <c r="M40" s="178" t="n">
        <v>25.8</v>
      </c>
      <c r="N40" s="177" t="n">
        <v>0</v>
      </c>
      <c r="O40" s="177" t="n">
        <v>100</v>
      </c>
      <c r="P40" s="171" t="n">
        <v>1</v>
      </c>
      <c r="Q40" s="180" t="n">
        <v>125</v>
      </c>
      <c r="R40" s="179" t="inlineStr">
        <is>
          <t>2477 WELLCELL HOLD</t>
        </is>
      </c>
    </row>
    <row r="41">
      <c r="A41" s="17" t="inlineStr">
        <is>
          <t>Zhongtai Intern ational Securities Limited</t>
        </is>
      </c>
      <c r="B41" s="171" t="n">
        <v>1</v>
      </c>
      <c r="C41" s="177" t="n">
        <v>100</v>
      </c>
      <c r="D41" s="178" t="n">
        <v>100</v>
      </c>
      <c r="E41" s="178" t="n">
        <v>162.5</v>
      </c>
      <c r="F41" s="178" t="n">
        <v>31.2</v>
      </c>
      <c r="G41" s="171" t="n">
        <v>1</v>
      </c>
      <c r="H41" s="178" t="n">
        <v>267.5</v>
      </c>
      <c r="I41" s="178" t="n">
        <v>1146.9</v>
      </c>
      <c r="J41" s="178" t="n"/>
      <c r="K41" s="178" t="n">
        <v>40</v>
      </c>
      <c r="L41" s="178" t="n">
        <v>375</v>
      </c>
      <c r="M41" s="178" t="n"/>
      <c r="N41" s="177" t="n">
        <v>0</v>
      </c>
      <c r="O41" s="177" t="n">
        <v>100</v>
      </c>
      <c r="P41" s="171" t="n">
        <v>1</v>
      </c>
      <c r="Q41" s="180" t="n">
        <v>200</v>
      </c>
      <c r="R41" s="179" t="inlineStr">
        <is>
          <t>2797 QIYUNSHAN FOOD</t>
        </is>
      </c>
    </row>
    <row r="42">
      <c r="A42" s="17" t="inlineStr">
        <is>
          <t>Lego Securities Lim ited</t>
        </is>
      </c>
      <c r="B42" s="171" t="n">
        <v>1</v>
      </c>
      <c r="C42" s="177" t="n">
        <v>100</v>
      </c>
      <c r="D42" s="178" t="n">
        <v>35.4</v>
      </c>
      <c r="E42" s="178" t="n">
        <v>143.1</v>
      </c>
      <c r="F42" s="178" t="n">
        <v>79.5</v>
      </c>
      <c r="G42" s="171" t="n">
        <v>1</v>
      </c>
      <c r="H42" s="178" t="n">
        <v>56.9</v>
      </c>
      <c r="I42" s="178" t="n">
        <v>176.9</v>
      </c>
      <c r="J42" s="178" t="n">
        <v>183.1</v>
      </c>
      <c r="K42" s="178" t="n">
        <v>-35.5</v>
      </c>
      <c r="L42" s="178" t="n">
        <v>13.9</v>
      </c>
      <c r="M42" s="178" t="n">
        <v>16.5</v>
      </c>
      <c r="N42" s="177" t="n">
        <v>0</v>
      </c>
      <c r="O42" s="177" t="n">
        <v>100</v>
      </c>
      <c r="P42" s="171" t="n">
        <v>1</v>
      </c>
      <c r="Q42" s="180" t="n">
        <v>130</v>
      </c>
      <c r="R42" s="179" t="inlineStr">
        <is>
          <t>2237 CHINA GRAPHITE</t>
        </is>
      </c>
    </row>
    <row r="43">
      <c r="A43" s="17" t="inlineStr">
        <is>
          <t>Yuen Meta</t>
        </is>
      </c>
      <c r="B43" s="171" t="n">
        <v>1</v>
      </c>
      <c r="C43" s="177" t="n">
        <v>100</v>
      </c>
      <c r="D43" s="178" t="n">
        <v>160</v>
      </c>
      <c r="E43" s="178" t="n">
        <v>136</v>
      </c>
      <c r="F43" s="178" t="n">
        <v>-9.199999999999999</v>
      </c>
      <c r="G43" s="171" t="n">
        <v>1</v>
      </c>
      <c r="H43" s="178" t="n">
        <v>156</v>
      </c>
      <c r="I43" s="178" t="n">
        <v>156</v>
      </c>
      <c r="J43" s="178" t="n">
        <v>132</v>
      </c>
      <c r="K43" s="178" t="n">
        <v>8.5</v>
      </c>
      <c r="L43" s="178" t="n">
        <v>8.5</v>
      </c>
      <c r="M43" s="178" t="n">
        <v>-1.7</v>
      </c>
      <c r="N43" s="177" t="n">
        <v>0</v>
      </c>
      <c r="O43" s="177" t="n">
        <v>100</v>
      </c>
      <c r="P43" s="171" t="n">
        <v>1</v>
      </c>
      <c r="Q43" s="180" t="n">
        <v>125</v>
      </c>
      <c r="R43" s="179" t="inlineStr">
        <is>
          <t>2535 WK GROUP</t>
        </is>
      </c>
    </row>
    <row r="44">
      <c r="A44" s="17" t="inlineStr">
        <is>
          <t>Livermore Holdings Limited</t>
        </is>
      </c>
      <c r="B44" s="171" t="n">
        <v>1</v>
      </c>
      <c r="C44" s="177" t="n">
        <v>100</v>
      </c>
      <c r="D44" s="178" t="n">
        <v>89</v>
      </c>
      <c r="E44" s="178" t="n">
        <v>117.9</v>
      </c>
      <c r="F44" s="178" t="n">
        <v>15.3</v>
      </c>
      <c r="G44" s="171" t="n">
        <v>1</v>
      </c>
      <c r="H44" s="178" t="n">
        <v>107.8</v>
      </c>
      <c r="I44" s="178" t="n">
        <v>222.4</v>
      </c>
      <c r="J44" s="178" t="n">
        <v>141.8</v>
      </c>
      <c r="K44" s="178" t="n">
        <v>-4.7</v>
      </c>
      <c r="L44" s="178" t="n">
        <v>48</v>
      </c>
      <c r="M44" s="178" t="n">
        <v>11</v>
      </c>
      <c r="N44" s="177" t="n">
        <v>100</v>
      </c>
      <c r="O44" s="177" t="n">
        <v>0</v>
      </c>
      <c r="P44" s="171" t="n">
        <v>1</v>
      </c>
      <c r="Q44" s="180" t="n">
        <v>782.5</v>
      </c>
      <c r="R44" s="179" t="inlineStr">
        <is>
          <t>2655 GUOXIA TECH</t>
        </is>
      </c>
    </row>
    <row r="45">
      <c r="A45" s="17" t="inlineStr">
        <is>
          <t>BOCI Asia Limited</t>
        </is>
      </c>
      <c r="B45" s="171" t="n">
        <v>1</v>
      </c>
      <c r="C45" s="177" t="n">
        <v>100</v>
      </c>
      <c r="D45" s="178" t="n">
        <v>46.5</v>
      </c>
      <c r="E45" s="178" t="n">
        <v>91.7</v>
      </c>
      <c r="F45" s="178" t="n">
        <v>30.8</v>
      </c>
      <c r="G45" s="171" t="n">
        <v>1</v>
      </c>
      <c r="H45" s="178" t="n">
        <v>191</v>
      </c>
      <c r="I45" s="178" t="n">
        <v>200</v>
      </c>
      <c r="J45" s="178" t="n">
        <v>223.8</v>
      </c>
      <c r="K45" s="178" t="n">
        <v>51.8</v>
      </c>
      <c r="L45" s="178" t="n">
        <v>56.5</v>
      </c>
      <c r="M45" s="178" t="n">
        <v>68.90000000000001</v>
      </c>
      <c r="N45" s="177" t="n"/>
      <c r="O45" s="177" t="n"/>
      <c r="P45" s="171" t="n">
        <v>0</v>
      </c>
      <c r="Q45" s="180" t="n">
        <v>85.90000000000001</v>
      </c>
      <c r="R45" s="179" t="inlineStr">
        <is>
          <t>2550 EASOU TECH</t>
        </is>
      </c>
    </row>
    <row r="46">
      <c r="A46" s="17" t="inlineStr">
        <is>
          <t>CL SA Limited</t>
        </is>
      </c>
      <c r="B46" s="171" t="n">
        <v>1</v>
      </c>
      <c r="C46" s="177" t="n">
        <v>100</v>
      </c>
      <c r="D46" s="178" t="n">
        <v>36.4</v>
      </c>
      <c r="E46" s="178" t="n">
        <v>51</v>
      </c>
      <c r="F46" s="178" t="n">
        <v>10.7</v>
      </c>
      <c r="G46" s="171" t="n">
        <v>1</v>
      </c>
      <c r="H46" s="178" t="n">
        <v>4</v>
      </c>
      <c r="I46" s="178" t="n">
        <v>-22.7</v>
      </c>
      <c r="J46" s="178" t="n"/>
      <c r="K46" s="178" t="n">
        <v>-31.1</v>
      </c>
      <c r="L46" s="178" t="n">
        <v>-48.8</v>
      </c>
      <c r="M46" s="178" t="n"/>
      <c r="N46" s="177" t="n">
        <v>0</v>
      </c>
      <c r="O46" s="177" t="n">
        <v>100</v>
      </c>
      <c r="P46" s="171" t="n">
        <v>1</v>
      </c>
      <c r="Q46" s="180" t="n">
        <v>1233.1</v>
      </c>
      <c r="R46" s="179" t="inlineStr">
        <is>
          <t>6715 XUNLONG SCITECH</t>
        </is>
      </c>
    </row>
    <row r="47">
      <c r="A47" s="17" t="inlineStr">
        <is>
          <t>Quam Securities Limited</t>
        </is>
      </c>
      <c r="B47" s="171" t="n">
        <v>1</v>
      </c>
      <c r="C47" s="177" t="n">
        <v>100</v>
      </c>
      <c r="D47" s="178" t="n">
        <v>4.2</v>
      </c>
      <c r="E47" s="178" t="n">
        <v>38.1</v>
      </c>
      <c r="F47" s="178" t="n">
        <v>32.5</v>
      </c>
      <c r="G47" s="171" t="n">
        <v>1</v>
      </c>
      <c r="H47" s="178" t="n">
        <v>14.4</v>
      </c>
      <c r="I47" s="178" t="n">
        <v>11.9</v>
      </c>
      <c r="J47" s="178" t="n">
        <v>-2.5</v>
      </c>
      <c r="K47" s="178" t="n">
        <v>-17.2</v>
      </c>
      <c r="L47" s="178" t="n">
        <v>-19</v>
      </c>
      <c r="M47" s="178" t="n">
        <v>-29.4</v>
      </c>
      <c r="N47" s="177" t="n"/>
      <c r="O47" s="177" t="n"/>
      <c r="P47" s="171" t="n">
        <v>0</v>
      </c>
      <c r="Q47" s="180" t="n">
        <v>147.5</v>
      </c>
      <c r="R47" s="179" t="inlineStr">
        <is>
          <t>2501 MAIYUE TECH</t>
        </is>
      </c>
    </row>
    <row r="48">
      <c r="A48" s="17" t="inlineStr">
        <is>
          <t>Stabilisin g Manager</t>
        </is>
      </c>
      <c r="B48" s="171" t="n">
        <v>1</v>
      </c>
      <c r="C48" s="177" t="n">
        <v>100</v>
      </c>
      <c r="D48" s="178" t="n">
        <v>19.6</v>
      </c>
      <c r="E48" s="178" t="n">
        <v>26.8</v>
      </c>
      <c r="F48" s="178" t="n">
        <v>6</v>
      </c>
      <c r="G48" s="171" t="n">
        <v>1</v>
      </c>
      <c r="H48" s="178" t="n">
        <v>1.8</v>
      </c>
      <c r="I48" s="178" t="n">
        <v>8.9</v>
      </c>
      <c r="J48" s="178" t="n">
        <v>16.1</v>
      </c>
      <c r="K48" s="178" t="n">
        <v>-19.7</v>
      </c>
      <c r="L48" s="178" t="n">
        <v>-14.1</v>
      </c>
      <c r="M48" s="178" t="n">
        <v>-8.4</v>
      </c>
      <c r="N48" s="177" t="n"/>
      <c r="O48" s="177" t="n"/>
      <c r="P48" s="171" t="n">
        <v>0</v>
      </c>
      <c r="Q48" s="180" t="n">
        <v>140</v>
      </c>
      <c r="R48" s="179" t="inlineStr">
        <is>
          <t>1473 PANGAEA CONNECT</t>
        </is>
      </c>
    </row>
    <row r="49">
      <c r="A49" s="17" t="inlineStr">
        <is>
          <t>Macquarie</t>
        </is>
      </c>
      <c r="B49" s="171" t="n">
        <v>1</v>
      </c>
      <c r="C49" s="177" t="n">
        <v>100</v>
      </c>
      <c r="D49" s="178" t="n">
        <v>34.1</v>
      </c>
      <c r="E49" s="178" t="n">
        <v>25</v>
      </c>
      <c r="F49" s="178" t="n">
        <v>-6.8</v>
      </c>
      <c r="G49" s="171" t="n">
        <v>1</v>
      </c>
      <c r="H49" s="178" t="n">
        <v>89.5</v>
      </c>
      <c r="I49" s="178" t="n">
        <v>63.4</v>
      </c>
      <c r="J49" s="178" t="n">
        <v>57.3</v>
      </c>
      <c r="K49" s="178" t="n">
        <v>51.6</v>
      </c>
      <c r="L49" s="178" t="n">
        <v>30.7</v>
      </c>
      <c r="M49" s="178" t="n">
        <v>25.8</v>
      </c>
      <c r="N49" s="177" t="n">
        <v>100</v>
      </c>
      <c r="O49" s="177" t="n">
        <v>0</v>
      </c>
      <c r="P49" s="171" t="n">
        <v>1</v>
      </c>
      <c r="Q49" s="180" t="n">
        <v>660</v>
      </c>
      <c r="R49" s="179" t="inlineStr">
        <is>
          <t>6909 BETTERLIFE HLDG</t>
        </is>
      </c>
    </row>
    <row r="50">
      <c r="A50" s="17" t="inlineStr">
        <is>
          <t>Bradbury Securities Limited</t>
        </is>
      </c>
      <c r="B50" s="171" t="n">
        <v>1</v>
      </c>
      <c r="C50" s="177" t="n">
        <v>100</v>
      </c>
      <c r="D50" s="178" t="n">
        <v>35.3</v>
      </c>
      <c r="E50" s="178" t="n">
        <v>23.8</v>
      </c>
      <c r="F50" s="178" t="n">
        <v>-8.5</v>
      </c>
      <c r="G50" s="171" t="n">
        <v>1</v>
      </c>
      <c r="H50" s="178" t="n">
        <v>67.09999999999999</v>
      </c>
      <c r="I50" s="178" t="n">
        <v>34.4</v>
      </c>
      <c r="J50" s="178" t="n">
        <v>102.3</v>
      </c>
      <c r="K50" s="178" t="n">
        <v>35</v>
      </c>
      <c r="L50" s="178" t="n">
        <v>8.6</v>
      </c>
      <c r="M50" s="178" t="n">
        <v>63.5</v>
      </c>
      <c r="N50" s="177" t="n">
        <v>0</v>
      </c>
      <c r="O50" s="177" t="n">
        <v>0</v>
      </c>
      <c r="P50" s="171" t="n">
        <v>1</v>
      </c>
      <c r="Q50" s="180" t="n">
        <v>245.2</v>
      </c>
      <c r="R50" s="179" t="inlineStr">
        <is>
          <t>6683 STARPLUS LEGEND</t>
        </is>
      </c>
    </row>
    <row r="51">
      <c r="A51" s="17" t="inlineStr">
        <is>
          <t>Essence International Securities</t>
        </is>
      </c>
      <c r="B51" s="171" t="n">
        <v>1</v>
      </c>
      <c r="C51" s="177" t="n">
        <v>100</v>
      </c>
      <c r="D51" s="178" t="n">
        <v>26.1</v>
      </c>
      <c r="E51" s="178" t="n">
        <v>13.8</v>
      </c>
      <c r="F51" s="178" t="n">
        <v>-9.800000000000001</v>
      </c>
      <c r="G51" s="171" t="n">
        <v>1</v>
      </c>
      <c r="H51" s="178" t="n">
        <v>26.5</v>
      </c>
      <c r="I51" s="178" t="n">
        <v>93.8</v>
      </c>
      <c r="J51" s="178" t="n">
        <v>61.5</v>
      </c>
      <c r="K51" s="178" t="n">
        <v>11.1</v>
      </c>
      <c r="L51" s="178" t="n">
        <v>70.3</v>
      </c>
      <c r="M51" s="178" t="n">
        <v>41.9</v>
      </c>
      <c r="N51" s="177" t="n">
        <v>0</v>
      </c>
      <c r="O51" s="177" t="n">
        <v>0</v>
      </c>
      <c r="P51" s="171" t="n">
        <v>1</v>
      </c>
      <c r="Q51" s="180" t="n">
        <v>944.7</v>
      </c>
      <c r="R51" s="179" t="inlineStr">
        <is>
          <t>6616 GLOBAL NEW MAT</t>
        </is>
      </c>
    </row>
    <row r="52">
      <c r="A52" s="17" t="inlineStr">
        <is>
          <t>C LSA Limited</t>
        </is>
      </c>
      <c r="B52" s="171" t="n">
        <v>1</v>
      </c>
      <c r="C52" s="177" t="n">
        <v>100</v>
      </c>
      <c r="D52" s="178" t="n">
        <v>3.9</v>
      </c>
      <c r="E52" s="178" t="n">
        <v>9.1</v>
      </c>
      <c r="F52" s="178" t="n">
        <v>5.1</v>
      </c>
      <c r="G52" s="171" t="n">
        <v>1</v>
      </c>
      <c r="H52" s="178" t="n">
        <v>6.4</v>
      </c>
      <c r="I52" s="178" t="n">
        <v>16.1</v>
      </c>
      <c r="J52" s="178" t="n">
        <v>76.8</v>
      </c>
      <c r="K52" s="178" t="n">
        <v>-2.5</v>
      </c>
      <c r="L52" s="178" t="n">
        <v>6.3</v>
      </c>
      <c r="M52" s="178" t="n">
        <v>62</v>
      </c>
      <c r="N52" s="177" t="n">
        <v>100</v>
      </c>
      <c r="O52" s="177" t="n">
        <v>0</v>
      </c>
      <c r="P52" s="171" t="n">
        <v>1</v>
      </c>
      <c r="Q52" s="180" t="n">
        <v>4767.8</v>
      </c>
      <c r="R52" s="179" t="inlineStr">
        <is>
          <t>6613 LENS</t>
        </is>
      </c>
    </row>
    <row r="53">
      <c r="A53" s="17" t="inlineStr">
        <is>
          <t>UOB Kay Hian</t>
        </is>
      </c>
      <c r="B53" s="171" t="n">
        <v>1</v>
      </c>
      <c r="C53" s="177" t="n">
        <v>100</v>
      </c>
      <c r="D53" s="178" t="n">
        <v>47.3</v>
      </c>
      <c r="E53" s="178" t="n">
        <v>5.5</v>
      </c>
      <c r="F53" s="178" t="n">
        <v>-28.4</v>
      </c>
      <c r="G53" s="171" t="n">
        <v>1</v>
      </c>
      <c r="H53" s="178" t="n">
        <v>-7.6</v>
      </c>
      <c r="I53" s="178" t="n">
        <v>-20.1</v>
      </c>
      <c r="J53" s="178" t="n">
        <v>-56.1</v>
      </c>
      <c r="K53" s="178" t="n">
        <v>-12.4</v>
      </c>
      <c r="L53" s="178" t="n">
        <v>-24.3</v>
      </c>
      <c r="M53" s="178" t="n">
        <v>-58.4</v>
      </c>
      <c r="N53" s="177" t="n">
        <v>0</v>
      </c>
      <c r="O53" s="177" t="n">
        <v>0</v>
      </c>
      <c r="P53" s="171" t="n">
        <v>1</v>
      </c>
      <c r="Q53" s="180" t="n">
        <v>91</v>
      </c>
      <c r="R53" s="179" t="inlineStr">
        <is>
          <t>2209 YESASIA HLDGS</t>
        </is>
      </c>
    </row>
    <row r="54">
      <c r="A54" s="17" t="inlineStr">
        <is>
          <t>China Galaxy International Securities</t>
        </is>
      </c>
      <c r="B54" s="171" t="n">
        <v>1</v>
      </c>
      <c r="C54" s="177" t="n">
        <v>100</v>
      </c>
      <c r="D54" s="178" t="n">
        <v>0</v>
      </c>
      <c r="E54" s="178" t="n">
        <v>4.7</v>
      </c>
      <c r="F54" s="178" t="n">
        <v>4.7</v>
      </c>
      <c r="G54" s="171" t="n">
        <v>1</v>
      </c>
      <c r="H54" s="178" t="n">
        <v>-2.3</v>
      </c>
      <c r="I54" s="178" t="n">
        <v>6.7</v>
      </c>
      <c r="J54" s="178" t="n"/>
      <c r="K54" s="178" t="n">
        <v>-6.7</v>
      </c>
      <c r="L54" s="178" t="n">
        <v>1.9</v>
      </c>
      <c r="M54" s="178" t="n"/>
      <c r="N54" s="177" t="n">
        <v>0</v>
      </c>
      <c r="O54" s="177" t="n">
        <v>0</v>
      </c>
      <c r="P54" s="171" t="n">
        <v>1</v>
      </c>
      <c r="Q54" s="180" t="n">
        <v>7157.8</v>
      </c>
      <c r="R54" s="179" t="inlineStr">
        <is>
          <t>6951 CCTC</t>
        </is>
      </c>
    </row>
    <row r="55">
      <c r="A55" s="17" t="inlineStr">
        <is>
          <t>Dakin Securities Limited</t>
        </is>
      </c>
      <c r="B55" s="171" t="n">
        <v>1</v>
      </c>
      <c r="C55" s="177" t="n">
        <v>100</v>
      </c>
      <c r="D55" s="178" t="n">
        <v>5</v>
      </c>
      <c r="E55" s="178" t="n">
        <v>3.8</v>
      </c>
      <c r="F55" s="178" t="n">
        <v>-1.2</v>
      </c>
      <c r="G55" s="171" t="n">
        <v>1</v>
      </c>
      <c r="H55" s="178" t="n">
        <v>25</v>
      </c>
      <c r="I55" s="178" t="n">
        <v>60</v>
      </c>
      <c r="J55" s="178" t="n">
        <v>22.5</v>
      </c>
      <c r="K55" s="178" t="n">
        <v>20.5</v>
      </c>
      <c r="L55" s="178" t="n">
        <v>54.2</v>
      </c>
      <c r="M55" s="178" t="n">
        <v>18.1</v>
      </c>
      <c r="N55" s="177" t="n"/>
      <c r="O55" s="177" t="n"/>
      <c r="P55" s="171" t="n">
        <v>0</v>
      </c>
      <c r="Q55" s="180" t="n">
        <v>126</v>
      </c>
      <c r="R55" s="179" t="inlineStr">
        <is>
          <t>1440 DEYUN HOLDING</t>
        </is>
      </c>
    </row>
    <row r="56">
      <c r="A56" s="17" t="inlineStr">
        <is>
          <t>Guoyuan Securities Brokerage</t>
        </is>
      </c>
      <c r="B56" s="171" t="n">
        <v>1</v>
      </c>
      <c r="C56" s="177" t="n">
        <v>100</v>
      </c>
      <c r="D56" s="178" t="n">
        <v>27.4</v>
      </c>
      <c r="E56" s="178" t="n">
        <v>2.2</v>
      </c>
      <c r="F56" s="178" t="n">
        <v>-19.8</v>
      </c>
      <c r="G56" s="171" t="n">
        <v>1</v>
      </c>
      <c r="H56" s="178" t="n">
        <v>-11.5</v>
      </c>
      <c r="I56" s="178" t="n">
        <v>-41.1</v>
      </c>
      <c r="J56" s="178" t="n">
        <v>-39</v>
      </c>
      <c r="K56" s="178" t="n">
        <v>-13.4</v>
      </c>
      <c r="L56" s="178" t="n">
        <v>-42.4</v>
      </c>
      <c r="M56" s="178" t="n">
        <v>-40.4</v>
      </c>
      <c r="N56" s="177" t="n">
        <v>0</v>
      </c>
      <c r="O56" s="177" t="n">
        <v>100</v>
      </c>
      <c r="P56" s="171" t="n">
        <v>1</v>
      </c>
      <c r="Q56" s="180" t="n">
        <v>177.4</v>
      </c>
      <c r="R56" s="179" t="inlineStr">
        <is>
          <t>2693 JINYAN KAOLIN</t>
        </is>
      </c>
    </row>
    <row r="57">
      <c r="A57" s="17" t="inlineStr">
        <is>
          <t>DBS Asia Capital Limited</t>
        </is>
      </c>
      <c r="B57" s="171" t="n">
        <v>1</v>
      </c>
      <c r="C57" s="177" t="n">
        <v>100</v>
      </c>
      <c r="D57" s="178" t="n">
        <v>7.2</v>
      </c>
      <c r="E57" s="178" t="n">
        <v>0.2</v>
      </c>
      <c r="F57" s="178" t="n">
        <v>-6.5</v>
      </c>
      <c r="G57" s="171" t="n">
        <v>1</v>
      </c>
      <c r="H57" s="178" t="n">
        <v>-0.4</v>
      </c>
      <c r="I57" s="178" t="n">
        <v>-0.4</v>
      </c>
      <c r="J57" s="178" t="n">
        <v>47.6</v>
      </c>
      <c r="K57" s="178" t="n">
        <v>-0.6</v>
      </c>
      <c r="L57" s="178" t="n">
        <v>-0.6</v>
      </c>
      <c r="M57" s="178" t="n">
        <v>47.3</v>
      </c>
      <c r="N57" s="177" t="n">
        <v>0</v>
      </c>
      <c r="O57" s="177" t="n">
        <v>100</v>
      </c>
      <c r="P57" s="171" t="n">
        <v>1</v>
      </c>
      <c r="Q57" s="180" t="n">
        <v>412.5</v>
      </c>
      <c r="R57" s="179" t="inlineStr">
        <is>
          <t>2597 XUNZHONG</t>
        </is>
      </c>
    </row>
    <row r="58">
      <c r="A58" s="17" t="inlineStr">
        <is>
          <t>Guotai Juna n Securities</t>
        </is>
      </c>
      <c r="B58" s="171" t="n">
        <v>1</v>
      </c>
      <c r="C58" s="177" t="n">
        <v>0</v>
      </c>
      <c r="D58" s="178" t="n">
        <v>0</v>
      </c>
      <c r="E58" s="178" t="n">
        <v>0</v>
      </c>
      <c r="F58" s="178" t="n">
        <v>0</v>
      </c>
      <c r="G58" s="171" t="n">
        <v>1</v>
      </c>
      <c r="H58" s="178" t="n">
        <v>0</v>
      </c>
      <c r="I58" s="178" t="n">
        <v>8.199999999999999</v>
      </c>
      <c r="J58" s="178" t="n">
        <v>-0.5</v>
      </c>
      <c r="K58" s="178" t="n">
        <v>0</v>
      </c>
      <c r="L58" s="178" t="n">
        <v>8.199999999999999</v>
      </c>
      <c r="M58" s="178" t="n">
        <v>-0.5</v>
      </c>
      <c r="N58" s="177" t="n">
        <v>0</v>
      </c>
      <c r="O58" s="177" t="n">
        <v>0</v>
      </c>
      <c r="P58" s="171" t="n">
        <v>1</v>
      </c>
      <c r="Q58" s="180" t="n">
        <v>1057.7</v>
      </c>
      <c r="R58" s="179" t="inlineStr">
        <is>
          <t>2402 SINOHYTEC</t>
        </is>
      </c>
    </row>
    <row r="59">
      <c r="A59" s="17" t="inlineStr">
        <is>
          <t>Shanxi Securities International Limited</t>
        </is>
      </c>
      <c r="B59" s="171" t="n">
        <v>1</v>
      </c>
      <c r="C59" s="177" t="n">
        <v>0</v>
      </c>
      <c r="D59" s="178" t="n">
        <v>0</v>
      </c>
      <c r="E59" s="178" t="n">
        <v>0</v>
      </c>
      <c r="F59" s="178" t="n">
        <v>0</v>
      </c>
      <c r="G59" s="171" t="n">
        <v>1</v>
      </c>
      <c r="H59" s="178" t="n">
        <v>-5.5</v>
      </c>
      <c r="I59" s="178" t="n">
        <v>-17.4</v>
      </c>
      <c r="J59" s="178" t="n">
        <v>-11.5</v>
      </c>
      <c r="K59" s="178" t="n">
        <v>-5.5</v>
      </c>
      <c r="L59" s="178" t="n">
        <v>-17.4</v>
      </c>
      <c r="M59" s="178" t="n">
        <v>-11.5</v>
      </c>
      <c r="N59" s="177" t="n">
        <v>0</v>
      </c>
      <c r="O59" s="177" t="n">
        <v>0</v>
      </c>
      <c r="P59" s="171" t="n">
        <v>1</v>
      </c>
      <c r="Q59" s="180" t="n">
        <v>726.7</v>
      </c>
      <c r="R59" s="179" t="inlineStr">
        <is>
          <t>2520 SHANXI INSTALL</t>
        </is>
      </c>
    </row>
    <row r="60">
      <c r="A60" s="17" t="inlineStr">
        <is>
          <t>Red Solar Capital Limited</t>
        </is>
      </c>
      <c r="B60" s="171" t="n">
        <v>1</v>
      </c>
      <c r="C60" s="177" t="n">
        <v>0</v>
      </c>
      <c r="D60" s="178" t="n">
        <v>37.6</v>
      </c>
      <c r="E60" s="178" t="n">
        <v>0</v>
      </c>
      <c r="F60" s="178" t="n">
        <v>-27.3</v>
      </c>
      <c r="G60" s="171" t="n">
        <v>1</v>
      </c>
      <c r="H60" s="178" t="n">
        <v>-14.4</v>
      </c>
      <c r="I60" s="178" t="n">
        <v>33.6</v>
      </c>
      <c r="J60" s="178" t="n">
        <v>11.2</v>
      </c>
      <c r="K60" s="178" t="n">
        <v>-14.4</v>
      </c>
      <c r="L60" s="178" t="n">
        <v>33.6</v>
      </c>
      <c r="M60" s="178" t="n">
        <v>11.2</v>
      </c>
      <c r="N60" s="177" t="n"/>
      <c r="O60" s="177" t="n"/>
      <c r="P60" s="171" t="n">
        <v>0</v>
      </c>
      <c r="Q60" s="180" t="n">
        <v>133.9</v>
      </c>
      <c r="R60" s="179" t="inlineStr">
        <is>
          <t>2625 JIANGSU HORIZON</t>
        </is>
      </c>
    </row>
    <row r="61">
      <c r="A61" s="17" t="inlineStr">
        <is>
          <t>Mont Avenir Capital Limited</t>
        </is>
      </c>
      <c r="B61" s="171" t="n">
        <v>1</v>
      </c>
      <c r="C61" s="177" t="n">
        <v>0</v>
      </c>
      <c r="D61" s="178" t="n">
        <v>-5.5</v>
      </c>
      <c r="E61" s="178" t="n">
        <v>-6</v>
      </c>
      <c r="F61" s="178" t="n">
        <v>-0.5</v>
      </c>
      <c r="G61" s="171" t="n">
        <v>1</v>
      </c>
      <c r="H61" s="178" t="n">
        <v>-11.2</v>
      </c>
      <c r="I61" s="178" t="n">
        <v>-28</v>
      </c>
      <c r="J61" s="178" t="n">
        <v>-50.2</v>
      </c>
      <c r="K61" s="178" t="n">
        <v>-5.6</v>
      </c>
      <c r="L61" s="178" t="n">
        <v>-23.4</v>
      </c>
      <c r="M61" s="178" t="n">
        <v>-47.1</v>
      </c>
      <c r="N61" s="177" t="n">
        <v>0</v>
      </c>
      <c r="O61" s="177" t="n">
        <v>100</v>
      </c>
      <c r="P61" s="171" t="n">
        <v>1</v>
      </c>
      <c r="Q61" s="180" t="n">
        <v>872</v>
      </c>
      <c r="R61" s="179" t="inlineStr">
        <is>
          <t>9600 NEWLINK TECH</t>
        </is>
      </c>
    </row>
    <row r="62">
      <c r="A62" s="17" t="inlineStr">
        <is>
          <t>Fortune</t>
        </is>
      </c>
      <c r="B62" s="171" t="n">
        <v>1</v>
      </c>
      <c r="C62" s="177" t="n">
        <v>0</v>
      </c>
      <c r="D62" s="178" t="n">
        <v>-19.1</v>
      </c>
      <c r="E62" s="178" t="n">
        <v>-8.699999999999999</v>
      </c>
      <c r="F62" s="178" t="n">
        <v>12.9</v>
      </c>
      <c r="G62" s="171" t="n">
        <v>1</v>
      </c>
      <c r="H62" s="178" t="n">
        <v>5.8</v>
      </c>
      <c r="I62" s="178" t="n">
        <v>-13.9</v>
      </c>
      <c r="J62" s="178" t="n">
        <v>-13.3</v>
      </c>
      <c r="K62" s="178" t="n">
        <v>15.8</v>
      </c>
      <c r="L62" s="178" t="n">
        <v>-5.7</v>
      </c>
      <c r="M62" s="178" t="n">
        <v>-5.1</v>
      </c>
      <c r="N62" s="177" t="n">
        <v>0</v>
      </c>
      <c r="O62" s="177" t="n">
        <v>100</v>
      </c>
      <c r="P62" s="171" t="n">
        <v>1</v>
      </c>
      <c r="Q62" s="180" t="n">
        <v>644.8</v>
      </c>
      <c r="R62" s="179" t="inlineStr">
        <is>
          <t>2153 TAT HONG EQUIP</t>
        </is>
      </c>
    </row>
    <row r="63">
      <c r="A63" s="17" t="inlineStr">
        <is>
          <t>First Shanghai Securities Limited</t>
        </is>
      </c>
      <c r="B63" s="171" t="n">
        <v>1</v>
      </c>
      <c r="C63" s="177" t="n">
        <v>0</v>
      </c>
      <c r="D63" s="178" t="n">
        <v>2</v>
      </c>
      <c r="E63" s="178" t="n">
        <v>-10.8</v>
      </c>
      <c r="F63" s="178" t="n">
        <v>-12.5</v>
      </c>
      <c r="G63" s="171" t="n">
        <v>1</v>
      </c>
      <c r="H63" s="178" t="n">
        <v>-3.9</v>
      </c>
      <c r="I63" s="178" t="n">
        <v>-10.8</v>
      </c>
      <c r="J63" s="178" t="n">
        <v>-17.6</v>
      </c>
      <c r="K63" s="178" t="n">
        <v>7.7</v>
      </c>
      <c r="L63" s="178" t="n">
        <v>0</v>
      </c>
      <c r="M63" s="178" t="n">
        <v>-7.7</v>
      </c>
      <c r="N63" s="177" t="n">
        <v>0</v>
      </c>
      <c r="O63" s="177" t="n">
        <v>100</v>
      </c>
      <c r="P63" s="171" t="n">
        <v>1</v>
      </c>
      <c r="Q63" s="180" t="n">
        <v>255</v>
      </c>
      <c r="R63" s="179" t="inlineStr">
        <is>
          <t>2265 HC ENV TECH</t>
        </is>
      </c>
    </row>
    <row r="64">
      <c r="A64" s="17" t="inlineStr">
        <is>
          <t>BN P Paribas Securities</t>
        </is>
      </c>
      <c r="B64" s="171" t="n">
        <v>1</v>
      </c>
      <c r="C64" s="177" t="n">
        <v>0</v>
      </c>
      <c r="D64" s="178" t="n">
        <v>-16.7</v>
      </c>
      <c r="E64" s="178" t="n">
        <v>-12</v>
      </c>
      <c r="F64" s="178" t="n">
        <v>5.6</v>
      </c>
      <c r="G64" s="171" t="n">
        <v>1</v>
      </c>
      <c r="H64" s="178" t="n">
        <v>-9</v>
      </c>
      <c r="I64" s="178" t="n">
        <v>-23.7</v>
      </c>
      <c r="J64" s="178" t="n">
        <v>-38.3</v>
      </c>
      <c r="K64" s="178" t="n">
        <v>3.4</v>
      </c>
      <c r="L64" s="178" t="n">
        <v>-13.3</v>
      </c>
      <c r="M64" s="178" t="n">
        <v>-29.9</v>
      </c>
      <c r="N64" s="177" t="n">
        <v>0</v>
      </c>
      <c r="O64" s="177" t="n">
        <v>100</v>
      </c>
      <c r="P64" s="171" t="n">
        <v>1</v>
      </c>
      <c r="Q64" s="180" t="n">
        <v>984.5</v>
      </c>
      <c r="R64" s="179" t="inlineStr">
        <is>
          <t>9982 CENTRALCHINA MT</t>
        </is>
      </c>
    </row>
    <row r="65">
      <c r="A65" s="17" t="inlineStr">
        <is>
          <t>Alpha Financial Group Limited</t>
        </is>
      </c>
      <c r="B65" s="171" t="n">
        <v>1</v>
      </c>
      <c r="C65" s="177" t="n">
        <v>0</v>
      </c>
      <c r="D65" s="178" t="n">
        <v>15</v>
      </c>
      <c r="E65" s="178" t="n">
        <v>-12.5</v>
      </c>
      <c r="F65" s="178" t="n">
        <v>-23.9</v>
      </c>
      <c r="G65" s="171" t="n">
        <v>1</v>
      </c>
      <c r="H65" s="178" t="n">
        <v>-31.2</v>
      </c>
      <c r="I65" s="178" t="n">
        <v>-42</v>
      </c>
      <c r="J65" s="178" t="n">
        <v>-55</v>
      </c>
      <c r="K65" s="178" t="n">
        <v>-21.4</v>
      </c>
      <c r="L65" s="178" t="n">
        <v>-33.7</v>
      </c>
      <c r="M65" s="178" t="n">
        <v>-48.6</v>
      </c>
      <c r="N65" s="177" t="n"/>
      <c r="O65" s="177" t="n"/>
      <c r="P65" s="171" t="n">
        <v>0</v>
      </c>
      <c r="Q65" s="180" t="n">
        <v>125</v>
      </c>
      <c r="R65" s="179" t="inlineStr">
        <is>
          <t>2129 LEGION CONSO</t>
        </is>
      </c>
    </row>
    <row r="66">
      <c r="A66" s="17" t="inlineStr">
        <is>
          <t>Space Securities Limited</t>
        </is>
      </c>
      <c r="B66" s="171" t="n">
        <v>1</v>
      </c>
      <c r="C66" s="177" t="n">
        <v>0</v>
      </c>
      <c r="D66" s="178" t="n">
        <v>-5.6</v>
      </c>
      <c r="E66" s="178" t="n">
        <v>-22.2</v>
      </c>
      <c r="F66" s="178" t="n">
        <v>-17.6</v>
      </c>
      <c r="G66" s="171" t="n">
        <v>1</v>
      </c>
      <c r="H66" s="178" t="n">
        <v>-29.6</v>
      </c>
      <c r="I66" s="178" t="n">
        <v>-38</v>
      </c>
      <c r="J66" s="178" t="n">
        <v>-40.7</v>
      </c>
      <c r="K66" s="178" t="n">
        <v>-9.5</v>
      </c>
      <c r="L66" s="178" t="n">
        <v>-20.2</v>
      </c>
      <c r="M66" s="178" t="n">
        <v>-23.8</v>
      </c>
      <c r="N66" s="177" t="n"/>
      <c r="O66" s="177" t="n"/>
      <c r="P66" s="171" t="n">
        <v>0</v>
      </c>
      <c r="Q66" s="180" t="n">
        <v>135</v>
      </c>
      <c r="R66" s="179" t="inlineStr">
        <is>
          <t>1413 KWONG LUEN ENG</t>
        </is>
      </c>
    </row>
    <row r="67">
      <c r="A67" s="17" t="inlineStr">
        <is>
          <t>Head &amp; Shoulders Securities Limited</t>
        </is>
      </c>
      <c r="B67" s="171" t="n">
        <v>1</v>
      </c>
      <c r="C67" s="177" t="n">
        <v>0</v>
      </c>
      <c r="D67" s="178" t="n">
        <v>-32</v>
      </c>
      <c r="E67" s="178" t="n">
        <v>-23.4</v>
      </c>
      <c r="F67" s="178" t="n">
        <v>12.6</v>
      </c>
      <c r="G67" s="171" t="n">
        <v>1</v>
      </c>
      <c r="H67" s="178" t="n">
        <v>20.3</v>
      </c>
      <c r="I67" s="178" t="n">
        <v>26.6</v>
      </c>
      <c r="J67" s="178" t="n">
        <v>-21.1</v>
      </c>
      <c r="K67" s="178" t="n">
        <v>57.1</v>
      </c>
      <c r="L67" s="178" t="n">
        <v>65.3</v>
      </c>
      <c r="M67" s="178" t="n">
        <v>3.1</v>
      </c>
      <c r="N67" s="177" t="n">
        <v>0</v>
      </c>
      <c r="O67" s="177" t="n">
        <v>100</v>
      </c>
      <c r="P67" s="171" t="n">
        <v>1</v>
      </c>
      <c r="Q67" s="180" t="n">
        <v>130.6</v>
      </c>
      <c r="R67" s="179" t="inlineStr">
        <is>
          <t>2442 EASY SMART GP</t>
        </is>
      </c>
    </row>
    <row r="68">
      <c r="A68" s="17" t="inlineStr">
        <is>
          <t>First Fidelity Capi tal</t>
        </is>
      </c>
      <c r="B68" s="171" t="n">
        <v>1</v>
      </c>
      <c r="C68" s="177" t="n">
        <v>0</v>
      </c>
      <c r="D68" s="178" t="n">
        <v>-8</v>
      </c>
      <c r="E68" s="178" t="n">
        <v>-26.7</v>
      </c>
      <c r="F68" s="178" t="n">
        <v>-20.3</v>
      </c>
      <c r="G68" s="171" t="n">
        <v>1</v>
      </c>
      <c r="H68" s="178" t="n">
        <v>-34.7</v>
      </c>
      <c r="I68" s="178" t="n">
        <v>-40</v>
      </c>
      <c r="J68" s="178" t="n">
        <v>-46.7</v>
      </c>
      <c r="K68" s="178" t="n">
        <v>-10.9</v>
      </c>
      <c r="L68" s="178" t="n">
        <v>-18.2</v>
      </c>
      <c r="M68" s="178" t="n">
        <v>-27.3</v>
      </c>
      <c r="N68" s="177" t="n"/>
      <c r="O68" s="177" t="n"/>
      <c r="P68" s="171" t="n">
        <v>0</v>
      </c>
      <c r="Q68" s="180" t="n">
        <v>148.5</v>
      </c>
      <c r="R68" s="179" t="inlineStr">
        <is>
          <t>1927 JIUJIUWANG</t>
        </is>
      </c>
    </row>
    <row r="69">
      <c r="A69" s="17" t="inlineStr">
        <is>
          <t>Zhongtai Internati onal Securities Limited</t>
        </is>
      </c>
      <c r="B69" s="171" t="n">
        <v>1</v>
      </c>
      <c r="C69" s="177" t="n">
        <v>0</v>
      </c>
      <c r="D69" s="178" t="n">
        <v>-39.2</v>
      </c>
      <c r="E69" s="178" t="n">
        <v>-46.4</v>
      </c>
      <c r="F69" s="178" t="n">
        <v>-11.8</v>
      </c>
      <c r="G69" s="171" t="n">
        <v>1</v>
      </c>
      <c r="H69" s="178" t="n">
        <v>-63.6</v>
      </c>
      <c r="I69" s="178" t="n">
        <v>-65.59999999999999</v>
      </c>
      <c r="J69" s="178" t="n">
        <v>-68.40000000000001</v>
      </c>
      <c r="K69" s="178" t="n">
        <v>-32.1</v>
      </c>
      <c r="L69" s="178" t="n">
        <v>-35.8</v>
      </c>
      <c r="M69" s="178" t="n">
        <v>-41</v>
      </c>
      <c r="N69" s="177" t="n">
        <v>0</v>
      </c>
      <c r="O69" s="177" t="n">
        <v>100</v>
      </c>
      <c r="P69" s="171" t="n">
        <v>1</v>
      </c>
      <c r="Q69" s="180" t="n">
        <v>200</v>
      </c>
      <c r="R69" s="179"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5"/>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9" t="inlineStr">
        <is>
          <t>A. LISTING DATE AND DAY-1 CLOSE (92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74" t="inlineStr">
        <is>
          <t>9608</t>
        </is>
      </c>
      <c r="B6" s="17" t="inlineStr">
        <is>
          <t>SUNDY SERVICE</t>
        </is>
      </c>
      <c r="C6" s="181" t="inlineStr">
        <is>
          <t>2021-01-18</t>
        </is>
      </c>
      <c r="D6" s="182" t="n">
        <v>0.16</v>
      </c>
      <c r="E6" s="178" t="n">
        <v>-36</v>
      </c>
      <c r="F6" s="50">
        <f>IFERROR(BDH(TEXT(N($A6),"0")&amp;" HK Equity","PX_LAST",$C6,$C6),"run on terminal")</f>
        <v/>
      </c>
      <c r="G6" s="10">
        <f>IF(NOT(ISNUMBER($F6)),"run on terminal",IF(ABS($F6/($D6)-1)&lt;0.005,"MATCH","CHECK: BBG "&amp;TEXT($F6,"0.000")))</f>
        <v/>
      </c>
      <c r="H6" s="179" t="inlineStr">
        <is>
          <t>AAStocks listing date (was 2021-01-16); close from the local session list</t>
        </is>
      </c>
    </row>
    <row r="7">
      <c r="A7" s="174" t="inlineStr">
        <is>
          <t>2170</t>
        </is>
      </c>
      <c r="B7" s="17" t="inlineStr">
        <is>
          <t>BASECARE-B</t>
        </is>
      </c>
      <c r="C7" s="181" t="inlineStr">
        <is>
          <t>2021-02-08</t>
        </is>
      </c>
      <c r="D7" s="182" t="n">
        <v>27.699</v>
      </c>
      <c r="E7" s="178" t="n">
        <v>1.24</v>
      </c>
      <c r="F7" s="50">
        <f>IFERROR(BDH(TEXT(N($A7),"0")&amp;" HK Equity","PX_LAST",$C7,$C7),"run on terminal")</f>
        <v/>
      </c>
      <c r="G7" s="10">
        <f>IF(NOT(ISNUMBER($F7)),"run on terminal",IF(ABS($F7/($D7)-1)&lt;0.005,"MATCH","CHECK: BBG "&amp;TEXT($F7,"0.000")))</f>
        <v/>
      </c>
      <c r="H7" s="179" t="inlineStr">
        <is>
          <t>AAStocks listing date (was 2021-02-06); close from the local session list</t>
        </is>
      </c>
    </row>
    <row r="8">
      <c r="A8" s="174" t="inlineStr">
        <is>
          <t>2518</t>
        </is>
      </c>
      <c r="B8" s="17" t="inlineStr">
        <is>
          <t>AUTOHOME-S</t>
        </is>
      </c>
      <c r="C8" s="181" t="inlineStr">
        <is>
          <t>2021-03-15</t>
        </is>
      </c>
      <c r="D8" s="182" t="n">
        <v>180.002</v>
      </c>
      <c r="E8" s="178" t="n">
        <v>2.1</v>
      </c>
      <c r="F8" s="50">
        <f>IFERROR(BDH(TEXT(N($A8),"0")&amp;" HK Equity","PX_LAST",$C8,$C8),"run on terminal")</f>
        <v/>
      </c>
      <c r="G8" s="10">
        <f>IF(NOT(ISNUMBER($F8)),"run on terminal",IF(ABS($F8/($D8)-1)&lt;0.005,"MATCH","CHECK: BBG "&amp;TEXT($F8,"0.000")))</f>
        <v/>
      </c>
      <c r="H8" s="179" t="inlineStr">
        <is>
          <t>AAStocks listing date (was 2021-03-13); close from the local session list</t>
        </is>
      </c>
    </row>
    <row r="9">
      <c r="A9" s="174" t="inlineStr">
        <is>
          <t>9626</t>
        </is>
      </c>
      <c r="B9" s="17" t="inlineStr">
        <is>
          <t>BILIBILI-SW</t>
        </is>
      </c>
      <c r="C9" s="181" t="inlineStr">
        <is>
          <t>2021-03-29</t>
        </is>
      </c>
      <c r="D9" s="182" t="n">
        <v>800.001</v>
      </c>
      <c r="E9" s="178" t="n">
        <v>-0.99</v>
      </c>
      <c r="F9" s="50">
        <f>IFERROR(BDH(TEXT(N($A9),"0")&amp;" HK Equity","PX_LAST",$C9,$C9),"run on terminal")</f>
        <v/>
      </c>
      <c r="G9" s="10">
        <f>IF(NOT(ISNUMBER($F9)),"run on terminal",IF(ABS($F9/($D9)-1)&lt;0.005,"MATCH","CHECK: BBG "&amp;TEXT($F9,"0.000")))</f>
        <v/>
      </c>
      <c r="H9" s="179" t="inlineStr">
        <is>
          <t>AAStocks listing date (was 2021-03-27); close from the local session list</t>
        </is>
      </c>
    </row>
    <row r="10">
      <c r="A10" s="174" t="inlineStr">
        <is>
          <t>9961</t>
        </is>
      </c>
      <c r="B10" s="17" t="inlineStr">
        <is>
          <t>TRIP.COM-S</t>
        </is>
      </c>
      <c r="C10" s="181" t="inlineStr">
        <is>
          <t>2021-04-19</t>
        </is>
      </c>
      <c r="D10" s="182" t="n">
        <v>280.194</v>
      </c>
      <c r="E10" s="178" t="n">
        <v>4.55</v>
      </c>
      <c r="F10" s="50">
        <f>IFERROR(BDH(TEXT(N($A10),"0")&amp;" HK Equity","PX_LAST",$C10,$C10),"run on terminal")</f>
        <v/>
      </c>
      <c r="G10" s="10">
        <f>IF(NOT(ISNUMBER($F10)),"run on terminal",IF(ABS($F10/($D10)-1)&lt;0.005,"MATCH","CHECK: BBG "&amp;TEXT($F10,"0.000")))</f>
        <v/>
      </c>
      <c r="H10" s="179" t="inlineStr">
        <is>
          <t>AAStocks listing date (was 2021-04-17); close from the local session list</t>
        </is>
      </c>
    </row>
    <row r="11">
      <c r="A11" s="174" t="inlineStr">
        <is>
          <t>2191</t>
        </is>
      </c>
      <c r="B11" s="17" t="inlineStr">
        <is>
          <t>SF REIT</t>
        </is>
      </c>
      <c r="C11" s="181" t="inlineStr">
        <is>
          <t>2021-05-17</t>
        </is>
      </c>
      <c r="D11" s="182" t="n">
        <v>4.16</v>
      </c>
      <c r="E11" s="178" t="n">
        <v>-16.47</v>
      </c>
      <c r="F11" s="50">
        <f>IFERROR(BDH(TEXT(N($A11),"0")&amp;" HK Equity","PX_LAST",$C11,$C11),"run on terminal")</f>
        <v/>
      </c>
      <c r="G11" s="10">
        <f>IF(NOT(ISNUMBER($F11)),"run on terminal",IF(ABS($F11/($D11)-1)&lt;0.005,"MATCH","CHECK: BBG "&amp;TEXT($F11,"0.000")))</f>
        <v/>
      </c>
      <c r="H11" s="179" t="inlineStr">
        <is>
          <t>AAStocks listing date (was 2021-05-15); close from the local session list</t>
        </is>
      </c>
    </row>
    <row r="12">
      <c r="A12" s="174" t="inlineStr">
        <is>
          <t>9982</t>
        </is>
      </c>
      <c r="B12" s="17" t="inlineStr">
        <is>
          <t>CENTRALCHINA MT</t>
        </is>
      </c>
      <c r="C12" s="181" t="inlineStr">
        <is>
          <t>2021-05-31</t>
        </is>
      </c>
      <c r="D12" s="182" t="n">
        <v>2.64</v>
      </c>
      <c r="E12" s="178" t="n">
        <v>-12</v>
      </c>
      <c r="F12" s="50">
        <f>IFERROR(BDH(TEXT(N($A12),"0")&amp;" HK Equity","PX_LAST",$C12,$C12),"run on terminal")</f>
        <v/>
      </c>
      <c r="G12" s="10">
        <f>IF(NOT(ISNUMBER($F12)),"run on terminal",IF(ABS($F12/($D12)-1)&lt;0.005,"MATCH","CHECK: BBG "&amp;TEXT($F12,"0.000")))</f>
        <v/>
      </c>
      <c r="H12" s="179" t="inlineStr">
        <is>
          <t>AAStocks listing date (was 2021-05-29); close from the local session list</t>
        </is>
      </c>
    </row>
    <row r="13">
      <c r="A13" s="174" t="inlineStr">
        <is>
          <t>2155</t>
        </is>
      </c>
      <c r="B13" s="17" t="inlineStr">
        <is>
          <t>MORIMATSU INTL</t>
        </is>
      </c>
      <c r="C13" s="181" t="inlineStr">
        <is>
          <t>2021-06-28</t>
        </is>
      </c>
      <c r="D13" s="182" t="n">
        <v>8.9</v>
      </c>
      <c r="E13" s="178" t="n">
        <v>258.87</v>
      </c>
      <c r="F13" s="50">
        <f>IFERROR(BDH(TEXT(N($A13),"0")&amp;" HK Equity","PX_LAST",$C13,$C13),"run on terminal")</f>
        <v/>
      </c>
      <c r="G13" s="10">
        <f>IF(NOT(ISNUMBER($F13)),"run on terminal",IF(ABS($F13/($D13)-1)&lt;0.005,"MATCH","CHECK: BBG "&amp;TEXT($F13,"0.000")))</f>
        <v/>
      </c>
      <c r="H13" s="179" t="inlineStr">
        <is>
          <t>AAStocks listing date (was 2021-06-26); close from the local session list</t>
        </is>
      </c>
    </row>
    <row r="14">
      <c r="A14" s="174" t="inlineStr">
        <is>
          <t>6626</t>
        </is>
      </c>
      <c r="B14" s="17" t="inlineStr">
        <is>
          <t>YUEXIU SERVICES</t>
        </is>
      </c>
      <c r="C14" s="181" t="inlineStr">
        <is>
          <t>2021-06-28</t>
        </is>
      </c>
      <c r="D14" s="182" t="n">
        <v>4.88</v>
      </c>
      <c r="E14" s="178" t="n">
        <v>0</v>
      </c>
      <c r="F14" s="50">
        <f>IFERROR(BDH(TEXT(N($A14),"0")&amp;" HK Equity","PX_LAST",$C14,$C14),"run on terminal")</f>
        <v/>
      </c>
      <c r="G14" s="10">
        <f>IF(NOT(ISNUMBER($F14)),"run on terminal",IF(ABS($F14/($D14)-1)&lt;0.005,"MATCH","CHECK: BBG "&amp;TEXT($F14,"0.000")))</f>
        <v/>
      </c>
      <c r="H14" s="179" t="inlineStr">
        <is>
          <t>AAStocks listing date (was 2021-06-26); close from the local session list</t>
        </is>
      </c>
    </row>
    <row r="15">
      <c r="A15" s="174" t="inlineStr">
        <is>
          <t>0606</t>
        </is>
      </c>
      <c r="B15" s="17" t="inlineStr">
        <is>
          <t>SCE CM</t>
        </is>
      </c>
      <c r="C15" s="181" t="inlineStr">
        <is>
          <t>2021-07-02</t>
        </is>
      </c>
      <c r="D15" s="182" t="n">
        <v>4</v>
      </c>
      <c r="E15" s="178" t="n">
        <v>8.109999999999999</v>
      </c>
      <c r="F15" s="50">
        <f>IFERROR(BDH(TEXT(N($A15),"0")&amp;" HK Equity","PX_LAST",$C15,$C15),"run on terminal")</f>
        <v/>
      </c>
      <c r="G15" s="10">
        <f>IF(NOT(ISNUMBER($F15)),"run on terminal",IF(ABS($F15/($D15)-1)&lt;0.005,"MATCH","CHECK: BBG "&amp;TEXT($F15,"0.000")))</f>
        <v/>
      </c>
      <c r="H15" s="179" t="inlineStr">
        <is>
          <t>AAStocks listing date (was 2021-07-01); close from the local session list</t>
        </is>
      </c>
    </row>
    <row r="16">
      <c r="A16" s="174" t="inlineStr">
        <is>
          <t>2190</t>
        </is>
      </c>
      <c r="B16" s="17" t="inlineStr">
        <is>
          <t>ZYLOXTB-B</t>
        </is>
      </c>
      <c r="C16" s="181" t="inlineStr">
        <is>
          <t>2021-07-05</t>
        </is>
      </c>
      <c r="D16" s="182" t="n">
        <v>60.002</v>
      </c>
      <c r="E16" s="178" t="n">
        <v>40.52</v>
      </c>
      <c r="F16" s="50">
        <f>IFERROR(BDH(TEXT(N($A16),"0")&amp;" HK Equity","PX_LAST",$C16,$C16),"run on terminal")</f>
        <v/>
      </c>
      <c r="G16" s="10">
        <f>IF(NOT(ISNUMBER($F16)),"run on terminal",IF(ABS($F16/($D16)-1)&lt;0.005,"MATCH","CHECK: BBG "&amp;TEXT($F16,"0.000")))</f>
        <v/>
      </c>
      <c r="H16" s="179" t="inlineStr">
        <is>
          <t>AAStocks listing date (was 2021-07-03); close from the local session list</t>
        </is>
      </c>
    </row>
    <row r="17">
      <c r="A17" s="174" t="inlineStr">
        <is>
          <t>2165</t>
        </is>
      </c>
      <c r="B17" s="17" t="inlineStr">
        <is>
          <t>LING YUE SER GP</t>
        </is>
      </c>
      <c r="C17" s="181" t="inlineStr">
        <is>
          <t>2021-07-12</t>
        </is>
      </c>
      <c r="D17" s="182" t="n">
        <v>4.19</v>
      </c>
      <c r="E17" s="178" t="n">
        <v>0</v>
      </c>
      <c r="F17" s="50">
        <f>IFERROR(BDH(TEXT(N($A17),"0")&amp;" HK Equity","PX_LAST",$C17,$C17),"run on terminal")</f>
        <v/>
      </c>
      <c r="G17" s="10">
        <f>IF(NOT(ISNUMBER($F17)),"run on terminal",IF(ABS($F17/($D17)-1)&lt;0.005,"MATCH","CHECK: BBG "&amp;TEXT($F17,"0.000")))</f>
        <v/>
      </c>
      <c r="H17" s="179" t="inlineStr">
        <is>
          <t>AAStocks listing date (was 2021-07-10); close from the local session list</t>
        </is>
      </c>
    </row>
    <row r="18">
      <c r="A18" s="174" t="inlineStr">
        <is>
          <t>2177</t>
        </is>
      </c>
      <c r="B18" s="17" t="inlineStr">
        <is>
          <t>UNQ HOLDINGS</t>
        </is>
      </c>
      <c r="C18" s="181" t="inlineStr">
        <is>
          <t>2021-07-12</t>
        </is>
      </c>
      <c r="D18" s="182" t="n">
        <v>9.039999999999999</v>
      </c>
      <c r="E18" s="178" t="n">
        <v>-23.78</v>
      </c>
      <c r="F18" s="50">
        <f>IFERROR(BDH(TEXT(N($A18),"0")&amp;" HK Equity","PX_LAST",$C18,$C18),"run on terminal")</f>
        <v/>
      </c>
      <c r="G18" s="10">
        <f>IF(NOT(ISNUMBER($F18)),"run on terminal",IF(ABS($F18/($D18)-1)&lt;0.005,"MATCH","CHECK: BBG "&amp;TEXT($F18,"0.000")))</f>
        <v/>
      </c>
      <c r="H18" s="179" t="inlineStr">
        <is>
          <t>AAStocks listing date (was 2021-07-10); close from the local session list</t>
        </is>
      </c>
    </row>
    <row r="19">
      <c r="A19" s="174" t="inlineStr">
        <is>
          <t>6611</t>
        </is>
      </c>
      <c r="B19" s="17" t="inlineStr">
        <is>
          <t>SANXUN GROUP</t>
        </is>
      </c>
      <c r="C19" s="181" t="inlineStr">
        <is>
          <t>2021-07-19</t>
        </is>
      </c>
      <c r="D19" s="182" t="n">
        <v>4.75</v>
      </c>
      <c r="E19" s="178" t="n">
        <v>0</v>
      </c>
      <c r="F19" s="50">
        <f>IFERROR(BDH(TEXT(N($A19),"0")&amp;" HK Equity","PX_LAST",$C19,$C19),"run on terminal")</f>
        <v/>
      </c>
      <c r="G19" s="10">
        <f>IF(NOT(ISNUMBER($F19)),"run on terminal",IF(ABS($F19/($D19)-1)&lt;0.005,"MATCH","CHECK: BBG "&amp;TEXT($F19,"0.000")))</f>
        <v/>
      </c>
      <c r="H19" s="179" t="inlineStr">
        <is>
          <t>AAStocks listing date (was 2021-07-17); close from the local session list</t>
        </is>
      </c>
    </row>
    <row r="20">
      <c r="A20" s="174" t="inlineStr">
        <is>
          <t>2378</t>
        </is>
      </c>
      <c r="B20" s="17" t="inlineStr">
        <is>
          <t>PRU</t>
        </is>
      </c>
      <c r="C20" s="181" t="inlineStr">
        <is>
          <t>2021-10-04</t>
        </is>
      </c>
      <c r="D20" s="182" t="n">
        <v>150.602</v>
      </c>
      <c r="E20" s="178" t="n">
        <v>4.73</v>
      </c>
      <c r="F20" s="50">
        <f>IFERROR(BDH(TEXT(N($A20),"0")&amp;" HK Equity","PX_LAST",$C20,$C20),"run on terminal")</f>
        <v/>
      </c>
      <c r="G20" s="10">
        <f>IF(NOT(ISNUMBER($F20)),"run on terminal",IF(ABS($F20/($D20)-1)&lt;0.005,"MATCH","CHECK: BBG "&amp;TEXT($F20,"0.000")))</f>
        <v/>
      </c>
      <c r="H20" s="179" t="inlineStr">
        <is>
          <t>AAStocks listing date (was 2021-10-01); close from the local session list</t>
        </is>
      </c>
    </row>
    <row r="21">
      <c r="A21" s="174" t="inlineStr">
        <is>
          <t>1948</t>
        </is>
      </c>
      <c r="B21" s="17" t="inlineStr">
        <is>
          <t>UJU HOLDING</t>
        </is>
      </c>
      <c r="C21" s="181" t="inlineStr">
        <is>
          <t>2021-11-08</t>
        </is>
      </c>
      <c r="D21" s="182" t="n">
        <v>6.4</v>
      </c>
      <c r="E21" s="178" t="n">
        <v>-4.48</v>
      </c>
      <c r="F21" s="50">
        <f>IFERROR(BDH(TEXT(N($A21),"0")&amp;" HK Equity","PX_LAST",$C21,$C21),"run on terminal")</f>
        <v/>
      </c>
      <c r="G21" s="10">
        <f>IF(NOT(ISNUMBER($F21)),"run on terminal",IF(ABS($F21/($D21)-1)&lt;0.005,"MATCH","CHECK: BBG "&amp;TEXT($F21,"0.000")))</f>
        <v/>
      </c>
      <c r="H21" s="179" t="inlineStr">
        <is>
          <t>AAStocks listing date (was 2021-11-06); close from the local session list</t>
        </is>
      </c>
    </row>
    <row r="22">
      <c r="A22" s="174" t="inlineStr">
        <is>
          <t>2279</t>
        </is>
      </c>
      <c r="B22" s="17" t="inlineStr">
        <is>
          <t>YONGHE MEDICAL</t>
        </is>
      </c>
      <c r="C22" s="181" t="inlineStr">
        <is>
          <t>2021-12-13</t>
        </is>
      </c>
      <c r="D22" s="182" t="n">
        <v>16.599</v>
      </c>
      <c r="E22" s="178" t="n">
        <v>5.06</v>
      </c>
      <c r="F22" s="50">
        <f>IFERROR(BDH(TEXT(N($A22),"0")&amp;" HK Equity","PX_LAST",$C22,$C22),"run on terminal")</f>
        <v/>
      </c>
      <c r="G22" s="10">
        <f>IF(NOT(ISNUMBER($F22)),"run on terminal",IF(ABS($F22/($D22)-1)&lt;0.005,"MATCH","CHECK: BBG "&amp;TEXT($F22,"0.000")))</f>
        <v/>
      </c>
      <c r="H22" s="179" t="inlineStr">
        <is>
          <t>AAStocks listing date (was 2021-12-11); close from the local session list</t>
        </is>
      </c>
    </row>
    <row r="23">
      <c r="A23" s="174" t="inlineStr">
        <is>
          <t>2250</t>
        </is>
      </c>
      <c r="B23" s="17" t="inlineStr">
        <is>
          <t>SEMK HOLDINGS</t>
        </is>
      </c>
      <c r="C23" s="181" t="inlineStr">
        <is>
          <t>2022-01-17</t>
        </is>
      </c>
      <c r="D23" s="182" t="n">
        <v>2.39</v>
      </c>
      <c r="E23" s="178" t="n">
        <v>16.59</v>
      </c>
      <c r="F23" s="50">
        <f>IFERROR(BDH(TEXT(N($A23),"0")&amp;" HK Equity","PX_LAST",$C23,$C23),"run on terminal")</f>
        <v/>
      </c>
      <c r="G23" s="10">
        <f>IF(NOT(ISNUMBER($F23)),"run on terminal",IF(ABS($F23/($D23)-1)&lt;0.005,"MATCH","CHECK: BBG "&amp;TEXT($F23,"0.000")))</f>
        <v/>
      </c>
      <c r="H23" s="179" t="inlineStr">
        <is>
          <t>AAStocks listing date (was 2022-01-15); close from the local session list</t>
        </is>
      </c>
    </row>
    <row r="24">
      <c r="A24" s="174" t="inlineStr">
        <is>
          <t>2237</t>
        </is>
      </c>
      <c r="B24" s="17" t="inlineStr">
        <is>
          <t>CHINA GRAPHITE</t>
        </is>
      </c>
      <c r="C24" s="181" t="inlineStr">
        <is>
          <t>2022-07-18</t>
        </is>
      </c>
      <c r="D24" s="182" t="n">
        <v>0.79</v>
      </c>
      <c r="E24" s="178" t="n">
        <v>143.08</v>
      </c>
      <c r="F24" s="50">
        <f>IFERROR(BDH(TEXT(N($A24),"0")&amp;" HK Equity","PX_LAST",$C24,$C24),"run on terminal")</f>
        <v/>
      </c>
      <c r="G24" s="10">
        <f>IF(NOT(ISNUMBER($F24)),"run on terminal",IF(ABS($F24/($D24)-1)&lt;0.005,"MATCH","CHECK: BBG "&amp;TEXT($F24,"0.000")))</f>
        <v/>
      </c>
      <c r="H24" s="179" t="inlineStr">
        <is>
          <t>AAStocks listing date (was 2022-07-16); close from the local session list</t>
        </is>
      </c>
    </row>
    <row r="25">
      <c r="A25" s="174" t="inlineStr">
        <is>
          <t>2350</t>
        </is>
      </c>
      <c r="B25" s="17" t="inlineStr">
        <is>
          <t>MTT GROUP</t>
        </is>
      </c>
      <c r="C25" s="181" t="inlineStr">
        <is>
          <t>2022-09-26</t>
        </is>
      </c>
      <c r="D25" s="182" t="n">
        <v>0.62</v>
      </c>
      <c r="E25" s="178" t="n">
        <v>-27.06</v>
      </c>
      <c r="F25" s="50">
        <f>IFERROR(BDH(TEXT(N($A25),"0")&amp;" HK Equity","PX_LAST",$C25,$C25),"run on terminal")</f>
        <v/>
      </c>
      <c r="G25" s="10">
        <f>IF(NOT(ISNUMBER($F25)),"run on terminal",IF(ABS($F25/($D25/1.246)-1)&lt;0.005,"MATCH","CHECK: BBG "&amp;TEXT($F25,"0.000")))</f>
        <v/>
      </c>
      <c r="H25" s="179" t="inlineStr">
        <is>
          <t>AAStocks listing date (was 2022-09-24); close from the local session list; Bloomberg basis = raw / 1.246</t>
        </is>
      </c>
    </row>
    <row r="26">
      <c r="A26" s="174" t="inlineStr">
        <is>
          <t>9877</t>
        </is>
      </c>
      <c r="B26" s="17" t="inlineStr">
        <is>
          <t>JENSCARE-B</t>
        </is>
      </c>
      <c r="C26" s="181" t="inlineStr">
        <is>
          <t>2022-10-10</t>
        </is>
      </c>
      <c r="D26" s="182" t="n">
        <v>28.25</v>
      </c>
      <c r="E26" s="178" t="n">
        <v>1.62</v>
      </c>
      <c r="F26" s="50">
        <f>IFERROR(BDH(TEXT(N($A26),"0")&amp;" HK Equity","PX_LAST",$C26,$C26),"run on terminal")</f>
        <v/>
      </c>
      <c r="G26" s="10">
        <f>IF(NOT(ISNUMBER($F26)),"run on terminal",IF(ABS($F26/($D26)-1)&lt;0.005,"MATCH","CHECK: BBG "&amp;TEXT($F26,"0.000")))</f>
        <v/>
      </c>
      <c r="H26" s="179" t="inlineStr">
        <is>
          <t>AAStocks listing date (was 2022-10-08); close from the local session list</t>
        </is>
      </c>
    </row>
    <row r="27">
      <c r="A27" s="174" t="inlineStr">
        <is>
          <t>1489</t>
        </is>
      </c>
      <c r="B27" s="17" t="inlineStr">
        <is>
          <t>GC CONSTRUCTION</t>
        </is>
      </c>
      <c r="C27" s="181" t="inlineStr">
        <is>
          <t>2022-10-10</t>
        </is>
      </c>
      <c r="D27" s="182" t="n">
        <v>0.55</v>
      </c>
      <c r="E27" s="178" t="n">
        <v>10</v>
      </c>
      <c r="F27" s="50">
        <f>IFERROR(BDH(TEXT(N($A27),"0")&amp;" HK Equity","PX_LAST",$C27,$C27),"run on terminal")</f>
        <v/>
      </c>
      <c r="G27" s="10">
        <f>IF(NOT(ISNUMBER($F27)),"run on terminal",IF(ABS($F27/($D27)-1)&lt;0.005,"MATCH","CHECK: BBG "&amp;TEXT($F27,"0.000")))</f>
        <v/>
      </c>
      <c r="H27" s="179" t="inlineStr">
        <is>
          <t>AAStocks listing date (was 2022-10-08); close from the local session list</t>
        </is>
      </c>
    </row>
    <row r="28">
      <c r="A28" s="174" t="inlineStr">
        <is>
          <t>2422</t>
        </is>
      </c>
      <c r="B28" s="17" t="inlineStr">
        <is>
          <t>REGO INTERACT</t>
        </is>
      </c>
      <c r="C28" s="181" t="inlineStr">
        <is>
          <t>2022-10-17</t>
        </is>
      </c>
      <c r="D28" s="182" t="n">
        <v>1.35</v>
      </c>
      <c r="E28" s="178" t="n">
        <v>110.94</v>
      </c>
      <c r="F28" s="50">
        <f>IFERROR(BDH(TEXT(N($A28),"0")&amp;" HK Equity","PX_LAST",$C28,$C28),"run on terminal")</f>
        <v/>
      </c>
      <c r="G28" s="10">
        <f>IF(NOT(ISNUMBER($F28)),"run on terminal",IF(ABS($F28/($D28/1.1936)-1)&lt;0.005,"MATCH","CHECK: BBG "&amp;TEXT($F28,"0.000")))</f>
        <v/>
      </c>
      <c r="H28" s="179" t="inlineStr">
        <is>
          <t>AAStocks listing date (was 2022-10-15); close from the local session list; Bloomberg basis = raw / 1.1936</t>
        </is>
      </c>
    </row>
    <row r="29">
      <c r="A29" s="174" t="inlineStr">
        <is>
          <t>2407</t>
        </is>
      </c>
      <c r="B29" s="17" t="inlineStr">
        <is>
          <t>GAUSH MEDITECH</t>
        </is>
      </c>
      <c r="C29" s="181" t="inlineStr">
        <is>
          <t>2022-12-12</t>
        </is>
      </c>
      <c r="D29" s="182" t="n">
        <v>51.4</v>
      </c>
      <c r="E29" s="178" t="n">
        <v>0</v>
      </c>
      <c r="F29" s="50">
        <f>IFERROR(BDH(TEXT(N($A29),"0")&amp;" HK Equity","PX_LAST",$C29,$C29),"run on terminal")</f>
        <v/>
      </c>
      <c r="G29" s="10">
        <f>IF(NOT(ISNUMBER($F29)),"run on terminal",IF(ABS($F29/($D29)-1)&lt;0.005,"MATCH","CHECK: BBG "&amp;TEXT($F29,"0.000")))</f>
        <v/>
      </c>
      <c r="H29" s="179" t="inlineStr">
        <is>
          <t>AAStocks listing date (was 2022-12-10); close from the local session list</t>
        </is>
      </c>
    </row>
    <row r="30">
      <c r="A30" s="174" t="inlineStr">
        <is>
          <t>2440</t>
        </is>
      </c>
      <c r="B30" s="17" t="inlineStr">
        <is>
          <t>HOWKINGTECH</t>
        </is>
      </c>
      <c r="C30" s="181" t="inlineStr">
        <is>
          <t>2022-12-12</t>
        </is>
      </c>
      <c r="D30" s="182" t="n">
        <v>2</v>
      </c>
      <c r="E30" s="178" t="n">
        <v>-26.74</v>
      </c>
      <c r="F30" s="50">
        <f>IFERROR(BDH(TEXT(N($A30),"0")&amp;" HK Equity","PX_LAST",$C30,$C30),"run on terminal")</f>
        <v/>
      </c>
      <c r="G30" s="10">
        <f>IF(NOT(ISNUMBER($F30)),"run on terminal",IF(ABS($F30/($D30/1.22414)-1)&lt;0.005,"MATCH","CHECK: BBG "&amp;TEXT($F30,"0.000")))</f>
        <v/>
      </c>
      <c r="H30" s="179" t="inlineStr">
        <is>
          <t>AAStocks listing date (was 2022-12-10); close from the local session list; Bloomberg basis = raw / 1.22414</t>
        </is>
      </c>
    </row>
    <row r="31">
      <c r="A31" s="174" t="inlineStr">
        <is>
          <t>2469</t>
        </is>
      </c>
      <c r="B31" s="17" t="inlineStr">
        <is>
          <t>FENBI</t>
        </is>
      </c>
      <c r="C31" s="181" t="inlineStr">
        <is>
          <t>2023-01-09</t>
        </is>
      </c>
      <c r="D31" s="182" t="n">
        <v>11.1</v>
      </c>
      <c r="E31" s="178" t="n">
        <v>12.12</v>
      </c>
      <c r="F31" s="50">
        <f>IFERROR(BDH(TEXT(N($A31),"0")&amp;" HK Equity","PX_LAST",$C31,$C31),"run on terminal")</f>
        <v/>
      </c>
      <c r="G31" s="10">
        <f>IF(NOT(ISNUMBER($F31)),"run on terminal",IF(ABS($F31/($D31)-1)&lt;0.005,"MATCH","CHECK: BBG "&amp;TEXT($F31,"0.000")))</f>
        <v/>
      </c>
      <c r="H31" s="179" t="inlineStr">
        <is>
          <t>AAStocks listing date (was 2023-01-07); close from the local session list</t>
        </is>
      </c>
    </row>
    <row r="32">
      <c r="A32" s="174" t="inlineStr">
        <is>
          <t>2411</t>
        </is>
      </c>
      <c r="B32" s="17" t="inlineStr">
        <is>
          <t>PAGODA GP</t>
        </is>
      </c>
      <c r="C32" s="181" t="inlineStr">
        <is>
          <t>2023-01-16</t>
        </is>
      </c>
      <c r="D32" s="182" t="n">
        <v>6</v>
      </c>
      <c r="E32" s="178" t="n">
        <v>7.14</v>
      </c>
      <c r="F32" s="50">
        <f>IFERROR(BDH(TEXT(N($A32),"0")&amp;" HK Equity","PX_LAST",$C32,$C32),"run on terminal")</f>
        <v/>
      </c>
      <c r="G32" s="10">
        <f>IF(NOT(ISNUMBER($F32)),"run on terminal",IF(ABS($F32/($D32)-1)&lt;0.005,"MATCH","CHECK: BBG "&amp;TEXT($F32,"0.000")))</f>
        <v/>
      </c>
      <c r="H32" s="179" t="inlineStr">
        <is>
          <t>AAStocks listing date (was 2023-01-14); close from the local session list</t>
        </is>
      </c>
    </row>
    <row r="33">
      <c r="A33" s="174" t="inlineStr">
        <is>
          <t>2373</t>
        </is>
      </c>
      <c r="B33" s="17" t="inlineStr">
        <is>
          <t>BEAUTYFARM MED</t>
        </is>
      </c>
      <c r="C33" s="181" t="inlineStr">
        <is>
          <t>2023-01-16</t>
        </is>
      </c>
      <c r="D33" s="182" t="n">
        <v>29.65</v>
      </c>
      <c r="E33" s="178" t="n">
        <v>53.47</v>
      </c>
      <c r="F33" s="50">
        <f>IFERROR(BDH(TEXT(N($A33),"0")&amp;" HK Equity","PX_LAST",$C33,$C33),"run on terminal")</f>
        <v/>
      </c>
      <c r="G33" s="10">
        <f>IF(NOT(ISNUMBER($F33)),"run on terminal",IF(ABS($F33/($D33)-1)&lt;0.005,"MATCH","CHECK: BBG "&amp;TEXT($F33,"0.000")))</f>
        <v/>
      </c>
      <c r="H33" s="179" t="inlineStr">
        <is>
          <t>AAStocks listing date (was 2023-01-14); close from the local session list</t>
        </is>
      </c>
    </row>
    <row r="34">
      <c r="A34" s="174" t="inlineStr">
        <is>
          <t>2458</t>
        </is>
      </c>
      <c r="B34" s="17" t="inlineStr">
        <is>
          <t>GALA TECH HOLD</t>
        </is>
      </c>
      <c r="C34" s="181" t="inlineStr">
        <is>
          <t>2023-01-16</t>
        </is>
      </c>
      <c r="D34" s="182" t="n">
        <v>5.75</v>
      </c>
      <c r="E34" s="178" t="n">
        <v>-11.54</v>
      </c>
      <c r="F34" s="50">
        <f>IFERROR(BDH(TEXT(N($A34),"0")&amp;" HK Equity","PX_LAST",$C34,$C34),"run on terminal")</f>
        <v/>
      </c>
      <c r="G34" s="10">
        <f>IF(NOT(ISNUMBER($F34)),"run on terminal",IF(ABS($F34/($D34)-1)&lt;0.005,"MATCH","CHECK: BBG "&amp;TEXT($F34,"0.000")))</f>
        <v/>
      </c>
      <c r="H34" s="179" t="inlineStr">
        <is>
          <t>AAStocks listing date (was 2023-01-14); close from the local session list</t>
        </is>
      </c>
    </row>
    <row r="35">
      <c r="A35" s="174" t="inlineStr">
        <is>
          <t>2480</t>
        </is>
      </c>
      <c r="B35" s="17" t="inlineStr">
        <is>
          <t>LUZHU BIOTECH-B</t>
        </is>
      </c>
      <c r="C35" s="181" t="inlineStr">
        <is>
          <t>2023-05-08</t>
        </is>
      </c>
      <c r="D35" s="182" t="n">
        <v>21.999</v>
      </c>
      <c r="E35" s="178" t="n">
        <v>-32.93</v>
      </c>
      <c r="F35" s="50">
        <f>IFERROR(BDH(TEXT(N($A35),"0")&amp;" HK Equity","PX_LAST",$C35,$C35),"run on terminal")</f>
        <v/>
      </c>
      <c r="G35" s="10">
        <f>IF(NOT(ISNUMBER($F35)),"run on terminal",IF(ABS($F35/($D35)-1)&lt;0.005,"MATCH","CHECK: BBG "&amp;TEXT($F35,"0.000")))</f>
        <v/>
      </c>
      <c r="H35" s="179" t="inlineStr">
        <is>
          <t>AAStocks listing date (was 2023-05-06); close from the local session list</t>
        </is>
      </c>
    </row>
    <row r="36">
      <c r="A36" s="174" t="inlineStr">
        <is>
          <t>2487</t>
        </is>
      </c>
      <c r="B36" s="17" t="inlineStr">
        <is>
          <t>CUTIA-B</t>
        </is>
      </c>
      <c r="C36" s="181" t="inlineStr">
        <is>
          <t>2023-06-12</t>
        </is>
      </c>
      <c r="D36" s="182" t="n">
        <v>21.951</v>
      </c>
      <c r="E36" s="178" t="n">
        <v>0.46</v>
      </c>
      <c r="F36" s="50">
        <f>IFERROR(BDH(TEXT(N($A36),"0")&amp;" HK Equity","PX_LAST",$C36,$C36),"run on terminal")</f>
        <v/>
      </c>
      <c r="G36" s="10">
        <f>IF(NOT(ISNUMBER($F36)),"run on terminal",IF(ABS($F36/($D36)-1)&lt;0.005,"MATCH","CHECK: BBG "&amp;TEXT($F36,"0.000")))</f>
        <v/>
      </c>
      <c r="H36" s="179" t="inlineStr">
        <is>
          <t>AAStocks listing date (was 2023-06-10); close from the local session list</t>
        </is>
      </c>
    </row>
    <row r="37">
      <c r="A37" s="174" t="inlineStr">
        <is>
          <t>2481</t>
        </is>
      </c>
      <c r="B37" s="17" t="inlineStr">
        <is>
          <t>WISE LIVING TEC</t>
        </is>
      </c>
      <c r="C37" s="181" t="inlineStr">
        <is>
          <t>2023-07-10</t>
        </is>
      </c>
      <c r="D37" s="182" t="n">
        <v>3.6</v>
      </c>
      <c r="E37" s="178" t="n">
        <v>0</v>
      </c>
      <c r="F37" s="50">
        <f>IFERROR(BDH(TEXT(N($A37),"0")&amp;" HK Equity","PX_LAST",$C37,$C37),"run on terminal")</f>
        <v/>
      </c>
      <c r="G37" s="10">
        <f>IF(NOT(ISNUMBER($F37)),"run on terminal",IF(ABS($F37/($D37)-1)&lt;0.005,"MATCH","CHECK: BBG "&amp;TEXT($F37,"0.000")))</f>
        <v/>
      </c>
      <c r="H37" s="179" t="inlineStr">
        <is>
          <t>AAStocks listing date (was 2023-07-08); close from the local session list</t>
        </is>
      </c>
    </row>
    <row r="38">
      <c r="A38" s="174" t="inlineStr">
        <is>
          <t>1284</t>
        </is>
      </c>
      <c r="B38" s="17" t="inlineStr">
        <is>
          <t>NEW MEDIA LAB</t>
        </is>
      </c>
      <c r="C38" s="181" t="inlineStr">
        <is>
          <t>2023-07-18</t>
        </is>
      </c>
      <c r="D38" s="182" t="n">
        <v>0.93</v>
      </c>
      <c r="E38" s="178" t="n">
        <v>1.09</v>
      </c>
      <c r="F38" s="50">
        <f>IFERROR(BDH(TEXT(N($A38),"0")&amp;" HK Equity","PX_LAST",$C38,$C38),"run on terminal")</f>
        <v/>
      </c>
      <c r="G38" s="10">
        <f>IF(NOT(ISNUMBER($F38)),"run on terminal",IF(ABS($F38/($D38)-1)&lt;0.005,"MATCH","CHECK: BBG "&amp;TEXT($F38,"0.000")))</f>
        <v/>
      </c>
      <c r="H38" s="179" t="inlineStr">
        <is>
          <t>AAStocks listing date (was 2023-07-15); close from the local session list</t>
        </is>
      </c>
    </row>
    <row r="39">
      <c r="A39" s="174" t="inlineStr">
        <is>
          <t>2496</t>
        </is>
      </c>
      <c r="B39" s="17" t="inlineStr">
        <is>
          <t>YZYBIO-B</t>
        </is>
      </c>
      <c r="C39" s="181" t="inlineStr">
        <is>
          <t>2023-09-25</t>
        </is>
      </c>
      <c r="D39" s="182" t="n">
        <v>16</v>
      </c>
      <c r="E39" s="178" t="n">
        <v>0</v>
      </c>
      <c r="F39" s="50">
        <f>IFERROR(BDH(TEXT(N($A39),"0")&amp;" HK Equity","PX_LAST",$C39,$C39),"run on terminal")</f>
        <v/>
      </c>
      <c r="G39" s="10">
        <f>IF(NOT(ISNUMBER($F39)),"run on terminal",IF(ABS($F39/($D39)-1)&lt;0.005,"MATCH","CHECK: BBG "&amp;TEXT($F39,"0.000")))</f>
        <v/>
      </c>
      <c r="H39" s="179" t="inlineStr">
        <is>
          <t>AAStocks listing date (was 2023-09-23); close from the local session list</t>
        </is>
      </c>
    </row>
    <row r="40">
      <c r="A40" s="174" t="inlineStr">
        <is>
          <t>2490</t>
        </is>
      </c>
      <c r="B40" s="17" t="inlineStr">
        <is>
          <t>LC LOGISTICS</t>
        </is>
      </c>
      <c r="C40" s="181" t="inlineStr">
        <is>
          <t>2023-09-25</t>
        </is>
      </c>
      <c r="D40" s="182" t="n">
        <v>5.1</v>
      </c>
      <c r="E40" s="178" t="n">
        <v>-0.58</v>
      </c>
      <c r="F40" s="50">
        <f>IFERROR(BDH(TEXT(N($A40),"0")&amp;" HK Equity","PX_LAST",$C40,$C40),"run on terminal")</f>
        <v/>
      </c>
      <c r="G40" s="10">
        <f>IF(NOT(ISNUMBER($F40)),"run on terminal",IF(ABS($F40/($D40/2.0)-1)&lt;0.005,"MATCH","CHECK: BBG "&amp;TEXT($F40,"0.000")))</f>
        <v/>
      </c>
      <c r="H40" s="179" t="inlineStr">
        <is>
          <t>AAStocks listing date (was 2023-09-23); close from the local session list; Bloomberg basis = raw / 2</t>
        </is>
      </c>
    </row>
    <row r="41">
      <c r="A41" s="174" t="inlineStr">
        <is>
          <t>0666</t>
        </is>
      </c>
      <c r="B41" s="17" t="inlineStr">
        <is>
          <t>REPT BATTERO</t>
        </is>
      </c>
      <c r="C41" s="181" t="inlineStr">
        <is>
          <t>2023-12-18</t>
        </is>
      </c>
      <c r="D41" s="182" t="n">
        <v>18.779</v>
      </c>
      <c r="E41" s="178" t="n">
        <v>2.62</v>
      </c>
      <c r="F41" s="50">
        <f>IFERROR(BDH(TEXT(N($A41),"0")&amp;" HK Equity","PX_LAST",$C41,$C41),"run on terminal")</f>
        <v/>
      </c>
      <c r="G41" s="10">
        <f>IF(NOT(ISNUMBER($F41)),"run on terminal",IF(ABS($F41/($D41)-1)&lt;0.005,"MATCH","CHECK: BBG "&amp;TEXT($F41,"0.000")))</f>
        <v/>
      </c>
      <c r="H41" s="179" t="inlineStr">
        <is>
          <t>AAStocks listing date (was 2023-12-16); close from the local session list</t>
        </is>
      </c>
    </row>
    <row r="42">
      <c r="A42" s="174" t="inlineStr">
        <is>
          <t>2556</t>
        </is>
      </c>
      <c r="B42" s="17" t="inlineStr">
        <is>
          <t>MARKETINGFORCE</t>
        </is>
      </c>
      <c r="C42" s="181" t="inlineStr">
        <is>
          <t>2024-05-16</t>
        </is>
      </c>
      <c r="D42" s="182" t="n">
        <v>51.649</v>
      </c>
      <c r="E42" s="178" t="n">
        <v>18.46</v>
      </c>
      <c r="F42" s="50">
        <f>IFERROR(BDH(TEXT(N($A42),"0")&amp;" HK Equity","PX_LAST",$C42,$C42),"run on terminal")</f>
        <v/>
      </c>
      <c r="G42" s="10">
        <f>IF(NOT(ISNUMBER($F42)),"run on terminal",IF(ABS($F42/($D42)-1)&lt;0.005,"MATCH","CHECK: BBG "&amp;TEXT($F42,"0.000")))</f>
        <v/>
      </c>
      <c r="H42" s="179" t="inlineStr">
        <is>
          <t>AAStocks listing date (was 2024-05-15); close from the local session list</t>
        </is>
      </c>
    </row>
    <row r="43">
      <c r="A43" s="174" t="inlineStr">
        <is>
          <t>0917</t>
        </is>
      </c>
      <c r="B43" s="17" t="inlineStr">
        <is>
          <t>QUNABOX GROUP</t>
        </is>
      </c>
      <c r="C43" s="181" t="inlineStr">
        <is>
          <t>2024-05-27</t>
        </is>
      </c>
      <c r="D43" s="182" t="n">
        <v>35</v>
      </c>
      <c r="E43" s="178" t="n">
        <v>40</v>
      </c>
      <c r="F43" s="50">
        <f>IFERROR(BDH(TEXT(N($A43),"0")&amp;" HK Equity","PX_LAST",$C43,$C43),"run on terminal")</f>
        <v/>
      </c>
      <c r="G43" s="10">
        <f>IF(NOT(ISNUMBER($F43)),"run on terminal",IF(ABS($F43/($D43)-1)&lt;0.005,"MATCH","CHECK: BBG "&amp;TEXT($F43,"0.000")))</f>
        <v/>
      </c>
      <c r="H43" s="179" t="inlineStr">
        <is>
          <t>AAStocks listing date (was 2024-05-25); close from the local session list</t>
        </is>
      </c>
    </row>
    <row r="44">
      <c r="A44" s="174" t="inlineStr">
        <is>
          <t>2531</t>
        </is>
      </c>
      <c r="B44" s="17" t="inlineStr">
        <is>
          <t>CARLINK TECH</t>
        </is>
      </c>
      <c r="C44" s="181" t="inlineStr">
        <is>
          <t>2024-07-15</t>
        </is>
      </c>
      <c r="D44" s="182" t="n">
        <v>4.8</v>
      </c>
      <c r="E44" s="178" t="n">
        <v>2.13</v>
      </c>
      <c r="F44" s="50">
        <f>IFERROR(BDH(TEXT(N($A44),"0")&amp;" HK Equity","PX_LAST",$C44,$C44),"run on terminal")</f>
        <v/>
      </c>
      <c r="G44" s="10">
        <f>IF(NOT(ISNUMBER($F44)),"run on terminal",IF(ABS($F44/($D44)-1)&lt;0.005,"MATCH","CHECK: BBG "&amp;TEXT($F44,"0.000")))</f>
        <v/>
      </c>
      <c r="H44" s="179" t="inlineStr">
        <is>
          <t>AAStocks listing date (was 2024-07-13); close from the local session list</t>
        </is>
      </c>
    </row>
    <row r="45">
      <c r="A45" s="174" t="inlineStr">
        <is>
          <t>2549</t>
        </is>
      </c>
      <c r="B45" s="17" t="inlineStr">
        <is>
          <t>CAROTE LTD</t>
        </is>
      </c>
      <c r="C45" s="181" t="inlineStr">
        <is>
          <t>2024-10-02</t>
        </is>
      </c>
      <c r="D45" s="182" t="n">
        <v>9.15</v>
      </c>
      <c r="E45" s="178" t="n">
        <v>58.3</v>
      </c>
      <c r="F45" s="50">
        <f>IFERROR(BDH(TEXT(N($A45),"0")&amp;" HK Equity","PX_LAST",$C45,$C45),"run on terminal")</f>
        <v/>
      </c>
      <c r="G45" s="10">
        <f>IF(NOT(ISNUMBER($F45)),"run on terminal",IF(ABS($F45/($D45)-1)&lt;0.005,"MATCH","CHECK: BBG "&amp;TEXT($F45,"0.000")))</f>
        <v/>
      </c>
      <c r="H45" s="179" t="inlineStr">
        <is>
          <t>AAStocks listing date (was 2024-10-01); close from the local session list</t>
        </is>
      </c>
    </row>
    <row r="46">
      <c r="A46" s="174" t="inlineStr">
        <is>
          <t>2432</t>
        </is>
      </c>
      <c r="B46" s="17" t="inlineStr">
        <is>
          <t>DOBOT</t>
        </is>
      </c>
      <c r="C46" s="181" t="inlineStr">
        <is>
          <t>2024-12-23</t>
        </is>
      </c>
      <c r="D46" s="182" t="n">
        <v>18.939</v>
      </c>
      <c r="E46" s="178" t="n">
        <v>0.74</v>
      </c>
      <c r="F46" s="50">
        <f>IFERROR(BDH(TEXT(N($A46),"0")&amp;" HK Equity","PX_LAST",$C46,$C46),"run on terminal")</f>
        <v/>
      </c>
      <c r="G46" s="10">
        <f>IF(NOT(ISNUMBER($F46)),"run on terminal",IF(ABS($F46/($D46)-1)&lt;0.005,"MATCH","CHECK: BBG "&amp;TEXT($F46,"0.000")))</f>
        <v/>
      </c>
      <c r="H46" s="179" t="inlineStr">
        <is>
          <t>AAStocks listing date (was 2024-12-21); close from the local session list</t>
        </is>
      </c>
    </row>
    <row r="47">
      <c r="A47" s="174" t="inlineStr">
        <is>
          <t>2431</t>
        </is>
      </c>
      <c r="B47" s="17" t="inlineStr">
        <is>
          <t>MINIEYE</t>
        </is>
      </c>
      <c r="C47" s="181" t="inlineStr">
        <is>
          <t>2024-12-27</t>
        </is>
      </c>
      <c r="D47" s="182" t="n">
        <v>19.4</v>
      </c>
      <c r="E47" s="178" t="n">
        <v>14.12</v>
      </c>
      <c r="F47" s="50">
        <f>IFERROR(BDH(TEXT(N($A47),"0")&amp;" HK Equity","PX_LAST",$C47,$C47),"run on terminal")</f>
        <v/>
      </c>
      <c r="G47" s="10">
        <f>IF(NOT(ISNUMBER($F47)),"run on terminal",IF(ABS($F47/($D47)-1)&lt;0.005,"MATCH","CHECK: BBG "&amp;TEXT($F47,"0.000")))</f>
        <v/>
      </c>
      <c r="H47" s="179" t="inlineStr">
        <is>
          <t>AAStocks listing date (was 2024-12-25); close from the local session list</t>
        </is>
      </c>
    </row>
    <row r="48">
      <c r="A48" s="174" t="inlineStr">
        <is>
          <t>2587</t>
        </is>
      </c>
      <c r="B48" s="17" t="inlineStr">
        <is>
          <t>HEALTHYWAY INC</t>
        </is>
      </c>
      <c r="C48" s="181" t="inlineStr">
        <is>
          <t>2024-12-30</t>
        </is>
      </c>
      <c r="D48" s="182" t="n">
        <v>10.66</v>
      </c>
      <c r="E48" s="178" t="n">
        <v>36.67</v>
      </c>
      <c r="F48" s="50">
        <f>IFERROR(BDH(TEXT(N($A48),"0")&amp;" HK Equity","PX_LAST",$C48,$C48),"run on terminal")</f>
        <v/>
      </c>
      <c r="G48" s="10">
        <f>IF(NOT(ISNUMBER($F48)),"run on terminal",IF(ABS($F48/($D48)-1)&lt;0.005,"MATCH","CHECK: BBG "&amp;TEXT($F48,"0.000")))</f>
        <v/>
      </c>
      <c r="H48" s="179" t="inlineStr">
        <is>
          <t>AAStocks listing date (was 2024-12-28); close from the local session list</t>
        </is>
      </c>
    </row>
    <row r="49">
      <c r="A49" s="174" t="inlineStr">
        <is>
          <t>2577</t>
        </is>
      </c>
      <c r="B49" s="17" t="inlineStr">
        <is>
          <t>INNOSCIENCE</t>
        </is>
      </c>
      <c r="C49" s="181" t="inlineStr">
        <is>
          <t>2024-12-30</t>
        </is>
      </c>
      <c r="D49" s="182" t="n">
        <v>30.999</v>
      </c>
      <c r="E49" s="178" t="n">
        <v>0.45</v>
      </c>
      <c r="F49" s="50">
        <f>IFERROR(BDH(TEXT(N($A49),"0")&amp;" HK Equity","PX_LAST",$C49,$C49),"run on terminal")</f>
        <v/>
      </c>
      <c r="G49" s="10">
        <f>IF(NOT(ISNUMBER($F49)),"run on terminal",IF(ABS($F49/($D49)-1)&lt;0.005,"MATCH","CHECK: BBG "&amp;TEXT($F49,"0.000")))</f>
        <v/>
      </c>
      <c r="H49" s="179" t="inlineStr">
        <is>
          <t>AAStocks listing date (was 2024-12-28); close from the local session list</t>
        </is>
      </c>
    </row>
    <row r="50">
      <c r="A50" s="174" t="inlineStr">
        <is>
          <t>2506</t>
        </is>
      </c>
      <c r="B50" s="17" t="inlineStr">
        <is>
          <t>XUNFEIHEALTH</t>
        </is>
      </c>
      <c r="C50" s="181" t="inlineStr">
        <is>
          <t>2024-12-30</t>
        </is>
      </c>
      <c r="D50" s="182" t="n">
        <v>86.998</v>
      </c>
      <c r="E50" s="178" t="n">
        <v>5.07</v>
      </c>
      <c r="F50" s="50">
        <f>IFERROR(BDH(TEXT(N($A50),"0")&amp;" HK Equity","PX_LAST",$C50,$C50),"run on terminal")</f>
        <v/>
      </c>
      <c r="G50" s="10">
        <f>IF(NOT(ISNUMBER($F50)),"run on terminal",IF(ABS($F50/($D50)-1)&lt;0.005,"MATCH","CHECK: BBG "&amp;TEXT($F50,"0.000")))</f>
        <v/>
      </c>
      <c r="H50" s="179" t="inlineStr">
        <is>
          <t>AAStocks listing date (was 2024-12-28); close from the local session list</t>
        </is>
      </c>
    </row>
    <row r="51">
      <c r="A51" s="174" t="inlineStr">
        <is>
          <t>2596</t>
        </is>
      </c>
      <c r="B51" s="17" t="inlineStr">
        <is>
          <t>YIBIN BANK</t>
        </is>
      </c>
      <c r="C51" s="181" t="inlineStr">
        <is>
          <t>2025-01-13</t>
        </is>
      </c>
      <c r="D51" s="182" t="n">
        <v>2.61</v>
      </c>
      <c r="E51" s="178" t="n">
        <v>0.77</v>
      </c>
      <c r="F51" s="50">
        <f>IFERROR(BDH(TEXT(N($A51),"0")&amp;" HK Equity","PX_LAST",$C51,$C51),"run on terminal")</f>
        <v/>
      </c>
      <c r="G51" s="10">
        <f>IF(NOT(ISNUMBER($F51)),"run on terminal",IF(ABS($F51/($D51)-1)&lt;0.005,"MATCH","CHECK: BBG "&amp;TEXT($F51,"0.000")))</f>
        <v/>
      </c>
      <c r="H51" s="179" t="inlineStr">
        <is>
          <t>AAStocks listing date (was 2025-01-11); close from the local session list</t>
        </is>
      </c>
    </row>
    <row r="52">
      <c r="A52" s="174" t="inlineStr">
        <is>
          <t>2097</t>
        </is>
      </c>
      <c r="B52" s="17" t="inlineStr">
        <is>
          <t>MIXUE GROUP</t>
        </is>
      </c>
      <c r="C52" s="181" t="inlineStr">
        <is>
          <t>2025-03-03</t>
        </is>
      </c>
      <c r="D52" s="182" t="n">
        <v>290</v>
      </c>
      <c r="E52" s="178" t="n">
        <v>43.21</v>
      </c>
      <c r="F52" s="50">
        <f>IFERROR(BDH(TEXT(N($A52),"0")&amp;" HK Equity","PX_LAST",$C52,$C52),"run on terminal")</f>
        <v/>
      </c>
      <c r="G52" s="10">
        <f>IF(NOT(ISNUMBER($F52)),"run on terminal",IF(ABS($F52/($D52)-1)&lt;0.005,"MATCH","CHECK: BBG "&amp;TEXT($F52,"0.000")))</f>
        <v/>
      </c>
      <c r="H52" s="179" t="inlineStr">
        <is>
          <t>AAStocks listing date (was 2025-03-01); close from the local session list</t>
        </is>
      </c>
    </row>
    <row r="53">
      <c r="A53" s="174" t="inlineStr">
        <is>
          <t>6693</t>
        </is>
      </c>
      <c r="B53" s="17" t="inlineStr">
        <is>
          <t>CHIFENG GOLD</t>
        </is>
      </c>
      <c r="C53" s="181" t="inlineStr">
        <is>
          <t>2025-03-10</t>
        </is>
      </c>
      <c r="D53" s="182" t="n">
        <v>13.72</v>
      </c>
      <c r="E53" s="178" t="n">
        <v>0</v>
      </c>
      <c r="F53" s="50">
        <f>IFERROR(BDH(TEXT(N($A53),"0")&amp;" HK Equity","PX_LAST",$C53,$C53),"run on terminal")</f>
        <v/>
      </c>
      <c r="G53" s="10">
        <f>IF(NOT(ISNUMBER($F53)),"run on terminal",IF(ABS($F53/($D53)-1)&lt;0.005,"MATCH","CHECK: BBG "&amp;TEXT($F53,"0.000")))</f>
        <v/>
      </c>
      <c r="H53" s="179" t="inlineStr">
        <is>
          <t>AAStocks listing date (was 2025-03-08); close from the local session list</t>
        </is>
      </c>
    </row>
    <row r="54">
      <c r="A54" s="174" t="inlineStr">
        <is>
          <t>2625</t>
        </is>
      </c>
      <c r="B54" s="17" t="inlineStr">
        <is>
          <t>JIANGSU HORIZON</t>
        </is>
      </c>
      <c r="C54" s="181" t="inlineStr">
        <is>
          <t>2025-03-31</t>
        </is>
      </c>
      <c r="D54" s="182" t="n">
        <v>2.5</v>
      </c>
      <c r="E54" s="178" t="n">
        <v>0</v>
      </c>
      <c r="F54" s="50">
        <f>IFERROR(BDH(TEXT(N($A54),"0")&amp;" HK Equity","PX_LAST",$C54,$C54),"run on terminal")</f>
        <v/>
      </c>
      <c r="G54" s="10">
        <f>IF(NOT(ISNUMBER($F54)),"run on terminal",IF(ABS($F54/($D54)-1)&lt;0.005,"MATCH","CHECK: BBG "&amp;TEXT($F54,"0.000")))</f>
        <v/>
      </c>
      <c r="H54" s="179" t="inlineStr">
        <is>
          <t>AAStocks listing date (was 2025-03-29); close from the local session list</t>
        </is>
      </c>
    </row>
    <row r="55">
      <c r="A55" s="174" t="inlineStr">
        <is>
          <t>3677</t>
        </is>
      </c>
      <c r="B55" s="17" t="inlineStr">
        <is>
          <t>ZENERGY</t>
        </is>
      </c>
      <c r="C55" s="181" t="inlineStr">
        <is>
          <t>2025-04-14</t>
        </is>
      </c>
      <c r="D55" s="182" t="n">
        <v>8.390000000000001</v>
      </c>
      <c r="E55" s="178" t="n">
        <v>1.45</v>
      </c>
      <c r="F55" s="50">
        <f>IFERROR(BDH(TEXT(N($A55),"0")&amp;" HK Equity","PX_LAST",$C55,$C55),"run on terminal")</f>
        <v/>
      </c>
      <c r="G55" s="10">
        <f>IF(NOT(ISNUMBER($F55)),"run on terminal",IF(ABS($F55/($D55)-1)&lt;0.005,"MATCH","CHECK: BBG "&amp;TEXT($F55,"0.000")))</f>
        <v/>
      </c>
      <c r="H55" s="179" t="inlineStr">
        <is>
          <t>AAStocks listing date (was 2025-04-12); close from the local session list</t>
        </is>
      </c>
    </row>
    <row r="56">
      <c r="A56" s="174" t="inlineStr">
        <is>
          <t>2609</t>
        </is>
      </c>
      <c r="B56" s="17" t="inlineStr">
        <is>
          <t>BAYZED HEALTH</t>
        </is>
      </c>
      <c r="C56" s="181" t="inlineStr">
        <is>
          <t>2025-06-23</t>
        </is>
      </c>
      <c r="D56" s="182" t="n">
        <v>6</v>
      </c>
      <c r="E56" s="178" t="n">
        <v>42.18</v>
      </c>
      <c r="F56" s="50">
        <f>IFERROR(BDH(TEXT(N($A56),"0")&amp;" HK Equity","PX_LAST",$C56,$C56),"run on terminal")</f>
        <v/>
      </c>
      <c r="G56" s="10">
        <f>IF(NOT(ISNUMBER($F56)),"run on terminal",IF(ABS($F56/($D56)-1)&lt;0.005,"MATCH","CHECK: BBG "&amp;TEXT($F56,"0.000")))</f>
        <v/>
      </c>
      <c r="H56" s="179" t="inlineStr">
        <is>
          <t>AAStocks listing date (was 2025-06-21); close from the local session list</t>
        </is>
      </c>
    </row>
    <row r="57">
      <c r="A57" s="174" t="inlineStr">
        <is>
          <t>2050</t>
        </is>
      </c>
      <c r="B57" s="17" t="inlineStr">
        <is>
          <t>SANHUA</t>
        </is>
      </c>
      <c r="C57" s="181" t="inlineStr">
        <is>
          <t>2025-06-23</t>
        </is>
      </c>
      <c r="D57" s="182" t="n">
        <v>22.501</v>
      </c>
      <c r="E57" s="178" t="n">
        <v>-0.13</v>
      </c>
      <c r="F57" s="50">
        <f>IFERROR(BDH(TEXT(N($A57),"0")&amp;" HK Equity","PX_LAST",$C57,$C57),"run on terminal")</f>
        <v/>
      </c>
      <c r="G57" s="10">
        <f>IF(NOT(ISNUMBER($F57)),"run on terminal",IF(ABS($F57/($D57)-1)&lt;0.005,"MATCH","CHECK: BBG "&amp;TEXT($F57,"0.000")))</f>
        <v/>
      </c>
      <c r="H57" s="179" t="inlineStr">
        <is>
          <t>AAStocks listing date (was 2025-06-21); close from the local session list</t>
        </is>
      </c>
    </row>
    <row r="58">
      <c r="A58" s="174" t="inlineStr">
        <is>
          <t>2617</t>
        </is>
      </c>
      <c r="B58" s="17" t="inlineStr">
        <is>
          <t>TRANSTHERA-B</t>
        </is>
      </c>
      <c r="C58" s="181" t="inlineStr">
        <is>
          <t>2025-06-23</t>
        </is>
      </c>
      <c r="D58" s="182" t="n">
        <v>23.5</v>
      </c>
      <c r="E58" s="178" t="n">
        <v>78.70999999999999</v>
      </c>
      <c r="F58" s="50">
        <f>IFERROR(BDH(TEXT(N($A58),"0")&amp;" HK Equity","PX_LAST",$C58,$C58),"run on terminal")</f>
        <v/>
      </c>
      <c r="G58" s="10">
        <f>IF(NOT(ISNUMBER($F58)),"run on terminal",IF(ABS($F58/($D58)-1)&lt;0.005,"MATCH","CHECK: BBG "&amp;TEXT($F58,"0.000")))</f>
        <v/>
      </c>
      <c r="H58" s="179" t="inlineStr">
        <is>
          <t>AAStocks listing date (was 2025-06-21); close from the local session list</t>
        </is>
      </c>
    </row>
    <row r="59">
      <c r="A59" s="174" t="inlineStr">
        <is>
          <t>6883</t>
        </is>
      </c>
      <c r="B59" s="17" t="inlineStr">
        <is>
          <t>ETERNAL BEAUTY</t>
        </is>
      </c>
      <c r="C59" s="181" t="inlineStr">
        <is>
          <t>2025-06-26</t>
        </is>
      </c>
      <c r="D59" s="182" t="n">
        <v>2.4</v>
      </c>
      <c r="E59" s="178" t="n">
        <v>-16.67</v>
      </c>
      <c r="F59" s="50">
        <f>IFERROR(BDH(TEXT(N($A59),"0")&amp;" HK Equity","PX_LAST",$C59,$C59),"run on terminal")</f>
        <v/>
      </c>
      <c r="G59" s="10">
        <f>IF(NOT(ISNUMBER($F59)),"run on terminal",IF(ABS($F59/($D59)-1)&lt;0.005,"MATCH","CHECK: BBG "&amp;TEXT($F59,"0.000")))</f>
        <v/>
      </c>
      <c r="H59" s="179" t="inlineStr">
        <is>
          <t>AAStocks listing date (was 2025-06-27); close from the local session list</t>
        </is>
      </c>
    </row>
    <row r="60">
      <c r="A60" s="174" t="inlineStr">
        <is>
          <t>9678</t>
        </is>
      </c>
      <c r="B60" s="17" t="inlineStr">
        <is>
          <t>UNISOUND</t>
        </is>
      </c>
      <c r="C60" s="181" t="inlineStr">
        <is>
          <t>2025-06-30</t>
        </is>
      </c>
      <c r="D60" s="182" t="n">
        <v>296.409</v>
      </c>
      <c r="E60" s="178" t="n">
        <v>44.59</v>
      </c>
      <c r="F60" s="50">
        <f>IFERROR(BDH(TEXT(N($A60),"0")&amp;" HK Equity","PX_LAST",$C60,$C60),"run on terminal")</f>
        <v/>
      </c>
      <c r="G60" s="10">
        <f>IF(NOT(ISNUMBER($F60)),"run on terminal",IF(ABS($F60/($D60)-1)&lt;0.005,"MATCH","CHECK: BBG "&amp;TEXT($F60,"0.000")))</f>
        <v/>
      </c>
      <c r="H60" s="179" t="inlineStr">
        <is>
          <t>AAStocks listing date (was 2025-06-28); close from the local session list</t>
        </is>
      </c>
    </row>
    <row r="61">
      <c r="A61" s="174" t="inlineStr">
        <is>
          <t>3880</t>
        </is>
      </c>
      <c r="B61" s="17" t="inlineStr">
        <is>
          <t>MEDTIDE</t>
        </is>
      </c>
      <c r="C61" s="181" t="inlineStr">
        <is>
          <t>2025-06-30</t>
        </is>
      </c>
      <c r="D61" s="182" t="n">
        <v>30.799</v>
      </c>
      <c r="E61" s="178" t="n">
        <v>0.65</v>
      </c>
      <c r="F61" s="50">
        <f>IFERROR(BDH(TEXT(N($A61),"0")&amp;" HK Equity","PX_LAST",$C61,$C61),"run on terminal")</f>
        <v/>
      </c>
      <c r="G61" s="10">
        <f>IF(NOT(ISNUMBER($F61)),"run on terminal",IF(ABS($F61/($D61)-1)&lt;0.005,"MATCH","CHECK: BBG "&amp;TEXT($F61,"0.000")))</f>
        <v/>
      </c>
      <c r="H61" s="179" t="inlineStr">
        <is>
          <t>AAStocks listing date (was 2025-06-28); close from the local session list</t>
        </is>
      </c>
    </row>
    <row r="62">
      <c r="A62" s="174" t="inlineStr">
        <is>
          <t>6603</t>
        </is>
      </c>
      <c r="B62" s="17" t="inlineStr">
        <is>
          <t>IFBH</t>
        </is>
      </c>
      <c r="C62" s="181" t="inlineStr">
        <is>
          <t>2025-06-30</t>
        </is>
      </c>
      <c r="D62" s="182" t="n">
        <v>39.501</v>
      </c>
      <c r="E62" s="178" t="n">
        <v>42.09</v>
      </c>
      <c r="F62" s="50">
        <f>IFERROR(BDH(TEXT(N($A62),"0")&amp;" HK Equity","PX_LAST",$C62,$C62),"run on terminal")</f>
        <v/>
      </c>
      <c r="G62" s="10">
        <f>IF(NOT(ISNUMBER($F62)),"run on terminal",IF(ABS($F62/($D62)-1)&lt;0.005,"MATCH","CHECK: BBG "&amp;TEXT($F62,"0.000")))</f>
        <v/>
      </c>
      <c r="H62" s="179" t="inlineStr">
        <is>
          <t>AAStocks listing date (was 2025-06-28); close from the local session list</t>
        </is>
      </c>
    </row>
    <row r="63">
      <c r="A63" s="174" t="inlineStr">
        <is>
          <t>1828</t>
        </is>
      </c>
      <c r="B63" s="17" t="inlineStr">
        <is>
          <t>FWD</t>
        </is>
      </c>
      <c r="C63" s="181" t="inlineStr">
        <is>
          <t>2025-07-07</t>
        </is>
      </c>
      <c r="D63" s="182" t="n">
        <v>38.399</v>
      </c>
      <c r="E63" s="178" t="n">
        <v>1.05</v>
      </c>
      <c r="F63" s="50">
        <f>IFERROR(BDH(TEXT(N($A63),"0")&amp;" HK Equity","PX_LAST",$C63,$C63),"run on terminal")</f>
        <v/>
      </c>
      <c r="G63" s="10">
        <f>IF(NOT(ISNUMBER($F63)),"run on terminal",IF(ABS($F63/($D63)-1)&lt;0.005,"MATCH","CHECK: BBG "&amp;TEXT($F63,"0.000")))</f>
        <v/>
      </c>
      <c r="H63" s="179" t="inlineStr">
        <is>
          <t>AAStocks listing date (was 2025-07-05); close from the local session list</t>
        </is>
      </c>
    </row>
    <row r="64">
      <c r="A64" s="174" t="inlineStr">
        <is>
          <t>2627</t>
        </is>
      </c>
      <c r="B64" s="17" t="inlineStr">
        <is>
          <t>AB&amp;B BIO-TECH-B</t>
        </is>
      </c>
      <c r="C64" s="181" t="inlineStr">
        <is>
          <t>2025-08-11</t>
        </is>
      </c>
      <c r="D64" s="182" t="n">
        <v>33.279</v>
      </c>
      <c r="E64" s="178" t="n">
        <v>157.98</v>
      </c>
      <c r="F64" s="50">
        <f>IFERROR(BDH(TEXT(N($A64),"0")&amp;" HK Equity","PX_LAST",$C64,$C64),"run on terminal")</f>
        <v/>
      </c>
      <c r="G64" s="10">
        <f>IF(NOT(ISNUMBER($F64)),"run on terminal",IF(ABS($F64/($D64)-1)&lt;0.005,"MATCH","CHECK: BBG "&amp;TEXT($F64,"0.000")))</f>
        <v/>
      </c>
      <c r="H64" s="179" t="inlineStr">
        <is>
          <t>AAStocks listing date (was 2025-08-09); close from the local session list</t>
        </is>
      </c>
    </row>
    <row r="65">
      <c r="A65" s="174" t="inlineStr">
        <is>
          <t>2652</t>
        </is>
      </c>
      <c r="B65" s="17" t="inlineStr">
        <is>
          <t>CF PHARMTECH</t>
        </is>
      </c>
      <c r="C65" s="181" t="inlineStr">
        <is>
          <t>2025-10-08</t>
        </is>
      </c>
      <c r="D65" s="182" t="n">
        <v>38.5</v>
      </c>
      <c r="E65" s="178" t="n">
        <v>161.02</v>
      </c>
      <c r="F65" s="50">
        <f>IFERROR(BDH(TEXT(N($A65),"0")&amp;" HK Equity","PX_LAST",$C65,$C65),"run on terminal")</f>
        <v/>
      </c>
      <c r="G65" s="10">
        <f>IF(NOT(ISNUMBER($F65)),"run on terminal",IF(ABS($F65/($D65)-1)&lt;0.005,"MATCH","CHECK: BBG "&amp;TEXT($F65,"0.000")))</f>
        <v/>
      </c>
      <c r="H65" s="179" t="inlineStr">
        <is>
          <t>AAStocks listing date (was 2025-10-07); close from the local session list</t>
        </is>
      </c>
    </row>
    <row r="66">
      <c r="A66" s="174" t="inlineStr">
        <is>
          <t>2637</t>
        </is>
      </c>
      <c r="B66" s="17" t="inlineStr">
        <is>
          <t>HAIXI PHARMA</t>
        </is>
      </c>
      <c r="C66" s="181" t="inlineStr">
        <is>
          <t>2025-10-20</t>
        </is>
      </c>
      <c r="D66" s="182" t="n">
        <v>104.198</v>
      </c>
      <c r="E66" s="178" t="n">
        <v>20.6</v>
      </c>
      <c r="F66" s="50">
        <f>IFERROR(BDH(TEXT(N($A66),"0")&amp;" HK Equity","PX_LAST",$C66,$C66),"run on terminal")</f>
        <v/>
      </c>
      <c r="G66" s="10">
        <f>IF(NOT(ISNUMBER($F66)),"run on terminal",IF(ABS($F66/($D66)-1)&lt;0.005,"MATCH","CHECK: BBG "&amp;TEXT($F66,"0.000")))</f>
        <v/>
      </c>
      <c r="H66" s="179" t="inlineStr">
        <is>
          <t>AAStocks listing date (was 2025-10-18); close from the local session list</t>
        </is>
      </c>
    </row>
    <row r="67">
      <c r="A67" s="174" t="inlineStr">
        <is>
          <t>2718</t>
        </is>
      </c>
      <c r="B67" s="17" t="inlineStr">
        <is>
          <t>MININGLAMP-W</t>
        </is>
      </c>
      <c r="C67" s="181" t="inlineStr">
        <is>
          <t>2025-11-03</t>
        </is>
      </c>
      <c r="D67" s="182" t="n">
        <v>290.601</v>
      </c>
      <c r="E67" s="178" t="n">
        <v>106.1</v>
      </c>
      <c r="F67" s="50">
        <f>IFERROR(BDH(TEXT(N($A67),"0")&amp;" HK Equity","PX_LAST",$C67,$C67),"run on terminal")</f>
        <v/>
      </c>
      <c r="G67" s="10">
        <f>IF(NOT(ISNUMBER($F67)),"run on terminal",IF(ABS($F67/($D67)-1)&lt;0.005,"MATCH","CHECK: BBG "&amp;TEXT($F67,"0.000")))</f>
        <v/>
      </c>
      <c r="H67" s="179" t="inlineStr">
        <is>
          <t>AAStocks listing date (was 2025-11-01); close from the local session list</t>
        </is>
      </c>
    </row>
    <row r="68">
      <c r="A68" s="174" t="inlineStr">
        <is>
          <t>2698</t>
        </is>
      </c>
      <c r="B68" s="17" t="inlineStr">
        <is>
          <t>SOFTCARE</t>
        </is>
      </c>
      <c r="C68" s="181" t="inlineStr">
        <is>
          <t>2025-11-10</t>
        </is>
      </c>
      <c r="D68" s="182" t="n">
        <v>32.999</v>
      </c>
      <c r="E68" s="178" t="n">
        <v>25.95</v>
      </c>
      <c r="F68" s="50">
        <f>IFERROR(BDH(TEXT(N($A68),"0")&amp;" HK Equity","PX_LAST",$C68,$C68),"run on terminal")</f>
        <v/>
      </c>
      <c r="G68" s="10">
        <f>IF(NOT(ISNUMBER($F68)),"run on terminal",IF(ABS($F68/($D68)-1)&lt;0.005,"MATCH","CHECK: BBG "&amp;TEXT($F68,"0.000")))</f>
        <v/>
      </c>
      <c r="H68" s="179" t="inlineStr">
        <is>
          <t>AAStocks listing date (was 2025-11-08); close from the local session list</t>
        </is>
      </c>
    </row>
    <row r="69">
      <c r="A69" s="174" t="inlineStr">
        <is>
          <t>2788</t>
        </is>
      </c>
      <c r="B69" s="17" t="inlineStr">
        <is>
          <t>CHUANGXIN IND</t>
        </is>
      </c>
      <c r="C69" s="181" t="inlineStr">
        <is>
          <t>2025-11-24</t>
        </is>
      </c>
      <c r="D69" s="182" t="n">
        <v>14.59</v>
      </c>
      <c r="E69" s="178" t="n">
        <v>32.76</v>
      </c>
      <c r="F69" s="50">
        <f>IFERROR(BDH(TEXT(N($A69),"0")&amp;" HK Equity","PX_LAST",$C69,$C69),"run on terminal")</f>
        <v/>
      </c>
      <c r="G69" s="10">
        <f>IF(NOT(ISNUMBER($F69)),"run on terminal",IF(ABS($F69/($D69)-1)&lt;0.005,"MATCH","CHECK: BBG "&amp;TEXT($F69,"0.000")))</f>
        <v/>
      </c>
      <c r="H69" s="179" t="inlineStr">
        <is>
          <t>AAStocks listing date (was 2025-11-22); close from the local session list</t>
        </is>
      </c>
    </row>
    <row r="70">
      <c r="A70" s="174" t="inlineStr">
        <is>
          <t>2676</t>
        </is>
      </c>
      <c r="B70" s="17" t="inlineStr">
        <is>
          <t>NOVOSENSE</t>
        </is>
      </c>
      <c r="C70" s="181" t="inlineStr">
        <is>
          <t>2025-12-08</t>
        </is>
      </c>
      <c r="D70" s="182" t="n">
        <v>111</v>
      </c>
      <c r="E70" s="178" t="n">
        <v>-4.31</v>
      </c>
      <c r="F70" s="50">
        <f>IFERROR(BDH(TEXT(N($A70),"0")&amp;" HK Equity","PX_LAST",$C70,$C70),"run on terminal")</f>
        <v/>
      </c>
      <c r="G70" s="10">
        <f>IF(NOT(ISNUMBER($F70)),"run on terminal",IF(ABS($F70/($D70)-1)&lt;0.005,"MATCH","CHECK: BBG "&amp;TEXT($F70,"0.000")))</f>
        <v/>
      </c>
      <c r="H70" s="179" t="inlineStr">
        <is>
          <t>AAStocks listing date (was 2025-12-06); close from the local session list</t>
        </is>
      </c>
    </row>
    <row r="71">
      <c r="A71" s="174" t="inlineStr">
        <is>
          <t>2687</t>
        </is>
      </c>
      <c r="B71" s="17" t="inlineStr">
        <is>
          <t>ABLE DIGITAL</t>
        </is>
      </c>
      <c r="C71" s="181" t="inlineStr">
        <is>
          <t>2025-12-08</t>
        </is>
      </c>
      <c r="D71" s="182" t="n">
        <v>126.401</v>
      </c>
      <c r="E71" s="178" t="n">
        <v>87.26000000000001</v>
      </c>
      <c r="F71" s="50">
        <f>IFERROR(BDH(TEXT(N($A71),"0")&amp;" HK Equity","PX_LAST",$C71,$C71),"run on terminal")</f>
        <v/>
      </c>
      <c r="G71" s="10">
        <f>IF(NOT(ISNUMBER($F71)),"run on terminal",IF(ABS($F71/($D71)-1)&lt;0.005,"MATCH","CHECK: BBG "&amp;TEXT($F71,"0.000")))</f>
        <v/>
      </c>
      <c r="H71" s="179" t="inlineStr">
        <is>
          <t>AAStocks listing date (was 2025-12-06); close from the local session list</t>
        </is>
      </c>
    </row>
    <row r="72">
      <c r="A72" s="174" t="inlineStr">
        <is>
          <t>2695</t>
        </is>
      </c>
      <c r="B72" s="17" t="inlineStr">
        <is>
          <t>IMPRESSION DHP</t>
        </is>
      </c>
      <c r="C72" s="181" t="inlineStr">
        <is>
          <t>2025-12-22</t>
        </is>
      </c>
      <c r="D72" s="182" t="n">
        <v>2.33</v>
      </c>
      <c r="E72" s="178" t="n">
        <v>-35.28</v>
      </c>
      <c r="F72" s="50">
        <f>IFERROR(BDH(TEXT(N($A72),"0")&amp;" HK Equity","PX_LAST",$C72,$C72),"run on terminal")</f>
        <v/>
      </c>
      <c r="G72" s="10">
        <f>IF(NOT(ISNUMBER($F72)),"run on terminal",IF(ABS($F72/($D72)-1)&lt;0.005,"MATCH","CHECK: BBG "&amp;TEXT($F72,"0.000")))</f>
        <v/>
      </c>
      <c r="H72" s="179" t="inlineStr">
        <is>
          <t>AAStocks listing date (was 2025-12-20); close from the local session list</t>
        </is>
      </c>
    </row>
    <row r="73">
      <c r="A73" s="174" t="inlineStr">
        <is>
          <t>2396</t>
        </is>
      </c>
      <c r="B73" s="17" t="inlineStr">
        <is>
          <t>B&amp;K CORP-B</t>
        </is>
      </c>
      <c r="C73" s="181" t="inlineStr">
        <is>
          <t>2025-12-22</t>
        </is>
      </c>
      <c r="D73" s="182" t="n">
        <v>27</v>
      </c>
      <c r="E73" s="178" t="n">
        <v>-29.32</v>
      </c>
      <c r="F73" s="50">
        <f>IFERROR(BDH(TEXT(N($A73),"0")&amp;" HK Equity","PX_LAST",$C73,$C73),"run on terminal")</f>
        <v/>
      </c>
      <c r="G73" s="10">
        <f>IF(NOT(ISNUMBER($F73)),"run on terminal",IF(ABS($F73/($D73)-1)&lt;0.005,"MATCH","CHECK: BBG "&amp;TEXT($F73,"0.000")))</f>
        <v/>
      </c>
      <c r="H73" s="179" t="inlineStr">
        <is>
          <t>AAStocks listing date (was 2025-12-20); close from the local session list</t>
        </is>
      </c>
    </row>
    <row r="74">
      <c r="A74" s="174" t="inlineStr">
        <is>
          <t>2581</t>
        </is>
      </c>
      <c r="B74" s="17" t="inlineStr">
        <is>
          <t>BENQ HOLDING</t>
        </is>
      </c>
      <c r="C74" s="181" t="inlineStr">
        <is>
          <t>2025-12-22</t>
        </is>
      </c>
      <c r="D74" s="182" t="n">
        <v>4.72</v>
      </c>
      <c r="E74" s="178" t="n">
        <v>-49.46</v>
      </c>
      <c r="F74" s="50">
        <f>IFERROR(BDH(TEXT(N($A74),"0")&amp;" HK Equity","PX_LAST",$C74,$C74),"run on terminal")</f>
        <v/>
      </c>
      <c r="G74" s="10">
        <f>IF(NOT(ISNUMBER($F74)),"run on terminal",IF(ABS($F74/($D74)-1)&lt;0.005,"MATCH","CHECK: BBG "&amp;TEXT($F74,"0.000")))</f>
        <v/>
      </c>
      <c r="H74" s="179" t="inlineStr">
        <is>
          <t>AAStocks listing date (was 2025-12-20); close from the local session list</t>
        </is>
      </c>
    </row>
    <row r="75">
      <c r="A75" s="174" t="inlineStr">
        <is>
          <t>2691</t>
        </is>
      </c>
      <c r="B75" s="17" t="inlineStr">
        <is>
          <t>NANHUA FUTURES</t>
        </is>
      </c>
      <c r="C75" s="181" t="inlineStr">
        <is>
          <t>2025-12-22</t>
        </is>
      </c>
      <c r="D75" s="182" t="n">
        <v>9.1</v>
      </c>
      <c r="E75" s="178" t="n">
        <v>-24.17</v>
      </c>
      <c r="F75" s="50">
        <f>IFERROR(BDH(TEXT(N($A75),"0")&amp;" HK Equity","PX_LAST",$C75,$C75),"run on terminal")</f>
        <v/>
      </c>
      <c r="G75" s="10">
        <f>IF(NOT(ISNUMBER($F75)),"run on terminal",IF(ABS($F75/($D75/1.45)-1)&lt;0.005,"MATCH","CHECK: BBG "&amp;TEXT($F75,"0.000")))</f>
        <v/>
      </c>
      <c r="H75" s="179" t="inlineStr">
        <is>
          <t>AAStocks listing date (was 2025-12-20); close from the local session list; Bloomberg basis = raw / 1.45</t>
        </is>
      </c>
    </row>
    <row r="76">
      <c r="A76" s="174" t="inlineStr">
        <is>
          <t>6082</t>
        </is>
      </c>
      <c r="B76" s="17" t="inlineStr">
        <is>
          <t>BIREN TECH</t>
        </is>
      </c>
      <c r="C76" s="181" t="inlineStr">
        <is>
          <t>2026-01-02</t>
        </is>
      </c>
      <c r="D76" s="182" t="n">
        <v>34.461</v>
      </c>
      <c r="E76" s="178" t="n">
        <v>75.81999999999999</v>
      </c>
      <c r="F76" s="50">
        <f>IFERROR(BDH(TEXT(N($A76),"0")&amp;" HK Equity","PX_LAST",$C76,$C76),"run on terminal")</f>
        <v/>
      </c>
      <c r="G76" s="10">
        <f>IF(NOT(ISNUMBER($F76)),"run on terminal",IF(ABS($F76/($D76)-1)&lt;0.005,"MATCH","CHECK: BBG "&amp;TEXT($F76,"0.000")))</f>
        <v/>
      </c>
      <c r="H76" s="179" t="inlineStr">
        <is>
          <t>AAStocks listing date (was 2026-01-01); close from the local session list</t>
        </is>
      </c>
    </row>
    <row r="77">
      <c r="A77" s="174" t="inlineStr">
        <is>
          <t>0501</t>
        </is>
      </c>
      <c r="B77" s="17" t="inlineStr">
        <is>
          <t>OMNIVISION</t>
        </is>
      </c>
      <c r="C77" s="181" t="inlineStr">
        <is>
          <t>2026-01-12</t>
        </is>
      </c>
      <c r="D77" s="182" t="n">
        <v>121.799</v>
      </c>
      <c r="E77" s="178" t="n">
        <v>16.22</v>
      </c>
      <c r="F77" s="50">
        <f>IFERROR(BDH(TEXT(N($A77),"0")&amp;" HK Equity","PX_LAST",$C77,$C77),"run on terminal")</f>
        <v/>
      </c>
      <c r="G77" s="10">
        <f>IF(NOT(ISNUMBER($F77)),"run on terminal",IF(ABS($F77/($D77)-1)&lt;0.005,"MATCH","CHECK: BBG "&amp;TEXT($F77,"0.000")))</f>
        <v/>
      </c>
      <c r="H77" s="179" t="inlineStr">
        <is>
          <t>AAStocks listing date (was 2026-01-10); close from the local session list</t>
        </is>
      </c>
    </row>
    <row r="78">
      <c r="A78" s="174" t="inlineStr">
        <is>
          <t>6809</t>
        </is>
      </c>
      <c r="B78" s="17" t="inlineStr">
        <is>
          <t>MONTAGE TECH</t>
        </is>
      </c>
      <c r="C78" s="181" t="inlineStr">
        <is>
          <t>2026-02-09</t>
        </is>
      </c>
      <c r="D78" s="182" t="n">
        <v>175</v>
      </c>
      <c r="E78" s="178" t="n">
        <v>63.72</v>
      </c>
      <c r="F78" s="50">
        <f>IFERROR(BDH(TEXT(N($A78),"0")&amp;" HK Equity","PX_LAST",$C78,$C78),"run on terminal")</f>
        <v/>
      </c>
      <c r="G78" s="10">
        <f>IF(NOT(ISNUMBER($F78)),"run on terminal",IF(ABS($F78/($D78)-1)&lt;0.005,"MATCH","CHECK: BBG "&amp;TEXT($F78,"0.000")))</f>
        <v/>
      </c>
      <c r="H78" s="179" t="inlineStr">
        <is>
          <t>AAStocks listing date (was 2026-02-07); close from the local session list</t>
        </is>
      </c>
    </row>
    <row r="79">
      <c r="A79" s="174" t="inlineStr">
        <is>
          <t>2715</t>
        </is>
      </c>
      <c r="B79" s="17" t="inlineStr">
        <is>
          <t>ESTUN</t>
        </is>
      </c>
      <c r="C79" s="181" t="inlineStr">
        <is>
          <t>2026-03-09</t>
        </is>
      </c>
      <c r="D79" s="182" t="n">
        <v>12.899</v>
      </c>
      <c r="E79" s="178" t="n">
        <v>-16.02</v>
      </c>
      <c r="F79" s="50">
        <f>IFERROR(BDH(TEXT(N($A79),"0")&amp;" HK Equity","PX_LAST",$C79,$C79),"run on terminal")</f>
        <v/>
      </c>
      <c r="G79" s="10">
        <f>IF(NOT(ISNUMBER($F79)),"run on terminal",IF(ABS($F79/($D79)-1)&lt;0.005,"MATCH","CHECK: BBG "&amp;TEXT($F79,"0.000")))</f>
        <v/>
      </c>
      <c r="H79" s="179" t="inlineStr">
        <is>
          <t>AAStocks listing date (was 2026-03-07); close from the local session list</t>
        </is>
      </c>
    </row>
    <row r="80">
      <c r="A80" s="174" t="inlineStr">
        <is>
          <t>2649</t>
        </is>
      </c>
      <c r="B80" s="17" t="inlineStr">
        <is>
          <t>ALSCO POOLING</t>
        </is>
      </c>
      <c r="C80" s="181" t="inlineStr">
        <is>
          <t>2026-03-09</t>
        </is>
      </c>
      <c r="D80" s="182" t="n">
        <v>6.2</v>
      </c>
      <c r="E80" s="178" t="n">
        <v>-43.64</v>
      </c>
      <c r="F80" s="50">
        <f>IFERROR(BDH(TEXT(N($A80),"0")&amp;" HK Equity","PX_LAST",$C80,$C80),"run on terminal")</f>
        <v/>
      </c>
      <c r="G80" s="10">
        <f>IF(NOT(ISNUMBER($F80)),"run on terminal",IF(ABS($F80/($D80)-1)&lt;0.005,"MATCH","CHECK: BBG "&amp;TEXT($F80,"0.000")))</f>
        <v/>
      </c>
      <c r="H80" s="179" t="inlineStr">
        <is>
          <t>AAStocks listing date (was 2026-03-07); close from the local session list</t>
        </is>
      </c>
    </row>
    <row r="81">
      <c r="A81" s="174" t="inlineStr">
        <is>
          <t>2692</t>
        </is>
      </c>
      <c r="B81" s="17" t="inlineStr">
        <is>
          <t>ZHAOWEI</t>
        </is>
      </c>
      <c r="C81" s="181" t="inlineStr">
        <is>
          <t>2026-03-09</t>
        </is>
      </c>
      <c r="D81" s="182" t="n">
        <v>72.998</v>
      </c>
      <c r="E81" s="178" t="n">
        <v>2.41</v>
      </c>
      <c r="F81" s="50">
        <f>IFERROR(BDH(TEXT(N($A81),"0")&amp;" HK Equity","PX_LAST",$C81,$C81),"run on terminal")</f>
        <v/>
      </c>
      <c r="G81" s="10">
        <f>IF(NOT(ISNUMBER($F81)),"run on terminal",IF(ABS($F81/($D81)-1)&lt;0.005,"MATCH","CHECK: BBG "&amp;TEXT($F81,"0.000")))</f>
        <v/>
      </c>
      <c r="H81" s="179" t="inlineStr">
        <is>
          <t>AAStocks listing date (was 2026-03-07); close from the local session list</t>
        </is>
      </c>
    </row>
    <row r="82">
      <c r="A82" s="174" t="inlineStr">
        <is>
          <t>2701</t>
        </is>
      </c>
      <c r="B82" s="17" t="inlineStr">
        <is>
          <t>NSING TECH</t>
        </is>
      </c>
      <c r="C82" s="181" t="inlineStr">
        <is>
          <t>2026-03-23</t>
        </is>
      </c>
      <c r="D82" s="182" t="n">
        <v>11.25</v>
      </c>
      <c r="E82" s="178" t="n">
        <v>4.17</v>
      </c>
      <c r="F82" s="50">
        <f>IFERROR(BDH(TEXT(N($A82),"0")&amp;" HK Equity","PX_LAST",$C82,$C82),"run on terminal")</f>
        <v/>
      </c>
      <c r="G82" s="10">
        <f>IF(NOT(ISNUMBER($F82)),"run on terminal",IF(ABS($F82/($D82)-1)&lt;0.005,"MATCH","CHECK: BBG "&amp;TEXT($F82,"0.000")))</f>
        <v/>
      </c>
      <c r="H82" s="179" t="inlineStr">
        <is>
          <t>AAStocks listing date (was 2026-03-21); close from the local session list</t>
        </is>
      </c>
    </row>
    <row r="83">
      <c r="A83" s="174" t="inlineStr">
        <is>
          <t>3355</t>
        </is>
      </c>
      <c r="B83" s="17" t="inlineStr">
        <is>
          <t>FS.COM</t>
        </is>
      </c>
      <c r="C83" s="181" t="inlineStr">
        <is>
          <t>2026-03-23</t>
        </is>
      </c>
      <c r="D83" s="182" t="n">
        <v>47.199</v>
      </c>
      <c r="E83" s="178" t="n">
        <v>13.46</v>
      </c>
      <c r="F83" s="50">
        <f>IFERROR(BDH(TEXT(N($A83),"0")&amp;" HK Equity","PX_LAST",$C83,$C83),"run on terminal")</f>
        <v/>
      </c>
      <c r="G83" s="10">
        <f>IF(NOT(ISNUMBER($F83)),"run on terminal",IF(ABS($F83/($D83)-1)&lt;0.005,"MATCH","CHECK: BBG "&amp;TEXT($F83,"0.000")))</f>
        <v/>
      </c>
      <c r="H83" s="179" t="inlineStr">
        <is>
          <t>AAStocks listing date (was 2026-03-21); close from the local session list</t>
        </is>
      </c>
    </row>
    <row r="84">
      <c r="A84" s="174" t="inlineStr">
        <is>
          <t>2726</t>
        </is>
      </c>
      <c r="B84" s="17" t="inlineStr">
        <is>
          <t>EPIWORLD</t>
        </is>
      </c>
      <c r="C84" s="181" t="inlineStr">
        <is>
          <t>2026-03-30</t>
        </is>
      </c>
      <c r="D84" s="182" t="n">
        <v>102.997</v>
      </c>
      <c r="E84" s="178" t="n">
        <v>35.06</v>
      </c>
      <c r="F84" s="50">
        <f>IFERROR(BDH(TEXT(N($A84),"0")&amp;" HK Equity","PX_LAST",$C84,$C84),"run on terminal")</f>
        <v/>
      </c>
      <c r="G84" s="10">
        <f>IF(NOT(ISNUMBER($F84)),"run on terminal",IF(ABS($F84/($D84)-1)&lt;0.005,"MATCH","CHECK: BBG "&amp;TEXT($F84,"0.000")))</f>
        <v/>
      </c>
      <c r="H84" s="179" t="inlineStr">
        <is>
          <t>AAStocks listing date (was 2026-03-28); close from the local session list</t>
        </is>
      </c>
    </row>
    <row r="85">
      <c r="A85" s="174" t="inlineStr">
        <is>
          <t>2526</t>
        </is>
      </c>
      <c r="B85" s="17" t="inlineStr">
        <is>
          <t>DIAGENS-B</t>
        </is>
      </c>
      <c r="C85" s="181" t="inlineStr">
        <is>
          <t>2026-03-30</t>
        </is>
      </c>
      <c r="D85" s="182" t="n">
        <v>209.603</v>
      </c>
      <c r="E85" s="178" t="n">
        <v>111.72</v>
      </c>
      <c r="F85" s="50">
        <f>IFERROR(BDH(TEXT(N($A85),"0")&amp;" HK Equity","PX_LAST",$C85,$C85),"run on terminal")</f>
        <v/>
      </c>
      <c r="G85" s="10">
        <f>IF(NOT(ISNUMBER($F85)),"run on terminal",IF(ABS($F85/($D85)-1)&lt;0.005,"MATCH","CHECK: BBG "&amp;TEXT($F85,"0.000")))</f>
        <v/>
      </c>
      <c r="H85" s="179" t="inlineStr">
        <is>
          <t>AAStocks listing date (was 2026-03-28); close from the local session list</t>
        </is>
      </c>
    </row>
    <row r="86">
      <c r="A86" s="174" t="inlineStr">
        <is>
          <t>6636</t>
        </is>
      </c>
      <c r="B86" s="17" t="inlineStr">
        <is>
          <t>EXTREME VISION</t>
        </is>
      </c>
      <c r="C86" s="181" t="inlineStr">
        <is>
          <t>2026-03-30</t>
        </is>
      </c>
      <c r="D86" s="182" t="n">
        <v>100</v>
      </c>
      <c r="E86" s="178" t="n">
        <v>150</v>
      </c>
      <c r="F86" s="50">
        <f>IFERROR(BDH(TEXT(N($A86),"0")&amp;" HK Equity","PX_LAST",$C86,$C86),"run on terminal")</f>
        <v/>
      </c>
      <c r="G86" s="10">
        <f>IF(NOT(ISNUMBER($F86)),"run on terminal",IF(ABS($F86/($D86)-1)&lt;0.005,"MATCH","CHECK: BBG "&amp;TEXT($F86,"0.000")))</f>
        <v/>
      </c>
      <c r="H86" s="179" t="inlineStr">
        <is>
          <t>AAStocks listing date (was 2026-03-28); close from the local session list</t>
        </is>
      </c>
    </row>
    <row r="87">
      <c r="A87" s="174" t="inlineStr">
        <is>
          <t>1021</t>
        </is>
      </c>
      <c r="B87" s="17" t="inlineStr">
        <is>
          <t>HUAYAN ROBOTICS</t>
        </is>
      </c>
      <c r="C87" s="181" t="inlineStr">
        <is>
          <t>2026-03-30</t>
        </is>
      </c>
      <c r="D87" s="182" t="n">
        <v>18.401</v>
      </c>
      <c r="E87" s="178" t="n">
        <v>8.24</v>
      </c>
      <c r="F87" s="50">
        <f>IFERROR(BDH(TEXT(N($A87),"0")&amp;" HK Equity","PX_LAST",$C87,$C87),"run on terminal")</f>
        <v/>
      </c>
      <c r="G87" s="10">
        <f>IF(NOT(ISNUMBER($F87)),"run on terminal",IF(ABS($F87/($D87)-1)&lt;0.005,"MATCH","CHECK: BBG "&amp;TEXT($F87,"0.000")))</f>
        <v/>
      </c>
      <c r="H87" s="179" t="inlineStr">
        <is>
          <t>AAStocks listing date (was 2026-03-28); close from the local session list</t>
        </is>
      </c>
    </row>
    <row r="88">
      <c r="A88" s="174" t="inlineStr">
        <is>
          <t>1236</t>
        </is>
      </c>
      <c r="B88" s="17" t="inlineStr">
        <is>
          <t>LDROBOT</t>
        </is>
      </c>
      <c r="C88" s="181" t="inlineStr">
        <is>
          <t>2026-05-11</t>
        </is>
      </c>
      <c r="D88" s="182" t="n">
        <v>60.001</v>
      </c>
      <c r="E88" s="178" t="n">
        <v>127.62</v>
      </c>
      <c r="F88" s="50">
        <f>IFERROR(BDH(TEXT(N($A88),"0")&amp;" HK Equity","PX_LAST",$C88,$C88),"run on terminal")</f>
        <v/>
      </c>
      <c r="G88" s="10">
        <f>IF(NOT(ISNUMBER($F88)),"run on terminal",IF(ABS($F88/($D88)-1)&lt;0.005,"MATCH","CHECK: BBG "&amp;TEXT($F88,"0.000")))</f>
        <v/>
      </c>
      <c r="H88" s="179" t="inlineStr">
        <is>
          <t>AAStocks listing date (was 2026-05-09); close from the local session list</t>
        </is>
      </c>
    </row>
    <row r="89">
      <c r="A89" s="174" t="inlineStr">
        <is>
          <t>6871</t>
        </is>
      </c>
      <c r="B89" s="17" t="inlineStr">
        <is>
          <t>ROBOTPHOENIX</t>
        </is>
      </c>
      <c r="C89" s="181" t="inlineStr">
        <is>
          <t>2026-05-18</t>
        </is>
      </c>
      <c r="D89" s="182" t="n">
        <v>53.75</v>
      </c>
      <c r="E89" s="178" t="n">
        <v>76.23</v>
      </c>
      <c r="F89" s="50">
        <f>IFERROR(BDH(TEXT(N($A89),"0")&amp;" HK Equity","PX_LAST",$C89,$C89),"run on terminal")</f>
        <v/>
      </c>
      <c r="G89" s="10">
        <f>IF(NOT(ISNUMBER($F89)),"run on terminal",IF(ABS($F89/($D89)-1)&lt;0.005,"MATCH","CHECK: BBG "&amp;TEXT($F89,"0.000")))</f>
        <v/>
      </c>
      <c r="H89" s="179" t="inlineStr">
        <is>
          <t>AAStocks listing date (was 2026-05-16); close from the local session list</t>
        </is>
      </c>
    </row>
    <row r="90">
      <c r="A90" s="174" t="inlineStr">
        <is>
          <t>6658</t>
        </is>
      </c>
      <c r="B90" s="17" t="inlineStr">
        <is>
          <t>LIULIUMEI</t>
        </is>
      </c>
      <c r="C90" s="181" t="inlineStr">
        <is>
          <t>2026-06-15</t>
        </is>
      </c>
      <c r="D90" s="182" t="n">
        <v>127.999</v>
      </c>
      <c r="E90" s="178" t="n">
        <v>193.71</v>
      </c>
      <c r="F90" s="50">
        <f>IFERROR(BDH(TEXT(N($A90),"0")&amp;" HK Equity","PX_LAST",$C90,$C90),"run on terminal")</f>
        <v/>
      </c>
      <c r="G90" s="10">
        <f>IF(NOT(ISNUMBER($F90)),"run on terminal",IF(ABS($F90/($D90)-1)&lt;0.005,"MATCH","CHECK: BBG "&amp;TEXT($F90,"0.000")))</f>
        <v/>
      </c>
      <c r="H90" s="179" t="inlineStr">
        <is>
          <t>AAStocks listing date (was 2026-06-13); close from the local session list</t>
        </is>
      </c>
    </row>
    <row r="91">
      <c r="A91" s="174" t="inlineStr">
        <is>
          <t>1392</t>
        </is>
      </c>
      <c r="B91" s="17" t="inlineStr">
        <is>
          <t>HQVT</t>
        </is>
      </c>
      <c r="C91" s="181" t="inlineStr">
        <is>
          <t>2026-06-22</t>
        </is>
      </c>
      <c r="D91" s="182" t="n">
        <v>26.7</v>
      </c>
      <c r="E91" s="178" t="n">
        <v>270.83</v>
      </c>
      <c r="F91" s="50">
        <f>IFERROR(BDH(TEXT(N($A91),"0")&amp;" HK Equity","PX_LAST",$C91,$C91),"run on terminal")</f>
        <v/>
      </c>
      <c r="G91" s="10">
        <f>IF(NOT(ISNUMBER($F91)),"run on terminal",IF(ABS($F91/($D91)-1)&lt;0.005,"MATCH","CHECK: BBG "&amp;TEXT($F91,"0.000")))</f>
        <v/>
      </c>
      <c r="H91" s="179" t="inlineStr">
        <is>
          <t>AAStocks listing date (was 2026-06-19); close from the local session list</t>
        </is>
      </c>
    </row>
    <row r="92">
      <c r="A92" s="174" t="inlineStr">
        <is>
          <t>2672</t>
        </is>
      </c>
      <c r="B92" s="17" t="inlineStr">
        <is>
          <t>BAIGE DIGITAL</t>
        </is>
      </c>
      <c r="C92" s="181" t="inlineStr">
        <is>
          <t>2026-06-29</t>
        </is>
      </c>
      <c r="D92" s="182" t="n">
        <v>73</v>
      </c>
      <c r="E92" s="178" t="n">
        <v>367.95</v>
      </c>
      <c r="F92" s="50">
        <f>IFERROR(BDH(TEXT(N($A92),"0")&amp;" HK Equity","PX_LAST",$C92,$C92),"run on terminal")</f>
        <v/>
      </c>
      <c r="G92" s="10">
        <f>IF(NOT(ISNUMBER($F92)),"run on terminal",IF(ABS($F92/($D92)-1)&lt;0.005,"MATCH","CHECK: BBG "&amp;TEXT($F92,"0.000")))</f>
        <v/>
      </c>
      <c r="H92" s="179" t="inlineStr">
        <is>
          <t>AAStocks listing date (was 2026-06-27); close from the local session list</t>
        </is>
      </c>
    </row>
    <row r="93">
      <c r="A93" s="174" t="inlineStr">
        <is>
          <t>1191</t>
        </is>
      </c>
      <c r="B93" s="17" t="inlineStr">
        <is>
          <t>CREALIGHTS</t>
        </is>
      </c>
      <c r="C93" s="181" t="inlineStr">
        <is>
          <t>2026-06-29</t>
        </is>
      </c>
      <c r="D93" s="182" t="n">
        <v>165.004</v>
      </c>
      <c r="E93" s="178" t="n">
        <v>44.74</v>
      </c>
      <c r="F93" s="50">
        <f>IFERROR(BDH(TEXT(N($A93),"0")&amp;" HK Equity","PX_LAST",$C93,$C93),"run on terminal")</f>
        <v/>
      </c>
      <c r="G93" s="10">
        <f>IF(NOT(ISNUMBER($F93)),"run on terminal",IF(ABS($F93/($D93)-1)&lt;0.005,"MATCH","CHECK: BBG "&amp;TEXT($F93,"0.000")))</f>
        <v/>
      </c>
      <c r="H93" s="179" t="inlineStr">
        <is>
          <t>AAStocks listing date (was 2026-06-27); close from the local session list</t>
        </is>
      </c>
    </row>
    <row r="94">
      <c r="A94" s="174" t="inlineStr">
        <is>
          <t>9637</t>
        </is>
      </c>
      <c r="B94" s="17" t="inlineStr">
        <is>
          <t>ALEBUND-B</t>
        </is>
      </c>
      <c r="C94" s="181" t="inlineStr">
        <is>
          <t>2026-06-29</t>
        </is>
      </c>
      <c r="D94" s="182" t="n">
        <v>46</v>
      </c>
      <c r="E94" s="178" t="n">
        <v>103.54</v>
      </c>
      <c r="F94" s="50">
        <f>IFERROR(BDH(TEXT(N($A94),"0")&amp;" HK Equity","PX_LAST",$C94,$C94),"run on terminal")</f>
        <v/>
      </c>
      <c r="G94" s="10">
        <f>IF(NOT(ISNUMBER($F94)),"run on terminal",IF(ABS($F94/($D94)-1)&lt;0.005,"MATCH","CHECK: BBG "&amp;TEXT($F94,"0.000")))</f>
        <v/>
      </c>
      <c r="H94" s="179" t="inlineStr">
        <is>
          <t>AAStocks listing date (was 2026-06-27); close from the local session list</t>
        </is>
      </c>
    </row>
    <row r="95">
      <c r="A95" s="174" t="inlineStr">
        <is>
          <t>0668</t>
        </is>
      </c>
      <c r="B95" s="17" t="inlineStr">
        <is>
          <t>ANKER</t>
        </is>
      </c>
      <c r="C95" s="181" t="inlineStr">
        <is>
          <t>2026-07-02</t>
        </is>
      </c>
      <c r="D95" s="182" t="n">
        <v>114.903</v>
      </c>
      <c r="E95" s="178" t="n">
        <v>15.69</v>
      </c>
      <c r="F95" s="50">
        <f>IFERROR(BDH(TEXT(N($A95),"0")&amp;" HK Equity","PX_LAST",$C95,$C95),"run on terminal")</f>
        <v/>
      </c>
      <c r="G95" s="10">
        <f>IF(NOT(ISNUMBER($F95)),"run on terminal",IF(ABS($F95/($D95)-1)&lt;0.005,"MATCH","CHECK: BBG "&amp;TEXT($F95,"0.000")))</f>
        <v/>
      </c>
      <c r="H95" s="179" t="inlineStr">
        <is>
          <t>AAStocks listing date (was 2026-07-01); close from the local session list</t>
        </is>
      </c>
    </row>
    <row r="96">
      <c r="A96" s="174" t="inlineStr">
        <is>
          <t>2041</t>
        </is>
      </c>
      <c r="B96" s="17" t="inlineStr">
        <is>
          <t>MEDCAPTAIN</t>
        </is>
      </c>
      <c r="C96" s="181" t="inlineStr">
        <is>
          <t>2026-09-07</t>
        </is>
      </c>
      <c r="D96" s="182" t="n">
        <v>8.800000000000001</v>
      </c>
      <c r="E96" s="178" t="n">
        <v>-42.93</v>
      </c>
      <c r="F96" s="50">
        <f>IFERROR(BDH(TEXT(N($A96),"0")&amp;" HK Equity","PX_LAST",$C96,$C96),"run on terminal")</f>
        <v/>
      </c>
      <c r="G96" s="10">
        <f>IF(NOT(ISNUMBER($F96)),"run on terminal",IF(ABS($F96/($D96)-1)&lt;0.005,"MATCH","CHECK: BBG "&amp;TEXT($F96,"0.000")))</f>
        <v/>
      </c>
      <c r="H96" s="179" t="inlineStr">
        <is>
          <t>AAStocks listing date (was 2026-09-05); close from the local session list</t>
        </is>
      </c>
    </row>
    <row r="97">
      <c r="A97" s="174" t="inlineStr">
        <is>
          <t>6727</t>
        </is>
      </c>
      <c r="B97" s="17" t="inlineStr">
        <is>
          <t>TRANSWARP</t>
        </is>
      </c>
      <c r="C97" s="181" t="inlineStr">
        <is>
          <t>2026-09-21</t>
        </is>
      </c>
      <c r="D97" s="182" t="n">
        <v>44.502</v>
      </c>
      <c r="E97" s="178" t="n">
        <v>-9.18</v>
      </c>
      <c r="F97" s="50">
        <f>IFERROR(BDH(TEXT(N($A97),"0")&amp;" HK Equity","PX_LAST",$C97,$C97),"run on terminal")</f>
        <v/>
      </c>
      <c r="G97" s="10">
        <f>IF(NOT(ISNUMBER($F97)),"run on terminal",IF(ABS($F97/($D97)-1)&lt;0.005,"MATCH","CHECK: BBG "&amp;TEXT($F97,"0.000")))</f>
        <v/>
      </c>
      <c r="H97" s="179" t="inlineStr">
        <is>
          <t>AAStocks listing date (was 2026-09-19); close from the local session list</t>
        </is>
      </c>
    </row>
    <row r="98"/>
    <row r="99">
      <c r="A99" s="169" t="inlineStr">
        <is>
          <t>B. OFFER PRICE (11 deals ruled against the filing parse)</t>
        </is>
      </c>
    </row>
    <row r="100">
      <c r="A100" s="12" t="inlineStr">
        <is>
          <t>Code</t>
        </is>
      </c>
      <c r="B100" s="12" t="inlineStr">
        <is>
          <t>Name</t>
        </is>
      </c>
      <c r="C100" s="12" t="inlineStr">
        <is>
          <t>Our offer price</t>
        </is>
      </c>
      <c r="D100" s="12" t="inlineStr"/>
      <c r="E100" s="12" t="inlineStr"/>
      <c r="F100" s="12" t="inlineStr">
        <is>
          <t>BBG offer price</t>
        </is>
      </c>
      <c r="G100" s="12" t="inlineStr">
        <is>
          <t>VERDICT</t>
        </is>
      </c>
      <c r="H100" s="12" t="inlineStr">
        <is>
          <t>What we relied on</t>
        </is>
      </c>
    </row>
    <row r="101">
      <c r="A101" s="174" t="inlineStr">
        <is>
          <t>2672</t>
        </is>
      </c>
      <c r="B101" s="17" t="inlineStr">
        <is>
          <t>BAIGE DIGITAL</t>
        </is>
      </c>
      <c r="C101" s="182" t="n">
        <v>15.6</v>
      </c>
      <c r="F101" s="179" t="inlineStr">
        <is>
          <t>no BDP field; check the DES IPO screen</t>
        </is>
      </c>
      <c r="G101" s="10">
        <f>IF(ISNUMBER($F101),IF(ABS($F101/$C101-1)&lt;0.005,"MATCH","CHECK"),"see section A: day-1 close matches Bloomberg at this price")</f>
        <v/>
      </c>
      <c r="H101" s="179" t="inlineStr">
        <is>
          <t xml:space="preserve">OFFER PRICE: 10jqka 2026-06-29 + ifeng: 发行价15.6港元, 收报73港元 首日+367.95%, 全球发售3334.44万股, 募资总额5.2亿港元. The parse's 54,382,183 was the LISTING EXPENSES line </t>
        </is>
      </c>
    </row>
    <row r="102">
      <c r="A102" s="174" t="inlineStr">
        <is>
          <t>2525</t>
        </is>
      </c>
      <c r="B102" s="17" t="inlineStr">
        <is>
          <t>HESAI-W</t>
        </is>
      </c>
      <c r="C102" s="182" t="n">
        <v>212.8</v>
      </c>
      <c r="F102" s="179" t="inlineStr">
        <is>
          <t>no BDP field; check the DES IPO screen</t>
        </is>
      </c>
      <c r="G102" s="10">
        <f>IF(ISNUMBER($F102),IF(ABS($F102/$C102-1)&lt;0.005,"MATCH","CHECK"),"see section A: day-1 close matches Bloomberg at this price")</f>
        <v/>
      </c>
      <c r="H102" s="179" t="inlineStr">
        <is>
          <t>OFFER PRICE: STCN + HKEX allotment 2025-09-15 (2025091501458.pdf): 发行价212.80港元, 收报234港元 +9.96%, 19,550,000 offer shares incl. fully-exercised offer-si</t>
        </is>
      </c>
    </row>
    <row r="103">
      <c r="A103" s="174" t="inlineStr">
        <is>
          <t>2026</t>
        </is>
      </c>
      <c r="B103" s="17" t="inlineStr">
        <is>
          <t>PONY-W</t>
        </is>
      </c>
      <c r="C103" s="182" t="n">
        <v>139</v>
      </c>
      <c r="F103" s="179" t="inlineStr">
        <is>
          <t>no BDP field; check the DES IPO screen</t>
        </is>
      </c>
      <c r="G103" s="10">
        <f>IF(ISNUMBER($F103),IF(ABS($F103/$C103-1)&lt;0.005,"MATCH","CHECK"),"see section A: day-1 close matches Bloomberg at this price")</f>
        <v/>
      </c>
      <c r="H103" s="179" t="inlineStr">
        <is>
          <t>OFFER PRICE: Sina 2025-11-04 pricing + 2025-11-06 debut: 每股139.00港元 (22.8% below the HK$180 max), 收报126.10港元 -9.28%, 48,249,000 shares incl. full offe</t>
        </is>
      </c>
    </row>
    <row r="104">
      <c r="A104" s="174" t="inlineStr">
        <is>
          <t>6656</t>
        </is>
      </c>
      <c r="B104" s="17" t="inlineStr">
        <is>
          <t>SIGENERGY</t>
        </is>
      </c>
      <c r="C104" s="182" t="n">
        <v>324.2</v>
      </c>
      <c r="F104" s="179" t="inlineStr">
        <is>
          <t>no BDP field; check the DES IPO screen</t>
        </is>
      </c>
      <c r="G104" s="10">
        <f>IF(ISNUMBER($F104),IF(ABS($F104/$C104-1)&lt;0.005,"MATCH","CHECK"),"see section A: day-1 close matches Bloomberg at this price")</f>
        <v/>
      </c>
      <c r="H104" s="179" t="inlineStr">
        <is>
          <t>OFFER PRICE: AAStocks debut report: opened HK$581 (+79.2%) from listing price HK$324.20, closed HK$659.5 +103.4%; 13,573,900 H shares, gross ≈HK$4.4bn</t>
        </is>
      </c>
    </row>
    <row r="105">
      <c r="A105" s="174" t="inlineStr">
        <is>
          <t>9630</t>
        </is>
      </c>
      <c r="B105" s="17" t="inlineStr">
        <is>
          <t>CFMEE</t>
        </is>
      </c>
      <c r="C105" s="182" t="n">
        <v>252.73</v>
      </c>
      <c r="F105" s="179" t="inlineStr">
        <is>
          <t>no BDP field; check the DES IPO screen</t>
        </is>
      </c>
      <c r="G105" s="10">
        <f>IF(ISNUMBER($F105),IF(ABS($F105/$C105-1)&lt;0.005,"MATCH","CHECK"),"see section A: day-1 close matches Bloomberg at this price")</f>
        <v/>
      </c>
      <c r="H105" s="179" t="inlineStr">
        <is>
          <t>OFFER PRICE: Sina 2026-06-26: 发行价252.73港元 (top of range), 收报515.00港元 +103.77%, 发行1283.865万股, 募资总额32.45亿港元. NOT the midday 445.8 snapshot.</t>
        </is>
      </c>
    </row>
    <row r="106">
      <c r="A106" s="174" t="inlineStr">
        <is>
          <t>6090</t>
        </is>
      </c>
      <c r="B106" s="17" t="inlineStr">
        <is>
          <t>BUTONG GROUP</t>
        </is>
      </c>
      <c r="C106" s="182" t="n">
        <v>71.2</v>
      </c>
      <c r="F106" s="179" t="inlineStr">
        <is>
          <t>no BDP field; check the DES IPO screen</t>
        </is>
      </c>
      <c r="G106" s="10">
        <f>IF(ISNUMBER($F106),IF(ABS($F106/$C106-1)&lt;0.005,"MATCH","CHECK"),"see section A: day-1 close matches Bloomberg at this price")</f>
        <v/>
      </c>
      <c r="H106" s="179" t="inlineStr">
        <is>
          <t>OFFER PRICE: Sina 2025-09-23: 发售价每股71.20港元 (top of the 62.01-71.20 range), 收报102.50港元 +43.96%, 全球发售1098.09万股.</t>
        </is>
      </c>
    </row>
    <row r="107">
      <c r="A107" s="174" t="inlineStr">
        <is>
          <t>3223</t>
        </is>
      </c>
      <c r="B107" s="17" t="inlineStr">
        <is>
          <t>INGENIC</t>
        </is>
      </c>
      <c r="C107" s="182" t="n">
        <v>100</v>
      </c>
      <c r="F107" s="179" t="inlineStr">
        <is>
          <t>no BDP field; check the DES IPO screen</t>
        </is>
      </c>
      <c r="G107" s="10">
        <f>IF(ISNUMBER($F107),IF(ABS($F107/$C107-1)&lt;0.005,"MATCH","CHECK"),"see section A: day-1 close matches Bloomberg at this price")</f>
        <v/>
      </c>
      <c r="H107" s="179" t="inlineStr">
        <is>
          <t>Ingenic FY2025 A-share AR (300223.SZ, 2026-03-28): revenue RMB4,741m, attributable NI RMB376m; x1.10 to HKD. Listed 2026-08-25; trailing basis for th</t>
        </is>
      </c>
    </row>
    <row r="108">
      <c r="A108" s="174" t="inlineStr">
        <is>
          <t>9615</t>
        </is>
      </c>
      <c r="B108" s="17" t="inlineStr">
        <is>
          <t>MECH-MIND ROBOT</t>
        </is>
      </c>
      <c r="C108" s="182" t="n">
        <v>101.7</v>
      </c>
      <c r="F108" s="179" t="inlineStr">
        <is>
          <t>no BDP field; check the DES IPO screen</t>
        </is>
      </c>
      <c r="G108" s="10">
        <f>IF(ISNUMBER($F108),IF(ABS($F108/$C108-1)&lt;0.005,"MATCH","CHECK"),"see section A: day-1 close matches Bloomberg at this price")</f>
        <v/>
      </c>
      <c r="H108" s="179" t="inlineStr">
        <is>
          <t>HKEX allotment results 2026-08-31 (2026083102433.pdf): final offer price HK$101.70 = the CAP (range HK$95.30-101.70, 'Offer Price adjustment exercised</t>
        </is>
      </c>
    </row>
    <row r="109">
      <c r="A109" s="174" t="inlineStr">
        <is>
          <t>0625</t>
        </is>
      </c>
      <c r="B109" s="17" t="inlineStr">
        <is>
          <t>SHEIN-W</t>
        </is>
      </c>
      <c r="C109" s="182" t="n">
        <v>48.56</v>
      </c>
      <c r="F109" s="179" t="inlineStr">
        <is>
          <t>no BDP field; check the DES IPO screen</t>
        </is>
      </c>
      <c r="G109" s="10">
        <f>IF(ISNUMBER($F109),IF(ABS($F109/$C109-1)&lt;0.005,"MATCH","CHECK"),"see section A: day-1 close matches Bloomberg at this price")</f>
        <v/>
      </c>
      <c r="H109" s="179" t="inlineStr">
        <is>
          <t>HKEX allotment results 2026-08-31 (2026083102409.pdf): final offer price HK$48.56 against a HK$47.60-49.50 range (max HK$49.50); priced 1.9% below th</t>
        </is>
      </c>
    </row>
    <row r="110">
      <c r="A110" s="174" t="inlineStr">
        <is>
          <t>2392</t>
        </is>
      </c>
      <c r="B110" s="17" t="inlineStr">
        <is>
          <t>XUANWU CLOUD</t>
        </is>
      </c>
      <c r="C110" s="182" t="n">
        <v>6.24</v>
      </c>
      <c r="F110" s="179" t="inlineStr">
        <is>
          <t>no BDP field; check the DES IPO screen</t>
        </is>
      </c>
      <c r="G110" s="10">
        <f>IF(ISNUMBER($F110),IF(ABS($F110/$C110-1)&lt;0.005,"MATCH","CHECK"),"see section A: day-1 close matches Bloomberg at this price")</f>
        <v/>
      </c>
      <c r="H110" s="179" t="inlineStr">
        <is>
          <t xml:space="preserve">filing parse returned 6.91 = EXACTLY the stated Maximum Offer Price (the known bad-anchor line, wrong 6/6 in the v20 price research). AAStocks prints </t>
        </is>
      </c>
    </row>
    <row r="111">
      <c r="A111" s="174" t="inlineStr">
        <is>
          <t>9877</t>
        </is>
      </c>
      <c r="B111" s="17" t="inlineStr">
        <is>
          <t>JENSCARE-B</t>
        </is>
      </c>
      <c r="C111" s="182" t="n">
        <v>27.8</v>
      </c>
      <c r="F111" s="179" t="inlineStr">
        <is>
          <t>no BDP field; check the DES IPO screen</t>
        </is>
      </c>
      <c r="G111" s="10">
        <f>IF(ISNUMBER($F111),IF(ABS($F111/$C111-1)&lt;0.005,"MATCH","CHECK"),"see section A: day-1 close matches Bloomberg at this price")</f>
        <v/>
      </c>
      <c r="H111" s="179" t="inlineStr">
        <is>
          <t>filing parse returned 28.80 = EXACTLY the stated Maximum Offer Price. AAStocks prints 27.80, and the ingested day-1 (+1.62%) matches 28.25/27.80-1 exa</t>
        </is>
      </c>
    </row>
    <row r="112"/>
    <row r="113">
      <c r="A113" s="169" t="inlineStr">
        <is>
          <t>C. CORPORATE ACTIONS (32 deals; our day-1 close / cumulative factor should equal Bloomberg's adjusted print)</t>
        </is>
      </c>
    </row>
    <row r="114">
      <c r="A114" s="12" t="inlineStr">
        <is>
          <t>Code</t>
        </is>
      </c>
      <c r="B114" s="12" t="inlineStr">
        <is>
          <t>Name</t>
        </is>
      </c>
      <c r="C114" s="12" t="inlineStr">
        <is>
          <t>Listing date</t>
        </is>
      </c>
      <c r="D114" s="12" t="inlineStr">
        <is>
          <t>Our day-1 close</t>
        </is>
      </c>
      <c r="E114" s="12" t="inlineStr">
        <is>
          <t>÷ factor = expected</t>
        </is>
      </c>
      <c r="F114" s="12" t="inlineStr">
        <is>
          <t>BBG close that day</t>
        </is>
      </c>
      <c r="G114" s="12" t="inlineStr">
        <is>
          <t>VERDICT</t>
        </is>
      </c>
      <c r="H114" s="12" t="inlineStr">
        <is>
          <t>Action applied</t>
        </is>
      </c>
    </row>
    <row r="115">
      <c r="A115" s="174" t="inlineStr">
        <is>
          <t>1413</t>
        </is>
      </c>
      <c r="B115" s="17" t="inlineStr">
        <is>
          <t>KWONG LUEN ENG</t>
        </is>
      </c>
      <c r="C115" s="181" t="inlineStr">
        <is>
          <t>2021-03-11</t>
        </is>
      </c>
      <c r="D115" s="182" t="n">
        <v>0.42</v>
      </c>
      <c r="E115" s="50">
        <f>IFERROR($D115/0.2,"")</f>
        <v/>
      </c>
      <c r="F115" s="50">
        <f>IFERROR(BDH(TEXT(N($A115),"0")&amp;" HK Equity","PX_LAST",$C115,$C115),"run on terminal")</f>
        <v/>
      </c>
      <c r="G115" s="10">
        <f>IF(NOT(ISNUMBER($F115)),"run on terminal",IF(ABS($F115/$E115-1)&lt;0.02,"MATCH","CHECK: BBG "&amp;TEXT($F115,"0.000")))</f>
        <v/>
      </c>
      <c r="H115" s="179" t="inlineStr">
        <is>
          <t>2025-12-16 x0.2 (Bloomberg basis x0.2)</t>
        </is>
      </c>
    </row>
    <row r="116">
      <c r="A116" s="174" t="inlineStr">
        <is>
          <t>1855</t>
        </is>
      </c>
      <c r="B116" s="17" t="inlineStr">
        <is>
          <t>ZONBONG ENVIRO</t>
        </is>
      </c>
      <c r="C116" s="181" t="inlineStr">
        <is>
          <t>2021-01-06</t>
        </is>
      </c>
      <c r="D116" s="182" t="n">
        <v>2.05</v>
      </c>
      <c r="E116" s="50">
        <f>IFERROR($D116/3.0,"")</f>
        <v/>
      </c>
      <c r="F116" s="50">
        <f>IFERROR(BDH(TEXT(N($A116),"0")&amp;" HK Equity","PX_LAST",$C116,$C116),"run on terminal")</f>
        <v/>
      </c>
      <c r="G116" s="10">
        <f>IF(NOT(ISNUMBER($F116)),"run on terminal",IF(ABS($F116/$E116-1)&lt;0.02,"MATCH","CHECK: BBG "&amp;TEXT($F116,"0.000")))</f>
        <v/>
      </c>
      <c r="H116" s="179" t="inlineStr">
        <is>
          <t>2024-08-01 x3 (Bloomberg basis x3)</t>
        </is>
      </c>
    </row>
    <row r="117">
      <c r="A117" s="174" t="inlineStr">
        <is>
          <t>2147</t>
        </is>
      </c>
      <c r="B117" s="17" t="inlineStr">
        <is>
          <t>ZHENGWEI GROUP</t>
        </is>
      </c>
      <c r="C117" s="181" t="inlineStr">
        <is>
          <t>2023-01-13</t>
        </is>
      </c>
      <c r="D117" s="182" t="n">
        <v>0.5600000000000001</v>
      </c>
      <c r="E117" s="50">
        <f>IFERROR($D117/0.05,"")</f>
        <v/>
      </c>
      <c r="F117" s="50">
        <f>IFERROR(BDH(TEXT(N($A117),"0")&amp;" HK Equity","PX_LAST",$C117,$C117),"run on terminal")</f>
        <v/>
      </c>
      <c r="G117" s="10">
        <f>IF(NOT(ISNUMBER($F117)),"run on terminal",IF(ABS($F117/$E117-1)&lt;0.02,"MATCH","CHECK: BBG "&amp;TEXT($F117,"0.000")))</f>
        <v/>
      </c>
      <c r="H117" s="179" t="inlineStr">
        <is>
          <t>2025-12-30 x0.05 (Bloomberg basis x0.05)</t>
        </is>
      </c>
    </row>
    <row r="118">
      <c r="A118" s="174" t="inlineStr">
        <is>
          <t>2160</t>
        </is>
      </c>
      <c r="B118" s="17" t="inlineStr">
        <is>
          <t>CARDIOFLOW-B</t>
        </is>
      </c>
      <c r="C118" s="181" t="inlineStr">
        <is>
          <t>2021-02-04</t>
        </is>
      </c>
      <c r="D118" s="182" t="n">
        <v>18.82</v>
      </c>
      <c r="E118" s="50">
        <f>IFERROR($D118/0.2,"")</f>
        <v/>
      </c>
      <c r="F118" s="50">
        <f>IFERROR(BDH(TEXT(N($A118),"0")&amp;" HK Equity","PX_LAST",$C118,$C118),"run on terminal")</f>
        <v/>
      </c>
      <c r="G118" s="10">
        <f>IF(NOT(ISNUMBER($F118)),"run on terminal",IF(ABS($F118/$E118-1)&lt;0.02,"MATCH","CHECK: BBG "&amp;TEXT($F118,"0.000")))</f>
        <v/>
      </c>
      <c r="H118" s="179" t="inlineStr">
        <is>
          <t>2026-02-24 x0.2 (Bloomberg basis x0.2)</t>
        </is>
      </c>
    </row>
    <row r="119">
      <c r="A119" s="174" t="inlineStr">
        <is>
          <t>2195</t>
        </is>
      </c>
      <c r="B119" s="17" t="inlineStr">
        <is>
          <t>UNITY ENT</t>
        </is>
      </c>
      <c r="C119" s="181" t="inlineStr">
        <is>
          <t>2021-03-31</t>
        </is>
      </c>
      <c r="D119" s="182" t="n">
        <v>0.33</v>
      </c>
      <c r="E119" s="50">
        <f>IFERROR($D119/0.1,"")</f>
        <v/>
      </c>
      <c r="F119" s="50">
        <f>IFERROR(BDH(TEXT(N($A119),"0")&amp;" HK Equity","PX_LAST",$C119,$C119),"run on terminal")</f>
        <v/>
      </c>
      <c r="G119" s="10">
        <f>IF(NOT(ISNUMBER($F119)),"run on terminal",IF(ABS($F119/$E119-1)&lt;0.02,"MATCH","CHECK: BBG "&amp;TEXT($F119,"0.000")))</f>
        <v/>
      </c>
      <c r="H119" s="179" t="inlineStr">
        <is>
          <t>2025-10-30 x0.1 (Bloomberg basis x0.1)</t>
        </is>
      </c>
    </row>
    <row r="120">
      <c r="A120" s="174" t="inlineStr">
        <is>
          <t>2246</t>
        </is>
      </c>
      <c r="B120" s="17" t="inlineStr">
        <is>
          <t>GOGOX</t>
        </is>
      </c>
      <c r="C120" s="181" t="inlineStr">
        <is>
          <t>2022-06-24</t>
        </is>
      </c>
      <c r="D120" s="182" t="n">
        <v>16.721</v>
      </c>
      <c r="E120" s="50">
        <f>IFERROR($D120/0.1,"")</f>
        <v/>
      </c>
      <c r="F120" s="50">
        <f>IFERROR(BDH(TEXT(N($A120),"0")&amp;" HK Equity","PX_LAST",$C120,$C120),"run on terminal")</f>
        <v/>
      </c>
      <c r="G120" s="10">
        <f>IF(NOT(ISNUMBER($F120)),"run on terminal",IF(ABS($F120/$E120-1)&lt;0.02,"MATCH","CHECK: BBG "&amp;TEXT($F120,"0.000")))</f>
        <v/>
      </c>
      <c r="H120" s="179" t="inlineStr">
        <is>
          <t>2025-04-25 x0.1 (Bloomberg basis x0.1)</t>
        </is>
      </c>
    </row>
    <row r="121">
      <c r="A121" s="174" t="inlineStr">
        <is>
          <t>2350</t>
        </is>
      </c>
      <c r="B121" s="17" t="inlineStr">
        <is>
          <t>MTT GROUP</t>
        </is>
      </c>
      <c r="C121" s="181" t="inlineStr">
        <is>
          <t>2022-09-26</t>
        </is>
      </c>
      <c r="D121" s="182" t="n">
        <v>0.62</v>
      </c>
      <c r="E121" s="50">
        <f>IFERROR($D121/1.246,"")</f>
        <v/>
      </c>
      <c r="F121" s="50">
        <f>IFERROR(BDH(TEXT(N($A121),"0")&amp;" HK Equity","PX_LAST",$C121,$C121),"run on terminal")</f>
        <v/>
      </c>
      <c r="G121" s="10">
        <f>IF(NOT(ISNUMBER($F121)),"run on terminal",IF(ABS($F121/$E121-1)&lt;0.02,"MATCH","CHECK: BBG "&amp;TEXT($F121,"0.000")))</f>
        <v/>
      </c>
      <c r="H121" s="179" t="inlineStr">
        <is>
          <t>2026-06-15 rights 2-for-5 @ HK$0.275 (BBG-only x1.246) (Bloomberg basis x1.246)</t>
        </is>
      </c>
    </row>
    <row r="122">
      <c r="A122" s="174" t="inlineStr">
        <is>
          <t>2402</t>
        </is>
      </c>
      <c r="B122" s="17" t="inlineStr">
        <is>
          <t>SINOHYTEC</t>
        </is>
      </c>
      <c r="C122" s="181" t="inlineStr">
        <is>
          <t>2023-01-12</t>
        </is>
      </c>
      <c r="D122" s="182" t="n">
        <v>60</v>
      </c>
      <c r="E122" s="50">
        <f>IFERROR($D122/1.9599999999999997,"")</f>
        <v/>
      </c>
      <c r="F122" s="50">
        <f>IFERROR(BDH(TEXT(N($A122),"0")&amp;" HK Equity","PX_LAST",$C122,$C122),"run on terminal")</f>
        <v/>
      </c>
      <c r="G122" s="10">
        <f>IF(NOT(ISNUMBER($F122)),"run on terminal",IF(ABS($F122/$E122-1)&lt;0.02,"MATCH","CHECK: BBG "&amp;TEXT($F122,"0.000")))</f>
        <v/>
      </c>
      <c r="H122" s="179" t="inlineStr">
        <is>
          <t>2023-06-21 x1.4; 2024-07-04 x1.4 (Bloomberg basis x1.96)</t>
        </is>
      </c>
    </row>
    <row r="123">
      <c r="A123" s="174" t="inlineStr">
        <is>
          <t>2422</t>
        </is>
      </c>
      <c r="B123" s="17" t="inlineStr">
        <is>
          <t>REGO INTERACT</t>
        </is>
      </c>
      <c r="C123" s="181" t="inlineStr">
        <is>
          <t>2022-10-17</t>
        </is>
      </c>
      <c r="D123" s="182" t="n">
        <v>1.35</v>
      </c>
      <c r="E123" s="50">
        <f>IFERROR($D123/1.1936,"")</f>
        <v/>
      </c>
      <c r="F123" s="50">
        <f>IFERROR(BDH(TEXT(N($A123),"0")&amp;" HK Equity","PX_LAST",$C123,$C123),"run on terminal")</f>
        <v/>
      </c>
      <c r="G123" s="10">
        <f>IF(NOT(ISNUMBER($F123)),"run on terminal",IF(ABS($F123/$E123-1)&lt;0.02,"MATCH","CHECK: BBG "&amp;TEXT($F123,"0.000")))</f>
        <v/>
      </c>
      <c r="H123" s="179" t="inlineStr">
        <is>
          <t>2022-11 UNVERIFIED entitlement-class adjustment (BBG-only x1.1936) (Bloomberg basis x1.1936)</t>
        </is>
      </c>
    </row>
    <row r="124">
      <c r="A124" s="174" t="inlineStr">
        <is>
          <t>2440</t>
        </is>
      </c>
      <c r="B124" s="17" t="inlineStr">
        <is>
          <t>HOWKINGTECH</t>
        </is>
      </c>
      <c r="C124" s="181" t="inlineStr">
        <is>
          <t>2022-12-12</t>
        </is>
      </c>
      <c r="D124" s="182" t="n">
        <v>2</v>
      </c>
      <c r="E124" s="50">
        <f>IFERROR($D124/1.22414,"")</f>
        <v/>
      </c>
      <c r="F124" s="50">
        <f>IFERROR(BDH(TEXT(N($A124),"0")&amp;" HK Equity","PX_LAST",$C124,$C124),"run on terminal")</f>
        <v/>
      </c>
      <c r="G124" s="10">
        <f>IF(NOT(ISNUMBER($F124)),"run on terminal",IF(ABS($F124/$E124-1)&lt;0.02,"MATCH","CHECK: BBG "&amp;TEXT($F124,"0.000")))</f>
        <v/>
      </c>
      <c r="H124" s="179" t="inlineStr">
        <is>
          <t>2025-06-24 rights 1-for-2 @ HK$1.262 (now MemeStrategy) (BBG-only x1.22414) (Bloomberg basis x1.22414)</t>
        </is>
      </c>
    </row>
    <row r="125">
      <c r="A125" s="174" t="inlineStr">
        <is>
          <t>2459</t>
        </is>
      </c>
      <c r="B125" s="17" t="inlineStr">
        <is>
          <t>SANERGY GROUP</t>
        </is>
      </c>
      <c r="C125" s="181" t="inlineStr">
        <is>
          <t>2023-01-17</t>
        </is>
      </c>
      <c r="D125" s="182" t="n">
        <v>1.78</v>
      </c>
      <c r="E125" s="50">
        <f>IFERROR($D125/0.1195431,"")</f>
        <v/>
      </c>
      <c r="F125" s="50">
        <f>IFERROR(BDH(TEXT(N($A125),"0")&amp;" HK Equity","PX_LAST",$C125,$C125),"run on terminal")</f>
        <v/>
      </c>
      <c r="G125" s="10">
        <f>IF(NOT(ISNUMBER($F125)),"run on terminal",IF(ABS($F125/$E125-1)&lt;0.02,"MATCH","CHECK: BBG "&amp;TEXT($F125,"0.000")))</f>
        <v/>
      </c>
      <c r="H125" s="179" t="inlineStr">
        <is>
          <t>2026-05-14 x0.1; 2025-07-16 rights 1-for-2 @ HK$0.08 (pre-consolidation) (BBG-only x1.19543) (Bloomberg basis x0.119543)</t>
        </is>
      </c>
    </row>
    <row r="126">
      <c r="A126" s="174" t="inlineStr">
        <is>
          <t>2473</t>
        </is>
      </c>
      <c r="B126" s="17" t="inlineStr">
        <is>
          <t>XXF</t>
        </is>
      </c>
      <c r="C126" s="181" t="inlineStr">
        <is>
          <t>2023-11-09</t>
        </is>
      </c>
      <c r="D126" s="182" t="n">
        <v>1.64</v>
      </c>
      <c r="E126" s="50">
        <f>IFERROR($D126/3.0,"")</f>
        <v/>
      </c>
      <c r="F126" s="50">
        <f>IFERROR(BDH(TEXT(N($A126),"0")&amp;" HK Equity","PX_LAST",$C126,$C126),"run on terminal")</f>
        <v/>
      </c>
      <c r="G126" s="10">
        <f>IF(NOT(ISNUMBER($F126)),"run on terminal",IF(ABS($F126/$E126-1)&lt;0.02,"MATCH","CHECK: BBG "&amp;TEXT($F126,"0.000")))</f>
        <v/>
      </c>
      <c r="H126" s="179" t="inlineStr">
        <is>
          <t>2024-12-06 x3 (Bloomberg basis x3)</t>
        </is>
      </c>
    </row>
    <row r="127">
      <c r="A127" s="174" t="inlineStr">
        <is>
          <t>2477</t>
        </is>
      </c>
      <c r="B127" s="17" t="inlineStr">
        <is>
          <t>WELLCELL HOLD</t>
        </is>
      </c>
      <c r="C127" s="181" t="inlineStr">
        <is>
          <t>2024-01-12</t>
        </is>
      </c>
      <c r="D127" s="182" t="n">
        <v>2.64</v>
      </c>
      <c r="E127" s="50">
        <f>IFERROR($D127/8.0,"")</f>
        <v/>
      </c>
      <c r="F127" s="50">
        <f>IFERROR(BDH(TEXT(N($A127),"0")&amp;" HK Equity","PX_LAST",$C127,$C127),"run on terminal")</f>
        <v/>
      </c>
      <c r="G127" s="10">
        <f>IF(NOT(ISNUMBER($F127)),"run on terminal",IF(ABS($F127/$E127-1)&lt;0.02,"MATCH","CHECK: BBG "&amp;TEXT($F127,"0.000")))</f>
        <v/>
      </c>
      <c r="H127" s="179" t="inlineStr">
        <is>
          <t>2025-03-31 x2; 2026-04-21 x4 (Bloomberg basis x8)</t>
        </is>
      </c>
    </row>
    <row r="128">
      <c r="A128" s="174" t="inlineStr">
        <is>
          <t>2490</t>
        </is>
      </c>
      <c r="B128" s="17" t="inlineStr">
        <is>
          <t>LC LOGISTICS</t>
        </is>
      </c>
      <c r="C128" s="181" t="inlineStr">
        <is>
          <t>2023-09-25</t>
        </is>
      </c>
      <c r="D128" s="182" t="n">
        <v>5.1</v>
      </c>
      <c r="E128" s="50">
        <f>IFERROR($D128/2.0,"")</f>
        <v/>
      </c>
      <c r="F128" s="50">
        <f>IFERROR(BDH(TEXT(N($A128),"0")&amp;" HK Equity","PX_LAST",$C128,$C128),"run on terminal")</f>
        <v/>
      </c>
      <c r="G128" s="10">
        <f>IF(NOT(ISNUMBER($F128)),"run on terminal",IF(ABS($F128/$E128-1)&lt;0.02,"MATCH","CHECK: BBG "&amp;TEXT($F128,"0.000")))</f>
        <v/>
      </c>
      <c r="H128" s="179" t="inlineStr">
        <is>
          <t>2025-07-28 x2 (Bloomberg basis x2)</t>
        </is>
      </c>
    </row>
    <row r="129">
      <c r="A129" s="174" t="inlineStr">
        <is>
          <t>2525</t>
        </is>
      </c>
      <c r="B129" s="17" t="inlineStr">
        <is>
          <t>HESAI-W</t>
        </is>
      </c>
      <c r="C129" s="181" t="inlineStr">
        <is>
          <t>2025-09-16</t>
        </is>
      </c>
      <c r="D129" s="182" t="n">
        <v>233.995</v>
      </c>
      <c r="E129" s="50">
        <f>IFERROR($D129/8.0,"")</f>
        <v/>
      </c>
      <c r="F129" s="50">
        <f>IFERROR(BDH(TEXT(N($A129),"0")&amp;" HK Equity","PX_LAST",$C129,$C129),"run on terminal")</f>
        <v/>
      </c>
      <c r="G129" s="10">
        <f>IF(NOT(ISNUMBER($F129)),"run on terminal",IF(ABS($F129/$E129-1)&lt;0.02,"MATCH","CHECK: BBG "&amp;TEXT($F129,"0.000")))</f>
        <v/>
      </c>
      <c r="H129" s="179" t="inlineStr">
        <is>
          <t>2026-07-10 x8 (Bloomberg basis x8)</t>
        </is>
      </c>
    </row>
    <row r="130">
      <c r="A130" s="174" t="inlineStr">
        <is>
          <t>2635</t>
        </is>
      </c>
      <c r="B130" s="17" t="inlineStr">
        <is>
          <t>NUOBIKAN</t>
        </is>
      </c>
      <c r="C130" s="181" t="inlineStr">
        <is>
          <t>2025-12-23</t>
        </is>
      </c>
      <c r="D130" s="182" t="n">
        <v>371</v>
      </c>
      <c r="E130" s="50">
        <f>IFERROR($D130/10.0,"")</f>
        <v/>
      </c>
      <c r="F130" s="50">
        <f>IFERROR(BDH(TEXT(N($A130),"0")&amp;" HK Equity","PX_LAST",$C130,$C130),"run on terminal")</f>
        <v/>
      </c>
      <c r="G130" s="10">
        <f>IF(NOT(ISNUMBER($F130)),"run on terminal",IF(ABS($F130/$E130-1)&lt;0.02,"MATCH","CHECK: BBG "&amp;TEXT($F130,"0.000")))</f>
        <v/>
      </c>
      <c r="H130" s="179" t="inlineStr">
        <is>
          <t>2026-03-11 x10 (Bloomberg basis x10)</t>
        </is>
      </c>
    </row>
    <row r="131">
      <c r="A131" s="174" t="inlineStr">
        <is>
          <t>2650</t>
        </is>
      </c>
      <c r="B131" s="17" t="inlineStr">
        <is>
          <t>ZHIDA TECH</t>
        </is>
      </c>
      <c r="C131" s="181" t="inlineStr">
        <is>
          <t>2025-10-10</t>
        </is>
      </c>
      <c r="D131" s="182" t="n">
        <v>195.5</v>
      </c>
      <c r="E131" s="50">
        <f>IFERROR($D131/5.0,"")</f>
        <v/>
      </c>
      <c r="F131" s="50">
        <f>IFERROR(BDH(TEXT(N($A131),"0")&amp;" HK Equity","PX_LAST",$C131,$C131),"run on terminal")</f>
        <v/>
      </c>
      <c r="G131" s="10">
        <f>IF(NOT(ISNUMBER($F131)),"run on terminal",IF(ABS($F131/$E131-1)&lt;0.02,"MATCH","CHECK: BBG "&amp;TEXT($F131,"0.000")))</f>
        <v/>
      </c>
      <c r="H131" s="179" t="inlineStr">
        <is>
          <t>2026-03-03 x5 (Bloomberg basis x5)</t>
        </is>
      </c>
    </row>
    <row r="132">
      <c r="A132" s="174" t="inlineStr">
        <is>
          <t>2651</t>
        </is>
      </c>
      <c r="B132" s="17" t="inlineStr">
        <is>
          <t>DAZHONG DENTAL</t>
        </is>
      </c>
      <c r="C132" s="181" t="inlineStr">
        <is>
          <t>2025-07-09</t>
        </is>
      </c>
      <c r="D132" s="182" t="n">
        <v>20.7</v>
      </c>
      <c r="E132" s="50">
        <f>IFERROR($D132/1.2,"")</f>
        <v/>
      </c>
      <c r="F132" s="50">
        <f>IFERROR(BDH(TEXT(N($A132),"0")&amp;" HK Equity","PX_LAST",$C132,$C132),"run on terminal")</f>
        <v/>
      </c>
      <c r="G132" s="10">
        <f>IF(NOT(ISNUMBER($F132)),"run on terminal",IF(ABS($F132/$E132-1)&lt;0.02,"MATCH","CHECK: BBG "&amp;TEXT($F132,"0.000")))</f>
        <v/>
      </c>
      <c r="H132" s="179" t="inlineStr">
        <is>
          <t>2026-09-18 x1.2 (Bloomberg basis x1.2)</t>
        </is>
      </c>
    </row>
    <row r="133">
      <c r="A133" s="174" t="inlineStr">
        <is>
          <t>2670</t>
        </is>
      </c>
      <c r="B133" s="17" t="inlineStr">
        <is>
          <t>YUNJI</t>
        </is>
      </c>
      <c r="C133" s="181" t="inlineStr">
        <is>
          <t>2025-10-16</t>
        </is>
      </c>
      <c r="D133" s="182" t="n">
        <v>120.504</v>
      </c>
      <c r="E133" s="50">
        <f>IFERROR($D133/10.0,"")</f>
        <v/>
      </c>
      <c r="F133" s="50">
        <f>IFERROR(BDH(TEXT(N($A133),"0")&amp;" HK Equity","PX_LAST",$C133,$C133),"run on terminal")</f>
        <v/>
      </c>
      <c r="G133" s="10">
        <f>IF(NOT(ISNUMBER($F133)),"run on terminal",IF(ABS($F133/$E133-1)&lt;0.02,"MATCH","CHECK: BBG "&amp;TEXT($F133,"0.000")))</f>
        <v/>
      </c>
      <c r="H133" s="179" t="inlineStr">
        <is>
          <t>2026-09-23 x10 (Bloomberg basis x10)</t>
        </is>
      </c>
    </row>
    <row r="134">
      <c r="A134" s="174" t="inlineStr">
        <is>
          <t>2691</t>
        </is>
      </c>
      <c r="B134" s="17" t="inlineStr">
        <is>
          <t>NANHUA FUTURES</t>
        </is>
      </c>
      <c r="C134" s="181" t="inlineStr">
        <is>
          <t>2025-12-22</t>
        </is>
      </c>
      <c r="D134" s="182" t="n">
        <v>9.1</v>
      </c>
      <c r="E134" s="50">
        <f>IFERROR($D134/1.45,"")</f>
        <v/>
      </c>
      <c r="F134" s="50">
        <f>IFERROR(BDH(TEXT(N($A134),"0")&amp;" HK Equity","PX_LAST",$C134,$C134),"run on terminal")</f>
        <v/>
      </c>
      <c r="G134" s="10">
        <f>IF(NOT(ISNUMBER($F134)),"run on terminal",IF(ABS($F134/$E134-1)&lt;0.02,"MATCH","CHECK: BBG "&amp;TEXT($F134,"0.000")))</f>
        <v/>
      </c>
      <c r="H134" s="179" t="inlineStr">
        <is>
          <t>2026-06-17 x1.45 (Bloomberg basis x1.45)</t>
        </is>
      </c>
    </row>
    <row r="135">
      <c r="A135" s="174" t="inlineStr">
        <is>
          <t>2768</t>
        </is>
      </c>
      <c r="B135" s="17" t="inlineStr">
        <is>
          <t>GON TECHNOLOGY</t>
        </is>
      </c>
      <c r="C135" s="181" t="inlineStr">
        <is>
          <t>2026-02-04</t>
        </is>
      </c>
      <c r="D135" s="182" t="n">
        <v>40.162</v>
      </c>
      <c r="E135" s="50">
        <f>IFERROR($D135/1.48,"")</f>
        <v/>
      </c>
      <c r="F135" s="50">
        <f>IFERROR(BDH(TEXT(N($A135),"0")&amp;" HK Equity","PX_LAST",$C135,$C135),"run on terminal")</f>
        <v/>
      </c>
      <c r="G135" s="10">
        <f>IF(NOT(ISNUMBER($F135)),"run on terminal",IF(ABS($F135/$E135-1)&lt;0.02,"MATCH","CHECK: BBG "&amp;TEXT($F135,"0.000")))</f>
        <v/>
      </c>
      <c r="H135" s="179" t="inlineStr">
        <is>
          <t>2026-06-17 x1.48 (Bloomberg basis x1.48)</t>
        </is>
      </c>
    </row>
    <row r="136">
      <c r="A136" s="174" t="inlineStr">
        <is>
          <t>3296</t>
        </is>
      </c>
      <c r="B136" s="17" t="inlineStr">
        <is>
          <t>HUAQIN</t>
        </is>
      </c>
      <c r="C136" s="181" t="inlineStr">
        <is>
          <t>2026-04-23</t>
        </is>
      </c>
      <c r="D136" s="182" t="n">
        <v>88.003</v>
      </c>
      <c r="E136" s="50">
        <f>IFERROR($D136/1.4,"")</f>
        <v/>
      </c>
      <c r="F136" s="50">
        <f>IFERROR(BDH(TEXT(N($A136),"0")&amp;" HK Equity","PX_LAST",$C136,$C136),"run on terminal")</f>
        <v/>
      </c>
      <c r="G136" s="10">
        <f>IF(NOT(ISNUMBER($F136)),"run on terminal",IF(ABS($F136/$E136-1)&lt;0.02,"MATCH","CHECK: BBG "&amp;TEXT($F136,"0.000")))</f>
        <v/>
      </c>
      <c r="H136" s="179" t="inlineStr">
        <is>
          <t>2026-05-22 x1.4 (Bloomberg basis x1.4)</t>
        </is>
      </c>
    </row>
    <row r="137">
      <c r="A137" s="174" t="inlineStr">
        <is>
          <t>3881</t>
        </is>
      </c>
      <c r="B137" s="17" t="inlineStr">
        <is>
          <t>CIDI</t>
        </is>
      </c>
      <c r="C137" s="181" t="inlineStr">
        <is>
          <t>2025-12-19</t>
        </is>
      </c>
      <c r="D137" s="182" t="n">
        <v>226.995</v>
      </c>
      <c r="E137" s="50">
        <f>IFERROR($D137/10.0,"")</f>
        <v/>
      </c>
      <c r="F137" s="50">
        <f>IFERROR(BDH(TEXT(N($A137),"0")&amp;" HK Equity","PX_LAST",$C137,$C137),"run on terminal")</f>
        <v/>
      </c>
      <c r="G137" s="10">
        <f>IF(NOT(ISNUMBER($F137)),"run on terminal",IF(ABS($F137/$E137-1)&lt;0.02,"MATCH","CHECK: BBG "&amp;TEXT($F137,"0.000")))</f>
        <v/>
      </c>
      <c r="H137" s="179" t="inlineStr">
        <is>
          <t>2026-03-02 x10 (Bloomberg basis x10)</t>
        </is>
      </c>
    </row>
    <row r="138">
      <c r="A138" s="174" t="inlineStr">
        <is>
          <t>6127</t>
        </is>
      </c>
      <c r="B138" s="17" t="inlineStr">
        <is>
          <t>JOINN</t>
        </is>
      </c>
      <c r="C138" s="181" t="inlineStr">
        <is>
          <t>2021-02-26</t>
        </is>
      </c>
      <c r="D138" s="182" t="n">
        <v>137.999</v>
      </c>
      <c r="E138" s="50">
        <f>IFERROR($D138/2.7439999999999993,"")</f>
        <v/>
      </c>
      <c r="F138" s="50">
        <f>IFERROR(BDH(TEXT(N($A138),"0")&amp;" HK Equity","PX_LAST",$C138,$C138),"run on terminal")</f>
        <v/>
      </c>
      <c r="G138" s="10">
        <f>IF(NOT(ISNUMBER($F138)),"run on terminal",IF(ABS($F138/$E138-1)&lt;0.02,"MATCH","CHECK: BBG "&amp;TEXT($F138,"0.000")))</f>
        <v/>
      </c>
      <c r="H138" s="179" t="inlineStr">
        <is>
          <t>2021-06-23 x1.4; 2022-07-28 x1.4; 2023-06-20 x1.4 (Bloomberg basis x2.744)</t>
        </is>
      </c>
    </row>
    <row r="139">
      <c r="A139" s="174" t="inlineStr">
        <is>
          <t>6610</t>
        </is>
      </c>
      <c r="B139" s="17" t="inlineStr">
        <is>
          <t>FLOWING CLOUD</t>
        </is>
      </c>
      <c r="C139" s="181" t="inlineStr">
        <is>
          <t>2022-10-18</t>
        </is>
      </c>
      <c r="D139" s="182" t="n">
        <v>2.12</v>
      </c>
      <c r="E139" s="50">
        <f>IFERROR($D139/0.05,"")</f>
        <v/>
      </c>
      <c r="F139" s="50">
        <f>IFERROR(BDH(TEXT(N($A139),"0")&amp;" HK Equity","PX_LAST",$C139,$C139),"run on terminal")</f>
        <v/>
      </c>
      <c r="G139" s="10">
        <f>IF(NOT(ISNUMBER($F139)),"run on terminal",IF(ABS($F139/$E139-1)&lt;0.02,"MATCH","CHECK: BBG "&amp;TEXT($F139,"0.000")))</f>
        <v/>
      </c>
      <c r="H139" s="179" t="inlineStr">
        <is>
          <t>2025-12-05 x0.05 (Bloomberg basis x0.05)</t>
        </is>
      </c>
    </row>
    <row r="140">
      <c r="A140" s="174" t="inlineStr">
        <is>
          <t>6680</t>
        </is>
      </c>
      <c r="B140" s="17" t="inlineStr">
        <is>
          <t>JLMAG</t>
        </is>
      </c>
      <c r="C140" s="181" t="inlineStr">
        <is>
          <t>2022-01-14</t>
        </is>
      </c>
      <c r="D140" s="182" t="n">
        <v>28.199</v>
      </c>
      <c r="E140" s="50">
        <f>IFERROR($D140/1.6,"")</f>
        <v/>
      </c>
      <c r="F140" s="50">
        <f>IFERROR(BDH(TEXT(N($A140),"0")&amp;" HK Equity","PX_LAST",$C140,$C140),"run on terminal")</f>
        <v/>
      </c>
      <c r="G140" s="10">
        <f>IF(NOT(ISNUMBER($F140)),"run on terminal",IF(ABS($F140/$E140-1)&lt;0.02,"MATCH","CHECK: BBG "&amp;TEXT($F140,"0.000")))</f>
        <v/>
      </c>
      <c r="H140" s="179" t="inlineStr">
        <is>
          <t>2023-06-26 x1.6 (Bloomberg basis x1.6)</t>
        </is>
      </c>
    </row>
    <row r="141">
      <c r="A141" s="174" t="inlineStr">
        <is>
          <t>6686</t>
        </is>
      </c>
      <c r="B141" s="17" t="inlineStr">
        <is>
          <t>NOAH HOLDINGS-S</t>
        </is>
      </c>
      <c r="C141" s="181" t="inlineStr">
        <is>
          <t>2022-07-13</t>
        </is>
      </c>
      <c r="D141" s="182" t="n">
        <v>279.006</v>
      </c>
      <c r="E141" s="50">
        <f>IFERROR($D141/10.0,"")</f>
        <v/>
      </c>
      <c r="F141" s="50">
        <f>IFERROR(BDH(TEXT(N($A141),"0")&amp;" HK Equity","PX_LAST",$C141,$C141),"run on terminal")</f>
        <v/>
      </c>
      <c r="G141" s="10">
        <f>IF(NOT(ISNUMBER($F141)),"run on terminal",IF(ABS($F141/$E141-1)&lt;0.02,"MATCH","CHECK: BBG "&amp;TEXT($F141,"0.000")))</f>
        <v/>
      </c>
      <c r="H141" s="179" t="inlineStr">
        <is>
          <t>2023-10-30 x10 (Bloomberg basis x10)</t>
        </is>
      </c>
    </row>
    <row r="142">
      <c r="A142" s="174" t="inlineStr">
        <is>
          <t>6696</t>
        </is>
      </c>
      <c r="B142" s="17" t="inlineStr">
        <is>
          <t>MANY IDEA CLOUD</t>
        </is>
      </c>
      <c r="C142" s="181" t="inlineStr">
        <is>
          <t>2022-11-09</t>
        </is>
      </c>
      <c r="D142" s="182" t="n">
        <v>2</v>
      </c>
      <c r="E142" s="50">
        <f>IFERROR($D142/0.06211222837500001,"")</f>
        <v/>
      </c>
      <c r="F142" s="50">
        <f>IFERROR(BDH(TEXT(N($A142),"0")&amp;" HK Equity","PX_LAST",$C142,$C142),"run on terminal")</f>
        <v/>
      </c>
      <c r="G142" s="10">
        <f>IF(NOT(ISNUMBER($F142)),"run on terminal",IF(ABS($F142/$E142-1)&lt;0.02,"MATCH","CHECK: BBG "&amp;TEXT($F142,"0.000")))</f>
        <v/>
      </c>
      <c r="H142" s="179" t="inlineStr">
        <is>
          <t>2025-02-12 x0.05; 2024-03-12 open offer 1-for-2 @ HK$0.15 (BBG-only x1.13235); 2025-11-26 rights 6-for-1 @ HK$0.4753 (post-consolidation) (BBG-only x1.09705) (Bloomberg basis x0.0621122)</t>
        </is>
      </c>
    </row>
    <row r="143">
      <c r="A143" s="174" t="inlineStr">
        <is>
          <t>6821</t>
        </is>
      </c>
      <c r="B143" s="17" t="inlineStr">
        <is>
          <t>ASYMCHEM</t>
        </is>
      </c>
      <c r="C143" s="181" t="inlineStr">
        <is>
          <t>2021-12-10</t>
        </is>
      </c>
      <c r="D143" s="182" t="n">
        <v>369.997</v>
      </c>
      <c r="E143" s="50">
        <f>IFERROR($D143/1.4,"")</f>
        <v/>
      </c>
      <c r="F143" s="50">
        <f>IFERROR(BDH(TEXT(N($A143),"0")&amp;" HK Equity","PX_LAST",$C143,$C143),"run on terminal")</f>
        <v/>
      </c>
      <c r="G143" s="10">
        <f>IF(NOT(ISNUMBER($F143)),"run on terminal",IF(ABS($F143/$E143-1)&lt;0.02,"MATCH","CHECK: BBG "&amp;TEXT($F143,"0.000")))</f>
        <v/>
      </c>
      <c r="H143" s="179" t="inlineStr">
        <is>
          <t>2022-07-11 x1.4 (Bloomberg basis x1.4)</t>
        </is>
      </c>
    </row>
    <row r="144">
      <c r="A144" s="174" t="inlineStr">
        <is>
          <t>6911</t>
        </is>
      </c>
      <c r="B144" s="17" t="inlineStr">
        <is>
          <t>LANCANG TEA</t>
        </is>
      </c>
      <c r="C144" s="181" t="inlineStr">
        <is>
          <t>2023-12-22</t>
        </is>
      </c>
      <c r="D144" s="182" t="n">
        <v>8.699999999999999</v>
      </c>
      <c r="E144" s="50">
        <f>IFERROR($D144/1.5,"")</f>
        <v/>
      </c>
      <c r="F144" s="50">
        <f>IFERROR(BDH(TEXT(N($A144),"0")&amp;" HK Equity","PX_LAST",$C144,$C144),"run on terminal")</f>
        <v/>
      </c>
      <c r="G144" s="10">
        <f>IF(NOT(ISNUMBER($F144)),"run on terminal",IF(ABS($F144/$E144-1)&lt;0.02,"MATCH","CHECK: BBG "&amp;TEXT($F144,"0.000")))</f>
        <v/>
      </c>
      <c r="H144" s="179" t="inlineStr">
        <is>
          <t>2024-06-11 x1.5 (Bloomberg basis x1.5)</t>
        </is>
      </c>
    </row>
    <row r="145">
      <c r="A145" s="174" t="inlineStr">
        <is>
          <t>9903</t>
        </is>
      </c>
      <c r="B145" s="17" t="inlineStr">
        <is>
          <t>ILUVATAR COREX</t>
        </is>
      </c>
      <c r="C145" s="181" t="inlineStr">
        <is>
          <t>2026-01-08</t>
        </is>
      </c>
      <c r="D145" s="182" t="n">
        <v>156.804</v>
      </c>
      <c r="E145" s="50">
        <f>IFERROR($D145/3.0,"")</f>
        <v/>
      </c>
      <c r="F145" s="50">
        <f>IFERROR(BDH(TEXT(N($A145),"0")&amp;" HK Equity","PX_LAST",$C145,$C145),"run on terminal")</f>
        <v/>
      </c>
      <c r="G145" s="10">
        <f>IF(NOT(ISNUMBER($F145)),"run on terminal",IF(ABS($F145/$E145-1)&lt;0.02,"MATCH","CHECK: BBG "&amp;TEXT($F145,"0.000")))</f>
        <v/>
      </c>
      <c r="H145" s="179" t="inlineStr">
        <is>
          <t>2026-09-15 x3 (Bloomberg basis x3)</t>
        </is>
      </c>
    </row>
    <row r="146">
      <c r="A146" s="174" t="inlineStr">
        <is>
          <t>9980</t>
        </is>
      </c>
      <c r="B146" s="17" t="inlineStr">
        <is>
          <t>EASTROC</t>
        </is>
      </c>
      <c r="C146" s="181" t="inlineStr">
        <is>
          <t>2026-02-03</t>
        </is>
      </c>
      <c r="D146" s="182" t="n">
        <v>251.794</v>
      </c>
      <c r="E146" s="50">
        <f>IFERROR($D146/1.3,"")</f>
        <v/>
      </c>
      <c r="F146" s="50">
        <f>IFERROR(BDH(TEXT(N($A146),"0")&amp;" HK Equity","PX_LAST",$C146,$C146),"run on terminal")</f>
        <v/>
      </c>
      <c r="G146" s="10">
        <f>IF(NOT(ISNUMBER($F146)),"run on terminal",IF(ABS($F146/$E146-1)&lt;0.02,"MATCH","CHECK: BBG "&amp;TEXT($F146,"0.000")))</f>
        <v/>
      </c>
      <c r="H146" s="179" t="inlineStr">
        <is>
          <t>2026-05-05 x1.3 (Bloomberg basis x1.3)</t>
        </is>
      </c>
    </row>
    <row r="147"/>
    <row r="148">
      <c r="A148" s="169" t="inlineStr">
        <is>
          <t>D. DEAL SIZE (16 deals whose stated gross was below net proceeds)</t>
        </is>
      </c>
    </row>
    <row r="149">
      <c r="A149" s="12" t="inlineStr">
        <is>
          <t>Code</t>
        </is>
      </c>
      <c r="B149" s="12" t="inlineStr">
        <is>
          <t>Name</t>
        </is>
      </c>
      <c r="C149" s="12" t="inlineStr">
        <is>
          <t>Our deal size (HK$m)</t>
        </is>
      </c>
      <c r="D149" s="12" t="inlineStr">
        <is>
          <t>Basis</t>
        </is>
      </c>
      <c r="E149" s="12" t="inlineStr"/>
      <c r="F149" s="12" t="inlineStr">
        <is>
          <t>BBG offering size</t>
        </is>
      </c>
      <c r="G149" s="12" t="inlineStr">
        <is>
          <t>VERDICT</t>
        </is>
      </c>
      <c r="H149" s="12" t="inlineStr">
        <is>
          <t>What we relied on</t>
        </is>
      </c>
    </row>
    <row r="150">
      <c r="A150" s="174" t="inlineStr">
        <is>
          <t>2209</t>
        </is>
      </c>
      <c r="B150" s="17" t="inlineStr">
        <is>
          <t>YESASIA HLDGS</t>
        </is>
      </c>
      <c r="C150" s="180" t="n">
        <v>91</v>
      </c>
      <c r="D150" s="179" t="inlineStr">
        <is>
          <t>net proceeds</t>
        </is>
      </c>
      <c r="F150" s="179" t="inlineStr">
        <is>
          <t>no BDP field; check CACS</t>
        </is>
      </c>
      <c r="G150" s="10" t="inlineStr">
        <is>
          <t>"check on CACS; rebuilt as shares x price or net proceeds"</t>
        </is>
      </c>
      <c r="H150" s="179" t="inlineStr">
        <is>
          <t>stated gross HK$4.5m rejected, below the net proceeds of HK$91.0m</t>
        </is>
      </c>
    </row>
    <row r="151">
      <c r="A151" s="174" t="inlineStr">
        <is>
          <t>2235</t>
        </is>
      </c>
      <c r="B151" s="17" t="inlineStr">
        <is>
          <t>MICROTECH MED-B</t>
        </is>
      </c>
      <c r="C151" s="180" t="n">
        <v>1937.6</v>
      </c>
      <c r="D151" s="179" t="inlineStr">
        <is>
          <t>gross (price x shares)</t>
        </is>
      </c>
      <c r="F151" s="179" t="inlineStr">
        <is>
          <t>no BDP field; check CACS</t>
        </is>
      </c>
      <c r="G151" s="10" t="inlineStr">
        <is>
          <t>"check on CACS; rebuilt as shares x price or net proceeds"</t>
        </is>
      </c>
      <c r="H151" s="179" t="inlineStr">
        <is>
          <t>stated gross HK$75.7m rejected, below the net proceeds of HK$1,815.1m</t>
        </is>
      </c>
    </row>
    <row r="152">
      <c r="A152" s="174" t="inlineStr">
        <is>
          <t>2185</t>
        </is>
      </c>
      <c r="B152" s="17" t="inlineStr">
        <is>
          <t>BIOHEART-B</t>
        </is>
      </c>
      <c r="C152" s="180" t="n">
        <v>508.7</v>
      </c>
      <c r="D152" s="179" t="inlineStr">
        <is>
          <t>gross (price x shares)</t>
        </is>
      </c>
      <c r="F152" s="179" t="inlineStr">
        <is>
          <t>no BDP field; check CACS</t>
        </is>
      </c>
      <c r="G152" s="10" t="inlineStr">
        <is>
          <t>"check on CACS; rebuilt as shares x price or net proceeds"</t>
        </is>
      </c>
      <c r="H152" s="179" t="inlineStr">
        <is>
          <t>stated gross HK$26.5m rejected, below the net proceeds of HK$441.7m</t>
        </is>
      </c>
    </row>
    <row r="153">
      <c r="A153" s="174" t="inlineStr">
        <is>
          <t>2157</t>
        </is>
      </c>
      <c r="B153" s="17" t="inlineStr">
        <is>
          <t>LEPU BIO-B</t>
        </is>
      </c>
      <c r="C153" s="180" t="n">
        <v>904.6</v>
      </c>
      <c r="D153" s="179" t="inlineStr">
        <is>
          <t>gross (price x shares)</t>
        </is>
      </c>
      <c r="F153" s="179" t="inlineStr">
        <is>
          <t>no BDP field; check CACS</t>
        </is>
      </c>
      <c r="G153" s="10" t="inlineStr">
        <is>
          <t>"check on CACS; rebuilt as shares x price or net proceeds"</t>
        </is>
      </c>
      <c r="H153" s="179" t="inlineStr">
        <is>
          <t>stated gross HK$36.2m rejected, below the net proceeds of HK$804.2m</t>
        </is>
      </c>
    </row>
    <row r="154">
      <c r="A154" s="174" t="inlineStr">
        <is>
          <t>2179</t>
        </is>
      </c>
      <c r="B154" s="17" t="inlineStr">
        <is>
          <t>RECBIO-B</t>
        </is>
      </c>
      <c r="C154" s="180" t="n">
        <v>672.4</v>
      </c>
      <c r="D154" s="179" t="inlineStr">
        <is>
          <t>net proceeds</t>
        </is>
      </c>
      <c r="F154" s="179" t="inlineStr">
        <is>
          <t>no BDP field; check CACS</t>
        </is>
      </c>
      <c r="G154" s="10" t="inlineStr">
        <is>
          <t>"check on CACS; rebuilt as shares x price or net proceeds"</t>
        </is>
      </c>
      <c r="H154" s="179" t="inlineStr">
        <is>
          <t>stated gross HK$32.5m rejected, below the net proceeds of HK$672.4m</t>
        </is>
      </c>
    </row>
    <row r="155">
      <c r="A155" s="174" t="inlineStr">
        <is>
          <t>2315</t>
        </is>
      </c>
      <c r="B155" s="17" t="inlineStr">
        <is>
          <t>BIOCYTOGEN-B</t>
        </is>
      </c>
      <c r="C155" s="180" t="n">
        <v>548.7</v>
      </c>
      <c r="D155" s="179" t="inlineStr">
        <is>
          <t>gross (price x shares)</t>
        </is>
      </c>
      <c r="F155" s="179" t="inlineStr">
        <is>
          <t>no BDP field; check CACS</t>
        </is>
      </c>
      <c r="G155" s="10" t="inlineStr">
        <is>
          <t>"check on CACS; rebuilt as shares x price or net proceeds"</t>
        </is>
      </c>
      <c r="H155" s="179" t="inlineStr">
        <is>
          <t>stated gross HK$16.9m rejected, below the net proceeds of HK$471.1m</t>
        </is>
      </c>
    </row>
    <row r="156">
      <c r="A156" s="174" t="inlineStr">
        <is>
          <t>6979</t>
        </is>
      </c>
      <c r="B156" s="17" t="inlineStr">
        <is>
          <t>ZJLD</t>
        </is>
      </c>
      <c r="C156" s="180" t="n">
        <v>5309.4</v>
      </c>
      <c r="D156" s="179" t="inlineStr">
        <is>
          <t>gross (price x shares)</t>
        </is>
      </c>
      <c r="F156" s="179" t="inlineStr">
        <is>
          <t>no BDP field; check CACS</t>
        </is>
      </c>
      <c r="G156" s="10" t="inlineStr">
        <is>
          <t>"check on CACS; rebuilt as shares x price or net proceeds"</t>
        </is>
      </c>
      <c r="H156" s="179" t="inlineStr">
        <is>
          <t>stated gross HK$795.0m rejected, below the net proceeds of HK$4,990.0m</t>
        </is>
      </c>
    </row>
    <row r="157">
      <c r="A157" s="174" t="inlineStr">
        <is>
          <t>2415</t>
        </is>
      </c>
      <c r="B157" s="17" t="inlineStr">
        <is>
          <t>MEDSCI</t>
        </is>
      </c>
      <c r="C157" s="180" t="n">
        <v>607.8</v>
      </c>
      <c r="D157" s="179" t="inlineStr">
        <is>
          <t>gross (price x shares)</t>
        </is>
      </c>
      <c r="F157" s="179" t="inlineStr">
        <is>
          <t>no BDP field; check CACS</t>
        </is>
      </c>
      <c r="G157" s="10" t="inlineStr">
        <is>
          <t>"check on CACS; rebuilt as shares x price or net proceeds"</t>
        </is>
      </c>
      <c r="H157" s="179" t="inlineStr">
        <is>
          <t>stated gross HK$18.2m rejected, below the net proceeds of HK$538.2m</t>
        </is>
      </c>
    </row>
    <row r="158">
      <c r="A158" s="174" t="inlineStr">
        <is>
          <t>2487</t>
        </is>
      </c>
      <c r="B158" s="17" t="inlineStr">
        <is>
          <t>CUTIA-B</t>
        </is>
      </c>
      <c r="C158" s="180" t="n">
        <v>465</v>
      </c>
      <c r="D158" s="179" t="inlineStr">
        <is>
          <t>gross (price x shares)</t>
        </is>
      </c>
      <c r="F158" s="179" t="inlineStr">
        <is>
          <t>no BDP field; check CACS</t>
        </is>
      </c>
      <c r="G158" s="10" t="inlineStr">
        <is>
          <t>"check on CACS; rebuilt as shares x price or net proceeds"</t>
        </is>
      </c>
      <c r="H158" s="179" t="inlineStr">
        <is>
          <t>stated gross HK$23.9m rejected, below the net proceeds of HK$392.7m</t>
        </is>
      </c>
    </row>
    <row r="159">
      <c r="A159" s="174" t="inlineStr">
        <is>
          <t>6990</t>
        </is>
      </c>
      <c r="B159" s="17" t="inlineStr">
        <is>
          <t>SKB BIO-B</t>
        </is>
      </c>
      <c r="C159" s="180" t="n">
        <v>1360.2</v>
      </c>
      <c r="D159" s="179" t="inlineStr">
        <is>
          <t>gross (price x shares)</t>
        </is>
      </c>
      <c r="F159" s="179" t="inlineStr">
        <is>
          <t>no BDP field; check CACS</t>
        </is>
      </c>
      <c r="G159" s="10" t="inlineStr">
        <is>
          <t>"check on CACS; rebuilt as shares x price or net proceeds"</t>
        </is>
      </c>
      <c r="H159" s="179" t="inlineStr">
        <is>
          <t>stated gross HK$54.5m rejected, below the net proceeds of HK$1,258.9m</t>
        </is>
      </c>
    </row>
    <row r="160">
      <c r="A160" s="174" t="inlineStr">
        <is>
          <t>2490</t>
        </is>
      </c>
      <c r="B160" s="17" t="inlineStr">
        <is>
          <t>LC LOGISTICS</t>
        </is>
      </c>
      <c r="C160" s="180" t="n">
        <v>145.6</v>
      </c>
      <c r="D160" s="179" t="inlineStr">
        <is>
          <t>gross (price x shares)</t>
        </is>
      </c>
      <c r="F160" s="179" t="inlineStr">
        <is>
          <t>no BDP field; check CACS</t>
        </is>
      </c>
      <c r="G160" s="10" t="inlineStr">
        <is>
          <t>"check on CACS; rebuilt as shares x price or net proceeds"</t>
        </is>
      </c>
      <c r="H160" s="179" t="inlineStr">
        <is>
          <t>stated gross HK$5.9m rejected, below the net proceeds of HK$83.5m</t>
        </is>
      </c>
    </row>
    <row r="161">
      <c r="A161" s="174" t="inlineStr">
        <is>
          <t>9686</t>
        </is>
      </c>
      <c r="B161" s="17" t="inlineStr">
        <is>
          <t>NEUSOFT XIKANG</t>
        </is>
      </c>
      <c r="C161" s="180" t="n">
        <v>636.9</v>
      </c>
      <c r="D161" s="179" t="inlineStr">
        <is>
          <t>gross (price x shares)</t>
        </is>
      </c>
      <c r="F161" s="179" t="inlineStr">
        <is>
          <t>no BDP field; check CACS</t>
        </is>
      </c>
      <c r="G161" s="10" t="inlineStr">
        <is>
          <t>"check on CACS; rebuilt as shares x price or net proceeds"</t>
        </is>
      </c>
      <c r="H161" s="179" t="inlineStr">
        <is>
          <t>stated gross HK$21.6m rejected, below the net proceeds of HK$554.5m</t>
        </is>
      </c>
    </row>
    <row r="162">
      <c r="A162" s="174" t="inlineStr">
        <is>
          <t>9890</t>
        </is>
      </c>
      <c r="B162" s="17" t="inlineStr">
        <is>
          <t>ZX INC</t>
        </is>
      </c>
      <c r="C162" s="180" t="n">
        <v>265.7</v>
      </c>
      <c r="D162" s="179" t="inlineStr">
        <is>
          <t>gross (price x shares)</t>
        </is>
      </c>
      <c r="F162" s="179" t="inlineStr">
        <is>
          <t>no BDP field; check CACS</t>
        </is>
      </c>
      <c r="G162" s="10" t="inlineStr">
        <is>
          <t>"check on CACS; rebuilt as shares x price or net proceeds"</t>
        </is>
      </c>
      <c r="H162" s="179" t="inlineStr">
        <is>
          <t>stated gross HK$29.5m rejected, below the net proceeds of HK$138.1m</t>
        </is>
      </c>
    </row>
    <row r="163">
      <c r="A163" s="174" t="inlineStr">
        <is>
          <t>2451</t>
        </is>
      </c>
      <c r="B163" s="17" t="inlineStr">
        <is>
          <t>LUYUAN GP HLDG</t>
        </is>
      </c>
      <c r="C163" s="180" t="n">
        <v>786.1</v>
      </c>
      <c r="D163" s="179" t="inlineStr">
        <is>
          <t>gross (price x shares)</t>
        </is>
      </c>
      <c r="F163" s="179" t="inlineStr">
        <is>
          <t>no BDP field; check CACS</t>
        </is>
      </c>
      <c r="G163" s="10" t="inlineStr">
        <is>
          <t>"check on CACS; rebuilt as shares x price or net proceeds"</t>
        </is>
      </c>
      <c r="H163" s="179" t="inlineStr">
        <is>
          <t>stated gross HK$31.5m rejected, below the net proceeds of HK$706.4m</t>
        </is>
      </c>
    </row>
    <row r="164">
      <c r="A164" s="174" t="inlineStr">
        <is>
          <t>2517</t>
        </is>
      </c>
      <c r="B164" s="17" t="inlineStr">
        <is>
          <t>GUOQUAN</t>
        </is>
      </c>
      <c r="C164" s="180" t="n">
        <v>411.4</v>
      </c>
      <c r="D164" s="179" t="inlineStr">
        <is>
          <t>gross (price x shares)</t>
        </is>
      </c>
      <c r="F164" s="179" t="inlineStr">
        <is>
          <t>no BDP field; check CACS</t>
        </is>
      </c>
      <c r="G164" s="10" t="inlineStr">
        <is>
          <t>"check on CACS; rebuilt as shares x price or net proceeds"</t>
        </is>
      </c>
      <c r="H164" s="179" t="inlineStr">
        <is>
          <t>stated gross HK$16.5m rejected, below the net proceeds of HK$356.5m</t>
        </is>
      </c>
    </row>
    <row r="165">
      <c r="A165" s="174" t="inlineStr">
        <is>
          <t>1111</t>
        </is>
      </c>
      <c r="B165" s="17" t="inlineStr">
        <is>
          <t>HUASHI GROUP</t>
        </is>
      </c>
      <c r="C165" s="180" t="n">
        <v>130</v>
      </c>
      <c r="D165" s="179" t="inlineStr">
        <is>
          <t>gross (price x shares)</t>
        </is>
      </c>
      <c r="F165" s="179" t="inlineStr">
        <is>
          <t>no BDP field; check CACS</t>
        </is>
      </c>
      <c r="G165" s="10" t="inlineStr">
        <is>
          <t>"check on CACS; rebuilt as shares x price or net proceeds"</t>
        </is>
      </c>
      <c r="H165" s="179"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519 deals with a listing-day price, 2021-2026. Hit-rate = share that closed above the offer. Check n before trusting a cell.</t>
        </is>
      </c>
    </row>
    <row r="3"/>
    <row r="4">
      <c r="A4" s="169"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71" t="n">
        <v>166</v>
      </c>
      <c r="C6" s="183" t="n">
        <v>0</v>
      </c>
      <c r="D6" s="177" t="n">
        <v>40</v>
      </c>
      <c r="E6" s="183" t="n">
        <v>-5.4</v>
      </c>
      <c r="F6" s="183" t="n">
        <v>3.1</v>
      </c>
    </row>
    <row r="7">
      <c r="A7" s="17" t="inlineStr">
        <is>
          <t>10-100x</t>
        </is>
      </c>
      <c r="B7" s="171" t="n">
        <v>127</v>
      </c>
      <c r="C7" s="183" t="n">
        <v>0.8</v>
      </c>
      <c r="D7" s="177" t="n">
        <v>53</v>
      </c>
      <c r="E7" s="183" t="n">
        <v>-12.1</v>
      </c>
      <c r="F7" s="183" t="n">
        <v>14.3</v>
      </c>
    </row>
    <row r="8">
      <c r="A8" s="17" t="inlineStr">
        <is>
          <t>100-1000x</t>
        </is>
      </c>
      <c r="B8" s="171" t="n">
        <v>120</v>
      </c>
      <c r="C8" s="183" t="n">
        <v>3.2</v>
      </c>
      <c r="D8" s="177" t="n">
        <v>58</v>
      </c>
      <c r="E8" s="183" t="n">
        <v>-8.6</v>
      </c>
      <c r="F8" s="183" t="n">
        <v>26.9</v>
      </c>
    </row>
    <row r="9">
      <c r="A9" s="17" t="inlineStr">
        <is>
          <t>&gt;=1000x</t>
        </is>
      </c>
      <c r="B9" s="171" t="n">
        <v>106</v>
      </c>
      <c r="C9" s="183" t="n">
        <v>76</v>
      </c>
      <c r="D9" s="177" t="n">
        <v>92</v>
      </c>
      <c r="E9" s="183" t="n">
        <v>21.3</v>
      </c>
      <c r="F9" s="183" t="n">
        <v>127.1</v>
      </c>
    </row>
    <row r="10"/>
    <row r="11">
      <c r="A11" s="169"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71" t="n">
        <v>3</v>
      </c>
      <c r="D13" s="183" t="n">
        <v>5.2</v>
      </c>
      <c r="E13" s="177" t="n">
        <v>67</v>
      </c>
      <c r="G13" s="2" t="inlineStr">
        <is>
          <t>AI application / agent software|10-100x</t>
        </is>
      </c>
    </row>
    <row r="14">
      <c r="A14" s="17" t="inlineStr">
        <is>
          <t>AI application / agent software</t>
        </is>
      </c>
      <c r="B14" s="17" t="inlineStr">
        <is>
          <t>100-1000x</t>
        </is>
      </c>
      <c r="C14" s="171" t="n">
        <v>2</v>
      </c>
      <c r="D14" s="183" t="n">
        <v>3.3</v>
      </c>
      <c r="E14" s="177" t="n">
        <v>50</v>
      </c>
      <c r="G14" s="2" t="inlineStr">
        <is>
          <t>AI application / agent software|100-1000x</t>
        </is>
      </c>
    </row>
    <row r="15">
      <c r="A15" s="17" t="inlineStr">
        <is>
          <t>AI application / agent software</t>
        </is>
      </c>
      <c r="B15" s="17" t="inlineStr">
        <is>
          <t>&lt;10x</t>
        </is>
      </c>
      <c r="C15" s="171" t="n">
        <v>2</v>
      </c>
      <c r="D15" s="183" t="n">
        <v>22.7</v>
      </c>
      <c r="E15" s="177" t="n">
        <v>100</v>
      </c>
      <c r="G15" s="2" t="inlineStr">
        <is>
          <t>AI application / agent software|&lt;10x</t>
        </is>
      </c>
    </row>
    <row r="16">
      <c r="A16" s="17" t="inlineStr">
        <is>
          <t>AI application / agent software</t>
        </is>
      </c>
      <c r="B16" s="17" t="inlineStr">
        <is>
          <t>&gt;=1000x</t>
        </is>
      </c>
      <c r="C16" s="171" t="n">
        <v>10</v>
      </c>
      <c r="D16" s="183" t="n">
        <v>150.3</v>
      </c>
      <c r="E16" s="177" t="n">
        <v>90</v>
      </c>
      <c r="G16" s="2" t="inlineStr">
        <is>
          <t>AI application / agent software|&gt;=1000x</t>
        </is>
      </c>
    </row>
    <row r="17">
      <c r="A17" s="17" t="inlineStr">
        <is>
          <t>AI chips &amp; semis</t>
        </is>
      </c>
      <c r="B17" s="17" t="inlineStr">
        <is>
          <t>10-100x</t>
        </is>
      </c>
      <c r="C17" s="171" t="n">
        <v>5</v>
      </c>
      <c r="D17" s="183" t="n">
        <v>2.8</v>
      </c>
      <c r="E17" s="177" t="n">
        <v>60</v>
      </c>
      <c r="G17" s="2" t="inlineStr">
        <is>
          <t>AI chips &amp; semis|10-100x</t>
        </is>
      </c>
    </row>
    <row r="18">
      <c r="A18" s="17" t="inlineStr">
        <is>
          <t>AI chips &amp; semis</t>
        </is>
      </c>
      <c r="B18" s="17" t="inlineStr">
        <is>
          <t>100-1000x</t>
        </is>
      </c>
      <c r="C18" s="171" t="n">
        <v>9</v>
      </c>
      <c r="D18" s="183" t="n">
        <v>8.4</v>
      </c>
      <c r="E18" s="177" t="n">
        <v>67</v>
      </c>
      <c r="G18" s="2" t="inlineStr">
        <is>
          <t>AI chips &amp; semis|100-1000x</t>
        </is>
      </c>
    </row>
    <row r="19">
      <c r="A19" s="17" t="inlineStr">
        <is>
          <t>AI chips &amp; semis</t>
        </is>
      </c>
      <c r="B19" s="17" t="inlineStr">
        <is>
          <t>&lt;10x</t>
        </is>
      </c>
      <c r="C19" s="171" t="n">
        <v>4</v>
      </c>
      <c r="D19" s="183" t="n">
        <v>-8.5</v>
      </c>
      <c r="E19" s="177" t="n">
        <v>50</v>
      </c>
      <c r="G19" s="2" t="inlineStr">
        <is>
          <t>AI chips &amp; semis|&lt;10x</t>
        </is>
      </c>
    </row>
    <row r="20">
      <c r="A20" s="17" t="inlineStr">
        <is>
          <t>AI chips &amp; semis</t>
        </is>
      </c>
      <c r="B20" s="17" t="inlineStr">
        <is>
          <t>&gt;=1000x</t>
        </is>
      </c>
      <c r="C20" s="171" t="n">
        <v>9</v>
      </c>
      <c r="D20" s="183" t="n">
        <v>75.8</v>
      </c>
      <c r="E20" s="177" t="n">
        <v>100</v>
      </c>
      <c r="G20" s="2" t="inlineStr">
        <is>
          <t>AI chips &amp; semis|&gt;=1000x</t>
        </is>
      </c>
    </row>
    <row r="21">
      <c r="A21" s="17" t="inlineStr">
        <is>
          <t>Apparel / luxury</t>
        </is>
      </c>
      <c r="B21" s="17" t="inlineStr">
        <is>
          <t>10-100x</t>
        </is>
      </c>
      <c r="C21" s="171" t="n">
        <v>1</v>
      </c>
      <c r="D21" s="183" t="n">
        <v>7.5</v>
      </c>
      <c r="E21" s="177" t="n">
        <v>100</v>
      </c>
      <c r="G21" s="2" t="inlineStr">
        <is>
          <t>Apparel / luxury|10-100x</t>
        </is>
      </c>
    </row>
    <row r="22">
      <c r="A22" s="17" t="inlineStr">
        <is>
          <t>Apparel / luxury</t>
        </is>
      </c>
      <c r="B22" s="17" t="inlineStr">
        <is>
          <t>100-1000x</t>
        </is>
      </c>
      <c r="C22" s="171" t="n">
        <v>2</v>
      </c>
      <c r="D22" s="183" t="n">
        <v>48.9</v>
      </c>
      <c r="E22" s="177" t="n">
        <v>100</v>
      </c>
      <c r="G22" s="2" t="inlineStr">
        <is>
          <t>Apparel / luxury|100-1000x</t>
        </is>
      </c>
    </row>
    <row r="23">
      <c r="A23" s="17" t="inlineStr">
        <is>
          <t>Apparel / luxury</t>
        </is>
      </c>
      <c r="B23" s="17" t="inlineStr">
        <is>
          <t>&lt;10x</t>
        </is>
      </c>
      <c r="C23" s="171" t="n">
        <v>2</v>
      </c>
      <c r="D23" s="183" t="n">
        <v>-0.1</v>
      </c>
      <c r="E23" s="177" t="n">
        <v>0</v>
      </c>
      <c r="G23" s="2" t="inlineStr">
        <is>
          <t>Apparel / luxury|&lt;10x</t>
        </is>
      </c>
    </row>
    <row r="24">
      <c r="A24" s="17" t="inlineStr">
        <is>
          <t>Apparel / luxury</t>
        </is>
      </c>
      <c r="B24" s="17" t="inlineStr">
        <is>
          <t>&gt;=1000x</t>
        </is>
      </c>
      <c r="C24" s="171" t="n">
        <v>1</v>
      </c>
      <c r="D24" s="183" t="n">
        <v>258.1</v>
      </c>
      <c r="E24" s="177" t="n">
        <v>100</v>
      </c>
      <c r="G24" s="2" t="inlineStr">
        <is>
          <t>Apparel / luxury|&gt;=1000x</t>
        </is>
      </c>
    </row>
    <row r="25">
      <c r="A25" s="17" t="inlineStr">
        <is>
          <t>Auto parts / supply chain</t>
        </is>
      </c>
      <c r="B25" s="17" t="inlineStr">
        <is>
          <t>10-100x</t>
        </is>
      </c>
      <c r="C25" s="171" t="n">
        <v>3</v>
      </c>
      <c r="D25" s="183" t="n">
        <v>-36.9</v>
      </c>
      <c r="E25" s="177" t="n">
        <v>33</v>
      </c>
      <c r="G25" s="2" t="inlineStr">
        <is>
          <t>Auto parts / supply chain|10-100x</t>
        </is>
      </c>
    </row>
    <row r="26">
      <c r="A26" s="17" t="inlineStr">
        <is>
          <t>Auto parts / supply chain</t>
        </is>
      </c>
      <c r="B26" s="17" t="inlineStr">
        <is>
          <t>100-1000x</t>
        </is>
      </c>
      <c r="C26" s="171" t="n">
        <v>3</v>
      </c>
      <c r="D26" s="183" t="n">
        <v>-0.1</v>
      </c>
      <c r="E26" s="177" t="n">
        <v>33</v>
      </c>
      <c r="G26" s="2" t="inlineStr">
        <is>
          <t>Auto parts / supply chain|100-1000x</t>
        </is>
      </c>
    </row>
    <row r="27">
      <c r="A27" s="17" t="inlineStr">
        <is>
          <t>Auto parts / supply chain</t>
        </is>
      </c>
      <c r="B27" s="17" t="inlineStr">
        <is>
          <t>&lt;10x</t>
        </is>
      </c>
      <c r="C27" s="171" t="n">
        <v>1</v>
      </c>
      <c r="D27" s="183" t="n">
        <v>2.1</v>
      </c>
      <c r="E27" s="177" t="n">
        <v>100</v>
      </c>
      <c r="G27" s="2" t="inlineStr">
        <is>
          <t>Auto parts / supply chain|&lt;10x</t>
        </is>
      </c>
    </row>
    <row r="28">
      <c r="A28" s="17" t="inlineStr">
        <is>
          <t>Auto parts / supply chain</t>
        </is>
      </c>
      <c r="B28" s="17" t="inlineStr">
        <is>
          <t>&gt;=1000x</t>
        </is>
      </c>
      <c r="C28" s="171" t="n">
        <v>2</v>
      </c>
      <c r="D28" s="183" t="n">
        <v>128.1</v>
      </c>
      <c r="E28" s="177" t="n">
        <v>100</v>
      </c>
      <c r="G28" s="2" t="inlineStr">
        <is>
          <t>Auto parts / supply chain|&gt;=1000x</t>
        </is>
      </c>
    </row>
    <row r="29">
      <c r="A29" s="17" t="inlineStr">
        <is>
          <t>Autos (NEV OEM)</t>
        </is>
      </c>
      <c r="B29" s="17" t="inlineStr">
        <is>
          <t>10-100x</t>
        </is>
      </c>
      <c r="C29" s="171" t="n">
        <v>2</v>
      </c>
      <c r="D29" s="183" t="n">
        <v>0.5</v>
      </c>
      <c r="E29" s="177" t="n">
        <v>50</v>
      </c>
      <c r="G29" s="2" t="inlineStr">
        <is>
          <t>Autos (NEV OEM)|10-100x</t>
        </is>
      </c>
    </row>
    <row r="30">
      <c r="A30" s="17" t="inlineStr">
        <is>
          <t>Autos (NEV OEM)</t>
        </is>
      </c>
      <c r="B30" s="17" t="inlineStr">
        <is>
          <t>100-1000x</t>
        </is>
      </c>
      <c r="C30" s="171" t="n">
        <v>2</v>
      </c>
      <c r="D30" s="183" t="n">
        <v>1.9</v>
      </c>
      <c r="E30" s="177" t="n">
        <v>50</v>
      </c>
      <c r="G30" s="2" t="inlineStr">
        <is>
          <t>Autos (NEV OEM)|100-1000x</t>
        </is>
      </c>
    </row>
    <row r="31">
      <c r="A31" s="17" t="inlineStr">
        <is>
          <t>Autos (NEV OEM)</t>
        </is>
      </c>
      <c r="B31" s="17" t="inlineStr">
        <is>
          <t>&lt;10x</t>
        </is>
      </c>
      <c r="C31" s="171" t="n">
        <v>2</v>
      </c>
      <c r="D31" s="183" t="n">
        <v>-17.2</v>
      </c>
      <c r="E31" s="177" t="n">
        <v>0</v>
      </c>
      <c r="G31" s="2" t="inlineStr">
        <is>
          <t>Autos (NEV OEM)|&lt;10x</t>
        </is>
      </c>
    </row>
    <row r="32">
      <c r="A32" s="17" t="inlineStr">
        <is>
          <t>Banks</t>
        </is>
      </c>
      <c r="B32" s="17" t="inlineStr">
        <is>
          <t>&lt;10x</t>
        </is>
      </c>
      <c r="C32" s="171" t="n">
        <v>2</v>
      </c>
      <c r="D32" s="183" t="n">
        <v>2.5</v>
      </c>
      <c r="E32" s="177" t="n">
        <v>100</v>
      </c>
      <c r="G32" s="2" t="inlineStr">
        <is>
          <t>Banks|&lt;10x</t>
        </is>
      </c>
    </row>
    <row r="33">
      <c r="A33" s="17" t="inlineStr">
        <is>
          <t>Batteries / energy storage</t>
        </is>
      </c>
      <c r="B33" s="17" t="inlineStr">
        <is>
          <t>10-100x</t>
        </is>
      </c>
      <c r="C33" s="171" t="n">
        <v>2</v>
      </c>
      <c r="D33" s="183" t="n">
        <v>9.9</v>
      </c>
      <c r="E33" s="177" t="n">
        <v>50</v>
      </c>
      <c r="G33" s="2" t="inlineStr">
        <is>
          <t>Batteries / energy storage|10-100x</t>
        </is>
      </c>
    </row>
    <row r="34">
      <c r="A34" s="17" t="inlineStr">
        <is>
          <t>Batteries / energy storage</t>
        </is>
      </c>
      <c r="B34" s="17" t="inlineStr">
        <is>
          <t>100-1000x</t>
        </is>
      </c>
      <c r="C34" s="171" t="n">
        <v>1</v>
      </c>
      <c r="D34" s="183" t="n">
        <v>16.4</v>
      </c>
      <c r="E34" s="177" t="n">
        <v>100</v>
      </c>
      <c r="G34" s="2" t="inlineStr">
        <is>
          <t>Batteries / energy storage|100-1000x</t>
        </is>
      </c>
    </row>
    <row r="35">
      <c r="A35" s="17" t="inlineStr">
        <is>
          <t>Batteries / energy storage</t>
        </is>
      </c>
      <c r="B35" s="17" t="inlineStr">
        <is>
          <t>&lt;10x</t>
        </is>
      </c>
      <c r="C35" s="171" t="n">
        <v>7</v>
      </c>
      <c r="D35" s="183" t="n">
        <v>0.1</v>
      </c>
      <c r="E35" s="177" t="n">
        <v>57</v>
      </c>
      <c r="G35" s="2" t="inlineStr">
        <is>
          <t>Batteries / energy storage|&lt;10x</t>
        </is>
      </c>
    </row>
    <row r="36">
      <c r="A36" s="17" t="inlineStr">
        <is>
          <t>Batteries / energy storage</t>
        </is>
      </c>
      <c r="B36" s="17" t="inlineStr">
        <is>
          <t>&gt;=1000x</t>
        </is>
      </c>
      <c r="C36" s="171" t="n">
        <v>3</v>
      </c>
      <c r="D36" s="183" t="n">
        <v>31.3</v>
      </c>
      <c r="E36" s="177" t="n">
        <v>100</v>
      </c>
      <c r="G36" s="2" t="inlineStr">
        <is>
          <t>Batteries / energy storage|&gt;=1000x</t>
        </is>
      </c>
    </row>
    <row r="37">
      <c r="A37" s="17" t="inlineStr">
        <is>
          <t>Beauty / personal care</t>
        </is>
      </c>
      <c r="B37" s="17" t="inlineStr">
        <is>
          <t>10-100x</t>
        </is>
      </c>
      <c r="C37" s="171" t="n">
        <v>2</v>
      </c>
      <c r="D37" s="183" t="n">
        <v>18.4</v>
      </c>
      <c r="E37" s="177" t="n">
        <v>50</v>
      </c>
      <c r="G37" s="2" t="inlineStr">
        <is>
          <t>Beauty / personal care|10-100x</t>
        </is>
      </c>
    </row>
    <row r="38">
      <c r="A38" s="17" t="inlineStr">
        <is>
          <t>Beauty / personal care</t>
        </is>
      </c>
      <c r="B38" s="17" t="inlineStr">
        <is>
          <t>100-1000x</t>
        </is>
      </c>
      <c r="C38" s="171" t="n">
        <v>2</v>
      </c>
      <c r="D38" s="183" t="n">
        <v>31.7</v>
      </c>
      <c r="E38" s="177" t="n">
        <v>50</v>
      </c>
      <c r="G38" s="2" t="inlineStr">
        <is>
          <t>Beauty / personal care|100-1000x</t>
        </is>
      </c>
    </row>
    <row r="39">
      <c r="A39" s="17" t="inlineStr">
        <is>
          <t>Beauty / personal care</t>
        </is>
      </c>
      <c r="B39" s="17" t="inlineStr">
        <is>
          <t>&lt;10x</t>
        </is>
      </c>
      <c r="C39" s="171" t="n">
        <v>2</v>
      </c>
      <c r="D39" s="183" t="n">
        <v>4.9</v>
      </c>
      <c r="E39" s="177" t="n">
        <v>50</v>
      </c>
      <c r="G39" s="2" t="inlineStr">
        <is>
          <t>Beauty / personal care|&lt;10x</t>
        </is>
      </c>
    </row>
    <row r="40">
      <c r="A40" s="17" t="inlineStr">
        <is>
          <t>Beauty / personal care</t>
        </is>
      </c>
      <c r="B40" s="17" t="inlineStr">
        <is>
          <t>&gt;=1000x</t>
        </is>
      </c>
      <c r="C40" s="171" t="n">
        <v>1</v>
      </c>
      <c r="D40" s="183" t="n">
        <v>9.300000000000001</v>
      </c>
      <c r="E40" s="177" t="n">
        <v>100</v>
      </c>
      <c r="G40" s="2" t="inlineStr">
        <is>
          <t>Beauty / personal care|&gt;=1000x</t>
        </is>
      </c>
    </row>
    <row r="41">
      <c r="A41" s="17" t="inlineStr">
        <is>
          <t>Beverages / packaged food</t>
        </is>
      </c>
      <c r="B41" s="17" t="inlineStr">
        <is>
          <t>10-100x</t>
        </is>
      </c>
      <c r="C41" s="171" t="n">
        <v>8</v>
      </c>
      <c r="D41" s="183" t="n">
        <v>-9.4</v>
      </c>
      <c r="E41" s="177" t="n">
        <v>12</v>
      </c>
      <c r="G41" s="2" t="inlineStr">
        <is>
          <t>Beverages / packaged food|10-100x</t>
        </is>
      </c>
    </row>
    <row r="42">
      <c r="A42" s="17" t="inlineStr">
        <is>
          <t>Beverages / packaged food</t>
        </is>
      </c>
      <c r="B42" s="17" t="inlineStr">
        <is>
          <t>100-1000x</t>
        </is>
      </c>
      <c r="C42" s="171" t="n">
        <v>5</v>
      </c>
      <c r="D42" s="183" t="n">
        <v>15</v>
      </c>
      <c r="E42" s="177" t="n">
        <v>80</v>
      </c>
      <c r="G42" s="2" t="inlineStr">
        <is>
          <t>Beverages / packaged food|100-1000x</t>
        </is>
      </c>
    </row>
    <row r="43">
      <c r="A43" s="17" t="inlineStr">
        <is>
          <t>Beverages / packaged food</t>
        </is>
      </c>
      <c r="B43" s="17" t="inlineStr">
        <is>
          <t>&lt;10x</t>
        </is>
      </c>
      <c r="C43" s="171" t="n">
        <v>6</v>
      </c>
      <c r="D43" s="183" t="n">
        <v>0.5</v>
      </c>
      <c r="E43" s="177" t="n">
        <v>50</v>
      </c>
      <c r="G43" s="2" t="inlineStr">
        <is>
          <t>Beverages / packaged food|&lt;10x</t>
        </is>
      </c>
    </row>
    <row r="44">
      <c r="A44" s="17" t="inlineStr">
        <is>
          <t>Beverages / packaged food</t>
        </is>
      </c>
      <c r="B44" s="17" t="inlineStr">
        <is>
          <t>&gt;=1000x</t>
        </is>
      </c>
      <c r="C44" s="171" t="n">
        <v>6</v>
      </c>
      <c r="D44" s="183" t="n">
        <v>77.90000000000001</v>
      </c>
      <c r="E44" s="177" t="n">
        <v>100</v>
      </c>
      <c r="G44" s="2" t="inlineStr">
        <is>
          <t>Beverages / packaged food|&gt;=1000x</t>
        </is>
      </c>
    </row>
    <row r="45">
      <c r="A45" s="17" t="inlineStr">
        <is>
          <t>Biopharma commercial</t>
        </is>
      </c>
      <c r="B45" s="17" t="inlineStr">
        <is>
          <t>10-100x</t>
        </is>
      </c>
      <c r="C45" s="171" t="n">
        <v>2</v>
      </c>
      <c r="D45" s="183" t="n">
        <v>122</v>
      </c>
      <c r="E45" s="177" t="n">
        <v>100</v>
      </c>
      <c r="G45" s="2" t="inlineStr">
        <is>
          <t>Biopharma commercial|10-100x</t>
        </is>
      </c>
    </row>
    <row r="46">
      <c r="A46" s="17" t="inlineStr">
        <is>
          <t>Biopharma commercial</t>
        </is>
      </c>
      <c r="B46" s="17" t="inlineStr">
        <is>
          <t>100-1000x</t>
        </is>
      </c>
      <c r="C46" s="171" t="n">
        <v>3</v>
      </c>
      <c r="D46" s="183" t="n">
        <v>-12.7</v>
      </c>
      <c r="E46" s="177" t="n">
        <v>33</v>
      </c>
      <c r="G46" s="2" t="inlineStr">
        <is>
          <t>Biopharma commercial|100-1000x</t>
        </is>
      </c>
    </row>
    <row r="47">
      <c r="A47" s="17" t="inlineStr">
        <is>
          <t>Biopharma commercial</t>
        </is>
      </c>
      <c r="B47" s="17" t="inlineStr">
        <is>
          <t>&lt;10x</t>
        </is>
      </c>
      <c r="C47" s="171" t="n">
        <v>2</v>
      </c>
      <c r="D47" s="183" t="n">
        <v>26.7</v>
      </c>
      <c r="E47" s="177" t="n">
        <v>100</v>
      </c>
      <c r="G47" s="2" t="inlineStr">
        <is>
          <t>Biopharma commercial|&lt;10x</t>
        </is>
      </c>
    </row>
    <row r="48">
      <c r="A48" s="17" t="inlineStr">
        <is>
          <t>Biopharma commercial</t>
        </is>
      </c>
      <c r="B48" s="17" t="inlineStr">
        <is>
          <t>&gt;=1000x</t>
        </is>
      </c>
      <c r="C48" s="171" t="n">
        <v>2</v>
      </c>
      <c r="D48" s="183" t="n">
        <v>90.8</v>
      </c>
      <c r="E48" s="177" t="n">
        <v>100</v>
      </c>
      <c r="G48" s="2" t="inlineStr">
        <is>
          <t>Biopharma commercial|&gt;=1000x</t>
        </is>
      </c>
    </row>
    <row r="49">
      <c r="A49" s="17" t="inlineStr">
        <is>
          <t>Biotech pre-revenue (18A)</t>
        </is>
      </c>
      <c r="B49" s="17" t="inlineStr">
        <is>
          <t>10-100x</t>
        </is>
      </c>
      <c r="C49" s="171" t="n">
        <v>10</v>
      </c>
      <c r="D49" s="183" t="n">
        <v>0.9</v>
      </c>
      <c r="E49" s="177" t="n">
        <v>50</v>
      </c>
      <c r="G49" s="2" t="inlineStr">
        <is>
          <t>Biotech pre-revenue (18A)|10-100x</t>
        </is>
      </c>
    </row>
    <row r="50">
      <c r="A50" s="17" t="inlineStr">
        <is>
          <t>Biotech pre-revenue (18A)</t>
        </is>
      </c>
      <c r="B50" s="17" t="inlineStr">
        <is>
          <t>100-1000x</t>
        </is>
      </c>
      <c r="C50" s="171" t="n">
        <v>10</v>
      </c>
      <c r="D50" s="183" t="n">
        <v>13.4</v>
      </c>
      <c r="E50" s="177" t="n">
        <v>70</v>
      </c>
      <c r="G50" s="2" t="inlineStr">
        <is>
          <t>Biotech pre-revenue (18A)|100-1000x</t>
        </is>
      </c>
    </row>
    <row r="51">
      <c r="A51" s="17" t="inlineStr">
        <is>
          <t>Biotech pre-revenue (18A)</t>
        </is>
      </c>
      <c r="B51" s="17" t="inlineStr">
        <is>
          <t>&lt;10x</t>
        </is>
      </c>
      <c r="C51" s="171" t="n">
        <v>14</v>
      </c>
      <c r="D51" s="183" t="n">
        <v>1.8</v>
      </c>
      <c r="E51" s="177" t="n">
        <v>64</v>
      </c>
      <c r="G51" s="2" t="inlineStr">
        <is>
          <t>Biotech pre-revenue (18A)|&lt;10x</t>
        </is>
      </c>
    </row>
    <row r="52">
      <c r="A52" s="17" t="inlineStr">
        <is>
          <t>Biotech pre-revenue (18A)</t>
        </is>
      </c>
      <c r="B52" s="17" t="inlineStr">
        <is>
          <t>&gt;=1000x</t>
        </is>
      </c>
      <c r="C52" s="171" t="n">
        <v>15</v>
      </c>
      <c r="D52" s="183" t="n">
        <v>108.3</v>
      </c>
      <c r="E52" s="177" t="n">
        <v>87</v>
      </c>
      <c r="G52" s="2" t="inlineStr">
        <is>
          <t>Biotech pre-revenue (18A)|&gt;=1000x</t>
        </is>
      </c>
    </row>
    <row r="53">
      <c r="A53" s="17" t="inlineStr">
        <is>
          <t>Brokers / asset management</t>
        </is>
      </c>
      <c r="B53" s="17" t="inlineStr">
        <is>
          <t>&lt;10x</t>
        </is>
      </c>
      <c r="C53" s="171" t="n">
        <v>4</v>
      </c>
      <c r="D53" s="183" t="n">
        <v>-14.3</v>
      </c>
      <c r="E53" s="177" t="n">
        <v>25</v>
      </c>
      <c r="G53" s="2" t="inlineStr">
        <is>
          <t>Brokers / asset management|&lt;10x</t>
        </is>
      </c>
    </row>
    <row r="54">
      <c r="A54" s="17" t="inlineStr">
        <is>
          <t>CXO / pharma services</t>
        </is>
      </c>
      <c r="B54" s="17" t="inlineStr">
        <is>
          <t>10-100x</t>
        </is>
      </c>
      <c r="C54" s="171" t="n">
        <v>1</v>
      </c>
      <c r="D54" s="183" t="n">
        <v>35.9</v>
      </c>
      <c r="E54" s="177" t="n">
        <v>100</v>
      </c>
      <c r="G54" s="2" t="inlineStr">
        <is>
          <t>CXO / pharma services|10-100x</t>
        </is>
      </c>
    </row>
    <row r="55">
      <c r="A55" s="17" t="inlineStr">
        <is>
          <t>CXO / pharma services</t>
        </is>
      </c>
      <c r="B55" s="17" t="inlineStr">
        <is>
          <t>100-1000x</t>
        </is>
      </c>
      <c r="C55" s="171" t="n">
        <v>3</v>
      </c>
      <c r="D55" s="183" t="n">
        <v>-7.6</v>
      </c>
      <c r="E55" s="177" t="n">
        <v>33</v>
      </c>
      <c r="G55" s="2" t="inlineStr">
        <is>
          <t>CXO / pharma services|100-1000x</t>
        </is>
      </c>
    </row>
    <row r="56">
      <c r="A56" s="17" t="inlineStr">
        <is>
          <t>CXO / pharma services</t>
        </is>
      </c>
      <c r="B56" s="17" t="inlineStr">
        <is>
          <t>&lt;10x</t>
        </is>
      </c>
      <c r="C56" s="171" t="n">
        <v>5</v>
      </c>
      <c r="D56" s="183" t="n">
        <v>1.1</v>
      </c>
      <c r="E56" s="177" t="n">
        <v>60</v>
      </c>
      <c r="G56" s="2" t="inlineStr">
        <is>
          <t>CXO / pharma services|&lt;10x</t>
        </is>
      </c>
    </row>
    <row r="57">
      <c r="A57" s="17" t="inlineStr">
        <is>
          <t>Capital goods / machinery</t>
        </is>
      </c>
      <c r="B57" s="17" t="inlineStr">
        <is>
          <t>10-100x</t>
        </is>
      </c>
      <c r="C57" s="171" t="n">
        <v>7</v>
      </c>
      <c r="D57" s="183" t="n">
        <v>0.8</v>
      </c>
      <c r="E57" s="177" t="n">
        <v>57</v>
      </c>
      <c r="G57" s="2" t="inlineStr">
        <is>
          <t>Capital goods / machinery|10-100x</t>
        </is>
      </c>
    </row>
    <row r="58">
      <c r="A58" s="17" t="inlineStr">
        <is>
          <t>Capital goods / machinery</t>
        </is>
      </c>
      <c r="B58" s="17" t="inlineStr">
        <is>
          <t>100-1000x</t>
        </is>
      </c>
      <c r="C58" s="171" t="n">
        <v>3</v>
      </c>
      <c r="D58" s="183" t="n">
        <v>14.8</v>
      </c>
      <c r="E58" s="177" t="n">
        <v>67</v>
      </c>
      <c r="G58" s="2" t="inlineStr">
        <is>
          <t>Capital goods / machinery|100-1000x</t>
        </is>
      </c>
    </row>
    <row r="59">
      <c r="A59" s="17" t="inlineStr">
        <is>
          <t>Capital goods / machinery</t>
        </is>
      </c>
      <c r="B59" s="17" t="inlineStr">
        <is>
          <t>&lt;10x</t>
        </is>
      </c>
      <c r="C59" s="171" t="n">
        <v>5</v>
      </c>
      <c r="D59" s="183" t="n">
        <v>1.5</v>
      </c>
      <c r="E59" s="177" t="n">
        <v>60</v>
      </c>
      <c r="G59" s="2" t="inlineStr">
        <is>
          <t>Capital goods / machinery|&lt;10x</t>
        </is>
      </c>
    </row>
    <row r="60">
      <c r="A60" s="17" t="inlineStr">
        <is>
          <t>Capital goods / machinery</t>
        </is>
      </c>
      <c r="B60" s="17" t="inlineStr">
        <is>
          <t>&gt;=1000x</t>
        </is>
      </c>
      <c r="C60" s="171" t="n">
        <v>3</v>
      </c>
      <c r="D60" s="183" t="n">
        <v>2.4</v>
      </c>
      <c r="E60" s="177" t="n">
        <v>67</v>
      </c>
      <c r="G60" s="2" t="inlineStr">
        <is>
          <t>Capital goods / machinery|&gt;=1000x</t>
        </is>
      </c>
    </row>
    <row r="61">
      <c r="A61" s="17" t="inlineStr">
        <is>
          <t>Chemicals</t>
        </is>
      </c>
      <c r="B61" s="17" t="inlineStr">
        <is>
          <t>10-100x</t>
        </is>
      </c>
      <c r="C61" s="171" t="n">
        <v>5</v>
      </c>
      <c r="D61" s="183" t="n">
        <v>-27.5</v>
      </c>
      <c r="E61" s="177" t="n">
        <v>20</v>
      </c>
      <c r="G61" s="2" t="inlineStr">
        <is>
          <t>Chemicals|10-100x</t>
        </is>
      </c>
    </row>
    <row r="62">
      <c r="A62" s="17" t="inlineStr">
        <is>
          <t>Chemicals</t>
        </is>
      </c>
      <c r="B62" s="17" t="inlineStr">
        <is>
          <t>100-1000x</t>
        </is>
      </c>
      <c r="C62" s="171" t="n">
        <v>4</v>
      </c>
      <c r="D62" s="183" t="n">
        <v>15.3</v>
      </c>
      <c r="E62" s="177" t="n">
        <v>75</v>
      </c>
      <c r="G62" s="2" t="inlineStr">
        <is>
          <t>Chemicals|100-1000x</t>
        </is>
      </c>
    </row>
    <row r="63">
      <c r="A63" s="17" t="inlineStr">
        <is>
          <t>Chemicals</t>
        </is>
      </c>
      <c r="B63" s="17" t="inlineStr">
        <is>
          <t>&lt;10x</t>
        </is>
      </c>
      <c r="C63" s="171" t="n">
        <v>3</v>
      </c>
      <c r="D63" s="183" t="n">
        <v>0.2</v>
      </c>
      <c r="E63" s="177" t="n">
        <v>67</v>
      </c>
      <c r="G63" s="2" t="inlineStr">
        <is>
          <t>Chemicals|&lt;10x</t>
        </is>
      </c>
    </row>
    <row r="64">
      <c r="A64" s="17" t="inlineStr">
        <is>
          <t>Chemicals</t>
        </is>
      </c>
      <c r="B64" s="17" t="inlineStr">
        <is>
          <t>&gt;=1000x</t>
        </is>
      </c>
      <c r="C64" s="171" t="n">
        <v>2</v>
      </c>
      <c r="D64" s="183" t="n">
        <v>10.6</v>
      </c>
      <c r="E64" s="177" t="n">
        <v>50</v>
      </c>
      <c r="G64" s="2" t="inlineStr">
        <is>
          <t>Chemicals|&gt;=1000x</t>
        </is>
      </c>
    </row>
    <row r="65">
      <c r="A65" s="17" t="inlineStr">
        <is>
          <t>Construction / engineering</t>
        </is>
      </c>
      <c r="B65" s="17" t="inlineStr">
        <is>
          <t>10-100x</t>
        </is>
      </c>
      <c r="C65" s="171" t="n">
        <v>10</v>
      </c>
      <c r="D65" s="183" t="n">
        <v>-9.9</v>
      </c>
      <c r="E65" s="177" t="n">
        <v>50</v>
      </c>
      <c r="G65" s="2" t="inlineStr">
        <is>
          <t>Construction / engineering|10-100x</t>
        </is>
      </c>
    </row>
    <row r="66">
      <c r="A66" s="17" t="inlineStr">
        <is>
          <t>Construction / engineering</t>
        </is>
      </c>
      <c r="B66" s="17" t="inlineStr">
        <is>
          <t>100-1000x</t>
        </is>
      </c>
      <c r="C66" s="171" t="n">
        <v>4</v>
      </c>
      <c r="D66" s="183" t="n">
        <v>-21.1</v>
      </c>
      <c r="E66" s="177" t="n">
        <v>25</v>
      </c>
      <c r="G66" s="2" t="inlineStr">
        <is>
          <t>Construction / engineering|100-1000x</t>
        </is>
      </c>
    </row>
    <row r="67">
      <c r="A67" s="17" t="inlineStr">
        <is>
          <t>Construction / engineering</t>
        </is>
      </c>
      <c r="B67" s="17" t="inlineStr">
        <is>
          <t>&lt;10x</t>
        </is>
      </c>
      <c r="C67" s="171" t="n">
        <v>2</v>
      </c>
      <c r="D67" s="183" t="n">
        <v>5</v>
      </c>
      <c r="E67" s="177" t="n">
        <v>50</v>
      </c>
      <c r="G67" s="2" t="inlineStr">
        <is>
          <t>Construction / engineering|&lt;10x</t>
        </is>
      </c>
    </row>
    <row r="68">
      <c r="A68" s="17" t="inlineStr">
        <is>
          <t>Consumer services / education</t>
        </is>
      </c>
      <c r="B68" s="17" t="inlineStr">
        <is>
          <t>10-100x</t>
        </is>
      </c>
      <c r="C68" s="171" t="n">
        <v>1</v>
      </c>
      <c r="D68" s="183" t="n">
        <v>12.1</v>
      </c>
      <c r="E68" s="177" t="n">
        <v>100</v>
      </c>
      <c r="G68" s="2" t="inlineStr">
        <is>
          <t>Consumer services / education|10-100x</t>
        </is>
      </c>
    </row>
    <row r="69">
      <c r="A69" s="17" t="inlineStr">
        <is>
          <t>Consumer services / education</t>
        </is>
      </c>
      <c r="B69" s="17" t="inlineStr">
        <is>
          <t>&lt;10x</t>
        </is>
      </c>
      <c r="C69" s="171" t="n">
        <v>3</v>
      </c>
      <c r="D69" s="183" t="n">
        <v>0</v>
      </c>
      <c r="E69" s="177" t="n">
        <v>33</v>
      </c>
      <c r="G69" s="2" t="inlineStr">
        <is>
          <t>Consumer services / education|&lt;10x</t>
        </is>
      </c>
    </row>
    <row r="70">
      <c r="A70" s="17" t="inlineStr">
        <is>
          <t>Data center / cloud infra</t>
        </is>
      </c>
      <c r="B70" s="17" t="inlineStr">
        <is>
          <t>10-100x</t>
        </is>
      </c>
      <c r="C70" s="171" t="n">
        <v>2</v>
      </c>
      <c r="D70" s="183" t="n">
        <v>-37.1</v>
      </c>
      <c r="E70" s="177" t="n">
        <v>0</v>
      </c>
      <c r="G70" s="2" t="inlineStr">
        <is>
          <t>Data center / cloud infra|10-100x</t>
        </is>
      </c>
    </row>
    <row r="71">
      <c r="A71" s="17" t="inlineStr">
        <is>
          <t>Developers</t>
        </is>
      </c>
      <c r="B71" s="17" t="inlineStr">
        <is>
          <t>&lt;10x</t>
        </is>
      </c>
      <c r="C71" s="171" t="n">
        <v>1</v>
      </c>
      <c r="D71" s="183" t="n">
        <v>0</v>
      </c>
      <c r="E71" s="177" t="n">
        <v>0</v>
      </c>
      <c r="G71" s="2" t="inlineStr">
        <is>
          <t>Developers|&lt;10x</t>
        </is>
      </c>
    </row>
    <row r="72">
      <c r="A72" s="17" t="inlineStr">
        <is>
          <t>Digital health</t>
        </is>
      </c>
      <c r="B72" s="17" t="inlineStr">
        <is>
          <t>10-100x</t>
        </is>
      </c>
      <c r="C72" s="171" t="n">
        <v>3</v>
      </c>
      <c r="D72" s="183" t="n">
        <v>36.7</v>
      </c>
      <c r="E72" s="177" t="n">
        <v>67</v>
      </c>
      <c r="G72" s="2" t="inlineStr">
        <is>
          <t>Digital health|10-100x</t>
        </is>
      </c>
    </row>
    <row r="73">
      <c r="A73" s="17" t="inlineStr">
        <is>
          <t>Digital health</t>
        </is>
      </c>
      <c r="B73" s="17" t="inlineStr">
        <is>
          <t>100-1000x</t>
        </is>
      </c>
      <c r="C73" s="171" t="n">
        <v>4</v>
      </c>
      <c r="D73" s="183" t="n">
        <v>20.1</v>
      </c>
      <c r="E73" s="177" t="n">
        <v>75</v>
      </c>
      <c r="G73" s="2" t="inlineStr">
        <is>
          <t>Digital health|100-1000x</t>
        </is>
      </c>
    </row>
    <row r="74">
      <c r="A74" s="17" t="inlineStr">
        <is>
          <t>Digital health</t>
        </is>
      </c>
      <c r="B74" s="17" t="inlineStr">
        <is>
          <t>&lt;10x</t>
        </is>
      </c>
      <c r="C74" s="171" t="n">
        <v>8</v>
      </c>
      <c r="D74" s="183" t="n">
        <v>0</v>
      </c>
      <c r="E74" s="177" t="n">
        <v>38</v>
      </c>
      <c r="G74" s="2" t="inlineStr">
        <is>
          <t>Digital health|&lt;10x</t>
        </is>
      </c>
    </row>
    <row r="75">
      <c r="A75" s="17" t="inlineStr">
        <is>
          <t>Digital health</t>
        </is>
      </c>
      <c r="B75" s="17" t="inlineStr">
        <is>
          <t>&gt;=1000x</t>
        </is>
      </c>
      <c r="C75" s="171" t="n">
        <v>2</v>
      </c>
      <c r="D75" s="183" t="n">
        <v>80.59999999999999</v>
      </c>
      <c r="E75" s="177" t="n">
        <v>100</v>
      </c>
      <c r="G75" s="2" t="inlineStr">
        <is>
          <t>Digital health|&gt;=1000x</t>
        </is>
      </c>
    </row>
    <row r="76">
      <c r="A76" s="17" t="inlineStr">
        <is>
          <t>F&amp;B chains / restaurants</t>
        </is>
      </c>
      <c r="B76" s="17" t="inlineStr">
        <is>
          <t>10-100x</t>
        </is>
      </c>
      <c r="C76" s="171" t="n">
        <v>1</v>
      </c>
      <c r="D76" s="183" t="n">
        <v>22.9</v>
      </c>
      <c r="E76" s="177" t="n">
        <v>100</v>
      </c>
      <c r="G76" s="2" t="inlineStr">
        <is>
          <t>F&amp;B chains / restaurants|10-100x</t>
        </is>
      </c>
    </row>
    <row r="77">
      <c r="A77" s="17" t="inlineStr">
        <is>
          <t>F&amp;B chains / restaurants</t>
        </is>
      </c>
      <c r="B77" s="17" t="inlineStr">
        <is>
          <t>100-1000x</t>
        </is>
      </c>
      <c r="C77" s="171" t="n">
        <v>4</v>
      </c>
      <c r="D77" s="183" t="n">
        <v>-13</v>
      </c>
      <c r="E77" s="177" t="n">
        <v>0</v>
      </c>
      <c r="G77" s="2" t="inlineStr">
        <is>
          <t>F&amp;B chains / restaurants|100-1000x</t>
        </is>
      </c>
    </row>
    <row r="78">
      <c r="A78" s="17" t="inlineStr">
        <is>
          <t>F&amp;B chains / restaurants</t>
        </is>
      </c>
      <c r="B78" s="17" t="inlineStr">
        <is>
          <t>&lt;10x</t>
        </is>
      </c>
      <c r="C78" s="171" t="n">
        <v>3</v>
      </c>
      <c r="D78" s="183" t="n">
        <v>-0.1</v>
      </c>
      <c r="E78" s="177" t="n">
        <v>33</v>
      </c>
      <c r="G78" s="2" t="inlineStr">
        <is>
          <t>F&amp;B chains / restaurants|&lt;10x</t>
        </is>
      </c>
    </row>
    <row r="79">
      <c r="A79" s="17" t="inlineStr">
        <is>
          <t>F&amp;B chains / restaurants</t>
        </is>
      </c>
      <c r="B79" s="17" t="inlineStr">
        <is>
          <t>&gt;=1000x</t>
        </is>
      </c>
      <c r="C79" s="171" t="n">
        <v>2</v>
      </c>
      <c r="D79" s="183" t="n">
        <v>41.6</v>
      </c>
      <c r="E79" s="177" t="n">
        <v>100</v>
      </c>
      <c r="G79" s="2" t="inlineStr">
        <is>
          <t>F&amp;B chains / restaurants|&gt;=1000x</t>
        </is>
      </c>
    </row>
    <row r="80">
      <c r="A80" s="17" t="inlineStr">
        <is>
          <t>Fintech platform</t>
        </is>
      </c>
      <c r="B80" s="17" t="inlineStr">
        <is>
          <t>10-100x</t>
        </is>
      </c>
      <c r="C80" s="171" t="n">
        <v>3</v>
      </c>
      <c r="D80" s="183" t="n">
        <v>-0.6</v>
      </c>
      <c r="E80" s="177" t="n">
        <v>33</v>
      </c>
      <c r="G80" s="2" t="inlineStr">
        <is>
          <t>Fintech platform|10-100x</t>
        </is>
      </c>
    </row>
    <row r="81">
      <c r="A81" s="17" t="inlineStr">
        <is>
          <t>Fintech platform</t>
        </is>
      </c>
      <c r="B81" s="17" t="inlineStr">
        <is>
          <t>100-1000x</t>
        </is>
      </c>
      <c r="C81" s="171" t="n">
        <v>2</v>
      </c>
      <c r="D81" s="183" t="n">
        <v>-8.1</v>
      </c>
      <c r="E81" s="177" t="n">
        <v>0</v>
      </c>
      <c r="G81" s="2" t="inlineStr">
        <is>
          <t>Fintech platform|100-1000x</t>
        </is>
      </c>
    </row>
    <row r="82">
      <c r="A82" s="17" t="inlineStr">
        <is>
          <t>Fintech platform</t>
        </is>
      </c>
      <c r="B82" s="17" t="inlineStr">
        <is>
          <t>&lt;10x</t>
        </is>
      </c>
      <c r="C82" s="171" t="n">
        <v>2</v>
      </c>
      <c r="D82" s="183" t="n">
        <v>-4</v>
      </c>
      <c r="E82" s="177" t="n">
        <v>50</v>
      </c>
      <c r="G82" s="2" t="inlineStr">
        <is>
          <t>Fintech platform|&lt;10x</t>
        </is>
      </c>
    </row>
    <row r="83">
      <c r="A83" s="17" t="inlineStr">
        <is>
          <t>Hospitals / clinics</t>
        </is>
      </c>
      <c r="B83" s="17" t="inlineStr">
        <is>
          <t>10-100x</t>
        </is>
      </c>
      <c r="C83" s="171" t="n">
        <v>1</v>
      </c>
      <c r="D83" s="183" t="n">
        <v>-14.3</v>
      </c>
      <c r="E83" s="177" t="n">
        <v>0</v>
      </c>
      <c r="G83" s="2" t="inlineStr">
        <is>
          <t>Hospitals / clinics|10-100x</t>
        </is>
      </c>
    </row>
    <row r="84">
      <c r="A84" s="17" t="inlineStr">
        <is>
          <t>Hospitals / clinics</t>
        </is>
      </c>
      <c r="B84" s="17" t="inlineStr">
        <is>
          <t>100-1000x</t>
        </is>
      </c>
      <c r="C84" s="171" t="n">
        <v>5</v>
      </c>
      <c r="D84" s="183" t="n">
        <v>5.1</v>
      </c>
      <c r="E84" s="177" t="n">
        <v>100</v>
      </c>
      <c r="G84" s="2" t="inlineStr">
        <is>
          <t>Hospitals / clinics|100-1000x</t>
        </is>
      </c>
    </row>
    <row r="85">
      <c r="A85" s="17" t="inlineStr">
        <is>
          <t>Hospitals / clinics</t>
        </is>
      </c>
      <c r="B85" s="17" t="inlineStr">
        <is>
          <t>&lt;10x</t>
        </is>
      </c>
      <c r="C85" s="171" t="n">
        <v>3</v>
      </c>
      <c r="D85" s="183" t="n">
        <v>-5.6</v>
      </c>
      <c r="E85" s="177" t="n">
        <v>0</v>
      </c>
      <c r="G85" s="2" t="inlineStr">
        <is>
          <t>Hospitals / clinics|&lt;10x</t>
        </is>
      </c>
    </row>
    <row r="86">
      <c r="A86" s="17" t="inlineStr">
        <is>
          <t>Insurance</t>
        </is>
      </c>
      <c r="B86" s="17" t="inlineStr">
        <is>
          <t>10-100x</t>
        </is>
      </c>
      <c r="C86" s="171" t="n">
        <v>2</v>
      </c>
      <c r="D86" s="183" t="n">
        <v>3</v>
      </c>
      <c r="E86" s="177" t="n">
        <v>100</v>
      </c>
      <c r="G86" s="2" t="inlineStr">
        <is>
          <t>Insurance|10-100x</t>
        </is>
      </c>
    </row>
    <row r="87">
      <c r="A87" s="17" t="inlineStr">
        <is>
          <t>Insurance</t>
        </is>
      </c>
      <c r="B87" s="17" t="inlineStr">
        <is>
          <t>100-1000x</t>
        </is>
      </c>
      <c r="C87" s="171" t="n">
        <v>2</v>
      </c>
      <c r="D87" s="183" t="n">
        <v>174.9</v>
      </c>
      <c r="E87" s="177" t="n">
        <v>50</v>
      </c>
      <c r="G87" s="2" t="inlineStr">
        <is>
          <t>Insurance|100-1000x</t>
        </is>
      </c>
    </row>
    <row r="88">
      <c r="A88" s="17" t="inlineStr">
        <is>
          <t>Insurance</t>
        </is>
      </c>
      <c r="B88" s="17" t="inlineStr">
        <is>
          <t>&lt;10x</t>
        </is>
      </c>
      <c r="C88" s="171" t="n">
        <v>2</v>
      </c>
      <c r="D88" s="183" t="n">
        <v>2.4</v>
      </c>
      <c r="E88" s="177" t="n">
        <v>50</v>
      </c>
      <c r="G88" s="2" t="inlineStr">
        <is>
          <t>Insurance|&lt;10x</t>
        </is>
      </c>
    </row>
    <row r="89">
      <c r="A89" s="17" t="inlineStr">
        <is>
          <t>Insurance</t>
        </is>
      </c>
      <c r="B89" s="17" t="inlineStr">
        <is>
          <t>&gt;=1000x</t>
        </is>
      </c>
      <c r="C89" s="171" t="n">
        <v>1</v>
      </c>
      <c r="D89" s="183" t="n">
        <v>158.8</v>
      </c>
      <c r="E89" s="177" t="n">
        <v>100</v>
      </c>
      <c r="G89" s="2" t="inlineStr">
        <is>
          <t>Insurance|&gt;=1000x</t>
        </is>
      </c>
    </row>
    <row r="90">
      <c r="A90" s="17" t="inlineStr">
        <is>
          <t>Internet platform / e-commerce</t>
        </is>
      </c>
      <c r="B90" s="17" t="inlineStr">
        <is>
          <t>10-100x</t>
        </is>
      </c>
      <c r="C90" s="171" t="n">
        <v>7</v>
      </c>
      <c r="D90" s="183" t="n">
        <v>0.8</v>
      </c>
      <c r="E90" s="177" t="n">
        <v>57</v>
      </c>
      <c r="G90" s="2" t="inlineStr">
        <is>
          <t>Internet platform / e-commerce|10-100x</t>
        </is>
      </c>
    </row>
    <row r="91">
      <c r="A91" s="17" t="inlineStr">
        <is>
          <t>Internet platform / e-commerce</t>
        </is>
      </c>
      <c r="B91" s="17" t="inlineStr">
        <is>
          <t>100-1000x</t>
        </is>
      </c>
      <c r="C91" s="171" t="n">
        <v>6</v>
      </c>
      <c r="D91" s="183" t="n">
        <v>-0.5</v>
      </c>
      <c r="E91" s="177" t="n">
        <v>33</v>
      </c>
      <c r="G91" s="2" t="inlineStr">
        <is>
          <t>Internet platform / e-commerce|100-1000x</t>
        </is>
      </c>
    </row>
    <row r="92">
      <c r="A92" s="17" t="inlineStr">
        <is>
          <t>Internet platform / e-commerce</t>
        </is>
      </c>
      <c r="B92" s="17" t="inlineStr">
        <is>
          <t>&lt;10x</t>
        </is>
      </c>
      <c r="C92" s="171" t="n">
        <v>8</v>
      </c>
      <c r="D92" s="183" t="n">
        <v>-1.1</v>
      </c>
      <c r="E92" s="177" t="n">
        <v>50</v>
      </c>
      <c r="G92" s="2" t="inlineStr">
        <is>
          <t>Internet platform / e-commerce|&lt;10x</t>
        </is>
      </c>
    </row>
    <row r="93">
      <c r="A93" s="17" t="inlineStr">
        <is>
          <t>Internet platform / e-commerce</t>
        </is>
      </c>
      <c r="B93" s="17" t="inlineStr">
        <is>
          <t>&gt;=1000x</t>
        </is>
      </c>
      <c r="C93" s="171" t="n">
        <v>2</v>
      </c>
      <c r="D93" s="183" t="n">
        <v>124.8</v>
      </c>
      <c r="E93" s="177" t="n">
        <v>100</v>
      </c>
      <c r="G93" s="2" t="inlineStr">
        <is>
          <t>Internet platform / e-commerce|&gt;=1000x</t>
        </is>
      </c>
    </row>
    <row r="94">
      <c r="A94" s="17" t="inlineStr">
        <is>
          <t>LLM / foundation model</t>
        </is>
      </c>
      <c r="B94" s="17" t="inlineStr">
        <is>
          <t>&gt;=1000x</t>
        </is>
      </c>
      <c r="C94" s="171" t="n">
        <v>2</v>
      </c>
      <c r="D94" s="183" t="n">
        <v>61.1</v>
      </c>
      <c r="E94" s="177" t="n">
        <v>100</v>
      </c>
      <c r="G94" s="2" t="inlineStr">
        <is>
          <t>LLM / foundation model|&gt;=1000x</t>
        </is>
      </c>
    </row>
    <row r="95">
      <c r="A95" s="17" t="inlineStr">
        <is>
          <t>Logistics</t>
        </is>
      </c>
      <c r="B95" s="17" t="inlineStr">
        <is>
          <t>10-100x</t>
        </is>
      </c>
      <c r="C95" s="171" t="n">
        <v>4</v>
      </c>
      <c r="D95" s="183" t="n">
        <v>-1</v>
      </c>
      <c r="E95" s="177" t="n">
        <v>25</v>
      </c>
      <c r="G95" s="2" t="inlineStr">
        <is>
          <t>Logistics|10-100x</t>
        </is>
      </c>
    </row>
    <row r="96">
      <c r="A96" s="17" t="inlineStr">
        <is>
          <t>Logistics</t>
        </is>
      </c>
      <c r="B96" s="17" t="inlineStr">
        <is>
          <t>100-1000x</t>
        </is>
      </c>
      <c r="C96" s="171" t="n">
        <v>3</v>
      </c>
      <c r="D96" s="183" t="n">
        <v>3.3</v>
      </c>
      <c r="E96" s="177" t="n">
        <v>67</v>
      </c>
      <c r="G96" s="2" t="inlineStr">
        <is>
          <t>Logistics|100-1000x</t>
        </is>
      </c>
    </row>
    <row r="97">
      <c r="A97" s="17" t="inlineStr">
        <is>
          <t>Logistics</t>
        </is>
      </c>
      <c r="B97" s="17" t="inlineStr">
        <is>
          <t>&lt;10x</t>
        </is>
      </c>
      <c r="C97" s="171" t="n">
        <v>6</v>
      </c>
      <c r="D97" s="183" t="n">
        <v>-4.9</v>
      </c>
      <c r="E97" s="177" t="n">
        <v>0</v>
      </c>
      <c r="G97" s="2" t="inlineStr">
        <is>
          <t>Logistics|&lt;10x</t>
        </is>
      </c>
    </row>
    <row r="98">
      <c r="A98" s="17" t="inlineStr">
        <is>
          <t>Logistics</t>
        </is>
      </c>
      <c r="B98" s="17" t="inlineStr">
        <is>
          <t>&gt;=1000x</t>
        </is>
      </c>
      <c r="C98" s="171" t="n">
        <v>2</v>
      </c>
      <c r="D98" s="183" t="n">
        <v>-21.7</v>
      </c>
      <c r="E98" s="177" t="n">
        <v>50</v>
      </c>
      <c r="G98" s="2" t="inlineStr">
        <is>
          <t>Logistics|&gt;=1000x</t>
        </is>
      </c>
    </row>
    <row r="99">
      <c r="A99" s="17" t="inlineStr">
        <is>
          <t>Media / advertising</t>
        </is>
      </c>
      <c r="B99" s="17" t="inlineStr">
        <is>
          <t>10-100x</t>
        </is>
      </c>
      <c r="C99" s="171" t="n">
        <v>6</v>
      </c>
      <c r="D99" s="183" t="n">
        <v>38.2</v>
      </c>
      <c r="E99" s="177" t="n">
        <v>100</v>
      </c>
      <c r="G99" s="2" t="inlineStr">
        <is>
          <t>Media / advertising|10-100x</t>
        </is>
      </c>
    </row>
    <row r="100">
      <c r="A100" s="17" t="inlineStr">
        <is>
          <t>Media / advertising</t>
        </is>
      </c>
      <c r="B100" s="17" t="inlineStr">
        <is>
          <t>100-1000x</t>
        </is>
      </c>
      <c r="C100" s="171" t="n">
        <v>2</v>
      </c>
      <c r="D100" s="183" t="n">
        <v>41.8</v>
      </c>
      <c r="E100" s="177" t="n">
        <v>50</v>
      </c>
      <c r="G100" s="2" t="inlineStr">
        <is>
          <t>Media / advertising|100-1000x</t>
        </is>
      </c>
    </row>
    <row r="101">
      <c r="A101" s="17" t="inlineStr">
        <is>
          <t>Media / advertising</t>
        </is>
      </c>
      <c r="B101" s="17" t="inlineStr">
        <is>
          <t>&lt;10x</t>
        </is>
      </c>
      <c r="C101" s="171" t="n">
        <v>9</v>
      </c>
      <c r="D101" s="183" t="n">
        <v>-2.7</v>
      </c>
      <c r="E101" s="177" t="n">
        <v>44</v>
      </c>
      <c r="G101" s="2" t="inlineStr">
        <is>
          <t>Media / advertising|&lt;10x</t>
        </is>
      </c>
    </row>
    <row r="102">
      <c r="A102" s="17" t="inlineStr">
        <is>
          <t>Media / advertising</t>
        </is>
      </c>
      <c r="B102" s="17" t="inlineStr">
        <is>
          <t>&gt;=1000x</t>
        </is>
      </c>
      <c r="C102" s="171" t="n">
        <v>2</v>
      </c>
      <c r="D102" s="183" t="n">
        <v>-6.7</v>
      </c>
      <c r="E102" s="177" t="n">
        <v>50</v>
      </c>
      <c r="G102" s="2" t="inlineStr">
        <is>
          <t>Media / advertising|&gt;=1000x</t>
        </is>
      </c>
    </row>
    <row r="103">
      <c r="A103" s="17" t="inlineStr">
        <is>
          <t>Medical devices</t>
        </is>
      </c>
      <c r="B103" s="17" t="inlineStr">
        <is>
          <t>10-100x</t>
        </is>
      </c>
      <c r="C103" s="171" t="n">
        <v>4</v>
      </c>
      <c r="D103" s="183" t="n">
        <v>1.6</v>
      </c>
      <c r="E103" s="177" t="n">
        <v>50</v>
      </c>
      <c r="G103" s="2" t="inlineStr">
        <is>
          <t>Medical devices|10-100x</t>
        </is>
      </c>
    </row>
    <row r="104">
      <c r="A104" s="17" t="inlineStr">
        <is>
          <t>Medical devices</t>
        </is>
      </c>
      <c r="B104" s="17" t="inlineStr">
        <is>
          <t>100-1000x</t>
        </is>
      </c>
      <c r="C104" s="171" t="n">
        <v>7</v>
      </c>
      <c r="D104" s="183" t="n">
        <v>-1.1</v>
      </c>
      <c r="E104" s="177" t="n">
        <v>43</v>
      </c>
      <c r="G104" s="2" t="inlineStr">
        <is>
          <t>Medical devices|100-1000x</t>
        </is>
      </c>
    </row>
    <row r="105">
      <c r="A105" s="17" t="inlineStr">
        <is>
          <t>Medical devices</t>
        </is>
      </c>
      <c r="B105" s="17" t="inlineStr">
        <is>
          <t>&lt;10x</t>
        </is>
      </c>
      <c r="C105" s="171" t="n">
        <v>9</v>
      </c>
      <c r="D105" s="183" t="n">
        <v>0</v>
      </c>
      <c r="E105" s="177" t="n">
        <v>33</v>
      </c>
      <c r="G105" s="2" t="inlineStr">
        <is>
          <t>Medical devices|&lt;10x</t>
        </is>
      </c>
    </row>
    <row r="106">
      <c r="A106" s="17" t="inlineStr">
        <is>
          <t>Medical devices</t>
        </is>
      </c>
      <c r="B106" s="17" t="inlineStr">
        <is>
          <t>&gt;=1000x</t>
        </is>
      </c>
      <c r="C106" s="171" t="n">
        <v>6</v>
      </c>
      <c r="D106" s="183" t="n">
        <v>115</v>
      </c>
      <c r="E106" s="177" t="n">
        <v>100</v>
      </c>
      <c r="G106" s="2" t="inlineStr">
        <is>
          <t>Medical devices|&gt;=1000x</t>
        </is>
      </c>
    </row>
    <row r="107">
      <c r="A107" s="17" t="inlineStr">
        <is>
          <t>Mining / metals</t>
        </is>
      </c>
      <c r="B107" s="17" t="inlineStr">
        <is>
          <t>10-100x</t>
        </is>
      </c>
      <c r="C107" s="171" t="n">
        <v>1</v>
      </c>
      <c r="D107" s="183" t="n">
        <v>143.1</v>
      </c>
      <c r="E107" s="177" t="n">
        <v>100</v>
      </c>
      <c r="G107" s="2" t="inlineStr">
        <is>
          <t>Mining / metals|10-100x</t>
        </is>
      </c>
    </row>
    <row r="108">
      <c r="A108" s="17" t="inlineStr">
        <is>
          <t>Mining / metals</t>
        </is>
      </c>
      <c r="B108" s="17" t="inlineStr">
        <is>
          <t>100-1000x</t>
        </is>
      </c>
      <c r="C108" s="171" t="n">
        <v>3</v>
      </c>
      <c r="D108" s="183" t="n">
        <v>32.8</v>
      </c>
      <c r="E108" s="177" t="n">
        <v>100</v>
      </c>
      <c r="G108" s="2" t="inlineStr">
        <is>
          <t>Mining / metals|100-1000x</t>
        </is>
      </c>
    </row>
    <row r="109">
      <c r="A109" s="17" t="inlineStr">
        <is>
          <t>Mining / metals</t>
        </is>
      </c>
      <c r="B109" s="17" t="inlineStr">
        <is>
          <t>&lt;10x</t>
        </is>
      </c>
      <c r="C109" s="171" t="n">
        <v>6</v>
      </c>
      <c r="D109" s="183" t="n">
        <v>0</v>
      </c>
      <c r="E109" s="177" t="n">
        <v>17</v>
      </c>
      <c r="G109" s="2" t="inlineStr">
        <is>
          <t>Mining / metals|&lt;10x</t>
        </is>
      </c>
    </row>
    <row r="110">
      <c r="A110" s="17" t="inlineStr">
        <is>
          <t>Mining / metals</t>
        </is>
      </c>
      <c r="B110" s="17" t="inlineStr">
        <is>
          <t>&gt;=1000x</t>
        </is>
      </c>
      <c r="C110" s="171" t="n">
        <v>3</v>
      </c>
      <c r="D110" s="183" t="n">
        <v>90.7</v>
      </c>
      <c r="E110" s="177" t="n">
        <v>100</v>
      </c>
      <c r="G110" s="2" t="inlineStr">
        <is>
          <t>Mining / metals|&gt;=1000x</t>
        </is>
      </c>
    </row>
    <row r="111">
      <c r="A111" s="17" t="inlineStr">
        <is>
          <t>Oil &amp; gas / utilities</t>
        </is>
      </c>
      <c r="B111" s="17" t="inlineStr">
        <is>
          <t>10-100x</t>
        </is>
      </c>
      <c r="C111" s="171" t="n">
        <v>2</v>
      </c>
      <c r="D111" s="183" t="n">
        <v>15.1</v>
      </c>
      <c r="E111" s="177" t="n">
        <v>50</v>
      </c>
      <c r="G111" s="2" t="inlineStr">
        <is>
          <t>Oil &amp; gas / utilities|10-100x</t>
        </is>
      </c>
    </row>
    <row r="112">
      <c r="A112" s="17" t="inlineStr">
        <is>
          <t>Oil &amp; gas / utilities</t>
        </is>
      </c>
      <c r="B112" s="17" t="inlineStr">
        <is>
          <t>&lt;10x</t>
        </is>
      </c>
      <c r="C112" s="171" t="n">
        <v>3</v>
      </c>
      <c r="D112" s="183" t="n">
        <v>0</v>
      </c>
      <c r="E112" s="177" t="n">
        <v>0</v>
      </c>
      <c r="G112" s="2" t="inlineStr">
        <is>
          <t>Oil &amp; gas / utilities|&lt;10x</t>
        </is>
      </c>
    </row>
    <row r="113">
      <c r="A113" s="17" t="inlineStr">
        <is>
          <t>Property management</t>
        </is>
      </c>
      <c r="B113" s="17" t="inlineStr">
        <is>
          <t>10-100x</t>
        </is>
      </c>
      <c r="C113" s="171" t="n">
        <v>4</v>
      </c>
      <c r="D113" s="183" t="n">
        <v>-0.4</v>
      </c>
      <c r="E113" s="177" t="n">
        <v>50</v>
      </c>
      <c r="G113" s="2" t="inlineStr">
        <is>
          <t>Property management|10-100x</t>
        </is>
      </c>
    </row>
    <row r="114">
      <c r="A114" s="17" t="inlineStr">
        <is>
          <t>Property management</t>
        </is>
      </c>
      <c r="B114" s="17" t="inlineStr">
        <is>
          <t>100-1000x</t>
        </is>
      </c>
      <c r="C114" s="171" t="n">
        <v>2</v>
      </c>
      <c r="D114" s="183" t="n">
        <v>-3.9</v>
      </c>
      <c r="E114" s="177" t="n">
        <v>50</v>
      </c>
      <c r="G114" s="2" t="inlineStr">
        <is>
          <t>Property management|100-1000x</t>
        </is>
      </c>
    </row>
    <row r="115">
      <c r="A115" s="17" t="inlineStr">
        <is>
          <t>Property management</t>
        </is>
      </c>
      <c r="B115" s="17" t="inlineStr">
        <is>
          <t>&lt;10x</t>
        </is>
      </c>
      <c r="C115" s="171" t="n">
        <v>17</v>
      </c>
      <c r="D115" s="183" t="n">
        <v>0</v>
      </c>
      <c r="E115" s="177" t="n">
        <v>29</v>
      </c>
      <c r="G115" s="2" t="inlineStr">
        <is>
          <t>Property management|&lt;10x</t>
        </is>
      </c>
    </row>
    <row r="116">
      <c r="A116" s="17" t="inlineStr">
        <is>
          <t>Property management</t>
        </is>
      </c>
      <c r="B116" s="17" t="inlineStr">
        <is>
          <t>&gt;=1000x</t>
        </is>
      </c>
      <c r="C116" s="171" t="n">
        <v>1</v>
      </c>
      <c r="D116" s="183" t="n">
        <v>36.2</v>
      </c>
      <c r="E116" s="177" t="n">
        <v>100</v>
      </c>
      <c r="G116" s="2" t="inlineStr">
        <is>
          <t>Property management|&gt;=1000x</t>
        </is>
      </c>
    </row>
    <row r="117">
      <c r="A117" s="17" t="inlineStr">
        <is>
          <t>REITs / asset-light</t>
        </is>
      </c>
      <c r="B117" s="17" t="inlineStr">
        <is>
          <t>&lt;10x</t>
        </is>
      </c>
      <c r="C117" s="171" t="n">
        <v>1</v>
      </c>
      <c r="D117" s="183" t="n">
        <v>-16.5</v>
      </c>
      <c r="E117" s="177" t="n">
        <v>0</v>
      </c>
      <c r="G117" s="2" t="inlineStr">
        <is>
          <t>REITs / asset-light|&lt;10x</t>
        </is>
      </c>
    </row>
    <row r="118">
      <c r="A118" s="17" t="inlineStr">
        <is>
          <t>Retail / distribution</t>
        </is>
      </c>
      <c r="B118" s="17" t="inlineStr">
        <is>
          <t>10-100x</t>
        </is>
      </c>
      <c r="C118" s="171" t="n">
        <v>6</v>
      </c>
      <c r="D118" s="183" t="n">
        <v>16.1</v>
      </c>
      <c r="E118" s="177" t="n">
        <v>67</v>
      </c>
      <c r="G118" s="2" t="inlineStr">
        <is>
          <t>Retail / distribution|10-100x</t>
        </is>
      </c>
    </row>
    <row r="119">
      <c r="A119" s="17" t="inlineStr">
        <is>
          <t>Retail / distribution</t>
        </is>
      </c>
      <c r="B119" s="17" t="inlineStr">
        <is>
          <t>100-1000x</t>
        </is>
      </c>
      <c r="C119" s="171" t="n">
        <v>2</v>
      </c>
      <c r="D119" s="183" t="n">
        <v>-9.4</v>
      </c>
      <c r="E119" s="177" t="n">
        <v>50</v>
      </c>
      <c r="G119" s="2" t="inlineStr">
        <is>
          <t>Retail / distribution|100-1000x</t>
        </is>
      </c>
    </row>
    <row r="120">
      <c r="A120" s="17" t="inlineStr">
        <is>
          <t>Retail / distribution</t>
        </is>
      </c>
      <c r="B120" s="17" t="inlineStr">
        <is>
          <t>&lt;10x</t>
        </is>
      </c>
      <c r="C120" s="171" t="n">
        <v>4</v>
      </c>
      <c r="D120" s="183" t="n">
        <v>0</v>
      </c>
      <c r="E120" s="177" t="n">
        <v>0</v>
      </c>
      <c r="G120" s="2" t="inlineStr">
        <is>
          <t>Retail / distribution|&lt;10x</t>
        </is>
      </c>
    </row>
    <row r="121">
      <c r="A121" s="17" t="inlineStr">
        <is>
          <t>Retail / distribution</t>
        </is>
      </c>
      <c r="B121" s="17" t="inlineStr">
        <is>
          <t>&gt;=1000x</t>
        </is>
      </c>
      <c r="C121" s="171" t="n">
        <v>5</v>
      </c>
      <c r="D121" s="183" t="n">
        <v>44</v>
      </c>
      <c r="E121" s="177" t="n">
        <v>100</v>
      </c>
      <c r="G121" s="2" t="inlineStr">
        <is>
          <t>Retail / distribution|&gt;=1000x</t>
        </is>
      </c>
    </row>
    <row r="122">
      <c r="A122" s="17" t="inlineStr">
        <is>
          <t>Robotics &amp; autonomous driving</t>
        </is>
      </c>
      <c r="B122" s="17" t="inlineStr">
        <is>
          <t>10-100x</t>
        </is>
      </c>
      <c r="C122" s="171" t="n">
        <v>4</v>
      </c>
      <c r="D122" s="183" t="n">
        <v>-11.5</v>
      </c>
      <c r="E122" s="177" t="n">
        <v>25</v>
      </c>
      <c r="G122" s="2" t="inlineStr">
        <is>
          <t>Robotics &amp; autonomous driving|10-100x</t>
        </is>
      </c>
    </row>
    <row r="123">
      <c r="A123" s="17" t="inlineStr">
        <is>
          <t>Robotics &amp; autonomous driving</t>
        </is>
      </c>
      <c r="B123" s="17" t="inlineStr">
        <is>
          <t>100-1000x</t>
        </is>
      </c>
      <c r="C123" s="171" t="n">
        <v>7</v>
      </c>
      <c r="D123" s="183" t="n">
        <v>10</v>
      </c>
      <c r="E123" s="177" t="n">
        <v>86</v>
      </c>
      <c r="G123" s="2" t="inlineStr">
        <is>
          <t>Robotics &amp; autonomous driving|100-1000x</t>
        </is>
      </c>
    </row>
    <row r="124">
      <c r="A124" s="17" t="inlineStr">
        <is>
          <t>Robotics &amp; autonomous driving</t>
        </is>
      </c>
      <c r="B124" s="17" t="inlineStr">
        <is>
          <t>&lt;10x</t>
        </is>
      </c>
      <c r="C124" s="171" t="n">
        <v>4</v>
      </c>
      <c r="D124" s="183" t="n">
        <v>0.4</v>
      </c>
      <c r="E124" s="177" t="n">
        <v>50</v>
      </c>
      <c r="G124" s="2" t="inlineStr">
        <is>
          <t>Robotics &amp; autonomous driving|&lt;10x</t>
        </is>
      </c>
    </row>
    <row r="125">
      <c r="A125" s="17" t="inlineStr">
        <is>
          <t>Robotics &amp; autonomous driving</t>
        </is>
      </c>
      <c r="B125" s="17" t="inlineStr">
        <is>
          <t>&gt;=1000x</t>
        </is>
      </c>
      <c r="C125" s="171" t="n">
        <v>8</v>
      </c>
      <c r="D125" s="183" t="n">
        <v>17.1</v>
      </c>
      <c r="E125" s="177" t="n">
        <v>75</v>
      </c>
      <c r="G125" s="2" t="inlineStr">
        <is>
          <t>Robotics &amp; autonomous driving|&gt;=1000x</t>
        </is>
      </c>
    </row>
    <row r="126">
      <c r="A126" s="17" t="inlineStr">
        <is>
          <t>SaaS / enterprise software</t>
        </is>
      </c>
      <c r="B126" s="17" t="inlineStr">
        <is>
          <t>10-100x</t>
        </is>
      </c>
      <c r="C126" s="171" t="n">
        <v>9</v>
      </c>
      <c r="D126" s="183" t="n">
        <v>0.6</v>
      </c>
      <c r="E126" s="177" t="n">
        <v>67</v>
      </c>
      <c r="G126" s="2" t="inlineStr">
        <is>
          <t>SaaS / enterprise software|10-100x</t>
        </is>
      </c>
    </row>
    <row r="127">
      <c r="A127" s="17" t="inlineStr">
        <is>
          <t>SaaS / enterprise software</t>
        </is>
      </c>
      <c r="B127" s="17" t="inlineStr">
        <is>
          <t>100-1000x</t>
        </is>
      </c>
      <c r="C127" s="171" t="n">
        <v>4</v>
      </c>
      <c r="D127" s="183" t="n">
        <v>1</v>
      </c>
      <c r="E127" s="177" t="n">
        <v>50</v>
      </c>
      <c r="G127" s="2" t="inlineStr">
        <is>
          <t>SaaS / enterprise software|100-1000x</t>
        </is>
      </c>
    </row>
    <row r="128">
      <c r="A128" s="17" t="inlineStr">
        <is>
          <t>SaaS / enterprise software</t>
        </is>
      </c>
      <c r="B128" s="17" t="inlineStr">
        <is>
          <t>&lt;10x</t>
        </is>
      </c>
      <c r="C128" s="171" t="n">
        <v>7</v>
      </c>
      <c r="D128" s="183" t="n">
        <v>0</v>
      </c>
      <c r="E128" s="177" t="n">
        <v>43</v>
      </c>
      <c r="G128" s="2" t="inlineStr">
        <is>
          <t>SaaS / enterprise software|&lt;10x</t>
        </is>
      </c>
    </row>
    <row r="129">
      <c r="A129" s="17" t="inlineStr">
        <is>
          <t>SaaS / enterprise software</t>
        </is>
      </c>
      <c r="B129" s="17" t="inlineStr">
        <is>
          <t>&gt;=1000x</t>
        </is>
      </c>
      <c r="C129" s="171" t="n">
        <v>5</v>
      </c>
      <c r="D129" s="183" t="n">
        <v>117.9</v>
      </c>
      <c r="E129" s="177" t="n">
        <v>100</v>
      </c>
      <c r="G129" s="2" t="inlineStr">
        <is>
          <t>SaaS / enterprise software|&gt;=1000x</t>
        </is>
      </c>
    </row>
    <row r="130">
      <c r="A130" s="17" t="inlineStr">
        <is>
          <t>Smart hardware / consumer electronics</t>
        </is>
      </c>
      <c r="B130" s="17" t="inlineStr">
        <is>
          <t>10-100x</t>
        </is>
      </c>
      <c r="C130" s="171" t="n">
        <v>5</v>
      </c>
      <c r="D130" s="183" t="n">
        <v>-1</v>
      </c>
      <c r="E130" s="177" t="n">
        <v>40</v>
      </c>
      <c r="G130" s="2" t="inlineStr">
        <is>
          <t>Smart hardware / consumer electronics|10-100x</t>
        </is>
      </c>
    </row>
    <row r="131">
      <c r="A131" s="17" t="inlineStr">
        <is>
          <t>Smart hardware / consumer electronics</t>
        </is>
      </c>
      <c r="B131" s="17" t="inlineStr">
        <is>
          <t>100-1000x</t>
        </is>
      </c>
      <c r="C131" s="171" t="n">
        <v>11</v>
      </c>
      <c r="D131" s="183" t="n">
        <v>4.7</v>
      </c>
      <c r="E131" s="177" t="n">
        <v>64</v>
      </c>
      <c r="G131" s="2" t="inlineStr">
        <is>
          <t>Smart hardware / consumer electronics|100-1000x</t>
        </is>
      </c>
    </row>
    <row r="132">
      <c r="A132" s="17" t="inlineStr">
        <is>
          <t>Smart hardware / consumer electronics</t>
        </is>
      </c>
      <c r="B132" s="17" t="inlineStr">
        <is>
          <t>&lt;10x</t>
        </is>
      </c>
      <c r="C132" s="171" t="n">
        <v>4</v>
      </c>
      <c r="D132" s="183" t="n">
        <v>-3.4</v>
      </c>
      <c r="E132" s="177" t="n">
        <v>25</v>
      </c>
      <c r="G132" s="2" t="inlineStr">
        <is>
          <t>Smart hardware / consumer electronics|&lt;10x</t>
        </is>
      </c>
    </row>
    <row r="133">
      <c r="A133" s="17" t="inlineStr">
        <is>
          <t>Smart hardware / consumer electronics</t>
        </is>
      </c>
      <c r="B133" s="17" t="inlineStr">
        <is>
          <t>&gt;=1000x</t>
        </is>
      </c>
      <c r="C133" s="171" t="n">
        <v>10</v>
      </c>
      <c r="D133" s="183" t="n">
        <v>18.1</v>
      </c>
      <c r="E133" s="177" t="n">
        <v>100</v>
      </c>
      <c r="G133" s="2" t="inlineStr">
        <is>
          <t>Smart hardware / consumer electronics|&gt;=1000x</t>
        </is>
      </c>
    </row>
    <row r="134">
      <c r="A134" s="17" t="inlineStr">
        <is>
          <t>Solar / wind supply chain</t>
        </is>
      </c>
      <c r="B134" s="17" t="inlineStr">
        <is>
          <t>100-1000x</t>
        </is>
      </c>
      <c r="C134" s="171" t="n">
        <v>1</v>
      </c>
      <c r="D134" s="183" t="n">
        <v>0</v>
      </c>
      <c r="E134" s="177" t="n">
        <v>0</v>
      </c>
      <c r="G134" s="2" t="inlineStr">
        <is>
          <t>Solar / wind supply chain|100-1000x</t>
        </is>
      </c>
    </row>
    <row r="135">
      <c r="A135" s="17" t="inlineStr">
        <is>
          <t>Solar / wind supply chain</t>
        </is>
      </c>
      <c r="B135" s="17" t="inlineStr">
        <is>
          <t>&lt;10x</t>
        </is>
      </c>
      <c r="C135" s="171" t="n">
        <v>1</v>
      </c>
      <c r="D135" s="183" t="n">
        <v>20.1</v>
      </c>
      <c r="E135" s="177" t="n">
        <v>100</v>
      </c>
      <c r="G135" s="2" t="inlineStr">
        <is>
          <t>Solar / wind supply chain|&lt;10x</t>
        </is>
      </c>
    </row>
    <row r="136">
      <c r="A136" s="17" t="inlineStr">
        <is>
          <t>TCM</t>
        </is>
      </c>
      <c r="B136" s="17" t="inlineStr">
        <is>
          <t>10-100x</t>
        </is>
      </c>
      <c r="C136" s="171" t="n">
        <v>1</v>
      </c>
      <c r="D136" s="183" t="n">
        <v>6.8</v>
      </c>
      <c r="E136" s="177" t="n">
        <v>100</v>
      </c>
      <c r="G136" s="2" t="inlineStr">
        <is>
          <t>TCM|10-100x</t>
        </is>
      </c>
    </row>
    <row r="137">
      <c r="A137" s="17" t="inlineStr">
        <is>
          <t>TCM</t>
        </is>
      </c>
      <c r="B137" s="17" t="inlineStr">
        <is>
          <t>100-1000x</t>
        </is>
      </c>
      <c r="C137" s="171" t="n">
        <v>1</v>
      </c>
      <c r="D137" s="183" t="n">
        <v>-39.1</v>
      </c>
      <c r="E137" s="177" t="n">
        <v>0</v>
      </c>
      <c r="G137" s="2" t="inlineStr">
        <is>
          <t>TCM|100-1000x</t>
        </is>
      </c>
    </row>
    <row r="138">
      <c r="A138" s="17" t="inlineStr">
        <is>
          <t>TCM</t>
        </is>
      </c>
      <c r="B138" s="17" t="inlineStr">
        <is>
          <t>&lt;10x</t>
        </is>
      </c>
      <c r="C138" s="171" t="n">
        <v>1</v>
      </c>
      <c r="D138" s="183" t="n">
        <v>0</v>
      </c>
      <c r="E138" s="177" t="n">
        <v>0</v>
      </c>
      <c r="G138" s="2" t="inlineStr">
        <is>
          <t>TCM|&lt;10x</t>
        </is>
      </c>
    </row>
    <row r="139">
      <c r="A139" s="17" t="inlineStr">
        <is>
          <t>TCM</t>
        </is>
      </c>
      <c r="B139" s="17" t="inlineStr">
        <is>
          <t>&gt;=1000x</t>
        </is>
      </c>
      <c r="C139" s="171" t="n">
        <v>1</v>
      </c>
      <c r="D139" s="183" t="n">
        <v>10.4</v>
      </c>
      <c r="E139" s="177" t="n">
        <v>100</v>
      </c>
      <c r="G139" s="2" t="inlineStr">
        <is>
          <t>TCM|&gt;=1000x</t>
        </is>
      </c>
    </row>
    <row r="140">
      <c r="A140" s="17" t="inlineStr">
        <is>
          <t>Telecom</t>
        </is>
      </c>
      <c r="B140" s="17" t="inlineStr">
        <is>
          <t>100-1000x</t>
        </is>
      </c>
      <c r="C140" s="171" t="n">
        <v>1</v>
      </c>
      <c r="D140" s="183" t="n">
        <v>-46.4</v>
      </c>
      <c r="E140" s="177" t="n">
        <v>0</v>
      </c>
      <c r="G140" s="2" t="inlineStr">
        <is>
          <t>Telecom|100-1000x</t>
        </is>
      </c>
    </row>
    <row r="141">
      <c r="A141" s="17" t="inlineStr">
        <is>
          <t>Telecom</t>
        </is>
      </c>
      <c r="B141" s="17" t="inlineStr">
        <is>
          <t>&lt;10x</t>
        </is>
      </c>
      <c r="C141" s="171" t="n">
        <v>1</v>
      </c>
      <c r="D141" s="183" t="n">
        <v>-11.2</v>
      </c>
      <c r="E141" s="177" t="n">
        <v>0</v>
      </c>
      <c r="G141" s="2" t="inlineStr">
        <is>
          <t>Telecom|&lt;10x</t>
        </is>
      </c>
    </row>
    <row r="142"/>
    <row r="143">
      <c r="A143" s="169"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71" t="n">
        <v>17</v>
      </c>
      <c r="C145" s="183" t="n">
        <v>44.6</v>
      </c>
      <c r="D145" s="177" t="n">
        <v>82</v>
      </c>
      <c r="E145" s="184" t="n">
        <v>92</v>
      </c>
      <c r="F145" s="184" t="n">
        <v>14.1</v>
      </c>
      <c r="G145" s="171" t="n">
        <v>2</v>
      </c>
      <c r="H145" s="171" t="n">
        <v>15</v>
      </c>
    </row>
    <row r="146">
      <c r="A146" s="17" t="inlineStr">
        <is>
          <t>AI chips &amp; semis</t>
        </is>
      </c>
      <c r="B146" s="171" t="n">
        <v>27</v>
      </c>
      <c r="C146" s="183" t="n">
        <v>8.4</v>
      </c>
      <c r="D146" s="177" t="n">
        <v>74</v>
      </c>
      <c r="E146" s="184" t="n">
        <v>87.8</v>
      </c>
      <c r="F146" s="184" t="n">
        <v>12.3</v>
      </c>
      <c r="G146" s="171" t="n">
        <v>14</v>
      </c>
      <c r="H146" s="171" t="n">
        <v>25</v>
      </c>
    </row>
    <row r="147">
      <c r="A147" s="17" t="inlineStr">
        <is>
          <t>Apparel / luxury</t>
        </is>
      </c>
      <c r="B147" s="171" t="n">
        <v>6</v>
      </c>
      <c r="C147" s="183" t="n">
        <v>16.2</v>
      </c>
      <c r="D147" s="177" t="n">
        <v>67</v>
      </c>
      <c r="E147" s="184" t="n">
        <v>15.7</v>
      </c>
      <c r="F147" s="184" t="n">
        <v>1.7</v>
      </c>
      <c r="G147" s="171" t="n">
        <v>6</v>
      </c>
      <c r="H147" s="171" t="n">
        <v>5</v>
      </c>
    </row>
    <row r="148">
      <c r="A148" s="17" t="inlineStr">
        <is>
          <t>Auto parts / supply chain</t>
        </is>
      </c>
      <c r="B148" s="171" t="n">
        <v>9</v>
      </c>
      <c r="C148" s="183" t="n">
        <v>2.1</v>
      </c>
      <c r="D148" s="177" t="n">
        <v>56</v>
      </c>
      <c r="E148" s="184" t="n">
        <v>27.3</v>
      </c>
      <c r="F148" s="184" t="n">
        <v>3</v>
      </c>
      <c r="G148" s="171" t="n">
        <v>5</v>
      </c>
      <c r="H148" s="171" t="n">
        <v>9</v>
      </c>
    </row>
    <row r="149">
      <c r="A149" s="17" t="inlineStr">
        <is>
          <t>Autos (NEV OEM)</t>
        </is>
      </c>
      <c r="B149" s="171" t="n">
        <v>6</v>
      </c>
      <c r="C149" s="183" t="n">
        <v>0</v>
      </c>
      <c r="D149" s="177" t="n">
        <v>33</v>
      </c>
      <c r="E149" s="184" t="n">
        <v>18.1</v>
      </c>
      <c r="F149" s="184" t="n">
        <v>1.4</v>
      </c>
      <c r="G149" s="171" t="n">
        <v>2</v>
      </c>
      <c r="H149" s="171" t="n">
        <v>5</v>
      </c>
    </row>
    <row r="150">
      <c r="A150" s="17" t="inlineStr">
        <is>
          <t>Banks</t>
        </is>
      </c>
      <c r="B150" s="171" t="n">
        <v>2</v>
      </c>
      <c r="C150" s="183" t="n">
        <v>2.5</v>
      </c>
      <c r="D150" s="177" t="n">
        <v>100</v>
      </c>
      <c r="E150" s="184" t="n">
        <v>20.1</v>
      </c>
      <c r="F150" s="184" t="n">
        <v>4.4</v>
      </c>
      <c r="G150" s="171" t="n">
        <v>1</v>
      </c>
      <c r="H150" s="171" t="n">
        <v>1</v>
      </c>
    </row>
    <row r="151">
      <c r="A151" s="17" t="inlineStr">
        <is>
          <t>Batteries / energy storage</t>
        </is>
      </c>
      <c r="B151" s="171" t="n">
        <v>13</v>
      </c>
      <c r="C151" s="183" t="n">
        <v>1.4</v>
      </c>
      <c r="D151" s="177" t="n">
        <v>69</v>
      </c>
      <c r="E151" s="184" t="n">
        <v>19.8</v>
      </c>
      <c r="F151" s="184" t="n">
        <v>4.5</v>
      </c>
      <c r="G151" s="171" t="n">
        <v>5</v>
      </c>
      <c r="H151" s="171" t="n">
        <v>13</v>
      </c>
    </row>
    <row r="152">
      <c r="A152" s="17" t="inlineStr">
        <is>
          <t>Beauty / personal care</t>
        </is>
      </c>
      <c r="B152" s="171" t="n">
        <v>7</v>
      </c>
      <c r="C152" s="183" t="n">
        <v>9.300000000000001</v>
      </c>
      <c r="D152" s="177" t="n">
        <v>57</v>
      </c>
      <c r="E152" s="184" t="n">
        <v>21.3</v>
      </c>
      <c r="F152" s="184" t="n">
        <v>4.3</v>
      </c>
      <c r="G152" s="171" t="n">
        <v>6</v>
      </c>
      <c r="H152" s="171" t="n">
        <v>7</v>
      </c>
    </row>
    <row r="153">
      <c r="A153" s="17" t="inlineStr">
        <is>
          <t>Beverages / packaged food</t>
        </is>
      </c>
      <c r="B153" s="171" t="n">
        <v>25</v>
      </c>
      <c r="C153" s="183" t="n">
        <v>1.5</v>
      </c>
      <c r="D153" s="177" t="n">
        <v>56</v>
      </c>
      <c r="E153" s="184" t="n">
        <v>18.1</v>
      </c>
      <c r="F153" s="184" t="n">
        <v>2.3</v>
      </c>
      <c r="G153" s="171" t="n">
        <v>24</v>
      </c>
      <c r="H153" s="171" t="n">
        <v>25</v>
      </c>
    </row>
    <row r="154">
      <c r="A154" s="17" t="inlineStr">
        <is>
          <t>Biopharma commercial</t>
        </is>
      </c>
      <c r="B154" s="171" t="n">
        <v>9</v>
      </c>
      <c r="C154" s="183" t="n">
        <v>25.2</v>
      </c>
      <c r="D154" s="177" t="n">
        <v>78</v>
      </c>
      <c r="E154" s="184" t="n">
        <v>28.6</v>
      </c>
      <c r="F154" s="184" t="n">
        <v>10.2</v>
      </c>
      <c r="G154" s="171" t="n">
        <v>6</v>
      </c>
      <c r="H154" s="171" t="n">
        <v>8</v>
      </c>
    </row>
    <row r="155">
      <c r="A155" s="17" t="inlineStr">
        <is>
          <t>Biotech pre-revenue (18A)</t>
        </is>
      </c>
      <c r="B155" s="171" t="n">
        <v>49</v>
      </c>
      <c r="C155" s="183" t="n">
        <v>7.7</v>
      </c>
      <c r="D155" s="177" t="n">
        <v>69</v>
      </c>
      <c r="E155" s="184" t="n"/>
      <c r="F155" s="184" t="n">
        <v>25.7</v>
      </c>
      <c r="G155" s="171" t="n">
        <v>0</v>
      </c>
      <c r="H155" s="171" t="n">
        <v>9</v>
      </c>
    </row>
    <row r="156">
      <c r="A156" s="17" t="inlineStr">
        <is>
          <t>Brokers / asset management</t>
        </is>
      </c>
      <c r="B156" s="171" t="n">
        <v>4</v>
      </c>
      <c r="C156" s="183" t="n">
        <v>-14.3</v>
      </c>
      <c r="D156" s="177" t="n">
        <v>25</v>
      </c>
      <c r="E156" s="184" t="n">
        <v>20.8</v>
      </c>
      <c r="F156" s="184" t="n">
        <v>5</v>
      </c>
      <c r="G156" s="171" t="n">
        <v>3</v>
      </c>
      <c r="H156" s="171" t="n">
        <v>3</v>
      </c>
    </row>
    <row r="157">
      <c r="A157" s="17" t="inlineStr">
        <is>
          <t>CXO / pharma services</t>
        </is>
      </c>
      <c r="B157" s="171" t="n">
        <v>9</v>
      </c>
      <c r="C157" s="183" t="n">
        <v>0.7</v>
      </c>
      <c r="D157" s="177" t="n">
        <v>56</v>
      </c>
      <c r="E157" s="184" t="n">
        <v>66.7</v>
      </c>
      <c r="F157" s="184" t="n">
        <v>12.4</v>
      </c>
      <c r="G157" s="171" t="n">
        <v>7</v>
      </c>
      <c r="H157" s="171" t="n">
        <v>8</v>
      </c>
    </row>
    <row r="158">
      <c r="A158" s="17" t="inlineStr">
        <is>
          <t>Capital goods / machinery</t>
        </is>
      </c>
      <c r="B158" s="171" t="n">
        <v>18</v>
      </c>
      <c r="C158" s="183" t="n">
        <v>1.9</v>
      </c>
      <c r="D158" s="177" t="n">
        <v>61</v>
      </c>
      <c r="E158" s="184" t="n">
        <v>27.5</v>
      </c>
      <c r="F158" s="184" t="n">
        <v>5.9</v>
      </c>
      <c r="G158" s="171" t="n">
        <v>13</v>
      </c>
      <c r="H158" s="171" t="n">
        <v>17</v>
      </c>
    </row>
    <row r="159">
      <c r="A159" s="17" t="inlineStr">
        <is>
          <t>Chemicals</t>
        </is>
      </c>
      <c r="B159" s="171" t="n">
        <v>14</v>
      </c>
      <c r="C159" s="183" t="n">
        <v>0.1</v>
      </c>
      <c r="D159" s="177" t="n">
        <v>50</v>
      </c>
      <c r="E159" s="184" t="n">
        <v>8.9</v>
      </c>
      <c r="F159" s="184" t="n">
        <v>1.2</v>
      </c>
      <c r="G159" s="171" t="n">
        <v>12</v>
      </c>
      <c r="H159" s="171" t="n">
        <v>14</v>
      </c>
    </row>
    <row r="160">
      <c r="A160" s="17" t="inlineStr">
        <is>
          <t>Construction / engineering</t>
        </is>
      </c>
      <c r="B160" s="171" t="n">
        <v>16</v>
      </c>
      <c r="C160" s="183" t="n">
        <v>-7.5</v>
      </c>
      <c r="D160" s="177" t="n">
        <v>44</v>
      </c>
      <c r="E160" s="184" t="n">
        <v>12.2</v>
      </c>
      <c r="F160" s="184" t="n">
        <v>1.4</v>
      </c>
      <c r="G160" s="171" t="n">
        <v>15</v>
      </c>
      <c r="H160" s="171" t="n">
        <v>14</v>
      </c>
    </row>
    <row r="161">
      <c r="A161" s="17" t="inlineStr">
        <is>
          <t>Consumer services / education</t>
        </is>
      </c>
      <c r="B161" s="171" t="n">
        <v>4</v>
      </c>
      <c r="C161" s="183" t="n">
        <v>6.1</v>
      </c>
      <c r="D161" s="177" t="n">
        <v>50</v>
      </c>
      <c r="E161" s="184" t="n">
        <v>13.7</v>
      </c>
      <c r="F161" s="184" t="n">
        <v>5.3</v>
      </c>
      <c r="G161" s="171" t="n">
        <v>3</v>
      </c>
      <c r="H161" s="171" t="n">
        <v>4</v>
      </c>
    </row>
    <row r="162">
      <c r="A162" s="17" t="inlineStr">
        <is>
          <t>Data center / cloud infra</t>
        </is>
      </c>
      <c r="B162" s="171" t="n">
        <v>2</v>
      </c>
      <c r="C162" s="183" t="n">
        <v>-37.1</v>
      </c>
      <c r="D162" s="177" t="n">
        <v>0</v>
      </c>
      <c r="E162" s="184" t="n">
        <v>135.6</v>
      </c>
      <c r="F162" s="184" t="n">
        <v>3.2</v>
      </c>
      <c r="G162" s="171" t="n">
        <v>1</v>
      </c>
      <c r="H162" s="171" t="n">
        <v>2</v>
      </c>
    </row>
    <row r="163">
      <c r="A163" s="17" t="inlineStr">
        <is>
          <t>Developers</t>
        </is>
      </c>
      <c r="B163" s="171" t="n">
        <v>1</v>
      </c>
      <c r="C163" s="183" t="n">
        <v>0</v>
      </c>
      <c r="D163" s="177" t="n">
        <v>0</v>
      </c>
      <c r="E163" s="184" t="n">
        <v>6.9</v>
      </c>
      <c r="F163" s="184" t="n">
        <v>0.6</v>
      </c>
      <c r="G163" s="171" t="n">
        <v>1</v>
      </c>
      <c r="H163" s="171" t="n">
        <v>1</v>
      </c>
    </row>
    <row r="164">
      <c r="A164" s="17" t="inlineStr">
        <is>
          <t>Digital health</t>
        </is>
      </c>
      <c r="B164" s="171" t="n">
        <v>17</v>
      </c>
      <c r="C164" s="183" t="n">
        <v>5.5</v>
      </c>
      <c r="D164" s="177" t="n">
        <v>59</v>
      </c>
      <c r="E164" s="184" t="n">
        <v>43.7</v>
      </c>
      <c r="F164" s="184" t="n">
        <v>5.9</v>
      </c>
      <c r="G164" s="171" t="n">
        <v>5</v>
      </c>
      <c r="H164" s="171" t="n">
        <v>13</v>
      </c>
    </row>
    <row r="165">
      <c r="A165" s="17" t="inlineStr">
        <is>
          <t>F&amp;B chains / restaurants</t>
        </is>
      </c>
      <c r="B165" s="171" t="n">
        <v>10</v>
      </c>
      <c r="C165" s="183" t="n">
        <v>-3.3</v>
      </c>
      <c r="D165" s="177" t="n">
        <v>40</v>
      </c>
      <c r="E165" s="184" t="n">
        <v>20.4</v>
      </c>
      <c r="F165" s="184" t="n">
        <v>3.1</v>
      </c>
      <c r="G165" s="171" t="n">
        <v>7</v>
      </c>
      <c r="H165" s="171" t="n">
        <v>10</v>
      </c>
    </row>
    <row r="166">
      <c r="A166" s="17" t="inlineStr">
        <is>
          <t>Fintech platform</t>
        </is>
      </c>
      <c r="B166" s="171" t="n">
        <v>7</v>
      </c>
      <c r="C166" s="183" t="n">
        <v>-0.6</v>
      </c>
      <c r="D166" s="177" t="n">
        <v>29</v>
      </c>
      <c r="E166" s="184" t="n">
        <v>8.9</v>
      </c>
      <c r="F166" s="184" t="n">
        <v>7.7</v>
      </c>
      <c r="G166" s="171" t="n">
        <v>2</v>
      </c>
      <c r="H166" s="171" t="n">
        <v>6</v>
      </c>
    </row>
    <row r="167">
      <c r="A167" s="17" t="inlineStr">
        <is>
          <t>Hospitals / clinics</t>
        </is>
      </c>
      <c r="B167" s="171" t="n">
        <v>9</v>
      </c>
      <c r="C167" s="183" t="n">
        <v>0.1</v>
      </c>
      <c r="D167" s="177" t="n">
        <v>56</v>
      </c>
      <c r="E167" s="184" t="n">
        <v>42.5</v>
      </c>
      <c r="F167" s="184" t="n">
        <v>4.8</v>
      </c>
      <c r="G167" s="171" t="n">
        <v>6</v>
      </c>
      <c r="H167" s="171" t="n">
        <v>9</v>
      </c>
    </row>
    <row r="168">
      <c r="A168" s="17" t="inlineStr">
        <is>
          <t>Insurance</t>
        </is>
      </c>
      <c r="B168" s="171" t="n">
        <v>7</v>
      </c>
      <c r="C168" s="183" t="n">
        <v>4.7</v>
      </c>
      <c r="D168" s="177" t="n">
        <v>71</v>
      </c>
      <c r="E168" s="184" t="n">
        <v>17.4</v>
      </c>
      <c r="F168" s="184" t="n">
        <v>3</v>
      </c>
      <c r="G168" s="171" t="n">
        <v>3</v>
      </c>
      <c r="H168" s="171" t="n">
        <v>6</v>
      </c>
    </row>
    <row r="169">
      <c r="A169" s="17" t="inlineStr">
        <is>
          <t>Internet platform / e-commerce</t>
        </is>
      </c>
      <c r="B169" s="171" t="n">
        <v>23</v>
      </c>
      <c r="C169" s="183" t="n">
        <v>0.3</v>
      </c>
      <c r="D169" s="177" t="n">
        <v>52</v>
      </c>
      <c r="E169" s="184" t="n">
        <v>30</v>
      </c>
      <c r="F169" s="184" t="n">
        <v>3.8</v>
      </c>
      <c r="G169" s="171" t="n">
        <v>12</v>
      </c>
      <c r="H169" s="171" t="n">
        <v>20</v>
      </c>
    </row>
    <row r="170">
      <c r="A170" s="17" t="inlineStr">
        <is>
          <t>LLM / foundation model</t>
        </is>
      </c>
      <c r="B170" s="171" t="n">
        <v>2</v>
      </c>
      <c r="C170" s="183" t="n">
        <v>61.1</v>
      </c>
      <c r="D170" s="177" t="n">
        <v>100</v>
      </c>
      <c r="E170" s="184" t="n"/>
      <c r="F170" s="184" t="n"/>
      <c r="G170" s="171" t="n">
        <v>0</v>
      </c>
      <c r="H170" s="171" t="n">
        <v>0</v>
      </c>
    </row>
    <row r="171">
      <c r="A171" s="17" t="inlineStr">
        <is>
          <t>Logistics</t>
        </is>
      </c>
      <c r="B171" s="171" t="n">
        <v>15</v>
      </c>
      <c r="C171" s="183" t="n">
        <v>-0.6</v>
      </c>
      <c r="D171" s="177" t="n">
        <v>27</v>
      </c>
      <c r="E171" s="184" t="n">
        <v>14.3</v>
      </c>
      <c r="F171" s="184" t="n">
        <v>1.1</v>
      </c>
      <c r="G171" s="171" t="n">
        <v>10</v>
      </c>
      <c r="H171" s="171" t="n">
        <v>14</v>
      </c>
    </row>
    <row r="172">
      <c r="A172" s="17" t="inlineStr">
        <is>
          <t>Media / advertising</t>
        </is>
      </c>
      <c r="B172" s="171" t="n">
        <v>19</v>
      </c>
      <c r="C172" s="183" t="n">
        <v>16.6</v>
      </c>
      <c r="D172" s="177" t="n">
        <v>63</v>
      </c>
      <c r="E172" s="184" t="n">
        <v>27.8</v>
      </c>
      <c r="F172" s="184" t="n">
        <v>4.3</v>
      </c>
      <c r="G172" s="171" t="n">
        <v>17</v>
      </c>
      <c r="H172" s="171" t="n">
        <v>18</v>
      </c>
    </row>
    <row r="173">
      <c r="A173" s="17" t="inlineStr">
        <is>
          <t>Medical devices</t>
        </is>
      </c>
      <c r="B173" s="171" t="n">
        <v>26</v>
      </c>
      <c r="C173" s="183" t="n">
        <v>1.4</v>
      </c>
      <c r="D173" s="177" t="n">
        <v>54</v>
      </c>
      <c r="E173" s="184" t="n">
        <v>146.8</v>
      </c>
      <c r="F173" s="184" t="n">
        <v>10.1</v>
      </c>
      <c r="G173" s="171" t="n">
        <v>7</v>
      </c>
      <c r="H173" s="171" t="n">
        <v>10</v>
      </c>
    </row>
    <row r="174">
      <c r="A174" s="17" t="inlineStr">
        <is>
          <t>Mining / metals</t>
        </is>
      </c>
      <c r="B174" s="171" t="n">
        <v>13</v>
      </c>
      <c r="C174" s="183" t="n">
        <v>2.2</v>
      </c>
      <c r="D174" s="177" t="n">
        <v>62</v>
      </c>
      <c r="E174" s="184" t="n">
        <v>16.4</v>
      </c>
      <c r="F174" s="184" t="n">
        <v>3</v>
      </c>
      <c r="G174" s="171" t="n">
        <v>11</v>
      </c>
      <c r="H174" s="171" t="n">
        <v>11</v>
      </c>
    </row>
    <row r="175">
      <c r="A175" s="17" t="inlineStr">
        <is>
          <t>Oil &amp; gas / utilities</t>
        </is>
      </c>
      <c r="B175" s="171" t="n">
        <v>5</v>
      </c>
      <c r="C175" s="183" t="n">
        <v>0</v>
      </c>
      <c r="D175" s="177" t="n">
        <v>20</v>
      </c>
      <c r="E175" s="184" t="n">
        <v>9.300000000000001</v>
      </c>
      <c r="F175" s="184" t="n">
        <v>0.7</v>
      </c>
      <c r="G175" s="171" t="n">
        <v>5</v>
      </c>
      <c r="H175" s="171" t="n">
        <v>5</v>
      </c>
    </row>
    <row r="176">
      <c r="A176" s="17" t="inlineStr">
        <is>
          <t>Property management</t>
        </is>
      </c>
      <c r="B176" s="171" t="n">
        <v>24</v>
      </c>
      <c r="C176" s="183" t="n">
        <v>0</v>
      </c>
      <c r="D176" s="177" t="n">
        <v>38</v>
      </c>
      <c r="E176" s="184" t="n">
        <v>15.8</v>
      </c>
      <c r="F176" s="184" t="n">
        <v>2.5</v>
      </c>
      <c r="G176" s="171" t="n">
        <v>22</v>
      </c>
      <c r="H176" s="171" t="n">
        <v>23</v>
      </c>
    </row>
    <row r="177">
      <c r="A177" s="17" t="inlineStr">
        <is>
          <t>REITs / asset-light</t>
        </is>
      </c>
      <c r="B177" s="171" t="n">
        <v>1</v>
      </c>
      <c r="C177" s="183" t="n">
        <v>-16.5</v>
      </c>
      <c r="D177" s="177" t="n">
        <v>0</v>
      </c>
      <c r="E177" s="184" t="n">
        <v>153.5</v>
      </c>
      <c r="F177" s="184" t="n">
        <v>14.8</v>
      </c>
      <c r="G177" s="171" t="n">
        <v>1</v>
      </c>
      <c r="H177" s="171" t="n">
        <v>1</v>
      </c>
    </row>
    <row r="178">
      <c r="A178" s="17" t="inlineStr">
        <is>
          <t>Retail / distribution</t>
        </is>
      </c>
      <c r="B178" s="171" t="n">
        <v>17</v>
      </c>
      <c r="C178" s="183" t="n">
        <v>25</v>
      </c>
      <c r="D178" s="177" t="n">
        <v>59</v>
      </c>
      <c r="E178" s="184" t="n">
        <v>22.6</v>
      </c>
      <c r="F178" s="184" t="n">
        <v>1.8</v>
      </c>
      <c r="G178" s="171" t="n">
        <v>12</v>
      </c>
      <c r="H178" s="171" t="n">
        <v>17</v>
      </c>
    </row>
    <row r="179">
      <c r="A179" s="17" t="inlineStr">
        <is>
          <t>Robotics &amp; autonomous driving</t>
        </is>
      </c>
      <c r="B179" s="171" t="n">
        <v>23</v>
      </c>
      <c r="C179" s="183" t="n">
        <v>4.3</v>
      </c>
      <c r="D179" s="177" t="n">
        <v>65</v>
      </c>
      <c r="E179" s="184" t="n"/>
      <c r="F179" s="184" t="n">
        <v>17.5</v>
      </c>
      <c r="G179" s="171" t="n">
        <v>0</v>
      </c>
      <c r="H179" s="171" t="n">
        <v>19</v>
      </c>
    </row>
    <row r="180">
      <c r="A180" s="17" t="inlineStr">
        <is>
          <t>SaaS / enterprise software</t>
        </is>
      </c>
      <c r="B180" s="171" t="n">
        <v>25</v>
      </c>
      <c r="C180" s="183" t="n">
        <v>2.6</v>
      </c>
      <c r="D180" s="177" t="n">
        <v>64</v>
      </c>
      <c r="E180" s="184" t="n">
        <v>29.6</v>
      </c>
      <c r="F180" s="184" t="n">
        <v>7.2</v>
      </c>
      <c r="G180" s="171" t="n">
        <v>11</v>
      </c>
      <c r="H180" s="171" t="n">
        <v>24</v>
      </c>
    </row>
    <row r="181">
      <c r="A181" s="17" t="inlineStr">
        <is>
          <t>Smart hardware / consumer electronics</t>
        </is>
      </c>
      <c r="B181" s="171" t="n">
        <v>30</v>
      </c>
      <c r="C181" s="183" t="n">
        <v>6.3</v>
      </c>
      <c r="D181" s="177" t="n">
        <v>67</v>
      </c>
      <c r="E181" s="184" t="n">
        <v>26.7</v>
      </c>
      <c r="F181" s="184" t="n">
        <v>2.5</v>
      </c>
      <c r="G181" s="171" t="n">
        <v>26</v>
      </c>
      <c r="H181" s="171" t="n">
        <v>28</v>
      </c>
    </row>
    <row r="182">
      <c r="A182" s="17" t="inlineStr">
        <is>
          <t>Solar / wind supply chain</t>
        </is>
      </c>
      <c r="B182" s="171" t="n">
        <v>2</v>
      </c>
      <c r="C182" s="183" t="n">
        <v>10</v>
      </c>
      <c r="D182" s="177" t="n">
        <v>50</v>
      </c>
      <c r="E182" s="184" t="n">
        <v>53.3</v>
      </c>
      <c r="F182" s="184" t="n">
        <v>6.3</v>
      </c>
      <c r="G182" s="171" t="n">
        <v>1</v>
      </c>
      <c r="H182" s="171" t="n">
        <v>2</v>
      </c>
    </row>
    <row r="183">
      <c r="A183" s="17" t="inlineStr">
        <is>
          <t>TCM</t>
        </is>
      </c>
      <c r="B183" s="171" t="n">
        <v>4</v>
      </c>
      <c r="C183" s="183" t="n">
        <v>3.4</v>
      </c>
      <c r="D183" s="177" t="n">
        <v>50</v>
      </c>
      <c r="E183" s="184" t="n">
        <v>16</v>
      </c>
      <c r="F183" s="184" t="n">
        <v>2.7</v>
      </c>
      <c r="G183" s="171" t="n">
        <v>3</v>
      </c>
      <c r="H183" s="171" t="n">
        <v>4</v>
      </c>
    </row>
    <row r="184">
      <c r="A184" s="17" t="inlineStr">
        <is>
          <t>Telecom</t>
        </is>
      </c>
      <c r="B184" s="171" t="n">
        <v>2</v>
      </c>
      <c r="C184" s="183" t="n">
        <v>-28.8</v>
      </c>
      <c r="D184" s="177" t="n">
        <v>0</v>
      </c>
      <c r="E184" s="184" t="n">
        <v>10.6</v>
      </c>
      <c r="F184" s="184" t="n">
        <v>5.1</v>
      </c>
      <c r="G184" s="171" t="n">
        <v>1</v>
      </c>
      <c r="H184" s="171" t="n">
        <v>2</v>
      </c>
    </row>
    <row r="185"/>
    <row r="186">
      <c r="A186" s="169"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71" t="n">
        <v>25</v>
      </c>
      <c r="D188" s="183" t="n">
        <v>2.1</v>
      </c>
      <c r="E188" s="177" t="n">
        <v>52</v>
      </c>
    </row>
    <row r="189">
      <c r="A189" s="17" t="inlineStr">
        <is>
          <t>2021</t>
        </is>
      </c>
      <c r="B189" s="17" t="inlineStr">
        <is>
          <t>100-1000x</t>
        </is>
      </c>
      <c r="C189" s="171" t="n">
        <v>26</v>
      </c>
      <c r="D189" s="183" t="n">
        <v>0.6</v>
      </c>
      <c r="E189" s="177" t="n">
        <v>50</v>
      </c>
    </row>
    <row r="190">
      <c r="A190" s="17" t="inlineStr">
        <is>
          <t>2021</t>
        </is>
      </c>
      <c r="B190" s="17" t="inlineStr">
        <is>
          <t>&lt;10x</t>
        </is>
      </c>
      <c r="C190" s="171" t="n">
        <v>36</v>
      </c>
      <c r="D190" s="183" t="n">
        <v>-0.4</v>
      </c>
      <c r="E190" s="177" t="n">
        <v>28</v>
      </c>
    </row>
    <row r="191">
      <c r="A191" s="17" t="inlineStr">
        <is>
          <t>2021</t>
        </is>
      </c>
      <c r="B191" s="17" t="inlineStr">
        <is>
          <t>&gt;=1000x</t>
        </is>
      </c>
      <c r="C191" s="171" t="n">
        <v>5</v>
      </c>
      <c r="D191" s="183" t="n">
        <v>131.8</v>
      </c>
      <c r="E191" s="177" t="n">
        <v>100</v>
      </c>
    </row>
    <row r="192">
      <c r="A192" s="17" t="inlineStr">
        <is>
          <t>2022</t>
        </is>
      </c>
      <c r="B192" s="17" t="inlineStr">
        <is>
          <t>10-100x</t>
        </is>
      </c>
      <c r="C192" s="171" t="n">
        <v>17</v>
      </c>
      <c r="D192" s="183" t="n">
        <v>0.6</v>
      </c>
      <c r="E192" s="177" t="n">
        <v>53</v>
      </c>
    </row>
    <row r="193">
      <c r="A193" s="17" t="inlineStr">
        <is>
          <t>2022</t>
        </is>
      </c>
      <c r="B193" s="17" t="inlineStr">
        <is>
          <t>100-1000x</t>
        </is>
      </c>
      <c r="C193" s="171" t="n">
        <v>1</v>
      </c>
      <c r="D193" s="183" t="n">
        <v>-27.1</v>
      </c>
      <c r="E193" s="177" t="n">
        <v>0</v>
      </c>
    </row>
    <row r="194">
      <c r="A194" s="17" t="inlineStr">
        <is>
          <t>2022</t>
        </is>
      </c>
      <c r="B194" s="17" t="inlineStr">
        <is>
          <t>&lt;10x</t>
        </is>
      </c>
      <c r="C194" s="171" t="n">
        <v>54</v>
      </c>
      <c r="D194" s="183" t="n">
        <v>0</v>
      </c>
      <c r="E194" s="177" t="n">
        <v>31</v>
      </c>
    </row>
    <row r="195">
      <c r="A195" s="17" t="inlineStr">
        <is>
          <t>2023</t>
        </is>
      </c>
      <c r="B195" s="17" t="inlineStr">
        <is>
          <t>10-100x</t>
        </is>
      </c>
      <c r="C195" s="171" t="n">
        <v>26</v>
      </c>
      <c r="D195" s="183" t="n">
        <v>6.2</v>
      </c>
      <c r="E195" s="177" t="n">
        <v>62</v>
      </c>
    </row>
    <row r="196">
      <c r="A196" s="17" t="inlineStr">
        <is>
          <t>2023</t>
        </is>
      </c>
      <c r="B196" s="17" t="inlineStr">
        <is>
          <t>100-1000x</t>
        </is>
      </c>
      <c r="C196" s="171" t="n">
        <v>1</v>
      </c>
      <c r="D196" s="183" t="n">
        <v>0</v>
      </c>
      <c r="E196" s="177" t="n">
        <v>0</v>
      </c>
    </row>
    <row r="197">
      <c r="A197" s="17" t="inlineStr">
        <is>
          <t>2023</t>
        </is>
      </c>
      <c r="B197" s="17" t="inlineStr">
        <is>
          <t>&lt;10x</t>
        </is>
      </c>
      <c r="C197" s="171" t="n">
        <v>41</v>
      </c>
      <c r="D197" s="183" t="n">
        <v>0.3</v>
      </c>
      <c r="E197" s="177" t="n">
        <v>51</v>
      </c>
    </row>
    <row r="198">
      <c r="A198" s="17" t="inlineStr">
        <is>
          <t>2024</t>
        </is>
      </c>
      <c r="B198" s="17" t="inlineStr">
        <is>
          <t>10-100x</t>
        </is>
      </c>
      <c r="C198" s="171" t="n">
        <v>23</v>
      </c>
      <c r="D198" s="183" t="n">
        <v>7.5</v>
      </c>
      <c r="E198" s="177" t="n">
        <v>65</v>
      </c>
    </row>
    <row r="199">
      <c r="A199" s="17" t="inlineStr">
        <is>
          <t>2024</t>
        </is>
      </c>
      <c r="B199" s="17" t="inlineStr">
        <is>
          <t>100-1000x</t>
        </is>
      </c>
      <c r="C199" s="171" t="n">
        <v>20</v>
      </c>
      <c r="D199" s="183" t="n">
        <v>5</v>
      </c>
      <c r="E199" s="177" t="n">
        <v>55</v>
      </c>
    </row>
    <row r="200">
      <c r="A200" s="17" t="inlineStr">
        <is>
          <t>2024</t>
        </is>
      </c>
      <c r="B200" s="17" t="inlineStr">
        <is>
          <t>&lt;10x</t>
        </is>
      </c>
      <c r="C200" s="171" t="n">
        <v>21</v>
      </c>
      <c r="D200" s="183" t="n">
        <v>0.2</v>
      </c>
      <c r="E200" s="177" t="n">
        <v>57</v>
      </c>
    </row>
    <row r="201">
      <c r="A201" s="17" t="inlineStr">
        <is>
          <t>2024</t>
        </is>
      </c>
      <c r="B201" s="17" t="inlineStr">
        <is>
          <t>&gt;=1000x</t>
        </is>
      </c>
      <c r="C201" s="171" t="n">
        <v>3</v>
      </c>
      <c r="D201" s="183" t="n">
        <v>47.6</v>
      </c>
      <c r="E201" s="177" t="n">
        <v>100</v>
      </c>
    </row>
    <row r="202">
      <c r="A202" s="17" t="inlineStr">
        <is>
          <t>2025</t>
        </is>
      </c>
      <c r="B202" s="17" t="inlineStr">
        <is>
          <t>10-100x</t>
        </is>
      </c>
      <c r="C202" s="171" t="n">
        <v>24</v>
      </c>
      <c r="D202" s="183" t="n">
        <v>0</v>
      </c>
      <c r="E202" s="177" t="n">
        <v>42</v>
      </c>
    </row>
    <row r="203">
      <c r="A203" s="17" t="inlineStr">
        <is>
          <t>2025</t>
        </is>
      </c>
      <c r="B203" s="17" t="inlineStr">
        <is>
          <t>100-1000x</t>
        </is>
      </c>
      <c r="C203" s="171" t="n">
        <v>40</v>
      </c>
      <c r="D203" s="183" t="n">
        <v>6.5</v>
      </c>
      <c r="E203" s="177" t="n">
        <v>65</v>
      </c>
    </row>
    <row r="204">
      <c r="A204" s="17" t="inlineStr">
        <is>
          <t>2025</t>
        </is>
      </c>
      <c r="B204" s="17" t="inlineStr">
        <is>
          <t>&lt;10x</t>
        </is>
      </c>
      <c r="C204" s="171" t="n">
        <v>9</v>
      </c>
      <c r="D204" s="183" t="n">
        <v>0.8</v>
      </c>
      <c r="E204" s="177" t="n">
        <v>56</v>
      </c>
    </row>
    <row r="205">
      <c r="A205" s="17" t="inlineStr">
        <is>
          <t>2025</t>
        </is>
      </c>
      <c r="B205" s="17" t="inlineStr">
        <is>
          <t>&gt;=1000x</t>
        </is>
      </c>
      <c r="C205" s="171" t="n">
        <v>39</v>
      </c>
      <c r="D205" s="183" t="n">
        <v>78.7</v>
      </c>
      <c r="E205" s="177" t="n">
        <v>92</v>
      </c>
    </row>
    <row r="206">
      <c r="A206" s="17" t="inlineStr">
        <is>
          <t>2026</t>
        </is>
      </c>
      <c r="B206" s="17" t="inlineStr">
        <is>
          <t>10-100x</t>
        </is>
      </c>
      <c r="C206" s="171" t="n">
        <v>12</v>
      </c>
      <c r="D206" s="183" t="n">
        <v>-1.5</v>
      </c>
      <c r="E206" s="177" t="n">
        <v>33</v>
      </c>
    </row>
    <row r="207">
      <c r="A207" s="17" t="inlineStr">
        <is>
          <t>2026</t>
        </is>
      </c>
      <c r="B207" s="17" t="inlineStr">
        <is>
          <t>100-1000x</t>
        </is>
      </c>
      <c r="C207" s="171" t="n">
        <v>32</v>
      </c>
      <c r="D207" s="183" t="n">
        <v>3.6</v>
      </c>
      <c r="E207" s="177" t="n">
        <v>59</v>
      </c>
    </row>
    <row r="208">
      <c r="A208" s="17" t="inlineStr">
        <is>
          <t>2026</t>
        </is>
      </c>
      <c r="B208" s="17" t="inlineStr">
        <is>
          <t>&lt;10x</t>
        </is>
      </c>
      <c r="C208" s="171" t="n">
        <v>5</v>
      </c>
      <c r="D208" s="183" t="n">
        <v>-0.1</v>
      </c>
      <c r="E208" s="177" t="n">
        <v>40</v>
      </c>
    </row>
    <row r="209">
      <c r="A209" s="17" t="inlineStr">
        <is>
          <t>2026</t>
        </is>
      </c>
      <c r="B209" s="17" t="inlineStr">
        <is>
          <t>&gt;=1000x</t>
        </is>
      </c>
      <c r="C209" s="171" t="n">
        <v>59</v>
      </c>
      <c r="D209" s="183" t="n">
        <v>76.2</v>
      </c>
      <c r="E209" s="177"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9" t="inlineStr">
        <is>
          <t>Bucket</t>
        </is>
      </c>
      <c r="B4" s="169"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5" t="inlineStr">
        <is>
          <t>2021</t>
        </is>
      </c>
      <c r="E5" s="53">
        <f>COUNTIFS(Database!$H$5:$H$523,"&gt;="&amp;DATE(2021,1,1),Database!$H$5:$H$523,"&lt;="&amp;DATE(2021,12,31),Database!$I$5:$I$523,"&gt;="&amp;$B$5)</f>
        <v/>
      </c>
      <c r="F5" s="53">
        <f>COUNTIFS(Database!$H$5:$H$523,"&gt;="&amp;DATE(2021,1,1),Database!$H$5:$H$523,"&lt;="&amp;DATE(2021,12,31),Database!$I$5:$I$523,"&gt;="&amp;$B$6,Database!$I$5:$I$523,"&lt;"&amp;$B$5)</f>
        <v/>
      </c>
      <c r="G5" s="53">
        <f>COUNTIFS(Database!$H$5:$H$523,"&gt;="&amp;DATE(2021,1,1),Database!$H$5:$H$523,"&lt;="&amp;DATE(2021,12,31),Database!$I$5:$I$523,"&gt;="&amp;$B$7,Database!$I$5:$I$523,"&lt;"&amp;$B$6)</f>
        <v/>
      </c>
      <c r="H5" s="53">
        <f>COUNTIFS(Database!$H$5:$H$523,"&gt;="&amp;DATE(2021,1,1),Database!$H$5:$H$523,"&lt;="&amp;DATE(2021,12,31),Database!$I$5:$I$523,"&gt;="&amp;$B$8,Database!$I$5:$I$523,"&lt;"&amp;$B$7)</f>
        <v/>
      </c>
      <c r="I5" s="26">
        <f>SUMIFS(Database!$I$5:$I$523,Database!$H$5:$H$523,"&gt;="&amp;DATE(2021,1,1),Database!$H$5:$H$523,"&lt;="&amp;DATE(2021,12,31))/1000</f>
        <v/>
      </c>
    </row>
    <row r="6">
      <c r="A6" s="17" t="inlineStr">
        <is>
          <t>Large</t>
        </is>
      </c>
      <c r="B6" s="20" t="n">
        <v>5000</v>
      </c>
      <c r="D6" s="185" t="inlineStr">
        <is>
          <t>2022</t>
        </is>
      </c>
      <c r="E6" s="53">
        <f>COUNTIFS(Database!$H$5:$H$523,"&gt;="&amp;DATE(2022,1,1),Database!$H$5:$H$523,"&lt;="&amp;DATE(2022,12,31),Database!$I$5:$I$523,"&gt;="&amp;$B$5)</f>
        <v/>
      </c>
      <c r="F6" s="53">
        <f>COUNTIFS(Database!$H$5:$H$523,"&gt;="&amp;DATE(2022,1,1),Database!$H$5:$H$523,"&lt;="&amp;DATE(2022,12,31),Database!$I$5:$I$523,"&gt;="&amp;$B$6,Database!$I$5:$I$523,"&lt;"&amp;$B$5)</f>
        <v/>
      </c>
      <c r="G6" s="53">
        <f>COUNTIFS(Database!$H$5:$H$523,"&gt;="&amp;DATE(2022,1,1),Database!$H$5:$H$523,"&lt;="&amp;DATE(2022,12,31),Database!$I$5:$I$523,"&gt;="&amp;$B$7,Database!$I$5:$I$523,"&lt;"&amp;$B$6)</f>
        <v/>
      </c>
      <c r="H6" s="53">
        <f>COUNTIFS(Database!$H$5:$H$523,"&gt;="&amp;DATE(2022,1,1),Database!$H$5:$H$523,"&lt;="&amp;DATE(2022,12,31),Database!$I$5:$I$523,"&gt;="&amp;$B$8,Database!$I$5:$I$523,"&lt;"&amp;$B$7)</f>
        <v/>
      </c>
      <c r="I6" s="26">
        <f>SUMIFS(Database!$I$5:$I$523,Database!$H$5:$H$523,"&gt;="&amp;DATE(2022,1,1),Database!$H$5:$H$523,"&lt;="&amp;DATE(2022,12,31))/1000</f>
        <v/>
      </c>
    </row>
    <row r="7">
      <c r="A7" s="17" t="inlineStr">
        <is>
          <t>Mid</t>
        </is>
      </c>
      <c r="B7" s="20" t="n">
        <v>1000</v>
      </c>
      <c r="D7" s="185" t="inlineStr">
        <is>
          <t>2023</t>
        </is>
      </c>
      <c r="E7" s="53">
        <f>COUNTIFS(Database!$H$5:$H$523,"&gt;="&amp;DATE(2023,1,1),Database!$H$5:$H$523,"&lt;="&amp;DATE(2023,12,31),Database!$I$5:$I$523,"&gt;="&amp;$B$5)</f>
        <v/>
      </c>
      <c r="F7" s="53">
        <f>COUNTIFS(Database!$H$5:$H$523,"&gt;="&amp;DATE(2023,1,1),Database!$H$5:$H$523,"&lt;="&amp;DATE(2023,12,31),Database!$I$5:$I$523,"&gt;="&amp;$B$6,Database!$I$5:$I$523,"&lt;"&amp;$B$5)</f>
        <v/>
      </c>
      <c r="G7" s="53">
        <f>COUNTIFS(Database!$H$5:$H$523,"&gt;="&amp;DATE(2023,1,1),Database!$H$5:$H$523,"&lt;="&amp;DATE(2023,12,31),Database!$I$5:$I$523,"&gt;="&amp;$B$7,Database!$I$5:$I$523,"&lt;"&amp;$B$6)</f>
        <v/>
      </c>
      <c r="H7" s="53">
        <f>COUNTIFS(Database!$H$5:$H$523,"&gt;="&amp;DATE(2023,1,1),Database!$H$5:$H$523,"&lt;="&amp;DATE(2023,12,31),Database!$I$5:$I$523,"&gt;="&amp;$B$8,Database!$I$5:$I$523,"&lt;"&amp;$B$7)</f>
        <v/>
      </c>
      <c r="I7" s="26">
        <f>SUMIFS(Database!$I$5:$I$523,Database!$H$5:$H$523,"&gt;="&amp;DATE(2023,1,1),Database!$H$5:$H$523,"&lt;="&amp;DATE(2023,12,31))/1000</f>
        <v/>
      </c>
    </row>
    <row r="8">
      <c r="A8" s="17" t="inlineStr">
        <is>
          <t>Small</t>
        </is>
      </c>
      <c r="B8" s="20" t="n">
        <v>0</v>
      </c>
      <c r="D8" s="185" t="inlineStr">
        <is>
          <t>2024</t>
        </is>
      </c>
      <c r="E8" s="53">
        <f>COUNTIFS(Database!$H$5:$H$523,"&gt;="&amp;DATE(2024,1,1),Database!$H$5:$H$523,"&lt;="&amp;DATE(2024,12,31),Database!$I$5:$I$523,"&gt;="&amp;$B$5)</f>
        <v/>
      </c>
      <c r="F8" s="53">
        <f>COUNTIFS(Database!$H$5:$H$523,"&gt;="&amp;DATE(2024,1,1),Database!$H$5:$H$523,"&lt;="&amp;DATE(2024,12,31),Database!$I$5:$I$523,"&gt;="&amp;$B$6,Database!$I$5:$I$523,"&lt;"&amp;$B$5)</f>
        <v/>
      </c>
      <c r="G8" s="53">
        <f>COUNTIFS(Database!$H$5:$H$523,"&gt;="&amp;DATE(2024,1,1),Database!$H$5:$H$523,"&lt;="&amp;DATE(2024,12,31),Database!$I$5:$I$523,"&gt;="&amp;$B$7,Database!$I$5:$I$523,"&lt;"&amp;$B$6)</f>
        <v/>
      </c>
      <c r="H8" s="53">
        <f>COUNTIFS(Database!$H$5:$H$523,"&gt;="&amp;DATE(2024,1,1),Database!$H$5:$H$523,"&lt;="&amp;DATE(2024,12,31),Database!$I$5:$I$523,"&gt;="&amp;$B$8,Database!$I$5:$I$523,"&lt;"&amp;$B$7)</f>
        <v/>
      </c>
      <c r="I8" s="26">
        <f>SUMIFS(Database!$I$5:$I$523,Database!$H$5:$H$523,"&gt;="&amp;DATE(2024,1,1),Database!$H$5:$H$523,"&lt;="&amp;DATE(2024,12,31))/1000</f>
        <v/>
      </c>
    </row>
    <row r="9">
      <c r="D9" s="185" t="inlineStr">
        <is>
          <t>2025</t>
        </is>
      </c>
      <c r="E9" s="53">
        <f>COUNTIFS(Database!$H$5:$H$523,"&gt;="&amp;DATE(2025,1,1),Database!$H$5:$H$523,"&lt;="&amp;DATE(2025,12,31),Database!$I$5:$I$523,"&gt;="&amp;$B$5)</f>
        <v/>
      </c>
      <c r="F9" s="53">
        <f>COUNTIFS(Database!$H$5:$H$523,"&gt;="&amp;DATE(2025,1,1),Database!$H$5:$H$523,"&lt;="&amp;DATE(2025,12,31),Database!$I$5:$I$523,"&gt;="&amp;$B$6,Database!$I$5:$I$523,"&lt;"&amp;$B$5)</f>
        <v/>
      </c>
      <c r="G9" s="53">
        <f>COUNTIFS(Database!$H$5:$H$523,"&gt;="&amp;DATE(2025,1,1),Database!$H$5:$H$523,"&lt;="&amp;DATE(2025,12,31),Database!$I$5:$I$523,"&gt;="&amp;$B$7,Database!$I$5:$I$523,"&lt;"&amp;$B$6)</f>
        <v/>
      </c>
      <c r="H9" s="53">
        <f>COUNTIFS(Database!$H$5:$H$523,"&gt;="&amp;DATE(2025,1,1),Database!$H$5:$H$523,"&lt;="&amp;DATE(2025,12,31),Database!$I$5:$I$523,"&gt;="&amp;$B$8,Database!$I$5:$I$523,"&lt;"&amp;$B$7)</f>
        <v/>
      </c>
      <c r="I9" s="26">
        <f>SUMIFS(Database!$I$5:$I$523,Database!$H$5:$H$523,"&gt;="&amp;DATE(2025,1,1),Database!$H$5:$H$523,"&lt;="&amp;DATE(2025,12,31))/1000</f>
        <v/>
      </c>
    </row>
    <row r="10">
      <c r="D10" s="185" t="inlineStr">
        <is>
          <t>2026</t>
        </is>
      </c>
      <c r="E10" s="53">
        <f>COUNTIFS(Database!$H$5:$H$523,"&gt;="&amp;DATE(2026,1,1),Database!$H$5:$H$523,"&lt;="&amp;DATE(2026,12,31),Database!$I$5:$I$523,"&gt;="&amp;$B$5)</f>
        <v/>
      </c>
      <c r="F10" s="53">
        <f>COUNTIFS(Database!$H$5:$H$523,"&gt;="&amp;DATE(2026,1,1),Database!$H$5:$H$523,"&lt;="&amp;DATE(2026,12,31),Database!$I$5:$I$523,"&gt;="&amp;$B$6,Database!$I$5:$I$523,"&lt;"&amp;$B$5)</f>
        <v/>
      </c>
      <c r="G10" s="53">
        <f>COUNTIFS(Database!$H$5:$H$523,"&gt;="&amp;DATE(2026,1,1),Database!$H$5:$H$523,"&lt;="&amp;DATE(2026,12,31),Database!$I$5:$I$523,"&gt;="&amp;$B$7,Database!$I$5:$I$523,"&lt;"&amp;$B$6)</f>
        <v/>
      </c>
      <c r="H10" s="53">
        <f>COUNTIFS(Database!$H$5:$H$523,"&gt;="&amp;DATE(2026,1,1),Database!$H$5:$H$523,"&lt;="&amp;DATE(2026,12,31),Database!$I$5:$I$523,"&gt;="&amp;$B$8,Database!$I$5:$I$523,"&lt;"&amp;$B$7)</f>
        <v/>
      </c>
      <c r="I10" s="26">
        <f>SUMIFS(Database!$I$5:$I$523,Database!$H$5:$H$523,"&gt;="&amp;DATE(2026,1,1),Database!$H$5:$H$523,"&lt;="&amp;DATE(2026,12,31))/1000</f>
        <v/>
      </c>
    </row>
    <row r="11"/>
    <row r="12">
      <c r="A12" s="169"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74" t="inlineStr">
        <is>
          <t>3308</t>
        </is>
      </c>
      <c r="B14" s="17" t="inlineStr">
        <is>
          <t>ZJ INNOLIGHT</t>
        </is>
      </c>
      <c r="C14" s="181" t="inlineStr">
        <is>
          <t>2026-07-30</t>
        </is>
      </c>
      <c r="D14" s="180" t="n">
        <v>53410</v>
      </c>
      <c r="E14" s="17" t="inlineStr">
        <is>
          <t>Smart hardware / consumer electronics</t>
        </is>
      </c>
    </row>
    <row r="15">
      <c r="A15" s="174" t="inlineStr">
        <is>
          <t>1024</t>
        </is>
      </c>
      <c r="B15" s="17" t="inlineStr">
        <is>
          <t>KUAISHOU-W</t>
        </is>
      </c>
      <c r="C15" s="181" t="inlineStr">
        <is>
          <t>2021-02-05</t>
        </is>
      </c>
      <c r="D15" s="180" t="n">
        <v>42000.1</v>
      </c>
      <c r="E15" s="17" t="inlineStr">
        <is>
          <t>Internet platform / e-commerce</t>
        </is>
      </c>
    </row>
    <row r="16">
      <c r="A16" s="174" t="inlineStr">
        <is>
          <t>3750</t>
        </is>
      </c>
      <c r="B16" s="17" t="inlineStr">
        <is>
          <t>CATL</t>
        </is>
      </c>
      <c r="C16" s="181" t="inlineStr">
        <is>
          <t>2025-05-20</t>
        </is>
      </c>
      <c r="D16" s="180" t="n">
        <v>35657.2</v>
      </c>
      <c r="E16" s="17" t="inlineStr">
        <is>
          <t>Batteries / energy storage</t>
        </is>
      </c>
    </row>
    <row r="17">
      <c r="A17" s="174" t="inlineStr">
        <is>
          <t>0300</t>
        </is>
      </c>
      <c r="B17" s="17" t="inlineStr">
        <is>
          <t>MIDEA GROUP</t>
        </is>
      </c>
      <c r="C17" s="181" t="inlineStr">
        <is>
          <t>2024-09-17</t>
        </is>
      </c>
      <c r="D17" s="180" t="n">
        <v>31014</v>
      </c>
      <c r="E17" s="17" t="inlineStr">
        <is>
          <t>Smart hardware / consumer electronics</t>
        </is>
      </c>
    </row>
    <row r="18">
      <c r="A18" s="174" t="inlineStr">
        <is>
          <t>2259</t>
        </is>
      </c>
      <c r="B18" s="17" t="inlineStr">
        <is>
          <t>ZIJIN GOLD INTL</t>
        </is>
      </c>
      <c r="C18" s="181" t="inlineStr">
        <is>
          <t>2025-09-30</t>
        </is>
      </c>
      <c r="D18" s="180" t="n">
        <v>24984.2</v>
      </c>
      <c r="E18" s="17" t="inlineStr">
        <is>
          <t>Mining / metals</t>
        </is>
      </c>
    </row>
    <row r="19">
      <c r="A19" s="174" t="inlineStr">
        <is>
          <t>2618</t>
        </is>
      </c>
      <c r="B19" s="17" t="inlineStr">
        <is>
          <t>JD LOGISTICS</t>
        </is>
      </c>
      <c r="C19" s="181" t="inlineStr">
        <is>
          <t>2021-05-28</t>
        </is>
      </c>
      <c r="D19" s="180" t="n">
        <v>24585.7</v>
      </c>
      <c r="E19" s="17" t="inlineStr">
        <is>
          <t>Logistics</t>
        </is>
      </c>
    </row>
    <row r="20">
      <c r="A20" s="174" t="inlineStr">
        <is>
          <t>2475</t>
        </is>
      </c>
      <c r="B20" s="17" t="inlineStr">
        <is>
          <t>LUXSHARE ICT</t>
        </is>
      </c>
      <c r="C20" s="181" t="inlineStr">
        <is>
          <t>2026-07-09</t>
        </is>
      </c>
      <c r="D20" s="180" t="n">
        <v>24266.2</v>
      </c>
      <c r="E20" s="17" t="inlineStr">
        <is>
          <t>Smart hardware / consumer electronics</t>
        </is>
      </c>
    </row>
    <row r="21">
      <c r="A21" s="174" t="inlineStr">
        <is>
          <t>9888</t>
        </is>
      </c>
      <c r="B21" s="17" t="inlineStr">
        <is>
          <t>BIDU-SW</t>
        </is>
      </c>
      <c r="C21" s="181" t="inlineStr">
        <is>
          <t>2021-03-23</t>
        </is>
      </c>
      <c r="D21" s="180" t="n">
        <v>23940</v>
      </c>
      <c r="E21" s="17" t="inlineStr">
        <is>
          <t>Internet platform / e-commerce</t>
        </is>
      </c>
    </row>
    <row r="22">
      <c r="A22" s="174" t="inlineStr">
        <is>
          <t>9626</t>
        </is>
      </c>
      <c r="B22" s="17" t="inlineStr">
        <is>
          <t>BILIBILI-SW</t>
        </is>
      </c>
      <c r="C22" s="181" t="inlineStr">
        <is>
          <t>2021-03-29</t>
        </is>
      </c>
      <c r="D22" s="180" t="n">
        <v>20200</v>
      </c>
      <c r="E22" s="17" t="inlineStr">
        <is>
          <t>Internet platform / e-commerce</t>
        </is>
      </c>
    </row>
    <row r="23">
      <c r="A23" s="174" t="inlineStr">
        <is>
          <t>2476</t>
        </is>
      </c>
      <c r="B23" s="17" t="inlineStr">
        <is>
          <t>VGT</t>
        </is>
      </c>
      <c r="C23" s="181" t="inlineStr">
        <is>
          <t>2026-04-21</t>
        </is>
      </c>
      <c r="D23" s="180" t="n">
        <v>20117</v>
      </c>
      <c r="E23" s="17" t="inlineStr">
        <is>
          <t>Smart hardware / consumer electronics</t>
        </is>
      </c>
    </row>
    <row r="24">
      <c r="A24" s="174" t="inlineStr">
        <is>
          <t>2378</t>
        </is>
      </c>
      <c r="B24" s="17" t="inlineStr">
        <is>
          <t>PRU</t>
        </is>
      </c>
      <c r="C24" s="181" t="inlineStr">
        <is>
          <t>2021-10-04</t>
        </is>
      </c>
      <c r="D24" s="180" t="n">
        <v>18500</v>
      </c>
      <c r="E24" s="17" t="inlineStr">
        <is>
          <t>Insurance</t>
        </is>
      </c>
    </row>
    <row r="25">
      <c r="A25" s="174" t="inlineStr">
        <is>
          <t>1880</t>
        </is>
      </c>
      <c r="B25" s="17" t="inlineStr">
        <is>
          <t>CTG DUTY-FREE</t>
        </is>
      </c>
      <c r="C25" s="181" t="inlineStr">
        <is>
          <t>2022-08-25</t>
        </is>
      </c>
      <c r="D25" s="180" t="n">
        <v>16236.4</v>
      </c>
      <c r="E25" s="17" t="inlineStr">
        <is>
          <t>Retail / distribution</t>
        </is>
      </c>
    </row>
    <row r="26">
      <c r="A26" s="174" t="inlineStr">
        <is>
          <t>9927</t>
        </is>
      </c>
      <c r="B26" s="17" t="inlineStr">
        <is>
          <t>SERES</t>
        </is>
      </c>
      <c r="C26" s="181" t="inlineStr">
        <is>
          <t>2025-11-05</t>
        </is>
      </c>
      <c r="D26" s="180" t="n">
        <v>14283.4</v>
      </c>
      <c r="E26" s="17" t="inlineStr">
        <is>
          <t>Autos (NEV OEM)</t>
        </is>
      </c>
    </row>
    <row r="27">
      <c r="A27" s="174" t="inlineStr">
        <is>
          <t>9868</t>
        </is>
      </c>
      <c r="B27" s="17" t="inlineStr">
        <is>
          <t>XPENG-W</t>
        </is>
      </c>
      <c r="C27" s="181" t="inlineStr">
        <is>
          <t>2021-07-07</t>
        </is>
      </c>
      <c r="D27" s="180" t="n">
        <v>14025</v>
      </c>
      <c r="E27" s="17" t="inlineStr">
        <is>
          <t>Autos (NEV OEM)</t>
        </is>
      </c>
    </row>
    <row r="28">
      <c r="A28" s="174" t="inlineStr">
        <is>
          <t>0625</t>
        </is>
      </c>
      <c r="B28" s="17" t="inlineStr">
        <is>
          <t>SHEIN-W</t>
        </is>
      </c>
      <c r="C28" s="181" t="inlineStr">
        <is>
          <t>2026-09-01</t>
        </is>
      </c>
      <c r="D28" s="180"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6">
        <f>IF($B5="","",IFERROR(BDP($B5&amp;" Action","CP036"),""))</f>
        <v/>
      </c>
      <c r="D5" s="187">
        <f>Database!S5</f>
        <v/>
      </c>
      <c r="E5" s="186">
        <f>IF($B5="","",IFERROR(BDP($B5&amp;" Action","CP037"),""))</f>
        <v/>
      </c>
      <c r="F5" s="187">
        <f>Database!T5</f>
        <v/>
      </c>
      <c r="G5" s="186">
        <f>IF($B5="","",IFERROR(BDP($B5&amp;" Action","GREENSHOE_FACILITY"),""))</f>
        <v/>
      </c>
      <c r="H5" s="186">
        <f>IF($B5="","",IFERROR(BDP($B5&amp;" Action","OFFERING_GREENSHOE_SHARES_EX"),""))</f>
        <v/>
      </c>
      <c r="I5" s="17">
        <f>Database!AE5</f>
        <v/>
      </c>
      <c r="J5" s="24">
        <f>IFERROR(BDP(Database!$A5&amp;" HK Equity","PE_RATIO"),"")</f>
        <v/>
      </c>
      <c r="K5" s="10">
        <f>IFERROR(BDP(Database!$A5&amp;" HK Equity","A/H_SHARE_CONVERSION"),"")</f>
        <v/>
      </c>
      <c r="L5" s="17">
        <f>IF(Database!BM5="","(none found)",Database!BM5)</f>
        <v/>
      </c>
      <c r="M5" s="19">
        <f>IFERROR(BDH(Database!$A5&amp;" HK Equity","CUR_MKT_CAP",Database!$H5,Database!$H5),"")</f>
        <v/>
      </c>
      <c r="N5" s="180">
        <f>Database!Q5</f>
        <v/>
      </c>
      <c r="O5" s="24">
        <f>IFERROR(BDH(Database!$A5&amp;" HK Equity","PE_RATIO",Database!$H5,Database!$H5),"")</f>
        <v/>
      </c>
      <c r="P5" s="184">
        <f>IF(Database!BG5="","(n/m or not derivable)",Database!BG5)</f>
        <v/>
      </c>
      <c r="Q5" s="24">
        <f>IF(Database!BM5="","",IFERROR(BDH(LEFT(Database!BM5,FIND(".",Database!BM5)-1)&amp;" CH Equity","PE_RATIO",Database!$H5,Database!$H5),""))</f>
        <v/>
      </c>
      <c r="R5" s="24">
        <f>IF(Database!BM5="","",IFERROR(BDH("HSAHP Index","PX_LAST",Database!$H5,Database!$H5),""))</f>
        <v/>
      </c>
      <c r="S5" s="24">
        <f>IFERROR(BDP(Database!$A5&amp;" HK Equity","PX_TO_SALES_RATIO"),"")</f>
        <v/>
      </c>
      <c r="T5" s="19">
        <f>IF(Database!BM5="","",IFERROR(BDP(LEFT(Database!BM5,FIND(".",Database!BM5)-1)&amp;" CH Equity","CUR_MKT_CAP"),""))</f>
        <v/>
      </c>
    </row>
    <row r="6">
      <c r="A6" s="17">
        <f>Database!A6&amp;"  "&amp;Database!B6</f>
        <v/>
      </c>
      <c r="B6" s="10">
        <f>IFERROR(INDEX(BDS(Database!$A6&amp;" HK Equity","EQUITY_OFFERINGS","array=t","endcol=1"),MATCH("IPO",BDS(Database!$A6&amp;" HK Equity","EQUITY_OFFERINGS","array=t","startcol=2","endcol=2"),0)),"")</f>
        <v/>
      </c>
      <c r="C6" s="186">
        <f>IF($B6="","",IFERROR(BDP($B6&amp;" Action","CP036"),""))</f>
        <v/>
      </c>
      <c r="D6" s="187">
        <f>Database!S6</f>
        <v/>
      </c>
      <c r="E6" s="186">
        <f>IF($B6="","",IFERROR(BDP($B6&amp;" Action","CP037"),""))</f>
        <v/>
      </c>
      <c r="F6" s="187">
        <f>Database!T6</f>
        <v/>
      </c>
      <c r="G6" s="186">
        <f>IF($B6="","",IFERROR(BDP($B6&amp;" Action","GREENSHOE_FACILITY"),""))</f>
        <v/>
      </c>
      <c r="H6" s="186">
        <f>IF($B6="","",IFERROR(BDP($B6&amp;" Action","OFFERING_GREENSHOE_SHARES_EX"),""))</f>
        <v/>
      </c>
      <c r="I6" s="17">
        <f>Database!AE6</f>
        <v/>
      </c>
      <c r="J6" s="24">
        <f>IFERROR(BDP(Database!$A6&amp;" HK Equity","PE_RATIO"),"")</f>
        <v/>
      </c>
      <c r="K6" s="10">
        <f>IFERROR(BDP(Database!$A6&amp;" HK Equity","A/H_SHARE_CONVERSION"),"")</f>
        <v/>
      </c>
      <c r="L6" s="17">
        <f>IF(Database!BM6="","(none found)",Database!BM6)</f>
        <v/>
      </c>
      <c r="M6" s="19">
        <f>IFERROR(BDH(Database!$A6&amp;" HK Equity","CUR_MKT_CAP",Database!$H6,Database!$H6),"")</f>
        <v/>
      </c>
      <c r="N6" s="180">
        <f>Database!Q6</f>
        <v/>
      </c>
      <c r="O6" s="24">
        <f>IFERROR(BDH(Database!$A6&amp;" HK Equity","PE_RATIO",Database!$H6,Database!$H6),"")</f>
        <v/>
      </c>
      <c r="P6" s="184">
        <f>IF(Database!BG6="","(n/m or not derivable)",Database!BG6)</f>
        <v/>
      </c>
      <c r="Q6" s="24">
        <f>IF(Database!BM6="","",IFERROR(BDH(LEFT(Database!BM6,FIND(".",Database!BM6)-1)&amp;" CH Equity","PE_RATIO",Database!$H6,Database!$H6),""))</f>
        <v/>
      </c>
      <c r="R6" s="24">
        <f>IF(Database!BM6="","",IFERROR(BDH("HSAHP Index","PX_LAST",Database!$H6,Database!$H6),""))</f>
        <v/>
      </c>
      <c r="S6" s="24">
        <f>IFERROR(BDP(Database!$A6&amp;" HK Equity","PX_TO_SALES_RATIO"),"")</f>
        <v/>
      </c>
      <c r="T6" s="19">
        <f>IF(Database!BM6="","",IFERROR(BDP(LEFT(Database!BM6,FIND(".",Database!BM6)-1)&amp;" CH Equity","CUR_MKT_CAP"),""))</f>
        <v/>
      </c>
    </row>
    <row r="7">
      <c r="A7" s="17">
        <f>Database!A7&amp;"  "&amp;Database!B7</f>
        <v/>
      </c>
      <c r="B7" s="10">
        <f>IFERROR(INDEX(BDS(Database!$A7&amp;" HK Equity","EQUITY_OFFERINGS","array=t","endcol=1"),MATCH("IPO",BDS(Database!$A7&amp;" HK Equity","EQUITY_OFFERINGS","array=t","startcol=2","endcol=2"),0)),"")</f>
        <v/>
      </c>
      <c r="C7" s="186">
        <f>IF($B7="","",IFERROR(BDP($B7&amp;" Action","CP036"),""))</f>
        <v/>
      </c>
      <c r="D7" s="187">
        <f>Database!S7</f>
        <v/>
      </c>
      <c r="E7" s="186">
        <f>IF($B7="","",IFERROR(BDP($B7&amp;" Action","CP037"),""))</f>
        <v/>
      </c>
      <c r="F7" s="187">
        <f>Database!T7</f>
        <v/>
      </c>
      <c r="G7" s="186">
        <f>IF($B7="","",IFERROR(BDP($B7&amp;" Action","GREENSHOE_FACILITY"),""))</f>
        <v/>
      </c>
      <c r="H7" s="186">
        <f>IF($B7="","",IFERROR(BDP($B7&amp;" Action","OFFERING_GREENSHOE_SHARES_EX"),""))</f>
        <v/>
      </c>
      <c r="I7" s="17">
        <f>Database!AE7</f>
        <v/>
      </c>
      <c r="J7" s="24">
        <f>IFERROR(BDP(Database!$A7&amp;" HK Equity","PE_RATIO"),"")</f>
        <v/>
      </c>
      <c r="K7" s="10">
        <f>IFERROR(BDP(Database!$A7&amp;" HK Equity","A/H_SHARE_CONVERSION"),"")</f>
        <v/>
      </c>
      <c r="L7" s="17">
        <f>IF(Database!BM7="","(none found)",Database!BM7)</f>
        <v/>
      </c>
      <c r="M7" s="19">
        <f>IFERROR(BDH(Database!$A7&amp;" HK Equity","CUR_MKT_CAP",Database!$H7,Database!$H7),"")</f>
        <v/>
      </c>
      <c r="N7" s="180">
        <f>Database!Q7</f>
        <v/>
      </c>
      <c r="O7" s="24">
        <f>IFERROR(BDH(Database!$A7&amp;" HK Equity","PE_RATIO",Database!$H7,Database!$H7),"")</f>
        <v/>
      </c>
      <c r="P7" s="184">
        <f>IF(Database!BG7="","(n/m or not derivable)",Database!BG7)</f>
        <v/>
      </c>
      <c r="Q7" s="24">
        <f>IF(Database!BM7="","",IFERROR(BDH(LEFT(Database!BM7,FIND(".",Database!BM7)-1)&amp;" CH Equity","PE_RATIO",Database!$H7,Database!$H7),""))</f>
        <v/>
      </c>
      <c r="R7" s="24">
        <f>IF(Database!BM7="","",IFERROR(BDH("HSAHP Index","PX_LAST",Database!$H7,Database!$H7),""))</f>
        <v/>
      </c>
      <c r="S7" s="24">
        <f>IFERROR(BDP(Database!$A7&amp;" HK Equity","PX_TO_SALES_RATIO"),"")</f>
        <v/>
      </c>
      <c r="T7" s="19">
        <f>IF(Database!BM7="","",IFERROR(BDP(LEFT(Database!BM7,FIND(".",Database!BM7)-1)&amp;" CH Equity","CUR_MKT_CAP"),""))</f>
        <v/>
      </c>
    </row>
    <row r="8">
      <c r="A8" s="17">
        <f>Database!A8&amp;"  "&amp;Database!B8</f>
        <v/>
      </c>
      <c r="B8" s="10">
        <f>IFERROR(INDEX(BDS(Database!$A8&amp;" HK Equity","EQUITY_OFFERINGS","array=t","endcol=1"),MATCH("IPO",BDS(Database!$A8&amp;" HK Equity","EQUITY_OFFERINGS","array=t","startcol=2","endcol=2"),0)),"")</f>
        <v/>
      </c>
      <c r="C8" s="186">
        <f>IF($B8="","",IFERROR(BDP($B8&amp;" Action","CP036"),""))</f>
        <v/>
      </c>
      <c r="D8" s="187">
        <f>Database!S8</f>
        <v/>
      </c>
      <c r="E8" s="186">
        <f>IF($B8="","",IFERROR(BDP($B8&amp;" Action","CP037"),""))</f>
        <v/>
      </c>
      <c r="F8" s="187">
        <f>Database!T8</f>
        <v/>
      </c>
      <c r="G8" s="186">
        <f>IF($B8="","",IFERROR(BDP($B8&amp;" Action","GREENSHOE_FACILITY"),""))</f>
        <v/>
      </c>
      <c r="H8" s="186">
        <f>IF($B8="","",IFERROR(BDP($B8&amp;" Action","OFFERING_GREENSHOE_SHARES_EX"),""))</f>
        <v/>
      </c>
      <c r="I8" s="17">
        <f>Database!AE8</f>
        <v/>
      </c>
      <c r="J8" s="24">
        <f>IFERROR(BDP(Database!$A8&amp;" HK Equity","PE_RATIO"),"")</f>
        <v/>
      </c>
      <c r="K8" s="10">
        <f>IFERROR(BDP(Database!$A8&amp;" HK Equity","A/H_SHARE_CONVERSION"),"")</f>
        <v/>
      </c>
      <c r="L8" s="17">
        <f>IF(Database!BM8="","(none found)",Database!BM8)</f>
        <v/>
      </c>
      <c r="M8" s="19">
        <f>IFERROR(BDH(Database!$A8&amp;" HK Equity","CUR_MKT_CAP",Database!$H8,Database!$H8),"")</f>
        <v/>
      </c>
      <c r="N8" s="180">
        <f>Database!Q8</f>
        <v/>
      </c>
      <c r="O8" s="24">
        <f>IFERROR(BDH(Database!$A8&amp;" HK Equity","PE_RATIO",Database!$H8,Database!$H8),"")</f>
        <v/>
      </c>
      <c r="P8" s="184">
        <f>IF(Database!BG8="","(n/m or not derivable)",Database!BG8)</f>
        <v/>
      </c>
      <c r="Q8" s="24">
        <f>IF(Database!BM8="","",IFERROR(BDH(LEFT(Database!BM8,FIND(".",Database!BM8)-1)&amp;" CH Equity","PE_RATIO",Database!$H8,Database!$H8),""))</f>
        <v/>
      </c>
      <c r="R8" s="24">
        <f>IF(Database!BM8="","",IFERROR(BDH("HSAHP Index","PX_LAST",Database!$H8,Database!$H8),""))</f>
        <v/>
      </c>
      <c r="S8" s="24">
        <f>IFERROR(BDP(Database!$A8&amp;" HK Equity","PX_TO_SALES_RATIO"),"")</f>
        <v/>
      </c>
      <c r="T8" s="19">
        <f>IF(Database!BM8="","",IFERROR(BDP(LEFT(Database!BM8,FIND(".",Database!BM8)-1)&amp;" CH Equity","CUR_MKT_CAP"),""))</f>
        <v/>
      </c>
    </row>
    <row r="9">
      <c r="A9" s="17">
        <f>Database!A9&amp;"  "&amp;Database!B9</f>
        <v/>
      </c>
      <c r="B9" s="10">
        <f>IFERROR(INDEX(BDS(Database!$A9&amp;" HK Equity","EQUITY_OFFERINGS","array=t","endcol=1"),MATCH("IPO",BDS(Database!$A9&amp;" HK Equity","EQUITY_OFFERINGS","array=t","startcol=2","endcol=2"),0)),"")</f>
        <v/>
      </c>
      <c r="C9" s="186">
        <f>IF($B9="","",IFERROR(BDP($B9&amp;" Action","CP036"),""))</f>
        <v/>
      </c>
      <c r="D9" s="187">
        <f>Database!S9</f>
        <v/>
      </c>
      <c r="E9" s="186">
        <f>IF($B9="","",IFERROR(BDP($B9&amp;" Action","CP037"),""))</f>
        <v/>
      </c>
      <c r="F9" s="187">
        <f>Database!T9</f>
        <v/>
      </c>
      <c r="G9" s="186">
        <f>IF($B9="","",IFERROR(BDP($B9&amp;" Action","GREENSHOE_FACILITY"),""))</f>
        <v/>
      </c>
      <c r="H9" s="186">
        <f>IF($B9="","",IFERROR(BDP($B9&amp;" Action","OFFERING_GREENSHOE_SHARES_EX"),""))</f>
        <v/>
      </c>
      <c r="I9" s="17">
        <f>Database!AE9</f>
        <v/>
      </c>
      <c r="J9" s="24">
        <f>IFERROR(BDP(Database!$A9&amp;" HK Equity","PE_RATIO"),"")</f>
        <v/>
      </c>
      <c r="K9" s="10">
        <f>IFERROR(BDP(Database!$A9&amp;" HK Equity","A/H_SHARE_CONVERSION"),"")</f>
        <v/>
      </c>
      <c r="L9" s="17">
        <f>IF(Database!BM9="","(none found)",Database!BM9)</f>
        <v/>
      </c>
      <c r="M9" s="19">
        <f>IFERROR(BDH(Database!$A9&amp;" HK Equity","CUR_MKT_CAP",Database!$H9,Database!$H9),"")</f>
        <v/>
      </c>
      <c r="N9" s="180">
        <f>Database!Q9</f>
        <v/>
      </c>
      <c r="O9" s="24">
        <f>IFERROR(BDH(Database!$A9&amp;" HK Equity","PE_RATIO",Database!$H9,Database!$H9),"")</f>
        <v/>
      </c>
      <c r="P9" s="184">
        <f>IF(Database!BG9="","(n/m or not derivable)",Database!BG9)</f>
        <v/>
      </c>
      <c r="Q9" s="24">
        <f>IF(Database!BM9="","",IFERROR(BDH(LEFT(Database!BM9,FIND(".",Database!BM9)-1)&amp;" CH Equity","PE_RATIO",Database!$H9,Database!$H9),""))</f>
        <v/>
      </c>
      <c r="R9" s="24">
        <f>IF(Database!BM9="","",IFERROR(BDH("HSAHP Index","PX_LAST",Database!$H9,Database!$H9),""))</f>
        <v/>
      </c>
      <c r="S9" s="24">
        <f>IFERROR(BDP(Database!$A9&amp;" HK Equity","PX_TO_SALES_RATIO"),"")</f>
        <v/>
      </c>
      <c r="T9" s="19">
        <f>IF(Database!BM9="","",IFERROR(BDP(LEFT(Database!BM9,FIND(".",Database!BM9)-1)&amp;" CH Equity","CUR_MKT_CAP"),""))</f>
        <v/>
      </c>
    </row>
    <row r="10">
      <c r="A10" s="17">
        <f>Database!A10&amp;"  "&amp;Database!B10</f>
        <v/>
      </c>
      <c r="B10" s="10">
        <f>IFERROR(INDEX(BDS(Database!$A10&amp;" HK Equity","EQUITY_OFFERINGS","array=t","endcol=1"),MATCH("IPO",BDS(Database!$A10&amp;" HK Equity","EQUITY_OFFERINGS","array=t","startcol=2","endcol=2"),0)),"")</f>
        <v/>
      </c>
      <c r="C10" s="186">
        <f>IF($B10="","",IFERROR(BDP($B10&amp;" Action","CP036"),""))</f>
        <v/>
      </c>
      <c r="D10" s="187">
        <f>Database!S10</f>
        <v/>
      </c>
      <c r="E10" s="186">
        <f>IF($B10="","",IFERROR(BDP($B10&amp;" Action","CP037"),""))</f>
        <v/>
      </c>
      <c r="F10" s="187">
        <f>Database!T10</f>
        <v/>
      </c>
      <c r="G10" s="186">
        <f>IF($B10="","",IFERROR(BDP($B10&amp;" Action","GREENSHOE_FACILITY"),""))</f>
        <v/>
      </c>
      <c r="H10" s="186">
        <f>IF($B10="","",IFERROR(BDP($B10&amp;" Action","OFFERING_GREENSHOE_SHARES_EX"),""))</f>
        <v/>
      </c>
      <c r="I10" s="17">
        <f>Database!AE10</f>
        <v/>
      </c>
      <c r="J10" s="24">
        <f>IFERROR(BDP(Database!$A10&amp;" HK Equity","PE_RATIO"),"")</f>
        <v/>
      </c>
      <c r="K10" s="10">
        <f>IFERROR(BDP(Database!$A10&amp;" HK Equity","A/H_SHARE_CONVERSION"),"")</f>
        <v/>
      </c>
      <c r="L10" s="17">
        <f>IF(Database!BM10="","(none found)",Database!BM10)</f>
        <v/>
      </c>
      <c r="M10" s="19">
        <f>IFERROR(BDH(Database!$A10&amp;" HK Equity","CUR_MKT_CAP",Database!$H10,Database!$H10),"")</f>
        <v/>
      </c>
      <c r="N10" s="180">
        <f>Database!Q10</f>
        <v/>
      </c>
      <c r="O10" s="24">
        <f>IFERROR(BDH(Database!$A10&amp;" HK Equity","PE_RATIO",Database!$H10,Database!$H10),"")</f>
        <v/>
      </c>
      <c r="P10" s="184">
        <f>IF(Database!BG10="","(n/m or not derivable)",Database!BG10)</f>
        <v/>
      </c>
      <c r="Q10" s="24">
        <f>IF(Database!BM10="","",IFERROR(BDH(LEFT(Database!BM10,FIND(".",Database!BM10)-1)&amp;" CH Equity","PE_RATIO",Database!$H10,Database!$H10),""))</f>
        <v/>
      </c>
      <c r="R10" s="24">
        <f>IF(Database!BM10="","",IFERROR(BDH("HSAHP Index","PX_LAST",Database!$H10,Database!$H10),""))</f>
        <v/>
      </c>
      <c r="S10" s="24">
        <f>IFERROR(BDP(Database!$A10&amp;" HK Equity","PX_TO_SALES_RATIO"),"")</f>
        <v/>
      </c>
      <c r="T10" s="19">
        <f>IF(Database!BM10="","",IFERROR(BDP(LEFT(Database!BM10,FIND(".",Database!BM10)-1)&amp;" CH Equity","CUR_MKT_CAP"),""))</f>
        <v/>
      </c>
    </row>
    <row r="11">
      <c r="A11" s="17">
        <f>Database!A11&amp;"  "&amp;Database!B11</f>
        <v/>
      </c>
      <c r="B11" s="10">
        <f>IFERROR(INDEX(BDS(Database!$A11&amp;" HK Equity","EQUITY_OFFERINGS","array=t","endcol=1"),MATCH("IPO",BDS(Database!$A11&amp;" HK Equity","EQUITY_OFFERINGS","array=t","startcol=2","endcol=2"),0)),"")</f>
        <v/>
      </c>
      <c r="C11" s="186">
        <f>IF($B11="","",IFERROR(BDP($B11&amp;" Action","CP036"),""))</f>
        <v/>
      </c>
      <c r="D11" s="187">
        <f>Database!S11</f>
        <v/>
      </c>
      <c r="E11" s="186">
        <f>IF($B11="","",IFERROR(BDP($B11&amp;" Action","CP037"),""))</f>
        <v/>
      </c>
      <c r="F11" s="187">
        <f>Database!T11</f>
        <v/>
      </c>
      <c r="G11" s="186">
        <f>IF($B11="","",IFERROR(BDP($B11&amp;" Action","GREENSHOE_FACILITY"),""))</f>
        <v/>
      </c>
      <c r="H11" s="186">
        <f>IF($B11="","",IFERROR(BDP($B11&amp;" Action","OFFERING_GREENSHOE_SHARES_EX"),""))</f>
        <v/>
      </c>
      <c r="I11" s="17">
        <f>Database!AE11</f>
        <v/>
      </c>
      <c r="J11" s="24">
        <f>IFERROR(BDP(Database!$A11&amp;" HK Equity","PE_RATIO"),"")</f>
        <v/>
      </c>
      <c r="K11" s="10">
        <f>IFERROR(BDP(Database!$A11&amp;" HK Equity","A/H_SHARE_CONVERSION"),"")</f>
        <v/>
      </c>
      <c r="L11" s="17">
        <f>IF(Database!BM11="","(none found)",Database!BM11)</f>
        <v/>
      </c>
      <c r="M11" s="19">
        <f>IFERROR(BDH(Database!$A11&amp;" HK Equity","CUR_MKT_CAP",Database!$H11,Database!$H11),"")</f>
        <v/>
      </c>
      <c r="N11" s="180">
        <f>Database!Q11</f>
        <v/>
      </c>
      <c r="O11" s="24">
        <f>IFERROR(BDH(Database!$A11&amp;" HK Equity","PE_RATIO",Database!$H11,Database!$H11),"")</f>
        <v/>
      </c>
      <c r="P11" s="184">
        <f>IF(Database!BG11="","(n/m or not derivable)",Database!BG11)</f>
        <v/>
      </c>
      <c r="Q11" s="24">
        <f>IF(Database!BM11="","",IFERROR(BDH(LEFT(Database!BM11,FIND(".",Database!BM11)-1)&amp;" CH Equity","PE_RATIO",Database!$H11,Database!$H11),""))</f>
        <v/>
      </c>
      <c r="R11" s="24">
        <f>IF(Database!BM11="","",IFERROR(BDH("HSAHP Index","PX_LAST",Database!$H11,Database!$H11),""))</f>
        <v/>
      </c>
      <c r="S11" s="24">
        <f>IFERROR(BDP(Database!$A11&amp;" HK Equity","PX_TO_SALES_RATIO"),"")</f>
        <v/>
      </c>
      <c r="T11" s="19">
        <f>IF(Database!BM11="","",IFERROR(BDP(LEFT(Database!BM11,FIND(".",Database!BM11)-1)&amp;" CH Equity","CUR_MKT_CAP"),""))</f>
        <v/>
      </c>
    </row>
    <row r="12">
      <c r="A12" s="17">
        <f>Database!A12&amp;"  "&amp;Database!B12</f>
        <v/>
      </c>
      <c r="B12" s="10">
        <f>IFERROR(INDEX(BDS(Database!$A12&amp;" HK Equity","EQUITY_OFFERINGS","array=t","endcol=1"),MATCH("IPO",BDS(Database!$A12&amp;" HK Equity","EQUITY_OFFERINGS","array=t","startcol=2","endcol=2"),0)),"")</f>
        <v/>
      </c>
      <c r="C12" s="186">
        <f>IF($B12="","",IFERROR(BDP($B12&amp;" Action","CP036"),""))</f>
        <v/>
      </c>
      <c r="D12" s="187">
        <f>Database!S12</f>
        <v/>
      </c>
      <c r="E12" s="186">
        <f>IF($B12="","",IFERROR(BDP($B12&amp;" Action","CP037"),""))</f>
        <v/>
      </c>
      <c r="F12" s="187">
        <f>Database!T12</f>
        <v/>
      </c>
      <c r="G12" s="186">
        <f>IF($B12="","",IFERROR(BDP($B12&amp;" Action","GREENSHOE_FACILITY"),""))</f>
        <v/>
      </c>
      <c r="H12" s="186">
        <f>IF($B12="","",IFERROR(BDP($B12&amp;" Action","OFFERING_GREENSHOE_SHARES_EX"),""))</f>
        <v/>
      </c>
      <c r="I12" s="17">
        <f>Database!AE12</f>
        <v/>
      </c>
      <c r="J12" s="24">
        <f>IFERROR(BDP(Database!$A12&amp;" HK Equity","PE_RATIO"),"")</f>
        <v/>
      </c>
      <c r="K12" s="10">
        <f>IFERROR(BDP(Database!$A12&amp;" HK Equity","A/H_SHARE_CONVERSION"),"")</f>
        <v/>
      </c>
      <c r="L12" s="17">
        <f>IF(Database!BM12="","(none found)",Database!BM12)</f>
        <v/>
      </c>
      <c r="M12" s="19">
        <f>IFERROR(BDH(Database!$A12&amp;" HK Equity","CUR_MKT_CAP",Database!$H12,Database!$H12),"")</f>
        <v/>
      </c>
      <c r="N12" s="180">
        <f>Database!Q12</f>
        <v/>
      </c>
      <c r="O12" s="24">
        <f>IFERROR(BDH(Database!$A12&amp;" HK Equity","PE_RATIO",Database!$H12,Database!$H12),"")</f>
        <v/>
      </c>
      <c r="P12" s="184">
        <f>IF(Database!BG12="","(n/m or not derivable)",Database!BG12)</f>
        <v/>
      </c>
      <c r="Q12" s="24">
        <f>IF(Database!BM12="","",IFERROR(BDH(LEFT(Database!BM12,FIND(".",Database!BM12)-1)&amp;" CH Equity","PE_RATIO",Database!$H12,Database!$H12),""))</f>
        <v/>
      </c>
      <c r="R12" s="24">
        <f>IF(Database!BM12="","",IFERROR(BDH("HSAHP Index","PX_LAST",Database!$H12,Database!$H12),""))</f>
        <v/>
      </c>
      <c r="S12" s="24">
        <f>IFERROR(BDP(Database!$A12&amp;" HK Equity","PX_TO_SALES_RATIO"),"")</f>
        <v/>
      </c>
      <c r="T12" s="19">
        <f>IF(Database!BM12="","",IFERROR(BDP(LEFT(Database!BM12,FIND(".",Database!BM12)-1)&amp;" CH Equity","CUR_MKT_CAP"),""))</f>
        <v/>
      </c>
    </row>
    <row r="13">
      <c r="A13" s="17">
        <f>Database!A13&amp;"  "&amp;Database!B13</f>
        <v/>
      </c>
      <c r="B13" s="10">
        <f>IFERROR(INDEX(BDS(Database!$A13&amp;" HK Equity","EQUITY_OFFERINGS","array=t","endcol=1"),MATCH("IPO",BDS(Database!$A13&amp;" HK Equity","EQUITY_OFFERINGS","array=t","startcol=2","endcol=2"),0)),"")</f>
        <v/>
      </c>
      <c r="C13" s="186">
        <f>IF($B13="","",IFERROR(BDP($B13&amp;" Action","CP036"),""))</f>
        <v/>
      </c>
      <c r="D13" s="187">
        <f>Database!S13</f>
        <v/>
      </c>
      <c r="E13" s="186">
        <f>IF($B13="","",IFERROR(BDP($B13&amp;" Action","CP037"),""))</f>
        <v/>
      </c>
      <c r="F13" s="187">
        <f>Database!T13</f>
        <v/>
      </c>
      <c r="G13" s="186">
        <f>IF($B13="","",IFERROR(BDP($B13&amp;" Action","GREENSHOE_FACILITY"),""))</f>
        <v/>
      </c>
      <c r="H13" s="186">
        <f>IF($B13="","",IFERROR(BDP($B13&amp;" Action","OFFERING_GREENSHOE_SHARES_EX"),""))</f>
        <v/>
      </c>
      <c r="I13" s="17">
        <f>Database!AE13</f>
        <v/>
      </c>
      <c r="J13" s="24">
        <f>IFERROR(BDP(Database!$A13&amp;" HK Equity","PE_RATIO"),"")</f>
        <v/>
      </c>
      <c r="K13" s="10">
        <f>IFERROR(BDP(Database!$A13&amp;" HK Equity","A/H_SHARE_CONVERSION"),"")</f>
        <v/>
      </c>
      <c r="L13" s="17">
        <f>IF(Database!BM13="","(none found)",Database!BM13)</f>
        <v/>
      </c>
      <c r="M13" s="19">
        <f>IFERROR(BDH(Database!$A13&amp;" HK Equity","CUR_MKT_CAP",Database!$H13,Database!$H13),"")</f>
        <v/>
      </c>
      <c r="N13" s="180">
        <f>Database!Q13</f>
        <v/>
      </c>
      <c r="O13" s="24">
        <f>IFERROR(BDH(Database!$A13&amp;" HK Equity","PE_RATIO",Database!$H13,Database!$H13),"")</f>
        <v/>
      </c>
      <c r="P13" s="184">
        <f>IF(Database!BG13="","(n/m or not derivable)",Database!BG13)</f>
        <v/>
      </c>
      <c r="Q13" s="24">
        <f>IF(Database!BM13="","",IFERROR(BDH(LEFT(Database!BM13,FIND(".",Database!BM13)-1)&amp;" CH Equity","PE_RATIO",Database!$H13,Database!$H13),""))</f>
        <v/>
      </c>
      <c r="R13" s="24">
        <f>IF(Database!BM13="","",IFERROR(BDH("HSAHP Index","PX_LAST",Database!$H13,Database!$H13),""))</f>
        <v/>
      </c>
      <c r="S13" s="24">
        <f>IFERROR(BDP(Database!$A13&amp;" HK Equity","PX_TO_SALES_RATIO"),"")</f>
        <v/>
      </c>
      <c r="T13" s="19">
        <f>IF(Database!BM13="","",IFERROR(BDP(LEFT(Database!BM13,FIND(".",Database!BM13)-1)&amp;" CH Equity","CUR_MKT_CAP"),""))</f>
        <v/>
      </c>
    </row>
    <row r="14">
      <c r="A14" s="17">
        <f>Database!A14&amp;"  "&amp;Database!B14</f>
        <v/>
      </c>
      <c r="B14" s="10">
        <f>IFERROR(INDEX(BDS(Database!$A14&amp;" HK Equity","EQUITY_OFFERINGS","array=t","endcol=1"),MATCH("IPO",BDS(Database!$A14&amp;" HK Equity","EQUITY_OFFERINGS","array=t","startcol=2","endcol=2"),0)),"")</f>
        <v/>
      </c>
      <c r="C14" s="186">
        <f>IF($B14="","",IFERROR(BDP($B14&amp;" Action","CP036"),""))</f>
        <v/>
      </c>
      <c r="D14" s="187">
        <f>Database!S14</f>
        <v/>
      </c>
      <c r="E14" s="186">
        <f>IF($B14="","",IFERROR(BDP($B14&amp;" Action","CP037"),""))</f>
        <v/>
      </c>
      <c r="F14" s="187">
        <f>Database!T14</f>
        <v/>
      </c>
      <c r="G14" s="186">
        <f>IF($B14="","",IFERROR(BDP($B14&amp;" Action","GREENSHOE_FACILITY"),""))</f>
        <v/>
      </c>
      <c r="H14" s="186">
        <f>IF($B14="","",IFERROR(BDP($B14&amp;" Action","OFFERING_GREENSHOE_SHARES_EX"),""))</f>
        <v/>
      </c>
      <c r="I14" s="17">
        <f>Database!AE14</f>
        <v/>
      </c>
      <c r="J14" s="24">
        <f>IFERROR(BDP(Database!$A14&amp;" HK Equity","PE_RATIO"),"")</f>
        <v/>
      </c>
      <c r="K14" s="10">
        <f>IFERROR(BDP(Database!$A14&amp;" HK Equity","A/H_SHARE_CONVERSION"),"")</f>
        <v/>
      </c>
      <c r="L14" s="17">
        <f>IF(Database!BM14="","(none found)",Database!BM14)</f>
        <v/>
      </c>
      <c r="M14" s="19">
        <f>IFERROR(BDH(Database!$A14&amp;" HK Equity","CUR_MKT_CAP",Database!$H14,Database!$H14),"")</f>
        <v/>
      </c>
      <c r="N14" s="180">
        <f>Database!Q14</f>
        <v/>
      </c>
      <c r="O14" s="24">
        <f>IFERROR(BDH(Database!$A14&amp;" HK Equity","PE_RATIO",Database!$H14,Database!$H14),"")</f>
        <v/>
      </c>
      <c r="P14" s="184">
        <f>IF(Database!BG14="","(n/m or not derivable)",Database!BG14)</f>
        <v/>
      </c>
      <c r="Q14" s="24">
        <f>IF(Database!BM14="","",IFERROR(BDH(LEFT(Database!BM14,FIND(".",Database!BM14)-1)&amp;" CH Equity","PE_RATIO",Database!$H14,Database!$H14),""))</f>
        <v/>
      </c>
      <c r="R14" s="24">
        <f>IF(Database!BM14="","",IFERROR(BDH("HSAHP Index","PX_LAST",Database!$H14,Database!$H14),""))</f>
        <v/>
      </c>
      <c r="S14" s="24">
        <f>IFERROR(BDP(Database!$A14&amp;" HK Equity","PX_TO_SALES_RATIO"),"")</f>
        <v/>
      </c>
      <c r="T14" s="19">
        <f>IF(Database!BM14="","",IFERROR(BDP(LEFT(Database!BM14,FIND(".",Database!BM14)-1)&amp;" CH Equity","CUR_MKT_CAP"),""))</f>
        <v/>
      </c>
    </row>
    <row r="15">
      <c r="A15" s="17">
        <f>Database!A15&amp;"  "&amp;Database!B15</f>
        <v/>
      </c>
      <c r="B15" s="10">
        <f>IFERROR(INDEX(BDS(Database!$A15&amp;" HK Equity","EQUITY_OFFERINGS","array=t","endcol=1"),MATCH("IPO",BDS(Database!$A15&amp;" HK Equity","EQUITY_OFFERINGS","array=t","startcol=2","endcol=2"),0)),"")</f>
        <v/>
      </c>
      <c r="C15" s="186">
        <f>IF($B15="","",IFERROR(BDP($B15&amp;" Action","CP036"),""))</f>
        <v/>
      </c>
      <c r="D15" s="187">
        <f>Database!S15</f>
        <v/>
      </c>
      <c r="E15" s="186">
        <f>IF($B15="","",IFERROR(BDP($B15&amp;" Action","CP037"),""))</f>
        <v/>
      </c>
      <c r="F15" s="187">
        <f>Database!T15</f>
        <v/>
      </c>
      <c r="G15" s="186">
        <f>IF($B15="","",IFERROR(BDP($B15&amp;" Action","GREENSHOE_FACILITY"),""))</f>
        <v/>
      </c>
      <c r="H15" s="186">
        <f>IF($B15="","",IFERROR(BDP($B15&amp;" Action","OFFERING_GREENSHOE_SHARES_EX"),""))</f>
        <v/>
      </c>
      <c r="I15" s="17">
        <f>Database!AE15</f>
        <v/>
      </c>
      <c r="J15" s="24">
        <f>IFERROR(BDP(Database!$A15&amp;" HK Equity","PE_RATIO"),"")</f>
        <v/>
      </c>
      <c r="K15" s="10">
        <f>IFERROR(BDP(Database!$A15&amp;" HK Equity","A/H_SHARE_CONVERSION"),"")</f>
        <v/>
      </c>
      <c r="L15" s="17">
        <f>IF(Database!BM15="","(none found)",Database!BM15)</f>
        <v/>
      </c>
      <c r="M15" s="19">
        <f>IFERROR(BDH(Database!$A15&amp;" HK Equity","CUR_MKT_CAP",Database!$H15,Database!$H15),"")</f>
        <v/>
      </c>
      <c r="N15" s="180">
        <f>Database!Q15</f>
        <v/>
      </c>
      <c r="O15" s="24">
        <f>IFERROR(BDH(Database!$A15&amp;" HK Equity","PE_RATIO",Database!$H15,Database!$H15),"")</f>
        <v/>
      </c>
      <c r="P15" s="184">
        <f>IF(Database!BG15="","(n/m or not derivable)",Database!BG15)</f>
        <v/>
      </c>
      <c r="Q15" s="24">
        <f>IF(Database!BM15="","",IFERROR(BDH(LEFT(Database!BM15,FIND(".",Database!BM15)-1)&amp;" CH Equity","PE_RATIO",Database!$H15,Database!$H15),""))</f>
        <v/>
      </c>
      <c r="R15" s="24">
        <f>IF(Database!BM15="","",IFERROR(BDH("HSAHP Index","PX_LAST",Database!$H15,Database!$H15),""))</f>
        <v/>
      </c>
      <c r="S15" s="24">
        <f>IFERROR(BDP(Database!$A15&amp;" HK Equity","PX_TO_SALES_RATIO"),"")</f>
        <v/>
      </c>
      <c r="T15" s="19">
        <f>IF(Database!BM15="","",IFERROR(BDP(LEFT(Database!BM15,FIND(".",Database!BM15)-1)&amp;" CH Equity","CUR_MKT_CAP"),""))</f>
        <v/>
      </c>
    </row>
    <row r="16">
      <c r="A16" s="17">
        <f>Database!A16&amp;"  "&amp;Database!B16</f>
        <v/>
      </c>
      <c r="B16" s="10">
        <f>IFERROR(INDEX(BDS(Database!$A16&amp;" HK Equity","EQUITY_OFFERINGS","array=t","endcol=1"),MATCH("IPO",BDS(Database!$A16&amp;" HK Equity","EQUITY_OFFERINGS","array=t","startcol=2","endcol=2"),0)),"")</f>
        <v/>
      </c>
      <c r="C16" s="186">
        <f>IF($B16="","",IFERROR(BDP($B16&amp;" Action","CP036"),""))</f>
        <v/>
      </c>
      <c r="D16" s="187">
        <f>Database!S16</f>
        <v/>
      </c>
      <c r="E16" s="186">
        <f>IF($B16="","",IFERROR(BDP($B16&amp;" Action","CP037"),""))</f>
        <v/>
      </c>
      <c r="F16" s="187">
        <f>Database!T16</f>
        <v/>
      </c>
      <c r="G16" s="186">
        <f>IF($B16="","",IFERROR(BDP($B16&amp;" Action","GREENSHOE_FACILITY"),""))</f>
        <v/>
      </c>
      <c r="H16" s="186">
        <f>IF($B16="","",IFERROR(BDP($B16&amp;" Action","OFFERING_GREENSHOE_SHARES_EX"),""))</f>
        <v/>
      </c>
      <c r="I16" s="17">
        <f>Database!AE16</f>
        <v/>
      </c>
      <c r="J16" s="24">
        <f>IFERROR(BDP(Database!$A16&amp;" HK Equity","PE_RATIO"),"")</f>
        <v/>
      </c>
      <c r="K16" s="10">
        <f>IFERROR(BDP(Database!$A16&amp;" HK Equity","A/H_SHARE_CONVERSION"),"")</f>
        <v/>
      </c>
      <c r="L16" s="17">
        <f>IF(Database!BM16="","(none found)",Database!BM16)</f>
        <v/>
      </c>
      <c r="M16" s="19">
        <f>IFERROR(BDH(Database!$A16&amp;" HK Equity","CUR_MKT_CAP",Database!$H16,Database!$H16),"")</f>
        <v/>
      </c>
      <c r="N16" s="180">
        <f>Database!Q16</f>
        <v/>
      </c>
      <c r="O16" s="24">
        <f>IFERROR(BDH(Database!$A16&amp;" HK Equity","PE_RATIO",Database!$H16,Database!$H16),"")</f>
        <v/>
      </c>
      <c r="P16" s="184">
        <f>IF(Database!BG16="","(n/m or not derivable)",Database!BG16)</f>
        <v/>
      </c>
      <c r="Q16" s="24">
        <f>IF(Database!BM16="","",IFERROR(BDH(LEFT(Database!BM16,FIND(".",Database!BM16)-1)&amp;" CH Equity","PE_RATIO",Database!$H16,Database!$H16),""))</f>
        <v/>
      </c>
      <c r="R16" s="24">
        <f>IF(Database!BM16="","",IFERROR(BDH("HSAHP Index","PX_LAST",Database!$H16,Database!$H16),""))</f>
        <v/>
      </c>
      <c r="S16" s="24">
        <f>IFERROR(BDP(Database!$A16&amp;" HK Equity","PX_TO_SALES_RATIO"),"")</f>
        <v/>
      </c>
      <c r="T16" s="19">
        <f>IF(Database!BM16="","",IFERROR(BDP(LEFT(Database!BM16,FIND(".",Database!BM16)-1)&amp;" CH Equity","CUR_MKT_CAP"),""))</f>
        <v/>
      </c>
    </row>
    <row r="17">
      <c r="A17" s="17">
        <f>Database!A17&amp;"  "&amp;Database!B17</f>
        <v/>
      </c>
      <c r="B17" s="10">
        <f>IFERROR(INDEX(BDS(Database!$A17&amp;" HK Equity","EQUITY_OFFERINGS","array=t","endcol=1"),MATCH("IPO",BDS(Database!$A17&amp;" HK Equity","EQUITY_OFFERINGS","array=t","startcol=2","endcol=2"),0)),"")</f>
        <v/>
      </c>
      <c r="C17" s="186">
        <f>IF($B17="","",IFERROR(BDP($B17&amp;" Action","CP036"),""))</f>
        <v/>
      </c>
      <c r="D17" s="187">
        <f>Database!S17</f>
        <v/>
      </c>
      <c r="E17" s="186">
        <f>IF($B17="","",IFERROR(BDP($B17&amp;" Action","CP037"),""))</f>
        <v/>
      </c>
      <c r="F17" s="187">
        <f>Database!T17</f>
        <v/>
      </c>
      <c r="G17" s="186">
        <f>IF($B17="","",IFERROR(BDP($B17&amp;" Action","GREENSHOE_FACILITY"),""))</f>
        <v/>
      </c>
      <c r="H17" s="186">
        <f>IF($B17="","",IFERROR(BDP($B17&amp;" Action","OFFERING_GREENSHOE_SHARES_EX"),""))</f>
        <v/>
      </c>
      <c r="I17" s="17">
        <f>Database!AE17</f>
        <v/>
      </c>
      <c r="J17" s="24">
        <f>IFERROR(BDP(Database!$A17&amp;" HK Equity","PE_RATIO"),"")</f>
        <v/>
      </c>
      <c r="K17" s="10">
        <f>IFERROR(BDP(Database!$A17&amp;" HK Equity","A/H_SHARE_CONVERSION"),"")</f>
        <v/>
      </c>
      <c r="L17" s="17">
        <f>IF(Database!BM17="","(none found)",Database!BM17)</f>
        <v/>
      </c>
      <c r="M17" s="19">
        <f>IFERROR(BDH(Database!$A17&amp;" HK Equity","CUR_MKT_CAP",Database!$H17,Database!$H17),"")</f>
        <v/>
      </c>
      <c r="N17" s="180">
        <f>Database!Q17</f>
        <v/>
      </c>
      <c r="O17" s="24">
        <f>IFERROR(BDH(Database!$A17&amp;" HK Equity","PE_RATIO",Database!$H17,Database!$H17),"")</f>
        <v/>
      </c>
      <c r="P17" s="184">
        <f>IF(Database!BG17="","(n/m or not derivable)",Database!BG17)</f>
        <v/>
      </c>
      <c r="Q17" s="24">
        <f>IF(Database!BM17="","",IFERROR(BDH(LEFT(Database!BM17,FIND(".",Database!BM17)-1)&amp;" CH Equity","PE_RATIO",Database!$H17,Database!$H17),""))</f>
        <v/>
      </c>
      <c r="R17" s="24">
        <f>IF(Database!BM17="","",IFERROR(BDH("HSAHP Index","PX_LAST",Database!$H17,Database!$H17),""))</f>
        <v/>
      </c>
      <c r="S17" s="24">
        <f>IFERROR(BDP(Database!$A17&amp;" HK Equity","PX_TO_SALES_RATIO"),"")</f>
        <v/>
      </c>
      <c r="T17" s="19">
        <f>IF(Database!BM17="","",IFERROR(BDP(LEFT(Database!BM17,FIND(".",Database!BM17)-1)&amp;" CH Equity","CUR_MKT_CAP"),""))</f>
        <v/>
      </c>
    </row>
    <row r="18">
      <c r="A18" s="17">
        <f>Database!A18&amp;"  "&amp;Database!B18</f>
        <v/>
      </c>
      <c r="B18" s="10">
        <f>IFERROR(INDEX(BDS(Database!$A18&amp;" HK Equity","EQUITY_OFFERINGS","array=t","endcol=1"),MATCH("IPO",BDS(Database!$A18&amp;" HK Equity","EQUITY_OFFERINGS","array=t","startcol=2","endcol=2"),0)),"")</f>
        <v/>
      </c>
      <c r="C18" s="186">
        <f>IF($B18="","",IFERROR(BDP($B18&amp;" Action","CP036"),""))</f>
        <v/>
      </c>
      <c r="D18" s="187">
        <f>Database!S18</f>
        <v/>
      </c>
      <c r="E18" s="186">
        <f>IF($B18="","",IFERROR(BDP($B18&amp;" Action","CP037"),""))</f>
        <v/>
      </c>
      <c r="F18" s="187">
        <f>Database!T18</f>
        <v/>
      </c>
      <c r="G18" s="186">
        <f>IF($B18="","",IFERROR(BDP($B18&amp;" Action","GREENSHOE_FACILITY"),""))</f>
        <v/>
      </c>
      <c r="H18" s="186">
        <f>IF($B18="","",IFERROR(BDP($B18&amp;" Action","OFFERING_GREENSHOE_SHARES_EX"),""))</f>
        <v/>
      </c>
      <c r="I18" s="17">
        <f>Database!AE18</f>
        <v/>
      </c>
      <c r="J18" s="24">
        <f>IFERROR(BDP(Database!$A18&amp;" HK Equity","PE_RATIO"),"")</f>
        <v/>
      </c>
      <c r="K18" s="10">
        <f>IFERROR(BDP(Database!$A18&amp;" HK Equity","A/H_SHARE_CONVERSION"),"")</f>
        <v/>
      </c>
      <c r="L18" s="17">
        <f>IF(Database!BM18="","(none found)",Database!BM18)</f>
        <v/>
      </c>
      <c r="M18" s="19">
        <f>IFERROR(BDH(Database!$A18&amp;" HK Equity","CUR_MKT_CAP",Database!$H18,Database!$H18),"")</f>
        <v/>
      </c>
      <c r="N18" s="180">
        <f>Database!Q18</f>
        <v/>
      </c>
      <c r="O18" s="24">
        <f>IFERROR(BDH(Database!$A18&amp;" HK Equity","PE_RATIO",Database!$H18,Database!$H18),"")</f>
        <v/>
      </c>
      <c r="P18" s="184">
        <f>IF(Database!BG18="","(n/m or not derivable)",Database!BG18)</f>
        <v/>
      </c>
      <c r="Q18" s="24">
        <f>IF(Database!BM18="","",IFERROR(BDH(LEFT(Database!BM18,FIND(".",Database!BM18)-1)&amp;" CH Equity","PE_RATIO",Database!$H18,Database!$H18),""))</f>
        <v/>
      </c>
      <c r="R18" s="24">
        <f>IF(Database!BM18="","",IFERROR(BDH("HSAHP Index","PX_LAST",Database!$H18,Database!$H18),""))</f>
        <v/>
      </c>
      <c r="S18" s="24">
        <f>IFERROR(BDP(Database!$A18&amp;" HK Equity","PX_TO_SALES_RATIO"),"")</f>
        <v/>
      </c>
      <c r="T18" s="19">
        <f>IF(Database!BM18="","",IFERROR(BDP(LEFT(Database!BM18,FIND(".",Database!BM18)-1)&amp;" CH Equity","CUR_MKT_CAP"),""))</f>
        <v/>
      </c>
    </row>
    <row r="19">
      <c r="A19" s="17">
        <f>Database!A19&amp;"  "&amp;Database!B19</f>
        <v/>
      </c>
      <c r="B19" s="10">
        <f>IFERROR(INDEX(BDS(Database!$A19&amp;" HK Equity","EQUITY_OFFERINGS","array=t","endcol=1"),MATCH("IPO",BDS(Database!$A19&amp;" HK Equity","EQUITY_OFFERINGS","array=t","startcol=2","endcol=2"),0)),"")</f>
        <v/>
      </c>
      <c r="C19" s="186">
        <f>IF($B19="","",IFERROR(BDP($B19&amp;" Action","CP036"),""))</f>
        <v/>
      </c>
      <c r="D19" s="187">
        <f>Database!S19</f>
        <v/>
      </c>
      <c r="E19" s="186">
        <f>IF($B19="","",IFERROR(BDP($B19&amp;" Action","CP037"),""))</f>
        <v/>
      </c>
      <c r="F19" s="187">
        <f>Database!T19</f>
        <v/>
      </c>
      <c r="G19" s="186">
        <f>IF($B19="","",IFERROR(BDP($B19&amp;" Action","GREENSHOE_FACILITY"),""))</f>
        <v/>
      </c>
      <c r="H19" s="186">
        <f>IF($B19="","",IFERROR(BDP($B19&amp;" Action","OFFERING_GREENSHOE_SHARES_EX"),""))</f>
        <v/>
      </c>
      <c r="I19" s="17">
        <f>Database!AE19</f>
        <v/>
      </c>
      <c r="J19" s="24">
        <f>IFERROR(BDP(Database!$A19&amp;" HK Equity","PE_RATIO"),"")</f>
        <v/>
      </c>
      <c r="K19" s="10">
        <f>IFERROR(BDP(Database!$A19&amp;" HK Equity","A/H_SHARE_CONVERSION"),"")</f>
        <v/>
      </c>
      <c r="L19" s="17">
        <f>IF(Database!BM19="","(none found)",Database!BM19)</f>
        <v/>
      </c>
      <c r="M19" s="19">
        <f>IFERROR(BDH(Database!$A19&amp;" HK Equity","CUR_MKT_CAP",Database!$H19,Database!$H19),"")</f>
        <v/>
      </c>
      <c r="N19" s="180">
        <f>Database!Q19</f>
        <v/>
      </c>
      <c r="O19" s="24">
        <f>IFERROR(BDH(Database!$A19&amp;" HK Equity","PE_RATIO",Database!$H19,Database!$H19),"")</f>
        <v/>
      </c>
      <c r="P19" s="184">
        <f>IF(Database!BG19="","(n/m or not derivable)",Database!BG19)</f>
        <v/>
      </c>
      <c r="Q19" s="24">
        <f>IF(Database!BM19="","",IFERROR(BDH(LEFT(Database!BM19,FIND(".",Database!BM19)-1)&amp;" CH Equity","PE_RATIO",Database!$H19,Database!$H19),""))</f>
        <v/>
      </c>
      <c r="R19" s="24">
        <f>IF(Database!BM19="","",IFERROR(BDH("HSAHP Index","PX_LAST",Database!$H19,Database!$H19),""))</f>
        <v/>
      </c>
      <c r="S19" s="24">
        <f>IFERROR(BDP(Database!$A19&amp;" HK Equity","PX_TO_SALES_RATIO"),"")</f>
        <v/>
      </c>
      <c r="T19" s="19">
        <f>IF(Database!BM19="","",IFERROR(BDP(LEFT(Database!BM19,FIND(".",Database!BM19)-1)&amp;" CH Equity","CUR_MKT_CAP"),""))</f>
        <v/>
      </c>
    </row>
    <row r="20">
      <c r="A20" s="17">
        <f>Database!A20&amp;"  "&amp;Database!B20</f>
        <v/>
      </c>
      <c r="B20" s="10">
        <f>IFERROR(INDEX(BDS(Database!$A20&amp;" HK Equity","EQUITY_OFFERINGS","array=t","endcol=1"),MATCH("IPO",BDS(Database!$A20&amp;" HK Equity","EQUITY_OFFERINGS","array=t","startcol=2","endcol=2"),0)),"")</f>
        <v/>
      </c>
      <c r="C20" s="186">
        <f>IF($B20="","",IFERROR(BDP($B20&amp;" Action","CP036"),""))</f>
        <v/>
      </c>
      <c r="D20" s="187">
        <f>Database!S20</f>
        <v/>
      </c>
      <c r="E20" s="186">
        <f>IF($B20="","",IFERROR(BDP($B20&amp;" Action","CP037"),""))</f>
        <v/>
      </c>
      <c r="F20" s="187">
        <f>Database!T20</f>
        <v/>
      </c>
      <c r="G20" s="186">
        <f>IF($B20="","",IFERROR(BDP($B20&amp;" Action","GREENSHOE_FACILITY"),""))</f>
        <v/>
      </c>
      <c r="H20" s="186">
        <f>IF($B20="","",IFERROR(BDP($B20&amp;" Action","OFFERING_GREENSHOE_SHARES_EX"),""))</f>
        <v/>
      </c>
      <c r="I20" s="17">
        <f>Database!AE20</f>
        <v/>
      </c>
      <c r="J20" s="24">
        <f>IFERROR(BDP(Database!$A20&amp;" HK Equity","PE_RATIO"),"")</f>
        <v/>
      </c>
      <c r="K20" s="10">
        <f>IFERROR(BDP(Database!$A20&amp;" HK Equity","A/H_SHARE_CONVERSION"),"")</f>
        <v/>
      </c>
      <c r="L20" s="17">
        <f>IF(Database!BM20="","(none found)",Database!BM20)</f>
        <v/>
      </c>
      <c r="M20" s="19">
        <f>IFERROR(BDH(Database!$A20&amp;" HK Equity","CUR_MKT_CAP",Database!$H20,Database!$H20),"")</f>
        <v/>
      </c>
      <c r="N20" s="180">
        <f>Database!Q20</f>
        <v/>
      </c>
      <c r="O20" s="24">
        <f>IFERROR(BDH(Database!$A20&amp;" HK Equity","PE_RATIO",Database!$H20,Database!$H20),"")</f>
        <v/>
      </c>
      <c r="P20" s="184">
        <f>IF(Database!BG20="","(n/m or not derivable)",Database!BG20)</f>
        <v/>
      </c>
      <c r="Q20" s="24">
        <f>IF(Database!BM20="","",IFERROR(BDH(LEFT(Database!BM20,FIND(".",Database!BM20)-1)&amp;" CH Equity","PE_RATIO",Database!$H20,Database!$H20),""))</f>
        <v/>
      </c>
      <c r="R20" s="24">
        <f>IF(Database!BM20="","",IFERROR(BDH("HSAHP Index","PX_LAST",Database!$H20,Database!$H20),""))</f>
        <v/>
      </c>
      <c r="S20" s="24">
        <f>IFERROR(BDP(Database!$A20&amp;" HK Equity","PX_TO_SALES_RATIO"),"")</f>
        <v/>
      </c>
      <c r="T20" s="19">
        <f>IF(Database!BM20="","",IFERROR(BDP(LEFT(Database!BM20,FIND(".",Database!BM20)-1)&amp;" CH Equity","CUR_MKT_CAP"),""))</f>
        <v/>
      </c>
    </row>
    <row r="21">
      <c r="A21" s="17">
        <f>Database!A21&amp;"  "&amp;Database!B21</f>
        <v/>
      </c>
      <c r="B21" s="10">
        <f>IFERROR(INDEX(BDS(Database!$A21&amp;" HK Equity","EQUITY_OFFERINGS","array=t","endcol=1"),MATCH("IPO",BDS(Database!$A21&amp;" HK Equity","EQUITY_OFFERINGS","array=t","startcol=2","endcol=2"),0)),"")</f>
        <v/>
      </c>
      <c r="C21" s="186">
        <f>IF($B21="","",IFERROR(BDP($B21&amp;" Action","CP036"),""))</f>
        <v/>
      </c>
      <c r="D21" s="187">
        <f>Database!S21</f>
        <v/>
      </c>
      <c r="E21" s="186">
        <f>IF($B21="","",IFERROR(BDP($B21&amp;" Action","CP037"),""))</f>
        <v/>
      </c>
      <c r="F21" s="187">
        <f>Database!T21</f>
        <v/>
      </c>
      <c r="G21" s="186">
        <f>IF($B21="","",IFERROR(BDP($B21&amp;" Action","GREENSHOE_FACILITY"),""))</f>
        <v/>
      </c>
      <c r="H21" s="186">
        <f>IF($B21="","",IFERROR(BDP($B21&amp;" Action","OFFERING_GREENSHOE_SHARES_EX"),""))</f>
        <v/>
      </c>
      <c r="I21" s="17">
        <f>Database!AE21</f>
        <v/>
      </c>
      <c r="J21" s="24">
        <f>IFERROR(BDP(Database!$A21&amp;" HK Equity","PE_RATIO"),"")</f>
        <v/>
      </c>
      <c r="K21" s="10">
        <f>IFERROR(BDP(Database!$A21&amp;" HK Equity","A/H_SHARE_CONVERSION"),"")</f>
        <v/>
      </c>
      <c r="L21" s="17">
        <f>IF(Database!BM21="","(none found)",Database!BM21)</f>
        <v/>
      </c>
      <c r="M21" s="19">
        <f>IFERROR(BDH(Database!$A21&amp;" HK Equity","CUR_MKT_CAP",Database!$H21,Database!$H21),"")</f>
        <v/>
      </c>
      <c r="N21" s="180">
        <f>Database!Q21</f>
        <v/>
      </c>
      <c r="O21" s="24">
        <f>IFERROR(BDH(Database!$A21&amp;" HK Equity","PE_RATIO",Database!$H21,Database!$H21),"")</f>
        <v/>
      </c>
      <c r="P21" s="184">
        <f>IF(Database!BG21="","(n/m or not derivable)",Database!BG21)</f>
        <v/>
      </c>
      <c r="Q21" s="24">
        <f>IF(Database!BM21="","",IFERROR(BDH(LEFT(Database!BM21,FIND(".",Database!BM21)-1)&amp;" CH Equity","PE_RATIO",Database!$H21,Database!$H21),""))</f>
        <v/>
      </c>
      <c r="R21" s="24">
        <f>IF(Database!BM21="","",IFERROR(BDH("HSAHP Index","PX_LAST",Database!$H21,Database!$H21),""))</f>
        <v/>
      </c>
      <c r="S21" s="24">
        <f>IFERROR(BDP(Database!$A21&amp;" HK Equity","PX_TO_SALES_RATIO"),"")</f>
        <v/>
      </c>
      <c r="T21" s="19">
        <f>IF(Database!BM21="","",IFERROR(BDP(LEFT(Database!BM21,FIND(".",Database!BM21)-1)&amp;" CH Equity","CUR_MKT_CAP"),""))</f>
        <v/>
      </c>
    </row>
    <row r="22">
      <c r="A22" s="17">
        <f>Database!A22&amp;"  "&amp;Database!B22</f>
        <v/>
      </c>
      <c r="B22" s="10">
        <f>IFERROR(INDEX(BDS(Database!$A22&amp;" HK Equity","EQUITY_OFFERINGS","array=t","endcol=1"),MATCH("IPO",BDS(Database!$A22&amp;" HK Equity","EQUITY_OFFERINGS","array=t","startcol=2","endcol=2"),0)),"")</f>
        <v/>
      </c>
      <c r="C22" s="186">
        <f>IF($B22="","",IFERROR(BDP($B22&amp;" Action","CP036"),""))</f>
        <v/>
      </c>
      <c r="D22" s="187">
        <f>Database!S22</f>
        <v/>
      </c>
      <c r="E22" s="186">
        <f>IF($B22="","",IFERROR(BDP($B22&amp;" Action","CP037"),""))</f>
        <v/>
      </c>
      <c r="F22" s="187">
        <f>Database!T22</f>
        <v/>
      </c>
      <c r="G22" s="186">
        <f>IF($B22="","",IFERROR(BDP($B22&amp;" Action","GREENSHOE_FACILITY"),""))</f>
        <v/>
      </c>
      <c r="H22" s="186">
        <f>IF($B22="","",IFERROR(BDP($B22&amp;" Action","OFFERING_GREENSHOE_SHARES_EX"),""))</f>
        <v/>
      </c>
      <c r="I22" s="17">
        <f>Database!AE22</f>
        <v/>
      </c>
      <c r="J22" s="24">
        <f>IFERROR(BDP(Database!$A22&amp;" HK Equity","PE_RATIO"),"")</f>
        <v/>
      </c>
      <c r="K22" s="10">
        <f>IFERROR(BDP(Database!$A22&amp;" HK Equity","A/H_SHARE_CONVERSION"),"")</f>
        <v/>
      </c>
      <c r="L22" s="17">
        <f>IF(Database!BM22="","(none found)",Database!BM22)</f>
        <v/>
      </c>
      <c r="M22" s="19">
        <f>IFERROR(BDH(Database!$A22&amp;" HK Equity","CUR_MKT_CAP",Database!$H22,Database!$H22),"")</f>
        <v/>
      </c>
      <c r="N22" s="180">
        <f>Database!Q22</f>
        <v/>
      </c>
      <c r="O22" s="24">
        <f>IFERROR(BDH(Database!$A22&amp;" HK Equity","PE_RATIO",Database!$H22,Database!$H22),"")</f>
        <v/>
      </c>
      <c r="P22" s="184">
        <f>IF(Database!BG22="","(n/m or not derivable)",Database!BG22)</f>
        <v/>
      </c>
      <c r="Q22" s="24">
        <f>IF(Database!BM22="","",IFERROR(BDH(LEFT(Database!BM22,FIND(".",Database!BM22)-1)&amp;" CH Equity","PE_RATIO",Database!$H22,Database!$H22),""))</f>
        <v/>
      </c>
      <c r="R22" s="24">
        <f>IF(Database!BM22="","",IFERROR(BDH("HSAHP Index","PX_LAST",Database!$H22,Database!$H22),""))</f>
        <v/>
      </c>
      <c r="S22" s="24">
        <f>IFERROR(BDP(Database!$A22&amp;" HK Equity","PX_TO_SALES_RATIO"),"")</f>
        <v/>
      </c>
      <c r="T22" s="19">
        <f>IF(Database!BM22="","",IFERROR(BDP(LEFT(Database!BM22,FIND(".",Database!BM22)-1)&amp;" CH Equity","CUR_MKT_CAP"),""))</f>
        <v/>
      </c>
    </row>
    <row r="23">
      <c r="A23" s="17">
        <f>Database!A23&amp;"  "&amp;Database!B23</f>
        <v/>
      </c>
      <c r="B23" s="10">
        <f>IFERROR(INDEX(BDS(Database!$A23&amp;" HK Equity","EQUITY_OFFERINGS","array=t","endcol=1"),MATCH("IPO",BDS(Database!$A23&amp;" HK Equity","EQUITY_OFFERINGS","array=t","startcol=2","endcol=2"),0)),"")</f>
        <v/>
      </c>
      <c r="C23" s="186">
        <f>IF($B23="","",IFERROR(BDP($B23&amp;" Action","CP036"),""))</f>
        <v/>
      </c>
      <c r="D23" s="187">
        <f>Database!S23</f>
        <v/>
      </c>
      <c r="E23" s="186">
        <f>IF($B23="","",IFERROR(BDP($B23&amp;" Action","CP037"),""))</f>
        <v/>
      </c>
      <c r="F23" s="187">
        <f>Database!T23</f>
        <v/>
      </c>
      <c r="G23" s="186">
        <f>IF($B23="","",IFERROR(BDP($B23&amp;" Action","GREENSHOE_FACILITY"),""))</f>
        <v/>
      </c>
      <c r="H23" s="186">
        <f>IF($B23="","",IFERROR(BDP($B23&amp;" Action","OFFERING_GREENSHOE_SHARES_EX"),""))</f>
        <v/>
      </c>
      <c r="I23" s="17">
        <f>Database!AE23</f>
        <v/>
      </c>
      <c r="J23" s="24">
        <f>IFERROR(BDP(Database!$A23&amp;" HK Equity","PE_RATIO"),"")</f>
        <v/>
      </c>
      <c r="K23" s="10">
        <f>IFERROR(BDP(Database!$A23&amp;" HK Equity","A/H_SHARE_CONVERSION"),"")</f>
        <v/>
      </c>
      <c r="L23" s="17">
        <f>IF(Database!BM23="","(none found)",Database!BM23)</f>
        <v/>
      </c>
      <c r="M23" s="19">
        <f>IFERROR(BDH(Database!$A23&amp;" HK Equity","CUR_MKT_CAP",Database!$H23,Database!$H23),"")</f>
        <v/>
      </c>
      <c r="N23" s="180">
        <f>Database!Q23</f>
        <v/>
      </c>
      <c r="O23" s="24">
        <f>IFERROR(BDH(Database!$A23&amp;" HK Equity","PE_RATIO",Database!$H23,Database!$H23),"")</f>
        <v/>
      </c>
      <c r="P23" s="184">
        <f>IF(Database!BG23="","(n/m or not derivable)",Database!BG23)</f>
        <v/>
      </c>
      <c r="Q23" s="24">
        <f>IF(Database!BM23="","",IFERROR(BDH(LEFT(Database!BM23,FIND(".",Database!BM23)-1)&amp;" CH Equity","PE_RATIO",Database!$H23,Database!$H23),""))</f>
        <v/>
      </c>
      <c r="R23" s="24">
        <f>IF(Database!BM23="","",IFERROR(BDH("HSAHP Index","PX_LAST",Database!$H23,Database!$H23),""))</f>
        <v/>
      </c>
      <c r="S23" s="24">
        <f>IFERROR(BDP(Database!$A23&amp;" HK Equity","PX_TO_SALES_RATIO"),"")</f>
        <v/>
      </c>
      <c r="T23" s="19">
        <f>IF(Database!BM23="","",IFERROR(BDP(LEFT(Database!BM23,FIND(".",Database!BM23)-1)&amp;" CH Equity","CUR_MKT_CAP"),""))</f>
        <v/>
      </c>
    </row>
    <row r="24">
      <c r="A24" s="17">
        <f>Database!A24&amp;"  "&amp;Database!B24</f>
        <v/>
      </c>
      <c r="B24" s="10">
        <f>IFERROR(INDEX(BDS(Database!$A24&amp;" HK Equity","EQUITY_OFFERINGS","array=t","endcol=1"),MATCH("IPO",BDS(Database!$A24&amp;" HK Equity","EQUITY_OFFERINGS","array=t","startcol=2","endcol=2"),0)),"")</f>
        <v/>
      </c>
      <c r="C24" s="186">
        <f>IF($B24="","",IFERROR(BDP($B24&amp;" Action","CP036"),""))</f>
        <v/>
      </c>
      <c r="D24" s="187">
        <f>Database!S24</f>
        <v/>
      </c>
      <c r="E24" s="186">
        <f>IF($B24="","",IFERROR(BDP($B24&amp;" Action","CP037"),""))</f>
        <v/>
      </c>
      <c r="F24" s="187">
        <f>Database!T24</f>
        <v/>
      </c>
      <c r="G24" s="186">
        <f>IF($B24="","",IFERROR(BDP($B24&amp;" Action","GREENSHOE_FACILITY"),""))</f>
        <v/>
      </c>
      <c r="H24" s="186">
        <f>IF($B24="","",IFERROR(BDP($B24&amp;" Action","OFFERING_GREENSHOE_SHARES_EX"),""))</f>
        <v/>
      </c>
      <c r="I24" s="17">
        <f>Database!AE24</f>
        <v/>
      </c>
      <c r="J24" s="24">
        <f>IFERROR(BDP(Database!$A24&amp;" HK Equity","PE_RATIO"),"")</f>
        <v/>
      </c>
      <c r="K24" s="10">
        <f>IFERROR(BDP(Database!$A24&amp;" HK Equity","A/H_SHARE_CONVERSION"),"")</f>
        <v/>
      </c>
      <c r="L24" s="17">
        <f>IF(Database!BM24="","(none found)",Database!BM24)</f>
        <v/>
      </c>
      <c r="M24" s="19">
        <f>IFERROR(BDH(Database!$A24&amp;" HK Equity","CUR_MKT_CAP",Database!$H24,Database!$H24),"")</f>
        <v/>
      </c>
      <c r="N24" s="180">
        <f>Database!Q24</f>
        <v/>
      </c>
      <c r="O24" s="24">
        <f>IFERROR(BDH(Database!$A24&amp;" HK Equity","PE_RATIO",Database!$H24,Database!$H24),"")</f>
        <v/>
      </c>
      <c r="P24" s="184">
        <f>IF(Database!BG24="","(n/m or not derivable)",Database!BG24)</f>
        <v/>
      </c>
      <c r="Q24" s="24">
        <f>IF(Database!BM24="","",IFERROR(BDH(LEFT(Database!BM24,FIND(".",Database!BM24)-1)&amp;" CH Equity","PE_RATIO",Database!$H24,Database!$H24),""))</f>
        <v/>
      </c>
      <c r="R24" s="24">
        <f>IF(Database!BM24="","",IFERROR(BDH("HSAHP Index","PX_LAST",Database!$H24,Database!$H24),""))</f>
        <v/>
      </c>
      <c r="S24" s="24">
        <f>IFERROR(BDP(Database!$A24&amp;" HK Equity","PX_TO_SALES_RATIO"),"")</f>
        <v/>
      </c>
      <c r="T24" s="19">
        <f>IF(Database!BM24="","",IFERROR(BDP(LEFT(Database!BM24,FIND(".",Database!BM24)-1)&amp;" CH Equity","CUR_MKT_CAP"),""))</f>
        <v/>
      </c>
    </row>
    <row r="25">
      <c r="A25" s="17">
        <f>Database!A25&amp;"  "&amp;Database!B25</f>
        <v/>
      </c>
      <c r="B25" s="10">
        <f>IFERROR(INDEX(BDS(Database!$A25&amp;" HK Equity","EQUITY_OFFERINGS","array=t","endcol=1"),MATCH("IPO",BDS(Database!$A25&amp;" HK Equity","EQUITY_OFFERINGS","array=t","startcol=2","endcol=2"),0)),"")</f>
        <v/>
      </c>
      <c r="C25" s="186">
        <f>IF($B25="","",IFERROR(BDP($B25&amp;" Action","CP036"),""))</f>
        <v/>
      </c>
      <c r="D25" s="187">
        <f>Database!S25</f>
        <v/>
      </c>
      <c r="E25" s="186">
        <f>IF($B25="","",IFERROR(BDP($B25&amp;" Action","CP037"),""))</f>
        <v/>
      </c>
      <c r="F25" s="187">
        <f>Database!T25</f>
        <v/>
      </c>
      <c r="G25" s="186">
        <f>IF($B25="","",IFERROR(BDP($B25&amp;" Action","GREENSHOE_FACILITY"),""))</f>
        <v/>
      </c>
      <c r="H25" s="186">
        <f>IF($B25="","",IFERROR(BDP($B25&amp;" Action","OFFERING_GREENSHOE_SHARES_EX"),""))</f>
        <v/>
      </c>
      <c r="I25" s="17">
        <f>Database!AE25</f>
        <v/>
      </c>
      <c r="J25" s="24">
        <f>IFERROR(BDP(Database!$A25&amp;" HK Equity","PE_RATIO"),"")</f>
        <v/>
      </c>
      <c r="K25" s="10">
        <f>IFERROR(BDP(Database!$A25&amp;" HK Equity","A/H_SHARE_CONVERSION"),"")</f>
        <v/>
      </c>
      <c r="L25" s="17">
        <f>IF(Database!BM25="","(none found)",Database!BM25)</f>
        <v/>
      </c>
      <c r="M25" s="19">
        <f>IFERROR(BDH(Database!$A25&amp;" HK Equity","CUR_MKT_CAP",Database!$H25,Database!$H25),"")</f>
        <v/>
      </c>
      <c r="N25" s="180">
        <f>Database!Q25</f>
        <v/>
      </c>
      <c r="O25" s="24">
        <f>IFERROR(BDH(Database!$A25&amp;" HK Equity","PE_RATIO",Database!$H25,Database!$H25),"")</f>
        <v/>
      </c>
      <c r="P25" s="184">
        <f>IF(Database!BG25="","(n/m or not derivable)",Database!BG25)</f>
        <v/>
      </c>
      <c r="Q25" s="24">
        <f>IF(Database!BM25="","",IFERROR(BDH(LEFT(Database!BM25,FIND(".",Database!BM25)-1)&amp;" CH Equity","PE_RATIO",Database!$H25,Database!$H25),""))</f>
        <v/>
      </c>
      <c r="R25" s="24">
        <f>IF(Database!BM25="","",IFERROR(BDH("HSAHP Index","PX_LAST",Database!$H25,Database!$H25),""))</f>
        <v/>
      </c>
      <c r="S25" s="24">
        <f>IFERROR(BDP(Database!$A25&amp;" HK Equity","PX_TO_SALES_RATIO"),"")</f>
        <v/>
      </c>
      <c r="T25" s="19">
        <f>IF(Database!BM25="","",IFERROR(BDP(LEFT(Database!BM25,FIND(".",Database!BM25)-1)&amp;" CH Equity","CUR_MKT_CAP"),""))</f>
        <v/>
      </c>
    </row>
    <row r="26">
      <c r="A26" s="17">
        <f>Database!A26&amp;"  "&amp;Database!B26</f>
        <v/>
      </c>
      <c r="B26" s="10">
        <f>IFERROR(INDEX(BDS(Database!$A26&amp;" HK Equity","EQUITY_OFFERINGS","array=t","endcol=1"),MATCH("IPO",BDS(Database!$A26&amp;" HK Equity","EQUITY_OFFERINGS","array=t","startcol=2","endcol=2"),0)),"")</f>
        <v/>
      </c>
      <c r="C26" s="186">
        <f>IF($B26="","",IFERROR(BDP($B26&amp;" Action","CP036"),""))</f>
        <v/>
      </c>
      <c r="D26" s="187">
        <f>Database!S26</f>
        <v/>
      </c>
      <c r="E26" s="186">
        <f>IF($B26="","",IFERROR(BDP($B26&amp;" Action","CP037"),""))</f>
        <v/>
      </c>
      <c r="F26" s="187">
        <f>Database!T26</f>
        <v/>
      </c>
      <c r="G26" s="186">
        <f>IF($B26="","",IFERROR(BDP($B26&amp;" Action","GREENSHOE_FACILITY"),""))</f>
        <v/>
      </c>
      <c r="H26" s="186">
        <f>IF($B26="","",IFERROR(BDP($B26&amp;" Action","OFFERING_GREENSHOE_SHARES_EX"),""))</f>
        <v/>
      </c>
      <c r="I26" s="17">
        <f>Database!AE26</f>
        <v/>
      </c>
      <c r="J26" s="24">
        <f>IFERROR(BDP(Database!$A26&amp;" HK Equity","PE_RATIO"),"")</f>
        <v/>
      </c>
      <c r="K26" s="10">
        <f>IFERROR(BDP(Database!$A26&amp;" HK Equity","A/H_SHARE_CONVERSION"),"")</f>
        <v/>
      </c>
      <c r="L26" s="17">
        <f>IF(Database!BM26="","(none found)",Database!BM26)</f>
        <v/>
      </c>
      <c r="M26" s="19">
        <f>IFERROR(BDH(Database!$A26&amp;" HK Equity","CUR_MKT_CAP",Database!$H26,Database!$H26),"")</f>
        <v/>
      </c>
      <c r="N26" s="180">
        <f>Database!Q26</f>
        <v/>
      </c>
      <c r="O26" s="24">
        <f>IFERROR(BDH(Database!$A26&amp;" HK Equity","PE_RATIO",Database!$H26,Database!$H26),"")</f>
        <v/>
      </c>
      <c r="P26" s="184">
        <f>IF(Database!BG26="","(n/m or not derivable)",Database!BG26)</f>
        <v/>
      </c>
      <c r="Q26" s="24">
        <f>IF(Database!BM26="","",IFERROR(BDH(LEFT(Database!BM26,FIND(".",Database!BM26)-1)&amp;" CH Equity","PE_RATIO",Database!$H26,Database!$H26),""))</f>
        <v/>
      </c>
      <c r="R26" s="24">
        <f>IF(Database!BM26="","",IFERROR(BDH("HSAHP Index","PX_LAST",Database!$H26,Database!$H26),""))</f>
        <v/>
      </c>
      <c r="S26" s="24">
        <f>IFERROR(BDP(Database!$A26&amp;" HK Equity","PX_TO_SALES_RATIO"),"")</f>
        <v/>
      </c>
      <c r="T26" s="19">
        <f>IF(Database!BM26="","",IFERROR(BDP(LEFT(Database!BM26,FIND(".",Database!BM26)-1)&amp;" CH Equity","CUR_MKT_CAP"),""))</f>
        <v/>
      </c>
    </row>
    <row r="27">
      <c r="A27" s="17">
        <f>Database!A27&amp;"  "&amp;Database!B27</f>
        <v/>
      </c>
      <c r="B27" s="10">
        <f>IFERROR(INDEX(BDS(Database!$A27&amp;" HK Equity","EQUITY_OFFERINGS","array=t","endcol=1"),MATCH("IPO",BDS(Database!$A27&amp;" HK Equity","EQUITY_OFFERINGS","array=t","startcol=2","endcol=2"),0)),"")</f>
        <v/>
      </c>
      <c r="C27" s="186">
        <f>IF($B27="","",IFERROR(BDP($B27&amp;" Action","CP036"),""))</f>
        <v/>
      </c>
      <c r="D27" s="187">
        <f>Database!S27</f>
        <v/>
      </c>
      <c r="E27" s="186">
        <f>IF($B27="","",IFERROR(BDP($B27&amp;" Action","CP037"),""))</f>
        <v/>
      </c>
      <c r="F27" s="187">
        <f>Database!T27</f>
        <v/>
      </c>
      <c r="G27" s="186">
        <f>IF($B27="","",IFERROR(BDP($B27&amp;" Action","GREENSHOE_FACILITY"),""))</f>
        <v/>
      </c>
      <c r="H27" s="186">
        <f>IF($B27="","",IFERROR(BDP($B27&amp;" Action","OFFERING_GREENSHOE_SHARES_EX"),""))</f>
        <v/>
      </c>
      <c r="I27" s="17">
        <f>Database!AE27</f>
        <v/>
      </c>
      <c r="J27" s="24">
        <f>IFERROR(BDP(Database!$A27&amp;" HK Equity","PE_RATIO"),"")</f>
        <v/>
      </c>
      <c r="K27" s="10">
        <f>IFERROR(BDP(Database!$A27&amp;" HK Equity","A/H_SHARE_CONVERSION"),"")</f>
        <v/>
      </c>
      <c r="L27" s="17">
        <f>IF(Database!BM27="","(none found)",Database!BM27)</f>
        <v/>
      </c>
      <c r="M27" s="19">
        <f>IFERROR(BDH(Database!$A27&amp;" HK Equity","CUR_MKT_CAP",Database!$H27,Database!$H27),"")</f>
        <v/>
      </c>
      <c r="N27" s="180">
        <f>Database!Q27</f>
        <v/>
      </c>
      <c r="O27" s="24">
        <f>IFERROR(BDH(Database!$A27&amp;" HK Equity","PE_RATIO",Database!$H27,Database!$H27),"")</f>
        <v/>
      </c>
      <c r="P27" s="184">
        <f>IF(Database!BG27="","(n/m or not derivable)",Database!BG27)</f>
        <v/>
      </c>
      <c r="Q27" s="24">
        <f>IF(Database!BM27="","",IFERROR(BDH(LEFT(Database!BM27,FIND(".",Database!BM27)-1)&amp;" CH Equity","PE_RATIO",Database!$H27,Database!$H27),""))</f>
        <v/>
      </c>
      <c r="R27" s="24">
        <f>IF(Database!BM27="","",IFERROR(BDH("HSAHP Index","PX_LAST",Database!$H27,Database!$H27),""))</f>
        <v/>
      </c>
      <c r="S27" s="24">
        <f>IFERROR(BDP(Database!$A27&amp;" HK Equity","PX_TO_SALES_RATIO"),"")</f>
        <v/>
      </c>
      <c r="T27" s="19">
        <f>IF(Database!BM27="","",IFERROR(BDP(LEFT(Database!BM27,FIND(".",Database!BM27)-1)&amp;" CH Equity","CUR_MKT_CAP"),""))</f>
        <v/>
      </c>
    </row>
    <row r="28">
      <c r="A28" s="17">
        <f>Database!A28&amp;"  "&amp;Database!B28</f>
        <v/>
      </c>
      <c r="B28" s="10">
        <f>IFERROR(INDEX(BDS(Database!$A28&amp;" HK Equity","EQUITY_OFFERINGS","array=t","endcol=1"),MATCH("IPO",BDS(Database!$A28&amp;" HK Equity","EQUITY_OFFERINGS","array=t","startcol=2","endcol=2"),0)),"")</f>
        <v/>
      </c>
      <c r="C28" s="186">
        <f>IF($B28="","",IFERROR(BDP($B28&amp;" Action","CP036"),""))</f>
        <v/>
      </c>
      <c r="D28" s="187">
        <f>Database!S28</f>
        <v/>
      </c>
      <c r="E28" s="186">
        <f>IF($B28="","",IFERROR(BDP($B28&amp;" Action","CP037"),""))</f>
        <v/>
      </c>
      <c r="F28" s="187">
        <f>Database!T28</f>
        <v/>
      </c>
      <c r="G28" s="186">
        <f>IF($B28="","",IFERROR(BDP($B28&amp;" Action","GREENSHOE_FACILITY"),""))</f>
        <v/>
      </c>
      <c r="H28" s="186">
        <f>IF($B28="","",IFERROR(BDP($B28&amp;" Action","OFFERING_GREENSHOE_SHARES_EX"),""))</f>
        <v/>
      </c>
      <c r="I28" s="17">
        <f>Database!AE28</f>
        <v/>
      </c>
      <c r="J28" s="24">
        <f>IFERROR(BDP(Database!$A28&amp;" HK Equity","PE_RATIO"),"")</f>
        <v/>
      </c>
      <c r="K28" s="10">
        <f>IFERROR(BDP(Database!$A28&amp;" HK Equity","A/H_SHARE_CONVERSION"),"")</f>
        <v/>
      </c>
      <c r="L28" s="17">
        <f>IF(Database!BM28="","(none found)",Database!BM28)</f>
        <v/>
      </c>
      <c r="M28" s="19">
        <f>IFERROR(BDH(Database!$A28&amp;" HK Equity","CUR_MKT_CAP",Database!$H28,Database!$H28),"")</f>
        <v/>
      </c>
      <c r="N28" s="180">
        <f>Database!Q28</f>
        <v/>
      </c>
      <c r="O28" s="24">
        <f>IFERROR(BDH(Database!$A28&amp;" HK Equity","PE_RATIO",Database!$H28,Database!$H28),"")</f>
        <v/>
      </c>
      <c r="P28" s="184">
        <f>IF(Database!BG28="","(n/m or not derivable)",Database!BG28)</f>
        <v/>
      </c>
      <c r="Q28" s="24">
        <f>IF(Database!BM28="","",IFERROR(BDH(LEFT(Database!BM28,FIND(".",Database!BM28)-1)&amp;" CH Equity","PE_RATIO",Database!$H28,Database!$H28),""))</f>
        <v/>
      </c>
      <c r="R28" s="24">
        <f>IF(Database!BM28="","",IFERROR(BDH("HSAHP Index","PX_LAST",Database!$H28,Database!$H28),""))</f>
        <v/>
      </c>
      <c r="S28" s="24">
        <f>IFERROR(BDP(Database!$A28&amp;" HK Equity","PX_TO_SALES_RATIO"),"")</f>
        <v/>
      </c>
      <c r="T28" s="19">
        <f>IF(Database!BM28="","",IFERROR(BDP(LEFT(Database!BM28,FIND(".",Database!BM28)-1)&amp;" CH Equity","CUR_MKT_CAP"),""))</f>
        <v/>
      </c>
    </row>
    <row r="29">
      <c r="A29" s="17">
        <f>Database!A29&amp;"  "&amp;Database!B29</f>
        <v/>
      </c>
      <c r="B29" s="10">
        <f>IFERROR(INDEX(BDS(Database!$A29&amp;" HK Equity","EQUITY_OFFERINGS","array=t","endcol=1"),MATCH("IPO",BDS(Database!$A29&amp;" HK Equity","EQUITY_OFFERINGS","array=t","startcol=2","endcol=2"),0)),"")</f>
        <v/>
      </c>
      <c r="C29" s="186">
        <f>IF($B29="","",IFERROR(BDP($B29&amp;" Action","CP036"),""))</f>
        <v/>
      </c>
      <c r="D29" s="187">
        <f>Database!S29</f>
        <v/>
      </c>
      <c r="E29" s="186">
        <f>IF($B29="","",IFERROR(BDP($B29&amp;" Action","CP037"),""))</f>
        <v/>
      </c>
      <c r="F29" s="187">
        <f>Database!T29</f>
        <v/>
      </c>
      <c r="G29" s="186">
        <f>IF($B29="","",IFERROR(BDP($B29&amp;" Action","GREENSHOE_FACILITY"),""))</f>
        <v/>
      </c>
      <c r="H29" s="186">
        <f>IF($B29="","",IFERROR(BDP($B29&amp;" Action","OFFERING_GREENSHOE_SHARES_EX"),""))</f>
        <v/>
      </c>
      <c r="I29" s="17">
        <f>Database!AE29</f>
        <v/>
      </c>
      <c r="J29" s="24">
        <f>IFERROR(BDP(Database!$A29&amp;" HK Equity","PE_RATIO"),"")</f>
        <v/>
      </c>
      <c r="K29" s="10">
        <f>IFERROR(BDP(Database!$A29&amp;" HK Equity","A/H_SHARE_CONVERSION"),"")</f>
        <v/>
      </c>
      <c r="L29" s="17">
        <f>IF(Database!BM29="","(none found)",Database!BM29)</f>
        <v/>
      </c>
      <c r="M29" s="19">
        <f>IFERROR(BDH(Database!$A29&amp;" HK Equity","CUR_MKT_CAP",Database!$H29,Database!$H29),"")</f>
        <v/>
      </c>
      <c r="N29" s="180">
        <f>Database!Q29</f>
        <v/>
      </c>
      <c r="O29" s="24">
        <f>IFERROR(BDH(Database!$A29&amp;" HK Equity","PE_RATIO",Database!$H29,Database!$H29),"")</f>
        <v/>
      </c>
      <c r="P29" s="184">
        <f>IF(Database!BG29="","(n/m or not derivable)",Database!BG29)</f>
        <v/>
      </c>
      <c r="Q29" s="24">
        <f>IF(Database!BM29="","",IFERROR(BDH(LEFT(Database!BM29,FIND(".",Database!BM29)-1)&amp;" CH Equity","PE_RATIO",Database!$H29,Database!$H29),""))</f>
        <v/>
      </c>
      <c r="R29" s="24">
        <f>IF(Database!BM29="","",IFERROR(BDH("HSAHP Index","PX_LAST",Database!$H29,Database!$H29),""))</f>
        <v/>
      </c>
      <c r="S29" s="24">
        <f>IFERROR(BDP(Database!$A29&amp;" HK Equity","PX_TO_SALES_RATIO"),"")</f>
        <v/>
      </c>
      <c r="T29" s="19">
        <f>IF(Database!BM29="","",IFERROR(BDP(LEFT(Database!BM29,FIND(".",Database!BM29)-1)&amp;" CH Equity","CUR_MKT_CAP"),""))</f>
        <v/>
      </c>
    </row>
    <row r="30">
      <c r="A30" s="17">
        <f>Database!A30&amp;"  "&amp;Database!B30</f>
        <v/>
      </c>
      <c r="B30" s="10">
        <f>IFERROR(INDEX(BDS(Database!$A30&amp;" HK Equity","EQUITY_OFFERINGS","array=t","endcol=1"),MATCH("IPO",BDS(Database!$A30&amp;" HK Equity","EQUITY_OFFERINGS","array=t","startcol=2","endcol=2"),0)),"")</f>
        <v/>
      </c>
      <c r="C30" s="186">
        <f>IF($B30="","",IFERROR(BDP($B30&amp;" Action","CP036"),""))</f>
        <v/>
      </c>
      <c r="D30" s="187">
        <f>Database!S30</f>
        <v/>
      </c>
      <c r="E30" s="186">
        <f>IF($B30="","",IFERROR(BDP($B30&amp;" Action","CP037"),""))</f>
        <v/>
      </c>
      <c r="F30" s="187">
        <f>Database!T30</f>
        <v/>
      </c>
      <c r="G30" s="186">
        <f>IF($B30="","",IFERROR(BDP($B30&amp;" Action","GREENSHOE_FACILITY"),""))</f>
        <v/>
      </c>
      <c r="H30" s="186">
        <f>IF($B30="","",IFERROR(BDP($B30&amp;" Action","OFFERING_GREENSHOE_SHARES_EX"),""))</f>
        <v/>
      </c>
      <c r="I30" s="17">
        <f>Database!AE30</f>
        <v/>
      </c>
      <c r="J30" s="24">
        <f>IFERROR(BDP(Database!$A30&amp;" HK Equity","PE_RATIO"),"")</f>
        <v/>
      </c>
      <c r="K30" s="10">
        <f>IFERROR(BDP(Database!$A30&amp;" HK Equity","A/H_SHARE_CONVERSION"),"")</f>
        <v/>
      </c>
      <c r="L30" s="17">
        <f>IF(Database!BM30="","(none found)",Database!BM30)</f>
        <v/>
      </c>
      <c r="M30" s="19">
        <f>IFERROR(BDH(Database!$A30&amp;" HK Equity","CUR_MKT_CAP",Database!$H30,Database!$H30),"")</f>
        <v/>
      </c>
      <c r="N30" s="180">
        <f>Database!Q30</f>
        <v/>
      </c>
      <c r="O30" s="24">
        <f>IFERROR(BDH(Database!$A30&amp;" HK Equity","PE_RATIO",Database!$H30,Database!$H30),"")</f>
        <v/>
      </c>
      <c r="P30" s="184">
        <f>IF(Database!BG30="","(n/m or not derivable)",Database!BG30)</f>
        <v/>
      </c>
      <c r="Q30" s="24">
        <f>IF(Database!BM30="","",IFERROR(BDH(LEFT(Database!BM30,FIND(".",Database!BM30)-1)&amp;" CH Equity","PE_RATIO",Database!$H30,Database!$H30),""))</f>
        <v/>
      </c>
      <c r="R30" s="24">
        <f>IF(Database!BM30="","",IFERROR(BDH("HSAHP Index","PX_LAST",Database!$H30,Database!$H30),""))</f>
        <v/>
      </c>
      <c r="S30" s="24">
        <f>IFERROR(BDP(Database!$A30&amp;" HK Equity","PX_TO_SALES_RATIO"),"")</f>
        <v/>
      </c>
      <c r="T30" s="19">
        <f>IF(Database!BM30="","",IFERROR(BDP(LEFT(Database!BM30,FIND(".",Database!BM30)-1)&amp;" CH Equity","CUR_MKT_CAP"),""))</f>
        <v/>
      </c>
    </row>
    <row r="31">
      <c r="A31" s="17">
        <f>Database!A31&amp;"  "&amp;Database!B31</f>
        <v/>
      </c>
      <c r="B31" s="10">
        <f>IFERROR(INDEX(BDS(Database!$A31&amp;" HK Equity","EQUITY_OFFERINGS","array=t","endcol=1"),MATCH("IPO",BDS(Database!$A31&amp;" HK Equity","EQUITY_OFFERINGS","array=t","startcol=2","endcol=2"),0)),"")</f>
        <v/>
      </c>
      <c r="C31" s="186">
        <f>IF($B31="","",IFERROR(BDP($B31&amp;" Action","CP036"),""))</f>
        <v/>
      </c>
      <c r="D31" s="187">
        <f>Database!S31</f>
        <v/>
      </c>
      <c r="E31" s="186">
        <f>IF($B31="","",IFERROR(BDP($B31&amp;" Action","CP037"),""))</f>
        <v/>
      </c>
      <c r="F31" s="187">
        <f>Database!T31</f>
        <v/>
      </c>
      <c r="G31" s="186">
        <f>IF($B31="","",IFERROR(BDP($B31&amp;" Action","GREENSHOE_FACILITY"),""))</f>
        <v/>
      </c>
      <c r="H31" s="186">
        <f>IF($B31="","",IFERROR(BDP($B31&amp;" Action","OFFERING_GREENSHOE_SHARES_EX"),""))</f>
        <v/>
      </c>
      <c r="I31" s="17">
        <f>Database!AE31</f>
        <v/>
      </c>
      <c r="J31" s="24">
        <f>IFERROR(BDP(Database!$A31&amp;" HK Equity","PE_RATIO"),"")</f>
        <v/>
      </c>
      <c r="K31" s="10">
        <f>IFERROR(BDP(Database!$A31&amp;" HK Equity","A/H_SHARE_CONVERSION"),"")</f>
        <v/>
      </c>
      <c r="L31" s="17">
        <f>IF(Database!BM31="","(none found)",Database!BM31)</f>
        <v/>
      </c>
      <c r="M31" s="19">
        <f>IFERROR(BDH(Database!$A31&amp;" HK Equity","CUR_MKT_CAP",Database!$H31,Database!$H31),"")</f>
        <v/>
      </c>
      <c r="N31" s="180">
        <f>Database!Q31</f>
        <v/>
      </c>
      <c r="O31" s="24">
        <f>IFERROR(BDH(Database!$A31&amp;" HK Equity","PE_RATIO",Database!$H31,Database!$H31),"")</f>
        <v/>
      </c>
      <c r="P31" s="184">
        <f>IF(Database!BG31="","(n/m or not derivable)",Database!BG31)</f>
        <v/>
      </c>
      <c r="Q31" s="24">
        <f>IF(Database!BM31="","",IFERROR(BDH(LEFT(Database!BM31,FIND(".",Database!BM31)-1)&amp;" CH Equity","PE_RATIO",Database!$H31,Database!$H31),""))</f>
        <v/>
      </c>
      <c r="R31" s="24">
        <f>IF(Database!BM31="","",IFERROR(BDH("HSAHP Index","PX_LAST",Database!$H31,Database!$H31),""))</f>
        <v/>
      </c>
      <c r="S31" s="24">
        <f>IFERROR(BDP(Database!$A31&amp;" HK Equity","PX_TO_SALES_RATIO"),"")</f>
        <v/>
      </c>
      <c r="T31" s="19">
        <f>IF(Database!BM31="","",IFERROR(BDP(LEFT(Database!BM31,FIND(".",Database!BM31)-1)&amp;" CH Equity","CUR_MKT_CAP"),""))</f>
        <v/>
      </c>
    </row>
    <row r="32">
      <c r="A32" s="17">
        <f>Database!A32&amp;"  "&amp;Database!B32</f>
        <v/>
      </c>
      <c r="B32" s="10">
        <f>IFERROR(INDEX(BDS(Database!$A32&amp;" HK Equity","EQUITY_OFFERINGS","array=t","endcol=1"),MATCH("IPO",BDS(Database!$A32&amp;" HK Equity","EQUITY_OFFERINGS","array=t","startcol=2","endcol=2"),0)),"")</f>
        <v/>
      </c>
      <c r="C32" s="186">
        <f>IF($B32="","",IFERROR(BDP($B32&amp;" Action","CP036"),""))</f>
        <v/>
      </c>
      <c r="D32" s="187">
        <f>Database!S32</f>
        <v/>
      </c>
      <c r="E32" s="186">
        <f>IF($B32="","",IFERROR(BDP($B32&amp;" Action","CP037"),""))</f>
        <v/>
      </c>
      <c r="F32" s="187">
        <f>Database!T32</f>
        <v/>
      </c>
      <c r="G32" s="186">
        <f>IF($B32="","",IFERROR(BDP($B32&amp;" Action","GREENSHOE_FACILITY"),""))</f>
        <v/>
      </c>
      <c r="H32" s="186">
        <f>IF($B32="","",IFERROR(BDP($B32&amp;" Action","OFFERING_GREENSHOE_SHARES_EX"),""))</f>
        <v/>
      </c>
      <c r="I32" s="17">
        <f>Database!AE32</f>
        <v/>
      </c>
      <c r="J32" s="24">
        <f>IFERROR(BDP(Database!$A32&amp;" HK Equity","PE_RATIO"),"")</f>
        <v/>
      </c>
      <c r="K32" s="10">
        <f>IFERROR(BDP(Database!$A32&amp;" HK Equity","A/H_SHARE_CONVERSION"),"")</f>
        <v/>
      </c>
      <c r="L32" s="17">
        <f>IF(Database!BM32="","(none found)",Database!BM32)</f>
        <v/>
      </c>
      <c r="M32" s="19">
        <f>IFERROR(BDH(Database!$A32&amp;" HK Equity","CUR_MKT_CAP",Database!$H32,Database!$H32),"")</f>
        <v/>
      </c>
      <c r="N32" s="180">
        <f>Database!Q32</f>
        <v/>
      </c>
      <c r="O32" s="24">
        <f>IFERROR(BDH(Database!$A32&amp;" HK Equity","PE_RATIO",Database!$H32,Database!$H32),"")</f>
        <v/>
      </c>
      <c r="P32" s="184">
        <f>IF(Database!BG32="","(n/m or not derivable)",Database!BG32)</f>
        <v/>
      </c>
      <c r="Q32" s="24">
        <f>IF(Database!BM32="","",IFERROR(BDH(LEFT(Database!BM32,FIND(".",Database!BM32)-1)&amp;" CH Equity","PE_RATIO",Database!$H32,Database!$H32),""))</f>
        <v/>
      </c>
      <c r="R32" s="24">
        <f>IF(Database!BM32="","",IFERROR(BDH("HSAHP Index","PX_LAST",Database!$H32,Database!$H32),""))</f>
        <v/>
      </c>
      <c r="S32" s="24">
        <f>IFERROR(BDP(Database!$A32&amp;" HK Equity","PX_TO_SALES_RATIO"),"")</f>
        <v/>
      </c>
      <c r="T32" s="19">
        <f>IF(Database!BM32="","",IFERROR(BDP(LEFT(Database!BM32,FIND(".",Database!BM32)-1)&amp;" CH Equity","CUR_MKT_CAP"),""))</f>
        <v/>
      </c>
    </row>
    <row r="33">
      <c r="A33" s="17">
        <f>Database!A33&amp;"  "&amp;Database!B33</f>
        <v/>
      </c>
      <c r="B33" s="10">
        <f>IFERROR(INDEX(BDS(Database!$A33&amp;" HK Equity","EQUITY_OFFERINGS","array=t","endcol=1"),MATCH("IPO",BDS(Database!$A33&amp;" HK Equity","EQUITY_OFFERINGS","array=t","startcol=2","endcol=2"),0)),"")</f>
        <v/>
      </c>
      <c r="C33" s="186">
        <f>IF($B33="","",IFERROR(BDP($B33&amp;" Action","CP036"),""))</f>
        <v/>
      </c>
      <c r="D33" s="187">
        <f>Database!S33</f>
        <v/>
      </c>
      <c r="E33" s="186">
        <f>IF($B33="","",IFERROR(BDP($B33&amp;" Action","CP037"),""))</f>
        <v/>
      </c>
      <c r="F33" s="187">
        <f>Database!T33</f>
        <v/>
      </c>
      <c r="G33" s="186">
        <f>IF($B33="","",IFERROR(BDP($B33&amp;" Action","GREENSHOE_FACILITY"),""))</f>
        <v/>
      </c>
      <c r="H33" s="186">
        <f>IF($B33="","",IFERROR(BDP($B33&amp;" Action","OFFERING_GREENSHOE_SHARES_EX"),""))</f>
        <v/>
      </c>
      <c r="I33" s="17">
        <f>Database!AE33</f>
        <v/>
      </c>
      <c r="J33" s="24">
        <f>IFERROR(BDP(Database!$A33&amp;" HK Equity","PE_RATIO"),"")</f>
        <v/>
      </c>
      <c r="K33" s="10">
        <f>IFERROR(BDP(Database!$A33&amp;" HK Equity","A/H_SHARE_CONVERSION"),"")</f>
        <v/>
      </c>
      <c r="L33" s="17">
        <f>IF(Database!BM33="","(none found)",Database!BM33)</f>
        <v/>
      </c>
      <c r="M33" s="19">
        <f>IFERROR(BDH(Database!$A33&amp;" HK Equity","CUR_MKT_CAP",Database!$H33,Database!$H33),"")</f>
        <v/>
      </c>
      <c r="N33" s="180">
        <f>Database!Q33</f>
        <v/>
      </c>
      <c r="O33" s="24">
        <f>IFERROR(BDH(Database!$A33&amp;" HK Equity","PE_RATIO",Database!$H33,Database!$H33),"")</f>
        <v/>
      </c>
      <c r="P33" s="184">
        <f>IF(Database!BG33="","(n/m or not derivable)",Database!BG33)</f>
        <v/>
      </c>
      <c r="Q33" s="24">
        <f>IF(Database!BM33="","",IFERROR(BDH(LEFT(Database!BM33,FIND(".",Database!BM33)-1)&amp;" CH Equity","PE_RATIO",Database!$H33,Database!$H33),""))</f>
        <v/>
      </c>
      <c r="R33" s="24">
        <f>IF(Database!BM33="","",IFERROR(BDH("HSAHP Index","PX_LAST",Database!$H33,Database!$H33),""))</f>
        <v/>
      </c>
      <c r="S33" s="24">
        <f>IFERROR(BDP(Database!$A33&amp;" HK Equity","PX_TO_SALES_RATIO"),"")</f>
        <v/>
      </c>
      <c r="T33" s="19">
        <f>IF(Database!BM33="","",IFERROR(BDP(LEFT(Database!BM33,FIND(".",Database!BM33)-1)&amp;" CH Equity","CUR_MKT_CAP"),""))</f>
        <v/>
      </c>
    </row>
    <row r="34">
      <c r="A34" s="17">
        <f>Database!A34&amp;"  "&amp;Database!B34</f>
        <v/>
      </c>
      <c r="B34" s="10">
        <f>IFERROR(INDEX(BDS(Database!$A34&amp;" HK Equity","EQUITY_OFFERINGS","array=t","endcol=1"),MATCH("IPO",BDS(Database!$A34&amp;" HK Equity","EQUITY_OFFERINGS","array=t","startcol=2","endcol=2"),0)),"")</f>
        <v/>
      </c>
      <c r="C34" s="186">
        <f>IF($B34="","",IFERROR(BDP($B34&amp;" Action","CP036"),""))</f>
        <v/>
      </c>
      <c r="D34" s="187">
        <f>Database!S34</f>
        <v/>
      </c>
      <c r="E34" s="186">
        <f>IF($B34="","",IFERROR(BDP($B34&amp;" Action","CP037"),""))</f>
        <v/>
      </c>
      <c r="F34" s="187">
        <f>Database!T34</f>
        <v/>
      </c>
      <c r="G34" s="186">
        <f>IF($B34="","",IFERROR(BDP($B34&amp;" Action","GREENSHOE_FACILITY"),""))</f>
        <v/>
      </c>
      <c r="H34" s="186">
        <f>IF($B34="","",IFERROR(BDP($B34&amp;" Action","OFFERING_GREENSHOE_SHARES_EX"),""))</f>
        <v/>
      </c>
      <c r="I34" s="17">
        <f>Database!AE34</f>
        <v/>
      </c>
      <c r="J34" s="24">
        <f>IFERROR(BDP(Database!$A34&amp;" HK Equity","PE_RATIO"),"")</f>
        <v/>
      </c>
      <c r="K34" s="10">
        <f>IFERROR(BDP(Database!$A34&amp;" HK Equity","A/H_SHARE_CONVERSION"),"")</f>
        <v/>
      </c>
      <c r="L34" s="17">
        <f>IF(Database!BM34="","(none found)",Database!BM34)</f>
        <v/>
      </c>
      <c r="M34" s="19">
        <f>IFERROR(BDH(Database!$A34&amp;" HK Equity","CUR_MKT_CAP",Database!$H34,Database!$H34),"")</f>
        <v/>
      </c>
      <c r="N34" s="180">
        <f>Database!Q34</f>
        <v/>
      </c>
      <c r="O34" s="24">
        <f>IFERROR(BDH(Database!$A34&amp;" HK Equity","PE_RATIO",Database!$H34,Database!$H34),"")</f>
        <v/>
      </c>
      <c r="P34" s="184">
        <f>IF(Database!BG34="","(n/m or not derivable)",Database!BG34)</f>
        <v/>
      </c>
      <c r="Q34" s="24">
        <f>IF(Database!BM34="","",IFERROR(BDH(LEFT(Database!BM34,FIND(".",Database!BM34)-1)&amp;" CH Equity","PE_RATIO",Database!$H34,Database!$H34),""))</f>
        <v/>
      </c>
      <c r="R34" s="24">
        <f>IF(Database!BM34="","",IFERROR(BDH("HSAHP Index","PX_LAST",Database!$H34,Database!$H34),""))</f>
        <v/>
      </c>
      <c r="S34" s="24">
        <f>IFERROR(BDP(Database!$A34&amp;" HK Equity","PX_TO_SALES_RATIO"),"")</f>
        <v/>
      </c>
      <c r="T34" s="19">
        <f>IF(Database!BM34="","",IFERROR(BDP(LEFT(Database!BM34,FIND(".",Database!BM34)-1)&amp;" CH Equity","CUR_MKT_CAP"),""))</f>
        <v/>
      </c>
    </row>
    <row r="35">
      <c r="A35" s="17">
        <f>Database!A35&amp;"  "&amp;Database!B35</f>
        <v/>
      </c>
      <c r="B35" s="10">
        <f>IFERROR(INDEX(BDS(Database!$A35&amp;" HK Equity","EQUITY_OFFERINGS","array=t","endcol=1"),MATCH("IPO",BDS(Database!$A35&amp;" HK Equity","EQUITY_OFFERINGS","array=t","startcol=2","endcol=2"),0)),"")</f>
        <v/>
      </c>
      <c r="C35" s="186">
        <f>IF($B35="","",IFERROR(BDP($B35&amp;" Action","CP036"),""))</f>
        <v/>
      </c>
      <c r="D35" s="187">
        <f>Database!S35</f>
        <v/>
      </c>
      <c r="E35" s="186">
        <f>IF($B35="","",IFERROR(BDP($B35&amp;" Action","CP037"),""))</f>
        <v/>
      </c>
      <c r="F35" s="187">
        <f>Database!T35</f>
        <v/>
      </c>
      <c r="G35" s="186">
        <f>IF($B35="","",IFERROR(BDP($B35&amp;" Action","GREENSHOE_FACILITY"),""))</f>
        <v/>
      </c>
      <c r="H35" s="186">
        <f>IF($B35="","",IFERROR(BDP($B35&amp;" Action","OFFERING_GREENSHOE_SHARES_EX"),""))</f>
        <v/>
      </c>
      <c r="I35" s="17">
        <f>Database!AE35</f>
        <v/>
      </c>
      <c r="J35" s="24">
        <f>IFERROR(BDP(Database!$A35&amp;" HK Equity","PE_RATIO"),"")</f>
        <v/>
      </c>
      <c r="K35" s="10">
        <f>IFERROR(BDP(Database!$A35&amp;" HK Equity","A/H_SHARE_CONVERSION"),"")</f>
        <v/>
      </c>
      <c r="L35" s="17">
        <f>IF(Database!BM35="","(none found)",Database!BM35)</f>
        <v/>
      </c>
      <c r="M35" s="19">
        <f>IFERROR(BDH(Database!$A35&amp;" HK Equity","CUR_MKT_CAP",Database!$H35,Database!$H35),"")</f>
        <v/>
      </c>
      <c r="N35" s="180">
        <f>Database!Q35</f>
        <v/>
      </c>
      <c r="O35" s="24">
        <f>IFERROR(BDH(Database!$A35&amp;" HK Equity","PE_RATIO",Database!$H35,Database!$H35),"")</f>
        <v/>
      </c>
      <c r="P35" s="184">
        <f>IF(Database!BG35="","(n/m or not derivable)",Database!BG35)</f>
        <v/>
      </c>
      <c r="Q35" s="24">
        <f>IF(Database!BM35="","",IFERROR(BDH(LEFT(Database!BM35,FIND(".",Database!BM35)-1)&amp;" CH Equity","PE_RATIO",Database!$H35,Database!$H35),""))</f>
        <v/>
      </c>
      <c r="R35" s="24">
        <f>IF(Database!BM35="","",IFERROR(BDH("HSAHP Index","PX_LAST",Database!$H35,Database!$H35),""))</f>
        <v/>
      </c>
      <c r="S35" s="24">
        <f>IFERROR(BDP(Database!$A35&amp;" HK Equity","PX_TO_SALES_RATIO"),"")</f>
        <v/>
      </c>
      <c r="T35" s="19">
        <f>IF(Database!BM35="","",IFERROR(BDP(LEFT(Database!BM35,FIND(".",Database!BM35)-1)&amp;" CH Equity","CUR_MKT_CAP"),""))</f>
        <v/>
      </c>
    </row>
    <row r="36">
      <c r="A36" s="17">
        <f>Database!A36&amp;"  "&amp;Database!B36</f>
        <v/>
      </c>
      <c r="B36" s="10">
        <f>IFERROR(INDEX(BDS(Database!$A36&amp;" HK Equity","EQUITY_OFFERINGS","array=t","endcol=1"),MATCH("IPO",BDS(Database!$A36&amp;" HK Equity","EQUITY_OFFERINGS","array=t","startcol=2","endcol=2"),0)),"")</f>
        <v/>
      </c>
      <c r="C36" s="186">
        <f>IF($B36="","",IFERROR(BDP($B36&amp;" Action","CP036"),""))</f>
        <v/>
      </c>
      <c r="D36" s="187">
        <f>Database!S36</f>
        <v/>
      </c>
      <c r="E36" s="186">
        <f>IF($B36="","",IFERROR(BDP($B36&amp;" Action","CP037"),""))</f>
        <v/>
      </c>
      <c r="F36" s="187">
        <f>Database!T36</f>
        <v/>
      </c>
      <c r="G36" s="186">
        <f>IF($B36="","",IFERROR(BDP($B36&amp;" Action","GREENSHOE_FACILITY"),""))</f>
        <v/>
      </c>
      <c r="H36" s="186">
        <f>IF($B36="","",IFERROR(BDP($B36&amp;" Action","OFFERING_GREENSHOE_SHARES_EX"),""))</f>
        <v/>
      </c>
      <c r="I36" s="17">
        <f>Database!AE36</f>
        <v/>
      </c>
      <c r="J36" s="24">
        <f>IFERROR(BDP(Database!$A36&amp;" HK Equity","PE_RATIO"),"")</f>
        <v/>
      </c>
      <c r="K36" s="10">
        <f>IFERROR(BDP(Database!$A36&amp;" HK Equity","A/H_SHARE_CONVERSION"),"")</f>
        <v/>
      </c>
      <c r="L36" s="17">
        <f>IF(Database!BM36="","(none found)",Database!BM36)</f>
        <v/>
      </c>
      <c r="M36" s="19">
        <f>IFERROR(BDH(Database!$A36&amp;" HK Equity","CUR_MKT_CAP",Database!$H36,Database!$H36),"")</f>
        <v/>
      </c>
      <c r="N36" s="180">
        <f>Database!Q36</f>
        <v/>
      </c>
      <c r="O36" s="24">
        <f>IFERROR(BDH(Database!$A36&amp;" HK Equity","PE_RATIO",Database!$H36,Database!$H36),"")</f>
        <v/>
      </c>
      <c r="P36" s="184">
        <f>IF(Database!BG36="","(n/m or not derivable)",Database!BG36)</f>
        <v/>
      </c>
      <c r="Q36" s="24">
        <f>IF(Database!BM36="","",IFERROR(BDH(LEFT(Database!BM36,FIND(".",Database!BM36)-1)&amp;" CH Equity","PE_RATIO",Database!$H36,Database!$H36),""))</f>
        <v/>
      </c>
      <c r="R36" s="24">
        <f>IF(Database!BM36="","",IFERROR(BDH("HSAHP Index","PX_LAST",Database!$H36,Database!$H36),""))</f>
        <v/>
      </c>
      <c r="S36" s="24">
        <f>IFERROR(BDP(Database!$A36&amp;" HK Equity","PX_TO_SALES_RATIO"),"")</f>
        <v/>
      </c>
      <c r="T36" s="19">
        <f>IF(Database!BM36="","",IFERROR(BDP(LEFT(Database!BM36,FIND(".",Database!BM36)-1)&amp;" CH Equity","CUR_MKT_CAP"),""))</f>
        <v/>
      </c>
    </row>
    <row r="37">
      <c r="A37" s="17">
        <f>Database!A37&amp;"  "&amp;Database!B37</f>
        <v/>
      </c>
      <c r="B37" s="10">
        <f>IFERROR(INDEX(BDS(Database!$A37&amp;" HK Equity","EQUITY_OFFERINGS","array=t","endcol=1"),MATCH("IPO",BDS(Database!$A37&amp;" HK Equity","EQUITY_OFFERINGS","array=t","startcol=2","endcol=2"),0)),"")</f>
        <v/>
      </c>
      <c r="C37" s="186">
        <f>IF($B37="","",IFERROR(BDP($B37&amp;" Action","CP036"),""))</f>
        <v/>
      </c>
      <c r="D37" s="187">
        <f>Database!S37</f>
        <v/>
      </c>
      <c r="E37" s="186">
        <f>IF($B37="","",IFERROR(BDP($B37&amp;" Action","CP037"),""))</f>
        <v/>
      </c>
      <c r="F37" s="187">
        <f>Database!T37</f>
        <v/>
      </c>
      <c r="G37" s="186">
        <f>IF($B37="","",IFERROR(BDP($B37&amp;" Action","GREENSHOE_FACILITY"),""))</f>
        <v/>
      </c>
      <c r="H37" s="186">
        <f>IF($B37="","",IFERROR(BDP($B37&amp;" Action","OFFERING_GREENSHOE_SHARES_EX"),""))</f>
        <v/>
      </c>
      <c r="I37" s="17">
        <f>Database!AE37</f>
        <v/>
      </c>
      <c r="J37" s="24">
        <f>IFERROR(BDP(Database!$A37&amp;" HK Equity","PE_RATIO"),"")</f>
        <v/>
      </c>
      <c r="K37" s="10">
        <f>IFERROR(BDP(Database!$A37&amp;" HK Equity","A/H_SHARE_CONVERSION"),"")</f>
        <v/>
      </c>
      <c r="L37" s="17">
        <f>IF(Database!BM37="","(none found)",Database!BM37)</f>
        <v/>
      </c>
      <c r="M37" s="19">
        <f>IFERROR(BDH(Database!$A37&amp;" HK Equity","CUR_MKT_CAP",Database!$H37,Database!$H37),"")</f>
        <v/>
      </c>
      <c r="N37" s="180">
        <f>Database!Q37</f>
        <v/>
      </c>
      <c r="O37" s="24">
        <f>IFERROR(BDH(Database!$A37&amp;" HK Equity","PE_RATIO",Database!$H37,Database!$H37),"")</f>
        <v/>
      </c>
      <c r="P37" s="184">
        <f>IF(Database!BG37="","(n/m or not derivable)",Database!BG37)</f>
        <v/>
      </c>
      <c r="Q37" s="24">
        <f>IF(Database!BM37="","",IFERROR(BDH(LEFT(Database!BM37,FIND(".",Database!BM37)-1)&amp;" CH Equity","PE_RATIO",Database!$H37,Database!$H37),""))</f>
        <v/>
      </c>
      <c r="R37" s="24">
        <f>IF(Database!BM37="","",IFERROR(BDH("HSAHP Index","PX_LAST",Database!$H37,Database!$H37),""))</f>
        <v/>
      </c>
      <c r="S37" s="24">
        <f>IFERROR(BDP(Database!$A37&amp;" HK Equity","PX_TO_SALES_RATIO"),"")</f>
        <v/>
      </c>
      <c r="T37" s="19">
        <f>IF(Database!BM37="","",IFERROR(BDP(LEFT(Database!BM37,FIND(".",Database!BM37)-1)&amp;" CH Equity","CUR_MKT_CAP"),""))</f>
        <v/>
      </c>
    </row>
    <row r="38">
      <c r="A38" s="17">
        <f>Database!A38&amp;"  "&amp;Database!B38</f>
        <v/>
      </c>
      <c r="B38" s="10">
        <f>IFERROR(INDEX(BDS(Database!$A38&amp;" HK Equity","EQUITY_OFFERINGS","array=t","endcol=1"),MATCH("IPO",BDS(Database!$A38&amp;" HK Equity","EQUITY_OFFERINGS","array=t","startcol=2","endcol=2"),0)),"")</f>
        <v/>
      </c>
      <c r="C38" s="186">
        <f>IF($B38="","",IFERROR(BDP($B38&amp;" Action","CP036"),""))</f>
        <v/>
      </c>
      <c r="D38" s="187">
        <f>Database!S38</f>
        <v/>
      </c>
      <c r="E38" s="186">
        <f>IF($B38="","",IFERROR(BDP($B38&amp;" Action","CP037"),""))</f>
        <v/>
      </c>
      <c r="F38" s="187">
        <f>Database!T38</f>
        <v/>
      </c>
      <c r="G38" s="186">
        <f>IF($B38="","",IFERROR(BDP($B38&amp;" Action","GREENSHOE_FACILITY"),""))</f>
        <v/>
      </c>
      <c r="H38" s="186">
        <f>IF($B38="","",IFERROR(BDP($B38&amp;" Action","OFFERING_GREENSHOE_SHARES_EX"),""))</f>
        <v/>
      </c>
      <c r="I38" s="17">
        <f>Database!AE38</f>
        <v/>
      </c>
      <c r="J38" s="24">
        <f>IFERROR(BDP(Database!$A38&amp;" HK Equity","PE_RATIO"),"")</f>
        <v/>
      </c>
      <c r="K38" s="10">
        <f>IFERROR(BDP(Database!$A38&amp;" HK Equity","A/H_SHARE_CONVERSION"),"")</f>
        <v/>
      </c>
      <c r="L38" s="17">
        <f>IF(Database!BM38="","(none found)",Database!BM38)</f>
        <v/>
      </c>
      <c r="M38" s="19">
        <f>IFERROR(BDH(Database!$A38&amp;" HK Equity","CUR_MKT_CAP",Database!$H38,Database!$H38),"")</f>
        <v/>
      </c>
      <c r="N38" s="180">
        <f>Database!Q38</f>
        <v/>
      </c>
      <c r="O38" s="24">
        <f>IFERROR(BDH(Database!$A38&amp;" HK Equity","PE_RATIO",Database!$H38,Database!$H38),"")</f>
        <v/>
      </c>
      <c r="P38" s="184">
        <f>IF(Database!BG38="","(n/m or not derivable)",Database!BG38)</f>
        <v/>
      </c>
      <c r="Q38" s="24">
        <f>IF(Database!BM38="","",IFERROR(BDH(LEFT(Database!BM38,FIND(".",Database!BM38)-1)&amp;" CH Equity","PE_RATIO",Database!$H38,Database!$H38),""))</f>
        <v/>
      </c>
      <c r="R38" s="24">
        <f>IF(Database!BM38="","",IFERROR(BDH("HSAHP Index","PX_LAST",Database!$H38,Database!$H38),""))</f>
        <v/>
      </c>
      <c r="S38" s="24">
        <f>IFERROR(BDP(Database!$A38&amp;" HK Equity","PX_TO_SALES_RATIO"),"")</f>
        <v/>
      </c>
      <c r="T38" s="19">
        <f>IF(Database!BM38="","",IFERROR(BDP(LEFT(Database!BM38,FIND(".",Database!BM38)-1)&amp;" CH Equity","CUR_MKT_CAP"),""))</f>
        <v/>
      </c>
    </row>
    <row r="39">
      <c r="A39" s="17">
        <f>Database!A39&amp;"  "&amp;Database!B39</f>
        <v/>
      </c>
      <c r="B39" s="10">
        <f>IFERROR(INDEX(BDS(Database!$A39&amp;" HK Equity","EQUITY_OFFERINGS","array=t","endcol=1"),MATCH("IPO",BDS(Database!$A39&amp;" HK Equity","EQUITY_OFFERINGS","array=t","startcol=2","endcol=2"),0)),"")</f>
        <v/>
      </c>
      <c r="C39" s="186">
        <f>IF($B39="","",IFERROR(BDP($B39&amp;" Action","CP036"),""))</f>
        <v/>
      </c>
      <c r="D39" s="187">
        <f>Database!S39</f>
        <v/>
      </c>
      <c r="E39" s="186">
        <f>IF($B39="","",IFERROR(BDP($B39&amp;" Action","CP037"),""))</f>
        <v/>
      </c>
      <c r="F39" s="187">
        <f>Database!T39</f>
        <v/>
      </c>
      <c r="G39" s="186">
        <f>IF($B39="","",IFERROR(BDP($B39&amp;" Action","GREENSHOE_FACILITY"),""))</f>
        <v/>
      </c>
      <c r="H39" s="186">
        <f>IF($B39="","",IFERROR(BDP($B39&amp;" Action","OFFERING_GREENSHOE_SHARES_EX"),""))</f>
        <v/>
      </c>
      <c r="I39" s="17">
        <f>Database!AE39</f>
        <v/>
      </c>
      <c r="J39" s="24">
        <f>IFERROR(BDP(Database!$A39&amp;" HK Equity","PE_RATIO"),"")</f>
        <v/>
      </c>
      <c r="K39" s="10">
        <f>IFERROR(BDP(Database!$A39&amp;" HK Equity","A/H_SHARE_CONVERSION"),"")</f>
        <v/>
      </c>
      <c r="L39" s="17">
        <f>IF(Database!BM39="","(none found)",Database!BM39)</f>
        <v/>
      </c>
      <c r="M39" s="19">
        <f>IFERROR(BDH(Database!$A39&amp;" HK Equity","CUR_MKT_CAP",Database!$H39,Database!$H39),"")</f>
        <v/>
      </c>
      <c r="N39" s="180">
        <f>Database!Q39</f>
        <v/>
      </c>
      <c r="O39" s="24">
        <f>IFERROR(BDH(Database!$A39&amp;" HK Equity","PE_RATIO",Database!$H39,Database!$H39),"")</f>
        <v/>
      </c>
      <c r="P39" s="184">
        <f>IF(Database!BG39="","(n/m or not derivable)",Database!BG39)</f>
        <v/>
      </c>
      <c r="Q39" s="24">
        <f>IF(Database!BM39="","",IFERROR(BDH(LEFT(Database!BM39,FIND(".",Database!BM39)-1)&amp;" CH Equity","PE_RATIO",Database!$H39,Database!$H39),""))</f>
        <v/>
      </c>
      <c r="R39" s="24">
        <f>IF(Database!BM39="","",IFERROR(BDH("HSAHP Index","PX_LAST",Database!$H39,Database!$H39),""))</f>
        <v/>
      </c>
      <c r="S39" s="24">
        <f>IFERROR(BDP(Database!$A39&amp;" HK Equity","PX_TO_SALES_RATIO"),"")</f>
        <v/>
      </c>
      <c r="T39" s="19">
        <f>IF(Database!BM39="","",IFERROR(BDP(LEFT(Database!BM39,FIND(".",Database!BM39)-1)&amp;" CH Equity","CUR_MKT_CAP"),""))</f>
        <v/>
      </c>
    </row>
    <row r="40">
      <c r="A40" s="17">
        <f>Database!A40&amp;"  "&amp;Database!B40</f>
        <v/>
      </c>
      <c r="B40" s="10">
        <f>IFERROR(INDEX(BDS(Database!$A40&amp;" HK Equity","EQUITY_OFFERINGS","array=t","endcol=1"),MATCH("IPO",BDS(Database!$A40&amp;" HK Equity","EQUITY_OFFERINGS","array=t","startcol=2","endcol=2"),0)),"")</f>
        <v/>
      </c>
      <c r="C40" s="186">
        <f>IF($B40="","",IFERROR(BDP($B40&amp;" Action","CP036"),""))</f>
        <v/>
      </c>
      <c r="D40" s="187">
        <f>Database!S40</f>
        <v/>
      </c>
      <c r="E40" s="186">
        <f>IF($B40="","",IFERROR(BDP($B40&amp;" Action","CP037"),""))</f>
        <v/>
      </c>
      <c r="F40" s="187">
        <f>Database!T40</f>
        <v/>
      </c>
      <c r="G40" s="186">
        <f>IF($B40="","",IFERROR(BDP($B40&amp;" Action","GREENSHOE_FACILITY"),""))</f>
        <v/>
      </c>
      <c r="H40" s="186">
        <f>IF($B40="","",IFERROR(BDP($B40&amp;" Action","OFFERING_GREENSHOE_SHARES_EX"),""))</f>
        <v/>
      </c>
      <c r="I40" s="17">
        <f>Database!AE40</f>
        <v/>
      </c>
      <c r="J40" s="24">
        <f>IFERROR(BDP(Database!$A40&amp;" HK Equity","PE_RATIO"),"")</f>
        <v/>
      </c>
      <c r="K40" s="10">
        <f>IFERROR(BDP(Database!$A40&amp;" HK Equity","A/H_SHARE_CONVERSION"),"")</f>
        <v/>
      </c>
      <c r="L40" s="17">
        <f>IF(Database!BM40="","(none found)",Database!BM40)</f>
        <v/>
      </c>
      <c r="M40" s="19">
        <f>IFERROR(BDH(Database!$A40&amp;" HK Equity","CUR_MKT_CAP",Database!$H40,Database!$H40),"")</f>
        <v/>
      </c>
      <c r="N40" s="180">
        <f>Database!Q40</f>
        <v/>
      </c>
      <c r="O40" s="24">
        <f>IFERROR(BDH(Database!$A40&amp;" HK Equity","PE_RATIO",Database!$H40,Database!$H40),"")</f>
        <v/>
      </c>
      <c r="P40" s="184">
        <f>IF(Database!BG40="","(n/m or not derivable)",Database!BG40)</f>
        <v/>
      </c>
      <c r="Q40" s="24">
        <f>IF(Database!BM40="","",IFERROR(BDH(LEFT(Database!BM40,FIND(".",Database!BM40)-1)&amp;" CH Equity","PE_RATIO",Database!$H40,Database!$H40),""))</f>
        <v/>
      </c>
      <c r="R40" s="24">
        <f>IF(Database!BM40="","",IFERROR(BDH("HSAHP Index","PX_LAST",Database!$H40,Database!$H40),""))</f>
        <v/>
      </c>
      <c r="S40" s="24">
        <f>IFERROR(BDP(Database!$A40&amp;" HK Equity","PX_TO_SALES_RATIO"),"")</f>
        <v/>
      </c>
      <c r="T40" s="19">
        <f>IF(Database!BM40="","",IFERROR(BDP(LEFT(Database!BM40,FIND(".",Database!BM40)-1)&amp;" CH Equity","CUR_MKT_CAP"),""))</f>
        <v/>
      </c>
    </row>
    <row r="41">
      <c r="A41" s="17">
        <f>Database!A41&amp;"  "&amp;Database!B41</f>
        <v/>
      </c>
      <c r="B41" s="10">
        <f>IFERROR(INDEX(BDS(Database!$A41&amp;" HK Equity","EQUITY_OFFERINGS","array=t","endcol=1"),MATCH("IPO",BDS(Database!$A41&amp;" HK Equity","EQUITY_OFFERINGS","array=t","startcol=2","endcol=2"),0)),"")</f>
        <v/>
      </c>
      <c r="C41" s="186">
        <f>IF($B41="","",IFERROR(BDP($B41&amp;" Action","CP036"),""))</f>
        <v/>
      </c>
      <c r="D41" s="187">
        <f>Database!S41</f>
        <v/>
      </c>
      <c r="E41" s="186">
        <f>IF($B41="","",IFERROR(BDP($B41&amp;" Action","CP037"),""))</f>
        <v/>
      </c>
      <c r="F41" s="187">
        <f>Database!T41</f>
        <v/>
      </c>
      <c r="G41" s="186">
        <f>IF($B41="","",IFERROR(BDP($B41&amp;" Action","GREENSHOE_FACILITY"),""))</f>
        <v/>
      </c>
      <c r="H41" s="186">
        <f>IF($B41="","",IFERROR(BDP($B41&amp;" Action","OFFERING_GREENSHOE_SHARES_EX"),""))</f>
        <v/>
      </c>
      <c r="I41" s="17">
        <f>Database!AE41</f>
        <v/>
      </c>
      <c r="J41" s="24">
        <f>IFERROR(BDP(Database!$A41&amp;" HK Equity","PE_RATIO"),"")</f>
        <v/>
      </c>
      <c r="K41" s="10">
        <f>IFERROR(BDP(Database!$A41&amp;" HK Equity","A/H_SHARE_CONVERSION"),"")</f>
        <v/>
      </c>
      <c r="L41" s="17">
        <f>IF(Database!BM41="","(none found)",Database!BM41)</f>
        <v/>
      </c>
      <c r="M41" s="19">
        <f>IFERROR(BDH(Database!$A41&amp;" HK Equity","CUR_MKT_CAP",Database!$H41,Database!$H41),"")</f>
        <v/>
      </c>
      <c r="N41" s="180">
        <f>Database!Q41</f>
        <v/>
      </c>
      <c r="O41" s="24">
        <f>IFERROR(BDH(Database!$A41&amp;" HK Equity","PE_RATIO",Database!$H41,Database!$H41),"")</f>
        <v/>
      </c>
      <c r="P41" s="184">
        <f>IF(Database!BG41="","(n/m or not derivable)",Database!BG41)</f>
        <v/>
      </c>
      <c r="Q41" s="24">
        <f>IF(Database!BM41="","",IFERROR(BDH(LEFT(Database!BM41,FIND(".",Database!BM41)-1)&amp;" CH Equity","PE_RATIO",Database!$H41,Database!$H41),""))</f>
        <v/>
      </c>
      <c r="R41" s="24">
        <f>IF(Database!BM41="","",IFERROR(BDH("HSAHP Index","PX_LAST",Database!$H41,Database!$H41),""))</f>
        <v/>
      </c>
      <c r="S41" s="24">
        <f>IFERROR(BDP(Database!$A41&amp;" HK Equity","PX_TO_SALES_RATIO"),"")</f>
        <v/>
      </c>
      <c r="T41" s="19">
        <f>IF(Database!BM41="","",IFERROR(BDP(LEFT(Database!BM41,FIND(".",Database!BM41)-1)&amp;" CH Equity","CUR_MKT_CAP"),""))</f>
        <v/>
      </c>
    </row>
    <row r="42">
      <c r="A42" s="17">
        <f>Database!A42&amp;"  "&amp;Database!B42</f>
        <v/>
      </c>
      <c r="B42" s="10">
        <f>IFERROR(INDEX(BDS(Database!$A42&amp;" HK Equity","EQUITY_OFFERINGS","array=t","endcol=1"),MATCH("IPO",BDS(Database!$A42&amp;" HK Equity","EQUITY_OFFERINGS","array=t","startcol=2","endcol=2"),0)),"")</f>
        <v/>
      </c>
      <c r="C42" s="186">
        <f>IF($B42="","",IFERROR(BDP($B42&amp;" Action","CP036"),""))</f>
        <v/>
      </c>
      <c r="D42" s="187">
        <f>Database!S42</f>
        <v/>
      </c>
      <c r="E42" s="186">
        <f>IF($B42="","",IFERROR(BDP($B42&amp;" Action","CP037"),""))</f>
        <v/>
      </c>
      <c r="F42" s="187">
        <f>Database!T42</f>
        <v/>
      </c>
      <c r="G42" s="186">
        <f>IF($B42="","",IFERROR(BDP($B42&amp;" Action","GREENSHOE_FACILITY"),""))</f>
        <v/>
      </c>
      <c r="H42" s="186">
        <f>IF($B42="","",IFERROR(BDP($B42&amp;" Action","OFFERING_GREENSHOE_SHARES_EX"),""))</f>
        <v/>
      </c>
      <c r="I42" s="17">
        <f>Database!AE42</f>
        <v/>
      </c>
      <c r="J42" s="24">
        <f>IFERROR(BDP(Database!$A42&amp;" HK Equity","PE_RATIO"),"")</f>
        <v/>
      </c>
      <c r="K42" s="10">
        <f>IFERROR(BDP(Database!$A42&amp;" HK Equity","A/H_SHARE_CONVERSION"),"")</f>
        <v/>
      </c>
      <c r="L42" s="17">
        <f>IF(Database!BM42="","(none found)",Database!BM42)</f>
        <v/>
      </c>
      <c r="M42" s="19">
        <f>IFERROR(BDH(Database!$A42&amp;" HK Equity","CUR_MKT_CAP",Database!$H42,Database!$H42),"")</f>
        <v/>
      </c>
      <c r="N42" s="180">
        <f>Database!Q42</f>
        <v/>
      </c>
      <c r="O42" s="24">
        <f>IFERROR(BDH(Database!$A42&amp;" HK Equity","PE_RATIO",Database!$H42,Database!$H42),"")</f>
        <v/>
      </c>
      <c r="P42" s="184">
        <f>IF(Database!BG42="","(n/m or not derivable)",Database!BG42)</f>
        <v/>
      </c>
      <c r="Q42" s="24">
        <f>IF(Database!BM42="","",IFERROR(BDH(LEFT(Database!BM42,FIND(".",Database!BM42)-1)&amp;" CH Equity","PE_RATIO",Database!$H42,Database!$H42),""))</f>
        <v/>
      </c>
      <c r="R42" s="24">
        <f>IF(Database!BM42="","",IFERROR(BDH("HSAHP Index","PX_LAST",Database!$H42,Database!$H42),""))</f>
        <v/>
      </c>
      <c r="S42" s="24">
        <f>IFERROR(BDP(Database!$A42&amp;" HK Equity","PX_TO_SALES_RATIO"),"")</f>
        <v/>
      </c>
      <c r="T42" s="19">
        <f>IF(Database!BM42="","",IFERROR(BDP(LEFT(Database!BM42,FIND(".",Database!BM42)-1)&amp;" CH Equity","CUR_MKT_CAP"),""))</f>
        <v/>
      </c>
    </row>
    <row r="43">
      <c r="A43" s="17">
        <f>Database!A43&amp;"  "&amp;Database!B43</f>
        <v/>
      </c>
      <c r="B43" s="10">
        <f>IFERROR(INDEX(BDS(Database!$A43&amp;" HK Equity","EQUITY_OFFERINGS","array=t","endcol=1"),MATCH("IPO",BDS(Database!$A43&amp;" HK Equity","EQUITY_OFFERINGS","array=t","startcol=2","endcol=2"),0)),"")</f>
        <v/>
      </c>
      <c r="C43" s="186">
        <f>IF($B43="","",IFERROR(BDP($B43&amp;" Action","CP036"),""))</f>
        <v/>
      </c>
      <c r="D43" s="187">
        <f>Database!S43</f>
        <v/>
      </c>
      <c r="E43" s="186">
        <f>IF($B43="","",IFERROR(BDP($B43&amp;" Action","CP037"),""))</f>
        <v/>
      </c>
      <c r="F43" s="187">
        <f>Database!T43</f>
        <v/>
      </c>
      <c r="G43" s="186">
        <f>IF($B43="","",IFERROR(BDP($B43&amp;" Action","GREENSHOE_FACILITY"),""))</f>
        <v/>
      </c>
      <c r="H43" s="186">
        <f>IF($B43="","",IFERROR(BDP($B43&amp;" Action","OFFERING_GREENSHOE_SHARES_EX"),""))</f>
        <v/>
      </c>
      <c r="I43" s="17">
        <f>Database!AE43</f>
        <v/>
      </c>
      <c r="J43" s="24">
        <f>IFERROR(BDP(Database!$A43&amp;" HK Equity","PE_RATIO"),"")</f>
        <v/>
      </c>
      <c r="K43" s="10">
        <f>IFERROR(BDP(Database!$A43&amp;" HK Equity","A/H_SHARE_CONVERSION"),"")</f>
        <v/>
      </c>
      <c r="L43" s="17">
        <f>IF(Database!BM43="","(none found)",Database!BM43)</f>
        <v/>
      </c>
      <c r="M43" s="19">
        <f>IFERROR(BDH(Database!$A43&amp;" HK Equity","CUR_MKT_CAP",Database!$H43,Database!$H43),"")</f>
        <v/>
      </c>
      <c r="N43" s="180">
        <f>Database!Q43</f>
        <v/>
      </c>
      <c r="O43" s="24">
        <f>IFERROR(BDH(Database!$A43&amp;" HK Equity","PE_RATIO",Database!$H43,Database!$H43),"")</f>
        <v/>
      </c>
      <c r="P43" s="184">
        <f>IF(Database!BG43="","(n/m or not derivable)",Database!BG43)</f>
        <v/>
      </c>
      <c r="Q43" s="24">
        <f>IF(Database!BM43="","",IFERROR(BDH(LEFT(Database!BM43,FIND(".",Database!BM43)-1)&amp;" CH Equity","PE_RATIO",Database!$H43,Database!$H43),""))</f>
        <v/>
      </c>
      <c r="R43" s="24">
        <f>IF(Database!BM43="","",IFERROR(BDH("HSAHP Index","PX_LAST",Database!$H43,Database!$H43),""))</f>
        <v/>
      </c>
      <c r="S43" s="24">
        <f>IFERROR(BDP(Database!$A43&amp;" HK Equity","PX_TO_SALES_RATIO"),"")</f>
        <v/>
      </c>
      <c r="T43" s="19">
        <f>IF(Database!BM43="","",IFERROR(BDP(LEFT(Database!BM43,FIND(".",Database!BM43)-1)&amp;" CH Equity","CUR_MKT_CAP"),""))</f>
        <v/>
      </c>
    </row>
    <row r="44">
      <c r="A44" s="17">
        <f>Database!A44&amp;"  "&amp;Database!B44</f>
        <v/>
      </c>
      <c r="B44" s="10">
        <f>IFERROR(INDEX(BDS(Database!$A44&amp;" HK Equity","EQUITY_OFFERINGS","array=t","endcol=1"),MATCH("IPO",BDS(Database!$A44&amp;" HK Equity","EQUITY_OFFERINGS","array=t","startcol=2","endcol=2"),0)),"")</f>
        <v/>
      </c>
      <c r="C44" s="186">
        <f>IF($B44="","",IFERROR(BDP($B44&amp;" Action","CP036"),""))</f>
        <v/>
      </c>
      <c r="D44" s="187">
        <f>Database!S44</f>
        <v/>
      </c>
      <c r="E44" s="186">
        <f>IF($B44="","",IFERROR(BDP($B44&amp;" Action","CP037"),""))</f>
        <v/>
      </c>
      <c r="F44" s="187">
        <f>Database!T44</f>
        <v/>
      </c>
      <c r="G44" s="186">
        <f>IF($B44="","",IFERROR(BDP($B44&amp;" Action","GREENSHOE_FACILITY"),""))</f>
        <v/>
      </c>
      <c r="H44" s="186">
        <f>IF($B44="","",IFERROR(BDP($B44&amp;" Action","OFFERING_GREENSHOE_SHARES_EX"),""))</f>
        <v/>
      </c>
      <c r="I44" s="17">
        <f>Database!AE44</f>
        <v/>
      </c>
      <c r="J44" s="24">
        <f>IFERROR(BDP(Database!$A44&amp;" HK Equity","PE_RATIO"),"")</f>
        <v/>
      </c>
      <c r="K44" s="10">
        <f>IFERROR(BDP(Database!$A44&amp;" HK Equity","A/H_SHARE_CONVERSION"),"")</f>
        <v/>
      </c>
      <c r="L44" s="17">
        <f>IF(Database!BM44="","(none found)",Database!BM44)</f>
        <v/>
      </c>
      <c r="M44" s="19">
        <f>IFERROR(BDH(Database!$A44&amp;" HK Equity","CUR_MKT_CAP",Database!$H44,Database!$H44),"")</f>
        <v/>
      </c>
      <c r="N44" s="180">
        <f>Database!Q44</f>
        <v/>
      </c>
      <c r="O44" s="24">
        <f>IFERROR(BDH(Database!$A44&amp;" HK Equity","PE_RATIO",Database!$H44,Database!$H44),"")</f>
        <v/>
      </c>
      <c r="P44" s="184">
        <f>IF(Database!BG44="","(n/m or not derivable)",Database!BG44)</f>
        <v/>
      </c>
      <c r="Q44" s="24">
        <f>IF(Database!BM44="","",IFERROR(BDH(LEFT(Database!BM44,FIND(".",Database!BM44)-1)&amp;" CH Equity","PE_RATIO",Database!$H44,Database!$H44),""))</f>
        <v/>
      </c>
      <c r="R44" s="24">
        <f>IF(Database!BM44="","",IFERROR(BDH("HSAHP Index","PX_LAST",Database!$H44,Database!$H44),""))</f>
        <v/>
      </c>
      <c r="S44" s="24">
        <f>IFERROR(BDP(Database!$A44&amp;" HK Equity","PX_TO_SALES_RATIO"),"")</f>
        <v/>
      </c>
      <c r="T44" s="19">
        <f>IF(Database!BM44="","",IFERROR(BDP(LEFT(Database!BM44,FIND(".",Database!BM44)-1)&amp;" CH Equity","CUR_MKT_CAP"),""))</f>
        <v/>
      </c>
    </row>
    <row r="45">
      <c r="A45" s="17">
        <f>Database!A45&amp;"  "&amp;Database!B45</f>
        <v/>
      </c>
      <c r="B45" s="10">
        <f>IFERROR(INDEX(BDS(Database!$A45&amp;" HK Equity","EQUITY_OFFERINGS","array=t","endcol=1"),MATCH("IPO",BDS(Database!$A45&amp;" HK Equity","EQUITY_OFFERINGS","array=t","startcol=2","endcol=2"),0)),"")</f>
        <v/>
      </c>
      <c r="C45" s="186">
        <f>IF($B45="","",IFERROR(BDP($B45&amp;" Action","CP036"),""))</f>
        <v/>
      </c>
      <c r="D45" s="187">
        <f>Database!S45</f>
        <v/>
      </c>
      <c r="E45" s="186">
        <f>IF($B45="","",IFERROR(BDP($B45&amp;" Action","CP037"),""))</f>
        <v/>
      </c>
      <c r="F45" s="187">
        <f>Database!T45</f>
        <v/>
      </c>
      <c r="G45" s="186">
        <f>IF($B45="","",IFERROR(BDP($B45&amp;" Action","GREENSHOE_FACILITY"),""))</f>
        <v/>
      </c>
      <c r="H45" s="186">
        <f>IF($B45="","",IFERROR(BDP($B45&amp;" Action","OFFERING_GREENSHOE_SHARES_EX"),""))</f>
        <v/>
      </c>
      <c r="I45" s="17">
        <f>Database!AE45</f>
        <v/>
      </c>
      <c r="J45" s="24">
        <f>IFERROR(BDP(Database!$A45&amp;" HK Equity","PE_RATIO"),"")</f>
        <v/>
      </c>
      <c r="K45" s="10">
        <f>IFERROR(BDP(Database!$A45&amp;" HK Equity","A/H_SHARE_CONVERSION"),"")</f>
        <v/>
      </c>
      <c r="L45" s="17">
        <f>IF(Database!BM45="","(none found)",Database!BM45)</f>
        <v/>
      </c>
      <c r="M45" s="19">
        <f>IFERROR(BDH(Database!$A45&amp;" HK Equity","CUR_MKT_CAP",Database!$H45,Database!$H45),"")</f>
        <v/>
      </c>
      <c r="N45" s="180">
        <f>Database!Q45</f>
        <v/>
      </c>
      <c r="O45" s="24">
        <f>IFERROR(BDH(Database!$A45&amp;" HK Equity","PE_RATIO",Database!$H45,Database!$H45),"")</f>
        <v/>
      </c>
      <c r="P45" s="184">
        <f>IF(Database!BG45="","(n/m or not derivable)",Database!BG45)</f>
        <v/>
      </c>
      <c r="Q45" s="24">
        <f>IF(Database!BM45="","",IFERROR(BDH(LEFT(Database!BM45,FIND(".",Database!BM45)-1)&amp;" CH Equity","PE_RATIO",Database!$H45,Database!$H45),""))</f>
        <v/>
      </c>
      <c r="R45" s="24">
        <f>IF(Database!BM45="","",IFERROR(BDH("HSAHP Index","PX_LAST",Database!$H45,Database!$H45),""))</f>
        <v/>
      </c>
      <c r="S45" s="24">
        <f>IFERROR(BDP(Database!$A45&amp;" HK Equity","PX_TO_SALES_RATIO"),"")</f>
        <v/>
      </c>
      <c r="T45" s="19">
        <f>IF(Database!BM45="","",IFERROR(BDP(LEFT(Database!BM45,FIND(".",Database!BM45)-1)&amp;" CH Equity","CUR_MKT_CAP"),""))</f>
        <v/>
      </c>
    </row>
    <row r="46">
      <c r="A46" s="17">
        <f>Database!A46&amp;"  "&amp;Database!B46</f>
        <v/>
      </c>
      <c r="B46" s="10">
        <f>IFERROR(INDEX(BDS(Database!$A46&amp;" HK Equity","EQUITY_OFFERINGS","array=t","endcol=1"),MATCH("IPO",BDS(Database!$A46&amp;" HK Equity","EQUITY_OFFERINGS","array=t","startcol=2","endcol=2"),0)),"")</f>
        <v/>
      </c>
      <c r="C46" s="186">
        <f>IF($B46="","",IFERROR(BDP($B46&amp;" Action","CP036"),""))</f>
        <v/>
      </c>
      <c r="D46" s="187">
        <f>Database!S46</f>
        <v/>
      </c>
      <c r="E46" s="186">
        <f>IF($B46="","",IFERROR(BDP($B46&amp;" Action","CP037"),""))</f>
        <v/>
      </c>
      <c r="F46" s="187">
        <f>Database!T46</f>
        <v/>
      </c>
      <c r="G46" s="186">
        <f>IF($B46="","",IFERROR(BDP($B46&amp;" Action","GREENSHOE_FACILITY"),""))</f>
        <v/>
      </c>
      <c r="H46" s="186">
        <f>IF($B46="","",IFERROR(BDP($B46&amp;" Action","OFFERING_GREENSHOE_SHARES_EX"),""))</f>
        <v/>
      </c>
      <c r="I46" s="17">
        <f>Database!AE46</f>
        <v/>
      </c>
      <c r="J46" s="24">
        <f>IFERROR(BDP(Database!$A46&amp;" HK Equity","PE_RATIO"),"")</f>
        <v/>
      </c>
      <c r="K46" s="10">
        <f>IFERROR(BDP(Database!$A46&amp;" HK Equity","A/H_SHARE_CONVERSION"),"")</f>
        <v/>
      </c>
      <c r="L46" s="17">
        <f>IF(Database!BM46="","(none found)",Database!BM46)</f>
        <v/>
      </c>
      <c r="M46" s="19">
        <f>IFERROR(BDH(Database!$A46&amp;" HK Equity","CUR_MKT_CAP",Database!$H46,Database!$H46),"")</f>
        <v/>
      </c>
      <c r="N46" s="180">
        <f>Database!Q46</f>
        <v/>
      </c>
      <c r="O46" s="24">
        <f>IFERROR(BDH(Database!$A46&amp;" HK Equity","PE_RATIO",Database!$H46,Database!$H46),"")</f>
        <v/>
      </c>
      <c r="P46" s="184">
        <f>IF(Database!BG46="","(n/m or not derivable)",Database!BG46)</f>
        <v/>
      </c>
      <c r="Q46" s="24">
        <f>IF(Database!BM46="","",IFERROR(BDH(LEFT(Database!BM46,FIND(".",Database!BM46)-1)&amp;" CH Equity","PE_RATIO",Database!$H46,Database!$H46),""))</f>
        <v/>
      </c>
      <c r="R46" s="24">
        <f>IF(Database!BM46="","",IFERROR(BDH("HSAHP Index","PX_LAST",Database!$H46,Database!$H46),""))</f>
        <v/>
      </c>
      <c r="S46" s="24">
        <f>IFERROR(BDP(Database!$A46&amp;" HK Equity","PX_TO_SALES_RATIO"),"")</f>
        <v/>
      </c>
      <c r="T46" s="19">
        <f>IF(Database!BM46="","",IFERROR(BDP(LEFT(Database!BM46,FIND(".",Database!BM46)-1)&amp;" CH Equity","CUR_MKT_CAP"),""))</f>
        <v/>
      </c>
    </row>
    <row r="47">
      <c r="A47" s="17">
        <f>Database!A47&amp;"  "&amp;Database!B47</f>
        <v/>
      </c>
      <c r="B47" s="10">
        <f>IFERROR(INDEX(BDS(Database!$A47&amp;" HK Equity","EQUITY_OFFERINGS","array=t","endcol=1"),MATCH("IPO",BDS(Database!$A47&amp;" HK Equity","EQUITY_OFFERINGS","array=t","startcol=2","endcol=2"),0)),"")</f>
        <v/>
      </c>
      <c r="C47" s="186">
        <f>IF($B47="","",IFERROR(BDP($B47&amp;" Action","CP036"),""))</f>
        <v/>
      </c>
      <c r="D47" s="187">
        <f>Database!S47</f>
        <v/>
      </c>
      <c r="E47" s="186">
        <f>IF($B47="","",IFERROR(BDP($B47&amp;" Action","CP037"),""))</f>
        <v/>
      </c>
      <c r="F47" s="187">
        <f>Database!T47</f>
        <v/>
      </c>
      <c r="G47" s="186">
        <f>IF($B47="","",IFERROR(BDP($B47&amp;" Action","GREENSHOE_FACILITY"),""))</f>
        <v/>
      </c>
      <c r="H47" s="186">
        <f>IF($B47="","",IFERROR(BDP($B47&amp;" Action","OFFERING_GREENSHOE_SHARES_EX"),""))</f>
        <v/>
      </c>
      <c r="I47" s="17">
        <f>Database!AE47</f>
        <v/>
      </c>
      <c r="J47" s="24">
        <f>IFERROR(BDP(Database!$A47&amp;" HK Equity","PE_RATIO"),"")</f>
        <v/>
      </c>
      <c r="K47" s="10">
        <f>IFERROR(BDP(Database!$A47&amp;" HK Equity","A/H_SHARE_CONVERSION"),"")</f>
        <v/>
      </c>
      <c r="L47" s="17">
        <f>IF(Database!BM47="","(none found)",Database!BM47)</f>
        <v/>
      </c>
      <c r="M47" s="19">
        <f>IFERROR(BDH(Database!$A47&amp;" HK Equity","CUR_MKT_CAP",Database!$H47,Database!$H47),"")</f>
        <v/>
      </c>
      <c r="N47" s="180">
        <f>Database!Q47</f>
        <v/>
      </c>
      <c r="O47" s="24">
        <f>IFERROR(BDH(Database!$A47&amp;" HK Equity","PE_RATIO",Database!$H47,Database!$H47),"")</f>
        <v/>
      </c>
      <c r="P47" s="184">
        <f>IF(Database!BG47="","(n/m or not derivable)",Database!BG47)</f>
        <v/>
      </c>
      <c r="Q47" s="24">
        <f>IF(Database!BM47="","",IFERROR(BDH(LEFT(Database!BM47,FIND(".",Database!BM47)-1)&amp;" CH Equity","PE_RATIO",Database!$H47,Database!$H47),""))</f>
        <v/>
      </c>
      <c r="R47" s="24">
        <f>IF(Database!BM47="","",IFERROR(BDH("HSAHP Index","PX_LAST",Database!$H47,Database!$H47),""))</f>
        <v/>
      </c>
      <c r="S47" s="24">
        <f>IFERROR(BDP(Database!$A47&amp;" HK Equity","PX_TO_SALES_RATIO"),"")</f>
        <v/>
      </c>
      <c r="T47" s="19">
        <f>IF(Database!BM47="","",IFERROR(BDP(LEFT(Database!BM47,FIND(".",Database!BM47)-1)&amp;" CH Equity","CUR_MKT_CAP"),""))</f>
        <v/>
      </c>
    </row>
    <row r="48">
      <c r="A48" s="17">
        <f>Database!A48&amp;"  "&amp;Database!B48</f>
        <v/>
      </c>
      <c r="B48" s="10">
        <f>IFERROR(INDEX(BDS(Database!$A48&amp;" HK Equity","EQUITY_OFFERINGS","array=t","endcol=1"),MATCH("IPO",BDS(Database!$A48&amp;" HK Equity","EQUITY_OFFERINGS","array=t","startcol=2","endcol=2"),0)),"")</f>
        <v/>
      </c>
      <c r="C48" s="186">
        <f>IF($B48="","",IFERROR(BDP($B48&amp;" Action","CP036"),""))</f>
        <v/>
      </c>
      <c r="D48" s="187">
        <f>Database!S48</f>
        <v/>
      </c>
      <c r="E48" s="186">
        <f>IF($B48="","",IFERROR(BDP($B48&amp;" Action","CP037"),""))</f>
        <v/>
      </c>
      <c r="F48" s="187">
        <f>Database!T48</f>
        <v/>
      </c>
      <c r="G48" s="186">
        <f>IF($B48="","",IFERROR(BDP($B48&amp;" Action","GREENSHOE_FACILITY"),""))</f>
        <v/>
      </c>
      <c r="H48" s="186">
        <f>IF($B48="","",IFERROR(BDP($B48&amp;" Action","OFFERING_GREENSHOE_SHARES_EX"),""))</f>
        <v/>
      </c>
      <c r="I48" s="17">
        <f>Database!AE48</f>
        <v/>
      </c>
      <c r="J48" s="24">
        <f>IFERROR(BDP(Database!$A48&amp;" HK Equity","PE_RATIO"),"")</f>
        <v/>
      </c>
      <c r="K48" s="10">
        <f>IFERROR(BDP(Database!$A48&amp;" HK Equity","A/H_SHARE_CONVERSION"),"")</f>
        <v/>
      </c>
      <c r="L48" s="17">
        <f>IF(Database!BM48="","(none found)",Database!BM48)</f>
        <v/>
      </c>
      <c r="M48" s="19">
        <f>IFERROR(BDH(Database!$A48&amp;" HK Equity","CUR_MKT_CAP",Database!$H48,Database!$H48),"")</f>
        <v/>
      </c>
      <c r="N48" s="180">
        <f>Database!Q48</f>
        <v/>
      </c>
      <c r="O48" s="24">
        <f>IFERROR(BDH(Database!$A48&amp;" HK Equity","PE_RATIO",Database!$H48,Database!$H48),"")</f>
        <v/>
      </c>
      <c r="P48" s="184">
        <f>IF(Database!BG48="","(n/m or not derivable)",Database!BG48)</f>
        <v/>
      </c>
      <c r="Q48" s="24">
        <f>IF(Database!BM48="","",IFERROR(BDH(LEFT(Database!BM48,FIND(".",Database!BM48)-1)&amp;" CH Equity","PE_RATIO",Database!$H48,Database!$H48),""))</f>
        <v/>
      </c>
      <c r="R48" s="24">
        <f>IF(Database!BM48="","",IFERROR(BDH("HSAHP Index","PX_LAST",Database!$H48,Database!$H48),""))</f>
        <v/>
      </c>
      <c r="S48" s="24">
        <f>IFERROR(BDP(Database!$A48&amp;" HK Equity","PX_TO_SALES_RATIO"),"")</f>
        <v/>
      </c>
      <c r="T48" s="19">
        <f>IF(Database!BM48="","",IFERROR(BDP(LEFT(Database!BM48,FIND(".",Database!BM48)-1)&amp;" CH Equity","CUR_MKT_CAP"),""))</f>
        <v/>
      </c>
    </row>
    <row r="49">
      <c r="A49" s="17">
        <f>Database!A49&amp;"  "&amp;Database!B49</f>
        <v/>
      </c>
      <c r="B49" s="10">
        <f>IFERROR(INDEX(BDS(Database!$A49&amp;" HK Equity","EQUITY_OFFERINGS","array=t","endcol=1"),MATCH("IPO",BDS(Database!$A49&amp;" HK Equity","EQUITY_OFFERINGS","array=t","startcol=2","endcol=2"),0)),"")</f>
        <v/>
      </c>
      <c r="C49" s="186">
        <f>IF($B49="","",IFERROR(BDP($B49&amp;" Action","CP036"),""))</f>
        <v/>
      </c>
      <c r="D49" s="187">
        <f>Database!S49</f>
        <v/>
      </c>
      <c r="E49" s="186">
        <f>IF($B49="","",IFERROR(BDP($B49&amp;" Action","CP037"),""))</f>
        <v/>
      </c>
      <c r="F49" s="187">
        <f>Database!T49</f>
        <v/>
      </c>
      <c r="G49" s="186">
        <f>IF($B49="","",IFERROR(BDP($B49&amp;" Action","GREENSHOE_FACILITY"),""))</f>
        <v/>
      </c>
      <c r="H49" s="186">
        <f>IF($B49="","",IFERROR(BDP($B49&amp;" Action","OFFERING_GREENSHOE_SHARES_EX"),""))</f>
        <v/>
      </c>
      <c r="I49" s="17">
        <f>Database!AE49</f>
        <v/>
      </c>
      <c r="J49" s="24">
        <f>IFERROR(BDP(Database!$A49&amp;" HK Equity","PE_RATIO"),"")</f>
        <v/>
      </c>
      <c r="K49" s="10">
        <f>IFERROR(BDP(Database!$A49&amp;" HK Equity","A/H_SHARE_CONVERSION"),"")</f>
        <v/>
      </c>
      <c r="L49" s="17">
        <f>IF(Database!BM49="","(none found)",Database!BM49)</f>
        <v/>
      </c>
      <c r="M49" s="19">
        <f>IFERROR(BDH(Database!$A49&amp;" HK Equity","CUR_MKT_CAP",Database!$H49,Database!$H49),"")</f>
        <v/>
      </c>
      <c r="N49" s="180">
        <f>Database!Q49</f>
        <v/>
      </c>
      <c r="O49" s="24">
        <f>IFERROR(BDH(Database!$A49&amp;" HK Equity","PE_RATIO",Database!$H49,Database!$H49),"")</f>
        <v/>
      </c>
      <c r="P49" s="184">
        <f>IF(Database!BG49="","(n/m or not derivable)",Database!BG49)</f>
        <v/>
      </c>
      <c r="Q49" s="24">
        <f>IF(Database!BM49="","",IFERROR(BDH(LEFT(Database!BM49,FIND(".",Database!BM49)-1)&amp;" CH Equity","PE_RATIO",Database!$H49,Database!$H49),""))</f>
        <v/>
      </c>
      <c r="R49" s="24">
        <f>IF(Database!BM49="","",IFERROR(BDH("HSAHP Index","PX_LAST",Database!$H49,Database!$H49),""))</f>
        <v/>
      </c>
      <c r="S49" s="24">
        <f>IFERROR(BDP(Database!$A49&amp;" HK Equity","PX_TO_SALES_RATIO"),"")</f>
        <v/>
      </c>
      <c r="T49" s="19">
        <f>IF(Database!BM49="","",IFERROR(BDP(LEFT(Database!BM49,FIND(".",Database!BM49)-1)&amp;" CH Equity","CUR_MKT_CAP"),""))</f>
        <v/>
      </c>
    </row>
    <row r="50">
      <c r="A50" s="17">
        <f>Database!A50&amp;"  "&amp;Database!B50</f>
        <v/>
      </c>
      <c r="B50" s="10">
        <f>IFERROR(INDEX(BDS(Database!$A50&amp;" HK Equity","EQUITY_OFFERINGS","array=t","endcol=1"),MATCH("IPO",BDS(Database!$A50&amp;" HK Equity","EQUITY_OFFERINGS","array=t","startcol=2","endcol=2"),0)),"")</f>
        <v/>
      </c>
      <c r="C50" s="186">
        <f>IF($B50="","",IFERROR(BDP($B50&amp;" Action","CP036"),""))</f>
        <v/>
      </c>
      <c r="D50" s="187">
        <f>Database!S50</f>
        <v/>
      </c>
      <c r="E50" s="186">
        <f>IF($B50="","",IFERROR(BDP($B50&amp;" Action","CP037"),""))</f>
        <v/>
      </c>
      <c r="F50" s="187">
        <f>Database!T50</f>
        <v/>
      </c>
      <c r="G50" s="186">
        <f>IF($B50="","",IFERROR(BDP($B50&amp;" Action","GREENSHOE_FACILITY"),""))</f>
        <v/>
      </c>
      <c r="H50" s="186">
        <f>IF($B50="","",IFERROR(BDP($B50&amp;" Action","OFFERING_GREENSHOE_SHARES_EX"),""))</f>
        <v/>
      </c>
      <c r="I50" s="17">
        <f>Database!AE50</f>
        <v/>
      </c>
      <c r="J50" s="24">
        <f>IFERROR(BDP(Database!$A50&amp;" HK Equity","PE_RATIO"),"")</f>
        <v/>
      </c>
      <c r="K50" s="10">
        <f>IFERROR(BDP(Database!$A50&amp;" HK Equity","A/H_SHARE_CONVERSION"),"")</f>
        <v/>
      </c>
      <c r="L50" s="17">
        <f>IF(Database!BM50="","(none found)",Database!BM50)</f>
        <v/>
      </c>
      <c r="M50" s="19">
        <f>IFERROR(BDH(Database!$A50&amp;" HK Equity","CUR_MKT_CAP",Database!$H50,Database!$H50),"")</f>
        <v/>
      </c>
      <c r="N50" s="180">
        <f>Database!Q50</f>
        <v/>
      </c>
      <c r="O50" s="24">
        <f>IFERROR(BDH(Database!$A50&amp;" HK Equity","PE_RATIO",Database!$H50,Database!$H50),"")</f>
        <v/>
      </c>
      <c r="P50" s="184">
        <f>IF(Database!BG50="","(n/m or not derivable)",Database!BG50)</f>
        <v/>
      </c>
      <c r="Q50" s="24">
        <f>IF(Database!BM50="","",IFERROR(BDH(LEFT(Database!BM50,FIND(".",Database!BM50)-1)&amp;" CH Equity","PE_RATIO",Database!$H50,Database!$H50),""))</f>
        <v/>
      </c>
      <c r="R50" s="24">
        <f>IF(Database!BM50="","",IFERROR(BDH("HSAHP Index","PX_LAST",Database!$H50,Database!$H50),""))</f>
        <v/>
      </c>
      <c r="S50" s="24">
        <f>IFERROR(BDP(Database!$A50&amp;" HK Equity","PX_TO_SALES_RATIO"),"")</f>
        <v/>
      </c>
      <c r="T50" s="19">
        <f>IF(Database!BM50="","",IFERROR(BDP(LEFT(Database!BM50,FIND(".",Database!BM50)-1)&amp;" CH Equity","CUR_MKT_CAP"),""))</f>
        <v/>
      </c>
    </row>
    <row r="51">
      <c r="A51" s="17">
        <f>Database!A51&amp;"  "&amp;Database!B51</f>
        <v/>
      </c>
      <c r="B51" s="10">
        <f>IFERROR(INDEX(BDS(Database!$A51&amp;" HK Equity","EQUITY_OFFERINGS","array=t","endcol=1"),MATCH("IPO",BDS(Database!$A51&amp;" HK Equity","EQUITY_OFFERINGS","array=t","startcol=2","endcol=2"),0)),"")</f>
        <v/>
      </c>
      <c r="C51" s="186">
        <f>IF($B51="","",IFERROR(BDP($B51&amp;" Action","CP036"),""))</f>
        <v/>
      </c>
      <c r="D51" s="187">
        <f>Database!S51</f>
        <v/>
      </c>
      <c r="E51" s="186">
        <f>IF($B51="","",IFERROR(BDP($B51&amp;" Action","CP037"),""))</f>
        <v/>
      </c>
      <c r="F51" s="187">
        <f>Database!T51</f>
        <v/>
      </c>
      <c r="G51" s="186">
        <f>IF($B51="","",IFERROR(BDP($B51&amp;" Action","GREENSHOE_FACILITY"),""))</f>
        <v/>
      </c>
      <c r="H51" s="186">
        <f>IF($B51="","",IFERROR(BDP($B51&amp;" Action","OFFERING_GREENSHOE_SHARES_EX"),""))</f>
        <v/>
      </c>
      <c r="I51" s="17">
        <f>Database!AE51</f>
        <v/>
      </c>
      <c r="J51" s="24">
        <f>IFERROR(BDP(Database!$A51&amp;" HK Equity","PE_RATIO"),"")</f>
        <v/>
      </c>
      <c r="K51" s="10">
        <f>IFERROR(BDP(Database!$A51&amp;" HK Equity","A/H_SHARE_CONVERSION"),"")</f>
        <v/>
      </c>
      <c r="L51" s="17">
        <f>IF(Database!BM51="","(none found)",Database!BM51)</f>
        <v/>
      </c>
      <c r="M51" s="19">
        <f>IFERROR(BDH(Database!$A51&amp;" HK Equity","CUR_MKT_CAP",Database!$H51,Database!$H51),"")</f>
        <v/>
      </c>
      <c r="N51" s="180">
        <f>Database!Q51</f>
        <v/>
      </c>
      <c r="O51" s="24">
        <f>IFERROR(BDH(Database!$A51&amp;" HK Equity","PE_RATIO",Database!$H51,Database!$H51),"")</f>
        <v/>
      </c>
      <c r="P51" s="184">
        <f>IF(Database!BG51="","(n/m or not derivable)",Database!BG51)</f>
        <v/>
      </c>
      <c r="Q51" s="24">
        <f>IF(Database!BM51="","",IFERROR(BDH(LEFT(Database!BM51,FIND(".",Database!BM51)-1)&amp;" CH Equity","PE_RATIO",Database!$H51,Database!$H51),""))</f>
        <v/>
      </c>
      <c r="R51" s="24">
        <f>IF(Database!BM51="","",IFERROR(BDH("HSAHP Index","PX_LAST",Database!$H51,Database!$H51),""))</f>
        <v/>
      </c>
      <c r="S51" s="24">
        <f>IFERROR(BDP(Database!$A51&amp;" HK Equity","PX_TO_SALES_RATIO"),"")</f>
        <v/>
      </c>
      <c r="T51" s="19">
        <f>IF(Database!BM51="","",IFERROR(BDP(LEFT(Database!BM51,FIND(".",Database!BM51)-1)&amp;" CH Equity","CUR_MKT_CAP"),""))</f>
        <v/>
      </c>
    </row>
    <row r="52">
      <c r="A52" s="17">
        <f>Database!A52&amp;"  "&amp;Database!B52</f>
        <v/>
      </c>
      <c r="B52" s="10">
        <f>IFERROR(INDEX(BDS(Database!$A52&amp;" HK Equity","EQUITY_OFFERINGS","array=t","endcol=1"),MATCH("IPO",BDS(Database!$A52&amp;" HK Equity","EQUITY_OFFERINGS","array=t","startcol=2","endcol=2"),0)),"")</f>
        <v/>
      </c>
      <c r="C52" s="186">
        <f>IF($B52="","",IFERROR(BDP($B52&amp;" Action","CP036"),""))</f>
        <v/>
      </c>
      <c r="D52" s="187">
        <f>Database!S52</f>
        <v/>
      </c>
      <c r="E52" s="186">
        <f>IF($B52="","",IFERROR(BDP($B52&amp;" Action","CP037"),""))</f>
        <v/>
      </c>
      <c r="F52" s="187">
        <f>Database!T52</f>
        <v/>
      </c>
      <c r="G52" s="186">
        <f>IF($B52="","",IFERROR(BDP($B52&amp;" Action","GREENSHOE_FACILITY"),""))</f>
        <v/>
      </c>
      <c r="H52" s="186">
        <f>IF($B52="","",IFERROR(BDP($B52&amp;" Action","OFFERING_GREENSHOE_SHARES_EX"),""))</f>
        <v/>
      </c>
      <c r="I52" s="17">
        <f>Database!AE52</f>
        <v/>
      </c>
      <c r="J52" s="24">
        <f>IFERROR(BDP(Database!$A52&amp;" HK Equity","PE_RATIO"),"")</f>
        <v/>
      </c>
      <c r="K52" s="10">
        <f>IFERROR(BDP(Database!$A52&amp;" HK Equity","A/H_SHARE_CONVERSION"),"")</f>
        <v/>
      </c>
      <c r="L52" s="17">
        <f>IF(Database!BM52="","(none found)",Database!BM52)</f>
        <v/>
      </c>
      <c r="M52" s="19">
        <f>IFERROR(BDH(Database!$A52&amp;" HK Equity","CUR_MKT_CAP",Database!$H52,Database!$H52),"")</f>
        <v/>
      </c>
      <c r="N52" s="180">
        <f>Database!Q52</f>
        <v/>
      </c>
      <c r="O52" s="24">
        <f>IFERROR(BDH(Database!$A52&amp;" HK Equity","PE_RATIO",Database!$H52,Database!$H52),"")</f>
        <v/>
      </c>
      <c r="P52" s="184">
        <f>IF(Database!BG52="","(n/m or not derivable)",Database!BG52)</f>
        <v/>
      </c>
      <c r="Q52" s="24">
        <f>IF(Database!BM52="","",IFERROR(BDH(LEFT(Database!BM52,FIND(".",Database!BM52)-1)&amp;" CH Equity","PE_RATIO",Database!$H52,Database!$H52),""))</f>
        <v/>
      </c>
      <c r="R52" s="24">
        <f>IF(Database!BM52="","",IFERROR(BDH("HSAHP Index","PX_LAST",Database!$H52,Database!$H52),""))</f>
        <v/>
      </c>
      <c r="S52" s="24">
        <f>IFERROR(BDP(Database!$A52&amp;" HK Equity","PX_TO_SALES_RATIO"),"")</f>
        <v/>
      </c>
      <c r="T52" s="19">
        <f>IF(Database!BM52="","",IFERROR(BDP(LEFT(Database!BM52,FIND(".",Database!BM52)-1)&amp;" CH Equity","CUR_MKT_CAP"),""))</f>
        <v/>
      </c>
    </row>
    <row r="53">
      <c r="A53" s="17">
        <f>Database!A53&amp;"  "&amp;Database!B53</f>
        <v/>
      </c>
      <c r="B53" s="10">
        <f>IFERROR(INDEX(BDS(Database!$A53&amp;" HK Equity","EQUITY_OFFERINGS","array=t","endcol=1"),MATCH("IPO",BDS(Database!$A53&amp;" HK Equity","EQUITY_OFFERINGS","array=t","startcol=2","endcol=2"),0)),"")</f>
        <v/>
      </c>
      <c r="C53" s="186">
        <f>IF($B53="","",IFERROR(BDP($B53&amp;" Action","CP036"),""))</f>
        <v/>
      </c>
      <c r="D53" s="187">
        <f>Database!S53</f>
        <v/>
      </c>
      <c r="E53" s="186">
        <f>IF($B53="","",IFERROR(BDP($B53&amp;" Action","CP037"),""))</f>
        <v/>
      </c>
      <c r="F53" s="187">
        <f>Database!T53</f>
        <v/>
      </c>
      <c r="G53" s="186">
        <f>IF($B53="","",IFERROR(BDP($B53&amp;" Action","GREENSHOE_FACILITY"),""))</f>
        <v/>
      </c>
      <c r="H53" s="186">
        <f>IF($B53="","",IFERROR(BDP($B53&amp;" Action","OFFERING_GREENSHOE_SHARES_EX"),""))</f>
        <v/>
      </c>
      <c r="I53" s="17">
        <f>Database!AE53</f>
        <v/>
      </c>
      <c r="J53" s="24">
        <f>IFERROR(BDP(Database!$A53&amp;" HK Equity","PE_RATIO"),"")</f>
        <v/>
      </c>
      <c r="K53" s="10">
        <f>IFERROR(BDP(Database!$A53&amp;" HK Equity","A/H_SHARE_CONVERSION"),"")</f>
        <v/>
      </c>
      <c r="L53" s="17">
        <f>IF(Database!BM53="","(none found)",Database!BM53)</f>
        <v/>
      </c>
      <c r="M53" s="19">
        <f>IFERROR(BDH(Database!$A53&amp;" HK Equity","CUR_MKT_CAP",Database!$H53,Database!$H53),"")</f>
        <v/>
      </c>
      <c r="N53" s="180">
        <f>Database!Q53</f>
        <v/>
      </c>
      <c r="O53" s="24">
        <f>IFERROR(BDH(Database!$A53&amp;" HK Equity","PE_RATIO",Database!$H53,Database!$H53),"")</f>
        <v/>
      </c>
      <c r="P53" s="184">
        <f>IF(Database!BG53="","(n/m or not derivable)",Database!BG53)</f>
        <v/>
      </c>
      <c r="Q53" s="24">
        <f>IF(Database!BM53="","",IFERROR(BDH(LEFT(Database!BM53,FIND(".",Database!BM53)-1)&amp;" CH Equity","PE_RATIO",Database!$H53,Database!$H53),""))</f>
        <v/>
      </c>
      <c r="R53" s="24">
        <f>IF(Database!BM53="","",IFERROR(BDH("HSAHP Index","PX_LAST",Database!$H53,Database!$H53),""))</f>
        <v/>
      </c>
      <c r="S53" s="24">
        <f>IFERROR(BDP(Database!$A53&amp;" HK Equity","PX_TO_SALES_RATIO"),"")</f>
        <v/>
      </c>
      <c r="T53" s="19">
        <f>IF(Database!BM53="","",IFERROR(BDP(LEFT(Database!BM53,FIND(".",Database!BM53)-1)&amp;" CH Equity","CUR_MKT_CAP"),""))</f>
        <v/>
      </c>
    </row>
    <row r="54">
      <c r="A54" s="17">
        <f>Database!A54&amp;"  "&amp;Database!B54</f>
        <v/>
      </c>
      <c r="B54" s="10">
        <f>IFERROR(INDEX(BDS(Database!$A54&amp;" HK Equity","EQUITY_OFFERINGS","array=t","endcol=1"),MATCH("IPO",BDS(Database!$A54&amp;" HK Equity","EQUITY_OFFERINGS","array=t","startcol=2","endcol=2"),0)),"")</f>
        <v/>
      </c>
      <c r="C54" s="186">
        <f>IF($B54="","",IFERROR(BDP($B54&amp;" Action","CP036"),""))</f>
        <v/>
      </c>
      <c r="D54" s="187">
        <f>Database!S54</f>
        <v/>
      </c>
      <c r="E54" s="186">
        <f>IF($B54="","",IFERROR(BDP($B54&amp;" Action","CP037"),""))</f>
        <v/>
      </c>
      <c r="F54" s="187">
        <f>Database!T54</f>
        <v/>
      </c>
      <c r="G54" s="186">
        <f>IF($B54="","",IFERROR(BDP($B54&amp;" Action","GREENSHOE_FACILITY"),""))</f>
        <v/>
      </c>
      <c r="H54" s="186">
        <f>IF($B54="","",IFERROR(BDP($B54&amp;" Action","OFFERING_GREENSHOE_SHARES_EX"),""))</f>
        <v/>
      </c>
      <c r="I54" s="17">
        <f>Database!AE54</f>
        <v/>
      </c>
      <c r="J54" s="24">
        <f>IFERROR(BDP(Database!$A54&amp;" HK Equity","PE_RATIO"),"")</f>
        <v/>
      </c>
      <c r="K54" s="10">
        <f>IFERROR(BDP(Database!$A54&amp;" HK Equity","A/H_SHARE_CONVERSION"),"")</f>
        <v/>
      </c>
      <c r="L54" s="17">
        <f>IF(Database!BM54="","(none found)",Database!BM54)</f>
        <v/>
      </c>
      <c r="M54" s="19">
        <f>IFERROR(BDH(Database!$A54&amp;" HK Equity","CUR_MKT_CAP",Database!$H54,Database!$H54),"")</f>
        <v/>
      </c>
      <c r="N54" s="180">
        <f>Database!Q54</f>
        <v/>
      </c>
      <c r="O54" s="24">
        <f>IFERROR(BDH(Database!$A54&amp;" HK Equity","PE_RATIO",Database!$H54,Database!$H54),"")</f>
        <v/>
      </c>
      <c r="P54" s="184">
        <f>IF(Database!BG54="","(n/m or not derivable)",Database!BG54)</f>
        <v/>
      </c>
      <c r="Q54" s="24">
        <f>IF(Database!BM54="","",IFERROR(BDH(LEFT(Database!BM54,FIND(".",Database!BM54)-1)&amp;" CH Equity","PE_RATIO",Database!$H54,Database!$H54),""))</f>
        <v/>
      </c>
      <c r="R54" s="24">
        <f>IF(Database!BM54="","",IFERROR(BDH("HSAHP Index","PX_LAST",Database!$H54,Database!$H54),""))</f>
        <v/>
      </c>
      <c r="S54" s="24">
        <f>IFERROR(BDP(Database!$A54&amp;" HK Equity","PX_TO_SALES_RATIO"),"")</f>
        <v/>
      </c>
      <c r="T54" s="19">
        <f>IF(Database!BM54="","",IFERROR(BDP(LEFT(Database!BM54,FIND(".",Database!BM54)-1)&amp;" CH Equity","CUR_MKT_CAP"),""))</f>
        <v/>
      </c>
    </row>
    <row r="55">
      <c r="A55" s="17">
        <f>Database!A55&amp;"  "&amp;Database!B55</f>
        <v/>
      </c>
      <c r="B55" s="10">
        <f>IFERROR(INDEX(BDS(Database!$A55&amp;" HK Equity","EQUITY_OFFERINGS","array=t","endcol=1"),MATCH("IPO",BDS(Database!$A55&amp;" HK Equity","EQUITY_OFFERINGS","array=t","startcol=2","endcol=2"),0)),"")</f>
        <v/>
      </c>
      <c r="C55" s="186">
        <f>IF($B55="","",IFERROR(BDP($B55&amp;" Action","CP036"),""))</f>
        <v/>
      </c>
      <c r="D55" s="187">
        <f>Database!S55</f>
        <v/>
      </c>
      <c r="E55" s="186">
        <f>IF($B55="","",IFERROR(BDP($B55&amp;" Action","CP037"),""))</f>
        <v/>
      </c>
      <c r="F55" s="187">
        <f>Database!T55</f>
        <v/>
      </c>
      <c r="G55" s="186">
        <f>IF($B55="","",IFERROR(BDP($B55&amp;" Action","GREENSHOE_FACILITY"),""))</f>
        <v/>
      </c>
      <c r="H55" s="186">
        <f>IF($B55="","",IFERROR(BDP($B55&amp;" Action","OFFERING_GREENSHOE_SHARES_EX"),""))</f>
        <v/>
      </c>
      <c r="I55" s="17">
        <f>Database!AE55</f>
        <v/>
      </c>
      <c r="J55" s="24">
        <f>IFERROR(BDP(Database!$A55&amp;" HK Equity","PE_RATIO"),"")</f>
        <v/>
      </c>
      <c r="K55" s="10">
        <f>IFERROR(BDP(Database!$A55&amp;" HK Equity","A/H_SHARE_CONVERSION"),"")</f>
        <v/>
      </c>
      <c r="L55" s="17">
        <f>IF(Database!BM55="","(none found)",Database!BM55)</f>
        <v/>
      </c>
      <c r="M55" s="19">
        <f>IFERROR(BDH(Database!$A55&amp;" HK Equity","CUR_MKT_CAP",Database!$H55,Database!$H55),"")</f>
        <v/>
      </c>
      <c r="N55" s="180">
        <f>Database!Q55</f>
        <v/>
      </c>
      <c r="O55" s="24">
        <f>IFERROR(BDH(Database!$A55&amp;" HK Equity","PE_RATIO",Database!$H55,Database!$H55),"")</f>
        <v/>
      </c>
      <c r="P55" s="184">
        <f>IF(Database!BG55="","(n/m or not derivable)",Database!BG55)</f>
        <v/>
      </c>
      <c r="Q55" s="24">
        <f>IF(Database!BM55="","",IFERROR(BDH(LEFT(Database!BM55,FIND(".",Database!BM55)-1)&amp;" CH Equity","PE_RATIO",Database!$H55,Database!$H55),""))</f>
        <v/>
      </c>
      <c r="R55" s="24">
        <f>IF(Database!BM55="","",IFERROR(BDH("HSAHP Index","PX_LAST",Database!$H55,Database!$H55),""))</f>
        <v/>
      </c>
      <c r="S55" s="24">
        <f>IFERROR(BDP(Database!$A55&amp;" HK Equity","PX_TO_SALES_RATIO"),"")</f>
        <v/>
      </c>
      <c r="T55" s="19">
        <f>IF(Database!BM55="","",IFERROR(BDP(LEFT(Database!BM55,FIND(".",Database!BM55)-1)&amp;" CH Equity","CUR_MKT_CAP"),""))</f>
        <v/>
      </c>
    </row>
    <row r="56">
      <c r="A56" s="17">
        <f>Database!A56&amp;"  "&amp;Database!B56</f>
        <v/>
      </c>
      <c r="B56" s="10">
        <f>IFERROR(INDEX(BDS(Database!$A56&amp;" HK Equity","EQUITY_OFFERINGS","array=t","endcol=1"),MATCH("IPO",BDS(Database!$A56&amp;" HK Equity","EQUITY_OFFERINGS","array=t","startcol=2","endcol=2"),0)),"")</f>
        <v/>
      </c>
      <c r="C56" s="186">
        <f>IF($B56="","",IFERROR(BDP($B56&amp;" Action","CP036"),""))</f>
        <v/>
      </c>
      <c r="D56" s="187">
        <f>Database!S56</f>
        <v/>
      </c>
      <c r="E56" s="186">
        <f>IF($B56="","",IFERROR(BDP($B56&amp;" Action","CP037"),""))</f>
        <v/>
      </c>
      <c r="F56" s="187">
        <f>Database!T56</f>
        <v/>
      </c>
      <c r="G56" s="186">
        <f>IF($B56="","",IFERROR(BDP($B56&amp;" Action","GREENSHOE_FACILITY"),""))</f>
        <v/>
      </c>
      <c r="H56" s="186">
        <f>IF($B56="","",IFERROR(BDP($B56&amp;" Action","OFFERING_GREENSHOE_SHARES_EX"),""))</f>
        <v/>
      </c>
      <c r="I56" s="17">
        <f>Database!AE56</f>
        <v/>
      </c>
      <c r="J56" s="24">
        <f>IFERROR(BDP(Database!$A56&amp;" HK Equity","PE_RATIO"),"")</f>
        <v/>
      </c>
      <c r="K56" s="10">
        <f>IFERROR(BDP(Database!$A56&amp;" HK Equity","A/H_SHARE_CONVERSION"),"")</f>
        <v/>
      </c>
      <c r="L56" s="17">
        <f>IF(Database!BM56="","(none found)",Database!BM56)</f>
        <v/>
      </c>
      <c r="M56" s="19">
        <f>IFERROR(BDH(Database!$A56&amp;" HK Equity","CUR_MKT_CAP",Database!$H56,Database!$H56),"")</f>
        <v/>
      </c>
      <c r="N56" s="180">
        <f>Database!Q56</f>
        <v/>
      </c>
      <c r="O56" s="24">
        <f>IFERROR(BDH(Database!$A56&amp;" HK Equity","PE_RATIO",Database!$H56,Database!$H56),"")</f>
        <v/>
      </c>
      <c r="P56" s="184">
        <f>IF(Database!BG56="","(n/m or not derivable)",Database!BG56)</f>
        <v/>
      </c>
      <c r="Q56" s="24">
        <f>IF(Database!BM56="","",IFERROR(BDH(LEFT(Database!BM56,FIND(".",Database!BM56)-1)&amp;" CH Equity","PE_RATIO",Database!$H56,Database!$H56),""))</f>
        <v/>
      </c>
      <c r="R56" s="24">
        <f>IF(Database!BM56="","",IFERROR(BDH("HSAHP Index","PX_LAST",Database!$H56,Database!$H56),""))</f>
        <v/>
      </c>
      <c r="S56" s="24">
        <f>IFERROR(BDP(Database!$A56&amp;" HK Equity","PX_TO_SALES_RATIO"),"")</f>
        <v/>
      </c>
      <c r="T56" s="19">
        <f>IF(Database!BM56="","",IFERROR(BDP(LEFT(Database!BM56,FIND(".",Database!BM56)-1)&amp;" CH Equity","CUR_MKT_CAP"),""))</f>
        <v/>
      </c>
    </row>
    <row r="57">
      <c r="A57" s="17">
        <f>Database!A57&amp;"  "&amp;Database!B57</f>
        <v/>
      </c>
      <c r="B57" s="10">
        <f>IFERROR(INDEX(BDS(Database!$A57&amp;" HK Equity","EQUITY_OFFERINGS","array=t","endcol=1"),MATCH("IPO",BDS(Database!$A57&amp;" HK Equity","EQUITY_OFFERINGS","array=t","startcol=2","endcol=2"),0)),"")</f>
        <v/>
      </c>
      <c r="C57" s="186">
        <f>IF($B57="","",IFERROR(BDP($B57&amp;" Action","CP036"),""))</f>
        <v/>
      </c>
      <c r="D57" s="187">
        <f>Database!S57</f>
        <v/>
      </c>
      <c r="E57" s="186">
        <f>IF($B57="","",IFERROR(BDP($B57&amp;" Action","CP037"),""))</f>
        <v/>
      </c>
      <c r="F57" s="187">
        <f>Database!T57</f>
        <v/>
      </c>
      <c r="G57" s="186">
        <f>IF($B57="","",IFERROR(BDP($B57&amp;" Action","GREENSHOE_FACILITY"),""))</f>
        <v/>
      </c>
      <c r="H57" s="186">
        <f>IF($B57="","",IFERROR(BDP($B57&amp;" Action","OFFERING_GREENSHOE_SHARES_EX"),""))</f>
        <v/>
      </c>
      <c r="I57" s="17">
        <f>Database!AE57</f>
        <v/>
      </c>
      <c r="J57" s="24">
        <f>IFERROR(BDP(Database!$A57&amp;" HK Equity","PE_RATIO"),"")</f>
        <v/>
      </c>
      <c r="K57" s="10">
        <f>IFERROR(BDP(Database!$A57&amp;" HK Equity","A/H_SHARE_CONVERSION"),"")</f>
        <v/>
      </c>
      <c r="L57" s="17">
        <f>IF(Database!BM57="","(none found)",Database!BM57)</f>
        <v/>
      </c>
      <c r="M57" s="19">
        <f>IFERROR(BDH(Database!$A57&amp;" HK Equity","CUR_MKT_CAP",Database!$H57,Database!$H57),"")</f>
        <v/>
      </c>
      <c r="N57" s="180">
        <f>Database!Q57</f>
        <v/>
      </c>
      <c r="O57" s="24">
        <f>IFERROR(BDH(Database!$A57&amp;" HK Equity","PE_RATIO",Database!$H57,Database!$H57),"")</f>
        <v/>
      </c>
      <c r="P57" s="184">
        <f>IF(Database!BG57="","(n/m or not derivable)",Database!BG57)</f>
        <v/>
      </c>
      <c r="Q57" s="24">
        <f>IF(Database!BM57="","",IFERROR(BDH(LEFT(Database!BM57,FIND(".",Database!BM57)-1)&amp;" CH Equity","PE_RATIO",Database!$H57,Database!$H57),""))</f>
        <v/>
      </c>
      <c r="R57" s="24">
        <f>IF(Database!BM57="","",IFERROR(BDH("HSAHP Index","PX_LAST",Database!$H57,Database!$H57),""))</f>
        <v/>
      </c>
      <c r="S57" s="24">
        <f>IFERROR(BDP(Database!$A57&amp;" HK Equity","PX_TO_SALES_RATIO"),"")</f>
        <v/>
      </c>
      <c r="T57" s="19">
        <f>IF(Database!BM57="","",IFERROR(BDP(LEFT(Database!BM57,FIND(".",Database!BM57)-1)&amp;" CH Equity","CUR_MKT_CAP"),""))</f>
        <v/>
      </c>
    </row>
    <row r="58">
      <c r="A58" s="17">
        <f>Database!A58&amp;"  "&amp;Database!B58</f>
        <v/>
      </c>
      <c r="B58" s="10">
        <f>IFERROR(INDEX(BDS(Database!$A58&amp;" HK Equity","EQUITY_OFFERINGS","array=t","endcol=1"),MATCH("IPO",BDS(Database!$A58&amp;" HK Equity","EQUITY_OFFERINGS","array=t","startcol=2","endcol=2"),0)),"")</f>
        <v/>
      </c>
      <c r="C58" s="186">
        <f>IF($B58="","",IFERROR(BDP($B58&amp;" Action","CP036"),""))</f>
        <v/>
      </c>
      <c r="D58" s="187">
        <f>Database!S58</f>
        <v/>
      </c>
      <c r="E58" s="186">
        <f>IF($B58="","",IFERROR(BDP($B58&amp;" Action","CP037"),""))</f>
        <v/>
      </c>
      <c r="F58" s="187">
        <f>Database!T58</f>
        <v/>
      </c>
      <c r="G58" s="186">
        <f>IF($B58="","",IFERROR(BDP($B58&amp;" Action","GREENSHOE_FACILITY"),""))</f>
        <v/>
      </c>
      <c r="H58" s="186">
        <f>IF($B58="","",IFERROR(BDP($B58&amp;" Action","OFFERING_GREENSHOE_SHARES_EX"),""))</f>
        <v/>
      </c>
      <c r="I58" s="17">
        <f>Database!AE58</f>
        <v/>
      </c>
      <c r="J58" s="24">
        <f>IFERROR(BDP(Database!$A58&amp;" HK Equity","PE_RATIO"),"")</f>
        <v/>
      </c>
      <c r="K58" s="10">
        <f>IFERROR(BDP(Database!$A58&amp;" HK Equity","A/H_SHARE_CONVERSION"),"")</f>
        <v/>
      </c>
      <c r="L58" s="17">
        <f>IF(Database!BM58="","(none found)",Database!BM58)</f>
        <v/>
      </c>
      <c r="M58" s="19">
        <f>IFERROR(BDH(Database!$A58&amp;" HK Equity","CUR_MKT_CAP",Database!$H58,Database!$H58),"")</f>
        <v/>
      </c>
      <c r="N58" s="180">
        <f>Database!Q58</f>
        <v/>
      </c>
      <c r="O58" s="24">
        <f>IFERROR(BDH(Database!$A58&amp;" HK Equity","PE_RATIO",Database!$H58,Database!$H58),"")</f>
        <v/>
      </c>
      <c r="P58" s="184">
        <f>IF(Database!BG58="","(n/m or not derivable)",Database!BG58)</f>
        <v/>
      </c>
      <c r="Q58" s="24">
        <f>IF(Database!BM58="","",IFERROR(BDH(LEFT(Database!BM58,FIND(".",Database!BM58)-1)&amp;" CH Equity","PE_RATIO",Database!$H58,Database!$H58),""))</f>
        <v/>
      </c>
      <c r="R58" s="24">
        <f>IF(Database!BM58="","",IFERROR(BDH("HSAHP Index","PX_LAST",Database!$H58,Database!$H58),""))</f>
        <v/>
      </c>
      <c r="S58" s="24">
        <f>IFERROR(BDP(Database!$A58&amp;" HK Equity","PX_TO_SALES_RATIO"),"")</f>
        <v/>
      </c>
      <c r="T58" s="19">
        <f>IF(Database!BM58="","",IFERROR(BDP(LEFT(Database!BM58,FIND(".",Database!BM58)-1)&amp;" CH Equity","CUR_MKT_CAP"),""))</f>
        <v/>
      </c>
    </row>
    <row r="59">
      <c r="A59" s="17">
        <f>Database!A59&amp;"  "&amp;Database!B59</f>
        <v/>
      </c>
      <c r="B59" s="10">
        <f>IFERROR(INDEX(BDS(Database!$A59&amp;" HK Equity","EQUITY_OFFERINGS","array=t","endcol=1"),MATCH("IPO",BDS(Database!$A59&amp;" HK Equity","EQUITY_OFFERINGS","array=t","startcol=2","endcol=2"),0)),"")</f>
        <v/>
      </c>
      <c r="C59" s="186">
        <f>IF($B59="","",IFERROR(BDP($B59&amp;" Action","CP036"),""))</f>
        <v/>
      </c>
      <c r="D59" s="187">
        <f>Database!S59</f>
        <v/>
      </c>
      <c r="E59" s="186">
        <f>IF($B59="","",IFERROR(BDP($B59&amp;" Action","CP037"),""))</f>
        <v/>
      </c>
      <c r="F59" s="187">
        <f>Database!T59</f>
        <v/>
      </c>
      <c r="G59" s="186">
        <f>IF($B59="","",IFERROR(BDP($B59&amp;" Action","GREENSHOE_FACILITY"),""))</f>
        <v/>
      </c>
      <c r="H59" s="186">
        <f>IF($B59="","",IFERROR(BDP($B59&amp;" Action","OFFERING_GREENSHOE_SHARES_EX"),""))</f>
        <v/>
      </c>
      <c r="I59" s="17">
        <f>Database!AE59</f>
        <v/>
      </c>
      <c r="J59" s="24">
        <f>IFERROR(BDP(Database!$A59&amp;" HK Equity","PE_RATIO"),"")</f>
        <v/>
      </c>
      <c r="K59" s="10">
        <f>IFERROR(BDP(Database!$A59&amp;" HK Equity","A/H_SHARE_CONVERSION"),"")</f>
        <v/>
      </c>
      <c r="L59" s="17">
        <f>IF(Database!BM59="","(none found)",Database!BM59)</f>
        <v/>
      </c>
      <c r="M59" s="19">
        <f>IFERROR(BDH(Database!$A59&amp;" HK Equity","CUR_MKT_CAP",Database!$H59,Database!$H59),"")</f>
        <v/>
      </c>
      <c r="N59" s="180">
        <f>Database!Q59</f>
        <v/>
      </c>
      <c r="O59" s="24">
        <f>IFERROR(BDH(Database!$A59&amp;" HK Equity","PE_RATIO",Database!$H59,Database!$H59),"")</f>
        <v/>
      </c>
      <c r="P59" s="184">
        <f>IF(Database!BG59="","(n/m or not derivable)",Database!BG59)</f>
        <v/>
      </c>
      <c r="Q59" s="24">
        <f>IF(Database!BM59="","",IFERROR(BDH(LEFT(Database!BM59,FIND(".",Database!BM59)-1)&amp;" CH Equity","PE_RATIO",Database!$H59,Database!$H59),""))</f>
        <v/>
      </c>
      <c r="R59" s="24">
        <f>IF(Database!BM59="","",IFERROR(BDH("HSAHP Index","PX_LAST",Database!$H59,Database!$H59),""))</f>
        <v/>
      </c>
      <c r="S59" s="24">
        <f>IFERROR(BDP(Database!$A59&amp;" HK Equity","PX_TO_SALES_RATIO"),"")</f>
        <v/>
      </c>
      <c r="T59" s="19">
        <f>IF(Database!BM59="","",IFERROR(BDP(LEFT(Database!BM59,FIND(".",Database!BM59)-1)&amp;" CH Equity","CUR_MKT_CAP"),""))</f>
        <v/>
      </c>
    </row>
    <row r="60">
      <c r="A60" s="17">
        <f>Database!A60&amp;"  "&amp;Database!B60</f>
        <v/>
      </c>
      <c r="B60" s="10">
        <f>IFERROR(INDEX(BDS(Database!$A60&amp;" HK Equity","EQUITY_OFFERINGS","array=t","endcol=1"),MATCH("IPO",BDS(Database!$A60&amp;" HK Equity","EQUITY_OFFERINGS","array=t","startcol=2","endcol=2"),0)),"")</f>
        <v/>
      </c>
      <c r="C60" s="186">
        <f>IF($B60="","",IFERROR(BDP($B60&amp;" Action","CP036"),""))</f>
        <v/>
      </c>
      <c r="D60" s="187">
        <f>Database!S60</f>
        <v/>
      </c>
      <c r="E60" s="186">
        <f>IF($B60="","",IFERROR(BDP($B60&amp;" Action","CP037"),""))</f>
        <v/>
      </c>
      <c r="F60" s="187">
        <f>Database!T60</f>
        <v/>
      </c>
      <c r="G60" s="186">
        <f>IF($B60="","",IFERROR(BDP($B60&amp;" Action","GREENSHOE_FACILITY"),""))</f>
        <v/>
      </c>
      <c r="H60" s="186">
        <f>IF($B60="","",IFERROR(BDP($B60&amp;" Action","OFFERING_GREENSHOE_SHARES_EX"),""))</f>
        <v/>
      </c>
      <c r="I60" s="17">
        <f>Database!AE60</f>
        <v/>
      </c>
      <c r="J60" s="24">
        <f>IFERROR(BDP(Database!$A60&amp;" HK Equity","PE_RATIO"),"")</f>
        <v/>
      </c>
      <c r="K60" s="10">
        <f>IFERROR(BDP(Database!$A60&amp;" HK Equity","A/H_SHARE_CONVERSION"),"")</f>
        <v/>
      </c>
      <c r="L60" s="17">
        <f>IF(Database!BM60="","(none found)",Database!BM60)</f>
        <v/>
      </c>
      <c r="M60" s="19">
        <f>IFERROR(BDH(Database!$A60&amp;" HK Equity","CUR_MKT_CAP",Database!$H60,Database!$H60),"")</f>
        <v/>
      </c>
      <c r="N60" s="180">
        <f>Database!Q60</f>
        <v/>
      </c>
      <c r="O60" s="24">
        <f>IFERROR(BDH(Database!$A60&amp;" HK Equity","PE_RATIO",Database!$H60,Database!$H60),"")</f>
        <v/>
      </c>
      <c r="P60" s="184">
        <f>IF(Database!BG60="","(n/m or not derivable)",Database!BG60)</f>
        <v/>
      </c>
      <c r="Q60" s="24">
        <f>IF(Database!BM60="","",IFERROR(BDH(LEFT(Database!BM60,FIND(".",Database!BM60)-1)&amp;" CH Equity","PE_RATIO",Database!$H60,Database!$H60),""))</f>
        <v/>
      </c>
      <c r="R60" s="24">
        <f>IF(Database!BM60="","",IFERROR(BDH("HSAHP Index","PX_LAST",Database!$H60,Database!$H60),""))</f>
        <v/>
      </c>
      <c r="S60" s="24">
        <f>IFERROR(BDP(Database!$A60&amp;" HK Equity","PX_TO_SALES_RATIO"),"")</f>
        <v/>
      </c>
      <c r="T60" s="19">
        <f>IF(Database!BM60="","",IFERROR(BDP(LEFT(Database!BM60,FIND(".",Database!BM60)-1)&amp;" CH Equity","CUR_MKT_CAP"),""))</f>
        <v/>
      </c>
    </row>
    <row r="61">
      <c r="A61" s="17">
        <f>Database!A61&amp;"  "&amp;Database!B61</f>
        <v/>
      </c>
      <c r="B61" s="10">
        <f>IFERROR(INDEX(BDS(Database!$A61&amp;" HK Equity","EQUITY_OFFERINGS","array=t","endcol=1"),MATCH("IPO",BDS(Database!$A61&amp;" HK Equity","EQUITY_OFFERINGS","array=t","startcol=2","endcol=2"),0)),"")</f>
        <v/>
      </c>
      <c r="C61" s="186">
        <f>IF($B61="","",IFERROR(BDP($B61&amp;" Action","CP036"),""))</f>
        <v/>
      </c>
      <c r="D61" s="187">
        <f>Database!S61</f>
        <v/>
      </c>
      <c r="E61" s="186">
        <f>IF($B61="","",IFERROR(BDP($B61&amp;" Action","CP037"),""))</f>
        <v/>
      </c>
      <c r="F61" s="187">
        <f>Database!T61</f>
        <v/>
      </c>
      <c r="G61" s="186">
        <f>IF($B61="","",IFERROR(BDP($B61&amp;" Action","GREENSHOE_FACILITY"),""))</f>
        <v/>
      </c>
      <c r="H61" s="186">
        <f>IF($B61="","",IFERROR(BDP($B61&amp;" Action","OFFERING_GREENSHOE_SHARES_EX"),""))</f>
        <v/>
      </c>
      <c r="I61" s="17">
        <f>Database!AE61</f>
        <v/>
      </c>
      <c r="J61" s="24">
        <f>IFERROR(BDP(Database!$A61&amp;" HK Equity","PE_RATIO"),"")</f>
        <v/>
      </c>
      <c r="K61" s="10">
        <f>IFERROR(BDP(Database!$A61&amp;" HK Equity","A/H_SHARE_CONVERSION"),"")</f>
        <v/>
      </c>
      <c r="L61" s="17">
        <f>IF(Database!BM61="","(none found)",Database!BM61)</f>
        <v/>
      </c>
      <c r="M61" s="19">
        <f>IFERROR(BDH(Database!$A61&amp;" HK Equity","CUR_MKT_CAP",Database!$H61,Database!$H61),"")</f>
        <v/>
      </c>
      <c r="N61" s="180">
        <f>Database!Q61</f>
        <v/>
      </c>
      <c r="O61" s="24">
        <f>IFERROR(BDH(Database!$A61&amp;" HK Equity","PE_RATIO",Database!$H61,Database!$H61),"")</f>
        <v/>
      </c>
      <c r="P61" s="184">
        <f>IF(Database!BG61="","(n/m or not derivable)",Database!BG61)</f>
        <v/>
      </c>
      <c r="Q61" s="24">
        <f>IF(Database!BM61="","",IFERROR(BDH(LEFT(Database!BM61,FIND(".",Database!BM61)-1)&amp;" CH Equity","PE_RATIO",Database!$H61,Database!$H61),""))</f>
        <v/>
      </c>
      <c r="R61" s="24">
        <f>IF(Database!BM61="","",IFERROR(BDH("HSAHP Index","PX_LAST",Database!$H61,Database!$H61),""))</f>
        <v/>
      </c>
      <c r="S61" s="24">
        <f>IFERROR(BDP(Database!$A61&amp;" HK Equity","PX_TO_SALES_RATIO"),"")</f>
        <v/>
      </c>
      <c r="T61" s="19">
        <f>IF(Database!BM61="","",IFERROR(BDP(LEFT(Database!BM61,FIND(".",Database!BM61)-1)&amp;" CH Equity","CUR_MKT_CAP"),""))</f>
        <v/>
      </c>
    </row>
    <row r="62">
      <c r="A62" s="17">
        <f>Database!A62&amp;"  "&amp;Database!B62</f>
        <v/>
      </c>
      <c r="B62" s="10">
        <f>IFERROR(INDEX(BDS(Database!$A62&amp;" HK Equity","EQUITY_OFFERINGS","array=t","endcol=1"),MATCH("IPO",BDS(Database!$A62&amp;" HK Equity","EQUITY_OFFERINGS","array=t","startcol=2","endcol=2"),0)),"")</f>
        <v/>
      </c>
      <c r="C62" s="186">
        <f>IF($B62="","",IFERROR(BDP($B62&amp;" Action","CP036"),""))</f>
        <v/>
      </c>
      <c r="D62" s="187">
        <f>Database!S62</f>
        <v/>
      </c>
      <c r="E62" s="186">
        <f>IF($B62="","",IFERROR(BDP($B62&amp;" Action","CP037"),""))</f>
        <v/>
      </c>
      <c r="F62" s="187">
        <f>Database!T62</f>
        <v/>
      </c>
      <c r="G62" s="186">
        <f>IF($B62="","",IFERROR(BDP($B62&amp;" Action","GREENSHOE_FACILITY"),""))</f>
        <v/>
      </c>
      <c r="H62" s="186">
        <f>IF($B62="","",IFERROR(BDP($B62&amp;" Action","OFFERING_GREENSHOE_SHARES_EX"),""))</f>
        <v/>
      </c>
      <c r="I62" s="17">
        <f>Database!AE62</f>
        <v/>
      </c>
      <c r="J62" s="24">
        <f>IFERROR(BDP(Database!$A62&amp;" HK Equity","PE_RATIO"),"")</f>
        <v/>
      </c>
      <c r="K62" s="10">
        <f>IFERROR(BDP(Database!$A62&amp;" HK Equity","A/H_SHARE_CONVERSION"),"")</f>
        <v/>
      </c>
      <c r="L62" s="17">
        <f>IF(Database!BM62="","(none found)",Database!BM62)</f>
        <v/>
      </c>
      <c r="M62" s="19">
        <f>IFERROR(BDH(Database!$A62&amp;" HK Equity","CUR_MKT_CAP",Database!$H62,Database!$H62),"")</f>
        <v/>
      </c>
      <c r="N62" s="180">
        <f>Database!Q62</f>
        <v/>
      </c>
      <c r="O62" s="24">
        <f>IFERROR(BDH(Database!$A62&amp;" HK Equity","PE_RATIO",Database!$H62,Database!$H62),"")</f>
        <v/>
      </c>
      <c r="P62" s="184">
        <f>IF(Database!BG62="","(n/m or not derivable)",Database!BG62)</f>
        <v/>
      </c>
      <c r="Q62" s="24">
        <f>IF(Database!BM62="","",IFERROR(BDH(LEFT(Database!BM62,FIND(".",Database!BM62)-1)&amp;" CH Equity","PE_RATIO",Database!$H62,Database!$H62),""))</f>
        <v/>
      </c>
      <c r="R62" s="24">
        <f>IF(Database!BM62="","",IFERROR(BDH("HSAHP Index","PX_LAST",Database!$H62,Database!$H62),""))</f>
        <v/>
      </c>
      <c r="S62" s="24">
        <f>IFERROR(BDP(Database!$A62&amp;" HK Equity","PX_TO_SALES_RATIO"),"")</f>
        <v/>
      </c>
      <c r="T62" s="19">
        <f>IF(Database!BM62="","",IFERROR(BDP(LEFT(Database!BM62,FIND(".",Database!BM62)-1)&amp;" CH Equity","CUR_MKT_CAP"),""))</f>
        <v/>
      </c>
    </row>
    <row r="63">
      <c r="A63" s="17">
        <f>Database!A63&amp;"  "&amp;Database!B63</f>
        <v/>
      </c>
      <c r="B63" s="10">
        <f>IFERROR(INDEX(BDS(Database!$A63&amp;" HK Equity","EQUITY_OFFERINGS","array=t","endcol=1"),MATCH("IPO",BDS(Database!$A63&amp;" HK Equity","EQUITY_OFFERINGS","array=t","startcol=2","endcol=2"),0)),"")</f>
        <v/>
      </c>
      <c r="C63" s="186">
        <f>IF($B63="","",IFERROR(BDP($B63&amp;" Action","CP036"),""))</f>
        <v/>
      </c>
      <c r="D63" s="187">
        <f>Database!S63</f>
        <v/>
      </c>
      <c r="E63" s="186">
        <f>IF($B63="","",IFERROR(BDP($B63&amp;" Action","CP037"),""))</f>
        <v/>
      </c>
      <c r="F63" s="187">
        <f>Database!T63</f>
        <v/>
      </c>
      <c r="G63" s="186">
        <f>IF($B63="","",IFERROR(BDP($B63&amp;" Action","GREENSHOE_FACILITY"),""))</f>
        <v/>
      </c>
      <c r="H63" s="186">
        <f>IF($B63="","",IFERROR(BDP($B63&amp;" Action","OFFERING_GREENSHOE_SHARES_EX"),""))</f>
        <v/>
      </c>
      <c r="I63" s="17">
        <f>Database!AE63</f>
        <v/>
      </c>
      <c r="J63" s="24">
        <f>IFERROR(BDP(Database!$A63&amp;" HK Equity","PE_RATIO"),"")</f>
        <v/>
      </c>
      <c r="K63" s="10">
        <f>IFERROR(BDP(Database!$A63&amp;" HK Equity","A/H_SHARE_CONVERSION"),"")</f>
        <v/>
      </c>
      <c r="L63" s="17">
        <f>IF(Database!BM63="","(none found)",Database!BM63)</f>
        <v/>
      </c>
      <c r="M63" s="19">
        <f>IFERROR(BDH(Database!$A63&amp;" HK Equity","CUR_MKT_CAP",Database!$H63,Database!$H63),"")</f>
        <v/>
      </c>
      <c r="N63" s="180">
        <f>Database!Q63</f>
        <v/>
      </c>
      <c r="O63" s="24">
        <f>IFERROR(BDH(Database!$A63&amp;" HK Equity","PE_RATIO",Database!$H63,Database!$H63),"")</f>
        <v/>
      </c>
      <c r="P63" s="184">
        <f>IF(Database!BG63="","(n/m or not derivable)",Database!BG63)</f>
        <v/>
      </c>
      <c r="Q63" s="24">
        <f>IF(Database!BM63="","",IFERROR(BDH(LEFT(Database!BM63,FIND(".",Database!BM63)-1)&amp;" CH Equity","PE_RATIO",Database!$H63,Database!$H63),""))</f>
        <v/>
      </c>
      <c r="R63" s="24">
        <f>IF(Database!BM63="","",IFERROR(BDH("HSAHP Index","PX_LAST",Database!$H63,Database!$H63),""))</f>
        <v/>
      </c>
      <c r="S63" s="24">
        <f>IFERROR(BDP(Database!$A63&amp;" HK Equity","PX_TO_SALES_RATIO"),"")</f>
        <v/>
      </c>
      <c r="T63" s="19">
        <f>IF(Database!BM63="","",IFERROR(BDP(LEFT(Database!BM63,FIND(".",Database!BM63)-1)&amp;" CH Equity","CUR_MKT_CAP"),""))</f>
        <v/>
      </c>
    </row>
    <row r="64">
      <c r="A64" s="17">
        <f>Database!A64&amp;"  "&amp;Database!B64</f>
        <v/>
      </c>
      <c r="B64" s="10">
        <f>IFERROR(INDEX(BDS(Database!$A64&amp;" HK Equity","EQUITY_OFFERINGS","array=t","endcol=1"),MATCH("IPO",BDS(Database!$A64&amp;" HK Equity","EQUITY_OFFERINGS","array=t","startcol=2","endcol=2"),0)),"")</f>
        <v/>
      </c>
      <c r="C64" s="186">
        <f>IF($B64="","",IFERROR(BDP($B64&amp;" Action","CP036"),""))</f>
        <v/>
      </c>
      <c r="D64" s="187">
        <f>Database!S64</f>
        <v/>
      </c>
      <c r="E64" s="186">
        <f>IF($B64="","",IFERROR(BDP($B64&amp;" Action","CP037"),""))</f>
        <v/>
      </c>
      <c r="F64" s="187">
        <f>Database!T64</f>
        <v/>
      </c>
      <c r="G64" s="186">
        <f>IF($B64="","",IFERROR(BDP($B64&amp;" Action","GREENSHOE_FACILITY"),""))</f>
        <v/>
      </c>
      <c r="H64" s="186">
        <f>IF($B64="","",IFERROR(BDP($B64&amp;" Action","OFFERING_GREENSHOE_SHARES_EX"),""))</f>
        <v/>
      </c>
      <c r="I64" s="17">
        <f>Database!AE64</f>
        <v/>
      </c>
      <c r="J64" s="24">
        <f>IFERROR(BDP(Database!$A64&amp;" HK Equity","PE_RATIO"),"")</f>
        <v/>
      </c>
      <c r="K64" s="10">
        <f>IFERROR(BDP(Database!$A64&amp;" HK Equity","A/H_SHARE_CONVERSION"),"")</f>
        <v/>
      </c>
      <c r="L64" s="17">
        <f>IF(Database!BM64="","(none found)",Database!BM64)</f>
        <v/>
      </c>
      <c r="M64" s="19">
        <f>IFERROR(BDH(Database!$A64&amp;" HK Equity","CUR_MKT_CAP",Database!$H64,Database!$H64),"")</f>
        <v/>
      </c>
      <c r="N64" s="180">
        <f>Database!Q64</f>
        <v/>
      </c>
      <c r="O64" s="24">
        <f>IFERROR(BDH(Database!$A64&amp;" HK Equity","PE_RATIO",Database!$H64,Database!$H64),"")</f>
        <v/>
      </c>
      <c r="P64" s="184">
        <f>IF(Database!BG64="","(n/m or not derivable)",Database!BG64)</f>
        <v/>
      </c>
      <c r="Q64" s="24">
        <f>IF(Database!BM64="","",IFERROR(BDH(LEFT(Database!BM64,FIND(".",Database!BM64)-1)&amp;" CH Equity","PE_RATIO",Database!$H64,Database!$H64),""))</f>
        <v/>
      </c>
      <c r="R64" s="24">
        <f>IF(Database!BM64="","",IFERROR(BDH("HSAHP Index","PX_LAST",Database!$H64,Database!$H64),""))</f>
        <v/>
      </c>
      <c r="S64" s="24">
        <f>IFERROR(BDP(Database!$A64&amp;" HK Equity","PX_TO_SALES_RATIO"),"")</f>
        <v/>
      </c>
      <c r="T64" s="19">
        <f>IF(Database!BM64="","",IFERROR(BDP(LEFT(Database!BM64,FIND(".",Database!BM64)-1)&amp;" CH Equity","CUR_MKT_CAP"),""))</f>
        <v/>
      </c>
    </row>
    <row r="65">
      <c r="A65" s="17">
        <f>Database!A65&amp;"  "&amp;Database!B65</f>
        <v/>
      </c>
      <c r="B65" s="10">
        <f>IFERROR(INDEX(BDS(Database!$A65&amp;" HK Equity","EQUITY_OFFERINGS","array=t","endcol=1"),MATCH("IPO",BDS(Database!$A65&amp;" HK Equity","EQUITY_OFFERINGS","array=t","startcol=2","endcol=2"),0)),"")</f>
        <v/>
      </c>
      <c r="C65" s="186">
        <f>IF($B65="","",IFERROR(BDP($B65&amp;" Action","CP036"),""))</f>
        <v/>
      </c>
      <c r="D65" s="187">
        <f>Database!S65</f>
        <v/>
      </c>
      <c r="E65" s="186">
        <f>IF($B65="","",IFERROR(BDP($B65&amp;" Action","CP037"),""))</f>
        <v/>
      </c>
      <c r="F65" s="187">
        <f>Database!T65</f>
        <v/>
      </c>
      <c r="G65" s="186">
        <f>IF($B65="","",IFERROR(BDP($B65&amp;" Action","GREENSHOE_FACILITY"),""))</f>
        <v/>
      </c>
      <c r="H65" s="186">
        <f>IF($B65="","",IFERROR(BDP($B65&amp;" Action","OFFERING_GREENSHOE_SHARES_EX"),""))</f>
        <v/>
      </c>
      <c r="I65" s="17">
        <f>Database!AE65</f>
        <v/>
      </c>
      <c r="J65" s="24">
        <f>IFERROR(BDP(Database!$A65&amp;" HK Equity","PE_RATIO"),"")</f>
        <v/>
      </c>
      <c r="K65" s="10">
        <f>IFERROR(BDP(Database!$A65&amp;" HK Equity","A/H_SHARE_CONVERSION"),"")</f>
        <v/>
      </c>
      <c r="L65" s="17">
        <f>IF(Database!BM65="","(none found)",Database!BM65)</f>
        <v/>
      </c>
      <c r="M65" s="19">
        <f>IFERROR(BDH(Database!$A65&amp;" HK Equity","CUR_MKT_CAP",Database!$H65,Database!$H65),"")</f>
        <v/>
      </c>
      <c r="N65" s="180">
        <f>Database!Q65</f>
        <v/>
      </c>
      <c r="O65" s="24">
        <f>IFERROR(BDH(Database!$A65&amp;" HK Equity","PE_RATIO",Database!$H65,Database!$H65),"")</f>
        <v/>
      </c>
      <c r="P65" s="184">
        <f>IF(Database!BG65="","(n/m or not derivable)",Database!BG65)</f>
        <v/>
      </c>
      <c r="Q65" s="24">
        <f>IF(Database!BM65="","",IFERROR(BDH(LEFT(Database!BM65,FIND(".",Database!BM65)-1)&amp;" CH Equity","PE_RATIO",Database!$H65,Database!$H65),""))</f>
        <v/>
      </c>
      <c r="R65" s="24">
        <f>IF(Database!BM65="","",IFERROR(BDH("HSAHP Index","PX_LAST",Database!$H65,Database!$H65),""))</f>
        <v/>
      </c>
      <c r="S65" s="24">
        <f>IFERROR(BDP(Database!$A65&amp;" HK Equity","PX_TO_SALES_RATIO"),"")</f>
        <v/>
      </c>
      <c r="T65" s="19">
        <f>IF(Database!BM65="","",IFERROR(BDP(LEFT(Database!BM65,FIND(".",Database!BM65)-1)&amp;" CH Equity","CUR_MKT_CAP"),""))</f>
        <v/>
      </c>
    </row>
    <row r="66">
      <c r="A66" s="17">
        <f>Database!A66&amp;"  "&amp;Database!B66</f>
        <v/>
      </c>
      <c r="B66" s="10">
        <f>IFERROR(INDEX(BDS(Database!$A66&amp;" HK Equity","EQUITY_OFFERINGS","array=t","endcol=1"),MATCH("IPO",BDS(Database!$A66&amp;" HK Equity","EQUITY_OFFERINGS","array=t","startcol=2","endcol=2"),0)),"")</f>
        <v/>
      </c>
      <c r="C66" s="186">
        <f>IF($B66="","",IFERROR(BDP($B66&amp;" Action","CP036"),""))</f>
        <v/>
      </c>
      <c r="D66" s="187">
        <f>Database!S66</f>
        <v/>
      </c>
      <c r="E66" s="186">
        <f>IF($B66="","",IFERROR(BDP($B66&amp;" Action","CP037"),""))</f>
        <v/>
      </c>
      <c r="F66" s="187">
        <f>Database!T66</f>
        <v/>
      </c>
      <c r="G66" s="186">
        <f>IF($B66="","",IFERROR(BDP($B66&amp;" Action","GREENSHOE_FACILITY"),""))</f>
        <v/>
      </c>
      <c r="H66" s="186">
        <f>IF($B66="","",IFERROR(BDP($B66&amp;" Action","OFFERING_GREENSHOE_SHARES_EX"),""))</f>
        <v/>
      </c>
      <c r="I66" s="17">
        <f>Database!AE66</f>
        <v/>
      </c>
      <c r="J66" s="24">
        <f>IFERROR(BDP(Database!$A66&amp;" HK Equity","PE_RATIO"),"")</f>
        <v/>
      </c>
      <c r="K66" s="10">
        <f>IFERROR(BDP(Database!$A66&amp;" HK Equity","A/H_SHARE_CONVERSION"),"")</f>
        <v/>
      </c>
      <c r="L66" s="17">
        <f>IF(Database!BM66="","(none found)",Database!BM66)</f>
        <v/>
      </c>
      <c r="M66" s="19">
        <f>IFERROR(BDH(Database!$A66&amp;" HK Equity","CUR_MKT_CAP",Database!$H66,Database!$H66),"")</f>
        <v/>
      </c>
      <c r="N66" s="180">
        <f>Database!Q66</f>
        <v/>
      </c>
      <c r="O66" s="24">
        <f>IFERROR(BDH(Database!$A66&amp;" HK Equity","PE_RATIO",Database!$H66,Database!$H66),"")</f>
        <v/>
      </c>
      <c r="P66" s="184">
        <f>IF(Database!BG66="","(n/m or not derivable)",Database!BG66)</f>
        <v/>
      </c>
      <c r="Q66" s="24">
        <f>IF(Database!BM66="","",IFERROR(BDH(LEFT(Database!BM66,FIND(".",Database!BM66)-1)&amp;" CH Equity","PE_RATIO",Database!$H66,Database!$H66),""))</f>
        <v/>
      </c>
      <c r="R66" s="24">
        <f>IF(Database!BM66="","",IFERROR(BDH("HSAHP Index","PX_LAST",Database!$H66,Database!$H66),""))</f>
        <v/>
      </c>
      <c r="S66" s="24">
        <f>IFERROR(BDP(Database!$A66&amp;" HK Equity","PX_TO_SALES_RATIO"),"")</f>
        <v/>
      </c>
      <c r="T66" s="19">
        <f>IF(Database!BM66="","",IFERROR(BDP(LEFT(Database!BM66,FIND(".",Database!BM66)-1)&amp;" CH Equity","CUR_MKT_CAP"),""))</f>
        <v/>
      </c>
    </row>
    <row r="67">
      <c r="A67" s="17">
        <f>Database!A67&amp;"  "&amp;Database!B67</f>
        <v/>
      </c>
      <c r="B67" s="10">
        <f>IFERROR(INDEX(BDS(Database!$A67&amp;" HK Equity","EQUITY_OFFERINGS","array=t","endcol=1"),MATCH("IPO",BDS(Database!$A67&amp;" HK Equity","EQUITY_OFFERINGS","array=t","startcol=2","endcol=2"),0)),"")</f>
        <v/>
      </c>
      <c r="C67" s="186">
        <f>IF($B67="","",IFERROR(BDP($B67&amp;" Action","CP036"),""))</f>
        <v/>
      </c>
      <c r="D67" s="187">
        <f>Database!S67</f>
        <v/>
      </c>
      <c r="E67" s="186">
        <f>IF($B67="","",IFERROR(BDP($B67&amp;" Action","CP037"),""))</f>
        <v/>
      </c>
      <c r="F67" s="187">
        <f>Database!T67</f>
        <v/>
      </c>
      <c r="G67" s="186">
        <f>IF($B67="","",IFERROR(BDP($B67&amp;" Action","GREENSHOE_FACILITY"),""))</f>
        <v/>
      </c>
      <c r="H67" s="186">
        <f>IF($B67="","",IFERROR(BDP($B67&amp;" Action","OFFERING_GREENSHOE_SHARES_EX"),""))</f>
        <v/>
      </c>
      <c r="I67" s="17">
        <f>Database!AE67</f>
        <v/>
      </c>
      <c r="J67" s="24">
        <f>IFERROR(BDP(Database!$A67&amp;" HK Equity","PE_RATIO"),"")</f>
        <v/>
      </c>
      <c r="K67" s="10">
        <f>IFERROR(BDP(Database!$A67&amp;" HK Equity","A/H_SHARE_CONVERSION"),"")</f>
        <v/>
      </c>
      <c r="L67" s="17">
        <f>IF(Database!BM67="","(none found)",Database!BM67)</f>
        <v/>
      </c>
      <c r="M67" s="19">
        <f>IFERROR(BDH(Database!$A67&amp;" HK Equity","CUR_MKT_CAP",Database!$H67,Database!$H67),"")</f>
        <v/>
      </c>
      <c r="N67" s="180">
        <f>Database!Q67</f>
        <v/>
      </c>
      <c r="O67" s="24">
        <f>IFERROR(BDH(Database!$A67&amp;" HK Equity","PE_RATIO",Database!$H67,Database!$H67),"")</f>
        <v/>
      </c>
      <c r="P67" s="184">
        <f>IF(Database!BG67="","(n/m or not derivable)",Database!BG67)</f>
        <v/>
      </c>
      <c r="Q67" s="24">
        <f>IF(Database!BM67="","",IFERROR(BDH(LEFT(Database!BM67,FIND(".",Database!BM67)-1)&amp;" CH Equity","PE_RATIO",Database!$H67,Database!$H67),""))</f>
        <v/>
      </c>
      <c r="R67" s="24">
        <f>IF(Database!BM67="","",IFERROR(BDH("HSAHP Index","PX_LAST",Database!$H67,Database!$H67),""))</f>
        <v/>
      </c>
      <c r="S67" s="24">
        <f>IFERROR(BDP(Database!$A67&amp;" HK Equity","PX_TO_SALES_RATIO"),"")</f>
        <v/>
      </c>
      <c r="T67" s="19">
        <f>IF(Database!BM67="","",IFERROR(BDP(LEFT(Database!BM67,FIND(".",Database!BM67)-1)&amp;" CH Equity","CUR_MKT_CAP"),""))</f>
        <v/>
      </c>
    </row>
    <row r="68">
      <c r="A68" s="17">
        <f>Database!A68&amp;"  "&amp;Database!B68</f>
        <v/>
      </c>
      <c r="B68" s="10">
        <f>IFERROR(INDEX(BDS(Database!$A68&amp;" HK Equity","EQUITY_OFFERINGS","array=t","endcol=1"),MATCH("IPO",BDS(Database!$A68&amp;" HK Equity","EQUITY_OFFERINGS","array=t","startcol=2","endcol=2"),0)),"")</f>
        <v/>
      </c>
      <c r="C68" s="186">
        <f>IF($B68="","",IFERROR(BDP($B68&amp;" Action","CP036"),""))</f>
        <v/>
      </c>
      <c r="D68" s="187">
        <f>Database!S68</f>
        <v/>
      </c>
      <c r="E68" s="186">
        <f>IF($B68="","",IFERROR(BDP($B68&amp;" Action","CP037"),""))</f>
        <v/>
      </c>
      <c r="F68" s="187">
        <f>Database!T68</f>
        <v/>
      </c>
      <c r="G68" s="186">
        <f>IF($B68="","",IFERROR(BDP($B68&amp;" Action","GREENSHOE_FACILITY"),""))</f>
        <v/>
      </c>
      <c r="H68" s="186">
        <f>IF($B68="","",IFERROR(BDP($B68&amp;" Action","OFFERING_GREENSHOE_SHARES_EX"),""))</f>
        <v/>
      </c>
      <c r="I68" s="17">
        <f>Database!AE68</f>
        <v/>
      </c>
      <c r="J68" s="24">
        <f>IFERROR(BDP(Database!$A68&amp;" HK Equity","PE_RATIO"),"")</f>
        <v/>
      </c>
      <c r="K68" s="10">
        <f>IFERROR(BDP(Database!$A68&amp;" HK Equity","A/H_SHARE_CONVERSION"),"")</f>
        <v/>
      </c>
      <c r="L68" s="17">
        <f>IF(Database!BM68="","(none found)",Database!BM68)</f>
        <v/>
      </c>
      <c r="M68" s="19">
        <f>IFERROR(BDH(Database!$A68&amp;" HK Equity","CUR_MKT_CAP",Database!$H68,Database!$H68),"")</f>
        <v/>
      </c>
      <c r="N68" s="180">
        <f>Database!Q68</f>
        <v/>
      </c>
      <c r="O68" s="24">
        <f>IFERROR(BDH(Database!$A68&amp;" HK Equity","PE_RATIO",Database!$H68,Database!$H68),"")</f>
        <v/>
      </c>
      <c r="P68" s="184">
        <f>IF(Database!BG68="","(n/m or not derivable)",Database!BG68)</f>
        <v/>
      </c>
      <c r="Q68" s="24">
        <f>IF(Database!BM68="","",IFERROR(BDH(LEFT(Database!BM68,FIND(".",Database!BM68)-1)&amp;" CH Equity","PE_RATIO",Database!$H68,Database!$H68),""))</f>
        <v/>
      </c>
      <c r="R68" s="24">
        <f>IF(Database!BM68="","",IFERROR(BDH("HSAHP Index","PX_LAST",Database!$H68,Database!$H68),""))</f>
        <v/>
      </c>
      <c r="S68" s="24">
        <f>IFERROR(BDP(Database!$A68&amp;" HK Equity","PX_TO_SALES_RATIO"),"")</f>
        <v/>
      </c>
      <c r="T68" s="19">
        <f>IF(Database!BM68="","",IFERROR(BDP(LEFT(Database!BM68,FIND(".",Database!BM68)-1)&amp;" CH Equity","CUR_MKT_CAP"),""))</f>
        <v/>
      </c>
    </row>
    <row r="69">
      <c r="A69" s="17">
        <f>Database!A69&amp;"  "&amp;Database!B69</f>
        <v/>
      </c>
      <c r="B69" s="10">
        <f>IFERROR(INDEX(BDS(Database!$A69&amp;" HK Equity","EQUITY_OFFERINGS","array=t","endcol=1"),MATCH("IPO",BDS(Database!$A69&amp;" HK Equity","EQUITY_OFFERINGS","array=t","startcol=2","endcol=2"),0)),"")</f>
        <v/>
      </c>
      <c r="C69" s="186">
        <f>IF($B69="","",IFERROR(BDP($B69&amp;" Action","CP036"),""))</f>
        <v/>
      </c>
      <c r="D69" s="187">
        <f>Database!S69</f>
        <v/>
      </c>
      <c r="E69" s="186">
        <f>IF($B69="","",IFERROR(BDP($B69&amp;" Action","CP037"),""))</f>
        <v/>
      </c>
      <c r="F69" s="187">
        <f>Database!T69</f>
        <v/>
      </c>
      <c r="G69" s="186">
        <f>IF($B69="","",IFERROR(BDP($B69&amp;" Action","GREENSHOE_FACILITY"),""))</f>
        <v/>
      </c>
      <c r="H69" s="186">
        <f>IF($B69="","",IFERROR(BDP($B69&amp;" Action","OFFERING_GREENSHOE_SHARES_EX"),""))</f>
        <v/>
      </c>
      <c r="I69" s="17">
        <f>Database!AE69</f>
        <v/>
      </c>
      <c r="J69" s="24">
        <f>IFERROR(BDP(Database!$A69&amp;" HK Equity","PE_RATIO"),"")</f>
        <v/>
      </c>
      <c r="K69" s="10">
        <f>IFERROR(BDP(Database!$A69&amp;" HK Equity","A/H_SHARE_CONVERSION"),"")</f>
        <v/>
      </c>
      <c r="L69" s="17">
        <f>IF(Database!BM69="","(none found)",Database!BM69)</f>
        <v/>
      </c>
      <c r="M69" s="19">
        <f>IFERROR(BDH(Database!$A69&amp;" HK Equity","CUR_MKT_CAP",Database!$H69,Database!$H69),"")</f>
        <v/>
      </c>
      <c r="N69" s="180">
        <f>Database!Q69</f>
        <v/>
      </c>
      <c r="O69" s="24">
        <f>IFERROR(BDH(Database!$A69&amp;" HK Equity","PE_RATIO",Database!$H69,Database!$H69),"")</f>
        <v/>
      </c>
      <c r="P69" s="184">
        <f>IF(Database!BG69="","(n/m or not derivable)",Database!BG69)</f>
        <v/>
      </c>
      <c r="Q69" s="24">
        <f>IF(Database!BM69="","",IFERROR(BDH(LEFT(Database!BM69,FIND(".",Database!BM69)-1)&amp;" CH Equity","PE_RATIO",Database!$H69,Database!$H69),""))</f>
        <v/>
      </c>
      <c r="R69" s="24">
        <f>IF(Database!BM69="","",IFERROR(BDH("HSAHP Index","PX_LAST",Database!$H69,Database!$H69),""))</f>
        <v/>
      </c>
      <c r="S69" s="24">
        <f>IFERROR(BDP(Database!$A69&amp;" HK Equity","PX_TO_SALES_RATIO"),"")</f>
        <v/>
      </c>
      <c r="T69" s="19">
        <f>IF(Database!BM69="","",IFERROR(BDP(LEFT(Database!BM69,FIND(".",Database!BM69)-1)&amp;" CH Equity","CUR_MKT_CAP"),""))</f>
        <v/>
      </c>
    </row>
    <row r="70">
      <c r="A70" s="17">
        <f>Database!A70&amp;"  "&amp;Database!B70</f>
        <v/>
      </c>
      <c r="B70" s="10">
        <f>IFERROR(INDEX(BDS(Database!$A70&amp;" HK Equity","EQUITY_OFFERINGS","array=t","endcol=1"),MATCH("IPO",BDS(Database!$A70&amp;" HK Equity","EQUITY_OFFERINGS","array=t","startcol=2","endcol=2"),0)),"")</f>
        <v/>
      </c>
      <c r="C70" s="186">
        <f>IF($B70="","",IFERROR(BDP($B70&amp;" Action","CP036"),""))</f>
        <v/>
      </c>
      <c r="D70" s="187">
        <f>Database!S70</f>
        <v/>
      </c>
      <c r="E70" s="186">
        <f>IF($B70="","",IFERROR(BDP($B70&amp;" Action","CP037"),""))</f>
        <v/>
      </c>
      <c r="F70" s="187">
        <f>Database!T70</f>
        <v/>
      </c>
      <c r="G70" s="186">
        <f>IF($B70="","",IFERROR(BDP($B70&amp;" Action","GREENSHOE_FACILITY"),""))</f>
        <v/>
      </c>
      <c r="H70" s="186">
        <f>IF($B70="","",IFERROR(BDP($B70&amp;" Action","OFFERING_GREENSHOE_SHARES_EX"),""))</f>
        <v/>
      </c>
      <c r="I70" s="17">
        <f>Database!AE70</f>
        <v/>
      </c>
      <c r="J70" s="24">
        <f>IFERROR(BDP(Database!$A70&amp;" HK Equity","PE_RATIO"),"")</f>
        <v/>
      </c>
      <c r="K70" s="10">
        <f>IFERROR(BDP(Database!$A70&amp;" HK Equity","A/H_SHARE_CONVERSION"),"")</f>
        <v/>
      </c>
      <c r="L70" s="17">
        <f>IF(Database!BM70="","(none found)",Database!BM70)</f>
        <v/>
      </c>
      <c r="M70" s="19">
        <f>IFERROR(BDH(Database!$A70&amp;" HK Equity","CUR_MKT_CAP",Database!$H70,Database!$H70),"")</f>
        <v/>
      </c>
      <c r="N70" s="180">
        <f>Database!Q70</f>
        <v/>
      </c>
      <c r="O70" s="24">
        <f>IFERROR(BDH(Database!$A70&amp;" HK Equity","PE_RATIO",Database!$H70,Database!$H70),"")</f>
        <v/>
      </c>
      <c r="P70" s="184">
        <f>IF(Database!BG70="","(n/m or not derivable)",Database!BG70)</f>
        <v/>
      </c>
      <c r="Q70" s="24">
        <f>IF(Database!BM70="","",IFERROR(BDH(LEFT(Database!BM70,FIND(".",Database!BM70)-1)&amp;" CH Equity","PE_RATIO",Database!$H70,Database!$H70),""))</f>
        <v/>
      </c>
      <c r="R70" s="24">
        <f>IF(Database!BM70="","",IFERROR(BDH("HSAHP Index","PX_LAST",Database!$H70,Database!$H70),""))</f>
        <v/>
      </c>
      <c r="S70" s="24">
        <f>IFERROR(BDP(Database!$A70&amp;" HK Equity","PX_TO_SALES_RATIO"),"")</f>
        <v/>
      </c>
      <c r="T70" s="19">
        <f>IF(Database!BM70="","",IFERROR(BDP(LEFT(Database!BM70,FIND(".",Database!BM70)-1)&amp;" CH Equity","CUR_MKT_CAP"),""))</f>
        <v/>
      </c>
    </row>
    <row r="71">
      <c r="A71" s="17">
        <f>Database!A71&amp;"  "&amp;Database!B71</f>
        <v/>
      </c>
      <c r="B71" s="10">
        <f>IFERROR(INDEX(BDS(Database!$A71&amp;" HK Equity","EQUITY_OFFERINGS","array=t","endcol=1"),MATCH("IPO",BDS(Database!$A71&amp;" HK Equity","EQUITY_OFFERINGS","array=t","startcol=2","endcol=2"),0)),"")</f>
        <v/>
      </c>
      <c r="C71" s="186">
        <f>IF($B71="","",IFERROR(BDP($B71&amp;" Action","CP036"),""))</f>
        <v/>
      </c>
      <c r="D71" s="187">
        <f>Database!S71</f>
        <v/>
      </c>
      <c r="E71" s="186">
        <f>IF($B71="","",IFERROR(BDP($B71&amp;" Action","CP037"),""))</f>
        <v/>
      </c>
      <c r="F71" s="187">
        <f>Database!T71</f>
        <v/>
      </c>
      <c r="G71" s="186">
        <f>IF($B71="","",IFERROR(BDP($B71&amp;" Action","GREENSHOE_FACILITY"),""))</f>
        <v/>
      </c>
      <c r="H71" s="186">
        <f>IF($B71="","",IFERROR(BDP($B71&amp;" Action","OFFERING_GREENSHOE_SHARES_EX"),""))</f>
        <v/>
      </c>
      <c r="I71" s="17">
        <f>Database!AE71</f>
        <v/>
      </c>
      <c r="J71" s="24">
        <f>IFERROR(BDP(Database!$A71&amp;" HK Equity","PE_RATIO"),"")</f>
        <v/>
      </c>
      <c r="K71" s="10">
        <f>IFERROR(BDP(Database!$A71&amp;" HK Equity","A/H_SHARE_CONVERSION"),"")</f>
        <v/>
      </c>
      <c r="L71" s="17">
        <f>IF(Database!BM71="","(none found)",Database!BM71)</f>
        <v/>
      </c>
      <c r="M71" s="19">
        <f>IFERROR(BDH(Database!$A71&amp;" HK Equity","CUR_MKT_CAP",Database!$H71,Database!$H71),"")</f>
        <v/>
      </c>
      <c r="N71" s="180">
        <f>Database!Q71</f>
        <v/>
      </c>
      <c r="O71" s="24">
        <f>IFERROR(BDH(Database!$A71&amp;" HK Equity","PE_RATIO",Database!$H71,Database!$H71),"")</f>
        <v/>
      </c>
      <c r="P71" s="184">
        <f>IF(Database!BG71="","(n/m or not derivable)",Database!BG71)</f>
        <v/>
      </c>
      <c r="Q71" s="24">
        <f>IF(Database!BM71="","",IFERROR(BDH(LEFT(Database!BM71,FIND(".",Database!BM71)-1)&amp;" CH Equity","PE_RATIO",Database!$H71,Database!$H71),""))</f>
        <v/>
      </c>
      <c r="R71" s="24">
        <f>IF(Database!BM71="","",IFERROR(BDH("HSAHP Index","PX_LAST",Database!$H71,Database!$H71),""))</f>
        <v/>
      </c>
      <c r="S71" s="24">
        <f>IFERROR(BDP(Database!$A71&amp;" HK Equity","PX_TO_SALES_RATIO"),"")</f>
        <v/>
      </c>
      <c r="T71" s="19">
        <f>IF(Database!BM71="","",IFERROR(BDP(LEFT(Database!BM71,FIND(".",Database!BM71)-1)&amp;" CH Equity","CUR_MKT_CAP"),""))</f>
        <v/>
      </c>
    </row>
    <row r="72">
      <c r="A72" s="17">
        <f>Database!A72&amp;"  "&amp;Database!B72</f>
        <v/>
      </c>
      <c r="B72" s="10">
        <f>IFERROR(INDEX(BDS(Database!$A72&amp;" HK Equity","EQUITY_OFFERINGS","array=t","endcol=1"),MATCH("IPO",BDS(Database!$A72&amp;" HK Equity","EQUITY_OFFERINGS","array=t","startcol=2","endcol=2"),0)),"")</f>
        <v/>
      </c>
      <c r="C72" s="186">
        <f>IF($B72="","",IFERROR(BDP($B72&amp;" Action","CP036"),""))</f>
        <v/>
      </c>
      <c r="D72" s="187">
        <f>Database!S72</f>
        <v/>
      </c>
      <c r="E72" s="186">
        <f>IF($B72="","",IFERROR(BDP($B72&amp;" Action","CP037"),""))</f>
        <v/>
      </c>
      <c r="F72" s="187">
        <f>Database!T72</f>
        <v/>
      </c>
      <c r="G72" s="186">
        <f>IF($B72="","",IFERROR(BDP($B72&amp;" Action","GREENSHOE_FACILITY"),""))</f>
        <v/>
      </c>
      <c r="H72" s="186">
        <f>IF($B72="","",IFERROR(BDP($B72&amp;" Action","OFFERING_GREENSHOE_SHARES_EX"),""))</f>
        <v/>
      </c>
      <c r="I72" s="17">
        <f>Database!AE72</f>
        <v/>
      </c>
      <c r="J72" s="24">
        <f>IFERROR(BDP(Database!$A72&amp;" HK Equity","PE_RATIO"),"")</f>
        <v/>
      </c>
      <c r="K72" s="10">
        <f>IFERROR(BDP(Database!$A72&amp;" HK Equity","A/H_SHARE_CONVERSION"),"")</f>
        <v/>
      </c>
      <c r="L72" s="17">
        <f>IF(Database!BM72="","(none found)",Database!BM72)</f>
        <v/>
      </c>
      <c r="M72" s="19">
        <f>IFERROR(BDH(Database!$A72&amp;" HK Equity","CUR_MKT_CAP",Database!$H72,Database!$H72),"")</f>
        <v/>
      </c>
      <c r="N72" s="180">
        <f>Database!Q72</f>
        <v/>
      </c>
      <c r="O72" s="24">
        <f>IFERROR(BDH(Database!$A72&amp;" HK Equity","PE_RATIO",Database!$H72,Database!$H72),"")</f>
        <v/>
      </c>
      <c r="P72" s="184">
        <f>IF(Database!BG72="","(n/m or not derivable)",Database!BG72)</f>
        <v/>
      </c>
      <c r="Q72" s="24">
        <f>IF(Database!BM72="","",IFERROR(BDH(LEFT(Database!BM72,FIND(".",Database!BM72)-1)&amp;" CH Equity","PE_RATIO",Database!$H72,Database!$H72),""))</f>
        <v/>
      </c>
      <c r="R72" s="24">
        <f>IF(Database!BM72="","",IFERROR(BDH("HSAHP Index","PX_LAST",Database!$H72,Database!$H72),""))</f>
        <v/>
      </c>
      <c r="S72" s="24">
        <f>IFERROR(BDP(Database!$A72&amp;" HK Equity","PX_TO_SALES_RATIO"),"")</f>
        <v/>
      </c>
      <c r="T72" s="19">
        <f>IF(Database!BM72="","",IFERROR(BDP(LEFT(Database!BM72,FIND(".",Database!BM72)-1)&amp;" CH Equity","CUR_MKT_CAP"),""))</f>
        <v/>
      </c>
    </row>
    <row r="73">
      <c r="A73" s="17">
        <f>Database!A73&amp;"  "&amp;Database!B73</f>
        <v/>
      </c>
      <c r="B73" s="10">
        <f>IFERROR(INDEX(BDS(Database!$A73&amp;" HK Equity","EQUITY_OFFERINGS","array=t","endcol=1"),MATCH("IPO",BDS(Database!$A73&amp;" HK Equity","EQUITY_OFFERINGS","array=t","startcol=2","endcol=2"),0)),"")</f>
        <v/>
      </c>
      <c r="C73" s="186">
        <f>IF($B73="","",IFERROR(BDP($B73&amp;" Action","CP036"),""))</f>
        <v/>
      </c>
      <c r="D73" s="187">
        <f>Database!S73</f>
        <v/>
      </c>
      <c r="E73" s="186">
        <f>IF($B73="","",IFERROR(BDP($B73&amp;" Action","CP037"),""))</f>
        <v/>
      </c>
      <c r="F73" s="187">
        <f>Database!T73</f>
        <v/>
      </c>
      <c r="G73" s="186">
        <f>IF($B73="","",IFERROR(BDP($B73&amp;" Action","GREENSHOE_FACILITY"),""))</f>
        <v/>
      </c>
      <c r="H73" s="186">
        <f>IF($B73="","",IFERROR(BDP($B73&amp;" Action","OFFERING_GREENSHOE_SHARES_EX"),""))</f>
        <v/>
      </c>
      <c r="I73" s="17">
        <f>Database!AE73</f>
        <v/>
      </c>
      <c r="J73" s="24">
        <f>IFERROR(BDP(Database!$A73&amp;" HK Equity","PE_RATIO"),"")</f>
        <v/>
      </c>
      <c r="K73" s="10">
        <f>IFERROR(BDP(Database!$A73&amp;" HK Equity","A/H_SHARE_CONVERSION"),"")</f>
        <v/>
      </c>
      <c r="L73" s="17">
        <f>IF(Database!BM73="","(none found)",Database!BM73)</f>
        <v/>
      </c>
      <c r="M73" s="19">
        <f>IFERROR(BDH(Database!$A73&amp;" HK Equity","CUR_MKT_CAP",Database!$H73,Database!$H73),"")</f>
        <v/>
      </c>
      <c r="N73" s="180">
        <f>Database!Q73</f>
        <v/>
      </c>
      <c r="O73" s="24">
        <f>IFERROR(BDH(Database!$A73&amp;" HK Equity","PE_RATIO",Database!$H73,Database!$H73),"")</f>
        <v/>
      </c>
      <c r="P73" s="184">
        <f>IF(Database!BG73="","(n/m or not derivable)",Database!BG73)</f>
        <v/>
      </c>
      <c r="Q73" s="24">
        <f>IF(Database!BM73="","",IFERROR(BDH(LEFT(Database!BM73,FIND(".",Database!BM73)-1)&amp;" CH Equity","PE_RATIO",Database!$H73,Database!$H73),""))</f>
        <v/>
      </c>
      <c r="R73" s="24">
        <f>IF(Database!BM73="","",IFERROR(BDH("HSAHP Index","PX_LAST",Database!$H73,Database!$H73),""))</f>
        <v/>
      </c>
      <c r="S73" s="24">
        <f>IFERROR(BDP(Database!$A73&amp;" HK Equity","PX_TO_SALES_RATIO"),"")</f>
        <v/>
      </c>
      <c r="T73" s="19">
        <f>IF(Database!BM73="","",IFERROR(BDP(LEFT(Database!BM73,FIND(".",Database!BM73)-1)&amp;" CH Equity","CUR_MKT_CAP"),""))</f>
        <v/>
      </c>
    </row>
    <row r="74">
      <c r="A74" s="17">
        <f>Database!A74&amp;"  "&amp;Database!B74</f>
        <v/>
      </c>
      <c r="B74" s="10">
        <f>IFERROR(INDEX(BDS(Database!$A74&amp;" HK Equity","EQUITY_OFFERINGS","array=t","endcol=1"),MATCH("IPO",BDS(Database!$A74&amp;" HK Equity","EQUITY_OFFERINGS","array=t","startcol=2","endcol=2"),0)),"")</f>
        <v/>
      </c>
      <c r="C74" s="186">
        <f>IF($B74="","",IFERROR(BDP($B74&amp;" Action","CP036"),""))</f>
        <v/>
      </c>
      <c r="D74" s="187">
        <f>Database!S74</f>
        <v/>
      </c>
      <c r="E74" s="186">
        <f>IF($B74="","",IFERROR(BDP($B74&amp;" Action","CP037"),""))</f>
        <v/>
      </c>
      <c r="F74" s="187">
        <f>Database!T74</f>
        <v/>
      </c>
      <c r="G74" s="186">
        <f>IF($B74="","",IFERROR(BDP($B74&amp;" Action","GREENSHOE_FACILITY"),""))</f>
        <v/>
      </c>
      <c r="H74" s="186">
        <f>IF($B74="","",IFERROR(BDP($B74&amp;" Action","OFFERING_GREENSHOE_SHARES_EX"),""))</f>
        <v/>
      </c>
      <c r="I74" s="17">
        <f>Database!AE74</f>
        <v/>
      </c>
      <c r="J74" s="24">
        <f>IFERROR(BDP(Database!$A74&amp;" HK Equity","PE_RATIO"),"")</f>
        <v/>
      </c>
      <c r="K74" s="10">
        <f>IFERROR(BDP(Database!$A74&amp;" HK Equity","A/H_SHARE_CONVERSION"),"")</f>
        <v/>
      </c>
      <c r="L74" s="17">
        <f>IF(Database!BM74="","(none found)",Database!BM74)</f>
        <v/>
      </c>
      <c r="M74" s="19">
        <f>IFERROR(BDH(Database!$A74&amp;" HK Equity","CUR_MKT_CAP",Database!$H74,Database!$H74),"")</f>
        <v/>
      </c>
      <c r="N74" s="180">
        <f>Database!Q74</f>
        <v/>
      </c>
      <c r="O74" s="24">
        <f>IFERROR(BDH(Database!$A74&amp;" HK Equity","PE_RATIO",Database!$H74,Database!$H74),"")</f>
        <v/>
      </c>
      <c r="P74" s="184">
        <f>IF(Database!BG74="","(n/m or not derivable)",Database!BG74)</f>
        <v/>
      </c>
      <c r="Q74" s="24">
        <f>IF(Database!BM74="","",IFERROR(BDH(LEFT(Database!BM74,FIND(".",Database!BM74)-1)&amp;" CH Equity","PE_RATIO",Database!$H74,Database!$H74),""))</f>
        <v/>
      </c>
      <c r="R74" s="24">
        <f>IF(Database!BM74="","",IFERROR(BDH("HSAHP Index","PX_LAST",Database!$H74,Database!$H74),""))</f>
        <v/>
      </c>
      <c r="S74" s="24">
        <f>IFERROR(BDP(Database!$A74&amp;" HK Equity","PX_TO_SALES_RATIO"),"")</f>
        <v/>
      </c>
      <c r="T74" s="19">
        <f>IF(Database!BM74="","",IFERROR(BDP(LEFT(Database!BM74,FIND(".",Database!BM74)-1)&amp;" CH Equity","CUR_MKT_CAP"),""))</f>
        <v/>
      </c>
    </row>
    <row r="75">
      <c r="A75" s="17">
        <f>Database!A75&amp;"  "&amp;Database!B75</f>
        <v/>
      </c>
      <c r="B75" s="10">
        <f>IFERROR(INDEX(BDS(Database!$A75&amp;" HK Equity","EQUITY_OFFERINGS","array=t","endcol=1"),MATCH("IPO",BDS(Database!$A75&amp;" HK Equity","EQUITY_OFFERINGS","array=t","startcol=2","endcol=2"),0)),"")</f>
        <v/>
      </c>
      <c r="C75" s="186">
        <f>IF($B75="","",IFERROR(BDP($B75&amp;" Action","CP036"),""))</f>
        <v/>
      </c>
      <c r="D75" s="187">
        <f>Database!S75</f>
        <v/>
      </c>
      <c r="E75" s="186">
        <f>IF($B75="","",IFERROR(BDP($B75&amp;" Action","CP037"),""))</f>
        <v/>
      </c>
      <c r="F75" s="187">
        <f>Database!T75</f>
        <v/>
      </c>
      <c r="G75" s="186">
        <f>IF($B75="","",IFERROR(BDP($B75&amp;" Action","GREENSHOE_FACILITY"),""))</f>
        <v/>
      </c>
      <c r="H75" s="186">
        <f>IF($B75="","",IFERROR(BDP($B75&amp;" Action","OFFERING_GREENSHOE_SHARES_EX"),""))</f>
        <v/>
      </c>
      <c r="I75" s="17">
        <f>Database!AE75</f>
        <v/>
      </c>
      <c r="J75" s="24">
        <f>IFERROR(BDP(Database!$A75&amp;" HK Equity","PE_RATIO"),"")</f>
        <v/>
      </c>
      <c r="K75" s="10">
        <f>IFERROR(BDP(Database!$A75&amp;" HK Equity","A/H_SHARE_CONVERSION"),"")</f>
        <v/>
      </c>
      <c r="L75" s="17">
        <f>IF(Database!BM75="","(none found)",Database!BM75)</f>
        <v/>
      </c>
      <c r="M75" s="19">
        <f>IFERROR(BDH(Database!$A75&amp;" HK Equity","CUR_MKT_CAP",Database!$H75,Database!$H75),"")</f>
        <v/>
      </c>
      <c r="N75" s="180">
        <f>Database!Q75</f>
        <v/>
      </c>
      <c r="O75" s="24">
        <f>IFERROR(BDH(Database!$A75&amp;" HK Equity","PE_RATIO",Database!$H75,Database!$H75),"")</f>
        <v/>
      </c>
      <c r="P75" s="184">
        <f>IF(Database!BG75="","(n/m or not derivable)",Database!BG75)</f>
        <v/>
      </c>
      <c r="Q75" s="24">
        <f>IF(Database!BM75="","",IFERROR(BDH(LEFT(Database!BM75,FIND(".",Database!BM75)-1)&amp;" CH Equity","PE_RATIO",Database!$H75,Database!$H75),""))</f>
        <v/>
      </c>
      <c r="R75" s="24">
        <f>IF(Database!BM75="","",IFERROR(BDH("HSAHP Index","PX_LAST",Database!$H75,Database!$H75),""))</f>
        <v/>
      </c>
      <c r="S75" s="24">
        <f>IFERROR(BDP(Database!$A75&amp;" HK Equity","PX_TO_SALES_RATIO"),"")</f>
        <v/>
      </c>
      <c r="T75" s="19">
        <f>IF(Database!BM75="","",IFERROR(BDP(LEFT(Database!BM75,FIND(".",Database!BM75)-1)&amp;" CH Equity","CUR_MKT_CAP"),""))</f>
        <v/>
      </c>
    </row>
    <row r="76">
      <c r="A76" s="17">
        <f>Database!A76&amp;"  "&amp;Database!B76</f>
        <v/>
      </c>
      <c r="B76" s="10">
        <f>IFERROR(INDEX(BDS(Database!$A76&amp;" HK Equity","EQUITY_OFFERINGS","array=t","endcol=1"),MATCH("IPO",BDS(Database!$A76&amp;" HK Equity","EQUITY_OFFERINGS","array=t","startcol=2","endcol=2"),0)),"")</f>
        <v/>
      </c>
      <c r="C76" s="186">
        <f>IF($B76="","",IFERROR(BDP($B76&amp;" Action","CP036"),""))</f>
        <v/>
      </c>
      <c r="D76" s="187">
        <f>Database!S76</f>
        <v/>
      </c>
      <c r="E76" s="186">
        <f>IF($B76="","",IFERROR(BDP($B76&amp;" Action","CP037"),""))</f>
        <v/>
      </c>
      <c r="F76" s="187">
        <f>Database!T76</f>
        <v/>
      </c>
      <c r="G76" s="186">
        <f>IF($B76="","",IFERROR(BDP($B76&amp;" Action","GREENSHOE_FACILITY"),""))</f>
        <v/>
      </c>
      <c r="H76" s="186">
        <f>IF($B76="","",IFERROR(BDP($B76&amp;" Action","OFFERING_GREENSHOE_SHARES_EX"),""))</f>
        <v/>
      </c>
      <c r="I76" s="17">
        <f>Database!AE76</f>
        <v/>
      </c>
      <c r="J76" s="24">
        <f>IFERROR(BDP(Database!$A76&amp;" HK Equity","PE_RATIO"),"")</f>
        <v/>
      </c>
      <c r="K76" s="10">
        <f>IFERROR(BDP(Database!$A76&amp;" HK Equity","A/H_SHARE_CONVERSION"),"")</f>
        <v/>
      </c>
      <c r="L76" s="17">
        <f>IF(Database!BM76="","(none found)",Database!BM76)</f>
        <v/>
      </c>
      <c r="M76" s="19">
        <f>IFERROR(BDH(Database!$A76&amp;" HK Equity","CUR_MKT_CAP",Database!$H76,Database!$H76),"")</f>
        <v/>
      </c>
      <c r="N76" s="180">
        <f>Database!Q76</f>
        <v/>
      </c>
      <c r="O76" s="24">
        <f>IFERROR(BDH(Database!$A76&amp;" HK Equity","PE_RATIO",Database!$H76,Database!$H76),"")</f>
        <v/>
      </c>
      <c r="P76" s="184">
        <f>IF(Database!BG76="","(n/m or not derivable)",Database!BG76)</f>
        <v/>
      </c>
      <c r="Q76" s="24">
        <f>IF(Database!BM76="","",IFERROR(BDH(LEFT(Database!BM76,FIND(".",Database!BM76)-1)&amp;" CH Equity","PE_RATIO",Database!$H76,Database!$H76),""))</f>
        <v/>
      </c>
      <c r="R76" s="24">
        <f>IF(Database!BM76="","",IFERROR(BDH("HSAHP Index","PX_LAST",Database!$H76,Database!$H76),""))</f>
        <v/>
      </c>
      <c r="S76" s="24">
        <f>IFERROR(BDP(Database!$A76&amp;" HK Equity","PX_TO_SALES_RATIO"),"")</f>
        <v/>
      </c>
      <c r="T76" s="19">
        <f>IF(Database!BM76="","",IFERROR(BDP(LEFT(Database!BM76,FIND(".",Database!BM76)-1)&amp;" CH Equity","CUR_MKT_CAP"),""))</f>
        <v/>
      </c>
    </row>
    <row r="77">
      <c r="A77" s="17">
        <f>Database!A77&amp;"  "&amp;Database!B77</f>
        <v/>
      </c>
      <c r="B77" s="10">
        <f>IFERROR(INDEX(BDS(Database!$A77&amp;" HK Equity","EQUITY_OFFERINGS","array=t","endcol=1"),MATCH("IPO",BDS(Database!$A77&amp;" HK Equity","EQUITY_OFFERINGS","array=t","startcol=2","endcol=2"),0)),"")</f>
        <v/>
      </c>
      <c r="C77" s="186">
        <f>IF($B77="","",IFERROR(BDP($B77&amp;" Action","CP036"),""))</f>
        <v/>
      </c>
      <c r="D77" s="187">
        <f>Database!S77</f>
        <v/>
      </c>
      <c r="E77" s="186">
        <f>IF($B77="","",IFERROR(BDP($B77&amp;" Action","CP037"),""))</f>
        <v/>
      </c>
      <c r="F77" s="187">
        <f>Database!T77</f>
        <v/>
      </c>
      <c r="G77" s="186">
        <f>IF($B77="","",IFERROR(BDP($B77&amp;" Action","GREENSHOE_FACILITY"),""))</f>
        <v/>
      </c>
      <c r="H77" s="186">
        <f>IF($B77="","",IFERROR(BDP($B77&amp;" Action","OFFERING_GREENSHOE_SHARES_EX"),""))</f>
        <v/>
      </c>
      <c r="I77" s="17">
        <f>Database!AE77</f>
        <v/>
      </c>
      <c r="J77" s="24">
        <f>IFERROR(BDP(Database!$A77&amp;" HK Equity","PE_RATIO"),"")</f>
        <v/>
      </c>
      <c r="K77" s="10">
        <f>IFERROR(BDP(Database!$A77&amp;" HK Equity","A/H_SHARE_CONVERSION"),"")</f>
        <v/>
      </c>
      <c r="L77" s="17">
        <f>IF(Database!BM77="","(none found)",Database!BM77)</f>
        <v/>
      </c>
      <c r="M77" s="19">
        <f>IFERROR(BDH(Database!$A77&amp;" HK Equity","CUR_MKT_CAP",Database!$H77,Database!$H77),"")</f>
        <v/>
      </c>
      <c r="N77" s="180">
        <f>Database!Q77</f>
        <v/>
      </c>
      <c r="O77" s="24">
        <f>IFERROR(BDH(Database!$A77&amp;" HK Equity","PE_RATIO",Database!$H77,Database!$H77),"")</f>
        <v/>
      </c>
      <c r="P77" s="184">
        <f>IF(Database!BG77="","(n/m or not derivable)",Database!BG77)</f>
        <v/>
      </c>
      <c r="Q77" s="24">
        <f>IF(Database!BM77="","",IFERROR(BDH(LEFT(Database!BM77,FIND(".",Database!BM77)-1)&amp;" CH Equity","PE_RATIO",Database!$H77,Database!$H77),""))</f>
        <v/>
      </c>
      <c r="R77" s="24">
        <f>IF(Database!BM77="","",IFERROR(BDH("HSAHP Index","PX_LAST",Database!$H77,Database!$H77),""))</f>
        <v/>
      </c>
      <c r="S77" s="24">
        <f>IFERROR(BDP(Database!$A77&amp;" HK Equity","PX_TO_SALES_RATIO"),"")</f>
        <v/>
      </c>
      <c r="T77" s="19">
        <f>IF(Database!BM77="","",IFERROR(BDP(LEFT(Database!BM77,FIND(".",Database!BM77)-1)&amp;" CH Equity","CUR_MKT_CAP"),""))</f>
        <v/>
      </c>
    </row>
    <row r="78">
      <c r="A78" s="17">
        <f>Database!A78&amp;"  "&amp;Database!B78</f>
        <v/>
      </c>
      <c r="B78" s="10">
        <f>IFERROR(INDEX(BDS(Database!$A78&amp;" HK Equity","EQUITY_OFFERINGS","array=t","endcol=1"),MATCH("IPO",BDS(Database!$A78&amp;" HK Equity","EQUITY_OFFERINGS","array=t","startcol=2","endcol=2"),0)),"")</f>
        <v/>
      </c>
      <c r="C78" s="186">
        <f>IF($B78="","",IFERROR(BDP($B78&amp;" Action","CP036"),""))</f>
        <v/>
      </c>
      <c r="D78" s="187">
        <f>Database!S78</f>
        <v/>
      </c>
      <c r="E78" s="186">
        <f>IF($B78="","",IFERROR(BDP($B78&amp;" Action","CP037"),""))</f>
        <v/>
      </c>
      <c r="F78" s="187">
        <f>Database!T78</f>
        <v/>
      </c>
      <c r="G78" s="186">
        <f>IF($B78="","",IFERROR(BDP($B78&amp;" Action","GREENSHOE_FACILITY"),""))</f>
        <v/>
      </c>
      <c r="H78" s="186">
        <f>IF($B78="","",IFERROR(BDP($B78&amp;" Action","OFFERING_GREENSHOE_SHARES_EX"),""))</f>
        <v/>
      </c>
      <c r="I78" s="17">
        <f>Database!AE78</f>
        <v/>
      </c>
      <c r="J78" s="24">
        <f>IFERROR(BDP(Database!$A78&amp;" HK Equity","PE_RATIO"),"")</f>
        <v/>
      </c>
      <c r="K78" s="10">
        <f>IFERROR(BDP(Database!$A78&amp;" HK Equity","A/H_SHARE_CONVERSION"),"")</f>
        <v/>
      </c>
      <c r="L78" s="17">
        <f>IF(Database!BM78="","(none found)",Database!BM78)</f>
        <v/>
      </c>
      <c r="M78" s="19">
        <f>IFERROR(BDH(Database!$A78&amp;" HK Equity","CUR_MKT_CAP",Database!$H78,Database!$H78),"")</f>
        <v/>
      </c>
      <c r="N78" s="180">
        <f>Database!Q78</f>
        <v/>
      </c>
      <c r="O78" s="24">
        <f>IFERROR(BDH(Database!$A78&amp;" HK Equity","PE_RATIO",Database!$H78,Database!$H78),"")</f>
        <v/>
      </c>
      <c r="P78" s="184">
        <f>IF(Database!BG78="","(n/m or not derivable)",Database!BG78)</f>
        <v/>
      </c>
      <c r="Q78" s="24">
        <f>IF(Database!BM78="","",IFERROR(BDH(LEFT(Database!BM78,FIND(".",Database!BM78)-1)&amp;" CH Equity","PE_RATIO",Database!$H78,Database!$H78),""))</f>
        <v/>
      </c>
      <c r="R78" s="24">
        <f>IF(Database!BM78="","",IFERROR(BDH("HSAHP Index","PX_LAST",Database!$H78,Database!$H78),""))</f>
        <v/>
      </c>
      <c r="S78" s="24">
        <f>IFERROR(BDP(Database!$A78&amp;" HK Equity","PX_TO_SALES_RATIO"),"")</f>
        <v/>
      </c>
      <c r="T78" s="19">
        <f>IF(Database!BM78="","",IFERROR(BDP(LEFT(Database!BM78,FIND(".",Database!BM78)-1)&amp;" CH Equity","CUR_MKT_CAP"),""))</f>
        <v/>
      </c>
    </row>
    <row r="79">
      <c r="A79" s="17">
        <f>Database!A79&amp;"  "&amp;Database!B79</f>
        <v/>
      </c>
      <c r="B79" s="10">
        <f>IFERROR(INDEX(BDS(Database!$A79&amp;" HK Equity","EQUITY_OFFERINGS","array=t","endcol=1"),MATCH("IPO",BDS(Database!$A79&amp;" HK Equity","EQUITY_OFFERINGS","array=t","startcol=2","endcol=2"),0)),"")</f>
        <v/>
      </c>
      <c r="C79" s="186">
        <f>IF($B79="","",IFERROR(BDP($B79&amp;" Action","CP036"),""))</f>
        <v/>
      </c>
      <c r="D79" s="187">
        <f>Database!S79</f>
        <v/>
      </c>
      <c r="E79" s="186">
        <f>IF($B79="","",IFERROR(BDP($B79&amp;" Action","CP037"),""))</f>
        <v/>
      </c>
      <c r="F79" s="187">
        <f>Database!T79</f>
        <v/>
      </c>
      <c r="G79" s="186">
        <f>IF($B79="","",IFERROR(BDP($B79&amp;" Action","GREENSHOE_FACILITY"),""))</f>
        <v/>
      </c>
      <c r="H79" s="186">
        <f>IF($B79="","",IFERROR(BDP($B79&amp;" Action","OFFERING_GREENSHOE_SHARES_EX"),""))</f>
        <v/>
      </c>
      <c r="I79" s="17">
        <f>Database!AE79</f>
        <v/>
      </c>
      <c r="J79" s="24">
        <f>IFERROR(BDP(Database!$A79&amp;" HK Equity","PE_RATIO"),"")</f>
        <v/>
      </c>
      <c r="K79" s="10">
        <f>IFERROR(BDP(Database!$A79&amp;" HK Equity","A/H_SHARE_CONVERSION"),"")</f>
        <v/>
      </c>
      <c r="L79" s="17">
        <f>IF(Database!BM79="","(none found)",Database!BM79)</f>
        <v/>
      </c>
      <c r="M79" s="19">
        <f>IFERROR(BDH(Database!$A79&amp;" HK Equity","CUR_MKT_CAP",Database!$H79,Database!$H79),"")</f>
        <v/>
      </c>
      <c r="N79" s="180">
        <f>Database!Q79</f>
        <v/>
      </c>
      <c r="O79" s="24">
        <f>IFERROR(BDH(Database!$A79&amp;" HK Equity","PE_RATIO",Database!$H79,Database!$H79),"")</f>
        <v/>
      </c>
      <c r="P79" s="184">
        <f>IF(Database!BG79="","(n/m or not derivable)",Database!BG79)</f>
        <v/>
      </c>
      <c r="Q79" s="24">
        <f>IF(Database!BM79="","",IFERROR(BDH(LEFT(Database!BM79,FIND(".",Database!BM79)-1)&amp;" CH Equity","PE_RATIO",Database!$H79,Database!$H79),""))</f>
        <v/>
      </c>
      <c r="R79" s="24">
        <f>IF(Database!BM79="","",IFERROR(BDH("HSAHP Index","PX_LAST",Database!$H79,Database!$H79),""))</f>
        <v/>
      </c>
      <c r="S79" s="24">
        <f>IFERROR(BDP(Database!$A79&amp;" HK Equity","PX_TO_SALES_RATIO"),"")</f>
        <v/>
      </c>
      <c r="T79" s="19">
        <f>IF(Database!BM79="","",IFERROR(BDP(LEFT(Database!BM79,FIND(".",Database!BM79)-1)&amp;" CH Equity","CUR_MKT_CAP"),""))</f>
        <v/>
      </c>
    </row>
    <row r="80">
      <c r="A80" s="17">
        <f>Database!A80&amp;"  "&amp;Database!B80</f>
        <v/>
      </c>
      <c r="B80" s="10">
        <f>IFERROR(INDEX(BDS(Database!$A80&amp;" HK Equity","EQUITY_OFFERINGS","array=t","endcol=1"),MATCH("IPO",BDS(Database!$A80&amp;" HK Equity","EQUITY_OFFERINGS","array=t","startcol=2","endcol=2"),0)),"")</f>
        <v/>
      </c>
      <c r="C80" s="186">
        <f>IF($B80="","",IFERROR(BDP($B80&amp;" Action","CP036"),""))</f>
        <v/>
      </c>
      <c r="D80" s="187">
        <f>Database!S80</f>
        <v/>
      </c>
      <c r="E80" s="186">
        <f>IF($B80="","",IFERROR(BDP($B80&amp;" Action","CP037"),""))</f>
        <v/>
      </c>
      <c r="F80" s="187">
        <f>Database!T80</f>
        <v/>
      </c>
      <c r="G80" s="186">
        <f>IF($B80="","",IFERROR(BDP($B80&amp;" Action","GREENSHOE_FACILITY"),""))</f>
        <v/>
      </c>
      <c r="H80" s="186">
        <f>IF($B80="","",IFERROR(BDP($B80&amp;" Action","OFFERING_GREENSHOE_SHARES_EX"),""))</f>
        <v/>
      </c>
      <c r="I80" s="17">
        <f>Database!AE80</f>
        <v/>
      </c>
      <c r="J80" s="24">
        <f>IFERROR(BDP(Database!$A80&amp;" HK Equity","PE_RATIO"),"")</f>
        <v/>
      </c>
      <c r="K80" s="10">
        <f>IFERROR(BDP(Database!$A80&amp;" HK Equity","A/H_SHARE_CONVERSION"),"")</f>
        <v/>
      </c>
      <c r="L80" s="17">
        <f>IF(Database!BM80="","(none found)",Database!BM80)</f>
        <v/>
      </c>
      <c r="M80" s="19">
        <f>IFERROR(BDH(Database!$A80&amp;" HK Equity","CUR_MKT_CAP",Database!$H80,Database!$H80),"")</f>
        <v/>
      </c>
      <c r="N80" s="180">
        <f>Database!Q80</f>
        <v/>
      </c>
      <c r="O80" s="24">
        <f>IFERROR(BDH(Database!$A80&amp;" HK Equity","PE_RATIO",Database!$H80,Database!$H80),"")</f>
        <v/>
      </c>
      <c r="P80" s="184">
        <f>IF(Database!BG80="","(n/m or not derivable)",Database!BG80)</f>
        <v/>
      </c>
      <c r="Q80" s="24">
        <f>IF(Database!BM80="","",IFERROR(BDH(LEFT(Database!BM80,FIND(".",Database!BM80)-1)&amp;" CH Equity","PE_RATIO",Database!$H80,Database!$H80),""))</f>
        <v/>
      </c>
      <c r="R80" s="24">
        <f>IF(Database!BM80="","",IFERROR(BDH("HSAHP Index","PX_LAST",Database!$H80,Database!$H80),""))</f>
        <v/>
      </c>
      <c r="S80" s="24">
        <f>IFERROR(BDP(Database!$A80&amp;" HK Equity","PX_TO_SALES_RATIO"),"")</f>
        <v/>
      </c>
      <c r="T80" s="19">
        <f>IF(Database!BM80="","",IFERROR(BDP(LEFT(Database!BM80,FIND(".",Database!BM80)-1)&amp;" CH Equity","CUR_MKT_CAP"),""))</f>
        <v/>
      </c>
    </row>
    <row r="81">
      <c r="A81" s="17">
        <f>Database!A81&amp;"  "&amp;Database!B81</f>
        <v/>
      </c>
      <c r="B81" s="10">
        <f>IFERROR(INDEX(BDS(Database!$A81&amp;" HK Equity","EQUITY_OFFERINGS","array=t","endcol=1"),MATCH("IPO",BDS(Database!$A81&amp;" HK Equity","EQUITY_OFFERINGS","array=t","startcol=2","endcol=2"),0)),"")</f>
        <v/>
      </c>
      <c r="C81" s="186">
        <f>IF($B81="","",IFERROR(BDP($B81&amp;" Action","CP036"),""))</f>
        <v/>
      </c>
      <c r="D81" s="187">
        <f>Database!S81</f>
        <v/>
      </c>
      <c r="E81" s="186">
        <f>IF($B81="","",IFERROR(BDP($B81&amp;" Action","CP037"),""))</f>
        <v/>
      </c>
      <c r="F81" s="187">
        <f>Database!T81</f>
        <v/>
      </c>
      <c r="G81" s="186">
        <f>IF($B81="","",IFERROR(BDP($B81&amp;" Action","GREENSHOE_FACILITY"),""))</f>
        <v/>
      </c>
      <c r="H81" s="186">
        <f>IF($B81="","",IFERROR(BDP($B81&amp;" Action","OFFERING_GREENSHOE_SHARES_EX"),""))</f>
        <v/>
      </c>
      <c r="I81" s="17">
        <f>Database!AE81</f>
        <v/>
      </c>
      <c r="J81" s="24">
        <f>IFERROR(BDP(Database!$A81&amp;" HK Equity","PE_RATIO"),"")</f>
        <v/>
      </c>
      <c r="K81" s="10">
        <f>IFERROR(BDP(Database!$A81&amp;" HK Equity","A/H_SHARE_CONVERSION"),"")</f>
        <v/>
      </c>
      <c r="L81" s="17">
        <f>IF(Database!BM81="","(none found)",Database!BM81)</f>
        <v/>
      </c>
      <c r="M81" s="19">
        <f>IFERROR(BDH(Database!$A81&amp;" HK Equity","CUR_MKT_CAP",Database!$H81,Database!$H81),"")</f>
        <v/>
      </c>
      <c r="N81" s="180">
        <f>Database!Q81</f>
        <v/>
      </c>
      <c r="O81" s="24">
        <f>IFERROR(BDH(Database!$A81&amp;" HK Equity","PE_RATIO",Database!$H81,Database!$H81),"")</f>
        <v/>
      </c>
      <c r="P81" s="184">
        <f>IF(Database!BG81="","(n/m or not derivable)",Database!BG81)</f>
        <v/>
      </c>
      <c r="Q81" s="24">
        <f>IF(Database!BM81="","",IFERROR(BDH(LEFT(Database!BM81,FIND(".",Database!BM81)-1)&amp;" CH Equity","PE_RATIO",Database!$H81,Database!$H81),""))</f>
        <v/>
      </c>
      <c r="R81" s="24">
        <f>IF(Database!BM81="","",IFERROR(BDH("HSAHP Index","PX_LAST",Database!$H81,Database!$H81),""))</f>
        <v/>
      </c>
      <c r="S81" s="24">
        <f>IFERROR(BDP(Database!$A81&amp;" HK Equity","PX_TO_SALES_RATIO"),"")</f>
        <v/>
      </c>
      <c r="T81" s="19">
        <f>IF(Database!BM81="","",IFERROR(BDP(LEFT(Database!BM81,FIND(".",Database!BM81)-1)&amp;" CH Equity","CUR_MKT_CAP"),""))</f>
        <v/>
      </c>
    </row>
    <row r="82">
      <c r="A82" s="17">
        <f>Database!A82&amp;"  "&amp;Database!B82</f>
        <v/>
      </c>
      <c r="B82" s="10">
        <f>IFERROR(INDEX(BDS(Database!$A82&amp;" HK Equity","EQUITY_OFFERINGS","array=t","endcol=1"),MATCH("IPO",BDS(Database!$A82&amp;" HK Equity","EQUITY_OFFERINGS","array=t","startcol=2","endcol=2"),0)),"")</f>
        <v/>
      </c>
      <c r="C82" s="186">
        <f>IF($B82="","",IFERROR(BDP($B82&amp;" Action","CP036"),""))</f>
        <v/>
      </c>
      <c r="D82" s="187">
        <f>Database!S82</f>
        <v/>
      </c>
      <c r="E82" s="186">
        <f>IF($B82="","",IFERROR(BDP($B82&amp;" Action","CP037"),""))</f>
        <v/>
      </c>
      <c r="F82" s="187">
        <f>Database!T82</f>
        <v/>
      </c>
      <c r="G82" s="186">
        <f>IF($B82="","",IFERROR(BDP($B82&amp;" Action","GREENSHOE_FACILITY"),""))</f>
        <v/>
      </c>
      <c r="H82" s="186">
        <f>IF($B82="","",IFERROR(BDP($B82&amp;" Action","OFFERING_GREENSHOE_SHARES_EX"),""))</f>
        <v/>
      </c>
      <c r="I82" s="17">
        <f>Database!AE82</f>
        <v/>
      </c>
      <c r="J82" s="24">
        <f>IFERROR(BDP(Database!$A82&amp;" HK Equity","PE_RATIO"),"")</f>
        <v/>
      </c>
      <c r="K82" s="10">
        <f>IFERROR(BDP(Database!$A82&amp;" HK Equity","A/H_SHARE_CONVERSION"),"")</f>
        <v/>
      </c>
      <c r="L82" s="17">
        <f>IF(Database!BM82="","(none found)",Database!BM82)</f>
        <v/>
      </c>
      <c r="M82" s="19">
        <f>IFERROR(BDH(Database!$A82&amp;" HK Equity","CUR_MKT_CAP",Database!$H82,Database!$H82),"")</f>
        <v/>
      </c>
      <c r="N82" s="180">
        <f>Database!Q82</f>
        <v/>
      </c>
      <c r="O82" s="24">
        <f>IFERROR(BDH(Database!$A82&amp;" HK Equity","PE_RATIO",Database!$H82,Database!$H82),"")</f>
        <v/>
      </c>
      <c r="P82" s="184">
        <f>IF(Database!BG82="","(n/m or not derivable)",Database!BG82)</f>
        <v/>
      </c>
      <c r="Q82" s="24">
        <f>IF(Database!BM82="","",IFERROR(BDH(LEFT(Database!BM82,FIND(".",Database!BM82)-1)&amp;" CH Equity","PE_RATIO",Database!$H82,Database!$H82),""))</f>
        <v/>
      </c>
      <c r="R82" s="24">
        <f>IF(Database!BM82="","",IFERROR(BDH("HSAHP Index","PX_LAST",Database!$H82,Database!$H82),""))</f>
        <v/>
      </c>
      <c r="S82" s="24">
        <f>IFERROR(BDP(Database!$A82&amp;" HK Equity","PX_TO_SALES_RATIO"),"")</f>
        <v/>
      </c>
      <c r="T82" s="19">
        <f>IF(Database!BM82="","",IFERROR(BDP(LEFT(Database!BM82,FIND(".",Database!BM82)-1)&amp;" CH Equity","CUR_MKT_CAP"),""))</f>
        <v/>
      </c>
    </row>
    <row r="83">
      <c r="A83" s="17">
        <f>Database!A83&amp;"  "&amp;Database!B83</f>
        <v/>
      </c>
      <c r="B83" s="10">
        <f>IFERROR(INDEX(BDS(Database!$A83&amp;" HK Equity","EQUITY_OFFERINGS","array=t","endcol=1"),MATCH("IPO",BDS(Database!$A83&amp;" HK Equity","EQUITY_OFFERINGS","array=t","startcol=2","endcol=2"),0)),"")</f>
        <v/>
      </c>
      <c r="C83" s="186">
        <f>IF($B83="","",IFERROR(BDP($B83&amp;" Action","CP036"),""))</f>
        <v/>
      </c>
      <c r="D83" s="187">
        <f>Database!S83</f>
        <v/>
      </c>
      <c r="E83" s="186">
        <f>IF($B83="","",IFERROR(BDP($B83&amp;" Action","CP037"),""))</f>
        <v/>
      </c>
      <c r="F83" s="187">
        <f>Database!T83</f>
        <v/>
      </c>
      <c r="G83" s="186">
        <f>IF($B83="","",IFERROR(BDP($B83&amp;" Action","GREENSHOE_FACILITY"),""))</f>
        <v/>
      </c>
      <c r="H83" s="186">
        <f>IF($B83="","",IFERROR(BDP($B83&amp;" Action","OFFERING_GREENSHOE_SHARES_EX"),""))</f>
        <v/>
      </c>
      <c r="I83" s="17">
        <f>Database!AE83</f>
        <v/>
      </c>
      <c r="J83" s="24">
        <f>IFERROR(BDP(Database!$A83&amp;" HK Equity","PE_RATIO"),"")</f>
        <v/>
      </c>
      <c r="K83" s="10">
        <f>IFERROR(BDP(Database!$A83&amp;" HK Equity","A/H_SHARE_CONVERSION"),"")</f>
        <v/>
      </c>
      <c r="L83" s="17">
        <f>IF(Database!BM83="","(none found)",Database!BM83)</f>
        <v/>
      </c>
      <c r="M83" s="19">
        <f>IFERROR(BDH(Database!$A83&amp;" HK Equity","CUR_MKT_CAP",Database!$H83,Database!$H83),"")</f>
        <v/>
      </c>
      <c r="N83" s="180">
        <f>Database!Q83</f>
        <v/>
      </c>
      <c r="O83" s="24">
        <f>IFERROR(BDH(Database!$A83&amp;" HK Equity","PE_RATIO",Database!$H83,Database!$H83),"")</f>
        <v/>
      </c>
      <c r="P83" s="184">
        <f>IF(Database!BG83="","(n/m or not derivable)",Database!BG83)</f>
        <v/>
      </c>
      <c r="Q83" s="24">
        <f>IF(Database!BM83="","",IFERROR(BDH(LEFT(Database!BM83,FIND(".",Database!BM83)-1)&amp;" CH Equity","PE_RATIO",Database!$H83,Database!$H83),""))</f>
        <v/>
      </c>
      <c r="R83" s="24">
        <f>IF(Database!BM83="","",IFERROR(BDH("HSAHP Index","PX_LAST",Database!$H83,Database!$H83),""))</f>
        <v/>
      </c>
      <c r="S83" s="24">
        <f>IFERROR(BDP(Database!$A83&amp;" HK Equity","PX_TO_SALES_RATIO"),"")</f>
        <v/>
      </c>
      <c r="T83" s="19">
        <f>IF(Database!BM83="","",IFERROR(BDP(LEFT(Database!BM83,FIND(".",Database!BM83)-1)&amp;" CH Equity","CUR_MKT_CAP"),""))</f>
        <v/>
      </c>
    </row>
    <row r="84">
      <c r="A84" s="17">
        <f>Database!A84&amp;"  "&amp;Database!B84</f>
        <v/>
      </c>
      <c r="B84" s="10">
        <f>IFERROR(INDEX(BDS(Database!$A84&amp;" HK Equity","EQUITY_OFFERINGS","array=t","endcol=1"),MATCH("IPO",BDS(Database!$A84&amp;" HK Equity","EQUITY_OFFERINGS","array=t","startcol=2","endcol=2"),0)),"")</f>
        <v/>
      </c>
      <c r="C84" s="186">
        <f>IF($B84="","",IFERROR(BDP($B84&amp;" Action","CP036"),""))</f>
        <v/>
      </c>
      <c r="D84" s="187">
        <f>Database!S84</f>
        <v/>
      </c>
      <c r="E84" s="186">
        <f>IF($B84="","",IFERROR(BDP($B84&amp;" Action","CP037"),""))</f>
        <v/>
      </c>
      <c r="F84" s="187">
        <f>Database!T84</f>
        <v/>
      </c>
      <c r="G84" s="186">
        <f>IF($B84="","",IFERROR(BDP($B84&amp;" Action","GREENSHOE_FACILITY"),""))</f>
        <v/>
      </c>
      <c r="H84" s="186">
        <f>IF($B84="","",IFERROR(BDP($B84&amp;" Action","OFFERING_GREENSHOE_SHARES_EX"),""))</f>
        <v/>
      </c>
      <c r="I84" s="17">
        <f>Database!AE84</f>
        <v/>
      </c>
      <c r="J84" s="24">
        <f>IFERROR(BDP(Database!$A84&amp;" HK Equity","PE_RATIO"),"")</f>
        <v/>
      </c>
      <c r="K84" s="10">
        <f>IFERROR(BDP(Database!$A84&amp;" HK Equity","A/H_SHARE_CONVERSION"),"")</f>
        <v/>
      </c>
      <c r="L84" s="17">
        <f>IF(Database!BM84="","(none found)",Database!BM84)</f>
        <v/>
      </c>
      <c r="M84" s="19">
        <f>IFERROR(BDH(Database!$A84&amp;" HK Equity","CUR_MKT_CAP",Database!$H84,Database!$H84),"")</f>
        <v/>
      </c>
      <c r="N84" s="180">
        <f>Database!Q84</f>
        <v/>
      </c>
      <c r="O84" s="24">
        <f>IFERROR(BDH(Database!$A84&amp;" HK Equity","PE_RATIO",Database!$H84,Database!$H84),"")</f>
        <v/>
      </c>
      <c r="P84" s="184">
        <f>IF(Database!BG84="","(n/m or not derivable)",Database!BG84)</f>
        <v/>
      </c>
      <c r="Q84" s="24">
        <f>IF(Database!BM84="","",IFERROR(BDH(LEFT(Database!BM84,FIND(".",Database!BM84)-1)&amp;" CH Equity","PE_RATIO",Database!$H84,Database!$H84),""))</f>
        <v/>
      </c>
      <c r="R84" s="24">
        <f>IF(Database!BM84="","",IFERROR(BDH("HSAHP Index","PX_LAST",Database!$H84,Database!$H84),""))</f>
        <v/>
      </c>
      <c r="S84" s="24">
        <f>IFERROR(BDP(Database!$A84&amp;" HK Equity","PX_TO_SALES_RATIO"),"")</f>
        <v/>
      </c>
      <c r="T84" s="19">
        <f>IF(Database!BM84="","",IFERROR(BDP(LEFT(Database!BM84,FIND(".",Database!BM84)-1)&amp;" CH Equity","CUR_MKT_CAP"),""))</f>
        <v/>
      </c>
    </row>
    <row r="85">
      <c r="A85" s="17">
        <f>Database!A85&amp;"  "&amp;Database!B85</f>
        <v/>
      </c>
      <c r="B85" s="10">
        <f>IFERROR(INDEX(BDS(Database!$A85&amp;" HK Equity","EQUITY_OFFERINGS","array=t","endcol=1"),MATCH("IPO",BDS(Database!$A85&amp;" HK Equity","EQUITY_OFFERINGS","array=t","startcol=2","endcol=2"),0)),"")</f>
        <v/>
      </c>
      <c r="C85" s="186">
        <f>IF($B85="","",IFERROR(BDP($B85&amp;" Action","CP036"),""))</f>
        <v/>
      </c>
      <c r="D85" s="187">
        <f>Database!S85</f>
        <v/>
      </c>
      <c r="E85" s="186">
        <f>IF($B85="","",IFERROR(BDP($B85&amp;" Action","CP037"),""))</f>
        <v/>
      </c>
      <c r="F85" s="187">
        <f>Database!T85</f>
        <v/>
      </c>
      <c r="G85" s="186">
        <f>IF($B85="","",IFERROR(BDP($B85&amp;" Action","GREENSHOE_FACILITY"),""))</f>
        <v/>
      </c>
      <c r="H85" s="186">
        <f>IF($B85="","",IFERROR(BDP($B85&amp;" Action","OFFERING_GREENSHOE_SHARES_EX"),""))</f>
        <v/>
      </c>
      <c r="I85" s="17">
        <f>Database!AE85</f>
        <v/>
      </c>
      <c r="J85" s="24">
        <f>IFERROR(BDP(Database!$A85&amp;" HK Equity","PE_RATIO"),"")</f>
        <v/>
      </c>
      <c r="K85" s="10">
        <f>IFERROR(BDP(Database!$A85&amp;" HK Equity","A/H_SHARE_CONVERSION"),"")</f>
        <v/>
      </c>
      <c r="L85" s="17">
        <f>IF(Database!BM85="","(none found)",Database!BM85)</f>
        <v/>
      </c>
      <c r="M85" s="19">
        <f>IFERROR(BDH(Database!$A85&amp;" HK Equity","CUR_MKT_CAP",Database!$H85,Database!$H85),"")</f>
        <v/>
      </c>
      <c r="N85" s="180">
        <f>Database!Q85</f>
        <v/>
      </c>
      <c r="O85" s="24">
        <f>IFERROR(BDH(Database!$A85&amp;" HK Equity","PE_RATIO",Database!$H85,Database!$H85),"")</f>
        <v/>
      </c>
      <c r="P85" s="184">
        <f>IF(Database!BG85="","(n/m or not derivable)",Database!BG85)</f>
        <v/>
      </c>
      <c r="Q85" s="24">
        <f>IF(Database!BM85="","",IFERROR(BDH(LEFT(Database!BM85,FIND(".",Database!BM85)-1)&amp;" CH Equity","PE_RATIO",Database!$H85,Database!$H85),""))</f>
        <v/>
      </c>
      <c r="R85" s="24">
        <f>IF(Database!BM85="","",IFERROR(BDH("HSAHP Index","PX_LAST",Database!$H85,Database!$H85),""))</f>
        <v/>
      </c>
      <c r="S85" s="24">
        <f>IFERROR(BDP(Database!$A85&amp;" HK Equity","PX_TO_SALES_RATIO"),"")</f>
        <v/>
      </c>
      <c r="T85" s="19">
        <f>IF(Database!BM85="","",IFERROR(BDP(LEFT(Database!BM85,FIND(".",Database!BM85)-1)&amp;" CH Equity","CUR_MKT_CAP"),""))</f>
        <v/>
      </c>
    </row>
    <row r="86">
      <c r="A86" s="17">
        <f>Database!A86&amp;"  "&amp;Database!B86</f>
        <v/>
      </c>
      <c r="B86" s="10">
        <f>IFERROR(INDEX(BDS(Database!$A86&amp;" HK Equity","EQUITY_OFFERINGS","array=t","endcol=1"),MATCH("IPO",BDS(Database!$A86&amp;" HK Equity","EQUITY_OFFERINGS","array=t","startcol=2","endcol=2"),0)),"")</f>
        <v/>
      </c>
      <c r="C86" s="186">
        <f>IF($B86="","",IFERROR(BDP($B86&amp;" Action","CP036"),""))</f>
        <v/>
      </c>
      <c r="D86" s="187">
        <f>Database!S86</f>
        <v/>
      </c>
      <c r="E86" s="186">
        <f>IF($B86="","",IFERROR(BDP($B86&amp;" Action","CP037"),""))</f>
        <v/>
      </c>
      <c r="F86" s="187">
        <f>Database!T86</f>
        <v/>
      </c>
      <c r="G86" s="186">
        <f>IF($B86="","",IFERROR(BDP($B86&amp;" Action","GREENSHOE_FACILITY"),""))</f>
        <v/>
      </c>
      <c r="H86" s="186">
        <f>IF($B86="","",IFERROR(BDP($B86&amp;" Action","OFFERING_GREENSHOE_SHARES_EX"),""))</f>
        <v/>
      </c>
      <c r="I86" s="17">
        <f>Database!AE86</f>
        <v/>
      </c>
      <c r="J86" s="24">
        <f>IFERROR(BDP(Database!$A86&amp;" HK Equity","PE_RATIO"),"")</f>
        <v/>
      </c>
      <c r="K86" s="10">
        <f>IFERROR(BDP(Database!$A86&amp;" HK Equity","A/H_SHARE_CONVERSION"),"")</f>
        <v/>
      </c>
      <c r="L86" s="17">
        <f>IF(Database!BM86="","(none found)",Database!BM86)</f>
        <v/>
      </c>
      <c r="M86" s="19">
        <f>IFERROR(BDH(Database!$A86&amp;" HK Equity","CUR_MKT_CAP",Database!$H86,Database!$H86),"")</f>
        <v/>
      </c>
      <c r="N86" s="180">
        <f>Database!Q86</f>
        <v/>
      </c>
      <c r="O86" s="24">
        <f>IFERROR(BDH(Database!$A86&amp;" HK Equity","PE_RATIO",Database!$H86,Database!$H86),"")</f>
        <v/>
      </c>
      <c r="P86" s="184">
        <f>IF(Database!BG86="","(n/m or not derivable)",Database!BG86)</f>
        <v/>
      </c>
      <c r="Q86" s="24">
        <f>IF(Database!BM86="","",IFERROR(BDH(LEFT(Database!BM86,FIND(".",Database!BM86)-1)&amp;" CH Equity","PE_RATIO",Database!$H86,Database!$H86),""))</f>
        <v/>
      </c>
      <c r="R86" s="24">
        <f>IF(Database!BM86="","",IFERROR(BDH("HSAHP Index","PX_LAST",Database!$H86,Database!$H86),""))</f>
        <v/>
      </c>
      <c r="S86" s="24">
        <f>IFERROR(BDP(Database!$A86&amp;" HK Equity","PX_TO_SALES_RATIO"),"")</f>
        <v/>
      </c>
      <c r="T86" s="19">
        <f>IF(Database!BM86="","",IFERROR(BDP(LEFT(Database!BM86,FIND(".",Database!BM86)-1)&amp;" CH Equity","CUR_MKT_CAP"),""))</f>
        <v/>
      </c>
    </row>
    <row r="87">
      <c r="A87" s="17">
        <f>Database!A87&amp;"  "&amp;Database!B87</f>
        <v/>
      </c>
      <c r="B87" s="10">
        <f>IFERROR(INDEX(BDS(Database!$A87&amp;" HK Equity","EQUITY_OFFERINGS","array=t","endcol=1"),MATCH("IPO",BDS(Database!$A87&amp;" HK Equity","EQUITY_OFFERINGS","array=t","startcol=2","endcol=2"),0)),"")</f>
        <v/>
      </c>
      <c r="C87" s="186">
        <f>IF($B87="","",IFERROR(BDP($B87&amp;" Action","CP036"),""))</f>
        <v/>
      </c>
      <c r="D87" s="187">
        <f>Database!S87</f>
        <v/>
      </c>
      <c r="E87" s="186">
        <f>IF($B87="","",IFERROR(BDP($B87&amp;" Action","CP037"),""))</f>
        <v/>
      </c>
      <c r="F87" s="187">
        <f>Database!T87</f>
        <v/>
      </c>
      <c r="G87" s="186">
        <f>IF($B87="","",IFERROR(BDP($B87&amp;" Action","GREENSHOE_FACILITY"),""))</f>
        <v/>
      </c>
      <c r="H87" s="186">
        <f>IF($B87="","",IFERROR(BDP($B87&amp;" Action","OFFERING_GREENSHOE_SHARES_EX"),""))</f>
        <v/>
      </c>
      <c r="I87" s="17">
        <f>Database!AE87</f>
        <v/>
      </c>
      <c r="J87" s="24">
        <f>IFERROR(BDP(Database!$A87&amp;" HK Equity","PE_RATIO"),"")</f>
        <v/>
      </c>
      <c r="K87" s="10">
        <f>IFERROR(BDP(Database!$A87&amp;" HK Equity","A/H_SHARE_CONVERSION"),"")</f>
        <v/>
      </c>
      <c r="L87" s="17">
        <f>IF(Database!BM87="","(none found)",Database!BM87)</f>
        <v/>
      </c>
      <c r="M87" s="19">
        <f>IFERROR(BDH(Database!$A87&amp;" HK Equity","CUR_MKT_CAP",Database!$H87,Database!$H87),"")</f>
        <v/>
      </c>
      <c r="N87" s="180">
        <f>Database!Q87</f>
        <v/>
      </c>
      <c r="O87" s="24">
        <f>IFERROR(BDH(Database!$A87&amp;" HK Equity","PE_RATIO",Database!$H87,Database!$H87),"")</f>
        <v/>
      </c>
      <c r="P87" s="184">
        <f>IF(Database!BG87="","(n/m or not derivable)",Database!BG87)</f>
        <v/>
      </c>
      <c r="Q87" s="24">
        <f>IF(Database!BM87="","",IFERROR(BDH(LEFT(Database!BM87,FIND(".",Database!BM87)-1)&amp;" CH Equity","PE_RATIO",Database!$H87,Database!$H87),""))</f>
        <v/>
      </c>
      <c r="R87" s="24">
        <f>IF(Database!BM87="","",IFERROR(BDH("HSAHP Index","PX_LAST",Database!$H87,Database!$H87),""))</f>
        <v/>
      </c>
      <c r="S87" s="24">
        <f>IFERROR(BDP(Database!$A87&amp;" HK Equity","PX_TO_SALES_RATIO"),"")</f>
        <v/>
      </c>
      <c r="T87" s="19">
        <f>IF(Database!BM87="","",IFERROR(BDP(LEFT(Database!BM87,FIND(".",Database!BM87)-1)&amp;" CH Equity","CUR_MKT_CAP"),""))</f>
        <v/>
      </c>
    </row>
    <row r="88">
      <c r="A88" s="17">
        <f>Database!A88&amp;"  "&amp;Database!B88</f>
        <v/>
      </c>
      <c r="B88" s="10">
        <f>IFERROR(INDEX(BDS(Database!$A88&amp;" HK Equity","EQUITY_OFFERINGS","array=t","endcol=1"),MATCH("IPO",BDS(Database!$A88&amp;" HK Equity","EQUITY_OFFERINGS","array=t","startcol=2","endcol=2"),0)),"")</f>
        <v/>
      </c>
      <c r="C88" s="186">
        <f>IF($B88="","",IFERROR(BDP($B88&amp;" Action","CP036"),""))</f>
        <v/>
      </c>
      <c r="D88" s="187">
        <f>Database!S88</f>
        <v/>
      </c>
      <c r="E88" s="186">
        <f>IF($B88="","",IFERROR(BDP($B88&amp;" Action","CP037"),""))</f>
        <v/>
      </c>
      <c r="F88" s="187">
        <f>Database!T88</f>
        <v/>
      </c>
      <c r="G88" s="186">
        <f>IF($B88="","",IFERROR(BDP($B88&amp;" Action","GREENSHOE_FACILITY"),""))</f>
        <v/>
      </c>
      <c r="H88" s="186">
        <f>IF($B88="","",IFERROR(BDP($B88&amp;" Action","OFFERING_GREENSHOE_SHARES_EX"),""))</f>
        <v/>
      </c>
      <c r="I88" s="17">
        <f>Database!AE88</f>
        <v/>
      </c>
      <c r="J88" s="24">
        <f>IFERROR(BDP(Database!$A88&amp;" HK Equity","PE_RATIO"),"")</f>
        <v/>
      </c>
      <c r="K88" s="10">
        <f>IFERROR(BDP(Database!$A88&amp;" HK Equity","A/H_SHARE_CONVERSION"),"")</f>
        <v/>
      </c>
      <c r="L88" s="17">
        <f>IF(Database!BM88="","(none found)",Database!BM88)</f>
        <v/>
      </c>
      <c r="M88" s="19">
        <f>IFERROR(BDH(Database!$A88&amp;" HK Equity","CUR_MKT_CAP",Database!$H88,Database!$H88),"")</f>
        <v/>
      </c>
      <c r="N88" s="180">
        <f>Database!Q88</f>
        <v/>
      </c>
      <c r="O88" s="24">
        <f>IFERROR(BDH(Database!$A88&amp;" HK Equity","PE_RATIO",Database!$H88,Database!$H88),"")</f>
        <v/>
      </c>
      <c r="P88" s="184">
        <f>IF(Database!BG88="","(n/m or not derivable)",Database!BG88)</f>
        <v/>
      </c>
      <c r="Q88" s="24">
        <f>IF(Database!BM88="","",IFERROR(BDH(LEFT(Database!BM88,FIND(".",Database!BM88)-1)&amp;" CH Equity","PE_RATIO",Database!$H88,Database!$H88),""))</f>
        <v/>
      </c>
      <c r="R88" s="24">
        <f>IF(Database!BM88="","",IFERROR(BDH("HSAHP Index","PX_LAST",Database!$H88,Database!$H88),""))</f>
        <v/>
      </c>
      <c r="S88" s="24">
        <f>IFERROR(BDP(Database!$A88&amp;" HK Equity","PX_TO_SALES_RATIO"),"")</f>
        <v/>
      </c>
      <c r="T88" s="19">
        <f>IF(Database!BM88="","",IFERROR(BDP(LEFT(Database!BM88,FIND(".",Database!BM88)-1)&amp;" CH Equity","CUR_MKT_CAP"),""))</f>
        <v/>
      </c>
    </row>
    <row r="89">
      <c r="A89" s="17">
        <f>Database!A89&amp;"  "&amp;Database!B89</f>
        <v/>
      </c>
      <c r="B89" s="10">
        <f>IFERROR(INDEX(BDS(Database!$A89&amp;" HK Equity","EQUITY_OFFERINGS","array=t","endcol=1"),MATCH("IPO",BDS(Database!$A89&amp;" HK Equity","EQUITY_OFFERINGS","array=t","startcol=2","endcol=2"),0)),"")</f>
        <v/>
      </c>
      <c r="C89" s="186">
        <f>IF($B89="","",IFERROR(BDP($B89&amp;" Action","CP036"),""))</f>
        <v/>
      </c>
      <c r="D89" s="187">
        <f>Database!S89</f>
        <v/>
      </c>
      <c r="E89" s="186">
        <f>IF($B89="","",IFERROR(BDP($B89&amp;" Action","CP037"),""))</f>
        <v/>
      </c>
      <c r="F89" s="187">
        <f>Database!T89</f>
        <v/>
      </c>
      <c r="G89" s="186">
        <f>IF($B89="","",IFERROR(BDP($B89&amp;" Action","GREENSHOE_FACILITY"),""))</f>
        <v/>
      </c>
      <c r="H89" s="186">
        <f>IF($B89="","",IFERROR(BDP($B89&amp;" Action","OFFERING_GREENSHOE_SHARES_EX"),""))</f>
        <v/>
      </c>
      <c r="I89" s="17">
        <f>Database!AE89</f>
        <v/>
      </c>
      <c r="J89" s="24">
        <f>IFERROR(BDP(Database!$A89&amp;" HK Equity","PE_RATIO"),"")</f>
        <v/>
      </c>
      <c r="K89" s="10">
        <f>IFERROR(BDP(Database!$A89&amp;" HK Equity","A/H_SHARE_CONVERSION"),"")</f>
        <v/>
      </c>
      <c r="L89" s="17">
        <f>IF(Database!BM89="","(none found)",Database!BM89)</f>
        <v/>
      </c>
      <c r="M89" s="19">
        <f>IFERROR(BDH(Database!$A89&amp;" HK Equity","CUR_MKT_CAP",Database!$H89,Database!$H89),"")</f>
        <v/>
      </c>
      <c r="N89" s="180">
        <f>Database!Q89</f>
        <v/>
      </c>
      <c r="O89" s="24">
        <f>IFERROR(BDH(Database!$A89&amp;" HK Equity","PE_RATIO",Database!$H89,Database!$H89),"")</f>
        <v/>
      </c>
      <c r="P89" s="184">
        <f>IF(Database!BG89="","(n/m or not derivable)",Database!BG89)</f>
        <v/>
      </c>
      <c r="Q89" s="24">
        <f>IF(Database!BM89="","",IFERROR(BDH(LEFT(Database!BM89,FIND(".",Database!BM89)-1)&amp;" CH Equity","PE_RATIO",Database!$H89,Database!$H89),""))</f>
        <v/>
      </c>
      <c r="R89" s="24">
        <f>IF(Database!BM89="","",IFERROR(BDH("HSAHP Index","PX_LAST",Database!$H89,Database!$H89),""))</f>
        <v/>
      </c>
      <c r="S89" s="24">
        <f>IFERROR(BDP(Database!$A89&amp;" HK Equity","PX_TO_SALES_RATIO"),"")</f>
        <v/>
      </c>
      <c r="T89" s="19">
        <f>IF(Database!BM89="","",IFERROR(BDP(LEFT(Database!BM89,FIND(".",Database!BM89)-1)&amp;" CH Equity","CUR_MKT_CAP"),""))</f>
        <v/>
      </c>
    </row>
    <row r="90">
      <c r="A90" s="17">
        <f>Database!A90&amp;"  "&amp;Database!B90</f>
        <v/>
      </c>
      <c r="B90" s="10">
        <f>IFERROR(INDEX(BDS(Database!$A90&amp;" HK Equity","EQUITY_OFFERINGS","array=t","endcol=1"),MATCH("IPO",BDS(Database!$A90&amp;" HK Equity","EQUITY_OFFERINGS","array=t","startcol=2","endcol=2"),0)),"")</f>
        <v/>
      </c>
      <c r="C90" s="186">
        <f>IF($B90="","",IFERROR(BDP($B90&amp;" Action","CP036"),""))</f>
        <v/>
      </c>
      <c r="D90" s="187">
        <f>Database!S90</f>
        <v/>
      </c>
      <c r="E90" s="186">
        <f>IF($B90="","",IFERROR(BDP($B90&amp;" Action","CP037"),""))</f>
        <v/>
      </c>
      <c r="F90" s="187">
        <f>Database!T90</f>
        <v/>
      </c>
      <c r="G90" s="186">
        <f>IF($B90="","",IFERROR(BDP($B90&amp;" Action","GREENSHOE_FACILITY"),""))</f>
        <v/>
      </c>
      <c r="H90" s="186">
        <f>IF($B90="","",IFERROR(BDP($B90&amp;" Action","OFFERING_GREENSHOE_SHARES_EX"),""))</f>
        <v/>
      </c>
      <c r="I90" s="17">
        <f>Database!AE90</f>
        <v/>
      </c>
      <c r="J90" s="24">
        <f>IFERROR(BDP(Database!$A90&amp;" HK Equity","PE_RATIO"),"")</f>
        <v/>
      </c>
      <c r="K90" s="10">
        <f>IFERROR(BDP(Database!$A90&amp;" HK Equity","A/H_SHARE_CONVERSION"),"")</f>
        <v/>
      </c>
      <c r="L90" s="17">
        <f>IF(Database!BM90="","(none found)",Database!BM90)</f>
        <v/>
      </c>
      <c r="M90" s="19">
        <f>IFERROR(BDH(Database!$A90&amp;" HK Equity","CUR_MKT_CAP",Database!$H90,Database!$H90),"")</f>
        <v/>
      </c>
      <c r="N90" s="180">
        <f>Database!Q90</f>
        <v/>
      </c>
      <c r="O90" s="24">
        <f>IFERROR(BDH(Database!$A90&amp;" HK Equity","PE_RATIO",Database!$H90,Database!$H90),"")</f>
        <v/>
      </c>
      <c r="P90" s="184">
        <f>IF(Database!BG90="","(n/m or not derivable)",Database!BG90)</f>
        <v/>
      </c>
      <c r="Q90" s="24">
        <f>IF(Database!BM90="","",IFERROR(BDH(LEFT(Database!BM90,FIND(".",Database!BM90)-1)&amp;" CH Equity","PE_RATIO",Database!$H90,Database!$H90),""))</f>
        <v/>
      </c>
      <c r="R90" s="24">
        <f>IF(Database!BM90="","",IFERROR(BDH("HSAHP Index","PX_LAST",Database!$H90,Database!$H90),""))</f>
        <v/>
      </c>
      <c r="S90" s="24">
        <f>IFERROR(BDP(Database!$A90&amp;" HK Equity","PX_TO_SALES_RATIO"),"")</f>
        <v/>
      </c>
      <c r="T90" s="19">
        <f>IF(Database!BM90="","",IFERROR(BDP(LEFT(Database!BM90,FIND(".",Database!BM90)-1)&amp;" CH Equity","CUR_MKT_CAP"),""))</f>
        <v/>
      </c>
    </row>
    <row r="91">
      <c r="A91" s="17">
        <f>Database!A91&amp;"  "&amp;Database!B91</f>
        <v/>
      </c>
      <c r="B91" s="10">
        <f>IFERROR(INDEX(BDS(Database!$A91&amp;" HK Equity","EQUITY_OFFERINGS","array=t","endcol=1"),MATCH("IPO",BDS(Database!$A91&amp;" HK Equity","EQUITY_OFFERINGS","array=t","startcol=2","endcol=2"),0)),"")</f>
        <v/>
      </c>
      <c r="C91" s="186">
        <f>IF($B91="","",IFERROR(BDP($B91&amp;" Action","CP036"),""))</f>
        <v/>
      </c>
      <c r="D91" s="187">
        <f>Database!S91</f>
        <v/>
      </c>
      <c r="E91" s="186">
        <f>IF($B91="","",IFERROR(BDP($B91&amp;" Action","CP037"),""))</f>
        <v/>
      </c>
      <c r="F91" s="187">
        <f>Database!T91</f>
        <v/>
      </c>
      <c r="G91" s="186">
        <f>IF($B91="","",IFERROR(BDP($B91&amp;" Action","GREENSHOE_FACILITY"),""))</f>
        <v/>
      </c>
      <c r="H91" s="186">
        <f>IF($B91="","",IFERROR(BDP($B91&amp;" Action","OFFERING_GREENSHOE_SHARES_EX"),""))</f>
        <v/>
      </c>
      <c r="I91" s="17">
        <f>Database!AE91</f>
        <v/>
      </c>
      <c r="J91" s="24">
        <f>IFERROR(BDP(Database!$A91&amp;" HK Equity","PE_RATIO"),"")</f>
        <v/>
      </c>
      <c r="K91" s="10">
        <f>IFERROR(BDP(Database!$A91&amp;" HK Equity","A/H_SHARE_CONVERSION"),"")</f>
        <v/>
      </c>
      <c r="L91" s="17">
        <f>IF(Database!BM91="","(none found)",Database!BM91)</f>
        <v/>
      </c>
      <c r="M91" s="19">
        <f>IFERROR(BDH(Database!$A91&amp;" HK Equity","CUR_MKT_CAP",Database!$H91,Database!$H91),"")</f>
        <v/>
      </c>
      <c r="N91" s="180">
        <f>Database!Q91</f>
        <v/>
      </c>
      <c r="O91" s="24">
        <f>IFERROR(BDH(Database!$A91&amp;" HK Equity","PE_RATIO",Database!$H91,Database!$H91),"")</f>
        <v/>
      </c>
      <c r="P91" s="184">
        <f>IF(Database!BG91="","(n/m or not derivable)",Database!BG91)</f>
        <v/>
      </c>
      <c r="Q91" s="24">
        <f>IF(Database!BM91="","",IFERROR(BDH(LEFT(Database!BM91,FIND(".",Database!BM91)-1)&amp;" CH Equity","PE_RATIO",Database!$H91,Database!$H91),""))</f>
        <v/>
      </c>
      <c r="R91" s="24">
        <f>IF(Database!BM91="","",IFERROR(BDH("HSAHP Index","PX_LAST",Database!$H91,Database!$H91),""))</f>
        <v/>
      </c>
      <c r="S91" s="24">
        <f>IFERROR(BDP(Database!$A91&amp;" HK Equity","PX_TO_SALES_RATIO"),"")</f>
        <v/>
      </c>
      <c r="T91" s="19">
        <f>IF(Database!BM91="","",IFERROR(BDP(LEFT(Database!BM91,FIND(".",Database!BM91)-1)&amp;" CH Equity","CUR_MKT_CAP"),""))</f>
        <v/>
      </c>
    </row>
    <row r="92">
      <c r="A92" s="17">
        <f>Database!A92&amp;"  "&amp;Database!B92</f>
        <v/>
      </c>
      <c r="B92" s="10">
        <f>IFERROR(INDEX(BDS(Database!$A92&amp;" HK Equity","EQUITY_OFFERINGS","array=t","endcol=1"),MATCH("IPO",BDS(Database!$A92&amp;" HK Equity","EQUITY_OFFERINGS","array=t","startcol=2","endcol=2"),0)),"")</f>
        <v/>
      </c>
      <c r="C92" s="186">
        <f>IF($B92="","",IFERROR(BDP($B92&amp;" Action","CP036"),""))</f>
        <v/>
      </c>
      <c r="D92" s="187">
        <f>Database!S92</f>
        <v/>
      </c>
      <c r="E92" s="186">
        <f>IF($B92="","",IFERROR(BDP($B92&amp;" Action","CP037"),""))</f>
        <v/>
      </c>
      <c r="F92" s="187">
        <f>Database!T92</f>
        <v/>
      </c>
      <c r="G92" s="186">
        <f>IF($B92="","",IFERROR(BDP($B92&amp;" Action","GREENSHOE_FACILITY"),""))</f>
        <v/>
      </c>
      <c r="H92" s="186">
        <f>IF($B92="","",IFERROR(BDP($B92&amp;" Action","OFFERING_GREENSHOE_SHARES_EX"),""))</f>
        <v/>
      </c>
      <c r="I92" s="17">
        <f>Database!AE92</f>
        <v/>
      </c>
      <c r="J92" s="24">
        <f>IFERROR(BDP(Database!$A92&amp;" HK Equity","PE_RATIO"),"")</f>
        <v/>
      </c>
      <c r="K92" s="10">
        <f>IFERROR(BDP(Database!$A92&amp;" HK Equity","A/H_SHARE_CONVERSION"),"")</f>
        <v/>
      </c>
      <c r="L92" s="17">
        <f>IF(Database!BM92="","(none found)",Database!BM92)</f>
        <v/>
      </c>
      <c r="M92" s="19">
        <f>IFERROR(BDH(Database!$A92&amp;" HK Equity","CUR_MKT_CAP",Database!$H92,Database!$H92),"")</f>
        <v/>
      </c>
      <c r="N92" s="180">
        <f>Database!Q92</f>
        <v/>
      </c>
      <c r="O92" s="24">
        <f>IFERROR(BDH(Database!$A92&amp;" HK Equity","PE_RATIO",Database!$H92,Database!$H92),"")</f>
        <v/>
      </c>
      <c r="P92" s="184">
        <f>IF(Database!BG92="","(n/m or not derivable)",Database!BG92)</f>
        <v/>
      </c>
      <c r="Q92" s="24">
        <f>IF(Database!BM92="","",IFERROR(BDH(LEFT(Database!BM92,FIND(".",Database!BM92)-1)&amp;" CH Equity","PE_RATIO",Database!$H92,Database!$H92),""))</f>
        <v/>
      </c>
      <c r="R92" s="24">
        <f>IF(Database!BM92="","",IFERROR(BDH("HSAHP Index","PX_LAST",Database!$H92,Database!$H92),""))</f>
        <v/>
      </c>
      <c r="S92" s="24">
        <f>IFERROR(BDP(Database!$A92&amp;" HK Equity","PX_TO_SALES_RATIO"),"")</f>
        <v/>
      </c>
      <c r="T92" s="19">
        <f>IF(Database!BM92="","",IFERROR(BDP(LEFT(Database!BM92,FIND(".",Database!BM92)-1)&amp;" CH Equity","CUR_MKT_CAP"),""))</f>
        <v/>
      </c>
    </row>
    <row r="93">
      <c r="A93" s="17">
        <f>Database!A93&amp;"  "&amp;Database!B93</f>
        <v/>
      </c>
      <c r="B93" s="10">
        <f>IFERROR(INDEX(BDS(Database!$A93&amp;" HK Equity","EQUITY_OFFERINGS","array=t","endcol=1"),MATCH("IPO",BDS(Database!$A93&amp;" HK Equity","EQUITY_OFFERINGS","array=t","startcol=2","endcol=2"),0)),"")</f>
        <v/>
      </c>
      <c r="C93" s="186">
        <f>IF($B93="","",IFERROR(BDP($B93&amp;" Action","CP036"),""))</f>
        <v/>
      </c>
      <c r="D93" s="187">
        <f>Database!S93</f>
        <v/>
      </c>
      <c r="E93" s="186">
        <f>IF($B93="","",IFERROR(BDP($B93&amp;" Action","CP037"),""))</f>
        <v/>
      </c>
      <c r="F93" s="187">
        <f>Database!T93</f>
        <v/>
      </c>
      <c r="G93" s="186">
        <f>IF($B93="","",IFERROR(BDP($B93&amp;" Action","GREENSHOE_FACILITY"),""))</f>
        <v/>
      </c>
      <c r="H93" s="186">
        <f>IF($B93="","",IFERROR(BDP($B93&amp;" Action","OFFERING_GREENSHOE_SHARES_EX"),""))</f>
        <v/>
      </c>
      <c r="I93" s="17">
        <f>Database!AE93</f>
        <v/>
      </c>
      <c r="J93" s="24">
        <f>IFERROR(BDP(Database!$A93&amp;" HK Equity","PE_RATIO"),"")</f>
        <v/>
      </c>
      <c r="K93" s="10">
        <f>IFERROR(BDP(Database!$A93&amp;" HK Equity","A/H_SHARE_CONVERSION"),"")</f>
        <v/>
      </c>
      <c r="L93" s="17">
        <f>IF(Database!BM93="","(none found)",Database!BM93)</f>
        <v/>
      </c>
      <c r="M93" s="19">
        <f>IFERROR(BDH(Database!$A93&amp;" HK Equity","CUR_MKT_CAP",Database!$H93,Database!$H93),"")</f>
        <v/>
      </c>
      <c r="N93" s="180">
        <f>Database!Q93</f>
        <v/>
      </c>
      <c r="O93" s="24">
        <f>IFERROR(BDH(Database!$A93&amp;" HK Equity","PE_RATIO",Database!$H93,Database!$H93),"")</f>
        <v/>
      </c>
      <c r="P93" s="184">
        <f>IF(Database!BG93="","(n/m or not derivable)",Database!BG93)</f>
        <v/>
      </c>
      <c r="Q93" s="24">
        <f>IF(Database!BM93="","",IFERROR(BDH(LEFT(Database!BM93,FIND(".",Database!BM93)-1)&amp;" CH Equity","PE_RATIO",Database!$H93,Database!$H93),""))</f>
        <v/>
      </c>
      <c r="R93" s="24">
        <f>IF(Database!BM93="","",IFERROR(BDH("HSAHP Index","PX_LAST",Database!$H93,Database!$H93),""))</f>
        <v/>
      </c>
      <c r="S93" s="24">
        <f>IFERROR(BDP(Database!$A93&amp;" HK Equity","PX_TO_SALES_RATIO"),"")</f>
        <v/>
      </c>
      <c r="T93" s="19">
        <f>IF(Database!BM93="","",IFERROR(BDP(LEFT(Database!BM93,FIND(".",Database!BM93)-1)&amp;" CH Equity","CUR_MKT_CAP"),""))</f>
        <v/>
      </c>
    </row>
    <row r="94">
      <c r="A94" s="17">
        <f>Database!A94&amp;"  "&amp;Database!B94</f>
        <v/>
      </c>
      <c r="B94" s="10">
        <f>IFERROR(INDEX(BDS(Database!$A94&amp;" HK Equity","EQUITY_OFFERINGS","array=t","endcol=1"),MATCH("IPO",BDS(Database!$A94&amp;" HK Equity","EQUITY_OFFERINGS","array=t","startcol=2","endcol=2"),0)),"")</f>
        <v/>
      </c>
      <c r="C94" s="186">
        <f>IF($B94="","",IFERROR(BDP($B94&amp;" Action","CP036"),""))</f>
        <v/>
      </c>
      <c r="D94" s="187">
        <f>Database!S94</f>
        <v/>
      </c>
      <c r="E94" s="186">
        <f>IF($B94="","",IFERROR(BDP($B94&amp;" Action","CP037"),""))</f>
        <v/>
      </c>
      <c r="F94" s="187">
        <f>Database!T94</f>
        <v/>
      </c>
      <c r="G94" s="186">
        <f>IF($B94="","",IFERROR(BDP($B94&amp;" Action","GREENSHOE_FACILITY"),""))</f>
        <v/>
      </c>
      <c r="H94" s="186">
        <f>IF($B94="","",IFERROR(BDP($B94&amp;" Action","OFFERING_GREENSHOE_SHARES_EX"),""))</f>
        <v/>
      </c>
      <c r="I94" s="17">
        <f>Database!AE94</f>
        <v/>
      </c>
      <c r="J94" s="24">
        <f>IFERROR(BDP(Database!$A94&amp;" HK Equity","PE_RATIO"),"")</f>
        <v/>
      </c>
      <c r="K94" s="10">
        <f>IFERROR(BDP(Database!$A94&amp;" HK Equity","A/H_SHARE_CONVERSION"),"")</f>
        <v/>
      </c>
      <c r="L94" s="17">
        <f>IF(Database!BM94="","(none found)",Database!BM94)</f>
        <v/>
      </c>
      <c r="M94" s="19">
        <f>IFERROR(BDH(Database!$A94&amp;" HK Equity","CUR_MKT_CAP",Database!$H94,Database!$H94),"")</f>
        <v/>
      </c>
      <c r="N94" s="180">
        <f>Database!Q94</f>
        <v/>
      </c>
      <c r="O94" s="24">
        <f>IFERROR(BDH(Database!$A94&amp;" HK Equity","PE_RATIO",Database!$H94,Database!$H94),"")</f>
        <v/>
      </c>
      <c r="P94" s="184">
        <f>IF(Database!BG94="","(n/m or not derivable)",Database!BG94)</f>
        <v/>
      </c>
      <c r="Q94" s="24">
        <f>IF(Database!BM94="","",IFERROR(BDH(LEFT(Database!BM94,FIND(".",Database!BM94)-1)&amp;" CH Equity","PE_RATIO",Database!$H94,Database!$H94),""))</f>
        <v/>
      </c>
      <c r="R94" s="24">
        <f>IF(Database!BM94="","",IFERROR(BDH("HSAHP Index","PX_LAST",Database!$H94,Database!$H94),""))</f>
        <v/>
      </c>
      <c r="S94" s="24">
        <f>IFERROR(BDP(Database!$A94&amp;" HK Equity","PX_TO_SALES_RATIO"),"")</f>
        <v/>
      </c>
      <c r="T94" s="19">
        <f>IF(Database!BM94="","",IFERROR(BDP(LEFT(Database!BM94,FIND(".",Database!BM94)-1)&amp;" CH Equity","CUR_MKT_CAP"),""))</f>
        <v/>
      </c>
    </row>
    <row r="95">
      <c r="A95" s="17">
        <f>Database!A95&amp;"  "&amp;Database!B95</f>
        <v/>
      </c>
      <c r="B95" s="10">
        <f>IFERROR(INDEX(BDS(Database!$A95&amp;" HK Equity","EQUITY_OFFERINGS","array=t","endcol=1"),MATCH("IPO",BDS(Database!$A95&amp;" HK Equity","EQUITY_OFFERINGS","array=t","startcol=2","endcol=2"),0)),"")</f>
        <v/>
      </c>
      <c r="C95" s="186">
        <f>IF($B95="","",IFERROR(BDP($B95&amp;" Action","CP036"),""))</f>
        <v/>
      </c>
      <c r="D95" s="187">
        <f>Database!S95</f>
        <v/>
      </c>
      <c r="E95" s="186">
        <f>IF($B95="","",IFERROR(BDP($B95&amp;" Action","CP037"),""))</f>
        <v/>
      </c>
      <c r="F95" s="187">
        <f>Database!T95</f>
        <v/>
      </c>
      <c r="G95" s="186">
        <f>IF($B95="","",IFERROR(BDP($B95&amp;" Action","GREENSHOE_FACILITY"),""))</f>
        <v/>
      </c>
      <c r="H95" s="186">
        <f>IF($B95="","",IFERROR(BDP($B95&amp;" Action","OFFERING_GREENSHOE_SHARES_EX"),""))</f>
        <v/>
      </c>
      <c r="I95" s="17">
        <f>Database!AE95</f>
        <v/>
      </c>
      <c r="J95" s="24">
        <f>IFERROR(BDP(Database!$A95&amp;" HK Equity","PE_RATIO"),"")</f>
        <v/>
      </c>
      <c r="K95" s="10">
        <f>IFERROR(BDP(Database!$A95&amp;" HK Equity","A/H_SHARE_CONVERSION"),"")</f>
        <v/>
      </c>
      <c r="L95" s="17">
        <f>IF(Database!BM95="","(none found)",Database!BM95)</f>
        <v/>
      </c>
      <c r="M95" s="19">
        <f>IFERROR(BDH(Database!$A95&amp;" HK Equity","CUR_MKT_CAP",Database!$H95,Database!$H95),"")</f>
        <v/>
      </c>
      <c r="N95" s="180">
        <f>Database!Q95</f>
        <v/>
      </c>
      <c r="O95" s="24">
        <f>IFERROR(BDH(Database!$A95&amp;" HK Equity","PE_RATIO",Database!$H95,Database!$H95),"")</f>
        <v/>
      </c>
      <c r="P95" s="184">
        <f>IF(Database!BG95="","(n/m or not derivable)",Database!BG95)</f>
        <v/>
      </c>
      <c r="Q95" s="24">
        <f>IF(Database!BM95="","",IFERROR(BDH(LEFT(Database!BM95,FIND(".",Database!BM95)-1)&amp;" CH Equity","PE_RATIO",Database!$H95,Database!$H95),""))</f>
        <v/>
      </c>
      <c r="R95" s="24">
        <f>IF(Database!BM95="","",IFERROR(BDH("HSAHP Index","PX_LAST",Database!$H95,Database!$H95),""))</f>
        <v/>
      </c>
      <c r="S95" s="24">
        <f>IFERROR(BDP(Database!$A95&amp;" HK Equity","PX_TO_SALES_RATIO"),"")</f>
        <v/>
      </c>
      <c r="T95" s="19">
        <f>IF(Database!BM95="","",IFERROR(BDP(LEFT(Database!BM95,FIND(".",Database!BM95)-1)&amp;" CH Equity","CUR_MKT_CAP"),""))</f>
        <v/>
      </c>
    </row>
    <row r="96">
      <c r="A96" s="17">
        <f>Database!A96&amp;"  "&amp;Database!B96</f>
        <v/>
      </c>
      <c r="B96" s="10">
        <f>IFERROR(INDEX(BDS(Database!$A96&amp;" HK Equity","EQUITY_OFFERINGS","array=t","endcol=1"),MATCH("IPO",BDS(Database!$A96&amp;" HK Equity","EQUITY_OFFERINGS","array=t","startcol=2","endcol=2"),0)),"")</f>
        <v/>
      </c>
      <c r="C96" s="186">
        <f>IF($B96="","",IFERROR(BDP($B96&amp;" Action","CP036"),""))</f>
        <v/>
      </c>
      <c r="D96" s="187">
        <f>Database!S96</f>
        <v/>
      </c>
      <c r="E96" s="186">
        <f>IF($B96="","",IFERROR(BDP($B96&amp;" Action","CP037"),""))</f>
        <v/>
      </c>
      <c r="F96" s="187">
        <f>Database!T96</f>
        <v/>
      </c>
      <c r="G96" s="186">
        <f>IF($B96="","",IFERROR(BDP($B96&amp;" Action","GREENSHOE_FACILITY"),""))</f>
        <v/>
      </c>
      <c r="H96" s="186">
        <f>IF($B96="","",IFERROR(BDP($B96&amp;" Action","OFFERING_GREENSHOE_SHARES_EX"),""))</f>
        <v/>
      </c>
      <c r="I96" s="17">
        <f>Database!AE96</f>
        <v/>
      </c>
      <c r="J96" s="24">
        <f>IFERROR(BDP(Database!$A96&amp;" HK Equity","PE_RATIO"),"")</f>
        <v/>
      </c>
      <c r="K96" s="10">
        <f>IFERROR(BDP(Database!$A96&amp;" HK Equity","A/H_SHARE_CONVERSION"),"")</f>
        <v/>
      </c>
      <c r="L96" s="17">
        <f>IF(Database!BM96="","(none found)",Database!BM96)</f>
        <v/>
      </c>
      <c r="M96" s="19">
        <f>IFERROR(BDH(Database!$A96&amp;" HK Equity","CUR_MKT_CAP",Database!$H96,Database!$H96),"")</f>
        <v/>
      </c>
      <c r="N96" s="180">
        <f>Database!Q96</f>
        <v/>
      </c>
      <c r="O96" s="24">
        <f>IFERROR(BDH(Database!$A96&amp;" HK Equity","PE_RATIO",Database!$H96,Database!$H96),"")</f>
        <v/>
      </c>
      <c r="P96" s="184">
        <f>IF(Database!BG96="","(n/m or not derivable)",Database!BG96)</f>
        <v/>
      </c>
      <c r="Q96" s="24">
        <f>IF(Database!BM96="","",IFERROR(BDH(LEFT(Database!BM96,FIND(".",Database!BM96)-1)&amp;" CH Equity","PE_RATIO",Database!$H96,Database!$H96),""))</f>
        <v/>
      </c>
      <c r="R96" s="24">
        <f>IF(Database!BM96="","",IFERROR(BDH("HSAHP Index","PX_LAST",Database!$H96,Database!$H96),""))</f>
        <v/>
      </c>
      <c r="S96" s="24">
        <f>IFERROR(BDP(Database!$A96&amp;" HK Equity","PX_TO_SALES_RATIO"),"")</f>
        <v/>
      </c>
      <c r="T96" s="19">
        <f>IF(Database!BM96="","",IFERROR(BDP(LEFT(Database!BM96,FIND(".",Database!BM96)-1)&amp;" CH Equity","CUR_MKT_CAP"),""))</f>
        <v/>
      </c>
    </row>
    <row r="97">
      <c r="A97" s="17">
        <f>Database!A97&amp;"  "&amp;Database!B97</f>
        <v/>
      </c>
      <c r="B97" s="10">
        <f>IFERROR(INDEX(BDS(Database!$A97&amp;" HK Equity","EQUITY_OFFERINGS","array=t","endcol=1"),MATCH("IPO",BDS(Database!$A97&amp;" HK Equity","EQUITY_OFFERINGS","array=t","startcol=2","endcol=2"),0)),"")</f>
        <v/>
      </c>
      <c r="C97" s="186">
        <f>IF($B97="","",IFERROR(BDP($B97&amp;" Action","CP036"),""))</f>
        <v/>
      </c>
      <c r="D97" s="187">
        <f>Database!S97</f>
        <v/>
      </c>
      <c r="E97" s="186">
        <f>IF($B97="","",IFERROR(BDP($B97&amp;" Action","CP037"),""))</f>
        <v/>
      </c>
      <c r="F97" s="187">
        <f>Database!T97</f>
        <v/>
      </c>
      <c r="G97" s="186">
        <f>IF($B97="","",IFERROR(BDP($B97&amp;" Action","GREENSHOE_FACILITY"),""))</f>
        <v/>
      </c>
      <c r="H97" s="186">
        <f>IF($B97="","",IFERROR(BDP($B97&amp;" Action","OFFERING_GREENSHOE_SHARES_EX"),""))</f>
        <v/>
      </c>
      <c r="I97" s="17">
        <f>Database!AE97</f>
        <v/>
      </c>
      <c r="J97" s="24">
        <f>IFERROR(BDP(Database!$A97&amp;" HK Equity","PE_RATIO"),"")</f>
        <v/>
      </c>
      <c r="K97" s="10">
        <f>IFERROR(BDP(Database!$A97&amp;" HK Equity","A/H_SHARE_CONVERSION"),"")</f>
        <v/>
      </c>
      <c r="L97" s="17">
        <f>IF(Database!BM97="","(none found)",Database!BM97)</f>
        <v/>
      </c>
      <c r="M97" s="19">
        <f>IFERROR(BDH(Database!$A97&amp;" HK Equity","CUR_MKT_CAP",Database!$H97,Database!$H97),"")</f>
        <v/>
      </c>
      <c r="N97" s="180">
        <f>Database!Q97</f>
        <v/>
      </c>
      <c r="O97" s="24">
        <f>IFERROR(BDH(Database!$A97&amp;" HK Equity","PE_RATIO",Database!$H97,Database!$H97),"")</f>
        <v/>
      </c>
      <c r="P97" s="184">
        <f>IF(Database!BG97="","(n/m or not derivable)",Database!BG97)</f>
        <v/>
      </c>
      <c r="Q97" s="24">
        <f>IF(Database!BM97="","",IFERROR(BDH(LEFT(Database!BM97,FIND(".",Database!BM97)-1)&amp;" CH Equity","PE_RATIO",Database!$H97,Database!$H97),""))</f>
        <v/>
      </c>
      <c r="R97" s="24">
        <f>IF(Database!BM97="","",IFERROR(BDH("HSAHP Index","PX_LAST",Database!$H97,Database!$H97),""))</f>
        <v/>
      </c>
      <c r="S97" s="24">
        <f>IFERROR(BDP(Database!$A97&amp;" HK Equity","PX_TO_SALES_RATIO"),"")</f>
        <v/>
      </c>
      <c r="T97" s="19">
        <f>IF(Database!BM97="","",IFERROR(BDP(LEFT(Database!BM97,FIND(".",Database!BM97)-1)&amp;" CH Equity","CUR_MKT_CAP"),""))</f>
        <v/>
      </c>
    </row>
    <row r="98">
      <c r="A98" s="17">
        <f>Database!A98&amp;"  "&amp;Database!B98</f>
        <v/>
      </c>
      <c r="B98" s="10">
        <f>IFERROR(INDEX(BDS(Database!$A98&amp;" HK Equity","EQUITY_OFFERINGS","array=t","endcol=1"),MATCH("IPO",BDS(Database!$A98&amp;" HK Equity","EQUITY_OFFERINGS","array=t","startcol=2","endcol=2"),0)),"")</f>
        <v/>
      </c>
      <c r="C98" s="186">
        <f>IF($B98="","",IFERROR(BDP($B98&amp;" Action","CP036"),""))</f>
        <v/>
      </c>
      <c r="D98" s="187">
        <f>Database!S98</f>
        <v/>
      </c>
      <c r="E98" s="186">
        <f>IF($B98="","",IFERROR(BDP($B98&amp;" Action","CP037"),""))</f>
        <v/>
      </c>
      <c r="F98" s="187">
        <f>Database!T98</f>
        <v/>
      </c>
      <c r="G98" s="186">
        <f>IF($B98="","",IFERROR(BDP($B98&amp;" Action","GREENSHOE_FACILITY"),""))</f>
        <v/>
      </c>
      <c r="H98" s="186">
        <f>IF($B98="","",IFERROR(BDP($B98&amp;" Action","OFFERING_GREENSHOE_SHARES_EX"),""))</f>
        <v/>
      </c>
      <c r="I98" s="17">
        <f>Database!AE98</f>
        <v/>
      </c>
      <c r="J98" s="24">
        <f>IFERROR(BDP(Database!$A98&amp;" HK Equity","PE_RATIO"),"")</f>
        <v/>
      </c>
      <c r="K98" s="10">
        <f>IFERROR(BDP(Database!$A98&amp;" HK Equity","A/H_SHARE_CONVERSION"),"")</f>
        <v/>
      </c>
      <c r="L98" s="17">
        <f>IF(Database!BM98="","(none found)",Database!BM98)</f>
        <v/>
      </c>
      <c r="M98" s="19">
        <f>IFERROR(BDH(Database!$A98&amp;" HK Equity","CUR_MKT_CAP",Database!$H98,Database!$H98),"")</f>
        <v/>
      </c>
      <c r="N98" s="180">
        <f>Database!Q98</f>
        <v/>
      </c>
      <c r="O98" s="24">
        <f>IFERROR(BDH(Database!$A98&amp;" HK Equity","PE_RATIO",Database!$H98,Database!$H98),"")</f>
        <v/>
      </c>
      <c r="P98" s="184">
        <f>IF(Database!BG98="","(n/m or not derivable)",Database!BG98)</f>
        <v/>
      </c>
      <c r="Q98" s="24">
        <f>IF(Database!BM98="","",IFERROR(BDH(LEFT(Database!BM98,FIND(".",Database!BM98)-1)&amp;" CH Equity","PE_RATIO",Database!$H98,Database!$H98),""))</f>
        <v/>
      </c>
      <c r="R98" s="24">
        <f>IF(Database!BM98="","",IFERROR(BDH("HSAHP Index","PX_LAST",Database!$H98,Database!$H98),""))</f>
        <v/>
      </c>
      <c r="S98" s="24">
        <f>IFERROR(BDP(Database!$A98&amp;" HK Equity","PX_TO_SALES_RATIO"),"")</f>
        <v/>
      </c>
      <c r="T98" s="19">
        <f>IF(Database!BM98="","",IFERROR(BDP(LEFT(Database!BM98,FIND(".",Database!BM98)-1)&amp;" CH Equity","CUR_MKT_CAP"),""))</f>
        <v/>
      </c>
    </row>
    <row r="99">
      <c r="A99" s="17">
        <f>Database!A99&amp;"  "&amp;Database!B99</f>
        <v/>
      </c>
      <c r="B99" s="10">
        <f>IFERROR(INDEX(BDS(Database!$A99&amp;" HK Equity","EQUITY_OFFERINGS","array=t","endcol=1"),MATCH("IPO",BDS(Database!$A99&amp;" HK Equity","EQUITY_OFFERINGS","array=t","startcol=2","endcol=2"),0)),"")</f>
        <v/>
      </c>
      <c r="C99" s="186">
        <f>IF($B99="","",IFERROR(BDP($B99&amp;" Action","CP036"),""))</f>
        <v/>
      </c>
      <c r="D99" s="187">
        <f>Database!S99</f>
        <v/>
      </c>
      <c r="E99" s="186">
        <f>IF($B99="","",IFERROR(BDP($B99&amp;" Action","CP037"),""))</f>
        <v/>
      </c>
      <c r="F99" s="187">
        <f>Database!T99</f>
        <v/>
      </c>
      <c r="G99" s="186">
        <f>IF($B99="","",IFERROR(BDP($B99&amp;" Action","GREENSHOE_FACILITY"),""))</f>
        <v/>
      </c>
      <c r="H99" s="186">
        <f>IF($B99="","",IFERROR(BDP($B99&amp;" Action","OFFERING_GREENSHOE_SHARES_EX"),""))</f>
        <v/>
      </c>
      <c r="I99" s="17">
        <f>Database!AE99</f>
        <v/>
      </c>
      <c r="J99" s="24">
        <f>IFERROR(BDP(Database!$A99&amp;" HK Equity","PE_RATIO"),"")</f>
        <v/>
      </c>
      <c r="K99" s="10">
        <f>IFERROR(BDP(Database!$A99&amp;" HK Equity","A/H_SHARE_CONVERSION"),"")</f>
        <v/>
      </c>
      <c r="L99" s="17">
        <f>IF(Database!BM99="","(none found)",Database!BM99)</f>
        <v/>
      </c>
      <c r="M99" s="19">
        <f>IFERROR(BDH(Database!$A99&amp;" HK Equity","CUR_MKT_CAP",Database!$H99,Database!$H99),"")</f>
        <v/>
      </c>
      <c r="N99" s="180">
        <f>Database!Q99</f>
        <v/>
      </c>
      <c r="O99" s="24">
        <f>IFERROR(BDH(Database!$A99&amp;" HK Equity","PE_RATIO",Database!$H99,Database!$H99),"")</f>
        <v/>
      </c>
      <c r="P99" s="184">
        <f>IF(Database!BG99="","(n/m or not derivable)",Database!BG99)</f>
        <v/>
      </c>
      <c r="Q99" s="24">
        <f>IF(Database!BM99="","",IFERROR(BDH(LEFT(Database!BM99,FIND(".",Database!BM99)-1)&amp;" CH Equity","PE_RATIO",Database!$H99,Database!$H99),""))</f>
        <v/>
      </c>
      <c r="R99" s="24">
        <f>IF(Database!BM99="","",IFERROR(BDH("HSAHP Index","PX_LAST",Database!$H99,Database!$H99),""))</f>
        <v/>
      </c>
      <c r="S99" s="24">
        <f>IFERROR(BDP(Database!$A99&amp;" HK Equity","PX_TO_SALES_RATIO"),"")</f>
        <v/>
      </c>
      <c r="T99" s="19">
        <f>IF(Database!BM99="","",IFERROR(BDP(LEFT(Database!BM99,FIND(".",Database!BM99)-1)&amp;" CH Equity","CUR_MKT_CAP"),""))</f>
        <v/>
      </c>
    </row>
    <row r="100">
      <c r="A100" s="17">
        <f>Database!A100&amp;"  "&amp;Database!B100</f>
        <v/>
      </c>
      <c r="B100" s="10">
        <f>IFERROR(INDEX(BDS(Database!$A100&amp;" HK Equity","EQUITY_OFFERINGS","array=t","endcol=1"),MATCH("IPO",BDS(Database!$A100&amp;" HK Equity","EQUITY_OFFERINGS","array=t","startcol=2","endcol=2"),0)),"")</f>
        <v/>
      </c>
      <c r="C100" s="186">
        <f>IF($B100="","",IFERROR(BDP($B100&amp;" Action","CP036"),""))</f>
        <v/>
      </c>
      <c r="D100" s="187">
        <f>Database!S100</f>
        <v/>
      </c>
      <c r="E100" s="186">
        <f>IF($B100="","",IFERROR(BDP($B100&amp;" Action","CP037"),""))</f>
        <v/>
      </c>
      <c r="F100" s="187">
        <f>Database!T100</f>
        <v/>
      </c>
      <c r="G100" s="186">
        <f>IF($B100="","",IFERROR(BDP($B100&amp;" Action","GREENSHOE_FACILITY"),""))</f>
        <v/>
      </c>
      <c r="H100" s="186">
        <f>IF($B100="","",IFERROR(BDP($B100&amp;" Action","OFFERING_GREENSHOE_SHARES_EX"),""))</f>
        <v/>
      </c>
      <c r="I100" s="17">
        <f>Database!AE100</f>
        <v/>
      </c>
      <c r="J100" s="24">
        <f>IFERROR(BDP(Database!$A100&amp;" HK Equity","PE_RATIO"),"")</f>
        <v/>
      </c>
      <c r="K100" s="10">
        <f>IFERROR(BDP(Database!$A100&amp;" HK Equity","A/H_SHARE_CONVERSION"),"")</f>
        <v/>
      </c>
      <c r="L100" s="17">
        <f>IF(Database!BM100="","(none found)",Database!BM100)</f>
        <v/>
      </c>
      <c r="M100" s="19">
        <f>IFERROR(BDH(Database!$A100&amp;" HK Equity","CUR_MKT_CAP",Database!$H100,Database!$H100),"")</f>
        <v/>
      </c>
      <c r="N100" s="180">
        <f>Database!Q100</f>
        <v/>
      </c>
      <c r="O100" s="24">
        <f>IFERROR(BDH(Database!$A100&amp;" HK Equity","PE_RATIO",Database!$H100,Database!$H100),"")</f>
        <v/>
      </c>
      <c r="P100" s="184">
        <f>IF(Database!BG100="","(n/m or not derivable)",Database!BG100)</f>
        <v/>
      </c>
      <c r="Q100" s="24">
        <f>IF(Database!BM100="","",IFERROR(BDH(LEFT(Database!BM100,FIND(".",Database!BM100)-1)&amp;" CH Equity","PE_RATIO",Database!$H100,Database!$H100),""))</f>
        <v/>
      </c>
      <c r="R100" s="24">
        <f>IF(Database!BM100="","",IFERROR(BDH("HSAHP Index","PX_LAST",Database!$H100,Database!$H100),""))</f>
        <v/>
      </c>
      <c r="S100" s="24">
        <f>IFERROR(BDP(Database!$A100&amp;" HK Equity","PX_TO_SALES_RATIO"),"")</f>
        <v/>
      </c>
      <c r="T100" s="19">
        <f>IF(Database!BM100="","",IFERROR(BDP(LEFT(Database!BM100,FIND(".",Database!BM100)-1)&amp;" CH Equity","CUR_MKT_CAP"),""))</f>
        <v/>
      </c>
    </row>
    <row r="101">
      <c r="A101" s="17">
        <f>Database!A101&amp;"  "&amp;Database!B101</f>
        <v/>
      </c>
      <c r="B101" s="10">
        <f>IFERROR(INDEX(BDS(Database!$A101&amp;" HK Equity","EQUITY_OFFERINGS","array=t","endcol=1"),MATCH("IPO",BDS(Database!$A101&amp;" HK Equity","EQUITY_OFFERINGS","array=t","startcol=2","endcol=2"),0)),"")</f>
        <v/>
      </c>
      <c r="C101" s="186">
        <f>IF($B101="","",IFERROR(BDP($B101&amp;" Action","CP036"),""))</f>
        <v/>
      </c>
      <c r="D101" s="187">
        <f>Database!S101</f>
        <v/>
      </c>
      <c r="E101" s="186">
        <f>IF($B101="","",IFERROR(BDP($B101&amp;" Action","CP037"),""))</f>
        <v/>
      </c>
      <c r="F101" s="187">
        <f>Database!T101</f>
        <v/>
      </c>
      <c r="G101" s="186">
        <f>IF($B101="","",IFERROR(BDP($B101&amp;" Action","GREENSHOE_FACILITY"),""))</f>
        <v/>
      </c>
      <c r="H101" s="186">
        <f>IF($B101="","",IFERROR(BDP($B101&amp;" Action","OFFERING_GREENSHOE_SHARES_EX"),""))</f>
        <v/>
      </c>
      <c r="I101" s="17">
        <f>Database!AE101</f>
        <v/>
      </c>
      <c r="J101" s="24">
        <f>IFERROR(BDP(Database!$A101&amp;" HK Equity","PE_RATIO"),"")</f>
        <v/>
      </c>
      <c r="K101" s="10">
        <f>IFERROR(BDP(Database!$A101&amp;" HK Equity","A/H_SHARE_CONVERSION"),"")</f>
        <v/>
      </c>
      <c r="L101" s="17">
        <f>IF(Database!BM101="","(none found)",Database!BM101)</f>
        <v/>
      </c>
      <c r="M101" s="19">
        <f>IFERROR(BDH(Database!$A101&amp;" HK Equity","CUR_MKT_CAP",Database!$H101,Database!$H101),"")</f>
        <v/>
      </c>
      <c r="N101" s="180">
        <f>Database!Q101</f>
        <v/>
      </c>
      <c r="O101" s="24">
        <f>IFERROR(BDH(Database!$A101&amp;" HK Equity","PE_RATIO",Database!$H101,Database!$H101),"")</f>
        <v/>
      </c>
      <c r="P101" s="184">
        <f>IF(Database!BG101="","(n/m or not derivable)",Database!BG101)</f>
        <v/>
      </c>
      <c r="Q101" s="24">
        <f>IF(Database!BM101="","",IFERROR(BDH(LEFT(Database!BM101,FIND(".",Database!BM101)-1)&amp;" CH Equity","PE_RATIO",Database!$H101,Database!$H101),""))</f>
        <v/>
      </c>
      <c r="R101" s="24">
        <f>IF(Database!BM101="","",IFERROR(BDH("HSAHP Index","PX_LAST",Database!$H101,Database!$H101),""))</f>
        <v/>
      </c>
      <c r="S101" s="24">
        <f>IFERROR(BDP(Database!$A101&amp;" HK Equity","PX_TO_SALES_RATIO"),"")</f>
        <v/>
      </c>
      <c r="T101" s="19">
        <f>IF(Database!BM101="","",IFERROR(BDP(LEFT(Database!BM101,FIND(".",Database!BM101)-1)&amp;" CH Equity","CUR_MKT_CAP"),""))</f>
        <v/>
      </c>
    </row>
    <row r="102">
      <c r="A102" s="17">
        <f>Database!A102&amp;"  "&amp;Database!B102</f>
        <v/>
      </c>
      <c r="B102" s="10">
        <f>IFERROR(INDEX(BDS(Database!$A102&amp;" HK Equity","EQUITY_OFFERINGS","array=t","endcol=1"),MATCH("IPO",BDS(Database!$A102&amp;" HK Equity","EQUITY_OFFERINGS","array=t","startcol=2","endcol=2"),0)),"")</f>
        <v/>
      </c>
      <c r="C102" s="186">
        <f>IF($B102="","",IFERROR(BDP($B102&amp;" Action","CP036"),""))</f>
        <v/>
      </c>
      <c r="D102" s="187">
        <f>Database!S102</f>
        <v/>
      </c>
      <c r="E102" s="186">
        <f>IF($B102="","",IFERROR(BDP($B102&amp;" Action","CP037"),""))</f>
        <v/>
      </c>
      <c r="F102" s="187">
        <f>Database!T102</f>
        <v/>
      </c>
      <c r="G102" s="186">
        <f>IF($B102="","",IFERROR(BDP($B102&amp;" Action","GREENSHOE_FACILITY"),""))</f>
        <v/>
      </c>
      <c r="H102" s="186">
        <f>IF($B102="","",IFERROR(BDP($B102&amp;" Action","OFFERING_GREENSHOE_SHARES_EX"),""))</f>
        <v/>
      </c>
      <c r="I102" s="17">
        <f>Database!AE102</f>
        <v/>
      </c>
      <c r="J102" s="24">
        <f>IFERROR(BDP(Database!$A102&amp;" HK Equity","PE_RATIO"),"")</f>
        <v/>
      </c>
      <c r="K102" s="10">
        <f>IFERROR(BDP(Database!$A102&amp;" HK Equity","A/H_SHARE_CONVERSION"),"")</f>
        <v/>
      </c>
      <c r="L102" s="17">
        <f>IF(Database!BM102="","(none found)",Database!BM102)</f>
        <v/>
      </c>
      <c r="M102" s="19">
        <f>IFERROR(BDH(Database!$A102&amp;" HK Equity","CUR_MKT_CAP",Database!$H102,Database!$H102),"")</f>
        <v/>
      </c>
      <c r="N102" s="180">
        <f>Database!Q102</f>
        <v/>
      </c>
      <c r="O102" s="24">
        <f>IFERROR(BDH(Database!$A102&amp;" HK Equity","PE_RATIO",Database!$H102,Database!$H102),"")</f>
        <v/>
      </c>
      <c r="P102" s="184">
        <f>IF(Database!BG102="","(n/m or not derivable)",Database!BG102)</f>
        <v/>
      </c>
      <c r="Q102" s="24">
        <f>IF(Database!BM102="","",IFERROR(BDH(LEFT(Database!BM102,FIND(".",Database!BM102)-1)&amp;" CH Equity","PE_RATIO",Database!$H102,Database!$H102),""))</f>
        <v/>
      </c>
      <c r="R102" s="24">
        <f>IF(Database!BM102="","",IFERROR(BDH("HSAHP Index","PX_LAST",Database!$H102,Database!$H102),""))</f>
        <v/>
      </c>
      <c r="S102" s="24">
        <f>IFERROR(BDP(Database!$A102&amp;" HK Equity","PX_TO_SALES_RATIO"),"")</f>
        <v/>
      </c>
      <c r="T102" s="19">
        <f>IF(Database!BM102="","",IFERROR(BDP(LEFT(Database!BM102,FIND(".",Database!BM102)-1)&amp;" CH Equity","CUR_MKT_CAP"),""))</f>
        <v/>
      </c>
    </row>
    <row r="103">
      <c r="A103" s="17">
        <f>Database!A103&amp;"  "&amp;Database!B103</f>
        <v/>
      </c>
      <c r="B103" s="10">
        <f>IFERROR(INDEX(BDS(Database!$A103&amp;" HK Equity","EQUITY_OFFERINGS","array=t","endcol=1"),MATCH("IPO",BDS(Database!$A103&amp;" HK Equity","EQUITY_OFFERINGS","array=t","startcol=2","endcol=2"),0)),"")</f>
        <v/>
      </c>
      <c r="C103" s="186">
        <f>IF($B103="","",IFERROR(BDP($B103&amp;" Action","CP036"),""))</f>
        <v/>
      </c>
      <c r="D103" s="187">
        <f>Database!S103</f>
        <v/>
      </c>
      <c r="E103" s="186">
        <f>IF($B103="","",IFERROR(BDP($B103&amp;" Action","CP037"),""))</f>
        <v/>
      </c>
      <c r="F103" s="187">
        <f>Database!T103</f>
        <v/>
      </c>
      <c r="G103" s="186">
        <f>IF($B103="","",IFERROR(BDP($B103&amp;" Action","GREENSHOE_FACILITY"),""))</f>
        <v/>
      </c>
      <c r="H103" s="186">
        <f>IF($B103="","",IFERROR(BDP($B103&amp;" Action","OFFERING_GREENSHOE_SHARES_EX"),""))</f>
        <v/>
      </c>
      <c r="I103" s="17">
        <f>Database!AE103</f>
        <v/>
      </c>
      <c r="J103" s="24">
        <f>IFERROR(BDP(Database!$A103&amp;" HK Equity","PE_RATIO"),"")</f>
        <v/>
      </c>
      <c r="K103" s="10">
        <f>IFERROR(BDP(Database!$A103&amp;" HK Equity","A/H_SHARE_CONVERSION"),"")</f>
        <v/>
      </c>
      <c r="L103" s="17">
        <f>IF(Database!BM103="","(none found)",Database!BM103)</f>
        <v/>
      </c>
      <c r="M103" s="19">
        <f>IFERROR(BDH(Database!$A103&amp;" HK Equity","CUR_MKT_CAP",Database!$H103,Database!$H103),"")</f>
        <v/>
      </c>
      <c r="N103" s="180">
        <f>Database!Q103</f>
        <v/>
      </c>
      <c r="O103" s="24">
        <f>IFERROR(BDH(Database!$A103&amp;" HK Equity","PE_RATIO",Database!$H103,Database!$H103),"")</f>
        <v/>
      </c>
      <c r="P103" s="184">
        <f>IF(Database!BG103="","(n/m or not derivable)",Database!BG103)</f>
        <v/>
      </c>
      <c r="Q103" s="24">
        <f>IF(Database!BM103="","",IFERROR(BDH(LEFT(Database!BM103,FIND(".",Database!BM103)-1)&amp;" CH Equity","PE_RATIO",Database!$H103,Database!$H103),""))</f>
        <v/>
      </c>
      <c r="R103" s="24">
        <f>IF(Database!BM103="","",IFERROR(BDH("HSAHP Index","PX_LAST",Database!$H103,Database!$H103),""))</f>
        <v/>
      </c>
      <c r="S103" s="24">
        <f>IFERROR(BDP(Database!$A103&amp;" HK Equity","PX_TO_SALES_RATIO"),"")</f>
        <v/>
      </c>
      <c r="T103" s="19">
        <f>IF(Database!BM103="","",IFERROR(BDP(LEFT(Database!BM103,FIND(".",Database!BM103)-1)&amp;" CH Equity","CUR_MKT_CAP"),""))</f>
        <v/>
      </c>
    </row>
    <row r="104">
      <c r="A104" s="17">
        <f>Database!A104&amp;"  "&amp;Database!B104</f>
        <v/>
      </c>
      <c r="B104" s="10">
        <f>IFERROR(INDEX(BDS(Database!$A104&amp;" HK Equity","EQUITY_OFFERINGS","array=t","endcol=1"),MATCH("IPO",BDS(Database!$A104&amp;" HK Equity","EQUITY_OFFERINGS","array=t","startcol=2","endcol=2"),0)),"")</f>
        <v/>
      </c>
      <c r="C104" s="186">
        <f>IF($B104="","",IFERROR(BDP($B104&amp;" Action","CP036"),""))</f>
        <v/>
      </c>
      <c r="D104" s="187">
        <f>Database!S104</f>
        <v/>
      </c>
      <c r="E104" s="186">
        <f>IF($B104="","",IFERROR(BDP($B104&amp;" Action","CP037"),""))</f>
        <v/>
      </c>
      <c r="F104" s="187">
        <f>Database!T104</f>
        <v/>
      </c>
      <c r="G104" s="186">
        <f>IF($B104="","",IFERROR(BDP($B104&amp;" Action","GREENSHOE_FACILITY"),""))</f>
        <v/>
      </c>
      <c r="H104" s="186">
        <f>IF($B104="","",IFERROR(BDP($B104&amp;" Action","OFFERING_GREENSHOE_SHARES_EX"),""))</f>
        <v/>
      </c>
      <c r="I104" s="17">
        <f>Database!AE104</f>
        <v/>
      </c>
      <c r="J104" s="24">
        <f>IFERROR(BDP(Database!$A104&amp;" HK Equity","PE_RATIO"),"")</f>
        <v/>
      </c>
      <c r="K104" s="10">
        <f>IFERROR(BDP(Database!$A104&amp;" HK Equity","A/H_SHARE_CONVERSION"),"")</f>
        <v/>
      </c>
      <c r="L104" s="17">
        <f>IF(Database!BM104="","(none found)",Database!BM104)</f>
        <v/>
      </c>
      <c r="M104" s="19">
        <f>IFERROR(BDH(Database!$A104&amp;" HK Equity","CUR_MKT_CAP",Database!$H104,Database!$H104),"")</f>
        <v/>
      </c>
      <c r="N104" s="180">
        <f>Database!Q104</f>
        <v/>
      </c>
      <c r="O104" s="24">
        <f>IFERROR(BDH(Database!$A104&amp;" HK Equity","PE_RATIO",Database!$H104,Database!$H104),"")</f>
        <v/>
      </c>
      <c r="P104" s="184">
        <f>IF(Database!BG104="","(n/m or not derivable)",Database!BG104)</f>
        <v/>
      </c>
      <c r="Q104" s="24">
        <f>IF(Database!BM104="","",IFERROR(BDH(LEFT(Database!BM104,FIND(".",Database!BM104)-1)&amp;" CH Equity","PE_RATIO",Database!$H104,Database!$H104),""))</f>
        <v/>
      </c>
      <c r="R104" s="24">
        <f>IF(Database!BM104="","",IFERROR(BDH("HSAHP Index","PX_LAST",Database!$H104,Database!$H104),""))</f>
        <v/>
      </c>
      <c r="S104" s="24">
        <f>IFERROR(BDP(Database!$A104&amp;" HK Equity","PX_TO_SALES_RATIO"),"")</f>
        <v/>
      </c>
      <c r="T104" s="19">
        <f>IF(Database!BM104="","",IFERROR(BDP(LEFT(Database!BM104,FIND(".",Database!BM104)-1)&amp;" CH Equity","CUR_MKT_CAP"),""))</f>
        <v/>
      </c>
    </row>
    <row r="105">
      <c r="A105" s="17">
        <f>Database!A105&amp;"  "&amp;Database!B105</f>
        <v/>
      </c>
      <c r="B105" s="10">
        <f>IFERROR(INDEX(BDS(Database!$A105&amp;" HK Equity","EQUITY_OFFERINGS","array=t","endcol=1"),MATCH("IPO",BDS(Database!$A105&amp;" HK Equity","EQUITY_OFFERINGS","array=t","startcol=2","endcol=2"),0)),"")</f>
        <v/>
      </c>
      <c r="C105" s="186">
        <f>IF($B105="","",IFERROR(BDP($B105&amp;" Action","CP036"),""))</f>
        <v/>
      </c>
      <c r="D105" s="187">
        <f>Database!S105</f>
        <v/>
      </c>
      <c r="E105" s="186">
        <f>IF($B105="","",IFERROR(BDP($B105&amp;" Action","CP037"),""))</f>
        <v/>
      </c>
      <c r="F105" s="187">
        <f>Database!T105</f>
        <v/>
      </c>
      <c r="G105" s="186">
        <f>IF($B105="","",IFERROR(BDP($B105&amp;" Action","GREENSHOE_FACILITY"),""))</f>
        <v/>
      </c>
      <c r="H105" s="186">
        <f>IF($B105="","",IFERROR(BDP($B105&amp;" Action","OFFERING_GREENSHOE_SHARES_EX"),""))</f>
        <v/>
      </c>
      <c r="I105" s="17">
        <f>Database!AE105</f>
        <v/>
      </c>
      <c r="J105" s="24">
        <f>IFERROR(BDP(Database!$A105&amp;" HK Equity","PE_RATIO"),"")</f>
        <v/>
      </c>
      <c r="K105" s="10">
        <f>IFERROR(BDP(Database!$A105&amp;" HK Equity","A/H_SHARE_CONVERSION"),"")</f>
        <v/>
      </c>
      <c r="L105" s="17">
        <f>IF(Database!BM105="","(none found)",Database!BM105)</f>
        <v/>
      </c>
      <c r="M105" s="19">
        <f>IFERROR(BDH(Database!$A105&amp;" HK Equity","CUR_MKT_CAP",Database!$H105,Database!$H105),"")</f>
        <v/>
      </c>
      <c r="N105" s="180">
        <f>Database!Q105</f>
        <v/>
      </c>
      <c r="O105" s="24">
        <f>IFERROR(BDH(Database!$A105&amp;" HK Equity","PE_RATIO",Database!$H105,Database!$H105),"")</f>
        <v/>
      </c>
      <c r="P105" s="184">
        <f>IF(Database!BG105="","(n/m or not derivable)",Database!BG105)</f>
        <v/>
      </c>
      <c r="Q105" s="24">
        <f>IF(Database!BM105="","",IFERROR(BDH(LEFT(Database!BM105,FIND(".",Database!BM105)-1)&amp;" CH Equity","PE_RATIO",Database!$H105,Database!$H105),""))</f>
        <v/>
      </c>
      <c r="R105" s="24">
        <f>IF(Database!BM105="","",IFERROR(BDH("HSAHP Index","PX_LAST",Database!$H105,Database!$H105),""))</f>
        <v/>
      </c>
      <c r="S105" s="24">
        <f>IFERROR(BDP(Database!$A105&amp;" HK Equity","PX_TO_SALES_RATIO"),"")</f>
        <v/>
      </c>
      <c r="T105" s="19">
        <f>IF(Database!BM105="","",IFERROR(BDP(LEFT(Database!BM105,FIND(".",Database!BM105)-1)&amp;" CH Equity","CUR_MKT_CAP"),""))</f>
        <v/>
      </c>
    </row>
    <row r="106">
      <c r="A106" s="17">
        <f>Database!A106&amp;"  "&amp;Database!B106</f>
        <v/>
      </c>
      <c r="B106" s="10">
        <f>IFERROR(INDEX(BDS(Database!$A106&amp;" HK Equity","EQUITY_OFFERINGS","array=t","endcol=1"),MATCH("IPO",BDS(Database!$A106&amp;" HK Equity","EQUITY_OFFERINGS","array=t","startcol=2","endcol=2"),0)),"")</f>
        <v/>
      </c>
      <c r="C106" s="186">
        <f>IF($B106="","",IFERROR(BDP($B106&amp;" Action","CP036"),""))</f>
        <v/>
      </c>
      <c r="D106" s="187">
        <f>Database!S106</f>
        <v/>
      </c>
      <c r="E106" s="186">
        <f>IF($B106="","",IFERROR(BDP($B106&amp;" Action","CP037"),""))</f>
        <v/>
      </c>
      <c r="F106" s="187">
        <f>Database!T106</f>
        <v/>
      </c>
      <c r="G106" s="186">
        <f>IF($B106="","",IFERROR(BDP($B106&amp;" Action","GREENSHOE_FACILITY"),""))</f>
        <v/>
      </c>
      <c r="H106" s="186">
        <f>IF($B106="","",IFERROR(BDP($B106&amp;" Action","OFFERING_GREENSHOE_SHARES_EX"),""))</f>
        <v/>
      </c>
      <c r="I106" s="17">
        <f>Database!AE106</f>
        <v/>
      </c>
      <c r="J106" s="24">
        <f>IFERROR(BDP(Database!$A106&amp;" HK Equity","PE_RATIO"),"")</f>
        <v/>
      </c>
      <c r="K106" s="10">
        <f>IFERROR(BDP(Database!$A106&amp;" HK Equity","A/H_SHARE_CONVERSION"),"")</f>
        <v/>
      </c>
      <c r="L106" s="17">
        <f>IF(Database!BM106="","(none found)",Database!BM106)</f>
        <v/>
      </c>
      <c r="M106" s="19">
        <f>IFERROR(BDH(Database!$A106&amp;" HK Equity","CUR_MKT_CAP",Database!$H106,Database!$H106),"")</f>
        <v/>
      </c>
      <c r="N106" s="180">
        <f>Database!Q106</f>
        <v/>
      </c>
      <c r="O106" s="24">
        <f>IFERROR(BDH(Database!$A106&amp;" HK Equity","PE_RATIO",Database!$H106,Database!$H106),"")</f>
        <v/>
      </c>
      <c r="P106" s="184">
        <f>IF(Database!BG106="","(n/m or not derivable)",Database!BG106)</f>
        <v/>
      </c>
      <c r="Q106" s="24">
        <f>IF(Database!BM106="","",IFERROR(BDH(LEFT(Database!BM106,FIND(".",Database!BM106)-1)&amp;" CH Equity","PE_RATIO",Database!$H106,Database!$H106),""))</f>
        <v/>
      </c>
      <c r="R106" s="24">
        <f>IF(Database!BM106="","",IFERROR(BDH("HSAHP Index","PX_LAST",Database!$H106,Database!$H106),""))</f>
        <v/>
      </c>
      <c r="S106" s="24">
        <f>IFERROR(BDP(Database!$A106&amp;" HK Equity","PX_TO_SALES_RATIO"),"")</f>
        <v/>
      </c>
      <c r="T106" s="19">
        <f>IF(Database!BM106="","",IFERROR(BDP(LEFT(Database!BM106,FIND(".",Database!BM106)-1)&amp;" CH Equity","CUR_MKT_CAP"),""))</f>
        <v/>
      </c>
    </row>
    <row r="107">
      <c r="A107" s="17">
        <f>Database!A107&amp;"  "&amp;Database!B107</f>
        <v/>
      </c>
      <c r="B107" s="10">
        <f>IFERROR(INDEX(BDS(Database!$A107&amp;" HK Equity","EQUITY_OFFERINGS","array=t","endcol=1"),MATCH("IPO",BDS(Database!$A107&amp;" HK Equity","EQUITY_OFFERINGS","array=t","startcol=2","endcol=2"),0)),"")</f>
        <v/>
      </c>
      <c r="C107" s="186">
        <f>IF($B107="","",IFERROR(BDP($B107&amp;" Action","CP036"),""))</f>
        <v/>
      </c>
      <c r="D107" s="187">
        <f>Database!S107</f>
        <v/>
      </c>
      <c r="E107" s="186">
        <f>IF($B107="","",IFERROR(BDP($B107&amp;" Action","CP037"),""))</f>
        <v/>
      </c>
      <c r="F107" s="187">
        <f>Database!T107</f>
        <v/>
      </c>
      <c r="G107" s="186">
        <f>IF($B107="","",IFERROR(BDP($B107&amp;" Action","GREENSHOE_FACILITY"),""))</f>
        <v/>
      </c>
      <c r="H107" s="186">
        <f>IF($B107="","",IFERROR(BDP($B107&amp;" Action","OFFERING_GREENSHOE_SHARES_EX"),""))</f>
        <v/>
      </c>
      <c r="I107" s="17">
        <f>Database!AE107</f>
        <v/>
      </c>
      <c r="J107" s="24">
        <f>IFERROR(BDP(Database!$A107&amp;" HK Equity","PE_RATIO"),"")</f>
        <v/>
      </c>
      <c r="K107" s="10">
        <f>IFERROR(BDP(Database!$A107&amp;" HK Equity","A/H_SHARE_CONVERSION"),"")</f>
        <v/>
      </c>
      <c r="L107" s="17">
        <f>IF(Database!BM107="","(none found)",Database!BM107)</f>
        <v/>
      </c>
      <c r="M107" s="19">
        <f>IFERROR(BDH(Database!$A107&amp;" HK Equity","CUR_MKT_CAP",Database!$H107,Database!$H107),"")</f>
        <v/>
      </c>
      <c r="N107" s="180">
        <f>Database!Q107</f>
        <v/>
      </c>
      <c r="O107" s="24">
        <f>IFERROR(BDH(Database!$A107&amp;" HK Equity","PE_RATIO",Database!$H107,Database!$H107),"")</f>
        <v/>
      </c>
      <c r="P107" s="184">
        <f>IF(Database!BG107="","(n/m or not derivable)",Database!BG107)</f>
        <v/>
      </c>
      <c r="Q107" s="24">
        <f>IF(Database!BM107="","",IFERROR(BDH(LEFT(Database!BM107,FIND(".",Database!BM107)-1)&amp;" CH Equity","PE_RATIO",Database!$H107,Database!$H107),""))</f>
        <v/>
      </c>
      <c r="R107" s="24">
        <f>IF(Database!BM107="","",IFERROR(BDH("HSAHP Index","PX_LAST",Database!$H107,Database!$H107),""))</f>
        <v/>
      </c>
      <c r="S107" s="24">
        <f>IFERROR(BDP(Database!$A107&amp;" HK Equity","PX_TO_SALES_RATIO"),"")</f>
        <v/>
      </c>
      <c r="T107" s="19">
        <f>IF(Database!BM107="","",IFERROR(BDP(LEFT(Database!BM107,FIND(".",Database!BM107)-1)&amp;" CH Equity","CUR_MKT_CAP"),""))</f>
        <v/>
      </c>
    </row>
    <row r="108">
      <c r="A108" s="17">
        <f>Database!A108&amp;"  "&amp;Database!B108</f>
        <v/>
      </c>
      <c r="B108" s="10">
        <f>IFERROR(INDEX(BDS(Database!$A108&amp;" HK Equity","EQUITY_OFFERINGS","array=t","endcol=1"),MATCH("IPO",BDS(Database!$A108&amp;" HK Equity","EQUITY_OFFERINGS","array=t","startcol=2","endcol=2"),0)),"")</f>
        <v/>
      </c>
      <c r="C108" s="186">
        <f>IF($B108="","",IFERROR(BDP($B108&amp;" Action","CP036"),""))</f>
        <v/>
      </c>
      <c r="D108" s="187">
        <f>Database!S108</f>
        <v/>
      </c>
      <c r="E108" s="186">
        <f>IF($B108="","",IFERROR(BDP($B108&amp;" Action","CP037"),""))</f>
        <v/>
      </c>
      <c r="F108" s="187">
        <f>Database!T108</f>
        <v/>
      </c>
      <c r="G108" s="186">
        <f>IF($B108="","",IFERROR(BDP($B108&amp;" Action","GREENSHOE_FACILITY"),""))</f>
        <v/>
      </c>
      <c r="H108" s="186">
        <f>IF($B108="","",IFERROR(BDP($B108&amp;" Action","OFFERING_GREENSHOE_SHARES_EX"),""))</f>
        <v/>
      </c>
      <c r="I108" s="17">
        <f>Database!AE108</f>
        <v/>
      </c>
      <c r="J108" s="24">
        <f>IFERROR(BDP(Database!$A108&amp;" HK Equity","PE_RATIO"),"")</f>
        <v/>
      </c>
      <c r="K108" s="10">
        <f>IFERROR(BDP(Database!$A108&amp;" HK Equity","A/H_SHARE_CONVERSION"),"")</f>
        <v/>
      </c>
      <c r="L108" s="17">
        <f>IF(Database!BM108="","(none found)",Database!BM108)</f>
        <v/>
      </c>
      <c r="M108" s="19">
        <f>IFERROR(BDH(Database!$A108&amp;" HK Equity","CUR_MKT_CAP",Database!$H108,Database!$H108),"")</f>
        <v/>
      </c>
      <c r="N108" s="180">
        <f>Database!Q108</f>
        <v/>
      </c>
      <c r="O108" s="24">
        <f>IFERROR(BDH(Database!$A108&amp;" HK Equity","PE_RATIO",Database!$H108,Database!$H108),"")</f>
        <v/>
      </c>
      <c r="P108" s="184">
        <f>IF(Database!BG108="","(n/m or not derivable)",Database!BG108)</f>
        <v/>
      </c>
      <c r="Q108" s="24">
        <f>IF(Database!BM108="","",IFERROR(BDH(LEFT(Database!BM108,FIND(".",Database!BM108)-1)&amp;" CH Equity","PE_RATIO",Database!$H108,Database!$H108),""))</f>
        <v/>
      </c>
      <c r="R108" s="24">
        <f>IF(Database!BM108="","",IFERROR(BDH("HSAHP Index","PX_LAST",Database!$H108,Database!$H108),""))</f>
        <v/>
      </c>
      <c r="S108" s="24">
        <f>IFERROR(BDP(Database!$A108&amp;" HK Equity","PX_TO_SALES_RATIO"),"")</f>
        <v/>
      </c>
      <c r="T108" s="19">
        <f>IF(Database!BM108="","",IFERROR(BDP(LEFT(Database!BM108,FIND(".",Database!BM108)-1)&amp;" CH Equity","CUR_MKT_CAP"),""))</f>
        <v/>
      </c>
    </row>
    <row r="109">
      <c r="A109" s="17">
        <f>Database!A109&amp;"  "&amp;Database!B109</f>
        <v/>
      </c>
      <c r="B109" s="10">
        <f>IFERROR(INDEX(BDS(Database!$A109&amp;" HK Equity","EQUITY_OFFERINGS","array=t","endcol=1"),MATCH("IPO",BDS(Database!$A109&amp;" HK Equity","EQUITY_OFFERINGS","array=t","startcol=2","endcol=2"),0)),"")</f>
        <v/>
      </c>
      <c r="C109" s="186">
        <f>IF($B109="","",IFERROR(BDP($B109&amp;" Action","CP036"),""))</f>
        <v/>
      </c>
      <c r="D109" s="187">
        <f>Database!S109</f>
        <v/>
      </c>
      <c r="E109" s="186">
        <f>IF($B109="","",IFERROR(BDP($B109&amp;" Action","CP037"),""))</f>
        <v/>
      </c>
      <c r="F109" s="187">
        <f>Database!T109</f>
        <v/>
      </c>
      <c r="G109" s="186">
        <f>IF($B109="","",IFERROR(BDP($B109&amp;" Action","GREENSHOE_FACILITY"),""))</f>
        <v/>
      </c>
      <c r="H109" s="186">
        <f>IF($B109="","",IFERROR(BDP($B109&amp;" Action","OFFERING_GREENSHOE_SHARES_EX"),""))</f>
        <v/>
      </c>
      <c r="I109" s="17">
        <f>Database!AE109</f>
        <v/>
      </c>
      <c r="J109" s="24">
        <f>IFERROR(BDP(Database!$A109&amp;" HK Equity","PE_RATIO"),"")</f>
        <v/>
      </c>
      <c r="K109" s="10">
        <f>IFERROR(BDP(Database!$A109&amp;" HK Equity","A/H_SHARE_CONVERSION"),"")</f>
        <v/>
      </c>
      <c r="L109" s="17">
        <f>IF(Database!BM109="","(none found)",Database!BM109)</f>
        <v/>
      </c>
      <c r="M109" s="19">
        <f>IFERROR(BDH(Database!$A109&amp;" HK Equity","CUR_MKT_CAP",Database!$H109,Database!$H109),"")</f>
        <v/>
      </c>
      <c r="N109" s="180">
        <f>Database!Q109</f>
        <v/>
      </c>
      <c r="O109" s="24">
        <f>IFERROR(BDH(Database!$A109&amp;" HK Equity","PE_RATIO",Database!$H109,Database!$H109),"")</f>
        <v/>
      </c>
      <c r="P109" s="184">
        <f>IF(Database!BG109="","(n/m or not derivable)",Database!BG109)</f>
        <v/>
      </c>
      <c r="Q109" s="24">
        <f>IF(Database!BM109="","",IFERROR(BDH(LEFT(Database!BM109,FIND(".",Database!BM109)-1)&amp;" CH Equity","PE_RATIO",Database!$H109,Database!$H109),""))</f>
        <v/>
      </c>
      <c r="R109" s="24">
        <f>IF(Database!BM109="","",IFERROR(BDH("HSAHP Index","PX_LAST",Database!$H109,Database!$H109),""))</f>
        <v/>
      </c>
      <c r="S109" s="24">
        <f>IFERROR(BDP(Database!$A109&amp;" HK Equity","PX_TO_SALES_RATIO"),"")</f>
        <v/>
      </c>
      <c r="T109" s="19">
        <f>IF(Database!BM109="","",IFERROR(BDP(LEFT(Database!BM109,FIND(".",Database!BM109)-1)&amp;" CH Equity","CUR_MKT_CAP"),""))</f>
        <v/>
      </c>
    </row>
    <row r="110">
      <c r="A110" s="17">
        <f>Database!A110&amp;"  "&amp;Database!B110</f>
        <v/>
      </c>
      <c r="B110" s="10">
        <f>IFERROR(INDEX(BDS(Database!$A110&amp;" HK Equity","EQUITY_OFFERINGS","array=t","endcol=1"),MATCH("IPO",BDS(Database!$A110&amp;" HK Equity","EQUITY_OFFERINGS","array=t","startcol=2","endcol=2"),0)),"")</f>
        <v/>
      </c>
      <c r="C110" s="186">
        <f>IF($B110="","",IFERROR(BDP($B110&amp;" Action","CP036"),""))</f>
        <v/>
      </c>
      <c r="D110" s="187">
        <f>Database!S110</f>
        <v/>
      </c>
      <c r="E110" s="186">
        <f>IF($B110="","",IFERROR(BDP($B110&amp;" Action","CP037"),""))</f>
        <v/>
      </c>
      <c r="F110" s="187">
        <f>Database!T110</f>
        <v/>
      </c>
      <c r="G110" s="186">
        <f>IF($B110="","",IFERROR(BDP($B110&amp;" Action","GREENSHOE_FACILITY"),""))</f>
        <v/>
      </c>
      <c r="H110" s="186">
        <f>IF($B110="","",IFERROR(BDP($B110&amp;" Action","OFFERING_GREENSHOE_SHARES_EX"),""))</f>
        <v/>
      </c>
      <c r="I110" s="17">
        <f>Database!AE110</f>
        <v/>
      </c>
      <c r="J110" s="24">
        <f>IFERROR(BDP(Database!$A110&amp;" HK Equity","PE_RATIO"),"")</f>
        <v/>
      </c>
      <c r="K110" s="10">
        <f>IFERROR(BDP(Database!$A110&amp;" HK Equity","A/H_SHARE_CONVERSION"),"")</f>
        <v/>
      </c>
      <c r="L110" s="17">
        <f>IF(Database!BM110="","(none found)",Database!BM110)</f>
        <v/>
      </c>
      <c r="M110" s="19">
        <f>IFERROR(BDH(Database!$A110&amp;" HK Equity","CUR_MKT_CAP",Database!$H110,Database!$H110),"")</f>
        <v/>
      </c>
      <c r="N110" s="180">
        <f>Database!Q110</f>
        <v/>
      </c>
      <c r="O110" s="24">
        <f>IFERROR(BDH(Database!$A110&amp;" HK Equity","PE_RATIO",Database!$H110,Database!$H110),"")</f>
        <v/>
      </c>
      <c r="P110" s="184">
        <f>IF(Database!BG110="","(n/m or not derivable)",Database!BG110)</f>
        <v/>
      </c>
      <c r="Q110" s="24">
        <f>IF(Database!BM110="","",IFERROR(BDH(LEFT(Database!BM110,FIND(".",Database!BM110)-1)&amp;" CH Equity","PE_RATIO",Database!$H110,Database!$H110),""))</f>
        <v/>
      </c>
      <c r="R110" s="24">
        <f>IF(Database!BM110="","",IFERROR(BDH("HSAHP Index","PX_LAST",Database!$H110,Database!$H110),""))</f>
        <v/>
      </c>
      <c r="S110" s="24">
        <f>IFERROR(BDP(Database!$A110&amp;" HK Equity","PX_TO_SALES_RATIO"),"")</f>
        <v/>
      </c>
      <c r="T110" s="19">
        <f>IF(Database!BM110="","",IFERROR(BDP(LEFT(Database!BM110,FIND(".",Database!BM110)-1)&amp;" CH Equity","CUR_MKT_CAP"),""))</f>
        <v/>
      </c>
    </row>
    <row r="111">
      <c r="A111" s="17">
        <f>Database!A111&amp;"  "&amp;Database!B111</f>
        <v/>
      </c>
      <c r="B111" s="10">
        <f>IFERROR(INDEX(BDS(Database!$A111&amp;" HK Equity","EQUITY_OFFERINGS","array=t","endcol=1"),MATCH("IPO",BDS(Database!$A111&amp;" HK Equity","EQUITY_OFFERINGS","array=t","startcol=2","endcol=2"),0)),"")</f>
        <v/>
      </c>
      <c r="C111" s="186">
        <f>IF($B111="","",IFERROR(BDP($B111&amp;" Action","CP036"),""))</f>
        <v/>
      </c>
      <c r="D111" s="187">
        <f>Database!S111</f>
        <v/>
      </c>
      <c r="E111" s="186">
        <f>IF($B111="","",IFERROR(BDP($B111&amp;" Action","CP037"),""))</f>
        <v/>
      </c>
      <c r="F111" s="187">
        <f>Database!T111</f>
        <v/>
      </c>
      <c r="G111" s="186">
        <f>IF($B111="","",IFERROR(BDP($B111&amp;" Action","GREENSHOE_FACILITY"),""))</f>
        <v/>
      </c>
      <c r="H111" s="186">
        <f>IF($B111="","",IFERROR(BDP($B111&amp;" Action","OFFERING_GREENSHOE_SHARES_EX"),""))</f>
        <v/>
      </c>
      <c r="I111" s="17">
        <f>Database!AE111</f>
        <v/>
      </c>
      <c r="J111" s="24">
        <f>IFERROR(BDP(Database!$A111&amp;" HK Equity","PE_RATIO"),"")</f>
        <v/>
      </c>
      <c r="K111" s="10">
        <f>IFERROR(BDP(Database!$A111&amp;" HK Equity","A/H_SHARE_CONVERSION"),"")</f>
        <v/>
      </c>
      <c r="L111" s="17">
        <f>IF(Database!BM111="","(none found)",Database!BM111)</f>
        <v/>
      </c>
      <c r="M111" s="19">
        <f>IFERROR(BDH(Database!$A111&amp;" HK Equity","CUR_MKT_CAP",Database!$H111,Database!$H111),"")</f>
        <v/>
      </c>
      <c r="N111" s="180">
        <f>Database!Q111</f>
        <v/>
      </c>
      <c r="O111" s="24">
        <f>IFERROR(BDH(Database!$A111&amp;" HK Equity","PE_RATIO",Database!$H111,Database!$H111),"")</f>
        <v/>
      </c>
      <c r="P111" s="184">
        <f>IF(Database!BG111="","(n/m or not derivable)",Database!BG111)</f>
        <v/>
      </c>
      <c r="Q111" s="24">
        <f>IF(Database!BM111="","",IFERROR(BDH(LEFT(Database!BM111,FIND(".",Database!BM111)-1)&amp;" CH Equity","PE_RATIO",Database!$H111,Database!$H111),""))</f>
        <v/>
      </c>
      <c r="R111" s="24">
        <f>IF(Database!BM111="","",IFERROR(BDH("HSAHP Index","PX_LAST",Database!$H111,Database!$H111),""))</f>
        <v/>
      </c>
      <c r="S111" s="24">
        <f>IFERROR(BDP(Database!$A111&amp;" HK Equity","PX_TO_SALES_RATIO"),"")</f>
        <v/>
      </c>
      <c r="T111" s="19">
        <f>IF(Database!BM111="","",IFERROR(BDP(LEFT(Database!BM111,FIND(".",Database!BM111)-1)&amp;" CH Equity","CUR_MKT_CAP"),""))</f>
        <v/>
      </c>
    </row>
    <row r="112">
      <c r="A112" s="17">
        <f>Database!A112&amp;"  "&amp;Database!B112</f>
        <v/>
      </c>
      <c r="B112" s="10">
        <f>IFERROR(INDEX(BDS(Database!$A112&amp;" HK Equity","EQUITY_OFFERINGS","array=t","endcol=1"),MATCH("IPO",BDS(Database!$A112&amp;" HK Equity","EQUITY_OFFERINGS","array=t","startcol=2","endcol=2"),0)),"")</f>
        <v/>
      </c>
      <c r="C112" s="186">
        <f>IF($B112="","",IFERROR(BDP($B112&amp;" Action","CP036"),""))</f>
        <v/>
      </c>
      <c r="D112" s="187">
        <f>Database!S112</f>
        <v/>
      </c>
      <c r="E112" s="186">
        <f>IF($B112="","",IFERROR(BDP($B112&amp;" Action","CP037"),""))</f>
        <v/>
      </c>
      <c r="F112" s="187">
        <f>Database!T112</f>
        <v/>
      </c>
      <c r="G112" s="186">
        <f>IF($B112="","",IFERROR(BDP($B112&amp;" Action","GREENSHOE_FACILITY"),""))</f>
        <v/>
      </c>
      <c r="H112" s="186">
        <f>IF($B112="","",IFERROR(BDP($B112&amp;" Action","OFFERING_GREENSHOE_SHARES_EX"),""))</f>
        <v/>
      </c>
      <c r="I112" s="17">
        <f>Database!AE112</f>
        <v/>
      </c>
      <c r="J112" s="24">
        <f>IFERROR(BDP(Database!$A112&amp;" HK Equity","PE_RATIO"),"")</f>
        <v/>
      </c>
      <c r="K112" s="10">
        <f>IFERROR(BDP(Database!$A112&amp;" HK Equity","A/H_SHARE_CONVERSION"),"")</f>
        <v/>
      </c>
      <c r="L112" s="17">
        <f>IF(Database!BM112="","(none found)",Database!BM112)</f>
        <v/>
      </c>
      <c r="M112" s="19">
        <f>IFERROR(BDH(Database!$A112&amp;" HK Equity","CUR_MKT_CAP",Database!$H112,Database!$H112),"")</f>
        <v/>
      </c>
      <c r="N112" s="180">
        <f>Database!Q112</f>
        <v/>
      </c>
      <c r="O112" s="24">
        <f>IFERROR(BDH(Database!$A112&amp;" HK Equity","PE_RATIO",Database!$H112,Database!$H112),"")</f>
        <v/>
      </c>
      <c r="P112" s="184">
        <f>IF(Database!BG112="","(n/m or not derivable)",Database!BG112)</f>
        <v/>
      </c>
      <c r="Q112" s="24">
        <f>IF(Database!BM112="","",IFERROR(BDH(LEFT(Database!BM112,FIND(".",Database!BM112)-1)&amp;" CH Equity","PE_RATIO",Database!$H112,Database!$H112),""))</f>
        <v/>
      </c>
      <c r="R112" s="24">
        <f>IF(Database!BM112="","",IFERROR(BDH("HSAHP Index","PX_LAST",Database!$H112,Database!$H112),""))</f>
        <v/>
      </c>
      <c r="S112" s="24">
        <f>IFERROR(BDP(Database!$A112&amp;" HK Equity","PX_TO_SALES_RATIO"),"")</f>
        <v/>
      </c>
      <c r="T112" s="19">
        <f>IF(Database!BM112="","",IFERROR(BDP(LEFT(Database!BM112,FIND(".",Database!BM112)-1)&amp;" CH Equity","CUR_MKT_CAP"),""))</f>
        <v/>
      </c>
    </row>
    <row r="113">
      <c r="A113" s="17">
        <f>Database!A113&amp;"  "&amp;Database!B113</f>
        <v/>
      </c>
      <c r="B113" s="10">
        <f>IFERROR(INDEX(BDS(Database!$A113&amp;" HK Equity","EQUITY_OFFERINGS","array=t","endcol=1"),MATCH("IPO",BDS(Database!$A113&amp;" HK Equity","EQUITY_OFFERINGS","array=t","startcol=2","endcol=2"),0)),"")</f>
        <v/>
      </c>
      <c r="C113" s="186">
        <f>IF($B113="","",IFERROR(BDP($B113&amp;" Action","CP036"),""))</f>
        <v/>
      </c>
      <c r="D113" s="187">
        <f>Database!S113</f>
        <v/>
      </c>
      <c r="E113" s="186">
        <f>IF($B113="","",IFERROR(BDP($B113&amp;" Action","CP037"),""))</f>
        <v/>
      </c>
      <c r="F113" s="187">
        <f>Database!T113</f>
        <v/>
      </c>
      <c r="G113" s="186">
        <f>IF($B113="","",IFERROR(BDP($B113&amp;" Action","GREENSHOE_FACILITY"),""))</f>
        <v/>
      </c>
      <c r="H113" s="186">
        <f>IF($B113="","",IFERROR(BDP($B113&amp;" Action","OFFERING_GREENSHOE_SHARES_EX"),""))</f>
        <v/>
      </c>
      <c r="I113" s="17">
        <f>Database!AE113</f>
        <v/>
      </c>
      <c r="J113" s="24">
        <f>IFERROR(BDP(Database!$A113&amp;" HK Equity","PE_RATIO"),"")</f>
        <v/>
      </c>
      <c r="K113" s="10">
        <f>IFERROR(BDP(Database!$A113&amp;" HK Equity","A/H_SHARE_CONVERSION"),"")</f>
        <v/>
      </c>
      <c r="L113" s="17">
        <f>IF(Database!BM113="","(none found)",Database!BM113)</f>
        <v/>
      </c>
      <c r="M113" s="19">
        <f>IFERROR(BDH(Database!$A113&amp;" HK Equity","CUR_MKT_CAP",Database!$H113,Database!$H113),"")</f>
        <v/>
      </c>
      <c r="N113" s="180">
        <f>Database!Q113</f>
        <v/>
      </c>
      <c r="O113" s="24">
        <f>IFERROR(BDH(Database!$A113&amp;" HK Equity","PE_RATIO",Database!$H113,Database!$H113),"")</f>
        <v/>
      </c>
      <c r="P113" s="184">
        <f>IF(Database!BG113="","(n/m or not derivable)",Database!BG113)</f>
        <v/>
      </c>
      <c r="Q113" s="24">
        <f>IF(Database!BM113="","",IFERROR(BDH(LEFT(Database!BM113,FIND(".",Database!BM113)-1)&amp;" CH Equity","PE_RATIO",Database!$H113,Database!$H113),""))</f>
        <v/>
      </c>
      <c r="R113" s="24">
        <f>IF(Database!BM113="","",IFERROR(BDH("HSAHP Index","PX_LAST",Database!$H113,Database!$H113),""))</f>
        <v/>
      </c>
      <c r="S113" s="24">
        <f>IFERROR(BDP(Database!$A113&amp;" HK Equity","PX_TO_SALES_RATIO"),"")</f>
        <v/>
      </c>
      <c r="T113" s="19">
        <f>IF(Database!BM113="","",IFERROR(BDP(LEFT(Database!BM113,FIND(".",Database!BM113)-1)&amp;" CH Equity","CUR_MKT_CAP"),""))</f>
        <v/>
      </c>
    </row>
    <row r="114">
      <c r="A114" s="17">
        <f>Database!A114&amp;"  "&amp;Database!B114</f>
        <v/>
      </c>
      <c r="B114" s="10">
        <f>IFERROR(INDEX(BDS(Database!$A114&amp;" HK Equity","EQUITY_OFFERINGS","array=t","endcol=1"),MATCH("IPO",BDS(Database!$A114&amp;" HK Equity","EQUITY_OFFERINGS","array=t","startcol=2","endcol=2"),0)),"")</f>
        <v/>
      </c>
      <c r="C114" s="186">
        <f>IF($B114="","",IFERROR(BDP($B114&amp;" Action","CP036"),""))</f>
        <v/>
      </c>
      <c r="D114" s="187">
        <f>Database!S114</f>
        <v/>
      </c>
      <c r="E114" s="186">
        <f>IF($B114="","",IFERROR(BDP($B114&amp;" Action","CP037"),""))</f>
        <v/>
      </c>
      <c r="F114" s="187">
        <f>Database!T114</f>
        <v/>
      </c>
      <c r="G114" s="186">
        <f>IF($B114="","",IFERROR(BDP($B114&amp;" Action","GREENSHOE_FACILITY"),""))</f>
        <v/>
      </c>
      <c r="H114" s="186">
        <f>IF($B114="","",IFERROR(BDP($B114&amp;" Action","OFFERING_GREENSHOE_SHARES_EX"),""))</f>
        <v/>
      </c>
      <c r="I114" s="17">
        <f>Database!AE114</f>
        <v/>
      </c>
      <c r="J114" s="24">
        <f>IFERROR(BDP(Database!$A114&amp;" HK Equity","PE_RATIO"),"")</f>
        <v/>
      </c>
      <c r="K114" s="10">
        <f>IFERROR(BDP(Database!$A114&amp;" HK Equity","A/H_SHARE_CONVERSION"),"")</f>
        <v/>
      </c>
      <c r="L114" s="17">
        <f>IF(Database!BM114="","(none found)",Database!BM114)</f>
        <v/>
      </c>
      <c r="M114" s="19">
        <f>IFERROR(BDH(Database!$A114&amp;" HK Equity","CUR_MKT_CAP",Database!$H114,Database!$H114),"")</f>
        <v/>
      </c>
      <c r="N114" s="180">
        <f>Database!Q114</f>
        <v/>
      </c>
      <c r="O114" s="24">
        <f>IFERROR(BDH(Database!$A114&amp;" HK Equity","PE_RATIO",Database!$H114,Database!$H114),"")</f>
        <v/>
      </c>
      <c r="P114" s="184">
        <f>IF(Database!BG114="","(n/m or not derivable)",Database!BG114)</f>
        <v/>
      </c>
      <c r="Q114" s="24">
        <f>IF(Database!BM114="","",IFERROR(BDH(LEFT(Database!BM114,FIND(".",Database!BM114)-1)&amp;" CH Equity","PE_RATIO",Database!$H114,Database!$H114),""))</f>
        <v/>
      </c>
      <c r="R114" s="24">
        <f>IF(Database!BM114="","",IFERROR(BDH("HSAHP Index","PX_LAST",Database!$H114,Database!$H114),""))</f>
        <v/>
      </c>
      <c r="S114" s="24">
        <f>IFERROR(BDP(Database!$A114&amp;" HK Equity","PX_TO_SALES_RATIO"),"")</f>
        <v/>
      </c>
      <c r="T114" s="19">
        <f>IF(Database!BM114="","",IFERROR(BDP(LEFT(Database!BM114,FIND(".",Database!BM114)-1)&amp;" CH Equity","CUR_MKT_CAP"),""))</f>
        <v/>
      </c>
    </row>
    <row r="115">
      <c r="A115" s="17">
        <f>Database!A115&amp;"  "&amp;Database!B115</f>
        <v/>
      </c>
      <c r="B115" s="10">
        <f>IFERROR(INDEX(BDS(Database!$A115&amp;" HK Equity","EQUITY_OFFERINGS","array=t","endcol=1"),MATCH("IPO",BDS(Database!$A115&amp;" HK Equity","EQUITY_OFFERINGS","array=t","startcol=2","endcol=2"),0)),"")</f>
        <v/>
      </c>
      <c r="C115" s="186">
        <f>IF($B115="","",IFERROR(BDP($B115&amp;" Action","CP036"),""))</f>
        <v/>
      </c>
      <c r="D115" s="187">
        <f>Database!S115</f>
        <v/>
      </c>
      <c r="E115" s="186">
        <f>IF($B115="","",IFERROR(BDP($B115&amp;" Action","CP037"),""))</f>
        <v/>
      </c>
      <c r="F115" s="187">
        <f>Database!T115</f>
        <v/>
      </c>
      <c r="G115" s="186">
        <f>IF($B115="","",IFERROR(BDP($B115&amp;" Action","GREENSHOE_FACILITY"),""))</f>
        <v/>
      </c>
      <c r="H115" s="186">
        <f>IF($B115="","",IFERROR(BDP($B115&amp;" Action","OFFERING_GREENSHOE_SHARES_EX"),""))</f>
        <v/>
      </c>
      <c r="I115" s="17">
        <f>Database!AE115</f>
        <v/>
      </c>
      <c r="J115" s="24">
        <f>IFERROR(BDP(Database!$A115&amp;" HK Equity","PE_RATIO"),"")</f>
        <v/>
      </c>
      <c r="K115" s="10">
        <f>IFERROR(BDP(Database!$A115&amp;" HK Equity","A/H_SHARE_CONVERSION"),"")</f>
        <v/>
      </c>
      <c r="L115" s="17">
        <f>IF(Database!BM115="","(none found)",Database!BM115)</f>
        <v/>
      </c>
      <c r="M115" s="19">
        <f>IFERROR(BDH(Database!$A115&amp;" HK Equity","CUR_MKT_CAP",Database!$H115,Database!$H115),"")</f>
        <v/>
      </c>
      <c r="N115" s="180">
        <f>Database!Q115</f>
        <v/>
      </c>
      <c r="O115" s="24">
        <f>IFERROR(BDH(Database!$A115&amp;" HK Equity","PE_RATIO",Database!$H115,Database!$H115),"")</f>
        <v/>
      </c>
      <c r="P115" s="184">
        <f>IF(Database!BG115="","(n/m or not derivable)",Database!BG115)</f>
        <v/>
      </c>
      <c r="Q115" s="24">
        <f>IF(Database!BM115="","",IFERROR(BDH(LEFT(Database!BM115,FIND(".",Database!BM115)-1)&amp;" CH Equity","PE_RATIO",Database!$H115,Database!$H115),""))</f>
        <v/>
      </c>
      <c r="R115" s="24">
        <f>IF(Database!BM115="","",IFERROR(BDH("HSAHP Index","PX_LAST",Database!$H115,Database!$H115),""))</f>
        <v/>
      </c>
      <c r="S115" s="24">
        <f>IFERROR(BDP(Database!$A115&amp;" HK Equity","PX_TO_SALES_RATIO"),"")</f>
        <v/>
      </c>
      <c r="T115" s="19">
        <f>IF(Database!BM115="","",IFERROR(BDP(LEFT(Database!BM115,FIND(".",Database!BM115)-1)&amp;" CH Equity","CUR_MKT_CAP"),""))</f>
        <v/>
      </c>
    </row>
    <row r="116">
      <c r="A116" s="17">
        <f>Database!A116&amp;"  "&amp;Database!B116</f>
        <v/>
      </c>
      <c r="B116" s="10">
        <f>IFERROR(INDEX(BDS(Database!$A116&amp;" HK Equity","EQUITY_OFFERINGS","array=t","endcol=1"),MATCH("IPO",BDS(Database!$A116&amp;" HK Equity","EQUITY_OFFERINGS","array=t","startcol=2","endcol=2"),0)),"")</f>
        <v/>
      </c>
      <c r="C116" s="186">
        <f>IF($B116="","",IFERROR(BDP($B116&amp;" Action","CP036"),""))</f>
        <v/>
      </c>
      <c r="D116" s="187">
        <f>Database!S116</f>
        <v/>
      </c>
      <c r="E116" s="186">
        <f>IF($B116="","",IFERROR(BDP($B116&amp;" Action","CP037"),""))</f>
        <v/>
      </c>
      <c r="F116" s="187">
        <f>Database!T116</f>
        <v/>
      </c>
      <c r="G116" s="186">
        <f>IF($B116="","",IFERROR(BDP($B116&amp;" Action","GREENSHOE_FACILITY"),""))</f>
        <v/>
      </c>
      <c r="H116" s="186">
        <f>IF($B116="","",IFERROR(BDP($B116&amp;" Action","OFFERING_GREENSHOE_SHARES_EX"),""))</f>
        <v/>
      </c>
      <c r="I116" s="17">
        <f>Database!AE116</f>
        <v/>
      </c>
      <c r="J116" s="24">
        <f>IFERROR(BDP(Database!$A116&amp;" HK Equity","PE_RATIO"),"")</f>
        <v/>
      </c>
      <c r="K116" s="10">
        <f>IFERROR(BDP(Database!$A116&amp;" HK Equity","A/H_SHARE_CONVERSION"),"")</f>
        <v/>
      </c>
      <c r="L116" s="17">
        <f>IF(Database!BM116="","(none found)",Database!BM116)</f>
        <v/>
      </c>
      <c r="M116" s="19">
        <f>IFERROR(BDH(Database!$A116&amp;" HK Equity","CUR_MKT_CAP",Database!$H116,Database!$H116),"")</f>
        <v/>
      </c>
      <c r="N116" s="180">
        <f>Database!Q116</f>
        <v/>
      </c>
      <c r="O116" s="24">
        <f>IFERROR(BDH(Database!$A116&amp;" HK Equity","PE_RATIO",Database!$H116,Database!$H116),"")</f>
        <v/>
      </c>
      <c r="P116" s="184">
        <f>IF(Database!BG116="","(n/m or not derivable)",Database!BG116)</f>
        <v/>
      </c>
      <c r="Q116" s="24">
        <f>IF(Database!BM116="","",IFERROR(BDH(LEFT(Database!BM116,FIND(".",Database!BM116)-1)&amp;" CH Equity","PE_RATIO",Database!$H116,Database!$H116),""))</f>
        <v/>
      </c>
      <c r="R116" s="24">
        <f>IF(Database!BM116="","",IFERROR(BDH("HSAHP Index","PX_LAST",Database!$H116,Database!$H116),""))</f>
        <v/>
      </c>
      <c r="S116" s="24">
        <f>IFERROR(BDP(Database!$A116&amp;" HK Equity","PX_TO_SALES_RATIO"),"")</f>
        <v/>
      </c>
      <c r="T116" s="19">
        <f>IF(Database!BM116="","",IFERROR(BDP(LEFT(Database!BM116,FIND(".",Database!BM116)-1)&amp;" CH Equity","CUR_MKT_CAP"),""))</f>
        <v/>
      </c>
    </row>
    <row r="117">
      <c r="A117" s="17">
        <f>Database!A117&amp;"  "&amp;Database!B117</f>
        <v/>
      </c>
      <c r="B117" s="10">
        <f>IFERROR(INDEX(BDS(Database!$A117&amp;" HK Equity","EQUITY_OFFERINGS","array=t","endcol=1"),MATCH("IPO",BDS(Database!$A117&amp;" HK Equity","EQUITY_OFFERINGS","array=t","startcol=2","endcol=2"),0)),"")</f>
        <v/>
      </c>
      <c r="C117" s="186">
        <f>IF($B117="","",IFERROR(BDP($B117&amp;" Action","CP036"),""))</f>
        <v/>
      </c>
      <c r="D117" s="187">
        <f>Database!S117</f>
        <v/>
      </c>
      <c r="E117" s="186">
        <f>IF($B117="","",IFERROR(BDP($B117&amp;" Action","CP037"),""))</f>
        <v/>
      </c>
      <c r="F117" s="187">
        <f>Database!T117</f>
        <v/>
      </c>
      <c r="G117" s="186">
        <f>IF($B117="","",IFERROR(BDP($B117&amp;" Action","GREENSHOE_FACILITY"),""))</f>
        <v/>
      </c>
      <c r="H117" s="186">
        <f>IF($B117="","",IFERROR(BDP($B117&amp;" Action","OFFERING_GREENSHOE_SHARES_EX"),""))</f>
        <v/>
      </c>
      <c r="I117" s="17">
        <f>Database!AE117</f>
        <v/>
      </c>
      <c r="J117" s="24">
        <f>IFERROR(BDP(Database!$A117&amp;" HK Equity","PE_RATIO"),"")</f>
        <v/>
      </c>
      <c r="K117" s="10">
        <f>IFERROR(BDP(Database!$A117&amp;" HK Equity","A/H_SHARE_CONVERSION"),"")</f>
        <v/>
      </c>
      <c r="L117" s="17">
        <f>IF(Database!BM117="","(none found)",Database!BM117)</f>
        <v/>
      </c>
      <c r="M117" s="19">
        <f>IFERROR(BDH(Database!$A117&amp;" HK Equity","CUR_MKT_CAP",Database!$H117,Database!$H117),"")</f>
        <v/>
      </c>
      <c r="N117" s="180">
        <f>Database!Q117</f>
        <v/>
      </c>
      <c r="O117" s="24">
        <f>IFERROR(BDH(Database!$A117&amp;" HK Equity","PE_RATIO",Database!$H117,Database!$H117),"")</f>
        <v/>
      </c>
      <c r="P117" s="184">
        <f>IF(Database!BG117="","(n/m or not derivable)",Database!BG117)</f>
        <v/>
      </c>
      <c r="Q117" s="24">
        <f>IF(Database!BM117="","",IFERROR(BDH(LEFT(Database!BM117,FIND(".",Database!BM117)-1)&amp;" CH Equity","PE_RATIO",Database!$H117,Database!$H117),""))</f>
        <v/>
      </c>
      <c r="R117" s="24">
        <f>IF(Database!BM117="","",IFERROR(BDH("HSAHP Index","PX_LAST",Database!$H117,Database!$H117),""))</f>
        <v/>
      </c>
      <c r="S117" s="24">
        <f>IFERROR(BDP(Database!$A117&amp;" HK Equity","PX_TO_SALES_RATIO"),"")</f>
        <v/>
      </c>
      <c r="T117" s="19">
        <f>IF(Database!BM117="","",IFERROR(BDP(LEFT(Database!BM117,FIND(".",Database!BM117)-1)&amp;" CH Equity","CUR_MKT_CAP"),""))</f>
        <v/>
      </c>
    </row>
    <row r="118">
      <c r="A118" s="17">
        <f>Database!A118&amp;"  "&amp;Database!B118</f>
        <v/>
      </c>
      <c r="B118" s="10">
        <f>IFERROR(INDEX(BDS(Database!$A118&amp;" HK Equity","EQUITY_OFFERINGS","array=t","endcol=1"),MATCH("IPO",BDS(Database!$A118&amp;" HK Equity","EQUITY_OFFERINGS","array=t","startcol=2","endcol=2"),0)),"")</f>
        <v/>
      </c>
      <c r="C118" s="186">
        <f>IF($B118="","",IFERROR(BDP($B118&amp;" Action","CP036"),""))</f>
        <v/>
      </c>
      <c r="D118" s="187">
        <f>Database!S118</f>
        <v/>
      </c>
      <c r="E118" s="186">
        <f>IF($B118="","",IFERROR(BDP($B118&amp;" Action","CP037"),""))</f>
        <v/>
      </c>
      <c r="F118" s="187">
        <f>Database!T118</f>
        <v/>
      </c>
      <c r="G118" s="186">
        <f>IF($B118="","",IFERROR(BDP($B118&amp;" Action","GREENSHOE_FACILITY"),""))</f>
        <v/>
      </c>
      <c r="H118" s="186">
        <f>IF($B118="","",IFERROR(BDP($B118&amp;" Action","OFFERING_GREENSHOE_SHARES_EX"),""))</f>
        <v/>
      </c>
      <c r="I118" s="17">
        <f>Database!AE118</f>
        <v/>
      </c>
      <c r="J118" s="24">
        <f>IFERROR(BDP(Database!$A118&amp;" HK Equity","PE_RATIO"),"")</f>
        <v/>
      </c>
      <c r="K118" s="10">
        <f>IFERROR(BDP(Database!$A118&amp;" HK Equity","A/H_SHARE_CONVERSION"),"")</f>
        <v/>
      </c>
      <c r="L118" s="17">
        <f>IF(Database!BM118="","(none found)",Database!BM118)</f>
        <v/>
      </c>
      <c r="M118" s="19">
        <f>IFERROR(BDH(Database!$A118&amp;" HK Equity","CUR_MKT_CAP",Database!$H118,Database!$H118),"")</f>
        <v/>
      </c>
      <c r="N118" s="180">
        <f>Database!Q118</f>
        <v/>
      </c>
      <c r="O118" s="24">
        <f>IFERROR(BDH(Database!$A118&amp;" HK Equity","PE_RATIO",Database!$H118,Database!$H118),"")</f>
        <v/>
      </c>
      <c r="P118" s="184">
        <f>IF(Database!BG118="","(n/m or not derivable)",Database!BG118)</f>
        <v/>
      </c>
      <c r="Q118" s="24">
        <f>IF(Database!BM118="","",IFERROR(BDH(LEFT(Database!BM118,FIND(".",Database!BM118)-1)&amp;" CH Equity","PE_RATIO",Database!$H118,Database!$H118),""))</f>
        <v/>
      </c>
      <c r="R118" s="24">
        <f>IF(Database!BM118="","",IFERROR(BDH("HSAHP Index","PX_LAST",Database!$H118,Database!$H118),""))</f>
        <v/>
      </c>
      <c r="S118" s="24">
        <f>IFERROR(BDP(Database!$A118&amp;" HK Equity","PX_TO_SALES_RATIO"),"")</f>
        <v/>
      </c>
      <c r="T118" s="19">
        <f>IF(Database!BM118="","",IFERROR(BDP(LEFT(Database!BM118,FIND(".",Database!BM118)-1)&amp;" CH Equity","CUR_MKT_CAP"),""))</f>
        <v/>
      </c>
    </row>
    <row r="119">
      <c r="A119" s="17">
        <f>Database!A119&amp;"  "&amp;Database!B119</f>
        <v/>
      </c>
      <c r="B119" s="10">
        <f>IFERROR(INDEX(BDS(Database!$A119&amp;" HK Equity","EQUITY_OFFERINGS","array=t","endcol=1"),MATCH("IPO",BDS(Database!$A119&amp;" HK Equity","EQUITY_OFFERINGS","array=t","startcol=2","endcol=2"),0)),"")</f>
        <v/>
      </c>
      <c r="C119" s="186">
        <f>IF($B119="","",IFERROR(BDP($B119&amp;" Action","CP036"),""))</f>
        <v/>
      </c>
      <c r="D119" s="187">
        <f>Database!S119</f>
        <v/>
      </c>
      <c r="E119" s="186">
        <f>IF($B119="","",IFERROR(BDP($B119&amp;" Action","CP037"),""))</f>
        <v/>
      </c>
      <c r="F119" s="187">
        <f>Database!T119</f>
        <v/>
      </c>
      <c r="G119" s="186">
        <f>IF($B119="","",IFERROR(BDP($B119&amp;" Action","GREENSHOE_FACILITY"),""))</f>
        <v/>
      </c>
      <c r="H119" s="186">
        <f>IF($B119="","",IFERROR(BDP($B119&amp;" Action","OFFERING_GREENSHOE_SHARES_EX"),""))</f>
        <v/>
      </c>
      <c r="I119" s="17">
        <f>Database!AE119</f>
        <v/>
      </c>
      <c r="J119" s="24">
        <f>IFERROR(BDP(Database!$A119&amp;" HK Equity","PE_RATIO"),"")</f>
        <v/>
      </c>
      <c r="K119" s="10">
        <f>IFERROR(BDP(Database!$A119&amp;" HK Equity","A/H_SHARE_CONVERSION"),"")</f>
        <v/>
      </c>
      <c r="L119" s="17">
        <f>IF(Database!BM119="","(none found)",Database!BM119)</f>
        <v/>
      </c>
      <c r="M119" s="19">
        <f>IFERROR(BDH(Database!$A119&amp;" HK Equity","CUR_MKT_CAP",Database!$H119,Database!$H119),"")</f>
        <v/>
      </c>
      <c r="N119" s="180">
        <f>Database!Q119</f>
        <v/>
      </c>
      <c r="O119" s="24">
        <f>IFERROR(BDH(Database!$A119&amp;" HK Equity","PE_RATIO",Database!$H119,Database!$H119),"")</f>
        <v/>
      </c>
      <c r="P119" s="184">
        <f>IF(Database!BG119="","(n/m or not derivable)",Database!BG119)</f>
        <v/>
      </c>
      <c r="Q119" s="24">
        <f>IF(Database!BM119="","",IFERROR(BDH(LEFT(Database!BM119,FIND(".",Database!BM119)-1)&amp;" CH Equity","PE_RATIO",Database!$H119,Database!$H119),""))</f>
        <v/>
      </c>
      <c r="R119" s="24">
        <f>IF(Database!BM119="","",IFERROR(BDH("HSAHP Index","PX_LAST",Database!$H119,Database!$H119),""))</f>
        <v/>
      </c>
      <c r="S119" s="24">
        <f>IFERROR(BDP(Database!$A119&amp;" HK Equity","PX_TO_SALES_RATIO"),"")</f>
        <v/>
      </c>
      <c r="T119" s="19">
        <f>IF(Database!BM119="","",IFERROR(BDP(LEFT(Database!BM119,FIND(".",Database!BM119)-1)&amp;" CH Equity","CUR_MKT_CAP"),""))</f>
        <v/>
      </c>
    </row>
    <row r="120">
      <c r="A120" s="17">
        <f>Database!A120&amp;"  "&amp;Database!B120</f>
        <v/>
      </c>
      <c r="B120" s="10">
        <f>IFERROR(INDEX(BDS(Database!$A120&amp;" HK Equity","EQUITY_OFFERINGS","array=t","endcol=1"),MATCH("IPO",BDS(Database!$A120&amp;" HK Equity","EQUITY_OFFERINGS","array=t","startcol=2","endcol=2"),0)),"")</f>
        <v/>
      </c>
      <c r="C120" s="186">
        <f>IF($B120="","",IFERROR(BDP($B120&amp;" Action","CP036"),""))</f>
        <v/>
      </c>
      <c r="D120" s="187">
        <f>Database!S120</f>
        <v/>
      </c>
      <c r="E120" s="186">
        <f>IF($B120="","",IFERROR(BDP($B120&amp;" Action","CP037"),""))</f>
        <v/>
      </c>
      <c r="F120" s="187">
        <f>Database!T120</f>
        <v/>
      </c>
      <c r="G120" s="186">
        <f>IF($B120="","",IFERROR(BDP($B120&amp;" Action","GREENSHOE_FACILITY"),""))</f>
        <v/>
      </c>
      <c r="H120" s="186">
        <f>IF($B120="","",IFERROR(BDP($B120&amp;" Action","OFFERING_GREENSHOE_SHARES_EX"),""))</f>
        <v/>
      </c>
      <c r="I120" s="17">
        <f>Database!AE120</f>
        <v/>
      </c>
      <c r="J120" s="24">
        <f>IFERROR(BDP(Database!$A120&amp;" HK Equity","PE_RATIO"),"")</f>
        <v/>
      </c>
      <c r="K120" s="10">
        <f>IFERROR(BDP(Database!$A120&amp;" HK Equity","A/H_SHARE_CONVERSION"),"")</f>
        <v/>
      </c>
      <c r="L120" s="17">
        <f>IF(Database!BM120="","(none found)",Database!BM120)</f>
        <v/>
      </c>
      <c r="M120" s="19">
        <f>IFERROR(BDH(Database!$A120&amp;" HK Equity","CUR_MKT_CAP",Database!$H120,Database!$H120),"")</f>
        <v/>
      </c>
      <c r="N120" s="180">
        <f>Database!Q120</f>
        <v/>
      </c>
      <c r="O120" s="24">
        <f>IFERROR(BDH(Database!$A120&amp;" HK Equity","PE_RATIO",Database!$H120,Database!$H120),"")</f>
        <v/>
      </c>
      <c r="P120" s="184">
        <f>IF(Database!BG120="","(n/m or not derivable)",Database!BG120)</f>
        <v/>
      </c>
      <c r="Q120" s="24">
        <f>IF(Database!BM120="","",IFERROR(BDH(LEFT(Database!BM120,FIND(".",Database!BM120)-1)&amp;" CH Equity","PE_RATIO",Database!$H120,Database!$H120),""))</f>
        <v/>
      </c>
      <c r="R120" s="24">
        <f>IF(Database!BM120="","",IFERROR(BDH("HSAHP Index","PX_LAST",Database!$H120,Database!$H120),""))</f>
        <v/>
      </c>
      <c r="S120" s="24">
        <f>IFERROR(BDP(Database!$A120&amp;" HK Equity","PX_TO_SALES_RATIO"),"")</f>
        <v/>
      </c>
      <c r="T120" s="19">
        <f>IF(Database!BM120="","",IFERROR(BDP(LEFT(Database!BM120,FIND(".",Database!BM120)-1)&amp;" CH Equity","CUR_MKT_CAP"),""))</f>
        <v/>
      </c>
    </row>
    <row r="121">
      <c r="A121" s="17">
        <f>Database!A121&amp;"  "&amp;Database!B121</f>
        <v/>
      </c>
      <c r="B121" s="10">
        <f>IFERROR(INDEX(BDS(Database!$A121&amp;" HK Equity","EQUITY_OFFERINGS","array=t","endcol=1"),MATCH("IPO",BDS(Database!$A121&amp;" HK Equity","EQUITY_OFFERINGS","array=t","startcol=2","endcol=2"),0)),"")</f>
        <v/>
      </c>
      <c r="C121" s="186">
        <f>IF($B121="","",IFERROR(BDP($B121&amp;" Action","CP036"),""))</f>
        <v/>
      </c>
      <c r="D121" s="187">
        <f>Database!S121</f>
        <v/>
      </c>
      <c r="E121" s="186">
        <f>IF($B121="","",IFERROR(BDP($B121&amp;" Action","CP037"),""))</f>
        <v/>
      </c>
      <c r="F121" s="187">
        <f>Database!T121</f>
        <v/>
      </c>
      <c r="G121" s="186">
        <f>IF($B121="","",IFERROR(BDP($B121&amp;" Action","GREENSHOE_FACILITY"),""))</f>
        <v/>
      </c>
      <c r="H121" s="186">
        <f>IF($B121="","",IFERROR(BDP($B121&amp;" Action","OFFERING_GREENSHOE_SHARES_EX"),""))</f>
        <v/>
      </c>
      <c r="I121" s="17">
        <f>Database!AE121</f>
        <v/>
      </c>
      <c r="J121" s="24">
        <f>IFERROR(BDP(Database!$A121&amp;" HK Equity","PE_RATIO"),"")</f>
        <v/>
      </c>
      <c r="K121" s="10">
        <f>IFERROR(BDP(Database!$A121&amp;" HK Equity","A/H_SHARE_CONVERSION"),"")</f>
        <v/>
      </c>
      <c r="L121" s="17">
        <f>IF(Database!BM121="","(none found)",Database!BM121)</f>
        <v/>
      </c>
      <c r="M121" s="19">
        <f>IFERROR(BDH(Database!$A121&amp;" HK Equity","CUR_MKT_CAP",Database!$H121,Database!$H121),"")</f>
        <v/>
      </c>
      <c r="N121" s="180">
        <f>Database!Q121</f>
        <v/>
      </c>
      <c r="O121" s="24">
        <f>IFERROR(BDH(Database!$A121&amp;" HK Equity","PE_RATIO",Database!$H121,Database!$H121),"")</f>
        <v/>
      </c>
      <c r="P121" s="184">
        <f>IF(Database!BG121="","(n/m or not derivable)",Database!BG121)</f>
        <v/>
      </c>
      <c r="Q121" s="24">
        <f>IF(Database!BM121="","",IFERROR(BDH(LEFT(Database!BM121,FIND(".",Database!BM121)-1)&amp;" CH Equity","PE_RATIO",Database!$H121,Database!$H121),""))</f>
        <v/>
      </c>
      <c r="R121" s="24">
        <f>IF(Database!BM121="","",IFERROR(BDH("HSAHP Index","PX_LAST",Database!$H121,Database!$H121),""))</f>
        <v/>
      </c>
      <c r="S121" s="24">
        <f>IFERROR(BDP(Database!$A121&amp;" HK Equity","PX_TO_SALES_RATIO"),"")</f>
        <v/>
      </c>
      <c r="T121" s="19">
        <f>IF(Database!BM121="","",IFERROR(BDP(LEFT(Database!BM121,FIND(".",Database!BM121)-1)&amp;" CH Equity","CUR_MKT_CAP"),""))</f>
        <v/>
      </c>
    </row>
    <row r="122">
      <c r="A122" s="17">
        <f>Database!A122&amp;"  "&amp;Database!B122</f>
        <v/>
      </c>
      <c r="B122" s="10">
        <f>IFERROR(INDEX(BDS(Database!$A122&amp;" HK Equity","EQUITY_OFFERINGS","array=t","endcol=1"),MATCH("IPO",BDS(Database!$A122&amp;" HK Equity","EQUITY_OFFERINGS","array=t","startcol=2","endcol=2"),0)),"")</f>
        <v/>
      </c>
      <c r="C122" s="186">
        <f>IF($B122="","",IFERROR(BDP($B122&amp;" Action","CP036"),""))</f>
        <v/>
      </c>
      <c r="D122" s="187">
        <f>Database!S122</f>
        <v/>
      </c>
      <c r="E122" s="186">
        <f>IF($B122="","",IFERROR(BDP($B122&amp;" Action","CP037"),""))</f>
        <v/>
      </c>
      <c r="F122" s="187">
        <f>Database!T122</f>
        <v/>
      </c>
      <c r="G122" s="186">
        <f>IF($B122="","",IFERROR(BDP($B122&amp;" Action","GREENSHOE_FACILITY"),""))</f>
        <v/>
      </c>
      <c r="H122" s="186">
        <f>IF($B122="","",IFERROR(BDP($B122&amp;" Action","OFFERING_GREENSHOE_SHARES_EX"),""))</f>
        <v/>
      </c>
      <c r="I122" s="17">
        <f>Database!AE122</f>
        <v/>
      </c>
      <c r="J122" s="24">
        <f>IFERROR(BDP(Database!$A122&amp;" HK Equity","PE_RATIO"),"")</f>
        <v/>
      </c>
      <c r="K122" s="10">
        <f>IFERROR(BDP(Database!$A122&amp;" HK Equity","A/H_SHARE_CONVERSION"),"")</f>
        <v/>
      </c>
      <c r="L122" s="17">
        <f>IF(Database!BM122="","(none found)",Database!BM122)</f>
        <v/>
      </c>
      <c r="M122" s="19">
        <f>IFERROR(BDH(Database!$A122&amp;" HK Equity","CUR_MKT_CAP",Database!$H122,Database!$H122),"")</f>
        <v/>
      </c>
      <c r="N122" s="180">
        <f>Database!Q122</f>
        <v/>
      </c>
      <c r="O122" s="24">
        <f>IFERROR(BDH(Database!$A122&amp;" HK Equity","PE_RATIO",Database!$H122,Database!$H122),"")</f>
        <v/>
      </c>
      <c r="P122" s="184">
        <f>IF(Database!BG122="","(n/m or not derivable)",Database!BG122)</f>
        <v/>
      </c>
      <c r="Q122" s="24">
        <f>IF(Database!BM122="","",IFERROR(BDH(LEFT(Database!BM122,FIND(".",Database!BM122)-1)&amp;" CH Equity","PE_RATIO",Database!$H122,Database!$H122),""))</f>
        <v/>
      </c>
      <c r="R122" s="24">
        <f>IF(Database!BM122="","",IFERROR(BDH("HSAHP Index","PX_LAST",Database!$H122,Database!$H122),""))</f>
        <v/>
      </c>
      <c r="S122" s="24">
        <f>IFERROR(BDP(Database!$A122&amp;" HK Equity","PX_TO_SALES_RATIO"),"")</f>
        <v/>
      </c>
      <c r="T122" s="19">
        <f>IF(Database!BM122="","",IFERROR(BDP(LEFT(Database!BM122,FIND(".",Database!BM122)-1)&amp;" CH Equity","CUR_MKT_CAP"),""))</f>
        <v/>
      </c>
    </row>
    <row r="123">
      <c r="A123" s="17">
        <f>Database!A123&amp;"  "&amp;Database!B123</f>
        <v/>
      </c>
      <c r="B123" s="10">
        <f>IFERROR(INDEX(BDS(Database!$A123&amp;" HK Equity","EQUITY_OFFERINGS","array=t","endcol=1"),MATCH("IPO",BDS(Database!$A123&amp;" HK Equity","EQUITY_OFFERINGS","array=t","startcol=2","endcol=2"),0)),"")</f>
        <v/>
      </c>
      <c r="C123" s="186">
        <f>IF($B123="","",IFERROR(BDP($B123&amp;" Action","CP036"),""))</f>
        <v/>
      </c>
      <c r="D123" s="187">
        <f>Database!S123</f>
        <v/>
      </c>
      <c r="E123" s="186">
        <f>IF($B123="","",IFERROR(BDP($B123&amp;" Action","CP037"),""))</f>
        <v/>
      </c>
      <c r="F123" s="187">
        <f>Database!T123</f>
        <v/>
      </c>
      <c r="G123" s="186">
        <f>IF($B123="","",IFERROR(BDP($B123&amp;" Action","GREENSHOE_FACILITY"),""))</f>
        <v/>
      </c>
      <c r="H123" s="186">
        <f>IF($B123="","",IFERROR(BDP($B123&amp;" Action","OFFERING_GREENSHOE_SHARES_EX"),""))</f>
        <v/>
      </c>
      <c r="I123" s="17">
        <f>Database!AE123</f>
        <v/>
      </c>
      <c r="J123" s="24">
        <f>IFERROR(BDP(Database!$A123&amp;" HK Equity","PE_RATIO"),"")</f>
        <v/>
      </c>
      <c r="K123" s="10">
        <f>IFERROR(BDP(Database!$A123&amp;" HK Equity","A/H_SHARE_CONVERSION"),"")</f>
        <v/>
      </c>
      <c r="L123" s="17">
        <f>IF(Database!BM123="","(none found)",Database!BM123)</f>
        <v/>
      </c>
      <c r="M123" s="19">
        <f>IFERROR(BDH(Database!$A123&amp;" HK Equity","CUR_MKT_CAP",Database!$H123,Database!$H123),"")</f>
        <v/>
      </c>
      <c r="N123" s="180">
        <f>Database!Q123</f>
        <v/>
      </c>
      <c r="O123" s="24">
        <f>IFERROR(BDH(Database!$A123&amp;" HK Equity","PE_RATIO",Database!$H123,Database!$H123),"")</f>
        <v/>
      </c>
      <c r="P123" s="184">
        <f>IF(Database!BG123="","(n/m or not derivable)",Database!BG123)</f>
        <v/>
      </c>
      <c r="Q123" s="24">
        <f>IF(Database!BM123="","",IFERROR(BDH(LEFT(Database!BM123,FIND(".",Database!BM123)-1)&amp;" CH Equity","PE_RATIO",Database!$H123,Database!$H123),""))</f>
        <v/>
      </c>
      <c r="R123" s="24">
        <f>IF(Database!BM123="","",IFERROR(BDH("HSAHP Index","PX_LAST",Database!$H123,Database!$H123),""))</f>
        <v/>
      </c>
      <c r="S123" s="24">
        <f>IFERROR(BDP(Database!$A123&amp;" HK Equity","PX_TO_SALES_RATIO"),"")</f>
        <v/>
      </c>
      <c r="T123" s="19">
        <f>IF(Database!BM123="","",IFERROR(BDP(LEFT(Database!BM123,FIND(".",Database!BM123)-1)&amp;" CH Equity","CUR_MKT_CAP"),""))</f>
        <v/>
      </c>
    </row>
    <row r="124">
      <c r="A124" s="17">
        <f>Database!A124&amp;"  "&amp;Database!B124</f>
        <v/>
      </c>
      <c r="B124" s="10">
        <f>IFERROR(INDEX(BDS(Database!$A124&amp;" HK Equity","EQUITY_OFFERINGS","array=t","endcol=1"),MATCH("IPO",BDS(Database!$A124&amp;" HK Equity","EQUITY_OFFERINGS","array=t","startcol=2","endcol=2"),0)),"")</f>
        <v/>
      </c>
      <c r="C124" s="186">
        <f>IF($B124="","",IFERROR(BDP($B124&amp;" Action","CP036"),""))</f>
        <v/>
      </c>
      <c r="D124" s="187">
        <f>Database!S124</f>
        <v/>
      </c>
      <c r="E124" s="186">
        <f>IF($B124="","",IFERROR(BDP($B124&amp;" Action","CP037"),""))</f>
        <v/>
      </c>
      <c r="F124" s="187">
        <f>Database!T124</f>
        <v/>
      </c>
      <c r="G124" s="186">
        <f>IF($B124="","",IFERROR(BDP($B124&amp;" Action","GREENSHOE_FACILITY"),""))</f>
        <v/>
      </c>
      <c r="H124" s="186">
        <f>IF($B124="","",IFERROR(BDP($B124&amp;" Action","OFFERING_GREENSHOE_SHARES_EX"),""))</f>
        <v/>
      </c>
      <c r="I124" s="17">
        <f>Database!AE124</f>
        <v/>
      </c>
      <c r="J124" s="24">
        <f>IFERROR(BDP(Database!$A124&amp;" HK Equity","PE_RATIO"),"")</f>
        <v/>
      </c>
      <c r="K124" s="10">
        <f>IFERROR(BDP(Database!$A124&amp;" HK Equity","A/H_SHARE_CONVERSION"),"")</f>
        <v/>
      </c>
      <c r="L124" s="17">
        <f>IF(Database!BM124="","(none found)",Database!BM124)</f>
        <v/>
      </c>
      <c r="M124" s="19">
        <f>IFERROR(BDH(Database!$A124&amp;" HK Equity","CUR_MKT_CAP",Database!$H124,Database!$H124),"")</f>
        <v/>
      </c>
      <c r="N124" s="180">
        <f>Database!Q124</f>
        <v/>
      </c>
      <c r="O124" s="24">
        <f>IFERROR(BDH(Database!$A124&amp;" HK Equity","PE_RATIO",Database!$H124,Database!$H124),"")</f>
        <v/>
      </c>
      <c r="P124" s="184">
        <f>IF(Database!BG124="","(n/m or not derivable)",Database!BG124)</f>
        <v/>
      </c>
      <c r="Q124" s="24">
        <f>IF(Database!BM124="","",IFERROR(BDH(LEFT(Database!BM124,FIND(".",Database!BM124)-1)&amp;" CH Equity","PE_RATIO",Database!$H124,Database!$H124),""))</f>
        <v/>
      </c>
      <c r="R124" s="24">
        <f>IF(Database!BM124="","",IFERROR(BDH("HSAHP Index","PX_LAST",Database!$H124,Database!$H124),""))</f>
        <v/>
      </c>
      <c r="S124" s="24">
        <f>IFERROR(BDP(Database!$A124&amp;" HK Equity","PX_TO_SALES_RATIO"),"")</f>
        <v/>
      </c>
      <c r="T124" s="19">
        <f>IF(Database!BM124="","",IFERROR(BDP(LEFT(Database!BM124,FIND(".",Database!BM124)-1)&amp;" CH Equity","CUR_MKT_CAP"),""))</f>
        <v/>
      </c>
    </row>
    <row r="125">
      <c r="A125" s="17">
        <f>Database!A125&amp;"  "&amp;Database!B125</f>
        <v/>
      </c>
      <c r="B125" s="10">
        <f>IFERROR(INDEX(BDS(Database!$A125&amp;" HK Equity","EQUITY_OFFERINGS","array=t","endcol=1"),MATCH("IPO",BDS(Database!$A125&amp;" HK Equity","EQUITY_OFFERINGS","array=t","startcol=2","endcol=2"),0)),"")</f>
        <v/>
      </c>
      <c r="C125" s="186">
        <f>IF($B125="","",IFERROR(BDP($B125&amp;" Action","CP036"),""))</f>
        <v/>
      </c>
      <c r="D125" s="187">
        <f>Database!S125</f>
        <v/>
      </c>
      <c r="E125" s="186">
        <f>IF($B125="","",IFERROR(BDP($B125&amp;" Action","CP037"),""))</f>
        <v/>
      </c>
      <c r="F125" s="187">
        <f>Database!T125</f>
        <v/>
      </c>
      <c r="G125" s="186">
        <f>IF($B125="","",IFERROR(BDP($B125&amp;" Action","GREENSHOE_FACILITY"),""))</f>
        <v/>
      </c>
      <c r="H125" s="186">
        <f>IF($B125="","",IFERROR(BDP($B125&amp;" Action","OFFERING_GREENSHOE_SHARES_EX"),""))</f>
        <v/>
      </c>
      <c r="I125" s="17">
        <f>Database!AE125</f>
        <v/>
      </c>
      <c r="J125" s="24">
        <f>IFERROR(BDP(Database!$A125&amp;" HK Equity","PE_RATIO"),"")</f>
        <v/>
      </c>
      <c r="K125" s="10">
        <f>IFERROR(BDP(Database!$A125&amp;" HK Equity","A/H_SHARE_CONVERSION"),"")</f>
        <v/>
      </c>
      <c r="L125" s="17">
        <f>IF(Database!BM125="","(none found)",Database!BM125)</f>
        <v/>
      </c>
      <c r="M125" s="19">
        <f>IFERROR(BDH(Database!$A125&amp;" HK Equity","CUR_MKT_CAP",Database!$H125,Database!$H125),"")</f>
        <v/>
      </c>
      <c r="N125" s="180">
        <f>Database!Q125</f>
        <v/>
      </c>
      <c r="O125" s="24">
        <f>IFERROR(BDH(Database!$A125&amp;" HK Equity","PE_RATIO",Database!$H125,Database!$H125),"")</f>
        <v/>
      </c>
      <c r="P125" s="184">
        <f>IF(Database!BG125="","(n/m or not derivable)",Database!BG125)</f>
        <v/>
      </c>
      <c r="Q125" s="24">
        <f>IF(Database!BM125="","",IFERROR(BDH(LEFT(Database!BM125,FIND(".",Database!BM125)-1)&amp;" CH Equity","PE_RATIO",Database!$H125,Database!$H125),""))</f>
        <v/>
      </c>
      <c r="R125" s="24">
        <f>IF(Database!BM125="","",IFERROR(BDH("HSAHP Index","PX_LAST",Database!$H125,Database!$H125),""))</f>
        <v/>
      </c>
      <c r="S125" s="24">
        <f>IFERROR(BDP(Database!$A125&amp;" HK Equity","PX_TO_SALES_RATIO"),"")</f>
        <v/>
      </c>
      <c r="T125" s="19">
        <f>IF(Database!BM125="","",IFERROR(BDP(LEFT(Database!BM125,FIND(".",Database!BM125)-1)&amp;" CH Equity","CUR_MKT_CAP"),""))</f>
        <v/>
      </c>
    </row>
    <row r="126">
      <c r="A126" s="17">
        <f>Database!A126&amp;"  "&amp;Database!B126</f>
        <v/>
      </c>
      <c r="B126" s="10">
        <f>IFERROR(INDEX(BDS(Database!$A126&amp;" HK Equity","EQUITY_OFFERINGS","array=t","endcol=1"),MATCH("IPO",BDS(Database!$A126&amp;" HK Equity","EQUITY_OFFERINGS","array=t","startcol=2","endcol=2"),0)),"")</f>
        <v/>
      </c>
      <c r="C126" s="186">
        <f>IF($B126="","",IFERROR(BDP($B126&amp;" Action","CP036"),""))</f>
        <v/>
      </c>
      <c r="D126" s="187">
        <f>Database!S126</f>
        <v/>
      </c>
      <c r="E126" s="186">
        <f>IF($B126="","",IFERROR(BDP($B126&amp;" Action","CP037"),""))</f>
        <v/>
      </c>
      <c r="F126" s="187">
        <f>Database!T126</f>
        <v/>
      </c>
      <c r="G126" s="186">
        <f>IF($B126="","",IFERROR(BDP($B126&amp;" Action","GREENSHOE_FACILITY"),""))</f>
        <v/>
      </c>
      <c r="H126" s="186">
        <f>IF($B126="","",IFERROR(BDP($B126&amp;" Action","OFFERING_GREENSHOE_SHARES_EX"),""))</f>
        <v/>
      </c>
      <c r="I126" s="17">
        <f>Database!AE126</f>
        <v/>
      </c>
      <c r="J126" s="24">
        <f>IFERROR(BDP(Database!$A126&amp;" HK Equity","PE_RATIO"),"")</f>
        <v/>
      </c>
      <c r="K126" s="10">
        <f>IFERROR(BDP(Database!$A126&amp;" HK Equity","A/H_SHARE_CONVERSION"),"")</f>
        <v/>
      </c>
      <c r="L126" s="17">
        <f>IF(Database!BM126="","(none found)",Database!BM126)</f>
        <v/>
      </c>
      <c r="M126" s="19">
        <f>IFERROR(BDH(Database!$A126&amp;" HK Equity","CUR_MKT_CAP",Database!$H126,Database!$H126),"")</f>
        <v/>
      </c>
      <c r="N126" s="180">
        <f>Database!Q126</f>
        <v/>
      </c>
      <c r="O126" s="24">
        <f>IFERROR(BDH(Database!$A126&amp;" HK Equity","PE_RATIO",Database!$H126,Database!$H126),"")</f>
        <v/>
      </c>
      <c r="P126" s="184">
        <f>IF(Database!BG126="","(n/m or not derivable)",Database!BG126)</f>
        <v/>
      </c>
      <c r="Q126" s="24">
        <f>IF(Database!BM126="","",IFERROR(BDH(LEFT(Database!BM126,FIND(".",Database!BM126)-1)&amp;" CH Equity","PE_RATIO",Database!$H126,Database!$H126),""))</f>
        <v/>
      </c>
      <c r="R126" s="24">
        <f>IF(Database!BM126="","",IFERROR(BDH("HSAHP Index","PX_LAST",Database!$H126,Database!$H126),""))</f>
        <v/>
      </c>
      <c r="S126" s="24">
        <f>IFERROR(BDP(Database!$A126&amp;" HK Equity","PX_TO_SALES_RATIO"),"")</f>
        <v/>
      </c>
      <c r="T126" s="19">
        <f>IF(Database!BM126="","",IFERROR(BDP(LEFT(Database!BM126,FIND(".",Database!BM126)-1)&amp;" CH Equity","CUR_MKT_CAP"),""))</f>
        <v/>
      </c>
    </row>
    <row r="127">
      <c r="A127" s="17">
        <f>Database!A127&amp;"  "&amp;Database!B127</f>
        <v/>
      </c>
      <c r="B127" s="10">
        <f>IFERROR(INDEX(BDS(Database!$A127&amp;" HK Equity","EQUITY_OFFERINGS","array=t","endcol=1"),MATCH("IPO",BDS(Database!$A127&amp;" HK Equity","EQUITY_OFFERINGS","array=t","startcol=2","endcol=2"),0)),"")</f>
        <v/>
      </c>
      <c r="C127" s="186">
        <f>IF($B127="","",IFERROR(BDP($B127&amp;" Action","CP036"),""))</f>
        <v/>
      </c>
      <c r="D127" s="187">
        <f>Database!S127</f>
        <v/>
      </c>
      <c r="E127" s="186">
        <f>IF($B127="","",IFERROR(BDP($B127&amp;" Action","CP037"),""))</f>
        <v/>
      </c>
      <c r="F127" s="187">
        <f>Database!T127</f>
        <v/>
      </c>
      <c r="G127" s="186">
        <f>IF($B127="","",IFERROR(BDP($B127&amp;" Action","GREENSHOE_FACILITY"),""))</f>
        <v/>
      </c>
      <c r="H127" s="186">
        <f>IF($B127="","",IFERROR(BDP($B127&amp;" Action","OFFERING_GREENSHOE_SHARES_EX"),""))</f>
        <v/>
      </c>
      <c r="I127" s="17">
        <f>Database!AE127</f>
        <v/>
      </c>
      <c r="J127" s="24">
        <f>IFERROR(BDP(Database!$A127&amp;" HK Equity","PE_RATIO"),"")</f>
        <v/>
      </c>
      <c r="K127" s="10">
        <f>IFERROR(BDP(Database!$A127&amp;" HK Equity","A/H_SHARE_CONVERSION"),"")</f>
        <v/>
      </c>
      <c r="L127" s="17">
        <f>IF(Database!BM127="","(none found)",Database!BM127)</f>
        <v/>
      </c>
      <c r="M127" s="19">
        <f>IFERROR(BDH(Database!$A127&amp;" HK Equity","CUR_MKT_CAP",Database!$H127,Database!$H127),"")</f>
        <v/>
      </c>
      <c r="N127" s="180">
        <f>Database!Q127</f>
        <v/>
      </c>
      <c r="O127" s="24">
        <f>IFERROR(BDH(Database!$A127&amp;" HK Equity","PE_RATIO",Database!$H127,Database!$H127),"")</f>
        <v/>
      </c>
      <c r="P127" s="184">
        <f>IF(Database!BG127="","(n/m or not derivable)",Database!BG127)</f>
        <v/>
      </c>
      <c r="Q127" s="24">
        <f>IF(Database!BM127="","",IFERROR(BDH(LEFT(Database!BM127,FIND(".",Database!BM127)-1)&amp;" CH Equity","PE_RATIO",Database!$H127,Database!$H127),""))</f>
        <v/>
      </c>
      <c r="R127" s="24">
        <f>IF(Database!BM127="","",IFERROR(BDH("HSAHP Index","PX_LAST",Database!$H127,Database!$H127),""))</f>
        <v/>
      </c>
      <c r="S127" s="24">
        <f>IFERROR(BDP(Database!$A127&amp;" HK Equity","PX_TO_SALES_RATIO"),"")</f>
        <v/>
      </c>
      <c r="T127" s="19">
        <f>IF(Database!BM127="","",IFERROR(BDP(LEFT(Database!BM127,FIND(".",Database!BM127)-1)&amp;" CH Equity","CUR_MKT_CAP"),""))</f>
        <v/>
      </c>
    </row>
    <row r="128">
      <c r="A128" s="17">
        <f>Database!A128&amp;"  "&amp;Database!B128</f>
        <v/>
      </c>
      <c r="B128" s="10">
        <f>IFERROR(INDEX(BDS(Database!$A128&amp;" HK Equity","EQUITY_OFFERINGS","array=t","endcol=1"),MATCH("IPO",BDS(Database!$A128&amp;" HK Equity","EQUITY_OFFERINGS","array=t","startcol=2","endcol=2"),0)),"")</f>
        <v/>
      </c>
      <c r="C128" s="186">
        <f>IF($B128="","",IFERROR(BDP($B128&amp;" Action","CP036"),""))</f>
        <v/>
      </c>
      <c r="D128" s="187">
        <f>Database!S128</f>
        <v/>
      </c>
      <c r="E128" s="186">
        <f>IF($B128="","",IFERROR(BDP($B128&amp;" Action","CP037"),""))</f>
        <v/>
      </c>
      <c r="F128" s="187">
        <f>Database!T128</f>
        <v/>
      </c>
      <c r="G128" s="186">
        <f>IF($B128="","",IFERROR(BDP($B128&amp;" Action","GREENSHOE_FACILITY"),""))</f>
        <v/>
      </c>
      <c r="H128" s="186">
        <f>IF($B128="","",IFERROR(BDP($B128&amp;" Action","OFFERING_GREENSHOE_SHARES_EX"),""))</f>
        <v/>
      </c>
      <c r="I128" s="17">
        <f>Database!AE128</f>
        <v/>
      </c>
      <c r="J128" s="24">
        <f>IFERROR(BDP(Database!$A128&amp;" HK Equity","PE_RATIO"),"")</f>
        <v/>
      </c>
      <c r="K128" s="10">
        <f>IFERROR(BDP(Database!$A128&amp;" HK Equity","A/H_SHARE_CONVERSION"),"")</f>
        <v/>
      </c>
      <c r="L128" s="17">
        <f>IF(Database!BM128="","(none found)",Database!BM128)</f>
        <v/>
      </c>
      <c r="M128" s="19">
        <f>IFERROR(BDH(Database!$A128&amp;" HK Equity","CUR_MKT_CAP",Database!$H128,Database!$H128),"")</f>
        <v/>
      </c>
      <c r="N128" s="180">
        <f>Database!Q128</f>
        <v/>
      </c>
      <c r="O128" s="24">
        <f>IFERROR(BDH(Database!$A128&amp;" HK Equity","PE_RATIO",Database!$H128,Database!$H128),"")</f>
        <v/>
      </c>
      <c r="P128" s="184">
        <f>IF(Database!BG128="","(n/m or not derivable)",Database!BG128)</f>
        <v/>
      </c>
      <c r="Q128" s="24">
        <f>IF(Database!BM128="","",IFERROR(BDH(LEFT(Database!BM128,FIND(".",Database!BM128)-1)&amp;" CH Equity","PE_RATIO",Database!$H128,Database!$H128),""))</f>
        <v/>
      </c>
      <c r="R128" s="24">
        <f>IF(Database!BM128="","",IFERROR(BDH("HSAHP Index","PX_LAST",Database!$H128,Database!$H128),""))</f>
        <v/>
      </c>
      <c r="S128" s="24">
        <f>IFERROR(BDP(Database!$A128&amp;" HK Equity","PX_TO_SALES_RATIO"),"")</f>
        <v/>
      </c>
      <c r="T128" s="19">
        <f>IF(Database!BM128="","",IFERROR(BDP(LEFT(Database!BM128,FIND(".",Database!BM128)-1)&amp;" CH Equity","CUR_MKT_CAP"),""))</f>
        <v/>
      </c>
    </row>
    <row r="129">
      <c r="A129" s="17">
        <f>Database!A129&amp;"  "&amp;Database!B129</f>
        <v/>
      </c>
      <c r="B129" s="10">
        <f>IFERROR(INDEX(BDS(Database!$A129&amp;" HK Equity","EQUITY_OFFERINGS","array=t","endcol=1"),MATCH("IPO",BDS(Database!$A129&amp;" HK Equity","EQUITY_OFFERINGS","array=t","startcol=2","endcol=2"),0)),"")</f>
        <v/>
      </c>
      <c r="C129" s="186">
        <f>IF($B129="","",IFERROR(BDP($B129&amp;" Action","CP036"),""))</f>
        <v/>
      </c>
      <c r="D129" s="187">
        <f>Database!S129</f>
        <v/>
      </c>
      <c r="E129" s="186">
        <f>IF($B129="","",IFERROR(BDP($B129&amp;" Action","CP037"),""))</f>
        <v/>
      </c>
      <c r="F129" s="187">
        <f>Database!T129</f>
        <v/>
      </c>
      <c r="G129" s="186">
        <f>IF($B129="","",IFERROR(BDP($B129&amp;" Action","GREENSHOE_FACILITY"),""))</f>
        <v/>
      </c>
      <c r="H129" s="186">
        <f>IF($B129="","",IFERROR(BDP($B129&amp;" Action","OFFERING_GREENSHOE_SHARES_EX"),""))</f>
        <v/>
      </c>
      <c r="I129" s="17">
        <f>Database!AE129</f>
        <v/>
      </c>
      <c r="J129" s="24">
        <f>IFERROR(BDP(Database!$A129&amp;" HK Equity","PE_RATIO"),"")</f>
        <v/>
      </c>
      <c r="K129" s="10">
        <f>IFERROR(BDP(Database!$A129&amp;" HK Equity","A/H_SHARE_CONVERSION"),"")</f>
        <v/>
      </c>
      <c r="L129" s="17">
        <f>IF(Database!BM129="","(none found)",Database!BM129)</f>
        <v/>
      </c>
      <c r="M129" s="19">
        <f>IFERROR(BDH(Database!$A129&amp;" HK Equity","CUR_MKT_CAP",Database!$H129,Database!$H129),"")</f>
        <v/>
      </c>
      <c r="N129" s="180">
        <f>Database!Q129</f>
        <v/>
      </c>
      <c r="O129" s="24">
        <f>IFERROR(BDH(Database!$A129&amp;" HK Equity","PE_RATIO",Database!$H129,Database!$H129),"")</f>
        <v/>
      </c>
      <c r="P129" s="184">
        <f>IF(Database!BG129="","(n/m or not derivable)",Database!BG129)</f>
        <v/>
      </c>
      <c r="Q129" s="24">
        <f>IF(Database!BM129="","",IFERROR(BDH(LEFT(Database!BM129,FIND(".",Database!BM129)-1)&amp;" CH Equity","PE_RATIO",Database!$H129,Database!$H129),""))</f>
        <v/>
      </c>
      <c r="R129" s="24">
        <f>IF(Database!BM129="","",IFERROR(BDH("HSAHP Index","PX_LAST",Database!$H129,Database!$H129),""))</f>
        <v/>
      </c>
      <c r="S129" s="24">
        <f>IFERROR(BDP(Database!$A129&amp;" HK Equity","PX_TO_SALES_RATIO"),"")</f>
        <v/>
      </c>
      <c r="T129" s="19">
        <f>IF(Database!BM129="","",IFERROR(BDP(LEFT(Database!BM129,FIND(".",Database!BM129)-1)&amp;" CH Equity","CUR_MKT_CAP"),""))</f>
        <v/>
      </c>
    </row>
    <row r="130">
      <c r="A130" s="17">
        <f>Database!A130&amp;"  "&amp;Database!B130</f>
        <v/>
      </c>
      <c r="B130" s="10">
        <f>IFERROR(INDEX(BDS(Database!$A130&amp;" HK Equity","EQUITY_OFFERINGS","array=t","endcol=1"),MATCH("IPO",BDS(Database!$A130&amp;" HK Equity","EQUITY_OFFERINGS","array=t","startcol=2","endcol=2"),0)),"")</f>
        <v/>
      </c>
      <c r="C130" s="186">
        <f>IF($B130="","",IFERROR(BDP($B130&amp;" Action","CP036"),""))</f>
        <v/>
      </c>
      <c r="D130" s="187">
        <f>Database!S130</f>
        <v/>
      </c>
      <c r="E130" s="186">
        <f>IF($B130="","",IFERROR(BDP($B130&amp;" Action","CP037"),""))</f>
        <v/>
      </c>
      <c r="F130" s="187">
        <f>Database!T130</f>
        <v/>
      </c>
      <c r="G130" s="186">
        <f>IF($B130="","",IFERROR(BDP($B130&amp;" Action","GREENSHOE_FACILITY"),""))</f>
        <v/>
      </c>
      <c r="H130" s="186">
        <f>IF($B130="","",IFERROR(BDP($B130&amp;" Action","OFFERING_GREENSHOE_SHARES_EX"),""))</f>
        <v/>
      </c>
      <c r="I130" s="17">
        <f>Database!AE130</f>
        <v/>
      </c>
      <c r="J130" s="24">
        <f>IFERROR(BDP(Database!$A130&amp;" HK Equity","PE_RATIO"),"")</f>
        <v/>
      </c>
      <c r="K130" s="10">
        <f>IFERROR(BDP(Database!$A130&amp;" HK Equity","A/H_SHARE_CONVERSION"),"")</f>
        <v/>
      </c>
      <c r="L130" s="17">
        <f>IF(Database!BM130="","(none found)",Database!BM130)</f>
        <v/>
      </c>
      <c r="M130" s="19">
        <f>IFERROR(BDH(Database!$A130&amp;" HK Equity","CUR_MKT_CAP",Database!$H130,Database!$H130),"")</f>
        <v/>
      </c>
      <c r="N130" s="180">
        <f>Database!Q130</f>
        <v/>
      </c>
      <c r="O130" s="24">
        <f>IFERROR(BDH(Database!$A130&amp;" HK Equity","PE_RATIO",Database!$H130,Database!$H130),"")</f>
        <v/>
      </c>
      <c r="P130" s="184">
        <f>IF(Database!BG130="","(n/m or not derivable)",Database!BG130)</f>
        <v/>
      </c>
      <c r="Q130" s="24">
        <f>IF(Database!BM130="","",IFERROR(BDH(LEFT(Database!BM130,FIND(".",Database!BM130)-1)&amp;" CH Equity","PE_RATIO",Database!$H130,Database!$H130),""))</f>
        <v/>
      </c>
      <c r="R130" s="24">
        <f>IF(Database!BM130="","",IFERROR(BDH("HSAHP Index","PX_LAST",Database!$H130,Database!$H130),""))</f>
        <v/>
      </c>
      <c r="S130" s="24">
        <f>IFERROR(BDP(Database!$A130&amp;" HK Equity","PX_TO_SALES_RATIO"),"")</f>
        <v/>
      </c>
      <c r="T130" s="19">
        <f>IF(Database!BM130="","",IFERROR(BDP(LEFT(Database!BM130,FIND(".",Database!BM130)-1)&amp;" CH Equity","CUR_MKT_CAP"),""))</f>
        <v/>
      </c>
    </row>
    <row r="131">
      <c r="A131" s="17">
        <f>Database!A131&amp;"  "&amp;Database!B131</f>
        <v/>
      </c>
      <c r="B131" s="10">
        <f>IFERROR(INDEX(BDS(Database!$A131&amp;" HK Equity","EQUITY_OFFERINGS","array=t","endcol=1"),MATCH("IPO",BDS(Database!$A131&amp;" HK Equity","EQUITY_OFFERINGS","array=t","startcol=2","endcol=2"),0)),"")</f>
        <v/>
      </c>
      <c r="C131" s="186">
        <f>IF($B131="","",IFERROR(BDP($B131&amp;" Action","CP036"),""))</f>
        <v/>
      </c>
      <c r="D131" s="187">
        <f>Database!S131</f>
        <v/>
      </c>
      <c r="E131" s="186">
        <f>IF($B131="","",IFERROR(BDP($B131&amp;" Action","CP037"),""))</f>
        <v/>
      </c>
      <c r="F131" s="187">
        <f>Database!T131</f>
        <v/>
      </c>
      <c r="G131" s="186">
        <f>IF($B131="","",IFERROR(BDP($B131&amp;" Action","GREENSHOE_FACILITY"),""))</f>
        <v/>
      </c>
      <c r="H131" s="186">
        <f>IF($B131="","",IFERROR(BDP($B131&amp;" Action","OFFERING_GREENSHOE_SHARES_EX"),""))</f>
        <v/>
      </c>
      <c r="I131" s="17">
        <f>Database!AE131</f>
        <v/>
      </c>
      <c r="J131" s="24">
        <f>IFERROR(BDP(Database!$A131&amp;" HK Equity","PE_RATIO"),"")</f>
        <v/>
      </c>
      <c r="K131" s="10">
        <f>IFERROR(BDP(Database!$A131&amp;" HK Equity","A/H_SHARE_CONVERSION"),"")</f>
        <v/>
      </c>
      <c r="L131" s="17">
        <f>IF(Database!BM131="","(none found)",Database!BM131)</f>
        <v/>
      </c>
      <c r="M131" s="19">
        <f>IFERROR(BDH(Database!$A131&amp;" HK Equity","CUR_MKT_CAP",Database!$H131,Database!$H131),"")</f>
        <v/>
      </c>
      <c r="N131" s="180">
        <f>Database!Q131</f>
        <v/>
      </c>
      <c r="O131" s="24">
        <f>IFERROR(BDH(Database!$A131&amp;" HK Equity","PE_RATIO",Database!$H131,Database!$H131),"")</f>
        <v/>
      </c>
      <c r="P131" s="184">
        <f>IF(Database!BG131="","(n/m or not derivable)",Database!BG131)</f>
        <v/>
      </c>
      <c r="Q131" s="24">
        <f>IF(Database!BM131="","",IFERROR(BDH(LEFT(Database!BM131,FIND(".",Database!BM131)-1)&amp;" CH Equity","PE_RATIO",Database!$H131,Database!$H131),""))</f>
        <v/>
      </c>
      <c r="R131" s="24">
        <f>IF(Database!BM131="","",IFERROR(BDH("HSAHP Index","PX_LAST",Database!$H131,Database!$H131),""))</f>
        <v/>
      </c>
      <c r="S131" s="24">
        <f>IFERROR(BDP(Database!$A131&amp;" HK Equity","PX_TO_SALES_RATIO"),"")</f>
        <v/>
      </c>
      <c r="T131" s="19">
        <f>IF(Database!BM131="","",IFERROR(BDP(LEFT(Database!BM131,FIND(".",Database!BM131)-1)&amp;" CH Equity","CUR_MKT_CAP"),""))</f>
        <v/>
      </c>
    </row>
    <row r="132">
      <c r="A132" s="17">
        <f>Database!A132&amp;"  "&amp;Database!B132</f>
        <v/>
      </c>
      <c r="B132" s="10">
        <f>IFERROR(INDEX(BDS(Database!$A132&amp;" HK Equity","EQUITY_OFFERINGS","array=t","endcol=1"),MATCH("IPO",BDS(Database!$A132&amp;" HK Equity","EQUITY_OFFERINGS","array=t","startcol=2","endcol=2"),0)),"")</f>
        <v/>
      </c>
      <c r="C132" s="186">
        <f>IF($B132="","",IFERROR(BDP($B132&amp;" Action","CP036"),""))</f>
        <v/>
      </c>
      <c r="D132" s="187">
        <f>Database!S132</f>
        <v/>
      </c>
      <c r="E132" s="186">
        <f>IF($B132="","",IFERROR(BDP($B132&amp;" Action","CP037"),""))</f>
        <v/>
      </c>
      <c r="F132" s="187">
        <f>Database!T132</f>
        <v/>
      </c>
      <c r="G132" s="186">
        <f>IF($B132="","",IFERROR(BDP($B132&amp;" Action","GREENSHOE_FACILITY"),""))</f>
        <v/>
      </c>
      <c r="H132" s="186">
        <f>IF($B132="","",IFERROR(BDP($B132&amp;" Action","OFFERING_GREENSHOE_SHARES_EX"),""))</f>
        <v/>
      </c>
      <c r="I132" s="17">
        <f>Database!AE132</f>
        <v/>
      </c>
      <c r="J132" s="24">
        <f>IFERROR(BDP(Database!$A132&amp;" HK Equity","PE_RATIO"),"")</f>
        <v/>
      </c>
      <c r="K132" s="10">
        <f>IFERROR(BDP(Database!$A132&amp;" HK Equity","A/H_SHARE_CONVERSION"),"")</f>
        <v/>
      </c>
      <c r="L132" s="17">
        <f>IF(Database!BM132="","(none found)",Database!BM132)</f>
        <v/>
      </c>
      <c r="M132" s="19">
        <f>IFERROR(BDH(Database!$A132&amp;" HK Equity","CUR_MKT_CAP",Database!$H132,Database!$H132),"")</f>
        <v/>
      </c>
      <c r="N132" s="180">
        <f>Database!Q132</f>
        <v/>
      </c>
      <c r="O132" s="24">
        <f>IFERROR(BDH(Database!$A132&amp;" HK Equity","PE_RATIO",Database!$H132,Database!$H132),"")</f>
        <v/>
      </c>
      <c r="P132" s="184">
        <f>IF(Database!BG132="","(n/m or not derivable)",Database!BG132)</f>
        <v/>
      </c>
      <c r="Q132" s="24">
        <f>IF(Database!BM132="","",IFERROR(BDH(LEFT(Database!BM132,FIND(".",Database!BM132)-1)&amp;" CH Equity","PE_RATIO",Database!$H132,Database!$H132),""))</f>
        <v/>
      </c>
      <c r="R132" s="24">
        <f>IF(Database!BM132="","",IFERROR(BDH("HSAHP Index","PX_LAST",Database!$H132,Database!$H132),""))</f>
        <v/>
      </c>
      <c r="S132" s="24">
        <f>IFERROR(BDP(Database!$A132&amp;" HK Equity","PX_TO_SALES_RATIO"),"")</f>
        <v/>
      </c>
      <c r="T132" s="19">
        <f>IF(Database!BM132="","",IFERROR(BDP(LEFT(Database!BM132,FIND(".",Database!BM132)-1)&amp;" CH Equity","CUR_MKT_CAP"),""))</f>
        <v/>
      </c>
    </row>
    <row r="133">
      <c r="A133" s="17">
        <f>Database!A133&amp;"  "&amp;Database!B133</f>
        <v/>
      </c>
      <c r="B133" s="10">
        <f>IFERROR(INDEX(BDS(Database!$A133&amp;" HK Equity","EQUITY_OFFERINGS","array=t","endcol=1"),MATCH("IPO",BDS(Database!$A133&amp;" HK Equity","EQUITY_OFFERINGS","array=t","startcol=2","endcol=2"),0)),"")</f>
        <v/>
      </c>
      <c r="C133" s="186">
        <f>IF($B133="","",IFERROR(BDP($B133&amp;" Action","CP036"),""))</f>
        <v/>
      </c>
      <c r="D133" s="187">
        <f>Database!S133</f>
        <v/>
      </c>
      <c r="E133" s="186">
        <f>IF($B133="","",IFERROR(BDP($B133&amp;" Action","CP037"),""))</f>
        <v/>
      </c>
      <c r="F133" s="187">
        <f>Database!T133</f>
        <v/>
      </c>
      <c r="G133" s="186">
        <f>IF($B133="","",IFERROR(BDP($B133&amp;" Action","GREENSHOE_FACILITY"),""))</f>
        <v/>
      </c>
      <c r="H133" s="186">
        <f>IF($B133="","",IFERROR(BDP($B133&amp;" Action","OFFERING_GREENSHOE_SHARES_EX"),""))</f>
        <v/>
      </c>
      <c r="I133" s="17">
        <f>Database!AE133</f>
        <v/>
      </c>
      <c r="J133" s="24">
        <f>IFERROR(BDP(Database!$A133&amp;" HK Equity","PE_RATIO"),"")</f>
        <v/>
      </c>
      <c r="K133" s="10">
        <f>IFERROR(BDP(Database!$A133&amp;" HK Equity","A/H_SHARE_CONVERSION"),"")</f>
        <v/>
      </c>
      <c r="L133" s="17">
        <f>IF(Database!BM133="","(none found)",Database!BM133)</f>
        <v/>
      </c>
      <c r="M133" s="19">
        <f>IFERROR(BDH(Database!$A133&amp;" HK Equity","CUR_MKT_CAP",Database!$H133,Database!$H133),"")</f>
        <v/>
      </c>
      <c r="N133" s="180">
        <f>Database!Q133</f>
        <v/>
      </c>
      <c r="O133" s="24">
        <f>IFERROR(BDH(Database!$A133&amp;" HK Equity","PE_RATIO",Database!$H133,Database!$H133),"")</f>
        <v/>
      </c>
      <c r="P133" s="184">
        <f>IF(Database!BG133="","(n/m or not derivable)",Database!BG133)</f>
        <v/>
      </c>
      <c r="Q133" s="24">
        <f>IF(Database!BM133="","",IFERROR(BDH(LEFT(Database!BM133,FIND(".",Database!BM133)-1)&amp;" CH Equity","PE_RATIO",Database!$H133,Database!$H133),""))</f>
        <v/>
      </c>
      <c r="R133" s="24">
        <f>IF(Database!BM133="","",IFERROR(BDH("HSAHP Index","PX_LAST",Database!$H133,Database!$H133),""))</f>
        <v/>
      </c>
      <c r="S133" s="24">
        <f>IFERROR(BDP(Database!$A133&amp;" HK Equity","PX_TO_SALES_RATIO"),"")</f>
        <v/>
      </c>
      <c r="T133" s="19">
        <f>IF(Database!BM133="","",IFERROR(BDP(LEFT(Database!BM133,FIND(".",Database!BM133)-1)&amp;" CH Equity","CUR_MKT_CAP"),""))</f>
        <v/>
      </c>
    </row>
    <row r="134">
      <c r="A134" s="17">
        <f>Database!A134&amp;"  "&amp;Database!B134</f>
        <v/>
      </c>
      <c r="B134" s="10">
        <f>IFERROR(INDEX(BDS(Database!$A134&amp;" HK Equity","EQUITY_OFFERINGS","array=t","endcol=1"),MATCH("IPO",BDS(Database!$A134&amp;" HK Equity","EQUITY_OFFERINGS","array=t","startcol=2","endcol=2"),0)),"")</f>
        <v/>
      </c>
      <c r="C134" s="186">
        <f>IF($B134="","",IFERROR(BDP($B134&amp;" Action","CP036"),""))</f>
        <v/>
      </c>
      <c r="D134" s="187">
        <f>Database!S134</f>
        <v/>
      </c>
      <c r="E134" s="186">
        <f>IF($B134="","",IFERROR(BDP($B134&amp;" Action","CP037"),""))</f>
        <v/>
      </c>
      <c r="F134" s="187">
        <f>Database!T134</f>
        <v/>
      </c>
      <c r="G134" s="186">
        <f>IF($B134="","",IFERROR(BDP($B134&amp;" Action","GREENSHOE_FACILITY"),""))</f>
        <v/>
      </c>
      <c r="H134" s="186">
        <f>IF($B134="","",IFERROR(BDP($B134&amp;" Action","OFFERING_GREENSHOE_SHARES_EX"),""))</f>
        <v/>
      </c>
      <c r="I134" s="17">
        <f>Database!AE134</f>
        <v/>
      </c>
      <c r="J134" s="24">
        <f>IFERROR(BDP(Database!$A134&amp;" HK Equity","PE_RATIO"),"")</f>
        <v/>
      </c>
      <c r="K134" s="10">
        <f>IFERROR(BDP(Database!$A134&amp;" HK Equity","A/H_SHARE_CONVERSION"),"")</f>
        <v/>
      </c>
      <c r="L134" s="17">
        <f>IF(Database!BM134="","(none found)",Database!BM134)</f>
        <v/>
      </c>
      <c r="M134" s="19">
        <f>IFERROR(BDH(Database!$A134&amp;" HK Equity","CUR_MKT_CAP",Database!$H134,Database!$H134),"")</f>
        <v/>
      </c>
      <c r="N134" s="180">
        <f>Database!Q134</f>
        <v/>
      </c>
      <c r="O134" s="24">
        <f>IFERROR(BDH(Database!$A134&amp;" HK Equity","PE_RATIO",Database!$H134,Database!$H134),"")</f>
        <v/>
      </c>
      <c r="P134" s="184">
        <f>IF(Database!BG134="","(n/m or not derivable)",Database!BG134)</f>
        <v/>
      </c>
      <c r="Q134" s="24">
        <f>IF(Database!BM134="","",IFERROR(BDH(LEFT(Database!BM134,FIND(".",Database!BM134)-1)&amp;" CH Equity","PE_RATIO",Database!$H134,Database!$H134),""))</f>
        <v/>
      </c>
      <c r="R134" s="24">
        <f>IF(Database!BM134="","",IFERROR(BDH("HSAHP Index","PX_LAST",Database!$H134,Database!$H134),""))</f>
        <v/>
      </c>
      <c r="S134" s="24">
        <f>IFERROR(BDP(Database!$A134&amp;" HK Equity","PX_TO_SALES_RATIO"),"")</f>
        <v/>
      </c>
      <c r="T134" s="19">
        <f>IF(Database!BM134="","",IFERROR(BDP(LEFT(Database!BM134,FIND(".",Database!BM134)-1)&amp;" CH Equity","CUR_MKT_CAP"),""))</f>
        <v/>
      </c>
    </row>
    <row r="135">
      <c r="A135" s="17">
        <f>Database!A135&amp;"  "&amp;Database!B135</f>
        <v/>
      </c>
      <c r="B135" s="10">
        <f>IFERROR(INDEX(BDS(Database!$A135&amp;" HK Equity","EQUITY_OFFERINGS","array=t","endcol=1"),MATCH("IPO",BDS(Database!$A135&amp;" HK Equity","EQUITY_OFFERINGS","array=t","startcol=2","endcol=2"),0)),"")</f>
        <v/>
      </c>
      <c r="C135" s="186">
        <f>IF($B135="","",IFERROR(BDP($B135&amp;" Action","CP036"),""))</f>
        <v/>
      </c>
      <c r="D135" s="187">
        <f>Database!S135</f>
        <v/>
      </c>
      <c r="E135" s="186">
        <f>IF($B135="","",IFERROR(BDP($B135&amp;" Action","CP037"),""))</f>
        <v/>
      </c>
      <c r="F135" s="187">
        <f>Database!T135</f>
        <v/>
      </c>
      <c r="G135" s="186">
        <f>IF($B135="","",IFERROR(BDP($B135&amp;" Action","GREENSHOE_FACILITY"),""))</f>
        <v/>
      </c>
      <c r="H135" s="186">
        <f>IF($B135="","",IFERROR(BDP($B135&amp;" Action","OFFERING_GREENSHOE_SHARES_EX"),""))</f>
        <v/>
      </c>
      <c r="I135" s="17">
        <f>Database!AE135</f>
        <v/>
      </c>
      <c r="J135" s="24">
        <f>IFERROR(BDP(Database!$A135&amp;" HK Equity","PE_RATIO"),"")</f>
        <v/>
      </c>
      <c r="K135" s="10">
        <f>IFERROR(BDP(Database!$A135&amp;" HK Equity","A/H_SHARE_CONVERSION"),"")</f>
        <v/>
      </c>
      <c r="L135" s="17">
        <f>IF(Database!BM135="","(none found)",Database!BM135)</f>
        <v/>
      </c>
      <c r="M135" s="19">
        <f>IFERROR(BDH(Database!$A135&amp;" HK Equity","CUR_MKT_CAP",Database!$H135,Database!$H135),"")</f>
        <v/>
      </c>
      <c r="N135" s="180">
        <f>Database!Q135</f>
        <v/>
      </c>
      <c r="O135" s="24">
        <f>IFERROR(BDH(Database!$A135&amp;" HK Equity","PE_RATIO",Database!$H135,Database!$H135),"")</f>
        <v/>
      </c>
      <c r="P135" s="184">
        <f>IF(Database!BG135="","(n/m or not derivable)",Database!BG135)</f>
        <v/>
      </c>
      <c r="Q135" s="24">
        <f>IF(Database!BM135="","",IFERROR(BDH(LEFT(Database!BM135,FIND(".",Database!BM135)-1)&amp;" CH Equity","PE_RATIO",Database!$H135,Database!$H135),""))</f>
        <v/>
      </c>
      <c r="R135" s="24">
        <f>IF(Database!BM135="","",IFERROR(BDH("HSAHP Index","PX_LAST",Database!$H135,Database!$H135),""))</f>
        <v/>
      </c>
      <c r="S135" s="24">
        <f>IFERROR(BDP(Database!$A135&amp;" HK Equity","PX_TO_SALES_RATIO"),"")</f>
        <v/>
      </c>
      <c r="T135" s="19">
        <f>IF(Database!BM135="","",IFERROR(BDP(LEFT(Database!BM135,FIND(".",Database!BM135)-1)&amp;" CH Equity","CUR_MKT_CAP"),""))</f>
        <v/>
      </c>
    </row>
    <row r="136">
      <c r="A136" s="17">
        <f>Database!A136&amp;"  "&amp;Database!B136</f>
        <v/>
      </c>
      <c r="B136" s="10">
        <f>IFERROR(INDEX(BDS(Database!$A136&amp;" HK Equity","EQUITY_OFFERINGS","array=t","endcol=1"),MATCH("IPO",BDS(Database!$A136&amp;" HK Equity","EQUITY_OFFERINGS","array=t","startcol=2","endcol=2"),0)),"")</f>
        <v/>
      </c>
      <c r="C136" s="186">
        <f>IF($B136="","",IFERROR(BDP($B136&amp;" Action","CP036"),""))</f>
        <v/>
      </c>
      <c r="D136" s="187">
        <f>Database!S136</f>
        <v/>
      </c>
      <c r="E136" s="186">
        <f>IF($B136="","",IFERROR(BDP($B136&amp;" Action","CP037"),""))</f>
        <v/>
      </c>
      <c r="F136" s="187">
        <f>Database!T136</f>
        <v/>
      </c>
      <c r="G136" s="186">
        <f>IF($B136="","",IFERROR(BDP($B136&amp;" Action","GREENSHOE_FACILITY"),""))</f>
        <v/>
      </c>
      <c r="H136" s="186">
        <f>IF($B136="","",IFERROR(BDP($B136&amp;" Action","OFFERING_GREENSHOE_SHARES_EX"),""))</f>
        <v/>
      </c>
      <c r="I136" s="17">
        <f>Database!AE136</f>
        <v/>
      </c>
      <c r="J136" s="24">
        <f>IFERROR(BDP(Database!$A136&amp;" HK Equity","PE_RATIO"),"")</f>
        <v/>
      </c>
      <c r="K136" s="10">
        <f>IFERROR(BDP(Database!$A136&amp;" HK Equity","A/H_SHARE_CONVERSION"),"")</f>
        <v/>
      </c>
      <c r="L136" s="17">
        <f>IF(Database!BM136="","(none found)",Database!BM136)</f>
        <v/>
      </c>
      <c r="M136" s="19">
        <f>IFERROR(BDH(Database!$A136&amp;" HK Equity","CUR_MKT_CAP",Database!$H136,Database!$H136),"")</f>
        <v/>
      </c>
      <c r="N136" s="180">
        <f>Database!Q136</f>
        <v/>
      </c>
      <c r="O136" s="24">
        <f>IFERROR(BDH(Database!$A136&amp;" HK Equity","PE_RATIO",Database!$H136,Database!$H136),"")</f>
        <v/>
      </c>
      <c r="P136" s="184">
        <f>IF(Database!BG136="","(n/m or not derivable)",Database!BG136)</f>
        <v/>
      </c>
      <c r="Q136" s="24">
        <f>IF(Database!BM136="","",IFERROR(BDH(LEFT(Database!BM136,FIND(".",Database!BM136)-1)&amp;" CH Equity","PE_RATIO",Database!$H136,Database!$H136),""))</f>
        <v/>
      </c>
      <c r="R136" s="24">
        <f>IF(Database!BM136="","",IFERROR(BDH("HSAHP Index","PX_LAST",Database!$H136,Database!$H136),""))</f>
        <v/>
      </c>
      <c r="S136" s="24">
        <f>IFERROR(BDP(Database!$A136&amp;" HK Equity","PX_TO_SALES_RATIO"),"")</f>
        <v/>
      </c>
      <c r="T136" s="19">
        <f>IF(Database!BM136="","",IFERROR(BDP(LEFT(Database!BM136,FIND(".",Database!BM136)-1)&amp;" CH Equity","CUR_MKT_CAP"),""))</f>
        <v/>
      </c>
    </row>
    <row r="137">
      <c r="A137" s="17">
        <f>Database!A137&amp;"  "&amp;Database!B137</f>
        <v/>
      </c>
      <c r="B137" s="10">
        <f>IFERROR(INDEX(BDS(Database!$A137&amp;" HK Equity","EQUITY_OFFERINGS","array=t","endcol=1"),MATCH("IPO",BDS(Database!$A137&amp;" HK Equity","EQUITY_OFFERINGS","array=t","startcol=2","endcol=2"),0)),"")</f>
        <v/>
      </c>
      <c r="C137" s="186">
        <f>IF($B137="","",IFERROR(BDP($B137&amp;" Action","CP036"),""))</f>
        <v/>
      </c>
      <c r="D137" s="187">
        <f>Database!S137</f>
        <v/>
      </c>
      <c r="E137" s="186">
        <f>IF($B137="","",IFERROR(BDP($B137&amp;" Action","CP037"),""))</f>
        <v/>
      </c>
      <c r="F137" s="187">
        <f>Database!T137</f>
        <v/>
      </c>
      <c r="G137" s="186">
        <f>IF($B137="","",IFERROR(BDP($B137&amp;" Action","GREENSHOE_FACILITY"),""))</f>
        <v/>
      </c>
      <c r="H137" s="186">
        <f>IF($B137="","",IFERROR(BDP($B137&amp;" Action","OFFERING_GREENSHOE_SHARES_EX"),""))</f>
        <v/>
      </c>
      <c r="I137" s="17">
        <f>Database!AE137</f>
        <v/>
      </c>
      <c r="J137" s="24">
        <f>IFERROR(BDP(Database!$A137&amp;" HK Equity","PE_RATIO"),"")</f>
        <v/>
      </c>
      <c r="K137" s="10">
        <f>IFERROR(BDP(Database!$A137&amp;" HK Equity","A/H_SHARE_CONVERSION"),"")</f>
        <v/>
      </c>
      <c r="L137" s="17">
        <f>IF(Database!BM137="","(none found)",Database!BM137)</f>
        <v/>
      </c>
      <c r="M137" s="19">
        <f>IFERROR(BDH(Database!$A137&amp;" HK Equity","CUR_MKT_CAP",Database!$H137,Database!$H137),"")</f>
        <v/>
      </c>
      <c r="N137" s="180">
        <f>Database!Q137</f>
        <v/>
      </c>
      <c r="O137" s="24">
        <f>IFERROR(BDH(Database!$A137&amp;" HK Equity","PE_RATIO",Database!$H137,Database!$H137),"")</f>
        <v/>
      </c>
      <c r="P137" s="184">
        <f>IF(Database!BG137="","(n/m or not derivable)",Database!BG137)</f>
        <v/>
      </c>
      <c r="Q137" s="24">
        <f>IF(Database!BM137="","",IFERROR(BDH(LEFT(Database!BM137,FIND(".",Database!BM137)-1)&amp;" CH Equity","PE_RATIO",Database!$H137,Database!$H137),""))</f>
        <v/>
      </c>
      <c r="R137" s="24">
        <f>IF(Database!BM137="","",IFERROR(BDH("HSAHP Index","PX_LAST",Database!$H137,Database!$H137),""))</f>
        <v/>
      </c>
      <c r="S137" s="24">
        <f>IFERROR(BDP(Database!$A137&amp;" HK Equity","PX_TO_SALES_RATIO"),"")</f>
        <v/>
      </c>
      <c r="T137" s="19">
        <f>IF(Database!BM137="","",IFERROR(BDP(LEFT(Database!BM137,FIND(".",Database!BM137)-1)&amp;" CH Equity","CUR_MKT_CAP"),""))</f>
        <v/>
      </c>
    </row>
    <row r="138">
      <c r="A138" s="17">
        <f>Database!A138&amp;"  "&amp;Database!B138</f>
        <v/>
      </c>
      <c r="B138" s="10">
        <f>IFERROR(INDEX(BDS(Database!$A138&amp;" HK Equity","EQUITY_OFFERINGS","array=t","endcol=1"),MATCH("IPO",BDS(Database!$A138&amp;" HK Equity","EQUITY_OFFERINGS","array=t","startcol=2","endcol=2"),0)),"")</f>
        <v/>
      </c>
      <c r="C138" s="186">
        <f>IF($B138="","",IFERROR(BDP($B138&amp;" Action","CP036"),""))</f>
        <v/>
      </c>
      <c r="D138" s="187">
        <f>Database!S138</f>
        <v/>
      </c>
      <c r="E138" s="186">
        <f>IF($B138="","",IFERROR(BDP($B138&amp;" Action","CP037"),""))</f>
        <v/>
      </c>
      <c r="F138" s="187">
        <f>Database!T138</f>
        <v/>
      </c>
      <c r="G138" s="186">
        <f>IF($B138="","",IFERROR(BDP($B138&amp;" Action","GREENSHOE_FACILITY"),""))</f>
        <v/>
      </c>
      <c r="H138" s="186">
        <f>IF($B138="","",IFERROR(BDP($B138&amp;" Action","OFFERING_GREENSHOE_SHARES_EX"),""))</f>
        <v/>
      </c>
      <c r="I138" s="17">
        <f>Database!AE138</f>
        <v/>
      </c>
      <c r="J138" s="24">
        <f>IFERROR(BDP(Database!$A138&amp;" HK Equity","PE_RATIO"),"")</f>
        <v/>
      </c>
      <c r="K138" s="10">
        <f>IFERROR(BDP(Database!$A138&amp;" HK Equity","A/H_SHARE_CONVERSION"),"")</f>
        <v/>
      </c>
      <c r="L138" s="17">
        <f>IF(Database!BM138="","(none found)",Database!BM138)</f>
        <v/>
      </c>
      <c r="M138" s="19">
        <f>IFERROR(BDH(Database!$A138&amp;" HK Equity","CUR_MKT_CAP",Database!$H138,Database!$H138),"")</f>
        <v/>
      </c>
      <c r="N138" s="180">
        <f>Database!Q138</f>
        <v/>
      </c>
      <c r="O138" s="24">
        <f>IFERROR(BDH(Database!$A138&amp;" HK Equity","PE_RATIO",Database!$H138,Database!$H138),"")</f>
        <v/>
      </c>
      <c r="P138" s="184">
        <f>IF(Database!BG138="","(n/m or not derivable)",Database!BG138)</f>
        <v/>
      </c>
      <c r="Q138" s="24">
        <f>IF(Database!BM138="","",IFERROR(BDH(LEFT(Database!BM138,FIND(".",Database!BM138)-1)&amp;" CH Equity","PE_RATIO",Database!$H138,Database!$H138),""))</f>
        <v/>
      </c>
      <c r="R138" s="24">
        <f>IF(Database!BM138="","",IFERROR(BDH("HSAHP Index","PX_LAST",Database!$H138,Database!$H138),""))</f>
        <v/>
      </c>
      <c r="S138" s="24">
        <f>IFERROR(BDP(Database!$A138&amp;" HK Equity","PX_TO_SALES_RATIO"),"")</f>
        <v/>
      </c>
      <c r="T138" s="19">
        <f>IF(Database!BM138="","",IFERROR(BDP(LEFT(Database!BM138,FIND(".",Database!BM138)-1)&amp;" CH Equity","CUR_MKT_CAP"),""))</f>
        <v/>
      </c>
    </row>
    <row r="139">
      <c r="A139" s="17">
        <f>Database!A139&amp;"  "&amp;Database!B139</f>
        <v/>
      </c>
      <c r="B139" s="10">
        <f>IFERROR(INDEX(BDS(Database!$A139&amp;" HK Equity","EQUITY_OFFERINGS","array=t","endcol=1"),MATCH("IPO",BDS(Database!$A139&amp;" HK Equity","EQUITY_OFFERINGS","array=t","startcol=2","endcol=2"),0)),"")</f>
        <v/>
      </c>
      <c r="C139" s="186">
        <f>IF($B139="","",IFERROR(BDP($B139&amp;" Action","CP036"),""))</f>
        <v/>
      </c>
      <c r="D139" s="187">
        <f>Database!S139</f>
        <v/>
      </c>
      <c r="E139" s="186">
        <f>IF($B139="","",IFERROR(BDP($B139&amp;" Action","CP037"),""))</f>
        <v/>
      </c>
      <c r="F139" s="187">
        <f>Database!T139</f>
        <v/>
      </c>
      <c r="G139" s="186">
        <f>IF($B139="","",IFERROR(BDP($B139&amp;" Action","GREENSHOE_FACILITY"),""))</f>
        <v/>
      </c>
      <c r="H139" s="186">
        <f>IF($B139="","",IFERROR(BDP($B139&amp;" Action","OFFERING_GREENSHOE_SHARES_EX"),""))</f>
        <v/>
      </c>
      <c r="I139" s="17">
        <f>Database!AE139</f>
        <v/>
      </c>
      <c r="J139" s="24">
        <f>IFERROR(BDP(Database!$A139&amp;" HK Equity","PE_RATIO"),"")</f>
        <v/>
      </c>
      <c r="K139" s="10">
        <f>IFERROR(BDP(Database!$A139&amp;" HK Equity","A/H_SHARE_CONVERSION"),"")</f>
        <v/>
      </c>
      <c r="L139" s="17">
        <f>IF(Database!BM139="","(none found)",Database!BM139)</f>
        <v/>
      </c>
      <c r="M139" s="19">
        <f>IFERROR(BDH(Database!$A139&amp;" HK Equity","CUR_MKT_CAP",Database!$H139,Database!$H139),"")</f>
        <v/>
      </c>
      <c r="N139" s="180">
        <f>Database!Q139</f>
        <v/>
      </c>
      <c r="O139" s="24">
        <f>IFERROR(BDH(Database!$A139&amp;" HK Equity","PE_RATIO",Database!$H139,Database!$H139),"")</f>
        <v/>
      </c>
      <c r="P139" s="184">
        <f>IF(Database!BG139="","(n/m or not derivable)",Database!BG139)</f>
        <v/>
      </c>
      <c r="Q139" s="24">
        <f>IF(Database!BM139="","",IFERROR(BDH(LEFT(Database!BM139,FIND(".",Database!BM139)-1)&amp;" CH Equity","PE_RATIO",Database!$H139,Database!$H139),""))</f>
        <v/>
      </c>
      <c r="R139" s="24">
        <f>IF(Database!BM139="","",IFERROR(BDH("HSAHP Index","PX_LAST",Database!$H139,Database!$H139),""))</f>
        <v/>
      </c>
      <c r="S139" s="24">
        <f>IFERROR(BDP(Database!$A139&amp;" HK Equity","PX_TO_SALES_RATIO"),"")</f>
        <v/>
      </c>
      <c r="T139" s="19">
        <f>IF(Database!BM139="","",IFERROR(BDP(LEFT(Database!BM139,FIND(".",Database!BM139)-1)&amp;" CH Equity","CUR_MKT_CAP"),""))</f>
        <v/>
      </c>
    </row>
    <row r="140">
      <c r="A140" s="17">
        <f>Database!A140&amp;"  "&amp;Database!B140</f>
        <v/>
      </c>
      <c r="B140" s="10">
        <f>IFERROR(INDEX(BDS(Database!$A140&amp;" HK Equity","EQUITY_OFFERINGS","array=t","endcol=1"),MATCH("IPO",BDS(Database!$A140&amp;" HK Equity","EQUITY_OFFERINGS","array=t","startcol=2","endcol=2"),0)),"")</f>
        <v/>
      </c>
      <c r="C140" s="186">
        <f>IF($B140="","",IFERROR(BDP($B140&amp;" Action","CP036"),""))</f>
        <v/>
      </c>
      <c r="D140" s="187">
        <f>Database!S140</f>
        <v/>
      </c>
      <c r="E140" s="186">
        <f>IF($B140="","",IFERROR(BDP($B140&amp;" Action","CP037"),""))</f>
        <v/>
      </c>
      <c r="F140" s="187">
        <f>Database!T140</f>
        <v/>
      </c>
      <c r="G140" s="186">
        <f>IF($B140="","",IFERROR(BDP($B140&amp;" Action","GREENSHOE_FACILITY"),""))</f>
        <v/>
      </c>
      <c r="H140" s="186">
        <f>IF($B140="","",IFERROR(BDP($B140&amp;" Action","OFFERING_GREENSHOE_SHARES_EX"),""))</f>
        <v/>
      </c>
      <c r="I140" s="17">
        <f>Database!AE140</f>
        <v/>
      </c>
      <c r="J140" s="24">
        <f>IFERROR(BDP(Database!$A140&amp;" HK Equity","PE_RATIO"),"")</f>
        <v/>
      </c>
      <c r="K140" s="10">
        <f>IFERROR(BDP(Database!$A140&amp;" HK Equity","A/H_SHARE_CONVERSION"),"")</f>
        <v/>
      </c>
      <c r="L140" s="17">
        <f>IF(Database!BM140="","(none found)",Database!BM140)</f>
        <v/>
      </c>
      <c r="M140" s="19">
        <f>IFERROR(BDH(Database!$A140&amp;" HK Equity","CUR_MKT_CAP",Database!$H140,Database!$H140),"")</f>
        <v/>
      </c>
      <c r="N140" s="180">
        <f>Database!Q140</f>
        <v/>
      </c>
      <c r="O140" s="24">
        <f>IFERROR(BDH(Database!$A140&amp;" HK Equity","PE_RATIO",Database!$H140,Database!$H140),"")</f>
        <v/>
      </c>
      <c r="P140" s="184">
        <f>IF(Database!BG140="","(n/m or not derivable)",Database!BG140)</f>
        <v/>
      </c>
      <c r="Q140" s="24">
        <f>IF(Database!BM140="","",IFERROR(BDH(LEFT(Database!BM140,FIND(".",Database!BM140)-1)&amp;" CH Equity","PE_RATIO",Database!$H140,Database!$H140),""))</f>
        <v/>
      </c>
      <c r="R140" s="24">
        <f>IF(Database!BM140="","",IFERROR(BDH("HSAHP Index","PX_LAST",Database!$H140,Database!$H140),""))</f>
        <v/>
      </c>
      <c r="S140" s="24">
        <f>IFERROR(BDP(Database!$A140&amp;" HK Equity","PX_TO_SALES_RATIO"),"")</f>
        <v/>
      </c>
      <c r="T140" s="19">
        <f>IF(Database!BM140="","",IFERROR(BDP(LEFT(Database!BM140,FIND(".",Database!BM140)-1)&amp;" CH Equity","CUR_MKT_CAP"),""))</f>
        <v/>
      </c>
    </row>
    <row r="141">
      <c r="A141" s="17">
        <f>Database!A141&amp;"  "&amp;Database!B141</f>
        <v/>
      </c>
      <c r="B141" s="10">
        <f>IFERROR(INDEX(BDS(Database!$A141&amp;" HK Equity","EQUITY_OFFERINGS","array=t","endcol=1"),MATCH("IPO",BDS(Database!$A141&amp;" HK Equity","EQUITY_OFFERINGS","array=t","startcol=2","endcol=2"),0)),"")</f>
        <v/>
      </c>
      <c r="C141" s="186">
        <f>IF($B141="","",IFERROR(BDP($B141&amp;" Action","CP036"),""))</f>
        <v/>
      </c>
      <c r="D141" s="187">
        <f>Database!S141</f>
        <v/>
      </c>
      <c r="E141" s="186">
        <f>IF($B141="","",IFERROR(BDP($B141&amp;" Action","CP037"),""))</f>
        <v/>
      </c>
      <c r="F141" s="187">
        <f>Database!T141</f>
        <v/>
      </c>
      <c r="G141" s="186">
        <f>IF($B141="","",IFERROR(BDP($B141&amp;" Action","GREENSHOE_FACILITY"),""))</f>
        <v/>
      </c>
      <c r="H141" s="186">
        <f>IF($B141="","",IFERROR(BDP($B141&amp;" Action","OFFERING_GREENSHOE_SHARES_EX"),""))</f>
        <v/>
      </c>
      <c r="I141" s="17">
        <f>Database!AE141</f>
        <v/>
      </c>
      <c r="J141" s="24">
        <f>IFERROR(BDP(Database!$A141&amp;" HK Equity","PE_RATIO"),"")</f>
        <v/>
      </c>
      <c r="K141" s="10">
        <f>IFERROR(BDP(Database!$A141&amp;" HK Equity","A/H_SHARE_CONVERSION"),"")</f>
        <v/>
      </c>
      <c r="L141" s="17">
        <f>IF(Database!BM141="","(none found)",Database!BM141)</f>
        <v/>
      </c>
      <c r="M141" s="19">
        <f>IFERROR(BDH(Database!$A141&amp;" HK Equity","CUR_MKT_CAP",Database!$H141,Database!$H141),"")</f>
        <v/>
      </c>
      <c r="N141" s="180">
        <f>Database!Q141</f>
        <v/>
      </c>
      <c r="O141" s="24">
        <f>IFERROR(BDH(Database!$A141&amp;" HK Equity","PE_RATIO",Database!$H141,Database!$H141),"")</f>
        <v/>
      </c>
      <c r="P141" s="184">
        <f>IF(Database!BG141="","(n/m or not derivable)",Database!BG141)</f>
        <v/>
      </c>
      <c r="Q141" s="24">
        <f>IF(Database!BM141="","",IFERROR(BDH(LEFT(Database!BM141,FIND(".",Database!BM141)-1)&amp;" CH Equity","PE_RATIO",Database!$H141,Database!$H141),""))</f>
        <v/>
      </c>
      <c r="R141" s="24">
        <f>IF(Database!BM141="","",IFERROR(BDH("HSAHP Index","PX_LAST",Database!$H141,Database!$H141),""))</f>
        <v/>
      </c>
      <c r="S141" s="24">
        <f>IFERROR(BDP(Database!$A141&amp;" HK Equity","PX_TO_SALES_RATIO"),"")</f>
        <v/>
      </c>
      <c r="T141" s="19">
        <f>IF(Database!BM141="","",IFERROR(BDP(LEFT(Database!BM141,FIND(".",Database!BM141)-1)&amp;" CH Equity","CUR_MKT_CAP"),""))</f>
        <v/>
      </c>
    </row>
    <row r="142">
      <c r="A142" s="17">
        <f>Database!A142&amp;"  "&amp;Database!B142</f>
        <v/>
      </c>
      <c r="B142" s="10">
        <f>IFERROR(INDEX(BDS(Database!$A142&amp;" HK Equity","EQUITY_OFFERINGS","array=t","endcol=1"),MATCH("IPO",BDS(Database!$A142&amp;" HK Equity","EQUITY_OFFERINGS","array=t","startcol=2","endcol=2"),0)),"")</f>
        <v/>
      </c>
      <c r="C142" s="186">
        <f>IF($B142="","",IFERROR(BDP($B142&amp;" Action","CP036"),""))</f>
        <v/>
      </c>
      <c r="D142" s="187">
        <f>Database!S142</f>
        <v/>
      </c>
      <c r="E142" s="186">
        <f>IF($B142="","",IFERROR(BDP($B142&amp;" Action","CP037"),""))</f>
        <v/>
      </c>
      <c r="F142" s="187">
        <f>Database!T142</f>
        <v/>
      </c>
      <c r="G142" s="186">
        <f>IF($B142="","",IFERROR(BDP($B142&amp;" Action","GREENSHOE_FACILITY"),""))</f>
        <v/>
      </c>
      <c r="H142" s="186">
        <f>IF($B142="","",IFERROR(BDP($B142&amp;" Action","OFFERING_GREENSHOE_SHARES_EX"),""))</f>
        <v/>
      </c>
      <c r="I142" s="17">
        <f>Database!AE142</f>
        <v/>
      </c>
      <c r="J142" s="24">
        <f>IFERROR(BDP(Database!$A142&amp;" HK Equity","PE_RATIO"),"")</f>
        <v/>
      </c>
      <c r="K142" s="10">
        <f>IFERROR(BDP(Database!$A142&amp;" HK Equity","A/H_SHARE_CONVERSION"),"")</f>
        <v/>
      </c>
      <c r="L142" s="17">
        <f>IF(Database!BM142="","(none found)",Database!BM142)</f>
        <v/>
      </c>
      <c r="M142" s="19">
        <f>IFERROR(BDH(Database!$A142&amp;" HK Equity","CUR_MKT_CAP",Database!$H142,Database!$H142),"")</f>
        <v/>
      </c>
      <c r="N142" s="180">
        <f>Database!Q142</f>
        <v/>
      </c>
      <c r="O142" s="24">
        <f>IFERROR(BDH(Database!$A142&amp;" HK Equity","PE_RATIO",Database!$H142,Database!$H142),"")</f>
        <v/>
      </c>
      <c r="P142" s="184">
        <f>IF(Database!BG142="","(n/m or not derivable)",Database!BG142)</f>
        <v/>
      </c>
      <c r="Q142" s="24">
        <f>IF(Database!BM142="","",IFERROR(BDH(LEFT(Database!BM142,FIND(".",Database!BM142)-1)&amp;" CH Equity","PE_RATIO",Database!$H142,Database!$H142),""))</f>
        <v/>
      </c>
      <c r="R142" s="24">
        <f>IF(Database!BM142="","",IFERROR(BDH("HSAHP Index","PX_LAST",Database!$H142,Database!$H142),""))</f>
        <v/>
      </c>
      <c r="S142" s="24">
        <f>IFERROR(BDP(Database!$A142&amp;" HK Equity","PX_TO_SALES_RATIO"),"")</f>
        <v/>
      </c>
      <c r="T142" s="19">
        <f>IF(Database!BM142="","",IFERROR(BDP(LEFT(Database!BM142,FIND(".",Database!BM142)-1)&amp;" CH Equity","CUR_MKT_CAP"),""))</f>
        <v/>
      </c>
    </row>
    <row r="143">
      <c r="A143" s="17">
        <f>Database!A143&amp;"  "&amp;Database!B143</f>
        <v/>
      </c>
      <c r="B143" s="10">
        <f>IFERROR(INDEX(BDS(Database!$A143&amp;" HK Equity","EQUITY_OFFERINGS","array=t","endcol=1"),MATCH("IPO",BDS(Database!$A143&amp;" HK Equity","EQUITY_OFFERINGS","array=t","startcol=2","endcol=2"),0)),"")</f>
        <v/>
      </c>
      <c r="C143" s="186">
        <f>IF($B143="","",IFERROR(BDP($B143&amp;" Action","CP036"),""))</f>
        <v/>
      </c>
      <c r="D143" s="187">
        <f>Database!S143</f>
        <v/>
      </c>
      <c r="E143" s="186">
        <f>IF($B143="","",IFERROR(BDP($B143&amp;" Action","CP037"),""))</f>
        <v/>
      </c>
      <c r="F143" s="187">
        <f>Database!T143</f>
        <v/>
      </c>
      <c r="G143" s="186">
        <f>IF($B143="","",IFERROR(BDP($B143&amp;" Action","GREENSHOE_FACILITY"),""))</f>
        <v/>
      </c>
      <c r="H143" s="186">
        <f>IF($B143="","",IFERROR(BDP($B143&amp;" Action","OFFERING_GREENSHOE_SHARES_EX"),""))</f>
        <v/>
      </c>
      <c r="I143" s="17">
        <f>Database!AE143</f>
        <v/>
      </c>
      <c r="J143" s="24">
        <f>IFERROR(BDP(Database!$A143&amp;" HK Equity","PE_RATIO"),"")</f>
        <v/>
      </c>
      <c r="K143" s="10">
        <f>IFERROR(BDP(Database!$A143&amp;" HK Equity","A/H_SHARE_CONVERSION"),"")</f>
        <v/>
      </c>
      <c r="L143" s="17">
        <f>IF(Database!BM143="","(none found)",Database!BM143)</f>
        <v/>
      </c>
      <c r="M143" s="19">
        <f>IFERROR(BDH(Database!$A143&amp;" HK Equity","CUR_MKT_CAP",Database!$H143,Database!$H143),"")</f>
        <v/>
      </c>
      <c r="N143" s="180">
        <f>Database!Q143</f>
        <v/>
      </c>
      <c r="O143" s="24">
        <f>IFERROR(BDH(Database!$A143&amp;" HK Equity","PE_RATIO",Database!$H143,Database!$H143),"")</f>
        <v/>
      </c>
      <c r="P143" s="184">
        <f>IF(Database!BG143="","(n/m or not derivable)",Database!BG143)</f>
        <v/>
      </c>
      <c r="Q143" s="24">
        <f>IF(Database!BM143="","",IFERROR(BDH(LEFT(Database!BM143,FIND(".",Database!BM143)-1)&amp;" CH Equity","PE_RATIO",Database!$H143,Database!$H143),""))</f>
        <v/>
      </c>
      <c r="R143" s="24">
        <f>IF(Database!BM143="","",IFERROR(BDH("HSAHP Index","PX_LAST",Database!$H143,Database!$H143),""))</f>
        <v/>
      </c>
      <c r="S143" s="24">
        <f>IFERROR(BDP(Database!$A143&amp;" HK Equity","PX_TO_SALES_RATIO"),"")</f>
        <v/>
      </c>
      <c r="T143" s="19">
        <f>IF(Database!BM143="","",IFERROR(BDP(LEFT(Database!BM143,FIND(".",Database!BM143)-1)&amp;" CH Equity","CUR_MKT_CAP"),""))</f>
        <v/>
      </c>
    </row>
    <row r="144">
      <c r="A144" s="17">
        <f>Database!A144&amp;"  "&amp;Database!B144</f>
        <v/>
      </c>
      <c r="B144" s="10">
        <f>IFERROR(INDEX(BDS(Database!$A144&amp;" HK Equity","EQUITY_OFFERINGS","array=t","endcol=1"),MATCH("IPO",BDS(Database!$A144&amp;" HK Equity","EQUITY_OFFERINGS","array=t","startcol=2","endcol=2"),0)),"")</f>
        <v/>
      </c>
      <c r="C144" s="186">
        <f>IF($B144="","",IFERROR(BDP($B144&amp;" Action","CP036"),""))</f>
        <v/>
      </c>
      <c r="D144" s="187">
        <f>Database!S144</f>
        <v/>
      </c>
      <c r="E144" s="186">
        <f>IF($B144="","",IFERROR(BDP($B144&amp;" Action","CP037"),""))</f>
        <v/>
      </c>
      <c r="F144" s="187">
        <f>Database!T144</f>
        <v/>
      </c>
      <c r="G144" s="186">
        <f>IF($B144="","",IFERROR(BDP($B144&amp;" Action","GREENSHOE_FACILITY"),""))</f>
        <v/>
      </c>
      <c r="H144" s="186">
        <f>IF($B144="","",IFERROR(BDP($B144&amp;" Action","OFFERING_GREENSHOE_SHARES_EX"),""))</f>
        <v/>
      </c>
      <c r="I144" s="17">
        <f>Database!AE144</f>
        <v/>
      </c>
      <c r="J144" s="24">
        <f>IFERROR(BDP(Database!$A144&amp;" HK Equity","PE_RATIO"),"")</f>
        <v/>
      </c>
      <c r="K144" s="10">
        <f>IFERROR(BDP(Database!$A144&amp;" HK Equity","A/H_SHARE_CONVERSION"),"")</f>
        <v/>
      </c>
      <c r="L144" s="17">
        <f>IF(Database!BM144="","(none found)",Database!BM144)</f>
        <v/>
      </c>
      <c r="M144" s="19">
        <f>IFERROR(BDH(Database!$A144&amp;" HK Equity","CUR_MKT_CAP",Database!$H144,Database!$H144),"")</f>
        <v/>
      </c>
      <c r="N144" s="180">
        <f>Database!Q144</f>
        <v/>
      </c>
      <c r="O144" s="24">
        <f>IFERROR(BDH(Database!$A144&amp;" HK Equity","PE_RATIO",Database!$H144,Database!$H144),"")</f>
        <v/>
      </c>
      <c r="P144" s="184">
        <f>IF(Database!BG144="","(n/m or not derivable)",Database!BG144)</f>
        <v/>
      </c>
      <c r="Q144" s="24">
        <f>IF(Database!BM144="","",IFERROR(BDH(LEFT(Database!BM144,FIND(".",Database!BM144)-1)&amp;" CH Equity","PE_RATIO",Database!$H144,Database!$H144),""))</f>
        <v/>
      </c>
      <c r="R144" s="24">
        <f>IF(Database!BM144="","",IFERROR(BDH("HSAHP Index","PX_LAST",Database!$H144,Database!$H144),""))</f>
        <v/>
      </c>
      <c r="S144" s="24">
        <f>IFERROR(BDP(Database!$A144&amp;" HK Equity","PX_TO_SALES_RATIO"),"")</f>
        <v/>
      </c>
      <c r="T144" s="19">
        <f>IF(Database!BM144="","",IFERROR(BDP(LEFT(Database!BM144,FIND(".",Database!BM144)-1)&amp;" CH Equity","CUR_MKT_CAP"),""))</f>
        <v/>
      </c>
    </row>
    <row r="145">
      <c r="A145" s="17">
        <f>Database!A145&amp;"  "&amp;Database!B145</f>
        <v/>
      </c>
      <c r="B145" s="10">
        <f>IFERROR(INDEX(BDS(Database!$A145&amp;" HK Equity","EQUITY_OFFERINGS","array=t","endcol=1"),MATCH("IPO",BDS(Database!$A145&amp;" HK Equity","EQUITY_OFFERINGS","array=t","startcol=2","endcol=2"),0)),"")</f>
        <v/>
      </c>
      <c r="C145" s="186">
        <f>IF($B145="","",IFERROR(BDP($B145&amp;" Action","CP036"),""))</f>
        <v/>
      </c>
      <c r="D145" s="187">
        <f>Database!S145</f>
        <v/>
      </c>
      <c r="E145" s="186">
        <f>IF($B145="","",IFERROR(BDP($B145&amp;" Action","CP037"),""))</f>
        <v/>
      </c>
      <c r="F145" s="187">
        <f>Database!T145</f>
        <v/>
      </c>
      <c r="G145" s="186">
        <f>IF($B145="","",IFERROR(BDP($B145&amp;" Action","GREENSHOE_FACILITY"),""))</f>
        <v/>
      </c>
      <c r="H145" s="186">
        <f>IF($B145="","",IFERROR(BDP($B145&amp;" Action","OFFERING_GREENSHOE_SHARES_EX"),""))</f>
        <v/>
      </c>
      <c r="I145" s="17">
        <f>Database!AE145</f>
        <v/>
      </c>
      <c r="J145" s="24">
        <f>IFERROR(BDP(Database!$A145&amp;" HK Equity","PE_RATIO"),"")</f>
        <v/>
      </c>
      <c r="K145" s="10">
        <f>IFERROR(BDP(Database!$A145&amp;" HK Equity","A/H_SHARE_CONVERSION"),"")</f>
        <v/>
      </c>
      <c r="L145" s="17">
        <f>IF(Database!BM145="","(none found)",Database!BM145)</f>
        <v/>
      </c>
      <c r="M145" s="19">
        <f>IFERROR(BDH(Database!$A145&amp;" HK Equity","CUR_MKT_CAP",Database!$H145,Database!$H145),"")</f>
        <v/>
      </c>
      <c r="N145" s="180">
        <f>Database!Q145</f>
        <v/>
      </c>
      <c r="O145" s="24">
        <f>IFERROR(BDH(Database!$A145&amp;" HK Equity","PE_RATIO",Database!$H145,Database!$H145),"")</f>
        <v/>
      </c>
      <c r="P145" s="184">
        <f>IF(Database!BG145="","(n/m or not derivable)",Database!BG145)</f>
        <v/>
      </c>
      <c r="Q145" s="24">
        <f>IF(Database!BM145="","",IFERROR(BDH(LEFT(Database!BM145,FIND(".",Database!BM145)-1)&amp;" CH Equity","PE_RATIO",Database!$H145,Database!$H145),""))</f>
        <v/>
      </c>
      <c r="R145" s="24">
        <f>IF(Database!BM145="","",IFERROR(BDH("HSAHP Index","PX_LAST",Database!$H145,Database!$H145),""))</f>
        <v/>
      </c>
      <c r="S145" s="24">
        <f>IFERROR(BDP(Database!$A145&amp;" HK Equity","PX_TO_SALES_RATIO"),"")</f>
        <v/>
      </c>
      <c r="T145" s="19">
        <f>IF(Database!BM145="","",IFERROR(BDP(LEFT(Database!BM145,FIND(".",Database!BM145)-1)&amp;" CH Equity","CUR_MKT_CAP"),""))</f>
        <v/>
      </c>
    </row>
    <row r="146">
      <c r="A146" s="17">
        <f>Database!A146&amp;"  "&amp;Database!B146</f>
        <v/>
      </c>
      <c r="B146" s="10">
        <f>IFERROR(INDEX(BDS(Database!$A146&amp;" HK Equity","EQUITY_OFFERINGS","array=t","endcol=1"),MATCH("IPO",BDS(Database!$A146&amp;" HK Equity","EQUITY_OFFERINGS","array=t","startcol=2","endcol=2"),0)),"")</f>
        <v/>
      </c>
      <c r="C146" s="186">
        <f>IF($B146="","",IFERROR(BDP($B146&amp;" Action","CP036"),""))</f>
        <v/>
      </c>
      <c r="D146" s="187">
        <f>Database!S146</f>
        <v/>
      </c>
      <c r="E146" s="186">
        <f>IF($B146="","",IFERROR(BDP($B146&amp;" Action","CP037"),""))</f>
        <v/>
      </c>
      <c r="F146" s="187">
        <f>Database!T146</f>
        <v/>
      </c>
      <c r="G146" s="186">
        <f>IF($B146="","",IFERROR(BDP($B146&amp;" Action","GREENSHOE_FACILITY"),""))</f>
        <v/>
      </c>
      <c r="H146" s="186">
        <f>IF($B146="","",IFERROR(BDP($B146&amp;" Action","OFFERING_GREENSHOE_SHARES_EX"),""))</f>
        <v/>
      </c>
      <c r="I146" s="17">
        <f>Database!AE146</f>
        <v/>
      </c>
      <c r="J146" s="24">
        <f>IFERROR(BDP(Database!$A146&amp;" HK Equity","PE_RATIO"),"")</f>
        <v/>
      </c>
      <c r="K146" s="10">
        <f>IFERROR(BDP(Database!$A146&amp;" HK Equity","A/H_SHARE_CONVERSION"),"")</f>
        <v/>
      </c>
      <c r="L146" s="17">
        <f>IF(Database!BM146="","(none found)",Database!BM146)</f>
        <v/>
      </c>
      <c r="M146" s="19">
        <f>IFERROR(BDH(Database!$A146&amp;" HK Equity","CUR_MKT_CAP",Database!$H146,Database!$H146),"")</f>
        <v/>
      </c>
      <c r="N146" s="180">
        <f>Database!Q146</f>
        <v/>
      </c>
      <c r="O146" s="24">
        <f>IFERROR(BDH(Database!$A146&amp;" HK Equity","PE_RATIO",Database!$H146,Database!$H146),"")</f>
        <v/>
      </c>
      <c r="P146" s="184">
        <f>IF(Database!BG146="","(n/m or not derivable)",Database!BG146)</f>
        <v/>
      </c>
      <c r="Q146" s="24">
        <f>IF(Database!BM146="","",IFERROR(BDH(LEFT(Database!BM146,FIND(".",Database!BM146)-1)&amp;" CH Equity","PE_RATIO",Database!$H146,Database!$H146),""))</f>
        <v/>
      </c>
      <c r="R146" s="24">
        <f>IF(Database!BM146="","",IFERROR(BDH("HSAHP Index","PX_LAST",Database!$H146,Database!$H146),""))</f>
        <v/>
      </c>
      <c r="S146" s="24">
        <f>IFERROR(BDP(Database!$A146&amp;" HK Equity","PX_TO_SALES_RATIO"),"")</f>
        <v/>
      </c>
      <c r="T146" s="19">
        <f>IF(Database!BM146="","",IFERROR(BDP(LEFT(Database!BM146,FIND(".",Database!BM146)-1)&amp;" CH Equity","CUR_MKT_CAP"),""))</f>
        <v/>
      </c>
    </row>
    <row r="147">
      <c r="A147" s="17">
        <f>Database!A147&amp;"  "&amp;Database!B147</f>
        <v/>
      </c>
      <c r="B147" s="10">
        <f>IFERROR(INDEX(BDS(Database!$A147&amp;" HK Equity","EQUITY_OFFERINGS","array=t","endcol=1"),MATCH("IPO",BDS(Database!$A147&amp;" HK Equity","EQUITY_OFFERINGS","array=t","startcol=2","endcol=2"),0)),"")</f>
        <v/>
      </c>
      <c r="C147" s="186">
        <f>IF($B147="","",IFERROR(BDP($B147&amp;" Action","CP036"),""))</f>
        <v/>
      </c>
      <c r="D147" s="187">
        <f>Database!S147</f>
        <v/>
      </c>
      <c r="E147" s="186">
        <f>IF($B147="","",IFERROR(BDP($B147&amp;" Action","CP037"),""))</f>
        <v/>
      </c>
      <c r="F147" s="187">
        <f>Database!T147</f>
        <v/>
      </c>
      <c r="G147" s="186">
        <f>IF($B147="","",IFERROR(BDP($B147&amp;" Action","GREENSHOE_FACILITY"),""))</f>
        <v/>
      </c>
      <c r="H147" s="186">
        <f>IF($B147="","",IFERROR(BDP($B147&amp;" Action","OFFERING_GREENSHOE_SHARES_EX"),""))</f>
        <v/>
      </c>
      <c r="I147" s="17">
        <f>Database!AE147</f>
        <v/>
      </c>
      <c r="J147" s="24">
        <f>IFERROR(BDP(Database!$A147&amp;" HK Equity","PE_RATIO"),"")</f>
        <v/>
      </c>
      <c r="K147" s="10">
        <f>IFERROR(BDP(Database!$A147&amp;" HK Equity","A/H_SHARE_CONVERSION"),"")</f>
        <v/>
      </c>
      <c r="L147" s="17">
        <f>IF(Database!BM147="","(none found)",Database!BM147)</f>
        <v/>
      </c>
      <c r="M147" s="19">
        <f>IFERROR(BDH(Database!$A147&amp;" HK Equity","CUR_MKT_CAP",Database!$H147,Database!$H147),"")</f>
        <v/>
      </c>
      <c r="N147" s="180">
        <f>Database!Q147</f>
        <v/>
      </c>
      <c r="O147" s="24">
        <f>IFERROR(BDH(Database!$A147&amp;" HK Equity","PE_RATIO",Database!$H147,Database!$H147),"")</f>
        <v/>
      </c>
      <c r="P147" s="184">
        <f>IF(Database!BG147="","(n/m or not derivable)",Database!BG147)</f>
        <v/>
      </c>
      <c r="Q147" s="24">
        <f>IF(Database!BM147="","",IFERROR(BDH(LEFT(Database!BM147,FIND(".",Database!BM147)-1)&amp;" CH Equity","PE_RATIO",Database!$H147,Database!$H147),""))</f>
        <v/>
      </c>
      <c r="R147" s="24">
        <f>IF(Database!BM147="","",IFERROR(BDH("HSAHP Index","PX_LAST",Database!$H147,Database!$H147),""))</f>
        <v/>
      </c>
      <c r="S147" s="24">
        <f>IFERROR(BDP(Database!$A147&amp;" HK Equity","PX_TO_SALES_RATIO"),"")</f>
        <v/>
      </c>
      <c r="T147" s="19">
        <f>IF(Database!BM147="","",IFERROR(BDP(LEFT(Database!BM147,FIND(".",Database!BM147)-1)&amp;" CH Equity","CUR_MKT_CAP"),""))</f>
        <v/>
      </c>
    </row>
    <row r="148">
      <c r="A148" s="17">
        <f>Database!A148&amp;"  "&amp;Database!B148</f>
        <v/>
      </c>
      <c r="B148" s="10">
        <f>IFERROR(INDEX(BDS(Database!$A148&amp;" HK Equity","EQUITY_OFFERINGS","array=t","endcol=1"),MATCH("IPO",BDS(Database!$A148&amp;" HK Equity","EQUITY_OFFERINGS","array=t","startcol=2","endcol=2"),0)),"")</f>
        <v/>
      </c>
      <c r="C148" s="186">
        <f>IF($B148="","",IFERROR(BDP($B148&amp;" Action","CP036"),""))</f>
        <v/>
      </c>
      <c r="D148" s="187">
        <f>Database!S148</f>
        <v/>
      </c>
      <c r="E148" s="186">
        <f>IF($B148="","",IFERROR(BDP($B148&amp;" Action","CP037"),""))</f>
        <v/>
      </c>
      <c r="F148" s="187">
        <f>Database!T148</f>
        <v/>
      </c>
      <c r="G148" s="186">
        <f>IF($B148="","",IFERROR(BDP($B148&amp;" Action","GREENSHOE_FACILITY"),""))</f>
        <v/>
      </c>
      <c r="H148" s="186">
        <f>IF($B148="","",IFERROR(BDP($B148&amp;" Action","OFFERING_GREENSHOE_SHARES_EX"),""))</f>
        <v/>
      </c>
      <c r="I148" s="17">
        <f>Database!AE148</f>
        <v/>
      </c>
      <c r="J148" s="24">
        <f>IFERROR(BDP(Database!$A148&amp;" HK Equity","PE_RATIO"),"")</f>
        <v/>
      </c>
      <c r="K148" s="10">
        <f>IFERROR(BDP(Database!$A148&amp;" HK Equity","A/H_SHARE_CONVERSION"),"")</f>
        <v/>
      </c>
      <c r="L148" s="17">
        <f>IF(Database!BM148="","(none found)",Database!BM148)</f>
        <v/>
      </c>
      <c r="M148" s="19">
        <f>IFERROR(BDH(Database!$A148&amp;" HK Equity","CUR_MKT_CAP",Database!$H148,Database!$H148),"")</f>
        <v/>
      </c>
      <c r="N148" s="180">
        <f>Database!Q148</f>
        <v/>
      </c>
      <c r="O148" s="24">
        <f>IFERROR(BDH(Database!$A148&amp;" HK Equity","PE_RATIO",Database!$H148,Database!$H148),"")</f>
        <v/>
      </c>
      <c r="P148" s="184">
        <f>IF(Database!BG148="","(n/m or not derivable)",Database!BG148)</f>
        <v/>
      </c>
      <c r="Q148" s="24">
        <f>IF(Database!BM148="","",IFERROR(BDH(LEFT(Database!BM148,FIND(".",Database!BM148)-1)&amp;" CH Equity","PE_RATIO",Database!$H148,Database!$H148),""))</f>
        <v/>
      </c>
      <c r="R148" s="24">
        <f>IF(Database!BM148="","",IFERROR(BDH("HSAHP Index","PX_LAST",Database!$H148,Database!$H148),""))</f>
        <v/>
      </c>
      <c r="S148" s="24">
        <f>IFERROR(BDP(Database!$A148&amp;" HK Equity","PX_TO_SALES_RATIO"),"")</f>
        <v/>
      </c>
      <c r="T148" s="19">
        <f>IF(Database!BM148="","",IFERROR(BDP(LEFT(Database!BM148,FIND(".",Database!BM148)-1)&amp;" CH Equity","CUR_MKT_CAP"),""))</f>
        <v/>
      </c>
    </row>
    <row r="149">
      <c r="A149" s="17">
        <f>Database!A149&amp;"  "&amp;Database!B149</f>
        <v/>
      </c>
      <c r="B149" s="10">
        <f>IFERROR(INDEX(BDS(Database!$A149&amp;" HK Equity","EQUITY_OFFERINGS","array=t","endcol=1"),MATCH("IPO",BDS(Database!$A149&amp;" HK Equity","EQUITY_OFFERINGS","array=t","startcol=2","endcol=2"),0)),"")</f>
        <v/>
      </c>
      <c r="C149" s="186">
        <f>IF($B149="","",IFERROR(BDP($B149&amp;" Action","CP036"),""))</f>
        <v/>
      </c>
      <c r="D149" s="187">
        <f>Database!S149</f>
        <v/>
      </c>
      <c r="E149" s="186">
        <f>IF($B149="","",IFERROR(BDP($B149&amp;" Action","CP037"),""))</f>
        <v/>
      </c>
      <c r="F149" s="187">
        <f>Database!T149</f>
        <v/>
      </c>
      <c r="G149" s="186">
        <f>IF($B149="","",IFERROR(BDP($B149&amp;" Action","GREENSHOE_FACILITY"),""))</f>
        <v/>
      </c>
      <c r="H149" s="186">
        <f>IF($B149="","",IFERROR(BDP($B149&amp;" Action","OFFERING_GREENSHOE_SHARES_EX"),""))</f>
        <v/>
      </c>
      <c r="I149" s="17">
        <f>Database!AE149</f>
        <v/>
      </c>
      <c r="J149" s="24">
        <f>IFERROR(BDP(Database!$A149&amp;" HK Equity","PE_RATIO"),"")</f>
        <v/>
      </c>
      <c r="K149" s="10">
        <f>IFERROR(BDP(Database!$A149&amp;" HK Equity","A/H_SHARE_CONVERSION"),"")</f>
        <v/>
      </c>
      <c r="L149" s="17">
        <f>IF(Database!BM149="","(none found)",Database!BM149)</f>
        <v/>
      </c>
      <c r="M149" s="19">
        <f>IFERROR(BDH(Database!$A149&amp;" HK Equity","CUR_MKT_CAP",Database!$H149,Database!$H149),"")</f>
        <v/>
      </c>
      <c r="N149" s="180">
        <f>Database!Q149</f>
        <v/>
      </c>
      <c r="O149" s="24">
        <f>IFERROR(BDH(Database!$A149&amp;" HK Equity","PE_RATIO",Database!$H149,Database!$H149),"")</f>
        <v/>
      </c>
      <c r="P149" s="184">
        <f>IF(Database!BG149="","(n/m or not derivable)",Database!BG149)</f>
        <v/>
      </c>
      <c r="Q149" s="24">
        <f>IF(Database!BM149="","",IFERROR(BDH(LEFT(Database!BM149,FIND(".",Database!BM149)-1)&amp;" CH Equity","PE_RATIO",Database!$H149,Database!$H149),""))</f>
        <v/>
      </c>
      <c r="R149" s="24">
        <f>IF(Database!BM149="","",IFERROR(BDH("HSAHP Index","PX_LAST",Database!$H149,Database!$H149),""))</f>
        <v/>
      </c>
      <c r="S149" s="24">
        <f>IFERROR(BDP(Database!$A149&amp;" HK Equity","PX_TO_SALES_RATIO"),"")</f>
        <v/>
      </c>
      <c r="T149" s="19">
        <f>IF(Database!BM149="","",IFERROR(BDP(LEFT(Database!BM149,FIND(".",Database!BM149)-1)&amp;" CH Equity","CUR_MKT_CAP"),""))</f>
        <v/>
      </c>
    </row>
    <row r="150">
      <c r="A150" s="17">
        <f>Database!A150&amp;"  "&amp;Database!B150</f>
        <v/>
      </c>
      <c r="B150" s="10">
        <f>IFERROR(INDEX(BDS(Database!$A150&amp;" HK Equity","EQUITY_OFFERINGS","array=t","endcol=1"),MATCH("IPO",BDS(Database!$A150&amp;" HK Equity","EQUITY_OFFERINGS","array=t","startcol=2","endcol=2"),0)),"")</f>
        <v/>
      </c>
      <c r="C150" s="186">
        <f>IF($B150="","",IFERROR(BDP($B150&amp;" Action","CP036"),""))</f>
        <v/>
      </c>
      <c r="D150" s="187">
        <f>Database!S150</f>
        <v/>
      </c>
      <c r="E150" s="186">
        <f>IF($B150="","",IFERROR(BDP($B150&amp;" Action","CP037"),""))</f>
        <v/>
      </c>
      <c r="F150" s="187">
        <f>Database!T150</f>
        <v/>
      </c>
      <c r="G150" s="186">
        <f>IF($B150="","",IFERROR(BDP($B150&amp;" Action","GREENSHOE_FACILITY"),""))</f>
        <v/>
      </c>
      <c r="H150" s="186">
        <f>IF($B150="","",IFERROR(BDP($B150&amp;" Action","OFFERING_GREENSHOE_SHARES_EX"),""))</f>
        <v/>
      </c>
      <c r="I150" s="17">
        <f>Database!AE150</f>
        <v/>
      </c>
      <c r="J150" s="24">
        <f>IFERROR(BDP(Database!$A150&amp;" HK Equity","PE_RATIO"),"")</f>
        <v/>
      </c>
      <c r="K150" s="10">
        <f>IFERROR(BDP(Database!$A150&amp;" HK Equity","A/H_SHARE_CONVERSION"),"")</f>
        <v/>
      </c>
      <c r="L150" s="17">
        <f>IF(Database!BM150="","(none found)",Database!BM150)</f>
        <v/>
      </c>
      <c r="M150" s="19">
        <f>IFERROR(BDH(Database!$A150&amp;" HK Equity","CUR_MKT_CAP",Database!$H150,Database!$H150),"")</f>
        <v/>
      </c>
      <c r="N150" s="180">
        <f>Database!Q150</f>
        <v/>
      </c>
      <c r="O150" s="24">
        <f>IFERROR(BDH(Database!$A150&amp;" HK Equity","PE_RATIO",Database!$H150,Database!$H150),"")</f>
        <v/>
      </c>
      <c r="P150" s="184">
        <f>IF(Database!BG150="","(n/m or not derivable)",Database!BG150)</f>
        <v/>
      </c>
      <c r="Q150" s="24">
        <f>IF(Database!BM150="","",IFERROR(BDH(LEFT(Database!BM150,FIND(".",Database!BM150)-1)&amp;" CH Equity","PE_RATIO",Database!$H150,Database!$H150),""))</f>
        <v/>
      </c>
      <c r="R150" s="24">
        <f>IF(Database!BM150="","",IFERROR(BDH("HSAHP Index","PX_LAST",Database!$H150,Database!$H150),""))</f>
        <v/>
      </c>
      <c r="S150" s="24">
        <f>IFERROR(BDP(Database!$A150&amp;" HK Equity","PX_TO_SALES_RATIO"),"")</f>
        <v/>
      </c>
      <c r="T150" s="19">
        <f>IF(Database!BM150="","",IFERROR(BDP(LEFT(Database!BM150,FIND(".",Database!BM150)-1)&amp;" CH Equity","CUR_MKT_CAP"),""))</f>
        <v/>
      </c>
    </row>
    <row r="151">
      <c r="A151" s="17">
        <f>Database!A151&amp;"  "&amp;Database!B151</f>
        <v/>
      </c>
      <c r="B151" s="10">
        <f>IFERROR(INDEX(BDS(Database!$A151&amp;" HK Equity","EQUITY_OFFERINGS","array=t","endcol=1"),MATCH("IPO",BDS(Database!$A151&amp;" HK Equity","EQUITY_OFFERINGS","array=t","startcol=2","endcol=2"),0)),"")</f>
        <v/>
      </c>
      <c r="C151" s="186">
        <f>IF($B151="","",IFERROR(BDP($B151&amp;" Action","CP036"),""))</f>
        <v/>
      </c>
      <c r="D151" s="187">
        <f>Database!S151</f>
        <v/>
      </c>
      <c r="E151" s="186">
        <f>IF($B151="","",IFERROR(BDP($B151&amp;" Action","CP037"),""))</f>
        <v/>
      </c>
      <c r="F151" s="187">
        <f>Database!T151</f>
        <v/>
      </c>
      <c r="G151" s="186">
        <f>IF($B151="","",IFERROR(BDP($B151&amp;" Action","GREENSHOE_FACILITY"),""))</f>
        <v/>
      </c>
      <c r="H151" s="186">
        <f>IF($B151="","",IFERROR(BDP($B151&amp;" Action","OFFERING_GREENSHOE_SHARES_EX"),""))</f>
        <v/>
      </c>
      <c r="I151" s="17">
        <f>Database!AE151</f>
        <v/>
      </c>
      <c r="J151" s="24">
        <f>IFERROR(BDP(Database!$A151&amp;" HK Equity","PE_RATIO"),"")</f>
        <v/>
      </c>
      <c r="K151" s="10">
        <f>IFERROR(BDP(Database!$A151&amp;" HK Equity","A/H_SHARE_CONVERSION"),"")</f>
        <v/>
      </c>
      <c r="L151" s="17">
        <f>IF(Database!BM151="","(none found)",Database!BM151)</f>
        <v/>
      </c>
      <c r="M151" s="19">
        <f>IFERROR(BDH(Database!$A151&amp;" HK Equity","CUR_MKT_CAP",Database!$H151,Database!$H151),"")</f>
        <v/>
      </c>
      <c r="N151" s="180">
        <f>Database!Q151</f>
        <v/>
      </c>
      <c r="O151" s="24">
        <f>IFERROR(BDH(Database!$A151&amp;" HK Equity","PE_RATIO",Database!$H151,Database!$H151),"")</f>
        <v/>
      </c>
      <c r="P151" s="184">
        <f>IF(Database!BG151="","(n/m or not derivable)",Database!BG151)</f>
        <v/>
      </c>
      <c r="Q151" s="24">
        <f>IF(Database!BM151="","",IFERROR(BDH(LEFT(Database!BM151,FIND(".",Database!BM151)-1)&amp;" CH Equity","PE_RATIO",Database!$H151,Database!$H151),""))</f>
        <v/>
      </c>
      <c r="R151" s="24">
        <f>IF(Database!BM151="","",IFERROR(BDH("HSAHP Index","PX_LAST",Database!$H151,Database!$H151),""))</f>
        <v/>
      </c>
      <c r="S151" s="24">
        <f>IFERROR(BDP(Database!$A151&amp;" HK Equity","PX_TO_SALES_RATIO"),"")</f>
        <v/>
      </c>
      <c r="T151" s="19">
        <f>IF(Database!BM151="","",IFERROR(BDP(LEFT(Database!BM151,FIND(".",Database!BM151)-1)&amp;" CH Equity","CUR_MKT_CAP"),""))</f>
        <v/>
      </c>
    </row>
    <row r="152">
      <c r="A152" s="17">
        <f>Database!A152&amp;"  "&amp;Database!B152</f>
        <v/>
      </c>
      <c r="B152" s="10">
        <f>IFERROR(INDEX(BDS(Database!$A152&amp;" HK Equity","EQUITY_OFFERINGS","array=t","endcol=1"),MATCH("IPO",BDS(Database!$A152&amp;" HK Equity","EQUITY_OFFERINGS","array=t","startcol=2","endcol=2"),0)),"")</f>
        <v/>
      </c>
      <c r="C152" s="186">
        <f>IF($B152="","",IFERROR(BDP($B152&amp;" Action","CP036"),""))</f>
        <v/>
      </c>
      <c r="D152" s="187">
        <f>Database!S152</f>
        <v/>
      </c>
      <c r="E152" s="186">
        <f>IF($B152="","",IFERROR(BDP($B152&amp;" Action","CP037"),""))</f>
        <v/>
      </c>
      <c r="F152" s="187">
        <f>Database!T152</f>
        <v/>
      </c>
      <c r="G152" s="186">
        <f>IF($B152="","",IFERROR(BDP($B152&amp;" Action","GREENSHOE_FACILITY"),""))</f>
        <v/>
      </c>
      <c r="H152" s="186">
        <f>IF($B152="","",IFERROR(BDP($B152&amp;" Action","OFFERING_GREENSHOE_SHARES_EX"),""))</f>
        <v/>
      </c>
      <c r="I152" s="17">
        <f>Database!AE152</f>
        <v/>
      </c>
      <c r="J152" s="24">
        <f>IFERROR(BDP(Database!$A152&amp;" HK Equity","PE_RATIO"),"")</f>
        <v/>
      </c>
      <c r="K152" s="10">
        <f>IFERROR(BDP(Database!$A152&amp;" HK Equity","A/H_SHARE_CONVERSION"),"")</f>
        <v/>
      </c>
      <c r="L152" s="17">
        <f>IF(Database!BM152="","(none found)",Database!BM152)</f>
        <v/>
      </c>
      <c r="M152" s="19">
        <f>IFERROR(BDH(Database!$A152&amp;" HK Equity","CUR_MKT_CAP",Database!$H152,Database!$H152),"")</f>
        <v/>
      </c>
      <c r="N152" s="180">
        <f>Database!Q152</f>
        <v/>
      </c>
      <c r="O152" s="24">
        <f>IFERROR(BDH(Database!$A152&amp;" HK Equity","PE_RATIO",Database!$H152,Database!$H152),"")</f>
        <v/>
      </c>
      <c r="P152" s="184">
        <f>IF(Database!BG152="","(n/m or not derivable)",Database!BG152)</f>
        <v/>
      </c>
      <c r="Q152" s="24">
        <f>IF(Database!BM152="","",IFERROR(BDH(LEFT(Database!BM152,FIND(".",Database!BM152)-1)&amp;" CH Equity","PE_RATIO",Database!$H152,Database!$H152),""))</f>
        <v/>
      </c>
      <c r="R152" s="24">
        <f>IF(Database!BM152="","",IFERROR(BDH("HSAHP Index","PX_LAST",Database!$H152,Database!$H152),""))</f>
        <v/>
      </c>
      <c r="S152" s="24">
        <f>IFERROR(BDP(Database!$A152&amp;" HK Equity","PX_TO_SALES_RATIO"),"")</f>
        <v/>
      </c>
      <c r="T152" s="19">
        <f>IF(Database!BM152="","",IFERROR(BDP(LEFT(Database!BM152,FIND(".",Database!BM152)-1)&amp;" CH Equity","CUR_MKT_CAP"),""))</f>
        <v/>
      </c>
    </row>
    <row r="153">
      <c r="A153" s="17">
        <f>Database!A153&amp;"  "&amp;Database!B153</f>
        <v/>
      </c>
      <c r="B153" s="10">
        <f>IFERROR(INDEX(BDS(Database!$A153&amp;" HK Equity","EQUITY_OFFERINGS","array=t","endcol=1"),MATCH("IPO",BDS(Database!$A153&amp;" HK Equity","EQUITY_OFFERINGS","array=t","startcol=2","endcol=2"),0)),"")</f>
        <v/>
      </c>
      <c r="C153" s="186">
        <f>IF($B153="","",IFERROR(BDP($B153&amp;" Action","CP036"),""))</f>
        <v/>
      </c>
      <c r="D153" s="187">
        <f>Database!S153</f>
        <v/>
      </c>
      <c r="E153" s="186">
        <f>IF($B153="","",IFERROR(BDP($B153&amp;" Action","CP037"),""))</f>
        <v/>
      </c>
      <c r="F153" s="187">
        <f>Database!T153</f>
        <v/>
      </c>
      <c r="G153" s="186">
        <f>IF($B153="","",IFERROR(BDP($B153&amp;" Action","GREENSHOE_FACILITY"),""))</f>
        <v/>
      </c>
      <c r="H153" s="186">
        <f>IF($B153="","",IFERROR(BDP($B153&amp;" Action","OFFERING_GREENSHOE_SHARES_EX"),""))</f>
        <v/>
      </c>
      <c r="I153" s="17">
        <f>Database!AE153</f>
        <v/>
      </c>
      <c r="J153" s="24">
        <f>IFERROR(BDP(Database!$A153&amp;" HK Equity","PE_RATIO"),"")</f>
        <v/>
      </c>
      <c r="K153" s="10">
        <f>IFERROR(BDP(Database!$A153&amp;" HK Equity","A/H_SHARE_CONVERSION"),"")</f>
        <v/>
      </c>
      <c r="L153" s="17">
        <f>IF(Database!BM153="","(none found)",Database!BM153)</f>
        <v/>
      </c>
      <c r="M153" s="19">
        <f>IFERROR(BDH(Database!$A153&amp;" HK Equity","CUR_MKT_CAP",Database!$H153,Database!$H153),"")</f>
        <v/>
      </c>
      <c r="N153" s="180">
        <f>Database!Q153</f>
        <v/>
      </c>
      <c r="O153" s="24">
        <f>IFERROR(BDH(Database!$A153&amp;" HK Equity","PE_RATIO",Database!$H153,Database!$H153),"")</f>
        <v/>
      </c>
      <c r="P153" s="184">
        <f>IF(Database!BG153="","(n/m or not derivable)",Database!BG153)</f>
        <v/>
      </c>
      <c r="Q153" s="24">
        <f>IF(Database!BM153="","",IFERROR(BDH(LEFT(Database!BM153,FIND(".",Database!BM153)-1)&amp;" CH Equity","PE_RATIO",Database!$H153,Database!$H153),""))</f>
        <v/>
      </c>
      <c r="R153" s="24">
        <f>IF(Database!BM153="","",IFERROR(BDH("HSAHP Index","PX_LAST",Database!$H153,Database!$H153),""))</f>
        <v/>
      </c>
      <c r="S153" s="24">
        <f>IFERROR(BDP(Database!$A153&amp;" HK Equity","PX_TO_SALES_RATIO"),"")</f>
        <v/>
      </c>
      <c r="T153" s="19">
        <f>IF(Database!BM153="","",IFERROR(BDP(LEFT(Database!BM153,FIND(".",Database!BM153)-1)&amp;" CH Equity","CUR_MKT_CAP"),""))</f>
        <v/>
      </c>
    </row>
    <row r="154">
      <c r="A154" s="17">
        <f>Database!A154&amp;"  "&amp;Database!B154</f>
        <v/>
      </c>
      <c r="B154" s="10">
        <f>IFERROR(INDEX(BDS(Database!$A154&amp;" HK Equity","EQUITY_OFFERINGS","array=t","endcol=1"),MATCH("IPO",BDS(Database!$A154&amp;" HK Equity","EQUITY_OFFERINGS","array=t","startcol=2","endcol=2"),0)),"")</f>
        <v/>
      </c>
      <c r="C154" s="186">
        <f>IF($B154="","",IFERROR(BDP($B154&amp;" Action","CP036"),""))</f>
        <v/>
      </c>
      <c r="D154" s="187">
        <f>Database!S154</f>
        <v/>
      </c>
      <c r="E154" s="186">
        <f>IF($B154="","",IFERROR(BDP($B154&amp;" Action","CP037"),""))</f>
        <v/>
      </c>
      <c r="F154" s="187">
        <f>Database!T154</f>
        <v/>
      </c>
      <c r="G154" s="186">
        <f>IF($B154="","",IFERROR(BDP($B154&amp;" Action","GREENSHOE_FACILITY"),""))</f>
        <v/>
      </c>
      <c r="H154" s="186">
        <f>IF($B154="","",IFERROR(BDP($B154&amp;" Action","OFFERING_GREENSHOE_SHARES_EX"),""))</f>
        <v/>
      </c>
      <c r="I154" s="17">
        <f>Database!AE154</f>
        <v/>
      </c>
      <c r="J154" s="24">
        <f>IFERROR(BDP(Database!$A154&amp;" HK Equity","PE_RATIO"),"")</f>
        <v/>
      </c>
      <c r="K154" s="10">
        <f>IFERROR(BDP(Database!$A154&amp;" HK Equity","A/H_SHARE_CONVERSION"),"")</f>
        <v/>
      </c>
      <c r="L154" s="17">
        <f>IF(Database!BM154="","(none found)",Database!BM154)</f>
        <v/>
      </c>
      <c r="M154" s="19">
        <f>IFERROR(BDH(Database!$A154&amp;" HK Equity","CUR_MKT_CAP",Database!$H154,Database!$H154),"")</f>
        <v/>
      </c>
      <c r="N154" s="180">
        <f>Database!Q154</f>
        <v/>
      </c>
      <c r="O154" s="24">
        <f>IFERROR(BDH(Database!$A154&amp;" HK Equity","PE_RATIO",Database!$H154,Database!$H154),"")</f>
        <v/>
      </c>
      <c r="P154" s="184">
        <f>IF(Database!BG154="","(n/m or not derivable)",Database!BG154)</f>
        <v/>
      </c>
      <c r="Q154" s="24">
        <f>IF(Database!BM154="","",IFERROR(BDH(LEFT(Database!BM154,FIND(".",Database!BM154)-1)&amp;" CH Equity","PE_RATIO",Database!$H154,Database!$H154),""))</f>
        <v/>
      </c>
      <c r="R154" s="24">
        <f>IF(Database!BM154="","",IFERROR(BDH("HSAHP Index","PX_LAST",Database!$H154,Database!$H154),""))</f>
        <v/>
      </c>
      <c r="S154" s="24">
        <f>IFERROR(BDP(Database!$A154&amp;" HK Equity","PX_TO_SALES_RATIO"),"")</f>
        <v/>
      </c>
      <c r="T154" s="19">
        <f>IF(Database!BM154="","",IFERROR(BDP(LEFT(Database!BM154,FIND(".",Database!BM154)-1)&amp;" CH Equity","CUR_MKT_CAP"),""))</f>
        <v/>
      </c>
    </row>
    <row r="155">
      <c r="A155" s="17">
        <f>Database!A155&amp;"  "&amp;Database!B155</f>
        <v/>
      </c>
      <c r="B155" s="10">
        <f>IFERROR(INDEX(BDS(Database!$A155&amp;" HK Equity","EQUITY_OFFERINGS","array=t","endcol=1"),MATCH("IPO",BDS(Database!$A155&amp;" HK Equity","EQUITY_OFFERINGS","array=t","startcol=2","endcol=2"),0)),"")</f>
        <v/>
      </c>
      <c r="C155" s="186">
        <f>IF($B155="","",IFERROR(BDP($B155&amp;" Action","CP036"),""))</f>
        <v/>
      </c>
      <c r="D155" s="187">
        <f>Database!S155</f>
        <v/>
      </c>
      <c r="E155" s="186">
        <f>IF($B155="","",IFERROR(BDP($B155&amp;" Action","CP037"),""))</f>
        <v/>
      </c>
      <c r="F155" s="187">
        <f>Database!T155</f>
        <v/>
      </c>
      <c r="G155" s="186">
        <f>IF($B155="","",IFERROR(BDP($B155&amp;" Action","GREENSHOE_FACILITY"),""))</f>
        <v/>
      </c>
      <c r="H155" s="186">
        <f>IF($B155="","",IFERROR(BDP($B155&amp;" Action","OFFERING_GREENSHOE_SHARES_EX"),""))</f>
        <v/>
      </c>
      <c r="I155" s="17">
        <f>Database!AE155</f>
        <v/>
      </c>
      <c r="J155" s="24">
        <f>IFERROR(BDP(Database!$A155&amp;" HK Equity","PE_RATIO"),"")</f>
        <v/>
      </c>
      <c r="K155" s="10">
        <f>IFERROR(BDP(Database!$A155&amp;" HK Equity","A/H_SHARE_CONVERSION"),"")</f>
        <v/>
      </c>
      <c r="L155" s="17">
        <f>IF(Database!BM155="","(none found)",Database!BM155)</f>
        <v/>
      </c>
      <c r="M155" s="19">
        <f>IFERROR(BDH(Database!$A155&amp;" HK Equity","CUR_MKT_CAP",Database!$H155,Database!$H155),"")</f>
        <v/>
      </c>
      <c r="N155" s="180">
        <f>Database!Q155</f>
        <v/>
      </c>
      <c r="O155" s="24">
        <f>IFERROR(BDH(Database!$A155&amp;" HK Equity","PE_RATIO",Database!$H155,Database!$H155),"")</f>
        <v/>
      </c>
      <c r="P155" s="184">
        <f>IF(Database!BG155="","(n/m or not derivable)",Database!BG155)</f>
        <v/>
      </c>
      <c r="Q155" s="24">
        <f>IF(Database!BM155="","",IFERROR(BDH(LEFT(Database!BM155,FIND(".",Database!BM155)-1)&amp;" CH Equity","PE_RATIO",Database!$H155,Database!$H155),""))</f>
        <v/>
      </c>
      <c r="R155" s="24">
        <f>IF(Database!BM155="","",IFERROR(BDH("HSAHP Index","PX_LAST",Database!$H155,Database!$H155),""))</f>
        <v/>
      </c>
      <c r="S155" s="24">
        <f>IFERROR(BDP(Database!$A155&amp;" HK Equity","PX_TO_SALES_RATIO"),"")</f>
        <v/>
      </c>
      <c r="T155" s="19">
        <f>IF(Database!BM155="","",IFERROR(BDP(LEFT(Database!BM155,FIND(".",Database!BM155)-1)&amp;" CH Equity","CUR_MKT_CAP"),""))</f>
        <v/>
      </c>
    </row>
    <row r="156">
      <c r="A156" s="17">
        <f>Database!A156&amp;"  "&amp;Database!B156</f>
        <v/>
      </c>
      <c r="B156" s="10">
        <f>IFERROR(INDEX(BDS(Database!$A156&amp;" HK Equity","EQUITY_OFFERINGS","array=t","endcol=1"),MATCH("IPO",BDS(Database!$A156&amp;" HK Equity","EQUITY_OFFERINGS","array=t","startcol=2","endcol=2"),0)),"")</f>
        <v/>
      </c>
      <c r="C156" s="186">
        <f>IF($B156="","",IFERROR(BDP($B156&amp;" Action","CP036"),""))</f>
        <v/>
      </c>
      <c r="D156" s="187">
        <f>Database!S156</f>
        <v/>
      </c>
      <c r="E156" s="186">
        <f>IF($B156="","",IFERROR(BDP($B156&amp;" Action","CP037"),""))</f>
        <v/>
      </c>
      <c r="F156" s="187">
        <f>Database!T156</f>
        <v/>
      </c>
      <c r="G156" s="186">
        <f>IF($B156="","",IFERROR(BDP($B156&amp;" Action","GREENSHOE_FACILITY"),""))</f>
        <v/>
      </c>
      <c r="H156" s="186">
        <f>IF($B156="","",IFERROR(BDP($B156&amp;" Action","OFFERING_GREENSHOE_SHARES_EX"),""))</f>
        <v/>
      </c>
      <c r="I156" s="17">
        <f>Database!AE156</f>
        <v/>
      </c>
      <c r="J156" s="24">
        <f>IFERROR(BDP(Database!$A156&amp;" HK Equity","PE_RATIO"),"")</f>
        <v/>
      </c>
      <c r="K156" s="10">
        <f>IFERROR(BDP(Database!$A156&amp;" HK Equity","A/H_SHARE_CONVERSION"),"")</f>
        <v/>
      </c>
      <c r="L156" s="17">
        <f>IF(Database!BM156="","(none found)",Database!BM156)</f>
        <v/>
      </c>
      <c r="M156" s="19">
        <f>IFERROR(BDH(Database!$A156&amp;" HK Equity","CUR_MKT_CAP",Database!$H156,Database!$H156),"")</f>
        <v/>
      </c>
      <c r="N156" s="180">
        <f>Database!Q156</f>
        <v/>
      </c>
      <c r="O156" s="24">
        <f>IFERROR(BDH(Database!$A156&amp;" HK Equity","PE_RATIO",Database!$H156,Database!$H156),"")</f>
        <v/>
      </c>
      <c r="P156" s="184">
        <f>IF(Database!BG156="","(n/m or not derivable)",Database!BG156)</f>
        <v/>
      </c>
      <c r="Q156" s="24">
        <f>IF(Database!BM156="","",IFERROR(BDH(LEFT(Database!BM156,FIND(".",Database!BM156)-1)&amp;" CH Equity","PE_RATIO",Database!$H156,Database!$H156),""))</f>
        <v/>
      </c>
      <c r="R156" s="24">
        <f>IF(Database!BM156="","",IFERROR(BDH("HSAHP Index","PX_LAST",Database!$H156,Database!$H156),""))</f>
        <v/>
      </c>
      <c r="S156" s="24">
        <f>IFERROR(BDP(Database!$A156&amp;" HK Equity","PX_TO_SALES_RATIO"),"")</f>
        <v/>
      </c>
      <c r="T156" s="19">
        <f>IF(Database!BM156="","",IFERROR(BDP(LEFT(Database!BM156,FIND(".",Database!BM156)-1)&amp;" CH Equity","CUR_MKT_CAP"),""))</f>
        <v/>
      </c>
    </row>
    <row r="157">
      <c r="A157" s="17">
        <f>Database!A157&amp;"  "&amp;Database!B157</f>
        <v/>
      </c>
      <c r="B157" s="10">
        <f>IFERROR(INDEX(BDS(Database!$A157&amp;" HK Equity","EQUITY_OFFERINGS","array=t","endcol=1"),MATCH("IPO",BDS(Database!$A157&amp;" HK Equity","EQUITY_OFFERINGS","array=t","startcol=2","endcol=2"),0)),"")</f>
        <v/>
      </c>
      <c r="C157" s="186">
        <f>IF($B157="","",IFERROR(BDP($B157&amp;" Action","CP036"),""))</f>
        <v/>
      </c>
      <c r="D157" s="187">
        <f>Database!S157</f>
        <v/>
      </c>
      <c r="E157" s="186">
        <f>IF($B157="","",IFERROR(BDP($B157&amp;" Action","CP037"),""))</f>
        <v/>
      </c>
      <c r="F157" s="187">
        <f>Database!T157</f>
        <v/>
      </c>
      <c r="G157" s="186">
        <f>IF($B157="","",IFERROR(BDP($B157&amp;" Action","GREENSHOE_FACILITY"),""))</f>
        <v/>
      </c>
      <c r="H157" s="186">
        <f>IF($B157="","",IFERROR(BDP($B157&amp;" Action","OFFERING_GREENSHOE_SHARES_EX"),""))</f>
        <v/>
      </c>
      <c r="I157" s="17">
        <f>Database!AE157</f>
        <v/>
      </c>
      <c r="J157" s="24">
        <f>IFERROR(BDP(Database!$A157&amp;" HK Equity","PE_RATIO"),"")</f>
        <v/>
      </c>
      <c r="K157" s="10">
        <f>IFERROR(BDP(Database!$A157&amp;" HK Equity","A/H_SHARE_CONVERSION"),"")</f>
        <v/>
      </c>
      <c r="L157" s="17">
        <f>IF(Database!BM157="","(none found)",Database!BM157)</f>
        <v/>
      </c>
      <c r="M157" s="19">
        <f>IFERROR(BDH(Database!$A157&amp;" HK Equity","CUR_MKT_CAP",Database!$H157,Database!$H157),"")</f>
        <v/>
      </c>
      <c r="N157" s="180">
        <f>Database!Q157</f>
        <v/>
      </c>
      <c r="O157" s="24">
        <f>IFERROR(BDH(Database!$A157&amp;" HK Equity","PE_RATIO",Database!$H157,Database!$H157),"")</f>
        <v/>
      </c>
      <c r="P157" s="184">
        <f>IF(Database!BG157="","(n/m or not derivable)",Database!BG157)</f>
        <v/>
      </c>
      <c r="Q157" s="24">
        <f>IF(Database!BM157="","",IFERROR(BDH(LEFT(Database!BM157,FIND(".",Database!BM157)-1)&amp;" CH Equity","PE_RATIO",Database!$H157,Database!$H157),""))</f>
        <v/>
      </c>
      <c r="R157" s="24">
        <f>IF(Database!BM157="","",IFERROR(BDH("HSAHP Index","PX_LAST",Database!$H157,Database!$H157),""))</f>
        <v/>
      </c>
      <c r="S157" s="24">
        <f>IFERROR(BDP(Database!$A157&amp;" HK Equity","PX_TO_SALES_RATIO"),"")</f>
        <v/>
      </c>
      <c r="T157" s="19">
        <f>IF(Database!BM157="","",IFERROR(BDP(LEFT(Database!BM157,FIND(".",Database!BM157)-1)&amp;" CH Equity","CUR_MKT_CAP"),""))</f>
        <v/>
      </c>
    </row>
    <row r="158">
      <c r="A158" s="17">
        <f>Database!A158&amp;"  "&amp;Database!B158</f>
        <v/>
      </c>
      <c r="B158" s="10">
        <f>IFERROR(INDEX(BDS(Database!$A158&amp;" HK Equity","EQUITY_OFFERINGS","array=t","endcol=1"),MATCH("IPO",BDS(Database!$A158&amp;" HK Equity","EQUITY_OFFERINGS","array=t","startcol=2","endcol=2"),0)),"")</f>
        <v/>
      </c>
      <c r="C158" s="186">
        <f>IF($B158="","",IFERROR(BDP($B158&amp;" Action","CP036"),""))</f>
        <v/>
      </c>
      <c r="D158" s="187">
        <f>Database!S158</f>
        <v/>
      </c>
      <c r="E158" s="186">
        <f>IF($B158="","",IFERROR(BDP($B158&amp;" Action","CP037"),""))</f>
        <v/>
      </c>
      <c r="F158" s="187">
        <f>Database!T158</f>
        <v/>
      </c>
      <c r="G158" s="186">
        <f>IF($B158="","",IFERROR(BDP($B158&amp;" Action","GREENSHOE_FACILITY"),""))</f>
        <v/>
      </c>
      <c r="H158" s="186">
        <f>IF($B158="","",IFERROR(BDP($B158&amp;" Action","OFFERING_GREENSHOE_SHARES_EX"),""))</f>
        <v/>
      </c>
      <c r="I158" s="17">
        <f>Database!AE158</f>
        <v/>
      </c>
      <c r="J158" s="24">
        <f>IFERROR(BDP(Database!$A158&amp;" HK Equity","PE_RATIO"),"")</f>
        <v/>
      </c>
      <c r="K158" s="10">
        <f>IFERROR(BDP(Database!$A158&amp;" HK Equity","A/H_SHARE_CONVERSION"),"")</f>
        <v/>
      </c>
      <c r="L158" s="17">
        <f>IF(Database!BM158="","(none found)",Database!BM158)</f>
        <v/>
      </c>
      <c r="M158" s="19">
        <f>IFERROR(BDH(Database!$A158&amp;" HK Equity","CUR_MKT_CAP",Database!$H158,Database!$H158),"")</f>
        <v/>
      </c>
      <c r="N158" s="180">
        <f>Database!Q158</f>
        <v/>
      </c>
      <c r="O158" s="24">
        <f>IFERROR(BDH(Database!$A158&amp;" HK Equity","PE_RATIO",Database!$H158,Database!$H158),"")</f>
        <v/>
      </c>
      <c r="P158" s="184">
        <f>IF(Database!BG158="","(n/m or not derivable)",Database!BG158)</f>
        <v/>
      </c>
      <c r="Q158" s="24">
        <f>IF(Database!BM158="","",IFERROR(BDH(LEFT(Database!BM158,FIND(".",Database!BM158)-1)&amp;" CH Equity","PE_RATIO",Database!$H158,Database!$H158),""))</f>
        <v/>
      </c>
      <c r="R158" s="24">
        <f>IF(Database!BM158="","",IFERROR(BDH("HSAHP Index","PX_LAST",Database!$H158,Database!$H158),""))</f>
        <v/>
      </c>
      <c r="S158" s="24">
        <f>IFERROR(BDP(Database!$A158&amp;" HK Equity","PX_TO_SALES_RATIO"),"")</f>
        <v/>
      </c>
      <c r="T158" s="19">
        <f>IF(Database!BM158="","",IFERROR(BDP(LEFT(Database!BM158,FIND(".",Database!BM158)-1)&amp;" CH Equity","CUR_MKT_CAP"),""))</f>
        <v/>
      </c>
    </row>
    <row r="159">
      <c r="A159" s="17">
        <f>Database!A159&amp;"  "&amp;Database!B159</f>
        <v/>
      </c>
      <c r="B159" s="10">
        <f>IFERROR(INDEX(BDS(Database!$A159&amp;" HK Equity","EQUITY_OFFERINGS","array=t","endcol=1"),MATCH("IPO",BDS(Database!$A159&amp;" HK Equity","EQUITY_OFFERINGS","array=t","startcol=2","endcol=2"),0)),"")</f>
        <v/>
      </c>
      <c r="C159" s="186">
        <f>IF($B159="","",IFERROR(BDP($B159&amp;" Action","CP036"),""))</f>
        <v/>
      </c>
      <c r="D159" s="187">
        <f>Database!S159</f>
        <v/>
      </c>
      <c r="E159" s="186">
        <f>IF($B159="","",IFERROR(BDP($B159&amp;" Action","CP037"),""))</f>
        <v/>
      </c>
      <c r="F159" s="187">
        <f>Database!T159</f>
        <v/>
      </c>
      <c r="G159" s="186">
        <f>IF($B159="","",IFERROR(BDP($B159&amp;" Action","GREENSHOE_FACILITY"),""))</f>
        <v/>
      </c>
      <c r="H159" s="186">
        <f>IF($B159="","",IFERROR(BDP($B159&amp;" Action","OFFERING_GREENSHOE_SHARES_EX"),""))</f>
        <v/>
      </c>
      <c r="I159" s="17">
        <f>Database!AE159</f>
        <v/>
      </c>
      <c r="J159" s="24">
        <f>IFERROR(BDP(Database!$A159&amp;" HK Equity","PE_RATIO"),"")</f>
        <v/>
      </c>
      <c r="K159" s="10">
        <f>IFERROR(BDP(Database!$A159&amp;" HK Equity","A/H_SHARE_CONVERSION"),"")</f>
        <v/>
      </c>
      <c r="L159" s="17">
        <f>IF(Database!BM159="","(none found)",Database!BM159)</f>
        <v/>
      </c>
      <c r="M159" s="19">
        <f>IFERROR(BDH(Database!$A159&amp;" HK Equity","CUR_MKT_CAP",Database!$H159,Database!$H159),"")</f>
        <v/>
      </c>
      <c r="N159" s="180">
        <f>Database!Q159</f>
        <v/>
      </c>
      <c r="O159" s="24">
        <f>IFERROR(BDH(Database!$A159&amp;" HK Equity","PE_RATIO",Database!$H159,Database!$H159),"")</f>
        <v/>
      </c>
      <c r="P159" s="184">
        <f>IF(Database!BG159="","(n/m or not derivable)",Database!BG159)</f>
        <v/>
      </c>
      <c r="Q159" s="24">
        <f>IF(Database!BM159="","",IFERROR(BDH(LEFT(Database!BM159,FIND(".",Database!BM159)-1)&amp;" CH Equity","PE_RATIO",Database!$H159,Database!$H159),""))</f>
        <v/>
      </c>
      <c r="R159" s="24">
        <f>IF(Database!BM159="","",IFERROR(BDH("HSAHP Index","PX_LAST",Database!$H159,Database!$H159),""))</f>
        <v/>
      </c>
      <c r="S159" s="24">
        <f>IFERROR(BDP(Database!$A159&amp;" HK Equity","PX_TO_SALES_RATIO"),"")</f>
        <v/>
      </c>
      <c r="T159" s="19">
        <f>IF(Database!BM159="","",IFERROR(BDP(LEFT(Database!BM159,FIND(".",Database!BM159)-1)&amp;" CH Equity","CUR_MKT_CAP"),""))</f>
        <v/>
      </c>
    </row>
    <row r="160">
      <c r="A160" s="17">
        <f>Database!A160&amp;"  "&amp;Database!B160</f>
        <v/>
      </c>
      <c r="B160" s="10">
        <f>IFERROR(INDEX(BDS(Database!$A160&amp;" HK Equity","EQUITY_OFFERINGS","array=t","endcol=1"),MATCH("IPO",BDS(Database!$A160&amp;" HK Equity","EQUITY_OFFERINGS","array=t","startcol=2","endcol=2"),0)),"")</f>
        <v/>
      </c>
      <c r="C160" s="186">
        <f>IF($B160="","",IFERROR(BDP($B160&amp;" Action","CP036"),""))</f>
        <v/>
      </c>
      <c r="D160" s="187">
        <f>Database!S160</f>
        <v/>
      </c>
      <c r="E160" s="186">
        <f>IF($B160="","",IFERROR(BDP($B160&amp;" Action","CP037"),""))</f>
        <v/>
      </c>
      <c r="F160" s="187">
        <f>Database!T160</f>
        <v/>
      </c>
      <c r="G160" s="186">
        <f>IF($B160="","",IFERROR(BDP($B160&amp;" Action","GREENSHOE_FACILITY"),""))</f>
        <v/>
      </c>
      <c r="H160" s="186">
        <f>IF($B160="","",IFERROR(BDP($B160&amp;" Action","OFFERING_GREENSHOE_SHARES_EX"),""))</f>
        <v/>
      </c>
      <c r="I160" s="17">
        <f>Database!AE160</f>
        <v/>
      </c>
      <c r="J160" s="24">
        <f>IFERROR(BDP(Database!$A160&amp;" HK Equity","PE_RATIO"),"")</f>
        <v/>
      </c>
      <c r="K160" s="10">
        <f>IFERROR(BDP(Database!$A160&amp;" HK Equity","A/H_SHARE_CONVERSION"),"")</f>
        <v/>
      </c>
      <c r="L160" s="17">
        <f>IF(Database!BM160="","(none found)",Database!BM160)</f>
        <v/>
      </c>
      <c r="M160" s="19">
        <f>IFERROR(BDH(Database!$A160&amp;" HK Equity","CUR_MKT_CAP",Database!$H160,Database!$H160),"")</f>
        <v/>
      </c>
      <c r="N160" s="180">
        <f>Database!Q160</f>
        <v/>
      </c>
      <c r="O160" s="24">
        <f>IFERROR(BDH(Database!$A160&amp;" HK Equity","PE_RATIO",Database!$H160,Database!$H160),"")</f>
        <v/>
      </c>
      <c r="P160" s="184">
        <f>IF(Database!BG160="","(n/m or not derivable)",Database!BG160)</f>
        <v/>
      </c>
      <c r="Q160" s="24">
        <f>IF(Database!BM160="","",IFERROR(BDH(LEFT(Database!BM160,FIND(".",Database!BM160)-1)&amp;" CH Equity","PE_RATIO",Database!$H160,Database!$H160),""))</f>
        <v/>
      </c>
      <c r="R160" s="24">
        <f>IF(Database!BM160="","",IFERROR(BDH("HSAHP Index","PX_LAST",Database!$H160,Database!$H160),""))</f>
        <v/>
      </c>
      <c r="S160" s="24">
        <f>IFERROR(BDP(Database!$A160&amp;" HK Equity","PX_TO_SALES_RATIO"),"")</f>
        <v/>
      </c>
      <c r="T160" s="19">
        <f>IF(Database!BM160="","",IFERROR(BDP(LEFT(Database!BM160,FIND(".",Database!BM160)-1)&amp;" CH Equity","CUR_MKT_CAP"),""))</f>
        <v/>
      </c>
    </row>
    <row r="161">
      <c r="A161" s="17">
        <f>Database!A161&amp;"  "&amp;Database!B161</f>
        <v/>
      </c>
      <c r="B161" s="10">
        <f>IFERROR(INDEX(BDS(Database!$A161&amp;" HK Equity","EQUITY_OFFERINGS","array=t","endcol=1"),MATCH("IPO",BDS(Database!$A161&amp;" HK Equity","EQUITY_OFFERINGS","array=t","startcol=2","endcol=2"),0)),"")</f>
        <v/>
      </c>
      <c r="C161" s="186">
        <f>IF($B161="","",IFERROR(BDP($B161&amp;" Action","CP036"),""))</f>
        <v/>
      </c>
      <c r="D161" s="187">
        <f>Database!S161</f>
        <v/>
      </c>
      <c r="E161" s="186">
        <f>IF($B161="","",IFERROR(BDP($B161&amp;" Action","CP037"),""))</f>
        <v/>
      </c>
      <c r="F161" s="187">
        <f>Database!T161</f>
        <v/>
      </c>
      <c r="G161" s="186">
        <f>IF($B161="","",IFERROR(BDP($B161&amp;" Action","GREENSHOE_FACILITY"),""))</f>
        <v/>
      </c>
      <c r="H161" s="186">
        <f>IF($B161="","",IFERROR(BDP($B161&amp;" Action","OFFERING_GREENSHOE_SHARES_EX"),""))</f>
        <v/>
      </c>
      <c r="I161" s="17">
        <f>Database!AE161</f>
        <v/>
      </c>
      <c r="J161" s="24">
        <f>IFERROR(BDP(Database!$A161&amp;" HK Equity","PE_RATIO"),"")</f>
        <v/>
      </c>
      <c r="K161" s="10">
        <f>IFERROR(BDP(Database!$A161&amp;" HK Equity","A/H_SHARE_CONVERSION"),"")</f>
        <v/>
      </c>
      <c r="L161" s="17">
        <f>IF(Database!BM161="","(none found)",Database!BM161)</f>
        <v/>
      </c>
      <c r="M161" s="19">
        <f>IFERROR(BDH(Database!$A161&amp;" HK Equity","CUR_MKT_CAP",Database!$H161,Database!$H161),"")</f>
        <v/>
      </c>
      <c r="N161" s="180">
        <f>Database!Q161</f>
        <v/>
      </c>
      <c r="O161" s="24">
        <f>IFERROR(BDH(Database!$A161&amp;" HK Equity","PE_RATIO",Database!$H161,Database!$H161),"")</f>
        <v/>
      </c>
      <c r="P161" s="184">
        <f>IF(Database!BG161="","(n/m or not derivable)",Database!BG161)</f>
        <v/>
      </c>
      <c r="Q161" s="24">
        <f>IF(Database!BM161="","",IFERROR(BDH(LEFT(Database!BM161,FIND(".",Database!BM161)-1)&amp;" CH Equity","PE_RATIO",Database!$H161,Database!$H161),""))</f>
        <v/>
      </c>
      <c r="R161" s="24">
        <f>IF(Database!BM161="","",IFERROR(BDH("HSAHP Index","PX_LAST",Database!$H161,Database!$H161),""))</f>
        <v/>
      </c>
      <c r="S161" s="24">
        <f>IFERROR(BDP(Database!$A161&amp;" HK Equity","PX_TO_SALES_RATIO"),"")</f>
        <v/>
      </c>
      <c r="T161" s="19">
        <f>IF(Database!BM161="","",IFERROR(BDP(LEFT(Database!BM161,FIND(".",Database!BM161)-1)&amp;" CH Equity","CUR_MKT_CAP"),""))</f>
        <v/>
      </c>
    </row>
    <row r="162">
      <c r="A162" s="17">
        <f>Database!A162&amp;"  "&amp;Database!B162</f>
        <v/>
      </c>
      <c r="B162" s="10">
        <f>IFERROR(INDEX(BDS(Database!$A162&amp;" HK Equity","EQUITY_OFFERINGS","array=t","endcol=1"),MATCH("IPO",BDS(Database!$A162&amp;" HK Equity","EQUITY_OFFERINGS","array=t","startcol=2","endcol=2"),0)),"")</f>
        <v/>
      </c>
      <c r="C162" s="186">
        <f>IF($B162="","",IFERROR(BDP($B162&amp;" Action","CP036"),""))</f>
        <v/>
      </c>
      <c r="D162" s="187">
        <f>Database!S162</f>
        <v/>
      </c>
      <c r="E162" s="186">
        <f>IF($B162="","",IFERROR(BDP($B162&amp;" Action","CP037"),""))</f>
        <v/>
      </c>
      <c r="F162" s="187">
        <f>Database!T162</f>
        <v/>
      </c>
      <c r="G162" s="186">
        <f>IF($B162="","",IFERROR(BDP($B162&amp;" Action","GREENSHOE_FACILITY"),""))</f>
        <v/>
      </c>
      <c r="H162" s="186">
        <f>IF($B162="","",IFERROR(BDP($B162&amp;" Action","OFFERING_GREENSHOE_SHARES_EX"),""))</f>
        <v/>
      </c>
      <c r="I162" s="17">
        <f>Database!AE162</f>
        <v/>
      </c>
      <c r="J162" s="24">
        <f>IFERROR(BDP(Database!$A162&amp;" HK Equity","PE_RATIO"),"")</f>
        <v/>
      </c>
      <c r="K162" s="10">
        <f>IFERROR(BDP(Database!$A162&amp;" HK Equity","A/H_SHARE_CONVERSION"),"")</f>
        <v/>
      </c>
      <c r="L162" s="17">
        <f>IF(Database!BM162="","(none found)",Database!BM162)</f>
        <v/>
      </c>
      <c r="M162" s="19">
        <f>IFERROR(BDH(Database!$A162&amp;" HK Equity","CUR_MKT_CAP",Database!$H162,Database!$H162),"")</f>
        <v/>
      </c>
      <c r="N162" s="180">
        <f>Database!Q162</f>
        <v/>
      </c>
      <c r="O162" s="24">
        <f>IFERROR(BDH(Database!$A162&amp;" HK Equity","PE_RATIO",Database!$H162,Database!$H162),"")</f>
        <v/>
      </c>
      <c r="P162" s="184">
        <f>IF(Database!BG162="","(n/m or not derivable)",Database!BG162)</f>
        <v/>
      </c>
      <c r="Q162" s="24">
        <f>IF(Database!BM162="","",IFERROR(BDH(LEFT(Database!BM162,FIND(".",Database!BM162)-1)&amp;" CH Equity","PE_RATIO",Database!$H162,Database!$H162),""))</f>
        <v/>
      </c>
      <c r="R162" s="24">
        <f>IF(Database!BM162="","",IFERROR(BDH("HSAHP Index","PX_LAST",Database!$H162,Database!$H162),""))</f>
        <v/>
      </c>
      <c r="S162" s="24">
        <f>IFERROR(BDP(Database!$A162&amp;" HK Equity","PX_TO_SALES_RATIO"),"")</f>
        <v/>
      </c>
      <c r="T162" s="19">
        <f>IF(Database!BM162="","",IFERROR(BDP(LEFT(Database!BM162,FIND(".",Database!BM162)-1)&amp;" CH Equity","CUR_MKT_CAP"),""))</f>
        <v/>
      </c>
    </row>
    <row r="163">
      <c r="A163" s="17">
        <f>Database!A163&amp;"  "&amp;Database!B163</f>
        <v/>
      </c>
      <c r="B163" s="10">
        <f>IFERROR(INDEX(BDS(Database!$A163&amp;" HK Equity","EQUITY_OFFERINGS","array=t","endcol=1"),MATCH("IPO",BDS(Database!$A163&amp;" HK Equity","EQUITY_OFFERINGS","array=t","startcol=2","endcol=2"),0)),"")</f>
        <v/>
      </c>
      <c r="C163" s="186">
        <f>IF($B163="","",IFERROR(BDP($B163&amp;" Action","CP036"),""))</f>
        <v/>
      </c>
      <c r="D163" s="187">
        <f>Database!S163</f>
        <v/>
      </c>
      <c r="E163" s="186">
        <f>IF($B163="","",IFERROR(BDP($B163&amp;" Action","CP037"),""))</f>
        <v/>
      </c>
      <c r="F163" s="187">
        <f>Database!T163</f>
        <v/>
      </c>
      <c r="G163" s="186">
        <f>IF($B163="","",IFERROR(BDP($B163&amp;" Action","GREENSHOE_FACILITY"),""))</f>
        <v/>
      </c>
      <c r="H163" s="186">
        <f>IF($B163="","",IFERROR(BDP($B163&amp;" Action","OFFERING_GREENSHOE_SHARES_EX"),""))</f>
        <v/>
      </c>
      <c r="I163" s="17">
        <f>Database!AE163</f>
        <v/>
      </c>
      <c r="J163" s="24">
        <f>IFERROR(BDP(Database!$A163&amp;" HK Equity","PE_RATIO"),"")</f>
        <v/>
      </c>
      <c r="K163" s="10">
        <f>IFERROR(BDP(Database!$A163&amp;" HK Equity","A/H_SHARE_CONVERSION"),"")</f>
        <v/>
      </c>
      <c r="L163" s="17">
        <f>IF(Database!BM163="","(none found)",Database!BM163)</f>
        <v/>
      </c>
      <c r="M163" s="19">
        <f>IFERROR(BDH(Database!$A163&amp;" HK Equity","CUR_MKT_CAP",Database!$H163,Database!$H163),"")</f>
        <v/>
      </c>
      <c r="N163" s="180">
        <f>Database!Q163</f>
        <v/>
      </c>
      <c r="O163" s="24">
        <f>IFERROR(BDH(Database!$A163&amp;" HK Equity","PE_RATIO",Database!$H163,Database!$H163),"")</f>
        <v/>
      </c>
      <c r="P163" s="184">
        <f>IF(Database!BG163="","(n/m or not derivable)",Database!BG163)</f>
        <v/>
      </c>
      <c r="Q163" s="24">
        <f>IF(Database!BM163="","",IFERROR(BDH(LEFT(Database!BM163,FIND(".",Database!BM163)-1)&amp;" CH Equity","PE_RATIO",Database!$H163,Database!$H163),""))</f>
        <v/>
      </c>
      <c r="R163" s="24">
        <f>IF(Database!BM163="","",IFERROR(BDH("HSAHP Index","PX_LAST",Database!$H163,Database!$H163),""))</f>
        <v/>
      </c>
      <c r="S163" s="24">
        <f>IFERROR(BDP(Database!$A163&amp;" HK Equity","PX_TO_SALES_RATIO"),"")</f>
        <v/>
      </c>
      <c r="T163" s="19">
        <f>IF(Database!BM163="","",IFERROR(BDP(LEFT(Database!BM163,FIND(".",Database!BM163)-1)&amp;" CH Equity","CUR_MKT_CAP"),""))</f>
        <v/>
      </c>
    </row>
    <row r="164">
      <c r="A164" s="17">
        <f>Database!A164&amp;"  "&amp;Database!B164</f>
        <v/>
      </c>
      <c r="B164" s="10">
        <f>IFERROR(INDEX(BDS(Database!$A164&amp;" HK Equity","EQUITY_OFFERINGS","array=t","endcol=1"),MATCH("IPO",BDS(Database!$A164&amp;" HK Equity","EQUITY_OFFERINGS","array=t","startcol=2","endcol=2"),0)),"")</f>
        <v/>
      </c>
      <c r="C164" s="186">
        <f>IF($B164="","",IFERROR(BDP($B164&amp;" Action","CP036"),""))</f>
        <v/>
      </c>
      <c r="D164" s="187">
        <f>Database!S164</f>
        <v/>
      </c>
      <c r="E164" s="186">
        <f>IF($B164="","",IFERROR(BDP($B164&amp;" Action","CP037"),""))</f>
        <v/>
      </c>
      <c r="F164" s="187">
        <f>Database!T164</f>
        <v/>
      </c>
      <c r="G164" s="186">
        <f>IF($B164="","",IFERROR(BDP($B164&amp;" Action","GREENSHOE_FACILITY"),""))</f>
        <v/>
      </c>
      <c r="H164" s="186">
        <f>IF($B164="","",IFERROR(BDP($B164&amp;" Action","OFFERING_GREENSHOE_SHARES_EX"),""))</f>
        <v/>
      </c>
      <c r="I164" s="17">
        <f>Database!AE164</f>
        <v/>
      </c>
      <c r="J164" s="24">
        <f>IFERROR(BDP(Database!$A164&amp;" HK Equity","PE_RATIO"),"")</f>
        <v/>
      </c>
      <c r="K164" s="10">
        <f>IFERROR(BDP(Database!$A164&amp;" HK Equity","A/H_SHARE_CONVERSION"),"")</f>
        <v/>
      </c>
      <c r="L164" s="17">
        <f>IF(Database!BM164="","(none found)",Database!BM164)</f>
        <v/>
      </c>
      <c r="M164" s="19">
        <f>IFERROR(BDH(Database!$A164&amp;" HK Equity","CUR_MKT_CAP",Database!$H164,Database!$H164),"")</f>
        <v/>
      </c>
      <c r="N164" s="180">
        <f>Database!Q164</f>
        <v/>
      </c>
      <c r="O164" s="24">
        <f>IFERROR(BDH(Database!$A164&amp;" HK Equity","PE_RATIO",Database!$H164,Database!$H164),"")</f>
        <v/>
      </c>
      <c r="P164" s="184">
        <f>IF(Database!BG164="","(n/m or not derivable)",Database!BG164)</f>
        <v/>
      </c>
      <c r="Q164" s="24">
        <f>IF(Database!BM164="","",IFERROR(BDH(LEFT(Database!BM164,FIND(".",Database!BM164)-1)&amp;" CH Equity","PE_RATIO",Database!$H164,Database!$H164),""))</f>
        <v/>
      </c>
      <c r="R164" s="24">
        <f>IF(Database!BM164="","",IFERROR(BDH("HSAHP Index","PX_LAST",Database!$H164,Database!$H164),""))</f>
        <v/>
      </c>
      <c r="S164" s="24">
        <f>IFERROR(BDP(Database!$A164&amp;" HK Equity","PX_TO_SALES_RATIO"),"")</f>
        <v/>
      </c>
      <c r="T164" s="19">
        <f>IF(Database!BM164="","",IFERROR(BDP(LEFT(Database!BM164,FIND(".",Database!BM164)-1)&amp;" CH Equity","CUR_MKT_CAP"),""))</f>
        <v/>
      </c>
    </row>
    <row r="165">
      <c r="A165" s="17">
        <f>Database!A165&amp;"  "&amp;Database!B165</f>
        <v/>
      </c>
      <c r="B165" s="10">
        <f>IFERROR(INDEX(BDS(Database!$A165&amp;" HK Equity","EQUITY_OFFERINGS","array=t","endcol=1"),MATCH("IPO",BDS(Database!$A165&amp;" HK Equity","EQUITY_OFFERINGS","array=t","startcol=2","endcol=2"),0)),"")</f>
        <v/>
      </c>
      <c r="C165" s="186">
        <f>IF($B165="","",IFERROR(BDP($B165&amp;" Action","CP036"),""))</f>
        <v/>
      </c>
      <c r="D165" s="187">
        <f>Database!S165</f>
        <v/>
      </c>
      <c r="E165" s="186">
        <f>IF($B165="","",IFERROR(BDP($B165&amp;" Action","CP037"),""))</f>
        <v/>
      </c>
      <c r="F165" s="187">
        <f>Database!T165</f>
        <v/>
      </c>
      <c r="G165" s="186">
        <f>IF($B165="","",IFERROR(BDP($B165&amp;" Action","GREENSHOE_FACILITY"),""))</f>
        <v/>
      </c>
      <c r="H165" s="186">
        <f>IF($B165="","",IFERROR(BDP($B165&amp;" Action","OFFERING_GREENSHOE_SHARES_EX"),""))</f>
        <v/>
      </c>
      <c r="I165" s="17">
        <f>Database!AE165</f>
        <v/>
      </c>
      <c r="J165" s="24">
        <f>IFERROR(BDP(Database!$A165&amp;" HK Equity","PE_RATIO"),"")</f>
        <v/>
      </c>
      <c r="K165" s="10">
        <f>IFERROR(BDP(Database!$A165&amp;" HK Equity","A/H_SHARE_CONVERSION"),"")</f>
        <v/>
      </c>
      <c r="L165" s="17">
        <f>IF(Database!BM165="","(none found)",Database!BM165)</f>
        <v/>
      </c>
      <c r="M165" s="19">
        <f>IFERROR(BDH(Database!$A165&amp;" HK Equity","CUR_MKT_CAP",Database!$H165,Database!$H165),"")</f>
        <v/>
      </c>
      <c r="N165" s="180">
        <f>Database!Q165</f>
        <v/>
      </c>
      <c r="O165" s="24">
        <f>IFERROR(BDH(Database!$A165&amp;" HK Equity","PE_RATIO",Database!$H165,Database!$H165),"")</f>
        <v/>
      </c>
      <c r="P165" s="184">
        <f>IF(Database!BG165="","(n/m or not derivable)",Database!BG165)</f>
        <v/>
      </c>
      <c r="Q165" s="24">
        <f>IF(Database!BM165="","",IFERROR(BDH(LEFT(Database!BM165,FIND(".",Database!BM165)-1)&amp;" CH Equity","PE_RATIO",Database!$H165,Database!$H165),""))</f>
        <v/>
      </c>
      <c r="R165" s="24">
        <f>IF(Database!BM165="","",IFERROR(BDH("HSAHP Index","PX_LAST",Database!$H165,Database!$H165),""))</f>
        <v/>
      </c>
      <c r="S165" s="24">
        <f>IFERROR(BDP(Database!$A165&amp;" HK Equity","PX_TO_SALES_RATIO"),"")</f>
        <v/>
      </c>
      <c r="T165" s="19">
        <f>IF(Database!BM165="","",IFERROR(BDP(LEFT(Database!BM165,FIND(".",Database!BM165)-1)&amp;" CH Equity","CUR_MKT_CAP"),""))</f>
        <v/>
      </c>
    </row>
    <row r="166">
      <c r="A166" s="17">
        <f>Database!A166&amp;"  "&amp;Database!B166</f>
        <v/>
      </c>
      <c r="B166" s="10">
        <f>IFERROR(INDEX(BDS(Database!$A166&amp;" HK Equity","EQUITY_OFFERINGS","array=t","endcol=1"),MATCH("IPO",BDS(Database!$A166&amp;" HK Equity","EQUITY_OFFERINGS","array=t","startcol=2","endcol=2"),0)),"")</f>
        <v/>
      </c>
      <c r="C166" s="186">
        <f>IF($B166="","",IFERROR(BDP($B166&amp;" Action","CP036"),""))</f>
        <v/>
      </c>
      <c r="D166" s="187">
        <f>Database!S166</f>
        <v/>
      </c>
      <c r="E166" s="186">
        <f>IF($B166="","",IFERROR(BDP($B166&amp;" Action","CP037"),""))</f>
        <v/>
      </c>
      <c r="F166" s="187">
        <f>Database!T166</f>
        <v/>
      </c>
      <c r="G166" s="186">
        <f>IF($B166="","",IFERROR(BDP($B166&amp;" Action","GREENSHOE_FACILITY"),""))</f>
        <v/>
      </c>
      <c r="H166" s="186">
        <f>IF($B166="","",IFERROR(BDP($B166&amp;" Action","OFFERING_GREENSHOE_SHARES_EX"),""))</f>
        <v/>
      </c>
      <c r="I166" s="17">
        <f>Database!AE166</f>
        <v/>
      </c>
      <c r="J166" s="24">
        <f>IFERROR(BDP(Database!$A166&amp;" HK Equity","PE_RATIO"),"")</f>
        <v/>
      </c>
      <c r="K166" s="10">
        <f>IFERROR(BDP(Database!$A166&amp;" HK Equity","A/H_SHARE_CONVERSION"),"")</f>
        <v/>
      </c>
      <c r="L166" s="17">
        <f>IF(Database!BM166="","(none found)",Database!BM166)</f>
        <v/>
      </c>
      <c r="M166" s="19">
        <f>IFERROR(BDH(Database!$A166&amp;" HK Equity","CUR_MKT_CAP",Database!$H166,Database!$H166),"")</f>
        <v/>
      </c>
      <c r="N166" s="180">
        <f>Database!Q166</f>
        <v/>
      </c>
      <c r="O166" s="24">
        <f>IFERROR(BDH(Database!$A166&amp;" HK Equity","PE_RATIO",Database!$H166,Database!$H166),"")</f>
        <v/>
      </c>
      <c r="P166" s="184">
        <f>IF(Database!BG166="","(n/m or not derivable)",Database!BG166)</f>
        <v/>
      </c>
      <c r="Q166" s="24">
        <f>IF(Database!BM166="","",IFERROR(BDH(LEFT(Database!BM166,FIND(".",Database!BM166)-1)&amp;" CH Equity","PE_RATIO",Database!$H166,Database!$H166),""))</f>
        <v/>
      </c>
      <c r="R166" s="24">
        <f>IF(Database!BM166="","",IFERROR(BDH("HSAHP Index","PX_LAST",Database!$H166,Database!$H166),""))</f>
        <v/>
      </c>
      <c r="S166" s="24">
        <f>IFERROR(BDP(Database!$A166&amp;" HK Equity","PX_TO_SALES_RATIO"),"")</f>
        <v/>
      </c>
      <c r="T166" s="19">
        <f>IF(Database!BM166="","",IFERROR(BDP(LEFT(Database!BM166,FIND(".",Database!BM166)-1)&amp;" CH Equity","CUR_MKT_CAP"),""))</f>
        <v/>
      </c>
    </row>
    <row r="167">
      <c r="A167" s="17">
        <f>Database!A167&amp;"  "&amp;Database!B167</f>
        <v/>
      </c>
      <c r="B167" s="10">
        <f>IFERROR(INDEX(BDS(Database!$A167&amp;" HK Equity","EQUITY_OFFERINGS","array=t","endcol=1"),MATCH("IPO",BDS(Database!$A167&amp;" HK Equity","EQUITY_OFFERINGS","array=t","startcol=2","endcol=2"),0)),"")</f>
        <v/>
      </c>
      <c r="C167" s="186">
        <f>IF($B167="","",IFERROR(BDP($B167&amp;" Action","CP036"),""))</f>
        <v/>
      </c>
      <c r="D167" s="187">
        <f>Database!S167</f>
        <v/>
      </c>
      <c r="E167" s="186">
        <f>IF($B167="","",IFERROR(BDP($B167&amp;" Action","CP037"),""))</f>
        <v/>
      </c>
      <c r="F167" s="187">
        <f>Database!T167</f>
        <v/>
      </c>
      <c r="G167" s="186">
        <f>IF($B167="","",IFERROR(BDP($B167&amp;" Action","GREENSHOE_FACILITY"),""))</f>
        <v/>
      </c>
      <c r="H167" s="186">
        <f>IF($B167="","",IFERROR(BDP($B167&amp;" Action","OFFERING_GREENSHOE_SHARES_EX"),""))</f>
        <v/>
      </c>
      <c r="I167" s="17">
        <f>Database!AE167</f>
        <v/>
      </c>
      <c r="J167" s="24">
        <f>IFERROR(BDP(Database!$A167&amp;" HK Equity","PE_RATIO"),"")</f>
        <v/>
      </c>
      <c r="K167" s="10">
        <f>IFERROR(BDP(Database!$A167&amp;" HK Equity","A/H_SHARE_CONVERSION"),"")</f>
        <v/>
      </c>
      <c r="L167" s="17">
        <f>IF(Database!BM167="","(none found)",Database!BM167)</f>
        <v/>
      </c>
      <c r="M167" s="19">
        <f>IFERROR(BDH(Database!$A167&amp;" HK Equity","CUR_MKT_CAP",Database!$H167,Database!$H167),"")</f>
        <v/>
      </c>
      <c r="N167" s="180">
        <f>Database!Q167</f>
        <v/>
      </c>
      <c r="O167" s="24">
        <f>IFERROR(BDH(Database!$A167&amp;" HK Equity","PE_RATIO",Database!$H167,Database!$H167),"")</f>
        <v/>
      </c>
      <c r="P167" s="184">
        <f>IF(Database!BG167="","(n/m or not derivable)",Database!BG167)</f>
        <v/>
      </c>
      <c r="Q167" s="24">
        <f>IF(Database!BM167="","",IFERROR(BDH(LEFT(Database!BM167,FIND(".",Database!BM167)-1)&amp;" CH Equity","PE_RATIO",Database!$H167,Database!$H167),""))</f>
        <v/>
      </c>
      <c r="R167" s="24">
        <f>IF(Database!BM167="","",IFERROR(BDH("HSAHP Index","PX_LAST",Database!$H167,Database!$H167),""))</f>
        <v/>
      </c>
      <c r="S167" s="24">
        <f>IFERROR(BDP(Database!$A167&amp;" HK Equity","PX_TO_SALES_RATIO"),"")</f>
        <v/>
      </c>
      <c r="T167" s="19">
        <f>IF(Database!BM167="","",IFERROR(BDP(LEFT(Database!BM167,FIND(".",Database!BM167)-1)&amp;" CH Equity","CUR_MKT_CAP"),""))</f>
        <v/>
      </c>
    </row>
    <row r="168">
      <c r="A168" s="17">
        <f>Database!A168&amp;"  "&amp;Database!B168</f>
        <v/>
      </c>
      <c r="B168" s="10">
        <f>IFERROR(INDEX(BDS(Database!$A168&amp;" HK Equity","EQUITY_OFFERINGS","array=t","endcol=1"),MATCH("IPO",BDS(Database!$A168&amp;" HK Equity","EQUITY_OFFERINGS","array=t","startcol=2","endcol=2"),0)),"")</f>
        <v/>
      </c>
      <c r="C168" s="186">
        <f>IF($B168="","",IFERROR(BDP($B168&amp;" Action","CP036"),""))</f>
        <v/>
      </c>
      <c r="D168" s="187">
        <f>Database!S168</f>
        <v/>
      </c>
      <c r="E168" s="186">
        <f>IF($B168="","",IFERROR(BDP($B168&amp;" Action","CP037"),""))</f>
        <v/>
      </c>
      <c r="F168" s="187">
        <f>Database!T168</f>
        <v/>
      </c>
      <c r="G168" s="186">
        <f>IF($B168="","",IFERROR(BDP($B168&amp;" Action","GREENSHOE_FACILITY"),""))</f>
        <v/>
      </c>
      <c r="H168" s="186">
        <f>IF($B168="","",IFERROR(BDP($B168&amp;" Action","OFFERING_GREENSHOE_SHARES_EX"),""))</f>
        <v/>
      </c>
      <c r="I168" s="17">
        <f>Database!AE168</f>
        <v/>
      </c>
      <c r="J168" s="24">
        <f>IFERROR(BDP(Database!$A168&amp;" HK Equity","PE_RATIO"),"")</f>
        <v/>
      </c>
      <c r="K168" s="10">
        <f>IFERROR(BDP(Database!$A168&amp;" HK Equity","A/H_SHARE_CONVERSION"),"")</f>
        <v/>
      </c>
      <c r="L168" s="17">
        <f>IF(Database!BM168="","(none found)",Database!BM168)</f>
        <v/>
      </c>
      <c r="M168" s="19">
        <f>IFERROR(BDH(Database!$A168&amp;" HK Equity","CUR_MKT_CAP",Database!$H168,Database!$H168),"")</f>
        <v/>
      </c>
      <c r="N168" s="180">
        <f>Database!Q168</f>
        <v/>
      </c>
      <c r="O168" s="24">
        <f>IFERROR(BDH(Database!$A168&amp;" HK Equity","PE_RATIO",Database!$H168,Database!$H168),"")</f>
        <v/>
      </c>
      <c r="P168" s="184">
        <f>IF(Database!BG168="","(n/m or not derivable)",Database!BG168)</f>
        <v/>
      </c>
      <c r="Q168" s="24">
        <f>IF(Database!BM168="","",IFERROR(BDH(LEFT(Database!BM168,FIND(".",Database!BM168)-1)&amp;" CH Equity","PE_RATIO",Database!$H168,Database!$H168),""))</f>
        <v/>
      </c>
      <c r="R168" s="24">
        <f>IF(Database!BM168="","",IFERROR(BDH("HSAHP Index","PX_LAST",Database!$H168,Database!$H168),""))</f>
        <v/>
      </c>
      <c r="S168" s="24">
        <f>IFERROR(BDP(Database!$A168&amp;" HK Equity","PX_TO_SALES_RATIO"),"")</f>
        <v/>
      </c>
      <c r="T168" s="19">
        <f>IF(Database!BM168="","",IFERROR(BDP(LEFT(Database!BM168,FIND(".",Database!BM168)-1)&amp;" CH Equity","CUR_MKT_CAP"),""))</f>
        <v/>
      </c>
    </row>
    <row r="169">
      <c r="A169" s="17">
        <f>Database!A169&amp;"  "&amp;Database!B169</f>
        <v/>
      </c>
      <c r="B169" s="10">
        <f>IFERROR(INDEX(BDS(Database!$A169&amp;" HK Equity","EQUITY_OFFERINGS","array=t","endcol=1"),MATCH("IPO",BDS(Database!$A169&amp;" HK Equity","EQUITY_OFFERINGS","array=t","startcol=2","endcol=2"),0)),"")</f>
        <v/>
      </c>
      <c r="C169" s="186">
        <f>IF($B169="","",IFERROR(BDP($B169&amp;" Action","CP036"),""))</f>
        <v/>
      </c>
      <c r="D169" s="187">
        <f>Database!S169</f>
        <v/>
      </c>
      <c r="E169" s="186">
        <f>IF($B169="","",IFERROR(BDP($B169&amp;" Action","CP037"),""))</f>
        <v/>
      </c>
      <c r="F169" s="187">
        <f>Database!T169</f>
        <v/>
      </c>
      <c r="G169" s="186">
        <f>IF($B169="","",IFERROR(BDP($B169&amp;" Action","GREENSHOE_FACILITY"),""))</f>
        <v/>
      </c>
      <c r="H169" s="186">
        <f>IF($B169="","",IFERROR(BDP($B169&amp;" Action","OFFERING_GREENSHOE_SHARES_EX"),""))</f>
        <v/>
      </c>
      <c r="I169" s="17">
        <f>Database!AE169</f>
        <v/>
      </c>
      <c r="J169" s="24">
        <f>IFERROR(BDP(Database!$A169&amp;" HK Equity","PE_RATIO"),"")</f>
        <v/>
      </c>
      <c r="K169" s="10">
        <f>IFERROR(BDP(Database!$A169&amp;" HK Equity","A/H_SHARE_CONVERSION"),"")</f>
        <v/>
      </c>
      <c r="L169" s="17">
        <f>IF(Database!BM169="","(none found)",Database!BM169)</f>
        <v/>
      </c>
      <c r="M169" s="19">
        <f>IFERROR(BDH(Database!$A169&amp;" HK Equity","CUR_MKT_CAP",Database!$H169,Database!$H169),"")</f>
        <v/>
      </c>
      <c r="N169" s="180">
        <f>Database!Q169</f>
        <v/>
      </c>
      <c r="O169" s="24">
        <f>IFERROR(BDH(Database!$A169&amp;" HK Equity","PE_RATIO",Database!$H169,Database!$H169),"")</f>
        <v/>
      </c>
      <c r="P169" s="184">
        <f>IF(Database!BG169="","(n/m or not derivable)",Database!BG169)</f>
        <v/>
      </c>
      <c r="Q169" s="24">
        <f>IF(Database!BM169="","",IFERROR(BDH(LEFT(Database!BM169,FIND(".",Database!BM169)-1)&amp;" CH Equity","PE_RATIO",Database!$H169,Database!$H169),""))</f>
        <v/>
      </c>
      <c r="R169" s="24">
        <f>IF(Database!BM169="","",IFERROR(BDH("HSAHP Index","PX_LAST",Database!$H169,Database!$H169),""))</f>
        <v/>
      </c>
      <c r="S169" s="24">
        <f>IFERROR(BDP(Database!$A169&amp;" HK Equity","PX_TO_SALES_RATIO"),"")</f>
        <v/>
      </c>
      <c r="T169" s="19">
        <f>IF(Database!BM169="","",IFERROR(BDP(LEFT(Database!BM169,FIND(".",Database!BM169)-1)&amp;" CH Equity","CUR_MKT_CAP"),""))</f>
        <v/>
      </c>
    </row>
    <row r="170">
      <c r="A170" s="17">
        <f>Database!A170&amp;"  "&amp;Database!B170</f>
        <v/>
      </c>
      <c r="B170" s="10">
        <f>IFERROR(INDEX(BDS(Database!$A170&amp;" HK Equity","EQUITY_OFFERINGS","array=t","endcol=1"),MATCH("IPO",BDS(Database!$A170&amp;" HK Equity","EQUITY_OFFERINGS","array=t","startcol=2","endcol=2"),0)),"")</f>
        <v/>
      </c>
      <c r="C170" s="186">
        <f>IF($B170="","",IFERROR(BDP($B170&amp;" Action","CP036"),""))</f>
        <v/>
      </c>
      <c r="D170" s="187">
        <f>Database!S170</f>
        <v/>
      </c>
      <c r="E170" s="186">
        <f>IF($B170="","",IFERROR(BDP($B170&amp;" Action","CP037"),""))</f>
        <v/>
      </c>
      <c r="F170" s="187">
        <f>Database!T170</f>
        <v/>
      </c>
      <c r="G170" s="186">
        <f>IF($B170="","",IFERROR(BDP($B170&amp;" Action","GREENSHOE_FACILITY"),""))</f>
        <v/>
      </c>
      <c r="H170" s="186">
        <f>IF($B170="","",IFERROR(BDP($B170&amp;" Action","OFFERING_GREENSHOE_SHARES_EX"),""))</f>
        <v/>
      </c>
      <c r="I170" s="17">
        <f>Database!AE170</f>
        <v/>
      </c>
      <c r="J170" s="24">
        <f>IFERROR(BDP(Database!$A170&amp;" HK Equity","PE_RATIO"),"")</f>
        <v/>
      </c>
      <c r="K170" s="10">
        <f>IFERROR(BDP(Database!$A170&amp;" HK Equity","A/H_SHARE_CONVERSION"),"")</f>
        <v/>
      </c>
      <c r="L170" s="17">
        <f>IF(Database!BM170="","(none found)",Database!BM170)</f>
        <v/>
      </c>
      <c r="M170" s="19">
        <f>IFERROR(BDH(Database!$A170&amp;" HK Equity","CUR_MKT_CAP",Database!$H170,Database!$H170),"")</f>
        <v/>
      </c>
      <c r="N170" s="180">
        <f>Database!Q170</f>
        <v/>
      </c>
      <c r="O170" s="24">
        <f>IFERROR(BDH(Database!$A170&amp;" HK Equity","PE_RATIO",Database!$H170,Database!$H170),"")</f>
        <v/>
      </c>
      <c r="P170" s="184">
        <f>IF(Database!BG170="","(n/m or not derivable)",Database!BG170)</f>
        <v/>
      </c>
      <c r="Q170" s="24">
        <f>IF(Database!BM170="","",IFERROR(BDH(LEFT(Database!BM170,FIND(".",Database!BM170)-1)&amp;" CH Equity","PE_RATIO",Database!$H170,Database!$H170),""))</f>
        <v/>
      </c>
      <c r="R170" s="24">
        <f>IF(Database!BM170="","",IFERROR(BDH("HSAHP Index","PX_LAST",Database!$H170,Database!$H170),""))</f>
        <v/>
      </c>
      <c r="S170" s="24">
        <f>IFERROR(BDP(Database!$A170&amp;" HK Equity","PX_TO_SALES_RATIO"),"")</f>
        <v/>
      </c>
      <c r="T170" s="19">
        <f>IF(Database!BM170="","",IFERROR(BDP(LEFT(Database!BM170,FIND(".",Database!BM170)-1)&amp;" CH Equity","CUR_MKT_CAP"),""))</f>
        <v/>
      </c>
    </row>
    <row r="171">
      <c r="A171" s="17">
        <f>Database!A171&amp;"  "&amp;Database!B171</f>
        <v/>
      </c>
      <c r="B171" s="10">
        <f>IFERROR(INDEX(BDS(Database!$A171&amp;" HK Equity","EQUITY_OFFERINGS","array=t","endcol=1"),MATCH("IPO",BDS(Database!$A171&amp;" HK Equity","EQUITY_OFFERINGS","array=t","startcol=2","endcol=2"),0)),"")</f>
        <v/>
      </c>
      <c r="C171" s="186">
        <f>IF($B171="","",IFERROR(BDP($B171&amp;" Action","CP036"),""))</f>
        <v/>
      </c>
      <c r="D171" s="187">
        <f>Database!S171</f>
        <v/>
      </c>
      <c r="E171" s="186">
        <f>IF($B171="","",IFERROR(BDP($B171&amp;" Action","CP037"),""))</f>
        <v/>
      </c>
      <c r="F171" s="187">
        <f>Database!T171</f>
        <v/>
      </c>
      <c r="G171" s="186">
        <f>IF($B171="","",IFERROR(BDP($B171&amp;" Action","GREENSHOE_FACILITY"),""))</f>
        <v/>
      </c>
      <c r="H171" s="186">
        <f>IF($B171="","",IFERROR(BDP($B171&amp;" Action","OFFERING_GREENSHOE_SHARES_EX"),""))</f>
        <v/>
      </c>
      <c r="I171" s="17">
        <f>Database!AE171</f>
        <v/>
      </c>
      <c r="J171" s="24">
        <f>IFERROR(BDP(Database!$A171&amp;" HK Equity","PE_RATIO"),"")</f>
        <v/>
      </c>
      <c r="K171" s="10">
        <f>IFERROR(BDP(Database!$A171&amp;" HK Equity","A/H_SHARE_CONVERSION"),"")</f>
        <v/>
      </c>
      <c r="L171" s="17">
        <f>IF(Database!BM171="","(none found)",Database!BM171)</f>
        <v/>
      </c>
      <c r="M171" s="19">
        <f>IFERROR(BDH(Database!$A171&amp;" HK Equity","CUR_MKT_CAP",Database!$H171,Database!$H171),"")</f>
        <v/>
      </c>
      <c r="N171" s="180">
        <f>Database!Q171</f>
        <v/>
      </c>
      <c r="O171" s="24">
        <f>IFERROR(BDH(Database!$A171&amp;" HK Equity","PE_RATIO",Database!$H171,Database!$H171),"")</f>
        <v/>
      </c>
      <c r="P171" s="184">
        <f>IF(Database!BG171="","(n/m or not derivable)",Database!BG171)</f>
        <v/>
      </c>
      <c r="Q171" s="24">
        <f>IF(Database!BM171="","",IFERROR(BDH(LEFT(Database!BM171,FIND(".",Database!BM171)-1)&amp;" CH Equity","PE_RATIO",Database!$H171,Database!$H171),""))</f>
        <v/>
      </c>
      <c r="R171" s="24">
        <f>IF(Database!BM171="","",IFERROR(BDH("HSAHP Index","PX_LAST",Database!$H171,Database!$H171),""))</f>
        <v/>
      </c>
      <c r="S171" s="24">
        <f>IFERROR(BDP(Database!$A171&amp;" HK Equity","PX_TO_SALES_RATIO"),"")</f>
        <v/>
      </c>
      <c r="T171" s="19">
        <f>IF(Database!BM171="","",IFERROR(BDP(LEFT(Database!BM171,FIND(".",Database!BM171)-1)&amp;" CH Equity","CUR_MKT_CAP"),""))</f>
        <v/>
      </c>
    </row>
    <row r="172">
      <c r="A172" s="17">
        <f>Database!A172&amp;"  "&amp;Database!B172</f>
        <v/>
      </c>
      <c r="B172" s="10">
        <f>IFERROR(INDEX(BDS(Database!$A172&amp;" HK Equity","EQUITY_OFFERINGS","array=t","endcol=1"),MATCH("IPO",BDS(Database!$A172&amp;" HK Equity","EQUITY_OFFERINGS","array=t","startcol=2","endcol=2"),0)),"")</f>
        <v/>
      </c>
      <c r="C172" s="186">
        <f>IF($B172="","",IFERROR(BDP($B172&amp;" Action","CP036"),""))</f>
        <v/>
      </c>
      <c r="D172" s="187">
        <f>Database!S172</f>
        <v/>
      </c>
      <c r="E172" s="186">
        <f>IF($B172="","",IFERROR(BDP($B172&amp;" Action","CP037"),""))</f>
        <v/>
      </c>
      <c r="F172" s="187">
        <f>Database!T172</f>
        <v/>
      </c>
      <c r="G172" s="186">
        <f>IF($B172="","",IFERROR(BDP($B172&amp;" Action","GREENSHOE_FACILITY"),""))</f>
        <v/>
      </c>
      <c r="H172" s="186">
        <f>IF($B172="","",IFERROR(BDP($B172&amp;" Action","OFFERING_GREENSHOE_SHARES_EX"),""))</f>
        <v/>
      </c>
      <c r="I172" s="17">
        <f>Database!AE172</f>
        <v/>
      </c>
      <c r="J172" s="24">
        <f>IFERROR(BDP(Database!$A172&amp;" HK Equity","PE_RATIO"),"")</f>
        <v/>
      </c>
      <c r="K172" s="10">
        <f>IFERROR(BDP(Database!$A172&amp;" HK Equity","A/H_SHARE_CONVERSION"),"")</f>
        <v/>
      </c>
      <c r="L172" s="17">
        <f>IF(Database!BM172="","(none found)",Database!BM172)</f>
        <v/>
      </c>
      <c r="M172" s="19">
        <f>IFERROR(BDH(Database!$A172&amp;" HK Equity","CUR_MKT_CAP",Database!$H172,Database!$H172),"")</f>
        <v/>
      </c>
      <c r="N172" s="180">
        <f>Database!Q172</f>
        <v/>
      </c>
      <c r="O172" s="24">
        <f>IFERROR(BDH(Database!$A172&amp;" HK Equity","PE_RATIO",Database!$H172,Database!$H172),"")</f>
        <v/>
      </c>
      <c r="P172" s="184">
        <f>IF(Database!BG172="","(n/m or not derivable)",Database!BG172)</f>
        <v/>
      </c>
      <c r="Q172" s="24">
        <f>IF(Database!BM172="","",IFERROR(BDH(LEFT(Database!BM172,FIND(".",Database!BM172)-1)&amp;" CH Equity","PE_RATIO",Database!$H172,Database!$H172),""))</f>
        <v/>
      </c>
      <c r="R172" s="24">
        <f>IF(Database!BM172="","",IFERROR(BDH("HSAHP Index","PX_LAST",Database!$H172,Database!$H172),""))</f>
        <v/>
      </c>
      <c r="S172" s="24">
        <f>IFERROR(BDP(Database!$A172&amp;" HK Equity","PX_TO_SALES_RATIO"),"")</f>
        <v/>
      </c>
      <c r="T172" s="19">
        <f>IF(Database!BM172="","",IFERROR(BDP(LEFT(Database!BM172,FIND(".",Database!BM172)-1)&amp;" CH Equity","CUR_MKT_CAP"),""))</f>
        <v/>
      </c>
    </row>
    <row r="173">
      <c r="A173" s="17">
        <f>Database!A173&amp;"  "&amp;Database!B173</f>
        <v/>
      </c>
      <c r="B173" s="10">
        <f>IFERROR(INDEX(BDS(Database!$A173&amp;" HK Equity","EQUITY_OFFERINGS","array=t","endcol=1"),MATCH("IPO",BDS(Database!$A173&amp;" HK Equity","EQUITY_OFFERINGS","array=t","startcol=2","endcol=2"),0)),"")</f>
        <v/>
      </c>
      <c r="C173" s="186">
        <f>IF($B173="","",IFERROR(BDP($B173&amp;" Action","CP036"),""))</f>
        <v/>
      </c>
      <c r="D173" s="187">
        <f>Database!S173</f>
        <v/>
      </c>
      <c r="E173" s="186">
        <f>IF($B173="","",IFERROR(BDP($B173&amp;" Action","CP037"),""))</f>
        <v/>
      </c>
      <c r="F173" s="187">
        <f>Database!T173</f>
        <v/>
      </c>
      <c r="G173" s="186">
        <f>IF($B173="","",IFERROR(BDP($B173&amp;" Action","GREENSHOE_FACILITY"),""))</f>
        <v/>
      </c>
      <c r="H173" s="186">
        <f>IF($B173="","",IFERROR(BDP($B173&amp;" Action","OFFERING_GREENSHOE_SHARES_EX"),""))</f>
        <v/>
      </c>
      <c r="I173" s="17">
        <f>Database!AE173</f>
        <v/>
      </c>
      <c r="J173" s="24">
        <f>IFERROR(BDP(Database!$A173&amp;" HK Equity","PE_RATIO"),"")</f>
        <v/>
      </c>
      <c r="K173" s="10">
        <f>IFERROR(BDP(Database!$A173&amp;" HK Equity","A/H_SHARE_CONVERSION"),"")</f>
        <v/>
      </c>
      <c r="L173" s="17">
        <f>IF(Database!BM173="","(none found)",Database!BM173)</f>
        <v/>
      </c>
      <c r="M173" s="19">
        <f>IFERROR(BDH(Database!$A173&amp;" HK Equity","CUR_MKT_CAP",Database!$H173,Database!$H173),"")</f>
        <v/>
      </c>
      <c r="N173" s="180">
        <f>Database!Q173</f>
        <v/>
      </c>
      <c r="O173" s="24">
        <f>IFERROR(BDH(Database!$A173&amp;" HK Equity","PE_RATIO",Database!$H173,Database!$H173),"")</f>
        <v/>
      </c>
      <c r="P173" s="184">
        <f>IF(Database!BG173="","(n/m or not derivable)",Database!BG173)</f>
        <v/>
      </c>
      <c r="Q173" s="24">
        <f>IF(Database!BM173="","",IFERROR(BDH(LEFT(Database!BM173,FIND(".",Database!BM173)-1)&amp;" CH Equity","PE_RATIO",Database!$H173,Database!$H173),""))</f>
        <v/>
      </c>
      <c r="R173" s="24">
        <f>IF(Database!BM173="","",IFERROR(BDH("HSAHP Index","PX_LAST",Database!$H173,Database!$H173),""))</f>
        <v/>
      </c>
      <c r="S173" s="24">
        <f>IFERROR(BDP(Database!$A173&amp;" HK Equity","PX_TO_SALES_RATIO"),"")</f>
        <v/>
      </c>
      <c r="T173" s="19">
        <f>IF(Database!BM173="","",IFERROR(BDP(LEFT(Database!BM173,FIND(".",Database!BM173)-1)&amp;" CH Equity","CUR_MKT_CAP"),""))</f>
        <v/>
      </c>
    </row>
    <row r="174">
      <c r="A174" s="17">
        <f>Database!A174&amp;"  "&amp;Database!B174</f>
        <v/>
      </c>
      <c r="B174" s="10">
        <f>IFERROR(INDEX(BDS(Database!$A174&amp;" HK Equity","EQUITY_OFFERINGS","array=t","endcol=1"),MATCH("IPO",BDS(Database!$A174&amp;" HK Equity","EQUITY_OFFERINGS","array=t","startcol=2","endcol=2"),0)),"")</f>
        <v/>
      </c>
      <c r="C174" s="186">
        <f>IF($B174="","",IFERROR(BDP($B174&amp;" Action","CP036"),""))</f>
        <v/>
      </c>
      <c r="D174" s="187">
        <f>Database!S174</f>
        <v/>
      </c>
      <c r="E174" s="186">
        <f>IF($B174="","",IFERROR(BDP($B174&amp;" Action","CP037"),""))</f>
        <v/>
      </c>
      <c r="F174" s="187">
        <f>Database!T174</f>
        <v/>
      </c>
      <c r="G174" s="186">
        <f>IF($B174="","",IFERROR(BDP($B174&amp;" Action","GREENSHOE_FACILITY"),""))</f>
        <v/>
      </c>
      <c r="H174" s="186">
        <f>IF($B174="","",IFERROR(BDP($B174&amp;" Action","OFFERING_GREENSHOE_SHARES_EX"),""))</f>
        <v/>
      </c>
      <c r="I174" s="17">
        <f>Database!AE174</f>
        <v/>
      </c>
      <c r="J174" s="24">
        <f>IFERROR(BDP(Database!$A174&amp;" HK Equity","PE_RATIO"),"")</f>
        <v/>
      </c>
      <c r="K174" s="10">
        <f>IFERROR(BDP(Database!$A174&amp;" HK Equity","A/H_SHARE_CONVERSION"),"")</f>
        <v/>
      </c>
      <c r="L174" s="17">
        <f>IF(Database!BM174="","(none found)",Database!BM174)</f>
        <v/>
      </c>
      <c r="M174" s="19">
        <f>IFERROR(BDH(Database!$A174&amp;" HK Equity","CUR_MKT_CAP",Database!$H174,Database!$H174),"")</f>
        <v/>
      </c>
      <c r="N174" s="180">
        <f>Database!Q174</f>
        <v/>
      </c>
      <c r="O174" s="24">
        <f>IFERROR(BDH(Database!$A174&amp;" HK Equity","PE_RATIO",Database!$H174,Database!$H174),"")</f>
        <v/>
      </c>
      <c r="P174" s="184">
        <f>IF(Database!BG174="","(n/m or not derivable)",Database!BG174)</f>
        <v/>
      </c>
      <c r="Q174" s="24">
        <f>IF(Database!BM174="","",IFERROR(BDH(LEFT(Database!BM174,FIND(".",Database!BM174)-1)&amp;" CH Equity","PE_RATIO",Database!$H174,Database!$H174),""))</f>
        <v/>
      </c>
      <c r="R174" s="24">
        <f>IF(Database!BM174="","",IFERROR(BDH("HSAHP Index","PX_LAST",Database!$H174,Database!$H174),""))</f>
        <v/>
      </c>
      <c r="S174" s="24">
        <f>IFERROR(BDP(Database!$A174&amp;" HK Equity","PX_TO_SALES_RATIO"),"")</f>
        <v/>
      </c>
      <c r="T174" s="19">
        <f>IF(Database!BM174="","",IFERROR(BDP(LEFT(Database!BM174,FIND(".",Database!BM174)-1)&amp;" CH Equity","CUR_MKT_CAP"),""))</f>
        <v/>
      </c>
    </row>
    <row r="175">
      <c r="A175" s="17">
        <f>Database!A175&amp;"  "&amp;Database!B175</f>
        <v/>
      </c>
      <c r="B175" s="10">
        <f>IFERROR(INDEX(BDS(Database!$A175&amp;" HK Equity","EQUITY_OFFERINGS","array=t","endcol=1"),MATCH("IPO",BDS(Database!$A175&amp;" HK Equity","EQUITY_OFFERINGS","array=t","startcol=2","endcol=2"),0)),"")</f>
        <v/>
      </c>
      <c r="C175" s="186">
        <f>IF($B175="","",IFERROR(BDP($B175&amp;" Action","CP036"),""))</f>
        <v/>
      </c>
      <c r="D175" s="187">
        <f>Database!S175</f>
        <v/>
      </c>
      <c r="E175" s="186">
        <f>IF($B175="","",IFERROR(BDP($B175&amp;" Action","CP037"),""))</f>
        <v/>
      </c>
      <c r="F175" s="187">
        <f>Database!T175</f>
        <v/>
      </c>
      <c r="G175" s="186">
        <f>IF($B175="","",IFERROR(BDP($B175&amp;" Action","GREENSHOE_FACILITY"),""))</f>
        <v/>
      </c>
      <c r="H175" s="186">
        <f>IF($B175="","",IFERROR(BDP($B175&amp;" Action","OFFERING_GREENSHOE_SHARES_EX"),""))</f>
        <v/>
      </c>
      <c r="I175" s="17">
        <f>Database!AE175</f>
        <v/>
      </c>
      <c r="J175" s="24">
        <f>IFERROR(BDP(Database!$A175&amp;" HK Equity","PE_RATIO"),"")</f>
        <v/>
      </c>
      <c r="K175" s="10">
        <f>IFERROR(BDP(Database!$A175&amp;" HK Equity","A/H_SHARE_CONVERSION"),"")</f>
        <v/>
      </c>
      <c r="L175" s="17">
        <f>IF(Database!BM175="","(none found)",Database!BM175)</f>
        <v/>
      </c>
      <c r="M175" s="19">
        <f>IFERROR(BDH(Database!$A175&amp;" HK Equity","CUR_MKT_CAP",Database!$H175,Database!$H175),"")</f>
        <v/>
      </c>
      <c r="N175" s="180">
        <f>Database!Q175</f>
        <v/>
      </c>
      <c r="O175" s="24">
        <f>IFERROR(BDH(Database!$A175&amp;" HK Equity","PE_RATIO",Database!$H175,Database!$H175),"")</f>
        <v/>
      </c>
      <c r="P175" s="184">
        <f>IF(Database!BG175="","(n/m or not derivable)",Database!BG175)</f>
        <v/>
      </c>
      <c r="Q175" s="24">
        <f>IF(Database!BM175="","",IFERROR(BDH(LEFT(Database!BM175,FIND(".",Database!BM175)-1)&amp;" CH Equity","PE_RATIO",Database!$H175,Database!$H175),""))</f>
        <v/>
      </c>
      <c r="R175" s="24">
        <f>IF(Database!BM175="","",IFERROR(BDH("HSAHP Index","PX_LAST",Database!$H175,Database!$H175),""))</f>
        <v/>
      </c>
      <c r="S175" s="24">
        <f>IFERROR(BDP(Database!$A175&amp;" HK Equity","PX_TO_SALES_RATIO"),"")</f>
        <v/>
      </c>
      <c r="T175" s="19">
        <f>IF(Database!BM175="","",IFERROR(BDP(LEFT(Database!BM175,FIND(".",Database!BM175)-1)&amp;" CH Equity","CUR_MKT_CAP"),""))</f>
        <v/>
      </c>
    </row>
    <row r="176">
      <c r="A176" s="17">
        <f>Database!A176&amp;"  "&amp;Database!B176</f>
        <v/>
      </c>
      <c r="B176" s="10">
        <f>IFERROR(INDEX(BDS(Database!$A176&amp;" HK Equity","EQUITY_OFFERINGS","array=t","endcol=1"),MATCH("IPO",BDS(Database!$A176&amp;" HK Equity","EQUITY_OFFERINGS","array=t","startcol=2","endcol=2"),0)),"")</f>
        <v/>
      </c>
      <c r="C176" s="186">
        <f>IF($B176="","",IFERROR(BDP($B176&amp;" Action","CP036"),""))</f>
        <v/>
      </c>
      <c r="D176" s="187">
        <f>Database!S176</f>
        <v/>
      </c>
      <c r="E176" s="186">
        <f>IF($B176="","",IFERROR(BDP($B176&amp;" Action","CP037"),""))</f>
        <v/>
      </c>
      <c r="F176" s="187">
        <f>Database!T176</f>
        <v/>
      </c>
      <c r="G176" s="186">
        <f>IF($B176="","",IFERROR(BDP($B176&amp;" Action","GREENSHOE_FACILITY"),""))</f>
        <v/>
      </c>
      <c r="H176" s="186">
        <f>IF($B176="","",IFERROR(BDP($B176&amp;" Action","OFFERING_GREENSHOE_SHARES_EX"),""))</f>
        <v/>
      </c>
      <c r="I176" s="17">
        <f>Database!AE176</f>
        <v/>
      </c>
      <c r="J176" s="24">
        <f>IFERROR(BDP(Database!$A176&amp;" HK Equity","PE_RATIO"),"")</f>
        <v/>
      </c>
      <c r="K176" s="10">
        <f>IFERROR(BDP(Database!$A176&amp;" HK Equity","A/H_SHARE_CONVERSION"),"")</f>
        <v/>
      </c>
      <c r="L176" s="17">
        <f>IF(Database!BM176="","(none found)",Database!BM176)</f>
        <v/>
      </c>
      <c r="M176" s="19">
        <f>IFERROR(BDH(Database!$A176&amp;" HK Equity","CUR_MKT_CAP",Database!$H176,Database!$H176),"")</f>
        <v/>
      </c>
      <c r="N176" s="180">
        <f>Database!Q176</f>
        <v/>
      </c>
      <c r="O176" s="24">
        <f>IFERROR(BDH(Database!$A176&amp;" HK Equity","PE_RATIO",Database!$H176,Database!$H176),"")</f>
        <v/>
      </c>
      <c r="P176" s="184">
        <f>IF(Database!BG176="","(n/m or not derivable)",Database!BG176)</f>
        <v/>
      </c>
      <c r="Q176" s="24">
        <f>IF(Database!BM176="","",IFERROR(BDH(LEFT(Database!BM176,FIND(".",Database!BM176)-1)&amp;" CH Equity","PE_RATIO",Database!$H176,Database!$H176),""))</f>
        <v/>
      </c>
      <c r="R176" s="24">
        <f>IF(Database!BM176="","",IFERROR(BDH("HSAHP Index","PX_LAST",Database!$H176,Database!$H176),""))</f>
        <v/>
      </c>
      <c r="S176" s="24">
        <f>IFERROR(BDP(Database!$A176&amp;" HK Equity","PX_TO_SALES_RATIO"),"")</f>
        <v/>
      </c>
      <c r="T176" s="19">
        <f>IF(Database!BM176="","",IFERROR(BDP(LEFT(Database!BM176,FIND(".",Database!BM176)-1)&amp;" CH Equity","CUR_MKT_CAP"),""))</f>
        <v/>
      </c>
    </row>
    <row r="177">
      <c r="A177" s="17">
        <f>Database!A177&amp;"  "&amp;Database!B177</f>
        <v/>
      </c>
      <c r="B177" s="10">
        <f>IFERROR(INDEX(BDS(Database!$A177&amp;" HK Equity","EQUITY_OFFERINGS","array=t","endcol=1"),MATCH("IPO",BDS(Database!$A177&amp;" HK Equity","EQUITY_OFFERINGS","array=t","startcol=2","endcol=2"),0)),"")</f>
        <v/>
      </c>
      <c r="C177" s="186">
        <f>IF($B177="","",IFERROR(BDP($B177&amp;" Action","CP036"),""))</f>
        <v/>
      </c>
      <c r="D177" s="187">
        <f>Database!S177</f>
        <v/>
      </c>
      <c r="E177" s="186">
        <f>IF($B177="","",IFERROR(BDP($B177&amp;" Action","CP037"),""))</f>
        <v/>
      </c>
      <c r="F177" s="187">
        <f>Database!T177</f>
        <v/>
      </c>
      <c r="G177" s="186">
        <f>IF($B177="","",IFERROR(BDP($B177&amp;" Action","GREENSHOE_FACILITY"),""))</f>
        <v/>
      </c>
      <c r="H177" s="186">
        <f>IF($B177="","",IFERROR(BDP($B177&amp;" Action","OFFERING_GREENSHOE_SHARES_EX"),""))</f>
        <v/>
      </c>
      <c r="I177" s="17">
        <f>Database!AE177</f>
        <v/>
      </c>
      <c r="J177" s="24">
        <f>IFERROR(BDP(Database!$A177&amp;" HK Equity","PE_RATIO"),"")</f>
        <v/>
      </c>
      <c r="K177" s="10">
        <f>IFERROR(BDP(Database!$A177&amp;" HK Equity","A/H_SHARE_CONVERSION"),"")</f>
        <v/>
      </c>
      <c r="L177" s="17">
        <f>IF(Database!BM177="","(none found)",Database!BM177)</f>
        <v/>
      </c>
      <c r="M177" s="19">
        <f>IFERROR(BDH(Database!$A177&amp;" HK Equity","CUR_MKT_CAP",Database!$H177,Database!$H177),"")</f>
        <v/>
      </c>
      <c r="N177" s="180">
        <f>Database!Q177</f>
        <v/>
      </c>
      <c r="O177" s="24">
        <f>IFERROR(BDH(Database!$A177&amp;" HK Equity","PE_RATIO",Database!$H177,Database!$H177),"")</f>
        <v/>
      </c>
      <c r="P177" s="184">
        <f>IF(Database!BG177="","(n/m or not derivable)",Database!BG177)</f>
        <v/>
      </c>
      <c r="Q177" s="24">
        <f>IF(Database!BM177="","",IFERROR(BDH(LEFT(Database!BM177,FIND(".",Database!BM177)-1)&amp;" CH Equity","PE_RATIO",Database!$H177,Database!$H177),""))</f>
        <v/>
      </c>
      <c r="R177" s="24">
        <f>IF(Database!BM177="","",IFERROR(BDH("HSAHP Index","PX_LAST",Database!$H177,Database!$H177),""))</f>
        <v/>
      </c>
      <c r="S177" s="24">
        <f>IFERROR(BDP(Database!$A177&amp;" HK Equity","PX_TO_SALES_RATIO"),"")</f>
        <v/>
      </c>
      <c r="T177" s="19">
        <f>IF(Database!BM177="","",IFERROR(BDP(LEFT(Database!BM177,FIND(".",Database!BM177)-1)&amp;" CH Equity","CUR_MKT_CAP"),""))</f>
        <v/>
      </c>
    </row>
    <row r="178">
      <c r="A178" s="17">
        <f>Database!A178&amp;"  "&amp;Database!B178</f>
        <v/>
      </c>
      <c r="B178" s="10">
        <f>IFERROR(INDEX(BDS(Database!$A178&amp;" HK Equity","EQUITY_OFFERINGS","array=t","endcol=1"),MATCH("IPO",BDS(Database!$A178&amp;" HK Equity","EQUITY_OFFERINGS","array=t","startcol=2","endcol=2"),0)),"")</f>
        <v/>
      </c>
      <c r="C178" s="186">
        <f>IF($B178="","",IFERROR(BDP($B178&amp;" Action","CP036"),""))</f>
        <v/>
      </c>
      <c r="D178" s="187">
        <f>Database!S178</f>
        <v/>
      </c>
      <c r="E178" s="186">
        <f>IF($B178="","",IFERROR(BDP($B178&amp;" Action","CP037"),""))</f>
        <v/>
      </c>
      <c r="F178" s="187">
        <f>Database!T178</f>
        <v/>
      </c>
      <c r="G178" s="186">
        <f>IF($B178="","",IFERROR(BDP($B178&amp;" Action","GREENSHOE_FACILITY"),""))</f>
        <v/>
      </c>
      <c r="H178" s="186">
        <f>IF($B178="","",IFERROR(BDP($B178&amp;" Action","OFFERING_GREENSHOE_SHARES_EX"),""))</f>
        <v/>
      </c>
      <c r="I178" s="17">
        <f>Database!AE178</f>
        <v/>
      </c>
      <c r="J178" s="24">
        <f>IFERROR(BDP(Database!$A178&amp;" HK Equity","PE_RATIO"),"")</f>
        <v/>
      </c>
      <c r="K178" s="10">
        <f>IFERROR(BDP(Database!$A178&amp;" HK Equity","A/H_SHARE_CONVERSION"),"")</f>
        <v/>
      </c>
      <c r="L178" s="17">
        <f>IF(Database!BM178="","(none found)",Database!BM178)</f>
        <v/>
      </c>
      <c r="M178" s="19">
        <f>IFERROR(BDH(Database!$A178&amp;" HK Equity","CUR_MKT_CAP",Database!$H178,Database!$H178),"")</f>
        <v/>
      </c>
      <c r="N178" s="180">
        <f>Database!Q178</f>
        <v/>
      </c>
      <c r="O178" s="24">
        <f>IFERROR(BDH(Database!$A178&amp;" HK Equity","PE_RATIO",Database!$H178,Database!$H178),"")</f>
        <v/>
      </c>
      <c r="P178" s="184">
        <f>IF(Database!BG178="","(n/m or not derivable)",Database!BG178)</f>
        <v/>
      </c>
      <c r="Q178" s="24">
        <f>IF(Database!BM178="","",IFERROR(BDH(LEFT(Database!BM178,FIND(".",Database!BM178)-1)&amp;" CH Equity","PE_RATIO",Database!$H178,Database!$H178),""))</f>
        <v/>
      </c>
      <c r="R178" s="24">
        <f>IF(Database!BM178="","",IFERROR(BDH("HSAHP Index","PX_LAST",Database!$H178,Database!$H178),""))</f>
        <v/>
      </c>
      <c r="S178" s="24">
        <f>IFERROR(BDP(Database!$A178&amp;" HK Equity","PX_TO_SALES_RATIO"),"")</f>
        <v/>
      </c>
      <c r="T178" s="19">
        <f>IF(Database!BM178="","",IFERROR(BDP(LEFT(Database!BM178,FIND(".",Database!BM178)-1)&amp;" CH Equity","CUR_MKT_CAP"),""))</f>
        <v/>
      </c>
    </row>
    <row r="179">
      <c r="A179" s="17">
        <f>Database!A179&amp;"  "&amp;Database!B179</f>
        <v/>
      </c>
      <c r="B179" s="10">
        <f>IFERROR(INDEX(BDS(Database!$A179&amp;" HK Equity","EQUITY_OFFERINGS","array=t","endcol=1"),MATCH("IPO",BDS(Database!$A179&amp;" HK Equity","EQUITY_OFFERINGS","array=t","startcol=2","endcol=2"),0)),"")</f>
        <v/>
      </c>
      <c r="C179" s="186">
        <f>IF($B179="","",IFERROR(BDP($B179&amp;" Action","CP036"),""))</f>
        <v/>
      </c>
      <c r="D179" s="187">
        <f>Database!S179</f>
        <v/>
      </c>
      <c r="E179" s="186">
        <f>IF($B179="","",IFERROR(BDP($B179&amp;" Action","CP037"),""))</f>
        <v/>
      </c>
      <c r="F179" s="187">
        <f>Database!T179</f>
        <v/>
      </c>
      <c r="G179" s="186">
        <f>IF($B179="","",IFERROR(BDP($B179&amp;" Action","GREENSHOE_FACILITY"),""))</f>
        <v/>
      </c>
      <c r="H179" s="186">
        <f>IF($B179="","",IFERROR(BDP($B179&amp;" Action","OFFERING_GREENSHOE_SHARES_EX"),""))</f>
        <v/>
      </c>
      <c r="I179" s="17">
        <f>Database!AE179</f>
        <v/>
      </c>
      <c r="J179" s="24">
        <f>IFERROR(BDP(Database!$A179&amp;" HK Equity","PE_RATIO"),"")</f>
        <v/>
      </c>
      <c r="K179" s="10">
        <f>IFERROR(BDP(Database!$A179&amp;" HK Equity","A/H_SHARE_CONVERSION"),"")</f>
        <v/>
      </c>
      <c r="L179" s="17">
        <f>IF(Database!BM179="","(none found)",Database!BM179)</f>
        <v/>
      </c>
      <c r="M179" s="19">
        <f>IFERROR(BDH(Database!$A179&amp;" HK Equity","CUR_MKT_CAP",Database!$H179,Database!$H179),"")</f>
        <v/>
      </c>
      <c r="N179" s="180">
        <f>Database!Q179</f>
        <v/>
      </c>
      <c r="O179" s="24">
        <f>IFERROR(BDH(Database!$A179&amp;" HK Equity","PE_RATIO",Database!$H179,Database!$H179),"")</f>
        <v/>
      </c>
      <c r="P179" s="184">
        <f>IF(Database!BG179="","(n/m or not derivable)",Database!BG179)</f>
        <v/>
      </c>
      <c r="Q179" s="24">
        <f>IF(Database!BM179="","",IFERROR(BDH(LEFT(Database!BM179,FIND(".",Database!BM179)-1)&amp;" CH Equity","PE_RATIO",Database!$H179,Database!$H179),""))</f>
        <v/>
      </c>
      <c r="R179" s="24">
        <f>IF(Database!BM179="","",IFERROR(BDH("HSAHP Index","PX_LAST",Database!$H179,Database!$H179),""))</f>
        <v/>
      </c>
      <c r="S179" s="24">
        <f>IFERROR(BDP(Database!$A179&amp;" HK Equity","PX_TO_SALES_RATIO"),"")</f>
        <v/>
      </c>
      <c r="T179" s="19">
        <f>IF(Database!BM179="","",IFERROR(BDP(LEFT(Database!BM179,FIND(".",Database!BM179)-1)&amp;" CH Equity","CUR_MKT_CAP"),""))</f>
        <v/>
      </c>
    </row>
    <row r="180">
      <c r="A180" s="17">
        <f>Database!A180&amp;"  "&amp;Database!B180</f>
        <v/>
      </c>
      <c r="B180" s="10">
        <f>IFERROR(INDEX(BDS(Database!$A180&amp;" HK Equity","EQUITY_OFFERINGS","array=t","endcol=1"),MATCH("IPO",BDS(Database!$A180&amp;" HK Equity","EQUITY_OFFERINGS","array=t","startcol=2","endcol=2"),0)),"")</f>
        <v/>
      </c>
      <c r="C180" s="186">
        <f>IF($B180="","",IFERROR(BDP($B180&amp;" Action","CP036"),""))</f>
        <v/>
      </c>
      <c r="D180" s="187">
        <f>Database!S180</f>
        <v/>
      </c>
      <c r="E180" s="186">
        <f>IF($B180="","",IFERROR(BDP($B180&amp;" Action","CP037"),""))</f>
        <v/>
      </c>
      <c r="F180" s="187">
        <f>Database!T180</f>
        <v/>
      </c>
      <c r="G180" s="186">
        <f>IF($B180="","",IFERROR(BDP($B180&amp;" Action","GREENSHOE_FACILITY"),""))</f>
        <v/>
      </c>
      <c r="H180" s="186">
        <f>IF($B180="","",IFERROR(BDP($B180&amp;" Action","OFFERING_GREENSHOE_SHARES_EX"),""))</f>
        <v/>
      </c>
      <c r="I180" s="17">
        <f>Database!AE180</f>
        <v/>
      </c>
      <c r="J180" s="24">
        <f>IFERROR(BDP(Database!$A180&amp;" HK Equity","PE_RATIO"),"")</f>
        <v/>
      </c>
      <c r="K180" s="10">
        <f>IFERROR(BDP(Database!$A180&amp;" HK Equity","A/H_SHARE_CONVERSION"),"")</f>
        <v/>
      </c>
      <c r="L180" s="17">
        <f>IF(Database!BM180="","(none found)",Database!BM180)</f>
        <v/>
      </c>
      <c r="M180" s="19">
        <f>IFERROR(BDH(Database!$A180&amp;" HK Equity","CUR_MKT_CAP",Database!$H180,Database!$H180),"")</f>
        <v/>
      </c>
      <c r="N180" s="180">
        <f>Database!Q180</f>
        <v/>
      </c>
      <c r="O180" s="24">
        <f>IFERROR(BDH(Database!$A180&amp;" HK Equity","PE_RATIO",Database!$H180,Database!$H180),"")</f>
        <v/>
      </c>
      <c r="P180" s="184">
        <f>IF(Database!BG180="","(n/m or not derivable)",Database!BG180)</f>
        <v/>
      </c>
      <c r="Q180" s="24">
        <f>IF(Database!BM180="","",IFERROR(BDH(LEFT(Database!BM180,FIND(".",Database!BM180)-1)&amp;" CH Equity","PE_RATIO",Database!$H180,Database!$H180),""))</f>
        <v/>
      </c>
      <c r="R180" s="24">
        <f>IF(Database!BM180="","",IFERROR(BDH("HSAHP Index","PX_LAST",Database!$H180,Database!$H180),""))</f>
        <v/>
      </c>
      <c r="S180" s="24">
        <f>IFERROR(BDP(Database!$A180&amp;" HK Equity","PX_TO_SALES_RATIO"),"")</f>
        <v/>
      </c>
      <c r="T180" s="19">
        <f>IF(Database!BM180="","",IFERROR(BDP(LEFT(Database!BM180,FIND(".",Database!BM180)-1)&amp;" CH Equity","CUR_MKT_CAP"),""))</f>
        <v/>
      </c>
    </row>
    <row r="181">
      <c r="A181" s="17">
        <f>Database!A181&amp;"  "&amp;Database!B181</f>
        <v/>
      </c>
      <c r="B181" s="10">
        <f>IFERROR(INDEX(BDS(Database!$A181&amp;" HK Equity","EQUITY_OFFERINGS","array=t","endcol=1"),MATCH("IPO",BDS(Database!$A181&amp;" HK Equity","EQUITY_OFFERINGS","array=t","startcol=2","endcol=2"),0)),"")</f>
        <v/>
      </c>
      <c r="C181" s="186">
        <f>IF($B181="","",IFERROR(BDP($B181&amp;" Action","CP036"),""))</f>
        <v/>
      </c>
      <c r="D181" s="187">
        <f>Database!S181</f>
        <v/>
      </c>
      <c r="E181" s="186">
        <f>IF($B181="","",IFERROR(BDP($B181&amp;" Action","CP037"),""))</f>
        <v/>
      </c>
      <c r="F181" s="187">
        <f>Database!T181</f>
        <v/>
      </c>
      <c r="G181" s="186">
        <f>IF($B181="","",IFERROR(BDP($B181&amp;" Action","GREENSHOE_FACILITY"),""))</f>
        <v/>
      </c>
      <c r="H181" s="186">
        <f>IF($B181="","",IFERROR(BDP($B181&amp;" Action","OFFERING_GREENSHOE_SHARES_EX"),""))</f>
        <v/>
      </c>
      <c r="I181" s="17">
        <f>Database!AE181</f>
        <v/>
      </c>
      <c r="J181" s="24">
        <f>IFERROR(BDP(Database!$A181&amp;" HK Equity","PE_RATIO"),"")</f>
        <v/>
      </c>
      <c r="K181" s="10">
        <f>IFERROR(BDP(Database!$A181&amp;" HK Equity","A/H_SHARE_CONVERSION"),"")</f>
        <v/>
      </c>
      <c r="L181" s="17">
        <f>IF(Database!BM181="","(none found)",Database!BM181)</f>
        <v/>
      </c>
      <c r="M181" s="19">
        <f>IFERROR(BDH(Database!$A181&amp;" HK Equity","CUR_MKT_CAP",Database!$H181,Database!$H181),"")</f>
        <v/>
      </c>
      <c r="N181" s="180">
        <f>Database!Q181</f>
        <v/>
      </c>
      <c r="O181" s="24">
        <f>IFERROR(BDH(Database!$A181&amp;" HK Equity","PE_RATIO",Database!$H181,Database!$H181),"")</f>
        <v/>
      </c>
      <c r="P181" s="184">
        <f>IF(Database!BG181="","(n/m or not derivable)",Database!BG181)</f>
        <v/>
      </c>
      <c r="Q181" s="24">
        <f>IF(Database!BM181="","",IFERROR(BDH(LEFT(Database!BM181,FIND(".",Database!BM181)-1)&amp;" CH Equity","PE_RATIO",Database!$H181,Database!$H181),""))</f>
        <v/>
      </c>
      <c r="R181" s="24">
        <f>IF(Database!BM181="","",IFERROR(BDH("HSAHP Index","PX_LAST",Database!$H181,Database!$H181),""))</f>
        <v/>
      </c>
      <c r="S181" s="24">
        <f>IFERROR(BDP(Database!$A181&amp;" HK Equity","PX_TO_SALES_RATIO"),"")</f>
        <v/>
      </c>
      <c r="T181" s="19">
        <f>IF(Database!BM181="","",IFERROR(BDP(LEFT(Database!BM181,FIND(".",Database!BM181)-1)&amp;" CH Equity","CUR_MKT_CAP"),""))</f>
        <v/>
      </c>
    </row>
    <row r="182">
      <c r="A182" s="17">
        <f>Database!A182&amp;"  "&amp;Database!B182</f>
        <v/>
      </c>
      <c r="B182" s="10">
        <f>IFERROR(INDEX(BDS(Database!$A182&amp;" HK Equity","EQUITY_OFFERINGS","array=t","endcol=1"),MATCH("IPO",BDS(Database!$A182&amp;" HK Equity","EQUITY_OFFERINGS","array=t","startcol=2","endcol=2"),0)),"")</f>
        <v/>
      </c>
      <c r="C182" s="186">
        <f>IF($B182="","",IFERROR(BDP($B182&amp;" Action","CP036"),""))</f>
        <v/>
      </c>
      <c r="D182" s="187">
        <f>Database!S182</f>
        <v/>
      </c>
      <c r="E182" s="186">
        <f>IF($B182="","",IFERROR(BDP($B182&amp;" Action","CP037"),""))</f>
        <v/>
      </c>
      <c r="F182" s="187">
        <f>Database!T182</f>
        <v/>
      </c>
      <c r="G182" s="186">
        <f>IF($B182="","",IFERROR(BDP($B182&amp;" Action","GREENSHOE_FACILITY"),""))</f>
        <v/>
      </c>
      <c r="H182" s="186">
        <f>IF($B182="","",IFERROR(BDP($B182&amp;" Action","OFFERING_GREENSHOE_SHARES_EX"),""))</f>
        <v/>
      </c>
      <c r="I182" s="17">
        <f>Database!AE182</f>
        <v/>
      </c>
      <c r="J182" s="24">
        <f>IFERROR(BDP(Database!$A182&amp;" HK Equity","PE_RATIO"),"")</f>
        <v/>
      </c>
      <c r="K182" s="10">
        <f>IFERROR(BDP(Database!$A182&amp;" HK Equity","A/H_SHARE_CONVERSION"),"")</f>
        <v/>
      </c>
      <c r="L182" s="17">
        <f>IF(Database!BM182="","(none found)",Database!BM182)</f>
        <v/>
      </c>
      <c r="M182" s="19">
        <f>IFERROR(BDH(Database!$A182&amp;" HK Equity","CUR_MKT_CAP",Database!$H182,Database!$H182),"")</f>
        <v/>
      </c>
      <c r="N182" s="180">
        <f>Database!Q182</f>
        <v/>
      </c>
      <c r="O182" s="24">
        <f>IFERROR(BDH(Database!$A182&amp;" HK Equity","PE_RATIO",Database!$H182,Database!$H182),"")</f>
        <v/>
      </c>
      <c r="P182" s="184">
        <f>IF(Database!BG182="","(n/m or not derivable)",Database!BG182)</f>
        <v/>
      </c>
      <c r="Q182" s="24">
        <f>IF(Database!BM182="","",IFERROR(BDH(LEFT(Database!BM182,FIND(".",Database!BM182)-1)&amp;" CH Equity","PE_RATIO",Database!$H182,Database!$H182),""))</f>
        <v/>
      </c>
      <c r="R182" s="24">
        <f>IF(Database!BM182="","",IFERROR(BDH("HSAHP Index","PX_LAST",Database!$H182,Database!$H182),""))</f>
        <v/>
      </c>
      <c r="S182" s="24">
        <f>IFERROR(BDP(Database!$A182&amp;" HK Equity","PX_TO_SALES_RATIO"),"")</f>
        <v/>
      </c>
      <c r="T182" s="19">
        <f>IF(Database!BM182="","",IFERROR(BDP(LEFT(Database!BM182,FIND(".",Database!BM182)-1)&amp;" CH Equity","CUR_MKT_CAP"),""))</f>
        <v/>
      </c>
    </row>
    <row r="183">
      <c r="A183" s="17">
        <f>Database!A183&amp;"  "&amp;Database!B183</f>
        <v/>
      </c>
      <c r="B183" s="10">
        <f>IFERROR(INDEX(BDS(Database!$A183&amp;" HK Equity","EQUITY_OFFERINGS","array=t","endcol=1"),MATCH("IPO",BDS(Database!$A183&amp;" HK Equity","EQUITY_OFFERINGS","array=t","startcol=2","endcol=2"),0)),"")</f>
        <v/>
      </c>
      <c r="C183" s="186">
        <f>IF($B183="","",IFERROR(BDP($B183&amp;" Action","CP036"),""))</f>
        <v/>
      </c>
      <c r="D183" s="187">
        <f>Database!S183</f>
        <v/>
      </c>
      <c r="E183" s="186">
        <f>IF($B183="","",IFERROR(BDP($B183&amp;" Action","CP037"),""))</f>
        <v/>
      </c>
      <c r="F183" s="187">
        <f>Database!T183</f>
        <v/>
      </c>
      <c r="G183" s="186">
        <f>IF($B183="","",IFERROR(BDP($B183&amp;" Action","GREENSHOE_FACILITY"),""))</f>
        <v/>
      </c>
      <c r="H183" s="186">
        <f>IF($B183="","",IFERROR(BDP($B183&amp;" Action","OFFERING_GREENSHOE_SHARES_EX"),""))</f>
        <v/>
      </c>
      <c r="I183" s="17">
        <f>Database!AE183</f>
        <v/>
      </c>
      <c r="J183" s="24">
        <f>IFERROR(BDP(Database!$A183&amp;" HK Equity","PE_RATIO"),"")</f>
        <v/>
      </c>
      <c r="K183" s="10">
        <f>IFERROR(BDP(Database!$A183&amp;" HK Equity","A/H_SHARE_CONVERSION"),"")</f>
        <v/>
      </c>
      <c r="L183" s="17">
        <f>IF(Database!BM183="","(none found)",Database!BM183)</f>
        <v/>
      </c>
      <c r="M183" s="19">
        <f>IFERROR(BDH(Database!$A183&amp;" HK Equity","CUR_MKT_CAP",Database!$H183,Database!$H183),"")</f>
        <v/>
      </c>
      <c r="N183" s="180">
        <f>Database!Q183</f>
        <v/>
      </c>
      <c r="O183" s="24">
        <f>IFERROR(BDH(Database!$A183&amp;" HK Equity","PE_RATIO",Database!$H183,Database!$H183),"")</f>
        <v/>
      </c>
      <c r="P183" s="184">
        <f>IF(Database!BG183="","(n/m or not derivable)",Database!BG183)</f>
        <v/>
      </c>
      <c r="Q183" s="24">
        <f>IF(Database!BM183="","",IFERROR(BDH(LEFT(Database!BM183,FIND(".",Database!BM183)-1)&amp;" CH Equity","PE_RATIO",Database!$H183,Database!$H183),""))</f>
        <v/>
      </c>
      <c r="R183" s="24">
        <f>IF(Database!BM183="","",IFERROR(BDH("HSAHP Index","PX_LAST",Database!$H183,Database!$H183),""))</f>
        <v/>
      </c>
      <c r="S183" s="24">
        <f>IFERROR(BDP(Database!$A183&amp;" HK Equity","PX_TO_SALES_RATIO"),"")</f>
        <v/>
      </c>
      <c r="T183" s="19">
        <f>IF(Database!BM183="","",IFERROR(BDP(LEFT(Database!BM183,FIND(".",Database!BM183)-1)&amp;" CH Equity","CUR_MKT_CAP"),""))</f>
        <v/>
      </c>
    </row>
    <row r="184">
      <c r="A184" s="17">
        <f>Database!A184&amp;"  "&amp;Database!B184</f>
        <v/>
      </c>
      <c r="B184" s="10">
        <f>IFERROR(INDEX(BDS(Database!$A184&amp;" HK Equity","EQUITY_OFFERINGS","array=t","endcol=1"),MATCH("IPO",BDS(Database!$A184&amp;" HK Equity","EQUITY_OFFERINGS","array=t","startcol=2","endcol=2"),0)),"")</f>
        <v/>
      </c>
      <c r="C184" s="186">
        <f>IF($B184="","",IFERROR(BDP($B184&amp;" Action","CP036"),""))</f>
        <v/>
      </c>
      <c r="D184" s="187">
        <f>Database!S184</f>
        <v/>
      </c>
      <c r="E184" s="186">
        <f>IF($B184="","",IFERROR(BDP($B184&amp;" Action","CP037"),""))</f>
        <v/>
      </c>
      <c r="F184" s="187">
        <f>Database!T184</f>
        <v/>
      </c>
      <c r="G184" s="186">
        <f>IF($B184="","",IFERROR(BDP($B184&amp;" Action","GREENSHOE_FACILITY"),""))</f>
        <v/>
      </c>
      <c r="H184" s="186">
        <f>IF($B184="","",IFERROR(BDP($B184&amp;" Action","OFFERING_GREENSHOE_SHARES_EX"),""))</f>
        <v/>
      </c>
      <c r="I184" s="17">
        <f>Database!AE184</f>
        <v/>
      </c>
      <c r="J184" s="24">
        <f>IFERROR(BDP(Database!$A184&amp;" HK Equity","PE_RATIO"),"")</f>
        <v/>
      </c>
      <c r="K184" s="10">
        <f>IFERROR(BDP(Database!$A184&amp;" HK Equity","A/H_SHARE_CONVERSION"),"")</f>
        <v/>
      </c>
      <c r="L184" s="17">
        <f>IF(Database!BM184="","(none found)",Database!BM184)</f>
        <v/>
      </c>
      <c r="M184" s="19">
        <f>IFERROR(BDH(Database!$A184&amp;" HK Equity","CUR_MKT_CAP",Database!$H184,Database!$H184),"")</f>
        <v/>
      </c>
      <c r="N184" s="180">
        <f>Database!Q184</f>
        <v/>
      </c>
      <c r="O184" s="24">
        <f>IFERROR(BDH(Database!$A184&amp;" HK Equity","PE_RATIO",Database!$H184,Database!$H184),"")</f>
        <v/>
      </c>
      <c r="P184" s="184">
        <f>IF(Database!BG184="","(n/m or not derivable)",Database!BG184)</f>
        <v/>
      </c>
      <c r="Q184" s="24">
        <f>IF(Database!BM184="","",IFERROR(BDH(LEFT(Database!BM184,FIND(".",Database!BM184)-1)&amp;" CH Equity","PE_RATIO",Database!$H184,Database!$H184),""))</f>
        <v/>
      </c>
      <c r="R184" s="24">
        <f>IF(Database!BM184="","",IFERROR(BDH("HSAHP Index","PX_LAST",Database!$H184,Database!$H184),""))</f>
        <v/>
      </c>
      <c r="S184" s="24">
        <f>IFERROR(BDP(Database!$A184&amp;" HK Equity","PX_TO_SALES_RATIO"),"")</f>
        <v/>
      </c>
      <c r="T184" s="19">
        <f>IF(Database!BM184="","",IFERROR(BDP(LEFT(Database!BM184,FIND(".",Database!BM184)-1)&amp;" CH Equity","CUR_MKT_CAP"),""))</f>
        <v/>
      </c>
    </row>
    <row r="185">
      <c r="A185" s="17">
        <f>Database!A185&amp;"  "&amp;Database!B185</f>
        <v/>
      </c>
      <c r="B185" s="10">
        <f>IFERROR(INDEX(BDS(Database!$A185&amp;" HK Equity","EQUITY_OFFERINGS","array=t","endcol=1"),MATCH("IPO",BDS(Database!$A185&amp;" HK Equity","EQUITY_OFFERINGS","array=t","startcol=2","endcol=2"),0)),"")</f>
        <v/>
      </c>
      <c r="C185" s="186">
        <f>IF($B185="","",IFERROR(BDP($B185&amp;" Action","CP036"),""))</f>
        <v/>
      </c>
      <c r="D185" s="187">
        <f>Database!S185</f>
        <v/>
      </c>
      <c r="E185" s="186">
        <f>IF($B185="","",IFERROR(BDP($B185&amp;" Action","CP037"),""))</f>
        <v/>
      </c>
      <c r="F185" s="187">
        <f>Database!T185</f>
        <v/>
      </c>
      <c r="G185" s="186">
        <f>IF($B185="","",IFERROR(BDP($B185&amp;" Action","GREENSHOE_FACILITY"),""))</f>
        <v/>
      </c>
      <c r="H185" s="186">
        <f>IF($B185="","",IFERROR(BDP($B185&amp;" Action","OFFERING_GREENSHOE_SHARES_EX"),""))</f>
        <v/>
      </c>
      <c r="I185" s="17">
        <f>Database!AE185</f>
        <v/>
      </c>
      <c r="J185" s="24">
        <f>IFERROR(BDP(Database!$A185&amp;" HK Equity","PE_RATIO"),"")</f>
        <v/>
      </c>
      <c r="K185" s="10">
        <f>IFERROR(BDP(Database!$A185&amp;" HK Equity","A/H_SHARE_CONVERSION"),"")</f>
        <v/>
      </c>
      <c r="L185" s="17">
        <f>IF(Database!BM185="","(none found)",Database!BM185)</f>
        <v/>
      </c>
      <c r="M185" s="19">
        <f>IFERROR(BDH(Database!$A185&amp;" HK Equity","CUR_MKT_CAP",Database!$H185,Database!$H185),"")</f>
        <v/>
      </c>
      <c r="N185" s="180">
        <f>Database!Q185</f>
        <v/>
      </c>
      <c r="O185" s="24">
        <f>IFERROR(BDH(Database!$A185&amp;" HK Equity","PE_RATIO",Database!$H185,Database!$H185),"")</f>
        <v/>
      </c>
      <c r="P185" s="184">
        <f>IF(Database!BG185="","(n/m or not derivable)",Database!BG185)</f>
        <v/>
      </c>
      <c r="Q185" s="24">
        <f>IF(Database!BM185="","",IFERROR(BDH(LEFT(Database!BM185,FIND(".",Database!BM185)-1)&amp;" CH Equity","PE_RATIO",Database!$H185,Database!$H185),""))</f>
        <v/>
      </c>
      <c r="R185" s="24">
        <f>IF(Database!BM185="","",IFERROR(BDH("HSAHP Index","PX_LAST",Database!$H185,Database!$H185),""))</f>
        <v/>
      </c>
      <c r="S185" s="24">
        <f>IFERROR(BDP(Database!$A185&amp;" HK Equity","PX_TO_SALES_RATIO"),"")</f>
        <v/>
      </c>
      <c r="T185" s="19">
        <f>IF(Database!BM185="","",IFERROR(BDP(LEFT(Database!BM185,FIND(".",Database!BM185)-1)&amp;" CH Equity","CUR_MKT_CAP"),""))</f>
        <v/>
      </c>
    </row>
    <row r="186">
      <c r="A186" s="17">
        <f>Database!A186&amp;"  "&amp;Database!B186</f>
        <v/>
      </c>
      <c r="B186" s="10">
        <f>IFERROR(INDEX(BDS(Database!$A186&amp;" HK Equity","EQUITY_OFFERINGS","array=t","endcol=1"),MATCH("IPO",BDS(Database!$A186&amp;" HK Equity","EQUITY_OFFERINGS","array=t","startcol=2","endcol=2"),0)),"")</f>
        <v/>
      </c>
      <c r="C186" s="186">
        <f>IF($B186="","",IFERROR(BDP($B186&amp;" Action","CP036"),""))</f>
        <v/>
      </c>
      <c r="D186" s="187">
        <f>Database!S186</f>
        <v/>
      </c>
      <c r="E186" s="186">
        <f>IF($B186="","",IFERROR(BDP($B186&amp;" Action","CP037"),""))</f>
        <v/>
      </c>
      <c r="F186" s="187">
        <f>Database!T186</f>
        <v/>
      </c>
      <c r="G186" s="186">
        <f>IF($B186="","",IFERROR(BDP($B186&amp;" Action","GREENSHOE_FACILITY"),""))</f>
        <v/>
      </c>
      <c r="H186" s="186">
        <f>IF($B186="","",IFERROR(BDP($B186&amp;" Action","OFFERING_GREENSHOE_SHARES_EX"),""))</f>
        <v/>
      </c>
      <c r="I186" s="17">
        <f>Database!AE186</f>
        <v/>
      </c>
      <c r="J186" s="24">
        <f>IFERROR(BDP(Database!$A186&amp;" HK Equity","PE_RATIO"),"")</f>
        <v/>
      </c>
      <c r="K186" s="10">
        <f>IFERROR(BDP(Database!$A186&amp;" HK Equity","A/H_SHARE_CONVERSION"),"")</f>
        <v/>
      </c>
      <c r="L186" s="17">
        <f>IF(Database!BM186="","(none found)",Database!BM186)</f>
        <v/>
      </c>
      <c r="M186" s="19">
        <f>IFERROR(BDH(Database!$A186&amp;" HK Equity","CUR_MKT_CAP",Database!$H186,Database!$H186),"")</f>
        <v/>
      </c>
      <c r="N186" s="180">
        <f>Database!Q186</f>
        <v/>
      </c>
      <c r="O186" s="24">
        <f>IFERROR(BDH(Database!$A186&amp;" HK Equity","PE_RATIO",Database!$H186,Database!$H186),"")</f>
        <v/>
      </c>
      <c r="P186" s="184">
        <f>IF(Database!BG186="","(n/m or not derivable)",Database!BG186)</f>
        <v/>
      </c>
      <c r="Q186" s="24">
        <f>IF(Database!BM186="","",IFERROR(BDH(LEFT(Database!BM186,FIND(".",Database!BM186)-1)&amp;" CH Equity","PE_RATIO",Database!$H186,Database!$H186),""))</f>
        <v/>
      </c>
      <c r="R186" s="24">
        <f>IF(Database!BM186="","",IFERROR(BDH("HSAHP Index","PX_LAST",Database!$H186,Database!$H186),""))</f>
        <v/>
      </c>
      <c r="S186" s="24">
        <f>IFERROR(BDP(Database!$A186&amp;" HK Equity","PX_TO_SALES_RATIO"),"")</f>
        <v/>
      </c>
      <c r="T186" s="19">
        <f>IF(Database!BM186="","",IFERROR(BDP(LEFT(Database!BM186,FIND(".",Database!BM186)-1)&amp;" CH Equity","CUR_MKT_CAP"),""))</f>
        <v/>
      </c>
    </row>
    <row r="187">
      <c r="A187" s="17">
        <f>Database!A187&amp;"  "&amp;Database!B187</f>
        <v/>
      </c>
      <c r="B187" s="10">
        <f>IFERROR(INDEX(BDS(Database!$A187&amp;" HK Equity","EQUITY_OFFERINGS","array=t","endcol=1"),MATCH("IPO",BDS(Database!$A187&amp;" HK Equity","EQUITY_OFFERINGS","array=t","startcol=2","endcol=2"),0)),"")</f>
        <v/>
      </c>
      <c r="C187" s="186">
        <f>IF($B187="","",IFERROR(BDP($B187&amp;" Action","CP036"),""))</f>
        <v/>
      </c>
      <c r="D187" s="187">
        <f>Database!S187</f>
        <v/>
      </c>
      <c r="E187" s="186">
        <f>IF($B187="","",IFERROR(BDP($B187&amp;" Action","CP037"),""))</f>
        <v/>
      </c>
      <c r="F187" s="187">
        <f>Database!T187</f>
        <v/>
      </c>
      <c r="G187" s="186">
        <f>IF($B187="","",IFERROR(BDP($B187&amp;" Action","GREENSHOE_FACILITY"),""))</f>
        <v/>
      </c>
      <c r="H187" s="186">
        <f>IF($B187="","",IFERROR(BDP($B187&amp;" Action","OFFERING_GREENSHOE_SHARES_EX"),""))</f>
        <v/>
      </c>
      <c r="I187" s="17">
        <f>Database!AE187</f>
        <v/>
      </c>
      <c r="J187" s="24">
        <f>IFERROR(BDP(Database!$A187&amp;" HK Equity","PE_RATIO"),"")</f>
        <v/>
      </c>
      <c r="K187" s="10">
        <f>IFERROR(BDP(Database!$A187&amp;" HK Equity","A/H_SHARE_CONVERSION"),"")</f>
        <v/>
      </c>
      <c r="L187" s="17">
        <f>IF(Database!BM187="","(none found)",Database!BM187)</f>
        <v/>
      </c>
      <c r="M187" s="19">
        <f>IFERROR(BDH(Database!$A187&amp;" HK Equity","CUR_MKT_CAP",Database!$H187,Database!$H187),"")</f>
        <v/>
      </c>
      <c r="N187" s="180">
        <f>Database!Q187</f>
        <v/>
      </c>
      <c r="O187" s="24">
        <f>IFERROR(BDH(Database!$A187&amp;" HK Equity","PE_RATIO",Database!$H187,Database!$H187),"")</f>
        <v/>
      </c>
      <c r="P187" s="184">
        <f>IF(Database!BG187="","(n/m or not derivable)",Database!BG187)</f>
        <v/>
      </c>
      <c r="Q187" s="24">
        <f>IF(Database!BM187="","",IFERROR(BDH(LEFT(Database!BM187,FIND(".",Database!BM187)-1)&amp;" CH Equity","PE_RATIO",Database!$H187,Database!$H187),""))</f>
        <v/>
      </c>
      <c r="R187" s="24">
        <f>IF(Database!BM187="","",IFERROR(BDH("HSAHP Index","PX_LAST",Database!$H187,Database!$H187),""))</f>
        <v/>
      </c>
      <c r="S187" s="24">
        <f>IFERROR(BDP(Database!$A187&amp;" HK Equity","PX_TO_SALES_RATIO"),"")</f>
        <v/>
      </c>
      <c r="T187" s="19">
        <f>IF(Database!BM187="","",IFERROR(BDP(LEFT(Database!BM187,FIND(".",Database!BM187)-1)&amp;" CH Equity","CUR_MKT_CAP"),""))</f>
        <v/>
      </c>
    </row>
    <row r="188">
      <c r="A188" s="17">
        <f>Database!A188&amp;"  "&amp;Database!B188</f>
        <v/>
      </c>
      <c r="B188" s="10">
        <f>IFERROR(INDEX(BDS(Database!$A188&amp;" HK Equity","EQUITY_OFFERINGS","array=t","endcol=1"),MATCH("IPO",BDS(Database!$A188&amp;" HK Equity","EQUITY_OFFERINGS","array=t","startcol=2","endcol=2"),0)),"")</f>
        <v/>
      </c>
      <c r="C188" s="186">
        <f>IF($B188="","",IFERROR(BDP($B188&amp;" Action","CP036"),""))</f>
        <v/>
      </c>
      <c r="D188" s="187">
        <f>Database!S188</f>
        <v/>
      </c>
      <c r="E188" s="186">
        <f>IF($B188="","",IFERROR(BDP($B188&amp;" Action","CP037"),""))</f>
        <v/>
      </c>
      <c r="F188" s="187">
        <f>Database!T188</f>
        <v/>
      </c>
      <c r="G188" s="186">
        <f>IF($B188="","",IFERROR(BDP($B188&amp;" Action","GREENSHOE_FACILITY"),""))</f>
        <v/>
      </c>
      <c r="H188" s="186">
        <f>IF($B188="","",IFERROR(BDP($B188&amp;" Action","OFFERING_GREENSHOE_SHARES_EX"),""))</f>
        <v/>
      </c>
      <c r="I188" s="17">
        <f>Database!AE188</f>
        <v/>
      </c>
      <c r="J188" s="24">
        <f>IFERROR(BDP(Database!$A188&amp;" HK Equity","PE_RATIO"),"")</f>
        <v/>
      </c>
      <c r="K188" s="10">
        <f>IFERROR(BDP(Database!$A188&amp;" HK Equity","A/H_SHARE_CONVERSION"),"")</f>
        <v/>
      </c>
      <c r="L188" s="17">
        <f>IF(Database!BM188="","(none found)",Database!BM188)</f>
        <v/>
      </c>
      <c r="M188" s="19">
        <f>IFERROR(BDH(Database!$A188&amp;" HK Equity","CUR_MKT_CAP",Database!$H188,Database!$H188),"")</f>
        <v/>
      </c>
      <c r="N188" s="180">
        <f>Database!Q188</f>
        <v/>
      </c>
      <c r="O188" s="24">
        <f>IFERROR(BDH(Database!$A188&amp;" HK Equity","PE_RATIO",Database!$H188,Database!$H188),"")</f>
        <v/>
      </c>
      <c r="P188" s="184">
        <f>IF(Database!BG188="","(n/m or not derivable)",Database!BG188)</f>
        <v/>
      </c>
      <c r="Q188" s="24">
        <f>IF(Database!BM188="","",IFERROR(BDH(LEFT(Database!BM188,FIND(".",Database!BM188)-1)&amp;" CH Equity","PE_RATIO",Database!$H188,Database!$H188),""))</f>
        <v/>
      </c>
      <c r="R188" s="24">
        <f>IF(Database!BM188="","",IFERROR(BDH("HSAHP Index","PX_LAST",Database!$H188,Database!$H188),""))</f>
        <v/>
      </c>
      <c r="S188" s="24">
        <f>IFERROR(BDP(Database!$A188&amp;" HK Equity","PX_TO_SALES_RATIO"),"")</f>
        <v/>
      </c>
      <c r="T188" s="19">
        <f>IF(Database!BM188="","",IFERROR(BDP(LEFT(Database!BM188,FIND(".",Database!BM188)-1)&amp;" CH Equity","CUR_MKT_CAP"),""))</f>
        <v/>
      </c>
    </row>
    <row r="189">
      <c r="A189" s="17">
        <f>Database!A189&amp;"  "&amp;Database!B189</f>
        <v/>
      </c>
      <c r="B189" s="10">
        <f>IFERROR(INDEX(BDS(Database!$A189&amp;" HK Equity","EQUITY_OFFERINGS","array=t","endcol=1"),MATCH("IPO",BDS(Database!$A189&amp;" HK Equity","EQUITY_OFFERINGS","array=t","startcol=2","endcol=2"),0)),"")</f>
        <v/>
      </c>
      <c r="C189" s="186">
        <f>IF($B189="","",IFERROR(BDP($B189&amp;" Action","CP036"),""))</f>
        <v/>
      </c>
      <c r="D189" s="187">
        <f>Database!S189</f>
        <v/>
      </c>
      <c r="E189" s="186">
        <f>IF($B189="","",IFERROR(BDP($B189&amp;" Action","CP037"),""))</f>
        <v/>
      </c>
      <c r="F189" s="187">
        <f>Database!T189</f>
        <v/>
      </c>
      <c r="G189" s="186">
        <f>IF($B189="","",IFERROR(BDP($B189&amp;" Action","GREENSHOE_FACILITY"),""))</f>
        <v/>
      </c>
      <c r="H189" s="186">
        <f>IF($B189="","",IFERROR(BDP($B189&amp;" Action","OFFERING_GREENSHOE_SHARES_EX"),""))</f>
        <v/>
      </c>
      <c r="I189" s="17">
        <f>Database!AE189</f>
        <v/>
      </c>
      <c r="J189" s="24">
        <f>IFERROR(BDP(Database!$A189&amp;" HK Equity","PE_RATIO"),"")</f>
        <v/>
      </c>
      <c r="K189" s="10">
        <f>IFERROR(BDP(Database!$A189&amp;" HK Equity","A/H_SHARE_CONVERSION"),"")</f>
        <v/>
      </c>
      <c r="L189" s="17">
        <f>IF(Database!BM189="","(none found)",Database!BM189)</f>
        <v/>
      </c>
      <c r="M189" s="19">
        <f>IFERROR(BDH(Database!$A189&amp;" HK Equity","CUR_MKT_CAP",Database!$H189,Database!$H189),"")</f>
        <v/>
      </c>
      <c r="N189" s="180">
        <f>Database!Q189</f>
        <v/>
      </c>
      <c r="O189" s="24">
        <f>IFERROR(BDH(Database!$A189&amp;" HK Equity","PE_RATIO",Database!$H189,Database!$H189),"")</f>
        <v/>
      </c>
      <c r="P189" s="184">
        <f>IF(Database!BG189="","(n/m or not derivable)",Database!BG189)</f>
        <v/>
      </c>
      <c r="Q189" s="24">
        <f>IF(Database!BM189="","",IFERROR(BDH(LEFT(Database!BM189,FIND(".",Database!BM189)-1)&amp;" CH Equity","PE_RATIO",Database!$H189,Database!$H189),""))</f>
        <v/>
      </c>
      <c r="R189" s="24">
        <f>IF(Database!BM189="","",IFERROR(BDH("HSAHP Index","PX_LAST",Database!$H189,Database!$H189),""))</f>
        <v/>
      </c>
      <c r="S189" s="24">
        <f>IFERROR(BDP(Database!$A189&amp;" HK Equity","PX_TO_SALES_RATIO"),"")</f>
        <v/>
      </c>
      <c r="T189" s="19">
        <f>IF(Database!BM189="","",IFERROR(BDP(LEFT(Database!BM189,FIND(".",Database!BM189)-1)&amp;" CH Equity","CUR_MKT_CAP"),""))</f>
        <v/>
      </c>
    </row>
    <row r="190">
      <c r="A190" s="17">
        <f>Database!A190&amp;"  "&amp;Database!B190</f>
        <v/>
      </c>
      <c r="B190" s="10">
        <f>IFERROR(INDEX(BDS(Database!$A190&amp;" HK Equity","EQUITY_OFFERINGS","array=t","endcol=1"),MATCH("IPO",BDS(Database!$A190&amp;" HK Equity","EQUITY_OFFERINGS","array=t","startcol=2","endcol=2"),0)),"")</f>
        <v/>
      </c>
      <c r="C190" s="186">
        <f>IF($B190="","",IFERROR(BDP($B190&amp;" Action","CP036"),""))</f>
        <v/>
      </c>
      <c r="D190" s="187">
        <f>Database!S190</f>
        <v/>
      </c>
      <c r="E190" s="186">
        <f>IF($B190="","",IFERROR(BDP($B190&amp;" Action","CP037"),""))</f>
        <v/>
      </c>
      <c r="F190" s="187">
        <f>Database!T190</f>
        <v/>
      </c>
      <c r="G190" s="186">
        <f>IF($B190="","",IFERROR(BDP($B190&amp;" Action","GREENSHOE_FACILITY"),""))</f>
        <v/>
      </c>
      <c r="H190" s="186">
        <f>IF($B190="","",IFERROR(BDP($B190&amp;" Action","OFFERING_GREENSHOE_SHARES_EX"),""))</f>
        <v/>
      </c>
      <c r="I190" s="17">
        <f>Database!AE190</f>
        <v/>
      </c>
      <c r="J190" s="24">
        <f>IFERROR(BDP(Database!$A190&amp;" HK Equity","PE_RATIO"),"")</f>
        <v/>
      </c>
      <c r="K190" s="10">
        <f>IFERROR(BDP(Database!$A190&amp;" HK Equity","A/H_SHARE_CONVERSION"),"")</f>
        <v/>
      </c>
      <c r="L190" s="17">
        <f>IF(Database!BM190="","(none found)",Database!BM190)</f>
        <v/>
      </c>
      <c r="M190" s="19">
        <f>IFERROR(BDH(Database!$A190&amp;" HK Equity","CUR_MKT_CAP",Database!$H190,Database!$H190),"")</f>
        <v/>
      </c>
      <c r="N190" s="180">
        <f>Database!Q190</f>
        <v/>
      </c>
      <c r="O190" s="24">
        <f>IFERROR(BDH(Database!$A190&amp;" HK Equity","PE_RATIO",Database!$H190,Database!$H190),"")</f>
        <v/>
      </c>
      <c r="P190" s="184">
        <f>IF(Database!BG190="","(n/m or not derivable)",Database!BG190)</f>
        <v/>
      </c>
      <c r="Q190" s="24">
        <f>IF(Database!BM190="","",IFERROR(BDH(LEFT(Database!BM190,FIND(".",Database!BM190)-1)&amp;" CH Equity","PE_RATIO",Database!$H190,Database!$H190),""))</f>
        <v/>
      </c>
      <c r="R190" s="24">
        <f>IF(Database!BM190="","",IFERROR(BDH("HSAHP Index","PX_LAST",Database!$H190,Database!$H190),""))</f>
        <v/>
      </c>
      <c r="S190" s="24">
        <f>IFERROR(BDP(Database!$A190&amp;" HK Equity","PX_TO_SALES_RATIO"),"")</f>
        <v/>
      </c>
      <c r="T190" s="19">
        <f>IF(Database!BM190="","",IFERROR(BDP(LEFT(Database!BM190,FIND(".",Database!BM190)-1)&amp;" CH Equity","CUR_MKT_CAP"),""))</f>
        <v/>
      </c>
    </row>
    <row r="191">
      <c r="A191" s="17">
        <f>Database!A191&amp;"  "&amp;Database!B191</f>
        <v/>
      </c>
      <c r="B191" s="10">
        <f>IFERROR(INDEX(BDS(Database!$A191&amp;" HK Equity","EQUITY_OFFERINGS","array=t","endcol=1"),MATCH("IPO",BDS(Database!$A191&amp;" HK Equity","EQUITY_OFFERINGS","array=t","startcol=2","endcol=2"),0)),"")</f>
        <v/>
      </c>
      <c r="C191" s="186">
        <f>IF($B191="","",IFERROR(BDP($B191&amp;" Action","CP036"),""))</f>
        <v/>
      </c>
      <c r="D191" s="187">
        <f>Database!S191</f>
        <v/>
      </c>
      <c r="E191" s="186">
        <f>IF($B191="","",IFERROR(BDP($B191&amp;" Action","CP037"),""))</f>
        <v/>
      </c>
      <c r="F191" s="187">
        <f>Database!T191</f>
        <v/>
      </c>
      <c r="G191" s="186">
        <f>IF($B191="","",IFERROR(BDP($B191&amp;" Action","GREENSHOE_FACILITY"),""))</f>
        <v/>
      </c>
      <c r="H191" s="186">
        <f>IF($B191="","",IFERROR(BDP($B191&amp;" Action","OFFERING_GREENSHOE_SHARES_EX"),""))</f>
        <v/>
      </c>
      <c r="I191" s="17">
        <f>Database!AE191</f>
        <v/>
      </c>
      <c r="J191" s="24">
        <f>IFERROR(BDP(Database!$A191&amp;" HK Equity","PE_RATIO"),"")</f>
        <v/>
      </c>
      <c r="K191" s="10">
        <f>IFERROR(BDP(Database!$A191&amp;" HK Equity","A/H_SHARE_CONVERSION"),"")</f>
        <v/>
      </c>
      <c r="L191" s="17">
        <f>IF(Database!BM191="","(none found)",Database!BM191)</f>
        <v/>
      </c>
      <c r="M191" s="19">
        <f>IFERROR(BDH(Database!$A191&amp;" HK Equity","CUR_MKT_CAP",Database!$H191,Database!$H191),"")</f>
        <v/>
      </c>
      <c r="N191" s="180">
        <f>Database!Q191</f>
        <v/>
      </c>
      <c r="O191" s="24">
        <f>IFERROR(BDH(Database!$A191&amp;" HK Equity","PE_RATIO",Database!$H191,Database!$H191),"")</f>
        <v/>
      </c>
      <c r="P191" s="184">
        <f>IF(Database!BG191="","(n/m or not derivable)",Database!BG191)</f>
        <v/>
      </c>
      <c r="Q191" s="24">
        <f>IF(Database!BM191="","",IFERROR(BDH(LEFT(Database!BM191,FIND(".",Database!BM191)-1)&amp;" CH Equity","PE_RATIO",Database!$H191,Database!$H191),""))</f>
        <v/>
      </c>
      <c r="R191" s="24">
        <f>IF(Database!BM191="","",IFERROR(BDH("HSAHP Index","PX_LAST",Database!$H191,Database!$H191),""))</f>
        <v/>
      </c>
      <c r="S191" s="24">
        <f>IFERROR(BDP(Database!$A191&amp;" HK Equity","PX_TO_SALES_RATIO"),"")</f>
        <v/>
      </c>
      <c r="T191" s="19">
        <f>IF(Database!BM191="","",IFERROR(BDP(LEFT(Database!BM191,FIND(".",Database!BM191)-1)&amp;" CH Equity","CUR_MKT_CAP"),""))</f>
        <v/>
      </c>
    </row>
    <row r="192">
      <c r="A192" s="17">
        <f>Database!A192&amp;"  "&amp;Database!B192</f>
        <v/>
      </c>
      <c r="B192" s="10">
        <f>IFERROR(INDEX(BDS(Database!$A192&amp;" HK Equity","EQUITY_OFFERINGS","array=t","endcol=1"),MATCH("IPO",BDS(Database!$A192&amp;" HK Equity","EQUITY_OFFERINGS","array=t","startcol=2","endcol=2"),0)),"")</f>
        <v/>
      </c>
      <c r="C192" s="186">
        <f>IF($B192="","",IFERROR(BDP($B192&amp;" Action","CP036"),""))</f>
        <v/>
      </c>
      <c r="D192" s="187">
        <f>Database!S192</f>
        <v/>
      </c>
      <c r="E192" s="186">
        <f>IF($B192="","",IFERROR(BDP($B192&amp;" Action","CP037"),""))</f>
        <v/>
      </c>
      <c r="F192" s="187">
        <f>Database!T192</f>
        <v/>
      </c>
      <c r="G192" s="186">
        <f>IF($B192="","",IFERROR(BDP($B192&amp;" Action","GREENSHOE_FACILITY"),""))</f>
        <v/>
      </c>
      <c r="H192" s="186">
        <f>IF($B192="","",IFERROR(BDP($B192&amp;" Action","OFFERING_GREENSHOE_SHARES_EX"),""))</f>
        <v/>
      </c>
      <c r="I192" s="17">
        <f>Database!AE192</f>
        <v/>
      </c>
      <c r="J192" s="24">
        <f>IFERROR(BDP(Database!$A192&amp;" HK Equity","PE_RATIO"),"")</f>
        <v/>
      </c>
      <c r="K192" s="10">
        <f>IFERROR(BDP(Database!$A192&amp;" HK Equity","A/H_SHARE_CONVERSION"),"")</f>
        <v/>
      </c>
      <c r="L192" s="17">
        <f>IF(Database!BM192="","(none found)",Database!BM192)</f>
        <v/>
      </c>
      <c r="M192" s="19">
        <f>IFERROR(BDH(Database!$A192&amp;" HK Equity","CUR_MKT_CAP",Database!$H192,Database!$H192),"")</f>
        <v/>
      </c>
      <c r="N192" s="180">
        <f>Database!Q192</f>
        <v/>
      </c>
      <c r="O192" s="24">
        <f>IFERROR(BDH(Database!$A192&amp;" HK Equity","PE_RATIO",Database!$H192,Database!$H192),"")</f>
        <v/>
      </c>
      <c r="P192" s="184">
        <f>IF(Database!BG192="","(n/m or not derivable)",Database!BG192)</f>
        <v/>
      </c>
      <c r="Q192" s="24">
        <f>IF(Database!BM192="","",IFERROR(BDH(LEFT(Database!BM192,FIND(".",Database!BM192)-1)&amp;" CH Equity","PE_RATIO",Database!$H192,Database!$H192),""))</f>
        <v/>
      </c>
      <c r="R192" s="24">
        <f>IF(Database!BM192="","",IFERROR(BDH("HSAHP Index","PX_LAST",Database!$H192,Database!$H192),""))</f>
        <v/>
      </c>
      <c r="S192" s="24">
        <f>IFERROR(BDP(Database!$A192&amp;" HK Equity","PX_TO_SALES_RATIO"),"")</f>
        <v/>
      </c>
      <c r="T192" s="19">
        <f>IF(Database!BM192="","",IFERROR(BDP(LEFT(Database!BM192,FIND(".",Database!BM192)-1)&amp;" CH Equity","CUR_MKT_CAP"),""))</f>
        <v/>
      </c>
    </row>
    <row r="193">
      <c r="A193" s="17">
        <f>Database!A193&amp;"  "&amp;Database!B193</f>
        <v/>
      </c>
      <c r="B193" s="10">
        <f>IFERROR(INDEX(BDS(Database!$A193&amp;" HK Equity","EQUITY_OFFERINGS","array=t","endcol=1"),MATCH("IPO",BDS(Database!$A193&amp;" HK Equity","EQUITY_OFFERINGS","array=t","startcol=2","endcol=2"),0)),"")</f>
        <v/>
      </c>
      <c r="C193" s="186">
        <f>IF($B193="","",IFERROR(BDP($B193&amp;" Action","CP036"),""))</f>
        <v/>
      </c>
      <c r="D193" s="187">
        <f>Database!S193</f>
        <v/>
      </c>
      <c r="E193" s="186">
        <f>IF($B193="","",IFERROR(BDP($B193&amp;" Action","CP037"),""))</f>
        <v/>
      </c>
      <c r="F193" s="187">
        <f>Database!T193</f>
        <v/>
      </c>
      <c r="G193" s="186">
        <f>IF($B193="","",IFERROR(BDP($B193&amp;" Action","GREENSHOE_FACILITY"),""))</f>
        <v/>
      </c>
      <c r="H193" s="186">
        <f>IF($B193="","",IFERROR(BDP($B193&amp;" Action","OFFERING_GREENSHOE_SHARES_EX"),""))</f>
        <v/>
      </c>
      <c r="I193" s="17">
        <f>Database!AE193</f>
        <v/>
      </c>
      <c r="J193" s="24">
        <f>IFERROR(BDP(Database!$A193&amp;" HK Equity","PE_RATIO"),"")</f>
        <v/>
      </c>
      <c r="K193" s="10">
        <f>IFERROR(BDP(Database!$A193&amp;" HK Equity","A/H_SHARE_CONVERSION"),"")</f>
        <v/>
      </c>
      <c r="L193" s="17">
        <f>IF(Database!BM193="","(none found)",Database!BM193)</f>
        <v/>
      </c>
      <c r="M193" s="19">
        <f>IFERROR(BDH(Database!$A193&amp;" HK Equity","CUR_MKT_CAP",Database!$H193,Database!$H193),"")</f>
        <v/>
      </c>
      <c r="N193" s="180">
        <f>Database!Q193</f>
        <v/>
      </c>
      <c r="O193" s="24">
        <f>IFERROR(BDH(Database!$A193&amp;" HK Equity","PE_RATIO",Database!$H193,Database!$H193),"")</f>
        <v/>
      </c>
      <c r="P193" s="184">
        <f>IF(Database!BG193="","(n/m or not derivable)",Database!BG193)</f>
        <v/>
      </c>
      <c r="Q193" s="24">
        <f>IF(Database!BM193="","",IFERROR(BDH(LEFT(Database!BM193,FIND(".",Database!BM193)-1)&amp;" CH Equity","PE_RATIO",Database!$H193,Database!$H193),""))</f>
        <v/>
      </c>
      <c r="R193" s="24">
        <f>IF(Database!BM193="","",IFERROR(BDH("HSAHP Index","PX_LAST",Database!$H193,Database!$H193),""))</f>
        <v/>
      </c>
      <c r="S193" s="24">
        <f>IFERROR(BDP(Database!$A193&amp;" HK Equity","PX_TO_SALES_RATIO"),"")</f>
        <v/>
      </c>
      <c r="T193" s="19">
        <f>IF(Database!BM193="","",IFERROR(BDP(LEFT(Database!BM193,FIND(".",Database!BM193)-1)&amp;" CH Equity","CUR_MKT_CAP"),""))</f>
        <v/>
      </c>
    </row>
    <row r="194">
      <c r="A194" s="17">
        <f>Database!A194&amp;"  "&amp;Database!B194</f>
        <v/>
      </c>
      <c r="B194" s="10">
        <f>IFERROR(INDEX(BDS(Database!$A194&amp;" HK Equity","EQUITY_OFFERINGS","array=t","endcol=1"),MATCH("IPO",BDS(Database!$A194&amp;" HK Equity","EQUITY_OFFERINGS","array=t","startcol=2","endcol=2"),0)),"")</f>
        <v/>
      </c>
      <c r="C194" s="186">
        <f>IF($B194="","",IFERROR(BDP($B194&amp;" Action","CP036"),""))</f>
        <v/>
      </c>
      <c r="D194" s="187">
        <f>Database!S194</f>
        <v/>
      </c>
      <c r="E194" s="186">
        <f>IF($B194="","",IFERROR(BDP($B194&amp;" Action","CP037"),""))</f>
        <v/>
      </c>
      <c r="F194" s="187">
        <f>Database!T194</f>
        <v/>
      </c>
      <c r="G194" s="186">
        <f>IF($B194="","",IFERROR(BDP($B194&amp;" Action","GREENSHOE_FACILITY"),""))</f>
        <v/>
      </c>
      <c r="H194" s="186">
        <f>IF($B194="","",IFERROR(BDP($B194&amp;" Action","OFFERING_GREENSHOE_SHARES_EX"),""))</f>
        <v/>
      </c>
      <c r="I194" s="17">
        <f>Database!AE194</f>
        <v/>
      </c>
      <c r="J194" s="24">
        <f>IFERROR(BDP(Database!$A194&amp;" HK Equity","PE_RATIO"),"")</f>
        <v/>
      </c>
      <c r="K194" s="10">
        <f>IFERROR(BDP(Database!$A194&amp;" HK Equity","A/H_SHARE_CONVERSION"),"")</f>
        <v/>
      </c>
      <c r="L194" s="17">
        <f>IF(Database!BM194="","(none found)",Database!BM194)</f>
        <v/>
      </c>
      <c r="M194" s="19">
        <f>IFERROR(BDH(Database!$A194&amp;" HK Equity","CUR_MKT_CAP",Database!$H194,Database!$H194),"")</f>
        <v/>
      </c>
      <c r="N194" s="180">
        <f>Database!Q194</f>
        <v/>
      </c>
      <c r="O194" s="24">
        <f>IFERROR(BDH(Database!$A194&amp;" HK Equity","PE_RATIO",Database!$H194,Database!$H194),"")</f>
        <v/>
      </c>
      <c r="P194" s="184">
        <f>IF(Database!BG194="","(n/m or not derivable)",Database!BG194)</f>
        <v/>
      </c>
      <c r="Q194" s="24">
        <f>IF(Database!BM194="","",IFERROR(BDH(LEFT(Database!BM194,FIND(".",Database!BM194)-1)&amp;" CH Equity","PE_RATIO",Database!$H194,Database!$H194),""))</f>
        <v/>
      </c>
      <c r="R194" s="24">
        <f>IF(Database!BM194="","",IFERROR(BDH("HSAHP Index","PX_LAST",Database!$H194,Database!$H194),""))</f>
        <v/>
      </c>
      <c r="S194" s="24">
        <f>IFERROR(BDP(Database!$A194&amp;" HK Equity","PX_TO_SALES_RATIO"),"")</f>
        <v/>
      </c>
      <c r="T194" s="19">
        <f>IF(Database!BM194="","",IFERROR(BDP(LEFT(Database!BM194,FIND(".",Database!BM194)-1)&amp;" CH Equity","CUR_MKT_CAP"),""))</f>
        <v/>
      </c>
    </row>
    <row r="195">
      <c r="A195" s="17">
        <f>Database!A195&amp;"  "&amp;Database!B195</f>
        <v/>
      </c>
      <c r="B195" s="10">
        <f>IFERROR(INDEX(BDS(Database!$A195&amp;" HK Equity","EQUITY_OFFERINGS","array=t","endcol=1"),MATCH("IPO",BDS(Database!$A195&amp;" HK Equity","EQUITY_OFFERINGS","array=t","startcol=2","endcol=2"),0)),"")</f>
        <v/>
      </c>
      <c r="C195" s="186">
        <f>IF($B195="","",IFERROR(BDP($B195&amp;" Action","CP036"),""))</f>
        <v/>
      </c>
      <c r="D195" s="187">
        <f>Database!S195</f>
        <v/>
      </c>
      <c r="E195" s="186">
        <f>IF($B195="","",IFERROR(BDP($B195&amp;" Action","CP037"),""))</f>
        <v/>
      </c>
      <c r="F195" s="187">
        <f>Database!T195</f>
        <v/>
      </c>
      <c r="G195" s="186">
        <f>IF($B195="","",IFERROR(BDP($B195&amp;" Action","GREENSHOE_FACILITY"),""))</f>
        <v/>
      </c>
      <c r="H195" s="186">
        <f>IF($B195="","",IFERROR(BDP($B195&amp;" Action","OFFERING_GREENSHOE_SHARES_EX"),""))</f>
        <v/>
      </c>
      <c r="I195" s="17">
        <f>Database!AE195</f>
        <v/>
      </c>
      <c r="J195" s="24">
        <f>IFERROR(BDP(Database!$A195&amp;" HK Equity","PE_RATIO"),"")</f>
        <v/>
      </c>
      <c r="K195" s="10">
        <f>IFERROR(BDP(Database!$A195&amp;" HK Equity","A/H_SHARE_CONVERSION"),"")</f>
        <v/>
      </c>
      <c r="L195" s="17">
        <f>IF(Database!BM195="","(none found)",Database!BM195)</f>
        <v/>
      </c>
      <c r="M195" s="19">
        <f>IFERROR(BDH(Database!$A195&amp;" HK Equity","CUR_MKT_CAP",Database!$H195,Database!$H195),"")</f>
        <v/>
      </c>
      <c r="N195" s="180">
        <f>Database!Q195</f>
        <v/>
      </c>
      <c r="O195" s="24">
        <f>IFERROR(BDH(Database!$A195&amp;" HK Equity","PE_RATIO",Database!$H195,Database!$H195),"")</f>
        <v/>
      </c>
      <c r="P195" s="184">
        <f>IF(Database!BG195="","(n/m or not derivable)",Database!BG195)</f>
        <v/>
      </c>
      <c r="Q195" s="24">
        <f>IF(Database!BM195="","",IFERROR(BDH(LEFT(Database!BM195,FIND(".",Database!BM195)-1)&amp;" CH Equity","PE_RATIO",Database!$H195,Database!$H195),""))</f>
        <v/>
      </c>
      <c r="R195" s="24">
        <f>IF(Database!BM195="","",IFERROR(BDH("HSAHP Index","PX_LAST",Database!$H195,Database!$H195),""))</f>
        <v/>
      </c>
      <c r="S195" s="24">
        <f>IFERROR(BDP(Database!$A195&amp;" HK Equity","PX_TO_SALES_RATIO"),"")</f>
        <v/>
      </c>
      <c r="T195" s="19">
        <f>IF(Database!BM195="","",IFERROR(BDP(LEFT(Database!BM195,FIND(".",Database!BM195)-1)&amp;" CH Equity","CUR_MKT_CAP"),""))</f>
        <v/>
      </c>
    </row>
    <row r="196">
      <c r="A196" s="17">
        <f>Database!A196&amp;"  "&amp;Database!B196</f>
        <v/>
      </c>
      <c r="B196" s="10">
        <f>IFERROR(INDEX(BDS(Database!$A196&amp;" HK Equity","EQUITY_OFFERINGS","array=t","endcol=1"),MATCH("IPO",BDS(Database!$A196&amp;" HK Equity","EQUITY_OFFERINGS","array=t","startcol=2","endcol=2"),0)),"")</f>
        <v/>
      </c>
      <c r="C196" s="186">
        <f>IF($B196="","",IFERROR(BDP($B196&amp;" Action","CP036"),""))</f>
        <v/>
      </c>
      <c r="D196" s="187">
        <f>Database!S196</f>
        <v/>
      </c>
      <c r="E196" s="186">
        <f>IF($B196="","",IFERROR(BDP($B196&amp;" Action","CP037"),""))</f>
        <v/>
      </c>
      <c r="F196" s="187">
        <f>Database!T196</f>
        <v/>
      </c>
      <c r="G196" s="186">
        <f>IF($B196="","",IFERROR(BDP($B196&amp;" Action","GREENSHOE_FACILITY"),""))</f>
        <v/>
      </c>
      <c r="H196" s="186">
        <f>IF($B196="","",IFERROR(BDP($B196&amp;" Action","OFFERING_GREENSHOE_SHARES_EX"),""))</f>
        <v/>
      </c>
      <c r="I196" s="17">
        <f>Database!AE196</f>
        <v/>
      </c>
      <c r="J196" s="24">
        <f>IFERROR(BDP(Database!$A196&amp;" HK Equity","PE_RATIO"),"")</f>
        <v/>
      </c>
      <c r="K196" s="10">
        <f>IFERROR(BDP(Database!$A196&amp;" HK Equity","A/H_SHARE_CONVERSION"),"")</f>
        <v/>
      </c>
      <c r="L196" s="17">
        <f>IF(Database!BM196="","(none found)",Database!BM196)</f>
        <v/>
      </c>
      <c r="M196" s="19">
        <f>IFERROR(BDH(Database!$A196&amp;" HK Equity","CUR_MKT_CAP",Database!$H196,Database!$H196),"")</f>
        <v/>
      </c>
      <c r="N196" s="180">
        <f>Database!Q196</f>
        <v/>
      </c>
      <c r="O196" s="24">
        <f>IFERROR(BDH(Database!$A196&amp;" HK Equity","PE_RATIO",Database!$H196,Database!$H196),"")</f>
        <v/>
      </c>
      <c r="P196" s="184">
        <f>IF(Database!BG196="","(n/m or not derivable)",Database!BG196)</f>
        <v/>
      </c>
      <c r="Q196" s="24">
        <f>IF(Database!BM196="","",IFERROR(BDH(LEFT(Database!BM196,FIND(".",Database!BM196)-1)&amp;" CH Equity","PE_RATIO",Database!$H196,Database!$H196),""))</f>
        <v/>
      </c>
      <c r="R196" s="24">
        <f>IF(Database!BM196="","",IFERROR(BDH("HSAHP Index","PX_LAST",Database!$H196,Database!$H196),""))</f>
        <v/>
      </c>
      <c r="S196" s="24">
        <f>IFERROR(BDP(Database!$A196&amp;" HK Equity","PX_TO_SALES_RATIO"),"")</f>
        <v/>
      </c>
      <c r="T196" s="19">
        <f>IF(Database!BM196="","",IFERROR(BDP(LEFT(Database!BM196,FIND(".",Database!BM196)-1)&amp;" CH Equity","CUR_MKT_CAP"),""))</f>
        <v/>
      </c>
    </row>
    <row r="197">
      <c r="A197" s="17">
        <f>Database!A197&amp;"  "&amp;Database!B197</f>
        <v/>
      </c>
      <c r="B197" s="10">
        <f>IFERROR(INDEX(BDS(Database!$A197&amp;" HK Equity","EQUITY_OFFERINGS","array=t","endcol=1"),MATCH("IPO",BDS(Database!$A197&amp;" HK Equity","EQUITY_OFFERINGS","array=t","startcol=2","endcol=2"),0)),"")</f>
        <v/>
      </c>
      <c r="C197" s="186">
        <f>IF($B197="","",IFERROR(BDP($B197&amp;" Action","CP036"),""))</f>
        <v/>
      </c>
      <c r="D197" s="187">
        <f>Database!S197</f>
        <v/>
      </c>
      <c r="E197" s="186">
        <f>IF($B197="","",IFERROR(BDP($B197&amp;" Action","CP037"),""))</f>
        <v/>
      </c>
      <c r="F197" s="187">
        <f>Database!T197</f>
        <v/>
      </c>
      <c r="G197" s="186">
        <f>IF($B197="","",IFERROR(BDP($B197&amp;" Action","GREENSHOE_FACILITY"),""))</f>
        <v/>
      </c>
      <c r="H197" s="186">
        <f>IF($B197="","",IFERROR(BDP($B197&amp;" Action","OFFERING_GREENSHOE_SHARES_EX"),""))</f>
        <v/>
      </c>
      <c r="I197" s="17">
        <f>Database!AE197</f>
        <v/>
      </c>
      <c r="J197" s="24">
        <f>IFERROR(BDP(Database!$A197&amp;" HK Equity","PE_RATIO"),"")</f>
        <v/>
      </c>
      <c r="K197" s="10">
        <f>IFERROR(BDP(Database!$A197&amp;" HK Equity","A/H_SHARE_CONVERSION"),"")</f>
        <v/>
      </c>
      <c r="L197" s="17">
        <f>IF(Database!BM197="","(none found)",Database!BM197)</f>
        <v/>
      </c>
      <c r="M197" s="19">
        <f>IFERROR(BDH(Database!$A197&amp;" HK Equity","CUR_MKT_CAP",Database!$H197,Database!$H197),"")</f>
        <v/>
      </c>
      <c r="N197" s="180">
        <f>Database!Q197</f>
        <v/>
      </c>
      <c r="O197" s="24">
        <f>IFERROR(BDH(Database!$A197&amp;" HK Equity","PE_RATIO",Database!$H197,Database!$H197),"")</f>
        <v/>
      </c>
      <c r="P197" s="184">
        <f>IF(Database!BG197="","(n/m or not derivable)",Database!BG197)</f>
        <v/>
      </c>
      <c r="Q197" s="24">
        <f>IF(Database!BM197="","",IFERROR(BDH(LEFT(Database!BM197,FIND(".",Database!BM197)-1)&amp;" CH Equity","PE_RATIO",Database!$H197,Database!$H197),""))</f>
        <v/>
      </c>
      <c r="R197" s="24">
        <f>IF(Database!BM197="","",IFERROR(BDH("HSAHP Index","PX_LAST",Database!$H197,Database!$H197),""))</f>
        <v/>
      </c>
      <c r="S197" s="24">
        <f>IFERROR(BDP(Database!$A197&amp;" HK Equity","PX_TO_SALES_RATIO"),"")</f>
        <v/>
      </c>
      <c r="T197" s="19">
        <f>IF(Database!BM197="","",IFERROR(BDP(LEFT(Database!BM197,FIND(".",Database!BM197)-1)&amp;" CH Equity","CUR_MKT_CAP"),""))</f>
        <v/>
      </c>
    </row>
    <row r="198">
      <c r="A198" s="17">
        <f>Database!A198&amp;"  "&amp;Database!B198</f>
        <v/>
      </c>
      <c r="B198" s="10">
        <f>IFERROR(INDEX(BDS(Database!$A198&amp;" HK Equity","EQUITY_OFFERINGS","array=t","endcol=1"),MATCH("IPO",BDS(Database!$A198&amp;" HK Equity","EQUITY_OFFERINGS","array=t","startcol=2","endcol=2"),0)),"")</f>
        <v/>
      </c>
      <c r="C198" s="186">
        <f>IF($B198="","",IFERROR(BDP($B198&amp;" Action","CP036"),""))</f>
        <v/>
      </c>
      <c r="D198" s="187">
        <f>Database!S198</f>
        <v/>
      </c>
      <c r="E198" s="186">
        <f>IF($B198="","",IFERROR(BDP($B198&amp;" Action","CP037"),""))</f>
        <v/>
      </c>
      <c r="F198" s="187">
        <f>Database!T198</f>
        <v/>
      </c>
      <c r="G198" s="186">
        <f>IF($B198="","",IFERROR(BDP($B198&amp;" Action","GREENSHOE_FACILITY"),""))</f>
        <v/>
      </c>
      <c r="H198" s="186">
        <f>IF($B198="","",IFERROR(BDP($B198&amp;" Action","OFFERING_GREENSHOE_SHARES_EX"),""))</f>
        <v/>
      </c>
      <c r="I198" s="17">
        <f>Database!AE198</f>
        <v/>
      </c>
      <c r="J198" s="24">
        <f>IFERROR(BDP(Database!$A198&amp;" HK Equity","PE_RATIO"),"")</f>
        <v/>
      </c>
      <c r="K198" s="10">
        <f>IFERROR(BDP(Database!$A198&amp;" HK Equity","A/H_SHARE_CONVERSION"),"")</f>
        <v/>
      </c>
      <c r="L198" s="17">
        <f>IF(Database!BM198="","(none found)",Database!BM198)</f>
        <v/>
      </c>
      <c r="M198" s="19">
        <f>IFERROR(BDH(Database!$A198&amp;" HK Equity","CUR_MKT_CAP",Database!$H198,Database!$H198),"")</f>
        <v/>
      </c>
      <c r="N198" s="180">
        <f>Database!Q198</f>
        <v/>
      </c>
      <c r="O198" s="24">
        <f>IFERROR(BDH(Database!$A198&amp;" HK Equity","PE_RATIO",Database!$H198,Database!$H198),"")</f>
        <v/>
      </c>
      <c r="P198" s="184">
        <f>IF(Database!BG198="","(n/m or not derivable)",Database!BG198)</f>
        <v/>
      </c>
      <c r="Q198" s="24">
        <f>IF(Database!BM198="","",IFERROR(BDH(LEFT(Database!BM198,FIND(".",Database!BM198)-1)&amp;" CH Equity","PE_RATIO",Database!$H198,Database!$H198),""))</f>
        <v/>
      </c>
      <c r="R198" s="24">
        <f>IF(Database!BM198="","",IFERROR(BDH("HSAHP Index","PX_LAST",Database!$H198,Database!$H198),""))</f>
        <v/>
      </c>
      <c r="S198" s="24">
        <f>IFERROR(BDP(Database!$A198&amp;" HK Equity","PX_TO_SALES_RATIO"),"")</f>
        <v/>
      </c>
      <c r="T198" s="19">
        <f>IF(Database!BM198="","",IFERROR(BDP(LEFT(Database!BM198,FIND(".",Database!BM198)-1)&amp;" CH Equity","CUR_MKT_CAP"),""))</f>
        <v/>
      </c>
    </row>
    <row r="199">
      <c r="A199" s="17">
        <f>Database!A199&amp;"  "&amp;Database!B199</f>
        <v/>
      </c>
      <c r="B199" s="10">
        <f>IFERROR(INDEX(BDS(Database!$A199&amp;" HK Equity","EQUITY_OFFERINGS","array=t","endcol=1"),MATCH("IPO",BDS(Database!$A199&amp;" HK Equity","EQUITY_OFFERINGS","array=t","startcol=2","endcol=2"),0)),"")</f>
        <v/>
      </c>
      <c r="C199" s="186">
        <f>IF($B199="","",IFERROR(BDP($B199&amp;" Action","CP036"),""))</f>
        <v/>
      </c>
      <c r="D199" s="187">
        <f>Database!S199</f>
        <v/>
      </c>
      <c r="E199" s="186">
        <f>IF($B199="","",IFERROR(BDP($B199&amp;" Action","CP037"),""))</f>
        <v/>
      </c>
      <c r="F199" s="187">
        <f>Database!T199</f>
        <v/>
      </c>
      <c r="G199" s="186">
        <f>IF($B199="","",IFERROR(BDP($B199&amp;" Action","GREENSHOE_FACILITY"),""))</f>
        <v/>
      </c>
      <c r="H199" s="186">
        <f>IF($B199="","",IFERROR(BDP($B199&amp;" Action","OFFERING_GREENSHOE_SHARES_EX"),""))</f>
        <v/>
      </c>
      <c r="I199" s="17">
        <f>Database!AE199</f>
        <v/>
      </c>
      <c r="J199" s="24">
        <f>IFERROR(BDP(Database!$A199&amp;" HK Equity","PE_RATIO"),"")</f>
        <v/>
      </c>
      <c r="K199" s="10">
        <f>IFERROR(BDP(Database!$A199&amp;" HK Equity","A/H_SHARE_CONVERSION"),"")</f>
        <v/>
      </c>
      <c r="L199" s="17">
        <f>IF(Database!BM199="","(none found)",Database!BM199)</f>
        <v/>
      </c>
      <c r="M199" s="19">
        <f>IFERROR(BDH(Database!$A199&amp;" HK Equity","CUR_MKT_CAP",Database!$H199,Database!$H199),"")</f>
        <v/>
      </c>
      <c r="N199" s="180">
        <f>Database!Q199</f>
        <v/>
      </c>
      <c r="O199" s="24">
        <f>IFERROR(BDH(Database!$A199&amp;" HK Equity","PE_RATIO",Database!$H199,Database!$H199),"")</f>
        <v/>
      </c>
      <c r="P199" s="184">
        <f>IF(Database!BG199="","(n/m or not derivable)",Database!BG199)</f>
        <v/>
      </c>
      <c r="Q199" s="24">
        <f>IF(Database!BM199="","",IFERROR(BDH(LEFT(Database!BM199,FIND(".",Database!BM199)-1)&amp;" CH Equity","PE_RATIO",Database!$H199,Database!$H199),""))</f>
        <v/>
      </c>
      <c r="R199" s="24">
        <f>IF(Database!BM199="","",IFERROR(BDH("HSAHP Index","PX_LAST",Database!$H199,Database!$H199),""))</f>
        <v/>
      </c>
      <c r="S199" s="24">
        <f>IFERROR(BDP(Database!$A199&amp;" HK Equity","PX_TO_SALES_RATIO"),"")</f>
        <v/>
      </c>
      <c r="T199" s="19">
        <f>IF(Database!BM199="","",IFERROR(BDP(LEFT(Database!BM199,FIND(".",Database!BM199)-1)&amp;" CH Equity","CUR_MKT_CAP"),""))</f>
        <v/>
      </c>
    </row>
    <row r="200">
      <c r="A200" s="17">
        <f>Database!A200&amp;"  "&amp;Database!B200</f>
        <v/>
      </c>
      <c r="B200" s="10">
        <f>IFERROR(INDEX(BDS(Database!$A200&amp;" HK Equity","EQUITY_OFFERINGS","array=t","endcol=1"),MATCH("IPO",BDS(Database!$A200&amp;" HK Equity","EQUITY_OFFERINGS","array=t","startcol=2","endcol=2"),0)),"")</f>
        <v/>
      </c>
      <c r="C200" s="186">
        <f>IF($B200="","",IFERROR(BDP($B200&amp;" Action","CP036"),""))</f>
        <v/>
      </c>
      <c r="D200" s="187">
        <f>Database!S200</f>
        <v/>
      </c>
      <c r="E200" s="186">
        <f>IF($B200="","",IFERROR(BDP($B200&amp;" Action","CP037"),""))</f>
        <v/>
      </c>
      <c r="F200" s="187">
        <f>Database!T200</f>
        <v/>
      </c>
      <c r="G200" s="186">
        <f>IF($B200="","",IFERROR(BDP($B200&amp;" Action","GREENSHOE_FACILITY"),""))</f>
        <v/>
      </c>
      <c r="H200" s="186">
        <f>IF($B200="","",IFERROR(BDP($B200&amp;" Action","OFFERING_GREENSHOE_SHARES_EX"),""))</f>
        <v/>
      </c>
      <c r="I200" s="17">
        <f>Database!AE200</f>
        <v/>
      </c>
      <c r="J200" s="24">
        <f>IFERROR(BDP(Database!$A200&amp;" HK Equity","PE_RATIO"),"")</f>
        <v/>
      </c>
      <c r="K200" s="10">
        <f>IFERROR(BDP(Database!$A200&amp;" HK Equity","A/H_SHARE_CONVERSION"),"")</f>
        <v/>
      </c>
      <c r="L200" s="17">
        <f>IF(Database!BM200="","(none found)",Database!BM200)</f>
        <v/>
      </c>
      <c r="M200" s="19">
        <f>IFERROR(BDH(Database!$A200&amp;" HK Equity","CUR_MKT_CAP",Database!$H200,Database!$H200),"")</f>
        <v/>
      </c>
      <c r="N200" s="180">
        <f>Database!Q200</f>
        <v/>
      </c>
      <c r="O200" s="24">
        <f>IFERROR(BDH(Database!$A200&amp;" HK Equity","PE_RATIO",Database!$H200,Database!$H200),"")</f>
        <v/>
      </c>
      <c r="P200" s="184">
        <f>IF(Database!BG200="","(n/m or not derivable)",Database!BG200)</f>
        <v/>
      </c>
      <c r="Q200" s="24">
        <f>IF(Database!BM200="","",IFERROR(BDH(LEFT(Database!BM200,FIND(".",Database!BM200)-1)&amp;" CH Equity","PE_RATIO",Database!$H200,Database!$H200),""))</f>
        <v/>
      </c>
      <c r="R200" s="24">
        <f>IF(Database!BM200="","",IFERROR(BDH("HSAHP Index","PX_LAST",Database!$H200,Database!$H200),""))</f>
        <v/>
      </c>
      <c r="S200" s="24">
        <f>IFERROR(BDP(Database!$A200&amp;" HK Equity","PX_TO_SALES_RATIO"),"")</f>
        <v/>
      </c>
      <c r="T200" s="19">
        <f>IF(Database!BM200="","",IFERROR(BDP(LEFT(Database!BM200,FIND(".",Database!BM200)-1)&amp;" CH Equity","CUR_MKT_CAP"),""))</f>
        <v/>
      </c>
    </row>
    <row r="201">
      <c r="A201" s="17">
        <f>Database!A201&amp;"  "&amp;Database!B201</f>
        <v/>
      </c>
      <c r="B201" s="10">
        <f>IFERROR(INDEX(BDS(Database!$A201&amp;" HK Equity","EQUITY_OFFERINGS","array=t","endcol=1"),MATCH("IPO",BDS(Database!$A201&amp;" HK Equity","EQUITY_OFFERINGS","array=t","startcol=2","endcol=2"),0)),"")</f>
        <v/>
      </c>
      <c r="C201" s="186">
        <f>IF($B201="","",IFERROR(BDP($B201&amp;" Action","CP036"),""))</f>
        <v/>
      </c>
      <c r="D201" s="187">
        <f>Database!S201</f>
        <v/>
      </c>
      <c r="E201" s="186">
        <f>IF($B201="","",IFERROR(BDP($B201&amp;" Action","CP037"),""))</f>
        <v/>
      </c>
      <c r="F201" s="187">
        <f>Database!T201</f>
        <v/>
      </c>
      <c r="G201" s="186">
        <f>IF($B201="","",IFERROR(BDP($B201&amp;" Action","GREENSHOE_FACILITY"),""))</f>
        <v/>
      </c>
      <c r="H201" s="186">
        <f>IF($B201="","",IFERROR(BDP($B201&amp;" Action","OFFERING_GREENSHOE_SHARES_EX"),""))</f>
        <v/>
      </c>
      <c r="I201" s="17">
        <f>Database!AE201</f>
        <v/>
      </c>
      <c r="J201" s="24">
        <f>IFERROR(BDP(Database!$A201&amp;" HK Equity","PE_RATIO"),"")</f>
        <v/>
      </c>
      <c r="K201" s="10">
        <f>IFERROR(BDP(Database!$A201&amp;" HK Equity","A/H_SHARE_CONVERSION"),"")</f>
        <v/>
      </c>
      <c r="L201" s="17">
        <f>IF(Database!BM201="","(none found)",Database!BM201)</f>
        <v/>
      </c>
      <c r="M201" s="19">
        <f>IFERROR(BDH(Database!$A201&amp;" HK Equity","CUR_MKT_CAP",Database!$H201,Database!$H201),"")</f>
        <v/>
      </c>
      <c r="N201" s="180">
        <f>Database!Q201</f>
        <v/>
      </c>
      <c r="O201" s="24">
        <f>IFERROR(BDH(Database!$A201&amp;" HK Equity","PE_RATIO",Database!$H201,Database!$H201),"")</f>
        <v/>
      </c>
      <c r="P201" s="184">
        <f>IF(Database!BG201="","(n/m or not derivable)",Database!BG201)</f>
        <v/>
      </c>
      <c r="Q201" s="24">
        <f>IF(Database!BM201="","",IFERROR(BDH(LEFT(Database!BM201,FIND(".",Database!BM201)-1)&amp;" CH Equity","PE_RATIO",Database!$H201,Database!$H201),""))</f>
        <v/>
      </c>
      <c r="R201" s="24">
        <f>IF(Database!BM201="","",IFERROR(BDH("HSAHP Index","PX_LAST",Database!$H201,Database!$H201),""))</f>
        <v/>
      </c>
      <c r="S201" s="24">
        <f>IFERROR(BDP(Database!$A201&amp;" HK Equity","PX_TO_SALES_RATIO"),"")</f>
        <v/>
      </c>
      <c r="T201" s="19">
        <f>IF(Database!BM201="","",IFERROR(BDP(LEFT(Database!BM201,FIND(".",Database!BM201)-1)&amp;" CH Equity","CUR_MKT_CAP"),""))</f>
        <v/>
      </c>
    </row>
    <row r="202">
      <c r="A202" s="17">
        <f>Database!A202&amp;"  "&amp;Database!B202</f>
        <v/>
      </c>
      <c r="B202" s="10">
        <f>IFERROR(INDEX(BDS(Database!$A202&amp;" HK Equity","EQUITY_OFFERINGS","array=t","endcol=1"),MATCH("IPO",BDS(Database!$A202&amp;" HK Equity","EQUITY_OFFERINGS","array=t","startcol=2","endcol=2"),0)),"")</f>
        <v/>
      </c>
      <c r="C202" s="186">
        <f>IF($B202="","",IFERROR(BDP($B202&amp;" Action","CP036"),""))</f>
        <v/>
      </c>
      <c r="D202" s="187">
        <f>Database!S202</f>
        <v/>
      </c>
      <c r="E202" s="186">
        <f>IF($B202="","",IFERROR(BDP($B202&amp;" Action","CP037"),""))</f>
        <v/>
      </c>
      <c r="F202" s="187">
        <f>Database!T202</f>
        <v/>
      </c>
      <c r="G202" s="186">
        <f>IF($B202="","",IFERROR(BDP($B202&amp;" Action","GREENSHOE_FACILITY"),""))</f>
        <v/>
      </c>
      <c r="H202" s="186">
        <f>IF($B202="","",IFERROR(BDP($B202&amp;" Action","OFFERING_GREENSHOE_SHARES_EX"),""))</f>
        <v/>
      </c>
      <c r="I202" s="17">
        <f>Database!AE202</f>
        <v/>
      </c>
      <c r="J202" s="24">
        <f>IFERROR(BDP(Database!$A202&amp;" HK Equity","PE_RATIO"),"")</f>
        <v/>
      </c>
      <c r="K202" s="10">
        <f>IFERROR(BDP(Database!$A202&amp;" HK Equity","A/H_SHARE_CONVERSION"),"")</f>
        <v/>
      </c>
      <c r="L202" s="17">
        <f>IF(Database!BM202="","(none found)",Database!BM202)</f>
        <v/>
      </c>
      <c r="M202" s="19">
        <f>IFERROR(BDH(Database!$A202&amp;" HK Equity","CUR_MKT_CAP",Database!$H202,Database!$H202),"")</f>
        <v/>
      </c>
      <c r="N202" s="180">
        <f>Database!Q202</f>
        <v/>
      </c>
      <c r="O202" s="24">
        <f>IFERROR(BDH(Database!$A202&amp;" HK Equity","PE_RATIO",Database!$H202,Database!$H202),"")</f>
        <v/>
      </c>
      <c r="P202" s="184">
        <f>IF(Database!BG202="","(n/m or not derivable)",Database!BG202)</f>
        <v/>
      </c>
      <c r="Q202" s="24">
        <f>IF(Database!BM202="","",IFERROR(BDH(LEFT(Database!BM202,FIND(".",Database!BM202)-1)&amp;" CH Equity","PE_RATIO",Database!$H202,Database!$H202),""))</f>
        <v/>
      </c>
      <c r="R202" s="24">
        <f>IF(Database!BM202="","",IFERROR(BDH("HSAHP Index","PX_LAST",Database!$H202,Database!$H202),""))</f>
        <v/>
      </c>
      <c r="S202" s="24">
        <f>IFERROR(BDP(Database!$A202&amp;" HK Equity","PX_TO_SALES_RATIO"),"")</f>
        <v/>
      </c>
      <c r="T202" s="19">
        <f>IF(Database!BM202="","",IFERROR(BDP(LEFT(Database!BM202,FIND(".",Database!BM202)-1)&amp;" CH Equity","CUR_MKT_CAP"),""))</f>
        <v/>
      </c>
    </row>
    <row r="203">
      <c r="A203" s="17">
        <f>Database!A203&amp;"  "&amp;Database!B203</f>
        <v/>
      </c>
      <c r="B203" s="10">
        <f>IFERROR(INDEX(BDS(Database!$A203&amp;" HK Equity","EQUITY_OFFERINGS","array=t","endcol=1"),MATCH("IPO",BDS(Database!$A203&amp;" HK Equity","EQUITY_OFFERINGS","array=t","startcol=2","endcol=2"),0)),"")</f>
        <v/>
      </c>
      <c r="C203" s="186">
        <f>IF($B203="","",IFERROR(BDP($B203&amp;" Action","CP036"),""))</f>
        <v/>
      </c>
      <c r="D203" s="187">
        <f>Database!S203</f>
        <v/>
      </c>
      <c r="E203" s="186">
        <f>IF($B203="","",IFERROR(BDP($B203&amp;" Action","CP037"),""))</f>
        <v/>
      </c>
      <c r="F203" s="187">
        <f>Database!T203</f>
        <v/>
      </c>
      <c r="G203" s="186">
        <f>IF($B203="","",IFERROR(BDP($B203&amp;" Action","GREENSHOE_FACILITY"),""))</f>
        <v/>
      </c>
      <c r="H203" s="186">
        <f>IF($B203="","",IFERROR(BDP($B203&amp;" Action","OFFERING_GREENSHOE_SHARES_EX"),""))</f>
        <v/>
      </c>
      <c r="I203" s="17">
        <f>Database!AE203</f>
        <v/>
      </c>
      <c r="J203" s="24">
        <f>IFERROR(BDP(Database!$A203&amp;" HK Equity","PE_RATIO"),"")</f>
        <v/>
      </c>
      <c r="K203" s="10">
        <f>IFERROR(BDP(Database!$A203&amp;" HK Equity","A/H_SHARE_CONVERSION"),"")</f>
        <v/>
      </c>
      <c r="L203" s="17">
        <f>IF(Database!BM203="","(none found)",Database!BM203)</f>
        <v/>
      </c>
      <c r="M203" s="19">
        <f>IFERROR(BDH(Database!$A203&amp;" HK Equity","CUR_MKT_CAP",Database!$H203,Database!$H203),"")</f>
        <v/>
      </c>
      <c r="N203" s="180">
        <f>Database!Q203</f>
        <v/>
      </c>
      <c r="O203" s="24">
        <f>IFERROR(BDH(Database!$A203&amp;" HK Equity","PE_RATIO",Database!$H203,Database!$H203),"")</f>
        <v/>
      </c>
      <c r="P203" s="184">
        <f>IF(Database!BG203="","(n/m or not derivable)",Database!BG203)</f>
        <v/>
      </c>
      <c r="Q203" s="24">
        <f>IF(Database!BM203="","",IFERROR(BDH(LEFT(Database!BM203,FIND(".",Database!BM203)-1)&amp;" CH Equity","PE_RATIO",Database!$H203,Database!$H203),""))</f>
        <v/>
      </c>
      <c r="R203" s="24">
        <f>IF(Database!BM203="","",IFERROR(BDH("HSAHP Index","PX_LAST",Database!$H203,Database!$H203),""))</f>
        <v/>
      </c>
      <c r="S203" s="24">
        <f>IFERROR(BDP(Database!$A203&amp;" HK Equity","PX_TO_SALES_RATIO"),"")</f>
        <v/>
      </c>
      <c r="T203" s="19">
        <f>IF(Database!BM203="","",IFERROR(BDP(LEFT(Database!BM203,FIND(".",Database!BM203)-1)&amp;" CH Equity","CUR_MKT_CAP"),""))</f>
        <v/>
      </c>
    </row>
    <row r="204">
      <c r="A204" s="17">
        <f>Database!A204&amp;"  "&amp;Database!B204</f>
        <v/>
      </c>
      <c r="B204" s="10">
        <f>IFERROR(INDEX(BDS(Database!$A204&amp;" HK Equity","EQUITY_OFFERINGS","array=t","endcol=1"),MATCH("IPO",BDS(Database!$A204&amp;" HK Equity","EQUITY_OFFERINGS","array=t","startcol=2","endcol=2"),0)),"")</f>
        <v/>
      </c>
      <c r="C204" s="186">
        <f>IF($B204="","",IFERROR(BDP($B204&amp;" Action","CP036"),""))</f>
        <v/>
      </c>
      <c r="D204" s="187">
        <f>Database!S204</f>
        <v/>
      </c>
      <c r="E204" s="186">
        <f>IF($B204="","",IFERROR(BDP($B204&amp;" Action","CP037"),""))</f>
        <v/>
      </c>
      <c r="F204" s="187">
        <f>Database!T204</f>
        <v/>
      </c>
      <c r="G204" s="186">
        <f>IF($B204="","",IFERROR(BDP($B204&amp;" Action","GREENSHOE_FACILITY"),""))</f>
        <v/>
      </c>
      <c r="H204" s="186">
        <f>IF($B204="","",IFERROR(BDP($B204&amp;" Action","OFFERING_GREENSHOE_SHARES_EX"),""))</f>
        <v/>
      </c>
      <c r="I204" s="17">
        <f>Database!AE204</f>
        <v/>
      </c>
      <c r="J204" s="24">
        <f>IFERROR(BDP(Database!$A204&amp;" HK Equity","PE_RATIO"),"")</f>
        <v/>
      </c>
      <c r="K204" s="10">
        <f>IFERROR(BDP(Database!$A204&amp;" HK Equity","A/H_SHARE_CONVERSION"),"")</f>
        <v/>
      </c>
      <c r="L204" s="17">
        <f>IF(Database!BM204="","(none found)",Database!BM204)</f>
        <v/>
      </c>
      <c r="M204" s="19">
        <f>IFERROR(BDH(Database!$A204&amp;" HK Equity","CUR_MKT_CAP",Database!$H204,Database!$H204),"")</f>
        <v/>
      </c>
      <c r="N204" s="180">
        <f>Database!Q204</f>
        <v/>
      </c>
      <c r="O204" s="24">
        <f>IFERROR(BDH(Database!$A204&amp;" HK Equity","PE_RATIO",Database!$H204,Database!$H204),"")</f>
        <v/>
      </c>
      <c r="P204" s="184">
        <f>IF(Database!BG204="","(n/m or not derivable)",Database!BG204)</f>
        <v/>
      </c>
      <c r="Q204" s="24">
        <f>IF(Database!BM204="","",IFERROR(BDH(LEFT(Database!BM204,FIND(".",Database!BM204)-1)&amp;" CH Equity","PE_RATIO",Database!$H204,Database!$H204),""))</f>
        <v/>
      </c>
      <c r="R204" s="24">
        <f>IF(Database!BM204="","",IFERROR(BDH("HSAHP Index","PX_LAST",Database!$H204,Database!$H204),""))</f>
        <v/>
      </c>
      <c r="S204" s="24">
        <f>IFERROR(BDP(Database!$A204&amp;" HK Equity","PX_TO_SALES_RATIO"),"")</f>
        <v/>
      </c>
      <c r="T204" s="19">
        <f>IF(Database!BM204="","",IFERROR(BDP(LEFT(Database!BM204,FIND(".",Database!BM204)-1)&amp;" CH Equity","CUR_MKT_CAP"),""))</f>
        <v/>
      </c>
    </row>
    <row r="205">
      <c r="A205" s="17">
        <f>Database!A205&amp;"  "&amp;Database!B205</f>
        <v/>
      </c>
      <c r="B205" s="10">
        <f>IFERROR(INDEX(BDS(Database!$A205&amp;" HK Equity","EQUITY_OFFERINGS","array=t","endcol=1"),MATCH("IPO",BDS(Database!$A205&amp;" HK Equity","EQUITY_OFFERINGS","array=t","startcol=2","endcol=2"),0)),"")</f>
        <v/>
      </c>
      <c r="C205" s="186">
        <f>IF($B205="","",IFERROR(BDP($B205&amp;" Action","CP036"),""))</f>
        <v/>
      </c>
      <c r="D205" s="187">
        <f>Database!S205</f>
        <v/>
      </c>
      <c r="E205" s="186">
        <f>IF($B205="","",IFERROR(BDP($B205&amp;" Action","CP037"),""))</f>
        <v/>
      </c>
      <c r="F205" s="187">
        <f>Database!T205</f>
        <v/>
      </c>
      <c r="G205" s="186">
        <f>IF($B205="","",IFERROR(BDP($B205&amp;" Action","GREENSHOE_FACILITY"),""))</f>
        <v/>
      </c>
      <c r="H205" s="186">
        <f>IF($B205="","",IFERROR(BDP($B205&amp;" Action","OFFERING_GREENSHOE_SHARES_EX"),""))</f>
        <v/>
      </c>
      <c r="I205" s="17">
        <f>Database!AE205</f>
        <v/>
      </c>
      <c r="J205" s="24">
        <f>IFERROR(BDP(Database!$A205&amp;" HK Equity","PE_RATIO"),"")</f>
        <v/>
      </c>
      <c r="K205" s="10">
        <f>IFERROR(BDP(Database!$A205&amp;" HK Equity","A/H_SHARE_CONVERSION"),"")</f>
        <v/>
      </c>
      <c r="L205" s="17">
        <f>IF(Database!BM205="","(none found)",Database!BM205)</f>
        <v/>
      </c>
      <c r="M205" s="19">
        <f>IFERROR(BDH(Database!$A205&amp;" HK Equity","CUR_MKT_CAP",Database!$H205,Database!$H205),"")</f>
        <v/>
      </c>
      <c r="N205" s="180">
        <f>Database!Q205</f>
        <v/>
      </c>
      <c r="O205" s="24">
        <f>IFERROR(BDH(Database!$A205&amp;" HK Equity","PE_RATIO",Database!$H205,Database!$H205),"")</f>
        <v/>
      </c>
      <c r="P205" s="184">
        <f>IF(Database!BG205="","(n/m or not derivable)",Database!BG205)</f>
        <v/>
      </c>
      <c r="Q205" s="24">
        <f>IF(Database!BM205="","",IFERROR(BDH(LEFT(Database!BM205,FIND(".",Database!BM205)-1)&amp;" CH Equity","PE_RATIO",Database!$H205,Database!$H205),""))</f>
        <v/>
      </c>
      <c r="R205" s="24">
        <f>IF(Database!BM205="","",IFERROR(BDH("HSAHP Index","PX_LAST",Database!$H205,Database!$H205),""))</f>
        <v/>
      </c>
      <c r="S205" s="24">
        <f>IFERROR(BDP(Database!$A205&amp;" HK Equity","PX_TO_SALES_RATIO"),"")</f>
        <v/>
      </c>
      <c r="T205" s="19">
        <f>IF(Database!BM205="","",IFERROR(BDP(LEFT(Database!BM205,FIND(".",Database!BM205)-1)&amp;" CH Equity","CUR_MKT_CAP"),""))</f>
        <v/>
      </c>
    </row>
    <row r="206">
      <c r="A206" s="17">
        <f>Database!A206&amp;"  "&amp;Database!B206</f>
        <v/>
      </c>
      <c r="B206" s="10">
        <f>IFERROR(INDEX(BDS(Database!$A206&amp;" HK Equity","EQUITY_OFFERINGS","array=t","endcol=1"),MATCH("IPO",BDS(Database!$A206&amp;" HK Equity","EQUITY_OFFERINGS","array=t","startcol=2","endcol=2"),0)),"")</f>
        <v/>
      </c>
      <c r="C206" s="186">
        <f>IF($B206="","",IFERROR(BDP($B206&amp;" Action","CP036"),""))</f>
        <v/>
      </c>
      <c r="D206" s="187">
        <f>Database!S206</f>
        <v/>
      </c>
      <c r="E206" s="186">
        <f>IF($B206="","",IFERROR(BDP($B206&amp;" Action","CP037"),""))</f>
        <v/>
      </c>
      <c r="F206" s="187">
        <f>Database!T206</f>
        <v/>
      </c>
      <c r="G206" s="186">
        <f>IF($B206="","",IFERROR(BDP($B206&amp;" Action","GREENSHOE_FACILITY"),""))</f>
        <v/>
      </c>
      <c r="H206" s="186">
        <f>IF($B206="","",IFERROR(BDP($B206&amp;" Action","OFFERING_GREENSHOE_SHARES_EX"),""))</f>
        <v/>
      </c>
      <c r="I206" s="17">
        <f>Database!AE206</f>
        <v/>
      </c>
      <c r="J206" s="24">
        <f>IFERROR(BDP(Database!$A206&amp;" HK Equity","PE_RATIO"),"")</f>
        <v/>
      </c>
      <c r="K206" s="10">
        <f>IFERROR(BDP(Database!$A206&amp;" HK Equity","A/H_SHARE_CONVERSION"),"")</f>
        <v/>
      </c>
      <c r="L206" s="17">
        <f>IF(Database!BM206="","(none found)",Database!BM206)</f>
        <v/>
      </c>
      <c r="M206" s="19">
        <f>IFERROR(BDH(Database!$A206&amp;" HK Equity","CUR_MKT_CAP",Database!$H206,Database!$H206),"")</f>
        <v/>
      </c>
      <c r="N206" s="180">
        <f>Database!Q206</f>
        <v/>
      </c>
      <c r="O206" s="24">
        <f>IFERROR(BDH(Database!$A206&amp;" HK Equity","PE_RATIO",Database!$H206,Database!$H206),"")</f>
        <v/>
      </c>
      <c r="P206" s="184">
        <f>IF(Database!BG206="","(n/m or not derivable)",Database!BG206)</f>
        <v/>
      </c>
      <c r="Q206" s="24">
        <f>IF(Database!BM206="","",IFERROR(BDH(LEFT(Database!BM206,FIND(".",Database!BM206)-1)&amp;" CH Equity","PE_RATIO",Database!$H206,Database!$H206),""))</f>
        <v/>
      </c>
      <c r="R206" s="24">
        <f>IF(Database!BM206="","",IFERROR(BDH("HSAHP Index","PX_LAST",Database!$H206,Database!$H206),""))</f>
        <v/>
      </c>
      <c r="S206" s="24">
        <f>IFERROR(BDP(Database!$A206&amp;" HK Equity","PX_TO_SALES_RATIO"),"")</f>
        <v/>
      </c>
      <c r="T206" s="19">
        <f>IF(Database!BM206="","",IFERROR(BDP(LEFT(Database!BM206,FIND(".",Database!BM206)-1)&amp;" CH Equity","CUR_MKT_CAP"),""))</f>
        <v/>
      </c>
    </row>
    <row r="207">
      <c r="A207" s="17">
        <f>Database!A207&amp;"  "&amp;Database!B207</f>
        <v/>
      </c>
      <c r="B207" s="10">
        <f>IFERROR(INDEX(BDS(Database!$A207&amp;" HK Equity","EQUITY_OFFERINGS","array=t","endcol=1"),MATCH("IPO",BDS(Database!$A207&amp;" HK Equity","EQUITY_OFFERINGS","array=t","startcol=2","endcol=2"),0)),"")</f>
        <v/>
      </c>
      <c r="C207" s="186">
        <f>IF($B207="","",IFERROR(BDP($B207&amp;" Action","CP036"),""))</f>
        <v/>
      </c>
      <c r="D207" s="187">
        <f>Database!S207</f>
        <v/>
      </c>
      <c r="E207" s="186">
        <f>IF($B207="","",IFERROR(BDP($B207&amp;" Action","CP037"),""))</f>
        <v/>
      </c>
      <c r="F207" s="187">
        <f>Database!T207</f>
        <v/>
      </c>
      <c r="G207" s="186">
        <f>IF($B207="","",IFERROR(BDP($B207&amp;" Action","GREENSHOE_FACILITY"),""))</f>
        <v/>
      </c>
      <c r="H207" s="186">
        <f>IF($B207="","",IFERROR(BDP($B207&amp;" Action","OFFERING_GREENSHOE_SHARES_EX"),""))</f>
        <v/>
      </c>
      <c r="I207" s="17">
        <f>Database!AE207</f>
        <v/>
      </c>
      <c r="J207" s="24">
        <f>IFERROR(BDP(Database!$A207&amp;" HK Equity","PE_RATIO"),"")</f>
        <v/>
      </c>
      <c r="K207" s="10">
        <f>IFERROR(BDP(Database!$A207&amp;" HK Equity","A/H_SHARE_CONVERSION"),"")</f>
        <v/>
      </c>
      <c r="L207" s="17">
        <f>IF(Database!BM207="","(none found)",Database!BM207)</f>
        <v/>
      </c>
      <c r="M207" s="19">
        <f>IFERROR(BDH(Database!$A207&amp;" HK Equity","CUR_MKT_CAP",Database!$H207,Database!$H207),"")</f>
        <v/>
      </c>
      <c r="N207" s="180">
        <f>Database!Q207</f>
        <v/>
      </c>
      <c r="O207" s="24">
        <f>IFERROR(BDH(Database!$A207&amp;" HK Equity","PE_RATIO",Database!$H207,Database!$H207),"")</f>
        <v/>
      </c>
      <c r="P207" s="184">
        <f>IF(Database!BG207="","(n/m or not derivable)",Database!BG207)</f>
        <v/>
      </c>
      <c r="Q207" s="24">
        <f>IF(Database!BM207="","",IFERROR(BDH(LEFT(Database!BM207,FIND(".",Database!BM207)-1)&amp;" CH Equity","PE_RATIO",Database!$H207,Database!$H207),""))</f>
        <v/>
      </c>
      <c r="R207" s="24">
        <f>IF(Database!BM207="","",IFERROR(BDH("HSAHP Index","PX_LAST",Database!$H207,Database!$H207),""))</f>
        <v/>
      </c>
      <c r="S207" s="24">
        <f>IFERROR(BDP(Database!$A207&amp;" HK Equity","PX_TO_SALES_RATIO"),"")</f>
        <v/>
      </c>
      <c r="T207" s="19">
        <f>IF(Database!BM207="","",IFERROR(BDP(LEFT(Database!BM207,FIND(".",Database!BM207)-1)&amp;" CH Equity","CUR_MKT_CAP"),""))</f>
        <v/>
      </c>
    </row>
    <row r="208">
      <c r="A208" s="17">
        <f>Database!A208&amp;"  "&amp;Database!B208</f>
        <v/>
      </c>
      <c r="B208" s="10">
        <f>IFERROR(INDEX(BDS(Database!$A208&amp;" HK Equity","EQUITY_OFFERINGS","array=t","endcol=1"),MATCH("IPO",BDS(Database!$A208&amp;" HK Equity","EQUITY_OFFERINGS","array=t","startcol=2","endcol=2"),0)),"")</f>
        <v/>
      </c>
      <c r="C208" s="186">
        <f>IF($B208="","",IFERROR(BDP($B208&amp;" Action","CP036"),""))</f>
        <v/>
      </c>
      <c r="D208" s="187">
        <f>Database!S208</f>
        <v/>
      </c>
      <c r="E208" s="186">
        <f>IF($B208="","",IFERROR(BDP($B208&amp;" Action","CP037"),""))</f>
        <v/>
      </c>
      <c r="F208" s="187">
        <f>Database!T208</f>
        <v/>
      </c>
      <c r="G208" s="186">
        <f>IF($B208="","",IFERROR(BDP($B208&amp;" Action","GREENSHOE_FACILITY"),""))</f>
        <v/>
      </c>
      <c r="H208" s="186">
        <f>IF($B208="","",IFERROR(BDP($B208&amp;" Action","OFFERING_GREENSHOE_SHARES_EX"),""))</f>
        <v/>
      </c>
      <c r="I208" s="17">
        <f>Database!AE208</f>
        <v/>
      </c>
      <c r="J208" s="24">
        <f>IFERROR(BDP(Database!$A208&amp;" HK Equity","PE_RATIO"),"")</f>
        <v/>
      </c>
      <c r="K208" s="10">
        <f>IFERROR(BDP(Database!$A208&amp;" HK Equity","A/H_SHARE_CONVERSION"),"")</f>
        <v/>
      </c>
      <c r="L208" s="17">
        <f>IF(Database!BM208="","(none found)",Database!BM208)</f>
        <v/>
      </c>
      <c r="M208" s="19">
        <f>IFERROR(BDH(Database!$A208&amp;" HK Equity","CUR_MKT_CAP",Database!$H208,Database!$H208),"")</f>
        <v/>
      </c>
      <c r="N208" s="180">
        <f>Database!Q208</f>
        <v/>
      </c>
      <c r="O208" s="24">
        <f>IFERROR(BDH(Database!$A208&amp;" HK Equity","PE_RATIO",Database!$H208,Database!$H208),"")</f>
        <v/>
      </c>
      <c r="P208" s="184">
        <f>IF(Database!BG208="","(n/m or not derivable)",Database!BG208)</f>
        <v/>
      </c>
      <c r="Q208" s="24">
        <f>IF(Database!BM208="","",IFERROR(BDH(LEFT(Database!BM208,FIND(".",Database!BM208)-1)&amp;" CH Equity","PE_RATIO",Database!$H208,Database!$H208),""))</f>
        <v/>
      </c>
      <c r="R208" s="24">
        <f>IF(Database!BM208="","",IFERROR(BDH("HSAHP Index","PX_LAST",Database!$H208,Database!$H208),""))</f>
        <v/>
      </c>
      <c r="S208" s="24">
        <f>IFERROR(BDP(Database!$A208&amp;" HK Equity","PX_TO_SALES_RATIO"),"")</f>
        <v/>
      </c>
      <c r="T208" s="19">
        <f>IF(Database!BM208="","",IFERROR(BDP(LEFT(Database!BM208,FIND(".",Database!BM208)-1)&amp;" CH Equity","CUR_MKT_CAP"),""))</f>
        <v/>
      </c>
    </row>
    <row r="209">
      <c r="A209" s="17">
        <f>Database!A209&amp;"  "&amp;Database!B209</f>
        <v/>
      </c>
      <c r="B209" s="10">
        <f>IFERROR(INDEX(BDS(Database!$A209&amp;" HK Equity","EQUITY_OFFERINGS","array=t","endcol=1"),MATCH("IPO",BDS(Database!$A209&amp;" HK Equity","EQUITY_OFFERINGS","array=t","startcol=2","endcol=2"),0)),"")</f>
        <v/>
      </c>
      <c r="C209" s="186">
        <f>IF($B209="","",IFERROR(BDP($B209&amp;" Action","CP036"),""))</f>
        <v/>
      </c>
      <c r="D209" s="187">
        <f>Database!S209</f>
        <v/>
      </c>
      <c r="E209" s="186">
        <f>IF($B209="","",IFERROR(BDP($B209&amp;" Action","CP037"),""))</f>
        <v/>
      </c>
      <c r="F209" s="187">
        <f>Database!T209</f>
        <v/>
      </c>
      <c r="G209" s="186">
        <f>IF($B209="","",IFERROR(BDP($B209&amp;" Action","GREENSHOE_FACILITY"),""))</f>
        <v/>
      </c>
      <c r="H209" s="186">
        <f>IF($B209="","",IFERROR(BDP($B209&amp;" Action","OFFERING_GREENSHOE_SHARES_EX"),""))</f>
        <v/>
      </c>
      <c r="I209" s="17">
        <f>Database!AE209</f>
        <v/>
      </c>
      <c r="J209" s="24">
        <f>IFERROR(BDP(Database!$A209&amp;" HK Equity","PE_RATIO"),"")</f>
        <v/>
      </c>
      <c r="K209" s="10">
        <f>IFERROR(BDP(Database!$A209&amp;" HK Equity","A/H_SHARE_CONVERSION"),"")</f>
        <v/>
      </c>
      <c r="L209" s="17">
        <f>IF(Database!BM209="","(none found)",Database!BM209)</f>
        <v/>
      </c>
      <c r="M209" s="19">
        <f>IFERROR(BDH(Database!$A209&amp;" HK Equity","CUR_MKT_CAP",Database!$H209,Database!$H209),"")</f>
        <v/>
      </c>
      <c r="N209" s="180">
        <f>Database!Q209</f>
        <v/>
      </c>
      <c r="O209" s="24">
        <f>IFERROR(BDH(Database!$A209&amp;" HK Equity","PE_RATIO",Database!$H209,Database!$H209),"")</f>
        <v/>
      </c>
      <c r="P209" s="184">
        <f>IF(Database!BG209="","(n/m or not derivable)",Database!BG209)</f>
        <v/>
      </c>
      <c r="Q209" s="24">
        <f>IF(Database!BM209="","",IFERROR(BDH(LEFT(Database!BM209,FIND(".",Database!BM209)-1)&amp;" CH Equity","PE_RATIO",Database!$H209,Database!$H209),""))</f>
        <v/>
      </c>
      <c r="R209" s="24">
        <f>IF(Database!BM209="","",IFERROR(BDH("HSAHP Index","PX_LAST",Database!$H209,Database!$H209),""))</f>
        <v/>
      </c>
      <c r="S209" s="24">
        <f>IFERROR(BDP(Database!$A209&amp;" HK Equity","PX_TO_SALES_RATIO"),"")</f>
        <v/>
      </c>
      <c r="T209" s="19">
        <f>IF(Database!BM209="","",IFERROR(BDP(LEFT(Database!BM209,FIND(".",Database!BM209)-1)&amp;" CH Equity","CUR_MKT_CAP"),""))</f>
        <v/>
      </c>
    </row>
    <row r="210">
      <c r="A210" s="17">
        <f>Database!A210&amp;"  "&amp;Database!B210</f>
        <v/>
      </c>
      <c r="B210" s="10">
        <f>IFERROR(INDEX(BDS(Database!$A210&amp;" HK Equity","EQUITY_OFFERINGS","array=t","endcol=1"),MATCH("IPO",BDS(Database!$A210&amp;" HK Equity","EQUITY_OFFERINGS","array=t","startcol=2","endcol=2"),0)),"")</f>
        <v/>
      </c>
      <c r="C210" s="186">
        <f>IF($B210="","",IFERROR(BDP($B210&amp;" Action","CP036"),""))</f>
        <v/>
      </c>
      <c r="D210" s="187">
        <f>Database!S210</f>
        <v/>
      </c>
      <c r="E210" s="186">
        <f>IF($B210="","",IFERROR(BDP($B210&amp;" Action","CP037"),""))</f>
        <v/>
      </c>
      <c r="F210" s="187">
        <f>Database!T210</f>
        <v/>
      </c>
      <c r="G210" s="186">
        <f>IF($B210="","",IFERROR(BDP($B210&amp;" Action","GREENSHOE_FACILITY"),""))</f>
        <v/>
      </c>
      <c r="H210" s="186">
        <f>IF($B210="","",IFERROR(BDP($B210&amp;" Action","OFFERING_GREENSHOE_SHARES_EX"),""))</f>
        <v/>
      </c>
      <c r="I210" s="17">
        <f>Database!AE210</f>
        <v/>
      </c>
      <c r="J210" s="24">
        <f>IFERROR(BDP(Database!$A210&amp;" HK Equity","PE_RATIO"),"")</f>
        <v/>
      </c>
      <c r="K210" s="10">
        <f>IFERROR(BDP(Database!$A210&amp;" HK Equity","A/H_SHARE_CONVERSION"),"")</f>
        <v/>
      </c>
      <c r="L210" s="17">
        <f>IF(Database!BM210="","(none found)",Database!BM210)</f>
        <v/>
      </c>
      <c r="M210" s="19">
        <f>IFERROR(BDH(Database!$A210&amp;" HK Equity","CUR_MKT_CAP",Database!$H210,Database!$H210),"")</f>
        <v/>
      </c>
      <c r="N210" s="180">
        <f>Database!Q210</f>
        <v/>
      </c>
      <c r="O210" s="24">
        <f>IFERROR(BDH(Database!$A210&amp;" HK Equity","PE_RATIO",Database!$H210,Database!$H210),"")</f>
        <v/>
      </c>
      <c r="P210" s="184">
        <f>IF(Database!BG210="","(n/m or not derivable)",Database!BG210)</f>
        <v/>
      </c>
      <c r="Q210" s="24">
        <f>IF(Database!BM210="","",IFERROR(BDH(LEFT(Database!BM210,FIND(".",Database!BM210)-1)&amp;" CH Equity","PE_RATIO",Database!$H210,Database!$H210),""))</f>
        <v/>
      </c>
      <c r="R210" s="24">
        <f>IF(Database!BM210="","",IFERROR(BDH("HSAHP Index","PX_LAST",Database!$H210,Database!$H210),""))</f>
        <v/>
      </c>
      <c r="S210" s="24">
        <f>IFERROR(BDP(Database!$A210&amp;" HK Equity","PX_TO_SALES_RATIO"),"")</f>
        <v/>
      </c>
      <c r="T210" s="19">
        <f>IF(Database!BM210="","",IFERROR(BDP(LEFT(Database!BM210,FIND(".",Database!BM210)-1)&amp;" CH Equity","CUR_MKT_CAP"),""))</f>
        <v/>
      </c>
    </row>
    <row r="211">
      <c r="A211" s="17">
        <f>Database!A211&amp;"  "&amp;Database!B211</f>
        <v/>
      </c>
      <c r="B211" s="10">
        <f>IFERROR(INDEX(BDS(Database!$A211&amp;" HK Equity","EQUITY_OFFERINGS","array=t","endcol=1"),MATCH("IPO",BDS(Database!$A211&amp;" HK Equity","EQUITY_OFFERINGS","array=t","startcol=2","endcol=2"),0)),"")</f>
        <v/>
      </c>
      <c r="C211" s="186">
        <f>IF($B211="","",IFERROR(BDP($B211&amp;" Action","CP036"),""))</f>
        <v/>
      </c>
      <c r="D211" s="187">
        <f>Database!S211</f>
        <v/>
      </c>
      <c r="E211" s="186">
        <f>IF($B211="","",IFERROR(BDP($B211&amp;" Action","CP037"),""))</f>
        <v/>
      </c>
      <c r="F211" s="187">
        <f>Database!T211</f>
        <v/>
      </c>
      <c r="G211" s="186">
        <f>IF($B211="","",IFERROR(BDP($B211&amp;" Action","GREENSHOE_FACILITY"),""))</f>
        <v/>
      </c>
      <c r="H211" s="186">
        <f>IF($B211="","",IFERROR(BDP($B211&amp;" Action","OFFERING_GREENSHOE_SHARES_EX"),""))</f>
        <v/>
      </c>
      <c r="I211" s="17">
        <f>Database!AE211</f>
        <v/>
      </c>
      <c r="J211" s="24">
        <f>IFERROR(BDP(Database!$A211&amp;" HK Equity","PE_RATIO"),"")</f>
        <v/>
      </c>
      <c r="K211" s="10">
        <f>IFERROR(BDP(Database!$A211&amp;" HK Equity","A/H_SHARE_CONVERSION"),"")</f>
        <v/>
      </c>
      <c r="L211" s="17">
        <f>IF(Database!BM211="","(none found)",Database!BM211)</f>
        <v/>
      </c>
      <c r="M211" s="19">
        <f>IFERROR(BDH(Database!$A211&amp;" HK Equity","CUR_MKT_CAP",Database!$H211,Database!$H211),"")</f>
        <v/>
      </c>
      <c r="N211" s="180">
        <f>Database!Q211</f>
        <v/>
      </c>
      <c r="O211" s="24">
        <f>IFERROR(BDH(Database!$A211&amp;" HK Equity","PE_RATIO",Database!$H211,Database!$H211),"")</f>
        <v/>
      </c>
      <c r="P211" s="184">
        <f>IF(Database!BG211="","(n/m or not derivable)",Database!BG211)</f>
        <v/>
      </c>
      <c r="Q211" s="24">
        <f>IF(Database!BM211="","",IFERROR(BDH(LEFT(Database!BM211,FIND(".",Database!BM211)-1)&amp;" CH Equity","PE_RATIO",Database!$H211,Database!$H211),""))</f>
        <v/>
      </c>
      <c r="R211" s="24">
        <f>IF(Database!BM211="","",IFERROR(BDH("HSAHP Index","PX_LAST",Database!$H211,Database!$H211),""))</f>
        <v/>
      </c>
      <c r="S211" s="24">
        <f>IFERROR(BDP(Database!$A211&amp;" HK Equity","PX_TO_SALES_RATIO"),"")</f>
        <v/>
      </c>
      <c r="T211" s="19">
        <f>IF(Database!BM211="","",IFERROR(BDP(LEFT(Database!BM211,FIND(".",Database!BM211)-1)&amp;" CH Equity","CUR_MKT_CAP"),""))</f>
        <v/>
      </c>
    </row>
    <row r="212">
      <c r="A212" s="17">
        <f>Database!A212&amp;"  "&amp;Database!B212</f>
        <v/>
      </c>
      <c r="B212" s="10">
        <f>IFERROR(INDEX(BDS(Database!$A212&amp;" HK Equity","EQUITY_OFFERINGS","array=t","endcol=1"),MATCH("IPO",BDS(Database!$A212&amp;" HK Equity","EQUITY_OFFERINGS","array=t","startcol=2","endcol=2"),0)),"")</f>
        <v/>
      </c>
      <c r="C212" s="186">
        <f>IF($B212="","",IFERROR(BDP($B212&amp;" Action","CP036"),""))</f>
        <v/>
      </c>
      <c r="D212" s="187">
        <f>Database!S212</f>
        <v/>
      </c>
      <c r="E212" s="186">
        <f>IF($B212="","",IFERROR(BDP($B212&amp;" Action","CP037"),""))</f>
        <v/>
      </c>
      <c r="F212" s="187">
        <f>Database!T212</f>
        <v/>
      </c>
      <c r="G212" s="186">
        <f>IF($B212="","",IFERROR(BDP($B212&amp;" Action","GREENSHOE_FACILITY"),""))</f>
        <v/>
      </c>
      <c r="H212" s="186">
        <f>IF($B212="","",IFERROR(BDP($B212&amp;" Action","OFFERING_GREENSHOE_SHARES_EX"),""))</f>
        <v/>
      </c>
      <c r="I212" s="17">
        <f>Database!AE212</f>
        <v/>
      </c>
      <c r="J212" s="24">
        <f>IFERROR(BDP(Database!$A212&amp;" HK Equity","PE_RATIO"),"")</f>
        <v/>
      </c>
      <c r="K212" s="10">
        <f>IFERROR(BDP(Database!$A212&amp;" HK Equity","A/H_SHARE_CONVERSION"),"")</f>
        <v/>
      </c>
      <c r="L212" s="17">
        <f>IF(Database!BM212="","(none found)",Database!BM212)</f>
        <v/>
      </c>
      <c r="M212" s="19">
        <f>IFERROR(BDH(Database!$A212&amp;" HK Equity","CUR_MKT_CAP",Database!$H212,Database!$H212),"")</f>
        <v/>
      </c>
      <c r="N212" s="180">
        <f>Database!Q212</f>
        <v/>
      </c>
      <c r="O212" s="24">
        <f>IFERROR(BDH(Database!$A212&amp;" HK Equity","PE_RATIO",Database!$H212,Database!$H212),"")</f>
        <v/>
      </c>
      <c r="P212" s="184">
        <f>IF(Database!BG212="","(n/m or not derivable)",Database!BG212)</f>
        <v/>
      </c>
      <c r="Q212" s="24">
        <f>IF(Database!BM212="","",IFERROR(BDH(LEFT(Database!BM212,FIND(".",Database!BM212)-1)&amp;" CH Equity","PE_RATIO",Database!$H212,Database!$H212),""))</f>
        <v/>
      </c>
      <c r="R212" s="24">
        <f>IF(Database!BM212="","",IFERROR(BDH("HSAHP Index","PX_LAST",Database!$H212,Database!$H212),""))</f>
        <v/>
      </c>
      <c r="S212" s="24">
        <f>IFERROR(BDP(Database!$A212&amp;" HK Equity","PX_TO_SALES_RATIO"),"")</f>
        <v/>
      </c>
      <c r="T212" s="19">
        <f>IF(Database!BM212="","",IFERROR(BDP(LEFT(Database!BM212,FIND(".",Database!BM212)-1)&amp;" CH Equity","CUR_MKT_CAP"),""))</f>
        <v/>
      </c>
    </row>
    <row r="213">
      <c r="A213" s="17">
        <f>Database!A213&amp;"  "&amp;Database!B213</f>
        <v/>
      </c>
      <c r="B213" s="10">
        <f>IFERROR(INDEX(BDS(Database!$A213&amp;" HK Equity","EQUITY_OFFERINGS","array=t","endcol=1"),MATCH("IPO",BDS(Database!$A213&amp;" HK Equity","EQUITY_OFFERINGS","array=t","startcol=2","endcol=2"),0)),"")</f>
        <v/>
      </c>
      <c r="C213" s="186">
        <f>IF($B213="","",IFERROR(BDP($B213&amp;" Action","CP036"),""))</f>
        <v/>
      </c>
      <c r="D213" s="187">
        <f>Database!S213</f>
        <v/>
      </c>
      <c r="E213" s="186">
        <f>IF($B213="","",IFERROR(BDP($B213&amp;" Action","CP037"),""))</f>
        <v/>
      </c>
      <c r="F213" s="187">
        <f>Database!T213</f>
        <v/>
      </c>
      <c r="G213" s="186">
        <f>IF($B213="","",IFERROR(BDP($B213&amp;" Action","GREENSHOE_FACILITY"),""))</f>
        <v/>
      </c>
      <c r="H213" s="186">
        <f>IF($B213="","",IFERROR(BDP($B213&amp;" Action","OFFERING_GREENSHOE_SHARES_EX"),""))</f>
        <v/>
      </c>
      <c r="I213" s="17">
        <f>Database!AE213</f>
        <v/>
      </c>
      <c r="J213" s="24">
        <f>IFERROR(BDP(Database!$A213&amp;" HK Equity","PE_RATIO"),"")</f>
        <v/>
      </c>
      <c r="K213" s="10">
        <f>IFERROR(BDP(Database!$A213&amp;" HK Equity","A/H_SHARE_CONVERSION"),"")</f>
        <v/>
      </c>
      <c r="L213" s="17">
        <f>IF(Database!BM213="","(none found)",Database!BM213)</f>
        <v/>
      </c>
      <c r="M213" s="19">
        <f>IFERROR(BDH(Database!$A213&amp;" HK Equity","CUR_MKT_CAP",Database!$H213,Database!$H213),"")</f>
        <v/>
      </c>
      <c r="N213" s="180">
        <f>Database!Q213</f>
        <v/>
      </c>
      <c r="O213" s="24">
        <f>IFERROR(BDH(Database!$A213&amp;" HK Equity","PE_RATIO",Database!$H213,Database!$H213),"")</f>
        <v/>
      </c>
      <c r="P213" s="184">
        <f>IF(Database!BG213="","(n/m or not derivable)",Database!BG213)</f>
        <v/>
      </c>
      <c r="Q213" s="24">
        <f>IF(Database!BM213="","",IFERROR(BDH(LEFT(Database!BM213,FIND(".",Database!BM213)-1)&amp;" CH Equity","PE_RATIO",Database!$H213,Database!$H213),""))</f>
        <v/>
      </c>
      <c r="R213" s="24">
        <f>IF(Database!BM213="","",IFERROR(BDH("HSAHP Index","PX_LAST",Database!$H213,Database!$H213),""))</f>
        <v/>
      </c>
      <c r="S213" s="24">
        <f>IFERROR(BDP(Database!$A213&amp;" HK Equity","PX_TO_SALES_RATIO"),"")</f>
        <v/>
      </c>
      <c r="T213" s="19">
        <f>IF(Database!BM213="","",IFERROR(BDP(LEFT(Database!BM213,FIND(".",Database!BM213)-1)&amp;" CH Equity","CUR_MKT_CAP"),""))</f>
        <v/>
      </c>
    </row>
    <row r="214">
      <c r="A214" s="17">
        <f>Database!A214&amp;"  "&amp;Database!B214</f>
        <v/>
      </c>
      <c r="B214" s="10">
        <f>IFERROR(INDEX(BDS(Database!$A214&amp;" HK Equity","EQUITY_OFFERINGS","array=t","endcol=1"),MATCH("IPO",BDS(Database!$A214&amp;" HK Equity","EQUITY_OFFERINGS","array=t","startcol=2","endcol=2"),0)),"")</f>
        <v/>
      </c>
      <c r="C214" s="186">
        <f>IF($B214="","",IFERROR(BDP($B214&amp;" Action","CP036"),""))</f>
        <v/>
      </c>
      <c r="D214" s="187">
        <f>Database!S214</f>
        <v/>
      </c>
      <c r="E214" s="186">
        <f>IF($B214="","",IFERROR(BDP($B214&amp;" Action","CP037"),""))</f>
        <v/>
      </c>
      <c r="F214" s="187">
        <f>Database!T214</f>
        <v/>
      </c>
      <c r="G214" s="186">
        <f>IF($B214="","",IFERROR(BDP($B214&amp;" Action","GREENSHOE_FACILITY"),""))</f>
        <v/>
      </c>
      <c r="H214" s="186">
        <f>IF($B214="","",IFERROR(BDP($B214&amp;" Action","OFFERING_GREENSHOE_SHARES_EX"),""))</f>
        <v/>
      </c>
      <c r="I214" s="17">
        <f>Database!AE214</f>
        <v/>
      </c>
      <c r="J214" s="24">
        <f>IFERROR(BDP(Database!$A214&amp;" HK Equity","PE_RATIO"),"")</f>
        <v/>
      </c>
      <c r="K214" s="10">
        <f>IFERROR(BDP(Database!$A214&amp;" HK Equity","A/H_SHARE_CONVERSION"),"")</f>
        <v/>
      </c>
      <c r="L214" s="17">
        <f>IF(Database!BM214="","(none found)",Database!BM214)</f>
        <v/>
      </c>
      <c r="M214" s="19">
        <f>IFERROR(BDH(Database!$A214&amp;" HK Equity","CUR_MKT_CAP",Database!$H214,Database!$H214),"")</f>
        <v/>
      </c>
      <c r="N214" s="180">
        <f>Database!Q214</f>
        <v/>
      </c>
      <c r="O214" s="24">
        <f>IFERROR(BDH(Database!$A214&amp;" HK Equity","PE_RATIO",Database!$H214,Database!$H214),"")</f>
        <v/>
      </c>
      <c r="P214" s="184">
        <f>IF(Database!BG214="","(n/m or not derivable)",Database!BG214)</f>
        <v/>
      </c>
      <c r="Q214" s="24">
        <f>IF(Database!BM214="","",IFERROR(BDH(LEFT(Database!BM214,FIND(".",Database!BM214)-1)&amp;" CH Equity","PE_RATIO",Database!$H214,Database!$H214),""))</f>
        <v/>
      </c>
      <c r="R214" s="24">
        <f>IF(Database!BM214="","",IFERROR(BDH("HSAHP Index","PX_LAST",Database!$H214,Database!$H214),""))</f>
        <v/>
      </c>
      <c r="S214" s="24">
        <f>IFERROR(BDP(Database!$A214&amp;" HK Equity","PX_TO_SALES_RATIO"),"")</f>
        <v/>
      </c>
      <c r="T214" s="19">
        <f>IF(Database!BM214="","",IFERROR(BDP(LEFT(Database!BM214,FIND(".",Database!BM214)-1)&amp;" CH Equity","CUR_MKT_CAP"),""))</f>
        <v/>
      </c>
    </row>
    <row r="215">
      <c r="A215" s="17">
        <f>Database!A215&amp;"  "&amp;Database!B215</f>
        <v/>
      </c>
      <c r="B215" s="10">
        <f>IFERROR(INDEX(BDS(Database!$A215&amp;" HK Equity","EQUITY_OFFERINGS","array=t","endcol=1"),MATCH("IPO",BDS(Database!$A215&amp;" HK Equity","EQUITY_OFFERINGS","array=t","startcol=2","endcol=2"),0)),"")</f>
        <v/>
      </c>
      <c r="C215" s="186">
        <f>IF($B215="","",IFERROR(BDP($B215&amp;" Action","CP036"),""))</f>
        <v/>
      </c>
      <c r="D215" s="187">
        <f>Database!S215</f>
        <v/>
      </c>
      <c r="E215" s="186">
        <f>IF($B215="","",IFERROR(BDP($B215&amp;" Action","CP037"),""))</f>
        <v/>
      </c>
      <c r="F215" s="187">
        <f>Database!T215</f>
        <v/>
      </c>
      <c r="G215" s="186">
        <f>IF($B215="","",IFERROR(BDP($B215&amp;" Action","GREENSHOE_FACILITY"),""))</f>
        <v/>
      </c>
      <c r="H215" s="186">
        <f>IF($B215="","",IFERROR(BDP($B215&amp;" Action","OFFERING_GREENSHOE_SHARES_EX"),""))</f>
        <v/>
      </c>
      <c r="I215" s="17">
        <f>Database!AE215</f>
        <v/>
      </c>
      <c r="J215" s="24">
        <f>IFERROR(BDP(Database!$A215&amp;" HK Equity","PE_RATIO"),"")</f>
        <v/>
      </c>
      <c r="K215" s="10">
        <f>IFERROR(BDP(Database!$A215&amp;" HK Equity","A/H_SHARE_CONVERSION"),"")</f>
        <v/>
      </c>
      <c r="L215" s="17">
        <f>IF(Database!BM215="","(none found)",Database!BM215)</f>
        <v/>
      </c>
      <c r="M215" s="19">
        <f>IFERROR(BDH(Database!$A215&amp;" HK Equity","CUR_MKT_CAP",Database!$H215,Database!$H215),"")</f>
        <v/>
      </c>
      <c r="N215" s="180">
        <f>Database!Q215</f>
        <v/>
      </c>
      <c r="O215" s="24">
        <f>IFERROR(BDH(Database!$A215&amp;" HK Equity","PE_RATIO",Database!$H215,Database!$H215),"")</f>
        <v/>
      </c>
      <c r="P215" s="184">
        <f>IF(Database!BG215="","(n/m or not derivable)",Database!BG215)</f>
        <v/>
      </c>
      <c r="Q215" s="24">
        <f>IF(Database!BM215="","",IFERROR(BDH(LEFT(Database!BM215,FIND(".",Database!BM215)-1)&amp;" CH Equity","PE_RATIO",Database!$H215,Database!$H215),""))</f>
        <v/>
      </c>
      <c r="R215" s="24">
        <f>IF(Database!BM215="","",IFERROR(BDH("HSAHP Index","PX_LAST",Database!$H215,Database!$H215),""))</f>
        <v/>
      </c>
      <c r="S215" s="24">
        <f>IFERROR(BDP(Database!$A215&amp;" HK Equity","PX_TO_SALES_RATIO"),"")</f>
        <v/>
      </c>
      <c r="T215" s="19">
        <f>IF(Database!BM215="","",IFERROR(BDP(LEFT(Database!BM215,FIND(".",Database!BM215)-1)&amp;" CH Equity","CUR_MKT_CAP"),""))</f>
        <v/>
      </c>
    </row>
    <row r="216">
      <c r="A216" s="17">
        <f>Database!A216&amp;"  "&amp;Database!B216</f>
        <v/>
      </c>
      <c r="B216" s="10">
        <f>IFERROR(INDEX(BDS(Database!$A216&amp;" HK Equity","EQUITY_OFFERINGS","array=t","endcol=1"),MATCH("IPO",BDS(Database!$A216&amp;" HK Equity","EQUITY_OFFERINGS","array=t","startcol=2","endcol=2"),0)),"")</f>
        <v/>
      </c>
      <c r="C216" s="186">
        <f>IF($B216="","",IFERROR(BDP($B216&amp;" Action","CP036"),""))</f>
        <v/>
      </c>
      <c r="D216" s="187">
        <f>Database!S216</f>
        <v/>
      </c>
      <c r="E216" s="186">
        <f>IF($B216="","",IFERROR(BDP($B216&amp;" Action","CP037"),""))</f>
        <v/>
      </c>
      <c r="F216" s="187">
        <f>Database!T216</f>
        <v/>
      </c>
      <c r="G216" s="186">
        <f>IF($B216="","",IFERROR(BDP($B216&amp;" Action","GREENSHOE_FACILITY"),""))</f>
        <v/>
      </c>
      <c r="H216" s="186">
        <f>IF($B216="","",IFERROR(BDP($B216&amp;" Action","OFFERING_GREENSHOE_SHARES_EX"),""))</f>
        <v/>
      </c>
      <c r="I216" s="17">
        <f>Database!AE216</f>
        <v/>
      </c>
      <c r="J216" s="24">
        <f>IFERROR(BDP(Database!$A216&amp;" HK Equity","PE_RATIO"),"")</f>
        <v/>
      </c>
      <c r="K216" s="10">
        <f>IFERROR(BDP(Database!$A216&amp;" HK Equity","A/H_SHARE_CONVERSION"),"")</f>
        <v/>
      </c>
      <c r="L216" s="17">
        <f>IF(Database!BM216="","(none found)",Database!BM216)</f>
        <v/>
      </c>
      <c r="M216" s="19">
        <f>IFERROR(BDH(Database!$A216&amp;" HK Equity","CUR_MKT_CAP",Database!$H216,Database!$H216),"")</f>
        <v/>
      </c>
      <c r="N216" s="180">
        <f>Database!Q216</f>
        <v/>
      </c>
      <c r="O216" s="24">
        <f>IFERROR(BDH(Database!$A216&amp;" HK Equity","PE_RATIO",Database!$H216,Database!$H216),"")</f>
        <v/>
      </c>
      <c r="P216" s="184">
        <f>IF(Database!BG216="","(n/m or not derivable)",Database!BG216)</f>
        <v/>
      </c>
      <c r="Q216" s="24">
        <f>IF(Database!BM216="","",IFERROR(BDH(LEFT(Database!BM216,FIND(".",Database!BM216)-1)&amp;" CH Equity","PE_RATIO",Database!$H216,Database!$H216),""))</f>
        <v/>
      </c>
      <c r="R216" s="24">
        <f>IF(Database!BM216="","",IFERROR(BDH("HSAHP Index","PX_LAST",Database!$H216,Database!$H216),""))</f>
        <v/>
      </c>
      <c r="S216" s="24">
        <f>IFERROR(BDP(Database!$A216&amp;" HK Equity","PX_TO_SALES_RATIO"),"")</f>
        <v/>
      </c>
      <c r="T216" s="19">
        <f>IF(Database!BM216="","",IFERROR(BDP(LEFT(Database!BM216,FIND(".",Database!BM216)-1)&amp;" CH Equity","CUR_MKT_CAP"),""))</f>
        <v/>
      </c>
    </row>
    <row r="217">
      <c r="A217" s="17">
        <f>Database!A217&amp;"  "&amp;Database!B217</f>
        <v/>
      </c>
      <c r="B217" s="10">
        <f>IFERROR(INDEX(BDS(Database!$A217&amp;" HK Equity","EQUITY_OFFERINGS","array=t","endcol=1"),MATCH("IPO",BDS(Database!$A217&amp;" HK Equity","EQUITY_OFFERINGS","array=t","startcol=2","endcol=2"),0)),"")</f>
        <v/>
      </c>
      <c r="C217" s="186">
        <f>IF($B217="","",IFERROR(BDP($B217&amp;" Action","CP036"),""))</f>
        <v/>
      </c>
      <c r="D217" s="187">
        <f>Database!S217</f>
        <v/>
      </c>
      <c r="E217" s="186">
        <f>IF($B217="","",IFERROR(BDP($B217&amp;" Action","CP037"),""))</f>
        <v/>
      </c>
      <c r="F217" s="187">
        <f>Database!T217</f>
        <v/>
      </c>
      <c r="G217" s="186">
        <f>IF($B217="","",IFERROR(BDP($B217&amp;" Action","GREENSHOE_FACILITY"),""))</f>
        <v/>
      </c>
      <c r="H217" s="186">
        <f>IF($B217="","",IFERROR(BDP($B217&amp;" Action","OFFERING_GREENSHOE_SHARES_EX"),""))</f>
        <v/>
      </c>
      <c r="I217" s="17">
        <f>Database!AE217</f>
        <v/>
      </c>
      <c r="J217" s="24">
        <f>IFERROR(BDP(Database!$A217&amp;" HK Equity","PE_RATIO"),"")</f>
        <v/>
      </c>
      <c r="K217" s="10">
        <f>IFERROR(BDP(Database!$A217&amp;" HK Equity","A/H_SHARE_CONVERSION"),"")</f>
        <v/>
      </c>
      <c r="L217" s="17">
        <f>IF(Database!BM217="","(none found)",Database!BM217)</f>
        <v/>
      </c>
      <c r="M217" s="19">
        <f>IFERROR(BDH(Database!$A217&amp;" HK Equity","CUR_MKT_CAP",Database!$H217,Database!$H217),"")</f>
        <v/>
      </c>
      <c r="N217" s="180">
        <f>Database!Q217</f>
        <v/>
      </c>
      <c r="O217" s="24">
        <f>IFERROR(BDH(Database!$A217&amp;" HK Equity","PE_RATIO",Database!$H217,Database!$H217),"")</f>
        <v/>
      </c>
      <c r="P217" s="184">
        <f>IF(Database!BG217="","(n/m or not derivable)",Database!BG217)</f>
        <v/>
      </c>
      <c r="Q217" s="24">
        <f>IF(Database!BM217="","",IFERROR(BDH(LEFT(Database!BM217,FIND(".",Database!BM217)-1)&amp;" CH Equity","PE_RATIO",Database!$H217,Database!$H217),""))</f>
        <v/>
      </c>
      <c r="R217" s="24">
        <f>IF(Database!BM217="","",IFERROR(BDH("HSAHP Index","PX_LAST",Database!$H217,Database!$H217),""))</f>
        <v/>
      </c>
      <c r="S217" s="24">
        <f>IFERROR(BDP(Database!$A217&amp;" HK Equity","PX_TO_SALES_RATIO"),"")</f>
        <v/>
      </c>
      <c r="T217" s="19">
        <f>IF(Database!BM217="","",IFERROR(BDP(LEFT(Database!BM217,FIND(".",Database!BM217)-1)&amp;" CH Equity","CUR_MKT_CAP"),""))</f>
        <v/>
      </c>
    </row>
    <row r="218">
      <c r="A218" s="17">
        <f>Database!A218&amp;"  "&amp;Database!B218</f>
        <v/>
      </c>
      <c r="B218" s="10">
        <f>IFERROR(INDEX(BDS(Database!$A218&amp;" HK Equity","EQUITY_OFFERINGS","array=t","endcol=1"),MATCH("IPO",BDS(Database!$A218&amp;" HK Equity","EQUITY_OFFERINGS","array=t","startcol=2","endcol=2"),0)),"")</f>
        <v/>
      </c>
      <c r="C218" s="186">
        <f>IF($B218="","",IFERROR(BDP($B218&amp;" Action","CP036"),""))</f>
        <v/>
      </c>
      <c r="D218" s="187">
        <f>Database!S218</f>
        <v/>
      </c>
      <c r="E218" s="186">
        <f>IF($B218="","",IFERROR(BDP($B218&amp;" Action","CP037"),""))</f>
        <v/>
      </c>
      <c r="F218" s="187">
        <f>Database!T218</f>
        <v/>
      </c>
      <c r="G218" s="186">
        <f>IF($B218="","",IFERROR(BDP($B218&amp;" Action","GREENSHOE_FACILITY"),""))</f>
        <v/>
      </c>
      <c r="H218" s="186">
        <f>IF($B218="","",IFERROR(BDP($B218&amp;" Action","OFFERING_GREENSHOE_SHARES_EX"),""))</f>
        <v/>
      </c>
      <c r="I218" s="17">
        <f>Database!AE218</f>
        <v/>
      </c>
      <c r="J218" s="24">
        <f>IFERROR(BDP(Database!$A218&amp;" HK Equity","PE_RATIO"),"")</f>
        <v/>
      </c>
      <c r="K218" s="10">
        <f>IFERROR(BDP(Database!$A218&amp;" HK Equity","A/H_SHARE_CONVERSION"),"")</f>
        <v/>
      </c>
      <c r="L218" s="17">
        <f>IF(Database!BM218="","(none found)",Database!BM218)</f>
        <v/>
      </c>
      <c r="M218" s="19">
        <f>IFERROR(BDH(Database!$A218&amp;" HK Equity","CUR_MKT_CAP",Database!$H218,Database!$H218),"")</f>
        <v/>
      </c>
      <c r="N218" s="180">
        <f>Database!Q218</f>
        <v/>
      </c>
      <c r="O218" s="24">
        <f>IFERROR(BDH(Database!$A218&amp;" HK Equity","PE_RATIO",Database!$H218,Database!$H218),"")</f>
        <v/>
      </c>
      <c r="P218" s="184">
        <f>IF(Database!BG218="","(n/m or not derivable)",Database!BG218)</f>
        <v/>
      </c>
      <c r="Q218" s="24">
        <f>IF(Database!BM218="","",IFERROR(BDH(LEFT(Database!BM218,FIND(".",Database!BM218)-1)&amp;" CH Equity","PE_RATIO",Database!$H218,Database!$H218),""))</f>
        <v/>
      </c>
      <c r="R218" s="24">
        <f>IF(Database!BM218="","",IFERROR(BDH("HSAHP Index","PX_LAST",Database!$H218,Database!$H218),""))</f>
        <v/>
      </c>
      <c r="S218" s="24">
        <f>IFERROR(BDP(Database!$A218&amp;" HK Equity","PX_TO_SALES_RATIO"),"")</f>
        <v/>
      </c>
      <c r="T218" s="19">
        <f>IF(Database!BM218="","",IFERROR(BDP(LEFT(Database!BM218,FIND(".",Database!BM218)-1)&amp;" CH Equity","CUR_MKT_CAP"),""))</f>
        <v/>
      </c>
    </row>
    <row r="219">
      <c r="A219" s="17">
        <f>Database!A219&amp;"  "&amp;Database!B219</f>
        <v/>
      </c>
      <c r="B219" s="10">
        <f>IFERROR(INDEX(BDS(Database!$A219&amp;" HK Equity","EQUITY_OFFERINGS","array=t","endcol=1"),MATCH("IPO",BDS(Database!$A219&amp;" HK Equity","EQUITY_OFFERINGS","array=t","startcol=2","endcol=2"),0)),"")</f>
        <v/>
      </c>
      <c r="C219" s="186">
        <f>IF($B219="","",IFERROR(BDP($B219&amp;" Action","CP036"),""))</f>
        <v/>
      </c>
      <c r="D219" s="187">
        <f>Database!S219</f>
        <v/>
      </c>
      <c r="E219" s="186">
        <f>IF($B219="","",IFERROR(BDP($B219&amp;" Action","CP037"),""))</f>
        <v/>
      </c>
      <c r="F219" s="187">
        <f>Database!T219</f>
        <v/>
      </c>
      <c r="G219" s="186">
        <f>IF($B219="","",IFERROR(BDP($B219&amp;" Action","GREENSHOE_FACILITY"),""))</f>
        <v/>
      </c>
      <c r="H219" s="186">
        <f>IF($B219="","",IFERROR(BDP($B219&amp;" Action","OFFERING_GREENSHOE_SHARES_EX"),""))</f>
        <v/>
      </c>
      <c r="I219" s="17">
        <f>Database!AE219</f>
        <v/>
      </c>
      <c r="J219" s="24">
        <f>IFERROR(BDP(Database!$A219&amp;" HK Equity","PE_RATIO"),"")</f>
        <v/>
      </c>
      <c r="K219" s="10">
        <f>IFERROR(BDP(Database!$A219&amp;" HK Equity","A/H_SHARE_CONVERSION"),"")</f>
        <v/>
      </c>
      <c r="L219" s="17">
        <f>IF(Database!BM219="","(none found)",Database!BM219)</f>
        <v/>
      </c>
      <c r="M219" s="19">
        <f>IFERROR(BDH(Database!$A219&amp;" HK Equity","CUR_MKT_CAP",Database!$H219,Database!$H219),"")</f>
        <v/>
      </c>
      <c r="N219" s="180">
        <f>Database!Q219</f>
        <v/>
      </c>
      <c r="O219" s="24">
        <f>IFERROR(BDH(Database!$A219&amp;" HK Equity","PE_RATIO",Database!$H219,Database!$H219),"")</f>
        <v/>
      </c>
      <c r="P219" s="184">
        <f>IF(Database!BG219="","(n/m or not derivable)",Database!BG219)</f>
        <v/>
      </c>
      <c r="Q219" s="24">
        <f>IF(Database!BM219="","",IFERROR(BDH(LEFT(Database!BM219,FIND(".",Database!BM219)-1)&amp;" CH Equity","PE_RATIO",Database!$H219,Database!$H219),""))</f>
        <v/>
      </c>
      <c r="R219" s="24">
        <f>IF(Database!BM219="","",IFERROR(BDH("HSAHP Index","PX_LAST",Database!$H219,Database!$H219),""))</f>
        <v/>
      </c>
      <c r="S219" s="24">
        <f>IFERROR(BDP(Database!$A219&amp;" HK Equity","PX_TO_SALES_RATIO"),"")</f>
        <v/>
      </c>
      <c r="T219" s="19">
        <f>IF(Database!BM219="","",IFERROR(BDP(LEFT(Database!BM219,FIND(".",Database!BM219)-1)&amp;" CH Equity","CUR_MKT_CAP"),""))</f>
        <v/>
      </c>
    </row>
    <row r="220">
      <c r="A220" s="17">
        <f>Database!A220&amp;"  "&amp;Database!B220</f>
        <v/>
      </c>
      <c r="B220" s="10">
        <f>IFERROR(INDEX(BDS(Database!$A220&amp;" HK Equity","EQUITY_OFFERINGS","array=t","endcol=1"),MATCH("IPO",BDS(Database!$A220&amp;" HK Equity","EQUITY_OFFERINGS","array=t","startcol=2","endcol=2"),0)),"")</f>
        <v/>
      </c>
      <c r="C220" s="186">
        <f>IF($B220="","",IFERROR(BDP($B220&amp;" Action","CP036"),""))</f>
        <v/>
      </c>
      <c r="D220" s="187">
        <f>Database!S220</f>
        <v/>
      </c>
      <c r="E220" s="186">
        <f>IF($B220="","",IFERROR(BDP($B220&amp;" Action","CP037"),""))</f>
        <v/>
      </c>
      <c r="F220" s="187">
        <f>Database!T220</f>
        <v/>
      </c>
      <c r="G220" s="186">
        <f>IF($B220="","",IFERROR(BDP($B220&amp;" Action","GREENSHOE_FACILITY"),""))</f>
        <v/>
      </c>
      <c r="H220" s="186">
        <f>IF($B220="","",IFERROR(BDP($B220&amp;" Action","OFFERING_GREENSHOE_SHARES_EX"),""))</f>
        <v/>
      </c>
      <c r="I220" s="17">
        <f>Database!AE220</f>
        <v/>
      </c>
      <c r="J220" s="24">
        <f>IFERROR(BDP(Database!$A220&amp;" HK Equity","PE_RATIO"),"")</f>
        <v/>
      </c>
      <c r="K220" s="10">
        <f>IFERROR(BDP(Database!$A220&amp;" HK Equity","A/H_SHARE_CONVERSION"),"")</f>
        <v/>
      </c>
      <c r="L220" s="17">
        <f>IF(Database!BM220="","(none found)",Database!BM220)</f>
        <v/>
      </c>
      <c r="M220" s="19">
        <f>IFERROR(BDH(Database!$A220&amp;" HK Equity","CUR_MKT_CAP",Database!$H220,Database!$H220),"")</f>
        <v/>
      </c>
      <c r="N220" s="180">
        <f>Database!Q220</f>
        <v/>
      </c>
      <c r="O220" s="24">
        <f>IFERROR(BDH(Database!$A220&amp;" HK Equity","PE_RATIO",Database!$H220,Database!$H220),"")</f>
        <v/>
      </c>
      <c r="P220" s="184">
        <f>IF(Database!BG220="","(n/m or not derivable)",Database!BG220)</f>
        <v/>
      </c>
      <c r="Q220" s="24">
        <f>IF(Database!BM220="","",IFERROR(BDH(LEFT(Database!BM220,FIND(".",Database!BM220)-1)&amp;" CH Equity","PE_RATIO",Database!$H220,Database!$H220),""))</f>
        <v/>
      </c>
      <c r="R220" s="24">
        <f>IF(Database!BM220="","",IFERROR(BDH("HSAHP Index","PX_LAST",Database!$H220,Database!$H220),""))</f>
        <v/>
      </c>
      <c r="S220" s="24">
        <f>IFERROR(BDP(Database!$A220&amp;" HK Equity","PX_TO_SALES_RATIO"),"")</f>
        <v/>
      </c>
      <c r="T220" s="19">
        <f>IF(Database!BM220="","",IFERROR(BDP(LEFT(Database!BM220,FIND(".",Database!BM220)-1)&amp;" CH Equity","CUR_MKT_CAP"),""))</f>
        <v/>
      </c>
    </row>
    <row r="221">
      <c r="A221" s="17">
        <f>Database!A221&amp;"  "&amp;Database!B221</f>
        <v/>
      </c>
      <c r="B221" s="10">
        <f>IFERROR(INDEX(BDS(Database!$A221&amp;" HK Equity","EQUITY_OFFERINGS","array=t","endcol=1"),MATCH("IPO",BDS(Database!$A221&amp;" HK Equity","EQUITY_OFFERINGS","array=t","startcol=2","endcol=2"),0)),"")</f>
        <v/>
      </c>
      <c r="C221" s="186">
        <f>IF($B221="","",IFERROR(BDP($B221&amp;" Action","CP036"),""))</f>
        <v/>
      </c>
      <c r="D221" s="187">
        <f>Database!S221</f>
        <v/>
      </c>
      <c r="E221" s="186">
        <f>IF($B221="","",IFERROR(BDP($B221&amp;" Action","CP037"),""))</f>
        <v/>
      </c>
      <c r="F221" s="187">
        <f>Database!T221</f>
        <v/>
      </c>
      <c r="G221" s="186">
        <f>IF($B221="","",IFERROR(BDP($B221&amp;" Action","GREENSHOE_FACILITY"),""))</f>
        <v/>
      </c>
      <c r="H221" s="186">
        <f>IF($B221="","",IFERROR(BDP($B221&amp;" Action","OFFERING_GREENSHOE_SHARES_EX"),""))</f>
        <v/>
      </c>
      <c r="I221" s="17">
        <f>Database!AE221</f>
        <v/>
      </c>
      <c r="J221" s="24">
        <f>IFERROR(BDP(Database!$A221&amp;" HK Equity","PE_RATIO"),"")</f>
        <v/>
      </c>
      <c r="K221" s="10">
        <f>IFERROR(BDP(Database!$A221&amp;" HK Equity","A/H_SHARE_CONVERSION"),"")</f>
        <v/>
      </c>
      <c r="L221" s="17">
        <f>IF(Database!BM221="","(none found)",Database!BM221)</f>
        <v/>
      </c>
      <c r="M221" s="19">
        <f>IFERROR(BDH(Database!$A221&amp;" HK Equity","CUR_MKT_CAP",Database!$H221,Database!$H221),"")</f>
        <v/>
      </c>
      <c r="N221" s="180">
        <f>Database!Q221</f>
        <v/>
      </c>
      <c r="O221" s="24">
        <f>IFERROR(BDH(Database!$A221&amp;" HK Equity","PE_RATIO",Database!$H221,Database!$H221),"")</f>
        <v/>
      </c>
      <c r="P221" s="184">
        <f>IF(Database!BG221="","(n/m or not derivable)",Database!BG221)</f>
        <v/>
      </c>
      <c r="Q221" s="24">
        <f>IF(Database!BM221="","",IFERROR(BDH(LEFT(Database!BM221,FIND(".",Database!BM221)-1)&amp;" CH Equity","PE_RATIO",Database!$H221,Database!$H221),""))</f>
        <v/>
      </c>
      <c r="R221" s="24">
        <f>IF(Database!BM221="","",IFERROR(BDH("HSAHP Index","PX_LAST",Database!$H221,Database!$H221),""))</f>
        <v/>
      </c>
      <c r="S221" s="24">
        <f>IFERROR(BDP(Database!$A221&amp;" HK Equity","PX_TO_SALES_RATIO"),"")</f>
        <v/>
      </c>
      <c r="T221" s="19">
        <f>IF(Database!BM221="","",IFERROR(BDP(LEFT(Database!BM221,FIND(".",Database!BM221)-1)&amp;" CH Equity","CUR_MKT_CAP"),""))</f>
        <v/>
      </c>
    </row>
    <row r="222">
      <c r="A222" s="17">
        <f>Database!A222&amp;"  "&amp;Database!B222</f>
        <v/>
      </c>
      <c r="B222" s="10">
        <f>IFERROR(INDEX(BDS(Database!$A222&amp;" HK Equity","EQUITY_OFFERINGS","array=t","endcol=1"),MATCH("IPO",BDS(Database!$A222&amp;" HK Equity","EQUITY_OFFERINGS","array=t","startcol=2","endcol=2"),0)),"")</f>
        <v/>
      </c>
      <c r="C222" s="186">
        <f>IF($B222="","",IFERROR(BDP($B222&amp;" Action","CP036"),""))</f>
        <v/>
      </c>
      <c r="D222" s="187">
        <f>Database!S222</f>
        <v/>
      </c>
      <c r="E222" s="186">
        <f>IF($B222="","",IFERROR(BDP($B222&amp;" Action","CP037"),""))</f>
        <v/>
      </c>
      <c r="F222" s="187">
        <f>Database!T222</f>
        <v/>
      </c>
      <c r="G222" s="186">
        <f>IF($B222="","",IFERROR(BDP($B222&amp;" Action","GREENSHOE_FACILITY"),""))</f>
        <v/>
      </c>
      <c r="H222" s="186">
        <f>IF($B222="","",IFERROR(BDP($B222&amp;" Action","OFFERING_GREENSHOE_SHARES_EX"),""))</f>
        <v/>
      </c>
      <c r="I222" s="17">
        <f>Database!AE222</f>
        <v/>
      </c>
      <c r="J222" s="24">
        <f>IFERROR(BDP(Database!$A222&amp;" HK Equity","PE_RATIO"),"")</f>
        <v/>
      </c>
      <c r="K222" s="10">
        <f>IFERROR(BDP(Database!$A222&amp;" HK Equity","A/H_SHARE_CONVERSION"),"")</f>
        <v/>
      </c>
      <c r="L222" s="17">
        <f>IF(Database!BM222="","(none found)",Database!BM222)</f>
        <v/>
      </c>
      <c r="M222" s="19">
        <f>IFERROR(BDH(Database!$A222&amp;" HK Equity","CUR_MKT_CAP",Database!$H222,Database!$H222),"")</f>
        <v/>
      </c>
      <c r="N222" s="180">
        <f>Database!Q222</f>
        <v/>
      </c>
      <c r="O222" s="24">
        <f>IFERROR(BDH(Database!$A222&amp;" HK Equity","PE_RATIO",Database!$H222,Database!$H222),"")</f>
        <v/>
      </c>
      <c r="P222" s="184">
        <f>IF(Database!BG222="","(n/m or not derivable)",Database!BG222)</f>
        <v/>
      </c>
      <c r="Q222" s="24">
        <f>IF(Database!BM222="","",IFERROR(BDH(LEFT(Database!BM222,FIND(".",Database!BM222)-1)&amp;" CH Equity","PE_RATIO",Database!$H222,Database!$H222),""))</f>
        <v/>
      </c>
      <c r="R222" s="24">
        <f>IF(Database!BM222="","",IFERROR(BDH("HSAHP Index","PX_LAST",Database!$H222,Database!$H222),""))</f>
        <v/>
      </c>
      <c r="S222" s="24">
        <f>IFERROR(BDP(Database!$A222&amp;" HK Equity","PX_TO_SALES_RATIO"),"")</f>
        <v/>
      </c>
      <c r="T222" s="19">
        <f>IF(Database!BM222="","",IFERROR(BDP(LEFT(Database!BM222,FIND(".",Database!BM222)-1)&amp;" CH Equity","CUR_MKT_CAP"),""))</f>
        <v/>
      </c>
    </row>
    <row r="223">
      <c r="A223" s="17">
        <f>Database!A223&amp;"  "&amp;Database!B223</f>
        <v/>
      </c>
      <c r="B223" s="10">
        <f>IFERROR(INDEX(BDS(Database!$A223&amp;" HK Equity","EQUITY_OFFERINGS","array=t","endcol=1"),MATCH("IPO",BDS(Database!$A223&amp;" HK Equity","EQUITY_OFFERINGS","array=t","startcol=2","endcol=2"),0)),"")</f>
        <v/>
      </c>
      <c r="C223" s="186">
        <f>IF($B223="","",IFERROR(BDP($B223&amp;" Action","CP036"),""))</f>
        <v/>
      </c>
      <c r="D223" s="187">
        <f>Database!S223</f>
        <v/>
      </c>
      <c r="E223" s="186">
        <f>IF($B223="","",IFERROR(BDP($B223&amp;" Action","CP037"),""))</f>
        <v/>
      </c>
      <c r="F223" s="187">
        <f>Database!T223</f>
        <v/>
      </c>
      <c r="G223" s="186">
        <f>IF($B223="","",IFERROR(BDP($B223&amp;" Action","GREENSHOE_FACILITY"),""))</f>
        <v/>
      </c>
      <c r="H223" s="186">
        <f>IF($B223="","",IFERROR(BDP($B223&amp;" Action","OFFERING_GREENSHOE_SHARES_EX"),""))</f>
        <v/>
      </c>
      <c r="I223" s="17">
        <f>Database!AE223</f>
        <v/>
      </c>
      <c r="J223" s="24">
        <f>IFERROR(BDP(Database!$A223&amp;" HK Equity","PE_RATIO"),"")</f>
        <v/>
      </c>
      <c r="K223" s="10">
        <f>IFERROR(BDP(Database!$A223&amp;" HK Equity","A/H_SHARE_CONVERSION"),"")</f>
        <v/>
      </c>
      <c r="L223" s="17">
        <f>IF(Database!BM223="","(none found)",Database!BM223)</f>
        <v/>
      </c>
      <c r="M223" s="19">
        <f>IFERROR(BDH(Database!$A223&amp;" HK Equity","CUR_MKT_CAP",Database!$H223,Database!$H223),"")</f>
        <v/>
      </c>
      <c r="N223" s="180">
        <f>Database!Q223</f>
        <v/>
      </c>
      <c r="O223" s="24">
        <f>IFERROR(BDH(Database!$A223&amp;" HK Equity","PE_RATIO",Database!$H223,Database!$H223),"")</f>
        <v/>
      </c>
      <c r="P223" s="184">
        <f>IF(Database!BG223="","(n/m or not derivable)",Database!BG223)</f>
        <v/>
      </c>
      <c r="Q223" s="24">
        <f>IF(Database!BM223="","",IFERROR(BDH(LEFT(Database!BM223,FIND(".",Database!BM223)-1)&amp;" CH Equity","PE_RATIO",Database!$H223,Database!$H223),""))</f>
        <v/>
      </c>
      <c r="R223" s="24">
        <f>IF(Database!BM223="","",IFERROR(BDH("HSAHP Index","PX_LAST",Database!$H223,Database!$H223),""))</f>
        <v/>
      </c>
      <c r="S223" s="24">
        <f>IFERROR(BDP(Database!$A223&amp;" HK Equity","PX_TO_SALES_RATIO"),"")</f>
        <v/>
      </c>
      <c r="T223" s="19">
        <f>IF(Database!BM223="","",IFERROR(BDP(LEFT(Database!BM223,FIND(".",Database!BM223)-1)&amp;" CH Equity","CUR_MKT_CAP"),""))</f>
        <v/>
      </c>
    </row>
    <row r="224">
      <c r="A224" s="17">
        <f>Database!A224&amp;"  "&amp;Database!B224</f>
        <v/>
      </c>
      <c r="B224" s="10">
        <f>IFERROR(INDEX(BDS(Database!$A224&amp;" HK Equity","EQUITY_OFFERINGS","array=t","endcol=1"),MATCH("IPO",BDS(Database!$A224&amp;" HK Equity","EQUITY_OFFERINGS","array=t","startcol=2","endcol=2"),0)),"")</f>
        <v/>
      </c>
      <c r="C224" s="186">
        <f>IF($B224="","",IFERROR(BDP($B224&amp;" Action","CP036"),""))</f>
        <v/>
      </c>
      <c r="D224" s="187">
        <f>Database!S224</f>
        <v/>
      </c>
      <c r="E224" s="186">
        <f>IF($B224="","",IFERROR(BDP($B224&amp;" Action","CP037"),""))</f>
        <v/>
      </c>
      <c r="F224" s="187">
        <f>Database!T224</f>
        <v/>
      </c>
      <c r="G224" s="186">
        <f>IF($B224="","",IFERROR(BDP($B224&amp;" Action","GREENSHOE_FACILITY"),""))</f>
        <v/>
      </c>
      <c r="H224" s="186">
        <f>IF($B224="","",IFERROR(BDP($B224&amp;" Action","OFFERING_GREENSHOE_SHARES_EX"),""))</f>
        <v/>
      </c>
      <c r="I224" s="17">
        <f>Database!AE224</f>
        <v/>
      </c>
      <c r="J224" s="24">
        <f>IFERROR(BDP(Database!$A224&amp;" HK Equity","PE_RATIO"),"")</f>
        <v/>
      </c>
      <c r="K224" s="10">
        <f>IFERROR(BDP(Database!$A224&amp;" HK Equity","A/H_SHARE_CONVERSION"),"")</f>
        <v/>
      </c>
      <c r="L224" s="17">
        <f>IF(Database!BM224="","(none found)",Database!BM224)</f>
        <v/>
      </c>
      <c r="M224" s="19">
        <f>IFERROR(BDH(Database!$A224&amp;" HK Equity","CUR_MKT_CAP",Database!$H224,Database!$H224),"")</f>
        <v/>
      </c>
      <c r="N224" s="180">
        <f>Database!Q224</f>
        <v/>
      </c>
      <c r="O224" s="24">
        <f>IFERROR(BDH(Database!$A224&amp;" HK Equity","PE_RATIO",Database!$H224,Database!$H224),"")</f>
        <v/>
      </c>
      <c r="P224" s="184">
        <f>IF(Database!BG224="","(n/m or not derivable)",Database!BG224)</f>
        <v/>
      </c>
      <c r="Q224" s="24">
        <f>IF(Database!BM224="","",IFERROR(BDH(LEFT(Database!BM224,FIND(".",Database!BM224)-1)&amp;" CH Equity","PE_RATIO",Database!$H224,Database!$H224),""))</f>
        <v/>
      </c>
      <c r="R224" s="24">
        <f>IF(Database!BM224="","",IFERROR(BDH("HSAHP Index","PX_LAST",Database!$H224,Database!$H224),""))</f>
        <v/>
      </c>
      <c r="S224" s="24">
        <f>IFERROR(BDP(Database!$A224&amp;" HK Equity","PX_TO_SALES_RATIO"),"")</f>
        <v/>
      </c>
      <c r="T224" s="19">
        <f>IF(Database!BM224="","",IFERROR(BDP(LEFT(Database!BM224,FIND(".",Database!BM224)-1)&amp;" CH Equity","CUR_MKT_CAP"),""))</f>
        <v/>
      </c>
    </row>
    <row r="225">
      <c r="A225" s="17">
        <f>Database!A225&amp;"  "&amp;Database!B225</f>
        <v/>
      </c>
      <c r="B225" s="10">
        <f>IFERROR(INDEX(BDS(Database!$A225&amp;" HK Equity","EQUITY_OFFERINGS","array=t","endcol=1"),MATCH("IPO",BDS(Database!$A225&amp;" HK Equity","EQUITY_OFFERINGS","array=t","startcol=2","endcol=2"),0)),"")</f>
        <v/>
      </c>
      <c r="C225" s="186">
        <f>IF($B225="","",IFERROR(BDP($B225&amp;" Action","CP036"),""))</f>
        <v/>
      </c>
      <c r="D225" s="187">
        <f>Database!S225</f>
        <v/>
      </c>
      <c r="E225" s="186">
        <f>IF($B225="","",IFERROR(BDP($B225&amp;" Action","CP037"),""))</f>
        <v/>
      </c>
      <c r="F225" s="187">
        <f>Database!T225</f>
        <v/>
      </c>
      <c r="G225" s="186">
        <f>IF($B225="","",IFERROR(BDP($B225&amp;" Action","GREENSHOE_FACILITY"),""))</f>
        <v/>
      </c>
      <c r="H225" s="186">
        <f>IF($B225="","",IFERROR(BDP($B225&amp;" Action","OFFERING_GREENSHOE_SHARES_EX"),""))</f>
        <v/>
      </c>
      <c r="I225" s="17">
        <f>Database!AE225</f>
        <v/>
      </c>
      <c r="J225" s="24">
        <f>IFERROR(BDP(Database!$A225&amp;" HK Equity","PE_RATIO"),"")</f>
        <v/>
      </c>
      <c r="K225" s="10">
        <f>IFERROR(BDP(Database!$A225&amp;" HK Equity","A/H_SHARE_CONVERSION"),"")</f>
        <v/>
      </c>
      <c r="L225" s="17">
        <f>IF(Database!BM225="","(none found)",Database!BM225)</f>
        <v/>
      </c>
      <c r="M225" s="19">
        <f>IFERROR(BDH(Database!$A225&amp;" HK Equity","CUR_MKT_CAP",Database!$H225,Database!$H225),"")</f>
        <v/>
      </c>
      <c r="N225" s="180">
        <f>Database!Q225</f>
        <v/>
      </c>
      <c r="O225" s="24">
        <f>IFERROR(BDH(Database!$A225&amp;" HK Equity","PE_RATIO",Database!$H225,Database!$H225),"")</f>
        <v/>
      </c>
      <c r="P225" s="184">
        <f>IF(Database!BG225="","(n/m or not derivable)",Database!BG225)</f>
        <v/>
      </c>
      <c r="Q225" s="24">
        <f>IF(Database!BM225="","",IFERROR(BDH(LEFT(Database!BM225,FIND(".",Database!BM225)-1)&amp;" CH Equity","PE_RATIO",Database!$H225,Database!$H225),""))</f>
        <v/>
      </c>
      <c r="R225" s="24">
        <f>IF(Database!BM225="","",IFERROR(BDH("HSAHP Index","PX_LAST",Database!$H225,Database!$H225),""))</f>
        <v/>
      </c>
      <c r="S225" s="24">
        <f>IFERROR(BDP(Database!$A225&amp;" HK Equity","PX_TO_SALES_RATIO"),"")</f>
        <v/>
      </c>
      <c r="T225" s="19">
        <f>IF(Database!BM225="","",IFERROR(BDP(LEFT(Database!BM225,FIND(".",Database!BM225)-1)&amp;" CH Equity","CUR_MKT_CAP"),""))</f>
        <v/>
      </c>
    </row>
    <row r="226">
      <c r="A226" s="17">
        <f>Database!A226&amp;"  "&amp;Database!B226</f>
        <v/>
      </c>
      <c r="B226" s="10">
        <f>IFERROR(INDEX(BDS(Database!$A226&amp;" HK Equity","EQUITY_OFFERINGS","array=t","endcol=1"),MATCH("IPO",BDS(Database!$A226&amp;" HK Equity","EQUITY_OFFERINGS","array=t","startcol=2","endcol=2"),0)),"")</f>
        <v/>
      </c>
      <c r="C226" s="186">
        <f>IF($B226="","",IFERROR(BDP($B226&amp;" Action","CP036"),""))</f>
        <v/>
      </c>
      <c r="D226" s="187">
        <f>Database!S226</f>
        <v/>
      </c>
      <c r="E226" s="186">
        <f>IF($B226="","",IFERROR(BDP($B226&amp;" Action","CP037"),""))</f>
        <v/>
      </c>
      <c r="F226" s="187">
        <f>Database!T226</f>
        <v/>
      </c>
      <c r="G226" s="186">
        <f>IF($B226="","",IFERROR(BDP($B226&amp;" Action","GREENSHOE_FACILITY"),""))</f>
        <v/>
      </c>
      <c r="H226" s="186">
        <f>IF($B226="","",IFERROR(BDP($B226&amp;" Action","OFFERING_GREENSHOE_SHARES_EX"),""))</f>
        <v/>
      </c>
      <c r="I226" s="17">
        <f>Database!AE226</f>
        <v/>
      </c>
      <c r="J226" s="24">
        <f>IFERROR(BDP(Database!$A226&amp;" HK Equity","PE_RATIO"),"")</f>
        <v/>
      </c>
      <c r="K226" s="10">
        <f>IFERROR(BDP(Database!$A226&amp;" HK Equity","A/H_SHARE_CONVERSION"),"")</f>
        <v/>
      </c>
      <c r="L226" s="17">
        <f>IF(Database!BM226="","(none found)",Database!BM226)</f>
        <v/>
      </c>
      <c r="M226" s="19">
        <f>IFERROR(BDH(Database!$A226&amp;" HK Equity","CUR_MKT_CAP",Database!$H226,Database!$H226),"")</f>
        <v/>
      </c>
      <c r="N226" s="180">
        <f>Database!Q226</f>
        <v/>
      </c>
      <c r="O226" s="24">
        <f>IFERROR(BDH(Database!$A226&amp;" HK Equity","PE_RATIO",Database!$H226,Database!$H226),"")</f>
        <v/>
      </c>
      <c r="P226" s="184">
        <f>IF(Database!BG226="","(n/m or not derivable)",Database!BG226)</f>
        <v/>
      </c>
      <c r="Q226" s="24">
        <f>IF(Database!BM226="","",IFERROR(BDH(LEFT(Database!BM226,FIND(".",Database!BM226)-1)&amp;" CH Equity","PE_RATIO",Database!$H226,Database!$H226),""))</f>
        <v/>
      </c>
      <c r="R226" s="24">
        <f>IF(Database!BM226="","",IFERROR(BDH("HSAHP Index","PX_LAST",Database!$H226,Database!$H226),""))</f>
        <v/>
      </c>
      <c r="S226" s="24">
        <f>IFERROR(BDP(Database!$A226&amp;" HK Equity","PX_TO_SALES_RATIO"),"")</f>
        <v/>
      </c>
      <c r="T226" s="19">
        <f>IF(Database!BM226="","",IFERROR(BDP(LEFT(Database!BM226,FIND(".",Database!BM226)-1)&amp;" CH Equity","CUR_MKT_CAP"),""))</f>
        <v/>
      </c>
    </row>
    <row r="227">
      <c r="A227" s="17">
        <f>Database!A227&amp;"  "&amp;Database!B227</f>
        <v/>
      </c>
      <c r="B227" s="10">
        <f>IFERROR(INDEX(BDS(Database!$A227&amp;" HK Equity","EQUITY_OFFERINGS","array=t","endcol=1"),MATCH("IPO",BDS(Database!$A227&amp;" HK Equity","EQUITY_OFFERINGS","array=t","startcol=2","endcol=2"),0)),"")</f>
        <v/>
      </c>
      <c r="C227" s="186">
        <f>IF($B227="","",IFERROR(BDP($B227&amp;" Action","CP036"),""))</f>
        <v/>
      </c>
      <c r="D227" s="187">
        <f>Database!S227</f>
        <v/>
      </c>
      <c r="E227" s="186">
        <f>IF($B227="","",IFERROR(BDP($B227&amp;" Action","CP037"),""))</f>
        <v/>
      </c>
      <c r="F227" s="187">
        <f>Database!T227</f>
        <v/>
      </c>
      <c r="G227" s="186">
        <f>IF($B227="","",IFERROR(BDP($B227&amp;" Action","GREENSHOE_FACILITY"),""))</f>
        <v/>
      </c>
      <c r="H227" s="186">
        <f>IF($B227="","",IFERROR(BDP($B227&amp;" Action","OFFERING_GREENSHOE_SHARES_EX"),""))</f>
        <v/>
      </c>
      <c r="I227" s="17">
        <f>Database!AE227</f>
        <v/>
      </c>
      <c r="J227" s="24">
        <f>IFERROR(BDP(Database!$A227&amp;" HK Equity","PE_RATIO"),"")</f>
        <v/>
      </c>
      <c r="K227" s="10">
        <f>IFERROR(BDP(Database!$A227&amp;" HK Equity","A/H_SHARE_CONVERSION"),"")</f>
        <v/>
      </c>
      <c r="L227" s="17">
        <f>IF(Database!BM227="","(none found)",Database!BM227)</f>
        <v/>
      </c>
      <c r="M227" s="19">
        <f>IFERROR(BDH(Database!$A227&amp;" HK Equity","CUR_MKT_CAP",Database!$H227,Database!$H227),"")</f>
        <v/>
      </c>
      <c r="N227" s="180">
        <f>Database!Q227</f>
        <v/>
      </c>
      <c r="O227" s="24">
        <f>IFERROR(BDH(Database!$A227&amp;" HK Equity","PE_RATIO",Database!$H227,Database!$H227),"")</f>
        <v/>
      </c>
      <c r="P227" s="184">
        <f>IF(Database!BG227="","(n/m or not derivable)",Database!BG227)</f>
        <v/>
      </c>
      <c r="Q227" s="24">
        <f>IF(Database!BM227="","",IFERROR(BDH(LEFT(Database!BM227,FIND(".",Database!BM227)-1)&amp;" CH Equity","PE_RATIO",Database!$H227,Database!$H227),""))</f>
        <v/>
      </c>
      <c r="R227" s="24">
        <f>IF(Database!BM227="","",IFERROR(BDH("HSAHP Index","PX_LAST",Database!$H227,Database!$H227),""))</f>
        <v/>
      </c>
      <c r="S227" s="24">
        <f>IFERROR(BDP(Database!$A227&amp;" HK Equity","PX_TO_SALES_RATIO"),"")</f>
        <v/>
      </c>
      <c r="T227" s="19">
        <f>IF(Database!BM227="","",IFERROR(BDP(LEFT(Database!BM227,FIND(".",Database!BM227)-1)&amp;" CH Equity","CUR_MKT_CAP"),""))</f>
        <v/>
      </c>
    </row>
    <row r="228">
      <c r="A228" s="17">
        <f>Database!A228&amp;"  "&amp;Database!B228</f>
        <v/>
      </c>
      <c r="B228" s="10">
        <f>IFERROR(INDEX(BDS(Database!$A228&amp;" HK Equity","EQUITY_OFFERINGS","array=t","endcol=1"),MATCH("IPO",BDS(Database!$A228&amp;" HK Equity","EQUITY_OFFERINGS","array=t","startcol=2","endcol=2"),0)),"")</f>
        <v/>
      </c>
      <c r="C228" s="186">
        <f>IF($B228="","",IFERROR(BDP($B228&amp;" Action","CP036"),""))</f>
        <v/>
      </c>
      <c r="D228" s="187">
        <f>Database!S228</f>
        <v/>
      </c>
      <c r="E228" s="186">
        <f>IF($B228="","",IFERROR(BDP($B228&amp;" Action","CP037"),""))</f>
        <v/>
      </c>
      <c r="F228" s="187">
        <f>Database!T228</f>
        <v/>
      </c>
      <c r="G228" s="186">
        <f>IF($B228="","",IFERROR(BDP($B228&amp;" Action","GREENSHOE_FACILITY"),""))</f>
        <v/>
      </c>
      <c r="H228" s="186">
        <f>IF($B228="","",IFERROR(BDP($B228&amp;" Action","OFFERING_GREENSHOE_SHARES_EX"),""))</f>
        <v/>
      </c>
      <c r="I228" s="17">
        <f>Database!AE228</f>
        <v/>
      </c>
      <c r="J228" s="24">
        <f>IFERROR(BDP(Database!$A228&amp;" HK Equity","PE_RATIO"),"")</f>
        <v/>
      </c>
      <c r="K228" s="10">
        <f>IFERROR(BDP(Database!$A228&amp;" HK Equity","A/H_SHARE_CONVERSION"),"")</f>
        <v/>
      </c>
      <c r="L228" s="17">
        <f>IF(Database!BM228="","(none found)",Database!BM228)</f>
        <v/>
      </c>
      <c r="M228" s="19">
        <f>IFERROR(BDH(Database!$A228&amp;" HK Equity","CUR_MKT_CAP",Database!$H228,Database!$H228),"")</f>
        <v/>
      </c>
      <c r="N228" s="180">
        <f>Database!Q228</f>
        <v/>
      </c>
      <c r="O228" s="24">
        <f>IFERROR(BDH(Database!$A228&amp;" HK Equity","PE_RATIO",Database!$H228,Database!$H228),"")</f>
        <v/>
      </c>
      <c r="P228" s="184">
        <f>IF(Database!BG228="","(n/m or not derivable)",Database!BG228)</f>
        <v/>
      </c>
      <c r="Q228" s="24">
        <f>IF(Database!BM228="","",IFERROR(BDH(LEFT(Database!BM228,FIND(".",Database!BM228)-1)&amp;" CH Equity","PE_RATIO",Database!$H228,Database!$H228),""))</f>
        <v/>
      </c>
      <c r="R228" s="24">
        <f>IF(Database!BM228="","",IFERROR(BDH("HSAHP Index","PX_LAST",Database!$H228,Database!$H228),""))</f>
        <v/>
      </c>
      <c r="S228" s="24">
        <f>IFERROR(BDP(Database!$A228&amp;" HK Equity","PX_TO_SALES_RATIO"),"")</f>
        <v/>
      </c>
      <c r="T228" s="19">
        <f>IF(Database!BM228="","",IFERROR(BDP(LEFT(Database!BM228,FIND(".",Database!BM228)-1)&amp;" CH Equity","CUR_MKT_CAP"),""))</f>
        <v/>
      </c>
    </row>
    <row r="229">
      <c r="A229" s="17">
        <f>Database!A229&amp;"  "&amp;Database!B229</f>
        <v/>
      </c>
      <c r="B229" s="10">
        <f>IFERROR(INDEX(BDS(Database!$A229&amp;" HK Equity","EQUITY_OFFERINGS","array=t","endcol=1"),MATCH("IPO",BDS(Database!$A229&amp;" HK Equity","EQUITY_OFFERINGS","array=t","startcol=2","endcol=2"),0)),"")</f>
        <v/>
      </c>
      <c r="C229" s="186">
        <f>IF($B229="","",IFERROR(BDP($B229&amp;" Action","CP036"),""))</f>
        <v/>
      </c>
      <c r="D229" s="187">
        <f>Database!S229</f>
        <v/>
      </c>
      <c r="E229" s="186">
        <f>IF($B229="","",IFERROR(BDP($B229&amp;" Action","CP037"),""))</f>
        <v/>
      </c>
      <c r="F229" s="187">
        <f>Database!T229</f>
        <v/>
      </c>
      <c r="G229" s="186">
        <f>IF($B229="","",IFERROR(BDP($B229&amp;" Action","GREENSHOE_FACILITY"),""))</f>
        <v/>
      </c>
      <c r="H229" s="186">
        <f>IF($B229="","",IFERROR(BDP($B229&amp;" Action","OFFERING_GREENSHOE_SHARES_EX"),""))</f>
        <v/>
      </c>
      <c r="I229" s="17">
        <f>Database!AE229</f>
        <v/>
      </c>
      <c r="J229" s="24">
        <f>IFERROR(BDP(Database!$A229&amp;" HK Equity","PE_RATIO"),"")</f>
        <v/>
      </c>
      <c r="K229" s="10">
        <f>IFERROR(BDP(Database!$A229&amp;" HK Equity","A/H_SHARE_CONVERSION"),"")</f>
        <v/>
      </c>
      <c r="L229" s="17">
        <f>IF(Database!BM229="","(none found)",Database!BM229)</f>
        <v/>
      </c>
      <c r="M229" s="19">
        <f>IFERROR(BDH(Database!$A229&amp;" HK Equity","CUR_MKT_CAP",Database!$H229,Database!$H229),"")</f>
        <v/>
      </c>
      <c r="N229" s="180">
        <f>Database!Q229</f>
        <v/>
      </c>
      <c r="O229" s="24">
        <f>IFERROR(BDH(Database!$A229&amp;" HK Equity","PE_RATIO",Database!$H229,Database!$H229),"")</f>
        <v/>
      </c>
      <c r="P229" s="184">
        <f>IF(Database!BG229="","(n/m or not derivable)",Database!BG229)</f>
        <v/>
      </c>
      <c r="Q229" s="24">
        <f>IF(Database!BM229="","",IFERROR(BDH(LEFT(Database!BM229,FIND(".",Database!BM229)-1)&amp;" CH Equity","PE_RATIO",Database!$H229,Database!$H229),""))</f>
        <v/>
      </c>
      <c r="R229" s="24">
        <f>IF(Database!BM229="","",IFERROR(BDH("HSAHP Index","PX_LAST",Database!$H229,Database!$H229),""))</f>
        <v/>
      </c>
      <c r="S229" s="24">
        <f>IFERROR(BDP(Database!$A229&amp;" HK Equity","PX_TO_SALES_RATIO"),"")</f>
        <v/>
      </c>
      <c r="T229" s="19">
        <f>IF(Database!BM229="","",IFERROR(BDP(LEFT(Database!BM229,FIND(".",Database!BM229)-1)&amp;" CH Equity","CUR_MKT_CAP"),""))</f>
        <v/>
      </c>
    </row>
    <row r="230">
      <c r="A230" s="17">
        <f>Database!A230&amp;"  "&amp;Database!B230</f>
        <v/>
      </c>
      <c r="B230" s="10">
        <f>IFERROR(INDEX(BDS(Database!$A230&amp;" HK Equity","EQUITY_OFFERINGS","array=t","endcol=1"),MATCH("IPO",BDS(Database!$A230&amp;" HK Equity","EQUITY_OFFERINGS","array=t","startcol=2","endcol=2"),0)),"")</f>
        <v/>
      </c>
      <c r="C230" s="186">
        <f>IF($B230="","",IFERROR(BDP($B230&amp;" Action","CP036"),""))</f>
        <v/>
      </c>
      <c r="D230" s="187">
        <f>Database!S230</f>
        <v/>
      </c>
      <c r="E230" s="186">
        <f>IF($B230="","",IFERROR(BDP($B230&amp;" Action","CP037"),""))</f>
        <v/>
      </c>
      <c r="F230" s="187">
        <f>Database!T230</f>
        <v/>
      </c>
      <c r="G230" s="186">
        <f>IF($B230="","",IFERROR(BDP($B230&amp;" Action","GREENSHOE_FACILITY"),""))</f>
        <v/>
      </c>
      <c r="H230" s="186">
        <f>IF($B230="","",IFERROR(BDP($B230&amp;" Action","OFFERING_GREENSHOE_SHARES_EX"),""))</f>
        <v/>
      </c>
      <c r="I230" s="17">
        <f>Database!AE230</f>
        <v/>
      </c>
      <c r="J230" s="24">
        <f>IFERROR(BDP(Database!$A230&amp;" HK Equity","PE_RATIO"),"")</f>
        <v/>
      </c>
      <c r="K230" s="10">
        <f>IFERROR(BDP(Database!$A230&amp;" HK Equity","A/H_SHARE_CONVERSION"),"")</f>
        <v/>
      </c>
      <c r="L230" s="17">
        <f>IF(Database!BM230="","(none found)",Database!BM230)</f>
        <v/>
      </c>
      <c r="M230" s="19">
        <f>IFERROR(BDH(Database!$A230&amp;" HK Equity","CUR_MKT_CAP",Database!$H230,Database!$H230),"")</f>
        <v/>
      </c>
      <c r="N230" s="180">
        <f>Database!Q230</f>
        <v/>
      </c>
      <c r="O230" s="24">
        <f>IFERROR(BDH(Database!$A230&amp;" HK Equity","PE_RATIO",Database!$H230,Database!$H230),"")</f>
        <v/>
      </c>
      <c r="P230" s="184">
        <f>IF(Database!BG230="","(n/m or not derivable)",Database!BG230)</f>
        <v/>
      </c>
      <c r="Q230" s="24">
        <f>IF(Database!BM230="","",IFERROR(BDH(LEFT(Database!BM230,FIND(".",Database!BM230)-1)&amp;" CH Equity","PE_RATIO",Database!$H230,Database!$H230),""))</f>
        <v/>
      </c>
      <c r="R230" s="24">
        <f>IF(Database!BM230="","",IFERROR(BDH("HSAHP Index","PX_LAST",Database!$H230,Database!$H230),""))</f>
        <v/>
      </c>
      <c r="S230" s="24">
        <f>IFERROR(BDP(Database!$A230&amp;" HK Equity","PX_TO_SALES_RATIO"),"")</f>
        <v/>
      </c>
      <c r="T230" s="19">
        <f>IF(Database!BM230="","",IFERROR(BDP(LEFT(Database!BM230,FIND(".",Database!BM230)-1)&amp;" CH Equity","CUR_MKT_CAP"),""))</f>
        <v/>
      </c>
    </row>
    <row r="231">
      <c r="A231" s="17">
        <f>Database!A231&amp;"  "&amp;Database!B231</f>
        <v/>
      </c>
      <c r="B231" s="10">
        <f>IFERROR(INDEX(BDS(Database!$A231&amp;" HK Equity","EQUITY_OFFERINGS","array=t","endcol=1"),MATCH("IPO",BDS(Database!$A231&amp;" HK Equity","EQUITY_OFFERINGS","array=t","startcol=2","endcol=2"),0)),"")</f>
        <v/>
      </c>
      <c r="C231" s="186">
        <f>IF($B231="","",IFERROR(BDP($B231&amp;" Action","CP036"),""))</f>
        <v/>
      </c>
      <c r="D231" s="187">
        <f>Database!S231</f>
        <v/>
      </c>
      <c r="E231" s="186">
        <f>IF($B231="","",IFERROR(BDP($B231&amp;" Action","CP037"),""))</f>
        <v/>
      </c>
      <c r="F231" s="187">
        <f>Database!T231</f>
        <v/>
      </c>
      <c r="G231" s="186">
        <f>IF($B231="","",IFERROR(BDP($B231&amp;" Action","GREENSHOE_FACILITY"),""))</f>
        <v/>
      </c>
      <c r="H231" s="186">
        <f>IF($B231="","",IFERROR(BDP($B231&amp;" Action","OFFERING_GREENSHOE_SHARES_EX"),""))</f>
        <v/>
      </c>
      <c r="I231" s="17">
        <f>Database!AE231</f>
        <v/>
      </c>
      <c r="J231" s="24">
        <f>IFERROR(BDP(Database!$A231&amp;" HK Equity","PE_RATIO"),"")</f>
        <v/>
      </c>
      <c r="K231" s="10">
        <f>IFERROR(BDP(Database!$A231&amp;" HK Equity","A/H_SHARE_CONVERSION"),"")</f>
        <v/>
      </c>
      <c r="L231" s="17">
        <f>IF(Database!BM231="","(none found)",Database!BM231)</f>
        <v/>
      </c>
      <c r="M231" s="19">
        <f>IFERROR(BDH(Database!$A231&amp;" HK Equity","CUR_MKT_CAP",Database!$H231,Database!$H231),"")</f>
        <v/>
      </c>
      <c r="N231" s="180">
        <f>Database!Q231</f>
        <v/>
      </c>
      <c r="O231" s="24">
        <f>IFERROR(BDH(Database!$A231&amp;" HK Equity","PE_RATIO",Database!$H231,Database!$H231),"")</f>
        <v/>
      </c>
      <c r="P231" s="184">
        <f>IF(Database!BG231="","(n/m or not derivable)",Database!BG231)</f>
        <v/>
      </c>
      <c r="Q231" s="24">
        <f>IF(Database!BM231="","",IFERROR(BDH(LEFT(Database!BM231,FIND(".",Database!BM231)-1)&amp;" CH Equity","PE_RATIO",Database!$H231,Database!$H231),""))</f>
        <v/>
      </c>
      <c r="R231" s="24">
        <f>IF(Database!BM231="","",IFERROR(BDH("HSAHP Index","PX_LAST",Database!$H231,Database!$H231),""))</f>
        <v/>
      </c>
      <c r="S231" s="24">
        <f>IFERROR(BDP(Database!$A231&amp;" HK Equity","PX_TO_SALES_RATIO"),"")</f>
        <v/>
      </c>
      <c r="T231" s="19">
        <f>IF(Database!BM231="","",IFERROR(BDP(LEFT(Database!BM231,FIND(".",Database!BM231)-1)&amp;" CH Equity","CUR_MKT_CAP"),""))</f>
        <v/>
      </c>
    </row>
    <row r="232">
      <c r="A232" s="17">
        <f>Database!A232&amp;"  "&amp;Database!B232</f>
        <v/>
      </c>
      <c r="B232" s="10">
        <f>IFERROR(INDEX(BDS(Database!$A232&amp;" HK Equity","EQUITY_OFFERINGS","array=t","endcol=1"),MATCH("IPO",BDS(Database!$A232&amp;" HK Equity","EQUITY_OFFERINGS","array=t","startcol=2","endcol=2"),0)),"")</f>
        <v/>
      </c>
      <c r="C232" s="186">
        <f>IF($B232="","",IFERROR(BDP($B232&amp;" Action","CP036"),""))</f>
        <v/>
      </c>
      <c r="D232" s="187">
        <f>Database!S232</f>
        <v/>
      </c>
      <c r="E232" s="186">
        <f>IF($B232="","",IFERROR(BDP($B232&amp;" Action","CP037"),""))</f>
        <v/>
      </c>
      <c r="F232" s="187">
        <f>Database!T232</f>
        <v/>
      </c>
      <c r="G232" s="186">
        <f>IF($B232="","",IFERROR(BDP($B232&amp;" Action","GREENSHOE_FACILITY"),""))</f>
        <v/>
      </c>
      <c r="H232" s="186">
        <f>IF($B232="","",IFERROR(BDP($B232&amp;" Action","OFFERING_GREENSHOE_SHARES_EX"),""))</f>
        <v/>
      </c>
      <c r="I232" s="17">
        <f>Database!AE232</f>
        <v/>
      </c>
      <c r="J232" s="24">
        <f>IFERROR(BDP(Database!$A232&amp;" HK Equity","PE_RATIO"),"")</f>
        <v/>
      </c>
      <c r="K232" s="10">
        <f>IFERROR(BDP(Database!$A232&amp;" HK Equity","A/H_SHARE_CONVERSION"),"")</f>
        <v/>
      </c>
      <c r="L232" s="17">
        <f>IF(Database!BM232="","(none found)",Database!BM232)</f>
        <v/>
      </c>
      <c r="M232" s="19">
        <f>IFERROR(BDH(Database!$A232&amp;" HK Equity","CUR_MKT_CAP",Database!$H232,Database!$H232),"")</f>
        <v/>
      </c>
      <c r="N232" s="180">
        <f>Database!Q232</f>
        <v/>
      </c>
      <c r="O232" s="24">
        <f>IFERROR(BDH(Database!$A232&amp;" HK Equity","PE_RATIO",Database!$H232,Database!$H232),"")</f>
        <v/>
      </c>
      <c r="P232" s="184">
        <f>IF(Database!BG232="","(n/m or not derivable)",Database!BG232)</f>
        <v/>
      </c>
      <c r="Q232" s="24">
        <f>IF(Database!BM232="","",IFERROR(BDH(LEFT(Database!BM232,FIND(".",Database!BM232)-1)&amp;" CH Equity","PE_RATIO",Database!$H232,Database!$H232),""))</f>
        <v/>
      </c>
      <c r="R232" s="24">
        <f>IF(Database!BM232="","",IFERROR(BDH("HSAHP Index","PX_LAST",Database!$H232,Database!$H232),""))</f>
        <v/>
      </c>
      <c r="S232" s="24">
        <f>IFERROR(BDP(Database!$A232&amp;" HK Equity","PX_TO_SALES_RATIO"),"")</f>
        <v/>
      </c>
      <c r="T232" s="19">
        <f>IF(Database!BM232="","",IFERROR(BDP(LEFT(Database!BM232,FIND(".",Database!BM232)-1)&amp;" CH Equity","CUR_MKT_CAP"),""))</f>
        <v/>
      </c>
    </row>
    <row r="233">
      <c r="A233" s="17">
        <f>Database!A233&amp;"  "&amp;Database!B233</f>
        <v/>
      </c>
      <c r="B233" s="10">
        <f>IFERROR(INDEX(BDS(Database!$A233&amp;" HK Equity","EQUITY_OFFERINGS","array=t","endcol=1"),MATCH("IPO",BDS(Database!$A233&amp;" HK Equity","EQUITY_OFFERINGS","array=t","startcol=2","endcol=2"),0)),"")</f>
        <v/>
      </c>
      <c r="C233" s="186">
        <f>IF($B233="","",IFERROR(BDP($B233&amp;" Action","CP036"),""))</f>
        <v/>
      </c>
      <c r="D233" s="187">
        <f>Database!S233</f>
        <v/>
      </c>
      <c r="E233" s="186">
        <f>IF($B233="","",IFERROR(BDP($B233&amp;" Action","CP037"),""))</f>
        <v/>
      </c>
      <c r="F233" s="187">
        <f>Database!T233</f>
        <v/>
      </c>
      <c r="G233" s="186">
        <f>IF($B233="","",IFERROR(BDP($B233&amp;" Action","GREENSHOE_FACILITY"),""))</f>
        <v/>
      </c>
      <c r="H233" s="186">
        <f>IF($B233="","",IFERROR(BDP($B233&amp;" Action","OFFERING_GREENSHOE_SHARES_EX"),""))</f>
        <v/>
      </c>
      <c r="I233" s="17">
        <f>Database!AE233</f>
        <v/>
      </c>
      <c r="J233" s="24">
        <f>IFERROR(BDP(Database!$A233&amp;" HK Equity","PE_RATIO"),"")</f>
        <v/>
      </c>
      <c r="K233" s="10">
        <f>IFERROR(BDP(Database!$A233&amp;" HK Equity","A/H_SHARE_CONVERSION"),"")</f>
        <v/>
      </c>
      <c r="L233" s="17">
        <f>IF(Database!BM233="","(none found)",Database!BM233)</f>
        <v/>
      </c>
      <c r="M233" s="19">
        <f>IFERROR(BDH(Database!$A233&amp;" HK Equity","CUR_MKT_CAP",Database!$H233,Database!$H233),"")</f>
        <v/>
      </c>
      <c r="N233" s="180">
        <f>Database!Q233</f>
        <v/>
      </c>
      <c r="O233" s="24">
        <f>IFERROR(BDH(Database!$A233&amp;" HK Equity","PE_RATIO",Database!$H233,Database!$H233),"")</f>
        <v/>
      </c>
      <c r="P233" s="184">
        <f>IF(Database!BG233="","(n/m or not derivable)",Database!BG233)</f>
        <v/>
      </c>
      <c r="Q233" s="24">
        <f>IF(Database!BM233="","",IFERROR(BDH(LEFT(Database!BM233,FIND(".",Database!BM233)-1)&amp;" CH Equity","PE_RATIO",Database!$H233,Database!$H233),""))</f>
        <v/>
      </c>
      <c r="R233" s="24">
        <f>IF(Database!BM233="","",IFERROR(BDH("HSAHP Index","PX_LAST",Database!$H233,Database!$H233),""))</f>
        <v/>
      </c>
      <c r="S233" s="24">
        <f>IFERROR(BDP(Database!$A233&amp;" HK Equity","PX_TO_SALES_RATIO"),"")</f>
        <v/>
      </c>
      <c r="T233" s="19">
        <f>IF(Database!BM233="","",IFERROR(BDP(LEFT(Database!BM233,FIND(".",Database!BM233)-1)&amp;" CH Equity","CUR_MKT_CAP"),""))</f>
        <v/>
      </c>
    </row>
    <row r="234">
      <c r="A234" s="17">
        <f>Database!A234&amp;"  "&amp;Database!B234</f>
        <v/>
      </c>
      <c r="B234" s="10">
        <f>IFERROR(INDEX(BDS(Database!$A234&amp;" HK Equity","EQUITY_OFFERINGS","array=t","endcol=1"),MATCH("IPO",BDS(Database!$A234&amp;" HK Equity","EQUITY_OFFERINGS","array=t","startcol=2","endcol=2"),0)),"")</f>
        <v/>
      </c>
      <c r="C234" s="186">
        <f>IF($B234="","",IFERROR(BDP($B234&amp;" Action","CP036"),""))</f>
        <v/>
      </c>
      <c r="D234" s="187">
        <f>Database!S234</f>
        <v/>
      </c>
      <c r="E234" s="186">
        <f>IF($B234="","",IFERROR(BDP($B234&amp;" Action","CP037"),""))</f>
        <v/>
      </c>
      <c r="F234" s="187">
        <f>Database!T234</f>
        <v/>
      </c>
      <c r="G234" s="186">
        <f>IF($B234="","",IFERROR(BDP($B234&amp;" Action","GREENSHOE_FACILITY"),""))</f>
        <v/>
      </c>
      <c r="H234" s="186">
        <f>IF($B234="","",IFERROR(BDP($B234&amp;" Action","OFFERING_GREENSHOE_SHARES_EX"),""))</f>
        <v/>
      </c>
      <c r="I234" s="17">
        <f>Database!AE234</f>
        <v/>
      </c>
      <c r="J234" s="24">
        <f>IFERROR(BDP(Database!$A234&amp;" HK Equity","PE_RATIO"),"")</f>
        <v/>
      </c>
      <c r="K234" s="10">
        <f>IFERROR(BDP(Database!$A234&amp;" HK Equity","A/H_SHARE_CONVERSION"),"")</f>
        <v/>
      </c>
      <c r="L234" s="17">
        <f>IF(Database!BM234="","(none found)",Database!BM234)</f>
        <v/>
      </c>
      <c r="M234" s="19">
        <f>IFERROR(BDH(Database!$A234&amp;" HK Equity","CUR_MKT_CAP",Database!$H234,Database!$H234),"")</f>
        <v/>
      </c>
      <c r="N234" s="180">
        <f>Database!Q234</f>
        <v/>
      </c>
      <c r="O234" s="24">
        <f>IFERROR(BDH(Database!$A234&amp;" HK Equity","PE_RATIO",Database!$H234,Database!$H234),"")</f>
        <v/>
      </c>
      <c r="P234" s="184">
        <f>IF(Database!BG234="","(n/m or not derivable)",Database!BG234)</f>
        <v/>
      </c>
      <c r="Q234" s="24">
        <f>IF(Database!BM234="","",IFERROR(BDH(LEFT(Database!BM234,FIND(".",Database!BM234)-1)&amp;" CH Equity","PE_RATIO",Database!$H234,Database!$H234),""))</f>
        <v/>
      </c>
      <c r="R234" s="24">
        <f>IF(Database!BM234="","",IFERROR(BDH("HSAHP Index","PX_LAST",Database!$H234,Database!$H234),""))</f>
        <v/>
      </c>
      <c r="S234" s="24">
        <f>IFERROR(BDP(Database!$A234&amp;" HK Equity","PX_TO_SALES_RATIO"),"")</f>
        <v/>
      </c>
      <c r="T234" s="19">
        <f>IF(Database!BM234="","",IFERROR(BDP(LEFT(Database!BM234,FIND(".",Database!BM234)-1)&amp;" CH Equity","CUR_MKT_CAP"),""))</f>
        <v/>
      </c>
    </row>
    <row r="235">
      <c r="A235" s="17">
        <f>Database!A235&amp;"  "&amp;Database!B235</f>
        <v/>
      </c>
      <c r="B235" s="10">
        <f>IFERROR(INDEX(BDS(Database!$A235&amp;" HK Equity","EQUITY_OFFERINGS","array=t","endcol=1"),MATCH("IPO",BDS(Database!$A235&amp;" HK Equity","EQUITY_OFFERINGS","array=t","startcol=2","endcol=2"),0)),"")</f>
        <v/>
      </c>
      <c r="C235" s="186">
        <f>IF($B235="","",IFERROR(BDP($B235&amp;" Action","CP036"),""))</f>
        <v/>
      </c>
      <c r="D235" s="187">
        <f>Database!S235</f>
        <v/>
      </c>
      <c r="E235" s="186">
        <f>IF($B235="","",IFERROR(BDP($B235&amp;" Action","CP037"),""))</f>
        <v/>
      </c>
      <c r="F235" s="187">
        <f>Database!T235</f>
        <v/>
      </c>
      <c r="G235" s="186">
        <f>IF($B235="","",IFERROR(BDP($B235&amp;" Action","GREENSHOE_FACILITY"),""))</f>
        <v/>
      </c>
      <c r="H235" s="186">
        <f>IF($B235="","",IFERROR(BDP($B235&amp;" Action","OFFERING_GREENSHOE_SHARES_EX"),""))</f>
        <v/>
      </c>
      <c r="I235" s="17">
        <f>Database!AE235</f>
        <v/>
      </c>
      <c r="J235" s="24">
        <f>IFERROR(BDP(Database!$A235&amp;" HK Equity","PE_RATIO"),"")</f>
        <v/>
      </c>
      <c r="K235" s="10">
        <f>IFERROR(BDP(Database!$A235&amp;" HK Equity","A/H_SHARE_CONVERSION"),"")</f>
        <v/>
      </c>
      <c r="L235" s="17">
        <f>IF(Database!BM235="","(none found)",Database!BM235)</f>
        <v/>
      </c>
      <c r="M235" s="19">
        <f>IFERROR(BDH(Database!$A235&amp;" HK Equity","CUR_MKT_CAP",Database!$H235,Database!$H235),"")</f>
        <v/>
      </c>
      <c r="N235" s="180">
        <f>Database!Q235</f>
        <v/>
      </c>
      <c r="O235" s="24">
        <f>IFERROR(BDH(Database!$A235&amp;" HK Equity","PE_RATIO",Database!$H235,Database!$H235),"")</f>
        <v/>
      </c>
      <c r="P235" s="184">
        <f>IF(Database!BG235="","(n/m or not derivable)",Database!BG235)</f>
        <v/>
      </c>
      <c r="Q235" s="24">
        <f>IF(Database!BM235="","",IFERROR(BDH(LEFT(Database!BM235,FIND(".",Database!BM235)-1)&amp;" CH Equity","PE_RATIO",Database!$H235,Database!$H235),""))</f>
        <v/>
      </c>
      <c r="R235" s="24">
        <f>IF(Database!BM235="","",IFERROR(BDH("HSAHP Index","PX_LAST",Database!$H235,Database!$H235),""))</f>
        <v/>
      </c>
      <c r="S235" s="24">
        <f>IFERROR(BDP(Database!$A235&amp;" HK Equity","PX_TO_SALES_RATIO"),"")</f>
        <v/>
      </c>
      <c r="T235" s="19">
        <f>IF(Database!BM235="","",IFERROR(BDP(LEFT(Database!BM235,FIND(".",Database!BM235)-1)&amp;" CH Equity","CUR_MKT_CAP"),""))</f>
        <v/>
      </c>
    </row>
    <row r="236">
      <c r="A236" s="17">
        <f>Database!A236&amp;"  "&amp;Database!B236</f>
        <v/>
      </c>
      <c r="B236" s="10">
        <f>IFERROR(INDEX(BDS(Database!$A236&amp;" HK Equity","EQUITY_OFFERINGS","array=t","endcol=1"),MATCH("IPO",BDS(Database!$A236&amp;" HK Equity","EQUITY_OFFERINGS","array=t","startcol=2","endcol=2"),0)),"")</f>
        <v/>
      </c>
      <c r="C236" s="186">
        <f>IF($B236="","",IFERROR(BDP($B236&amp;" Action","CP036"),""))</f>
        <v/>
      </c>
      <c r="D236" s="187">
        <f>Database!S236</f>
        <v/>
      </c>
      <c r="E236" s="186">
        <f>IF($B236="","",IFERROR(BDP($B236&amp;" Action","CP037"),""))</f>
        <v/>
      </c>
      <c r="F236" s="187">
        <f>Database!T236</f>
        <v/>
      </c>
      <c r="G236" s="186">
        <f>IF($B236="","",IFERROR(BDP($B236&amp;" Action","GREENSHOE_FACILITY"),""))</f>
        <v/>
      </c>
      <c r="H236" s="186">
        <f>IF($B236="","",IFERROR(BDP($B236&amp;" Action","OFFERING_GREENSHOE_SHARES_EX"),""))</f>
        <v/>
      </c>
      <c r="I236" s="17">
        <f>Database!AE236</f>
        <v/>
      </c>
      <c r="J236" s="24">
        <f>IFERROR(BDP(Database!$A236&amp;" HK Equity","PE_RATIO"),"")</f>
        <v/>
      </c>
      <c r="K236" s="10">
        <f>IFERROR(BDP(Database!$A236&amp;" HK Equity","A/H_SHARE_CONVERSION"),"")</f>
        <v/>
      </c>
      <c r="L236" s="17">
        <f>IF(Database!BM236="","(none found)",Database!BM236)</f>
        <v/>
      </c>
      <c r="M236" s="19">
        <f>IFERROR(BDH(Database!$A236&amp;" HK Equity","CUR_MKT_CAP",Database!$H236,Database!$H236),"")</f>
        <v/>
      </c>
      <c r="N236" s="180">
        <f>Database!Q236</f>
        <v/>
      </c>
      <c r="O236" s="24">
        <f>IFERROR(BDH(Database!$A236&amp;" HK Equity","PE_RATIO",Database!$H236,Database!$H236),"")</f>
        <v/>
      </c>
      <c r="P236" s="184">
        <f>IF(Database!BG236="","(n/m or not derivable)",Database!BG236)</f>
        <v/>
      </c>
      <c r="Q236" s="24">
        <f>IF(Database!BM236="","",IFERROR(BDH(LEFT(Database!BM236,FIND(".",Database!BM236)-1)&amp;" CH Equity","PE_RATIO",Database!$H236,Database!$H236),""))</f>
        <v/>
      </c>
      <c r="R236" s="24">
        <f>IF(Database!BM236="","",IFERROR(BDH("HSAHP Index","PX_LAST",Database!$H236,Database!$H236),""))</f>
        <v/>
      </c>
      <c r="S236" s="24">
        <f>IFERROR(BDP(Database!$A236&amp;" HK Equity","PX_TO_SALES_RATIO"),"")</f>
        <v/>
      </c>
      <c r="T236" s="19">
        <f>IF(Database!BM236="","",IFERROR(BDP(LEFT(Database!BM236,FIND(".",Database!BM236)-1)&amp;" CH Equity","CUR_MKT_CAP"),""))</f>
        <v/>
      </c>
    </row>
    <row r="237">
      <c r="A237" s="17">
        <f>Database!A237&amp;"  "&amp;Database!B237</f>
        <v/>
      </c>
      <c r="B237" s="10">
        <f>IFERROR(INDEX(BDS(Database!$A237&amp;" HK Equity","EQUITY_OFFERINGS","array=t","endcol=1"),MATCH("IPO",BDS(Database!$A237&amp;" HK Equity","EQUITY_OFFERINGS","array=t","startcol=2","endcol=2"),0)),"")</f>
        <v/>
      </c>
      <c r="C237" s="186">
        <f>IF($B237="","",IFERROR(BDP($B237&amp;" Action","CP036"),""))</f>
        <v/>
      </c>
      <c r="D237" s="187">
        <f>Database!S237</f>
        <v/>
      </c>
      <c r="E237" s="186">
        <f>IF($B237="","",IFERROR(BDP($B237&amp;" Action","CP037"),""))</f>
        <v/>
      </c>
      <c r="F237" s="187">
        <f>Database!T237</f>
        <v/>
      </c>
      <c r="G237" s="186">
        <f>IF($B237="","",IFERROR(BDP($B237&amp;" Action","GREENSHOE_FACILITY"),""))</f>
        <v/>
      </c>
      <c r="H237" s="186">
        <f>IF($B237="","",IFERROR(BDP($B237&amp;" Action","OFFERING_GREENSHOE_SHARES_EX"),""))</f>
        <v/>
      </c>
      <c r="I237" s="17">
        <f>Database!AE237</f>
        <v/>
      </c>
      <c r="J237" s="24">
        <f>IFERROR(BDP(Database!$A237&amp;" HK Equity","PE_RATIO"),"")</f>
        <v/>
      </c>
      <c r="K237" s="10">
        <f>IFERROR(BDP(Database!$A237&amp;" HK Equity","A/H_SHARE_CONVERSION"),"")</f>
        <v/>
      </c>
      <c r="L237" s="17">
        <f>IF(Database!BM237="","(none found)",Database!BM237)</f>
        <v/>
      </c>
      <c r="M237" s="19">
        <f>IFERROR(BDH(Database!$A237&amp;" HK Equity","CUR_MKT_CAP",Database!$H237,Database!$H237),"")</f>
        <v/>
      </c>
      <c r="N237" s="180">
        <f>Database!Q237</f>
        <v/>
      </c>
      <c r="O237" s="24">
        <f>IFERROR(BDH(Database!$A237&amp;" HK Equity","PE_RATIO",Database!$H237,Database!$H237),"")</f>
        <v/>
      </c>
      <c r="P237" s="184">
        <f>IF(Database!BG237="","(n/m or not derivable)",Database!BG237)</f>
        <v/>
      </c>
      <c r="Q237" s="24">
        <f>IF(Database!BM237="","",IFERROR(BDH(LEFT(Database!BM237,FIND(".",Database!BM237)-1)&amp;" CH Equity","PE_RATIO",Database!$H237,Database!$H237),""))</f>
        <v/>
      </c>
      <c r="R237" s="24">
        <f>IF(Database!BM237="","",IFERROR(BDH("HSAHP Index","PX_LAST",Database!$H237,Database!$H237),""))</f>
        <v/>
      </c>
      <c r="S237" s="24">
        <f>IFERROR(BDP(Database!$A237&amp;" HK Equity","PX_TO_SALES_RATIO"),"")</f>
        <v/>
      </c>
      <c r="T237" s="19">
        <f>IF(Database!BM237="","",IFERROR(BDP(LEFT(Database!BM237,FIND(".",Database!BM237)-1)&amp;" CH Equity","CUR_MKT_CAP"),""))</f>
        <v/>
      </c>
    </row>
    <row r="238">
      <c r="A238" s="17">
        <f>Database!A238&amp;"  "&amp;Database!B238</f>
        <v/>
      </c>
      <c r="B238" s="10">
        <f>IFERROR(INDEX(BDS(Database!$A238&amp;" HK Equity","EQUITY_OFFERINGS","array=t","endcol=1"),MATCH("IPO",BDS(Database!$A238&amp;" HK Equity","EQUITY_OFFERINGS","array=t","startcol=2","endcol=2"),0)),"")</f>
        <v/>
      </c>
      <c r="C238" s="186">
        <f>IF($B238="","",IFERROR(BDP($B238&amp;" Action","CP036"),""))</f>
        <v/>
      </c>
      <c r="D238" s="187">
        <f>Database!S238</f>
        <v/>
      </c>
      <c r="E238" s="186">
        <f>IF($B238="","",IFERROR(BDP($B238&amp;" Action","CP037"),""))</f>
        <v/>
      </c>
      <c r="F238" s="187">
        <f>Database!T238</f>
        <v/>
      </c>
      <c r="G238" s="186">
        <f>IF($B238="","",IFERROR(BDP($B238&amp;" Action","GREENSHOE_FACILITY"),""))</f>
        <v/>
      </c>
      <c r="H238" s="186">
        <f>IF($B238="","",IFERROR(BDP($B238&amp;" Action","OFFERING_GREENSHOE_SHARES_EX"),""))</f>
        <v/>
      </c>
      <c r="I238" s="17">
        <f>Database!AE238</f>
        <v/>
      </c>
      <c r="J238" s="24">
        <f>IFERROR(BDP(Database!$A238&amp;" HK Equity","PE_RATIO"),"")</f>
        <v/>
      </c>
      <c r="K238" s="10">
        <f>IFERROR(BDP(Database!$A238&amp;" HK Equity","A/H_SHARE_CONVERSION"),"")</f>
        <v/>
      </c>
      <c r="L238" s="17">
        <f>IF(Database!BM238="","(none found)",Database!BM238)</f>
        <v/>
      </c>
      <c r="M238" s="19">
        <f>IFERROR(BDH(Database!$A238&amp;" HK Equity","CUR_MKT_CAP",Database!$H238,Database!$H238),"")</f>
        <v/>
      </c>
      <c r="N238" s="180">
        <f>Database!Q238</f>
        <v/>
      </c>
      <c r="O238" s="24">
        <f>IFERROR(BDH(Database!$A238&amp;" HK Equity","PE_RATIO",Database!$H238,Database!$H238),"")</f>
        <v/>
      </c>
      <c r="P238" s="184">
        <f>IF(Database!BG238="","(n/m or not derivable)",Database!BG238)</f>
        <v/>
      </c>
      <c r="Q238" s="24">
        <f>IF(Database!BM238="","",IFERROR(BDH(LEFT(Database!BM238,FIND(".",Database!BM238)-1)&amp;" CH Equity","PE_RATIO",Database!$H238,Database!$H238),""))</f>
        <v/>
      </c>
      <c r="R238" s="24">
        <f>IF(Database!BM238="","",IFERROR(BDH("HSAHP Index","PX_LAST",Database!$H238,Database!$H238),""))</f>
        <v/>
      </c>
      <c r="S238" s="24">
        <f>IFERROR(BDP(Database!$A238&amp;" HK Equity","PX_TO_SALES_RATIO"),"")</f>
        <v/>
      </c>
      <c r="T238" s="19">
        <f>IF(Database!BM238="","",IFERROR(BDP(LEFT(Database!BM238,FIND(".",Database!BM238)-1)&amp;" CH Equity","CUR_MKT_CAP"),""))</f>
        <v/>
      </c>
    </row>
    <row r="239">
      <c r="A239" s="17">
        <f>Database!A239&amp;"  "&amp;Database!B239</f>
        <v/>
      </c>
      <c r="B239" s="10">
        <f>IFERROR(INDEX(BDS(Database!$A239&amp;" HK Equity","EQUITY_OFFERINGS","array=t","endcol=1"),MATCH("IPO",BDS(Database!$A239&amp;" HK Equity","EQUITY_OFFERINGS","array=t","startcol=2","endcol=2"),0)),"")</f>
        <v/>
      </c>
      <c r="C239" s="186">
        <f>IF($B239="","",IFERROR(BDP($B239&amp;" Action","CP036"),""))</f>
        <v/>
      </c>
      <c r="D239" s="187">
        <f>Database!S239</f>
        <v/>
      </c>
      <c r="E239" s="186">
        <f>IF($B239="","",IFERROR(BDP($B239&amp;" Action","CP037"),""))</f>
        <v/>
      </c>
      <c r="F239" s="187">
        <f>Database!T239</f>
        <v/>
      </c>
      <c r="G239" s="186">
        <f>IF($B239="","",IFERROR(BDP($B239&amp;" Action","GREENSHOE_FACILITY"),""))</f>
        <v/>
      </c>
      <c r="H239" s="186">
        <f>IF($B239="","",IFERROR(BDP($B239&amp;" Action","OFFERING_GREENSHOE_SHARES_EX"),""))</f>
        <v/>
      </c>
      <c r="I239" s="17">
        <f>Database!AE239</f>
        <v/>
      </c>
      <c r="J239" s="24">
        <f>IFERROR(BDP(Database!$A239&amp;" HK Equity","PE_RATIO"),"")</f>
        <v/>
      </c>
      <c r="K239" s="10">
        <f>IFERROR(BDP(Database!$A239&amp;" HK Equity","A/H_SHARE_CONVERSION"),"")</f>
        <v/>
      </c>
      <c r="L239" s="17">
        <f>IF(Database!BM239="","(none found)",Database!BM239)</f>
        <v/>
      </c>
      <c r="M239" s="19">
        <f>IFERROR(BDH(Database!$A239&amp;" HK Equity","CUR_MKT_CAP",Database!$H239,Database!$H239),"")</f>
        <v/>
      </c>
      <c r="N239" s="180">
        <f>Database!Q239</f>
        <v/>
      </c>
      <c r="O239" s="24">
        <f>IFERROR(BDH(Database!$A239&amp;" HK Equity","PE_RATIO",Database!$H239,Database!$H239),"")</f>
        <v/>
      </c>
      <c r="P239" s="184">
        <f>IF(Database!BG239="","(n/m or not derivable)",Database!BG239)</f>
        <v/>
      </c>
      <c r="Q239" s="24">
        <f>IF(Database!BM239="","",IFERROR(BDH(LEFT(Database!BM239,FIND(".",Database!BM239)-1)&amp;" CH Equity","PE_RATIO",Database!$H239,Database!$H239),""))</f>
        <v/>
      </c>
      <c r="R239" s="24">
        <f>IF(Database!BM239="","",IFERROR(BDH("HSAHP Index","PX_LAST",Database!$H239,Database!$H239),""))</f>
        <v/>
      </c>
      <c r="S239" s="24">
        <f>IFERROR(BDP(Database!$A239&amp;" HK Equity","PX_TO_SALES_RATIO"),"")</f>
        <v/>
      </c>
      <c r="T239" s="19">
        <f>IF(Database!BM239="","",IFERROR(BDP(LEFT(Database!BM239,FIND(".",Database!BM239)-1)&amp;" CH Equity","CUR_MKT_CAP"),""))</f>
        <v/>
      </c>
    </row>
    <row r="240">
      <c r="A240" s="17">
        <f>Database!A240&amp;"  "&amp;Database!B240</f>
        <v/>
      </c>
      <c r="B240" s="10">
        <f>IFERROR(INDEX(BDS(Database!$A240&amp;" HK Equity","EQUITY_OFFERINGS","array=t","endcol=1"),MATCH("IPO",BDS(Database!$A240&amp;" HK Equity","EQUITY_OFFERINGS","array=t","startcol=2","endcol=2"),0)),"")</f>
        <v/>
      </c>
      <c r="C240" s="186">
        <f>IF($B240="","",IFERROR(BDP($B240&amp;" Action","CP036"),""))</f>
        <v/>
      </c>
      <c r="D240" s="187">
        <f>Database!S240</f>
        <v/>
      </c>
      <c r="E240" s="186">
        <f>IF($B240="","",IFERROR(BDP($B240&amp;" Action","CP037"),""))</f>
        <v/>
      </c>
      <c r="F240" s="187">
        <f>Database!T240</f>
        <v/>
      </c>
      <c r="G240" s="186">
        <f>IF($B240="","",IFERROR(BDP($B240&amp;" Action","GREENSHOE_FACILITY"),""))</f>
        <v/>
      </c>
      <c r="H240" s="186">
        <f>IF($B240="","",IFERROR(BDP($B240&amp;" Action","OFFERING_GREENSHOE_SHARES_EX"),""))</f>
        <v/>
      </c>
      <c r="I240" s="17">
        <f>Database!AE240</f>
        <v/>
      </c>
      <c r="J240" s="24">
        <f>IFERROR(BDP(Database!$A240&amp;" HK Equity","PE_RATIO"),"")</f>
        <v/>
      </c>
      <c r="K240" s="10">
        <f>IFERROR(BDP(Database!$A240&amp;" HK Equity","A/H_SHARE_CONVERSION"),"")</f>
        <v/>
      </c>
      <c r="L240" s="17">
        <f>IF(Database!BM240="","(none found)",Database!BM240)</f>
        <v/>
      </c>
      <c r="M240" s="19">
        <f>IFERROR(BDH(Database!$A240&amp;" HK Equity","CUR_MKT_CAP",Database!$H240,Database!$H240),"")</f>
        <v/>
      </c>
      <c r="N240" s="180">
        <f>Database!Q240</f>
        <v/>
      </c>
      <c r="O240" s="24">
        <f>IFERROR(BDH(Database!$A240&amp;" HK Equity","PE_RATIO",Database!$H240,Database!$H240),"")</f>
        <v/>
      </c>
      <c r="P240" s="184">
        <f>IF(Database!BG240="","(n/m or not derivable)",Database!BG240)</f>
        <v/>
      </c>
      <c r="Q240" s="24">
        <f>IF(Database!BM240="","",IFERROR(BDH(LEFT(Database!BM240,FIND(".",Database!BM240)-1)&amp;" CH Equity","PE_RATIO",Database!$H240,Database!$H240),""))</f>
        <v/>
      </c>
      <c r="R240" s="24">
        <f>IF(Database!BM240="","",IFERROR(BDH("HSAHP Index","PX_LAST",Database!$H240,Database!$H240),""))</f>
        <v/>
      </c>
      <c r="S240" s="24">
        <f>IFERROR(BDP(Database!$A240&amp;" HK Equity","PX_TO_SALES_RATIO"),"")</f>
        <v/>
      </c>
      <c r="T240" s="19">
        <f>IF(Database!BM240="","",IFERROR(BDP(LEFT(Database!BM240,FIND(".",Database!BM240)-1)&amp;" CH Equity","CUR_MKT_CAP"),""))</f>
        <v/>
      </c>
    </row>
    <row r="241">
      <c r="A241" s="17">
        <f>Database!A241&amp;"  "&amp;Database!B241</f>
        <v/>
      </c>
      <c r="B241" s="10">
        <f>IFERROR(INDEX(BDS(Database!$A241&amp;" HK Equity","EQUITY_OFFERINGS","array=t","endcol=1"),MATCH("IPO",BDS(Database!$A241&amp;" HK Equity","EQUITY_OFFERINGS","array=t","startcol=2","endcol=2"),0)),"")</f>
        <v/>
      </c>
      <c r="C241" s="186">
        <f>IF($B241="","",IFERROR(BDP($B241&amp;" Action","CP036"),""))</f>
        <v/>
      </c>
      <c r="D241" s="187">
        <f>Database!S241</f>
        <v/>
      </c>
      <c r="E241" s="186">
        <f>IF($B241="","",IFERROR(BDP($B241&amp;" Action","CP037"),""))</f>
        <v/>
      </c>
      <c r="F241" s="187">
        <f>Database!T241</f>
        <v/>
      </c>
      <c r="G241" s="186">
        <f>IF($B241="","",IFERROR(BDP($B241&amp;" Action","GREENSHOE_FACILITY"),""))</f>
        <v/>
      </c>
      <c r="H241" s="186">
        <f>IF($B241="","",IFERROR(BDP($B241&amp;" Action","OFFERING_GREENSHOE_SHARES_EX"),""))</f>
        <v/>
      </c>
      <c r="I241" s="17">
        <f>Database!AE241</f>
        <v/>
      </c>
      <c r="J241" s="24">
        <f>IFERROR(BDP(Database!$A241&amp;" HK Equity","PE_RATIO"),"")</f>
        <v/>
      </c>
      <c r="K241" s="10">
        <f>IFERROR(BDP(Database!$A241&amp;" HK Equity","A/H_SHARE_CONVERSION"),"")</f>
        <v/>
      </c>
      <c r="L241" s="17">
        <f>IF(Database!BM241="","(none found)",Database!BM241)</f>
        <v/>
      </c>
      <c r="M241" s="19">
        <f>IFERROR(BDH(Database!$A241&amp;" HK Equity","CUR_MKT_CAP",Database!$H241,Database!$H241),"")</f>
        <v/>
      </c>
      <c r="N241" s="180">
        <f>Database!Q241</f>
        <v/>
      </c>
      <c r="O241" s="24">
        <f>IFERROR(BDH(Database!$A241&amp;" HK Equity","PE_RATIO",Database!$H241,Database!$H241),"")</f>
        <v/>
      </c>
      <c r="P241" s="184">
        <f>IF(Database!BG241="","(n/m or not derivable)",Database!BG241)</f>
        <v/>
      </c>
      <c r="Q241" s="24">
        <f>IF(Database!BM241="","",IFERROR(BDH(LEFT(Database!BM241,FIND(".",Database!BM241)-1)&amp;" CH Equity","PE_RATIO",Database!$H241,Database!$H241),""))</f>
        <v/>
      </c>
      <c r="R241" s="24">
        <f>IF(Database!BM241="","",IFERROR(BDH("HSAHP Index","PX_LAST",Database!$H241,Database!$H241),""))</f>
        <v/>
      </c>
      <c r="S241" s="24">
        <f>IFERROR(BDP(Database!$A241&amp;" HK Equity","PX_TO_SALES_RATIO"),"")</f>
        <v/>
      </c>
      <c r="T241" s="19">
        <f>IF(Database!BM241="","",IFERROR(BDP(LEFT(Database!BM241,FIND(".",Database!BM241)-1)&amp;" CH Equity","CUR_MKT_CAP"),""))</f>
        <v/>
      </c>
    </row>
    <row r="242">
      <c r="A242" s="17">
        <f>Database!A242&amp;"  "&amp;Database!B242</f>
        <v/>
      </c>
      <c r="B242" s="10">
        <f>IFERROR(INDEX(BDS(Database!$A242&amp;" HK Equity","EQUITY_OFFERINGS","array=t","endcol=1"),MATCH("IPO",BDS(Database!$A242&amp;" HK Equity","EQUITY_OFFERINGS","array=t","startcol=2","endcol=2"),0)),"")</f>
        <v/>
      </c>
      <c r="C242" s="186">
        <f>IF($B242="","",IFERROR(BDP($B242&amp;" Action","CP036"),""))</f>
        <v/>
      </c>
      <c r="D242" s="187">
        <f>Database!S242</f>
        <v/>
      </c>
      <c r="E242" s="186">
        <f>IF($B242="","",IFERROR(BDP($B242&amp;" Action","CP037"),""))</f>
        <v/>
      </c>
      <c r="F242" s="187">
        <f>Database!T242</f>
        <v/>
      </c>
      <c r="G242" s="186">
        <f>IF($B242="","",IFERROR(BDP($B242&amp;" Action","GREENSHOE_FACILITY"),""))</f>
        <v/>
      </c>
      <c r="H242" s="186">
        <f>IF($B242="","",IFERROR(BDP($B242&amp;" Action","OFFERING_GREENSHOE_SHARES_EX"),""))</f>
        <v/>
      </c>
      <c r="I242" s="17">
        <f>Database!AE242</f>
        <v/>
      </c>
      <c r="J242" s="24">
        <f>IFERROR(BDP(Database!$A242&amp;" HK Equity","PE_RATIO"),"")</f>
        <v/>
      </c>
      <c r="K242" s="10">
        <f>IFERROR(BDP(Database!$A242&amp;" HK Equity","A/H_SHARE_CONVERSION"),"")</f>
        <v/>
      </c>
      <c r="L242" s="17">
        <f>IF(Database!BM242="","(none found)",Database!BM242)</f>
        <v/>
      </c>
      <c r="M242" s="19">
        <f>IFERROR(BDH(Database!$A242&amp;" HK Equity","CUR_MKT_CAP",Database!$H242,Database!$H242),"")</f>
        <v/>
      </c>
      <c r="N242" s="180">
        <f>Database!Q242</f>
        <v/>
      </c>
      <c r="O242" s="24">
        <f>IFERROR(BDH(Database!$A242&amp;" HK Equity","PE_RATIO",Database!$H242,Database!$H242),"")</f>
        <v/>
      </c>
      <c r="P242" s="184">
        <f>IF(Database!BG242="","(n/m or not derivable)",Database!BG242)</f>
        <v/>
      </c>
      <c r="Q242" s="24">
        <f>IF(Database!BM242="","",IFERROR(BDH(LEFT(Database!BM242,FIND(".",Database!BM242)-1)&amp;" CH Equity","PE_RATIO",Database!$H242,Database!$H242),""))</f>
        <v/>
      </c>
      <c r="R242" s="24">
        <f>IF(Database!BM242="","",IFERROR(BDH("HSAHP Index","PX_LAST",Database!$H242,Database!$H242),""))</f>
        <v/>
      </c>
      <c r="S242" s="24">
        <f>IFERROR(BDP(Database!$A242&amp;" HK Equity","PX_TO_SALES_RATIO"),"")</f>
        <v/>
      </c>
      <c r="T242" s="19">
        <f>IF(Database!BM242="","",IFERROR(BDP(LEFT(Database!BM242,FIND(".",Database!BM242)-1)&amp;" CH Equity","CUR_MKT_CAP"),""))</f>
        <v/>
      </c>
    </row>
    <row r="243">
      <c r="A243" s="17">
        <f>Database!A243&amp;"  "&amp;Database!B243</f>
        <v/>
      </c>
      <c r="B243" s="10">
        <f>IFERROR(INDEX(BDS(Database!$A243&amp;" HK Equity","EQUITY_OFFERINGS","array=t","endcol=1"),MATCH("IPO",BDS(Database!$A243&amp;" HK Equity","EQUITY_OFFERINGS","array=t","startcol=2","endcol=2"),0)),"")</f>
        <v/>
      </c>
      <c r="C243" s="186">
        <f>IF($B243="","",IFERROR(BDP($B243&amp;" Action","CP036"),""))</f>
        <v/>
      </c>
      <c r="D243" s="187">
        <f>Database!S243</f>
        <v/>
      </c>
      <c r="E243" s="186">
        <f>IF($B243="","",IFERROR(BDP($B243&amp;" Action","CP037"),""))</f>
        <v/>
      </c>
      <c r="F243" s="187">
        <f>Database!T243</f>
        <v/>
      </c>
      <c r="G243" s="186">
        <f>IF($B243="","",IFERROR(BDP($B243&amp;" Action","GREENSHOE_FACILITY"),""))</f>
        <v/>
      </c>
      <c r="H243" s="186">
        <f>IF($B243="","",IFERROR(BDP($B243&amp;" Action","OFFERING_GREENSHOE_SHARES_EX"),""))</f>
        <v/>
      </c>
      <c r="I243" s="17">
        <f>Database!AE243</f>
        <v/>
      </c>
      <c r="J243" s="24">
        <f>IFERROR(BDP(Database!$A243&amp;" HK Equity","PE_RATIO"),"")</f>
        <v/>
      </c>
      <c r="K243" s="10">
        <f>IFERROR(BDP(Database!$A243&amp;" HK Equity","A/H_SHARE_CONVERSION"),"")</f>
        <v/>
      </c>
      <c r="L243" s="17">
        <f>IF(Database!BM243="","(none found)",Database!BM243)</f>
        <v/>
      </c>
      <c r="M243" s="19">
        <f>IFERROR(BDH(Database!$A243&amp;" HK Equity","CUR_MKT_CAP",Database!$H243,Database!$H243),"")</f>
        <v/>
      </c>
      <c r="N243" s="180">
        <f>Database!Q243</f>
        <v/>
      </c>
      <c r="O243" s="24">
        <f>IFERROR(BDH(Database!$A243&amp;" HK Equity","PE_RATIO",Database!$H243,Database!$H243),"")</f>
        <v/>
      </c>
      <c r="P243" s="184">
        <f>IF(Database!BG243="","(n/m or not derivable)",Database!BG243)</f>
        <v/>
      </c>
      <c r="Q243" s="24">
        <f>IF(Database!BM243="","",IFERROR(BDH(LEFT(Database!BM243,FIND(".",Database!BM243)-1)&amp;" CH Equity","PE_RATIO",Database!$H243,Database!$H243),""))</f>
        <v/>
      </c>
      <c r="R243" s="24">
        <f>IF(Database!BM243="","",IFERROR(BDH("HSAHP Index","PX_LAST",Database!$H243,Database!$H243),""))</f>
        <v/>
      </c>
      <c r="S243" s="24">
        <f>IFERROR(BDP(Database!$A243&amp;" HK Equity","PX_TO_SALES_RATIO"),"")</f>
        <v/>
      </c>
      <c r="T243" s="19">
        <f>IF(Database!BM243="","",IFERROR(BDP(LEFT(Database!BM243,FIND(".",Database!BM243)-1)&amp;" CH Equity","CUR_MKT_CAP"),""))</f>
        <v/>
      </c>
    </row>
    <row r="244">
      <c r="A244" s="17">
        <f>Database!A244&amp;"  "&amp;Database!B244</f>
        <v/>
      </c>
      <c r="B244" s="10">
        <f>IFERROR(INDEX(BDS(Database!$A244&amp;" HK Equity","EQUITY_OFFERINGS","array=t","endcol=1"),MATCH("IPO",BDS(Database!$A244&amp;" HK Equity","EQUITY_OFFERINGS","array=t","startcol=2","endcol=2"),0)),"")</f>
        <v/>
      </c>
      <c r="C244" s="186">
        <f>IF($B244="","",IFERROR(BDP($B244&amp;" Action","CP036"),""))</f>
        <v/>
      </c>
      <c r="D244" s="187">
        <f>Database!S244</f>
        <v/>
      </c>
      <c r="E244" s="186">
        <f>IF($B244="","",IFERROR(BDP($B244&amp;" Action","CP037"),""))</f>
        <v/>
      </c>
      <c r="F244" s="187">
        <f>Database!T244</f>
        <v/>
      </c>
      <c r="G244" s="186">
        <f>IF($B244="","",IFERROR(BDP($B244&amp;" Action","GREENSHOE_FACILITY"),""))</f>
        <v/>
      </c>
      <c r="H244" s="186">
        <f>IF($B244="","",IFERROR(BDP($B244&amp;" Action","OFFERING_GREENSHOE_SHARES_EX"),""))</f>
        <v/>
      </c>
      <c r="I244" s="17">
        <f>Database!AE244</f>
        <v/>
      </c>
      <c r="J244" s="24">
        <f>IFERROR(BDP(Database!$A244&amp;" HK Equity","PE_RATIO"),"")</f>
        <v/>
      </c>
      <c r="K244" s="10">
        <f>IFERROR(BDP(Database!$A244&amp;" HK Equity","A/H_SHARE_CONVERSION"),"")</f>
        <v/>
      </c>
      <c r="L244" s="17">
        <f>IF(Database!BM244="","(none found)",Database!BM244)</f>
        <v/>
      </c>
      <c r="M244" s="19">
        <f>IFERROR(BDH(Database!$A244&amp;" HK Equity","CUR_MKT_CAP",Database!$H244,Database!$H244),"")</f>
        <v/>
      </c>
      <c r="N244" s="180">
        <f>Database!Q244</f>
        <v/>
      </c>
      <c r="O244" s="24">
        <f>IFERROR(BDH(Database!$A244&amp;" HK Equity","PE_RATIO",Database!$H244,Database!$H244),"")</f>
        <v/>
      </c>
      <c r="P244" s="184">
        <f>IF(Database!BG244="","(n/m or not derivable)",Database!BG244)</f>
        <v/>
      </c>
      <c r="Q244" s="24">
        <f>IF(Database!BM244="","",IFERROR(BDH(LEFT(Database!BM244,FIND(".",Database!BM244)-1)&amp;" CH Equity","PE_RATIO",Database!$H244,Database!$H244),""))</f>
        <v/>
      </c>
      <c r="R244" s="24">
        <f>IF(Database!BM244="","",IFERROR(BDH("HSAHP Index","PX_LAST",Database!$H244,Database!$H244),""))</f>
        <v/>
      </c>
      <c r="S244" s="24">
        <f>IFERROR(BDP(Database!$A244&amp;" HK Equity","PX_TO_SALES_RATIO"),"")</f>
        <v/>
      </c>
      <c r="T244" s="19">
        <f>IF(Database!BM244="","",IFERROR(BDP(LEFT(Database!BM244,FIND(".",Database!BM244)-1)&amp;" CH Equity","CUR_MKT_CAP"),""))</f>
        <v/>
      </c>
    </row>
    <row r="245">
      <c r="A245" s="17">
        <f>Database!A245&amp;"  "&amp;Database!B245</f>
        <v/>
      </c>
      <c r="B245" s="10">
        <f>IFERROR(INDEX(BDS(Database!$A245&amp;" HK Equity","EQUITY_OFFERINGS","array=t","endcol=1"),MATCH("IPO",BDS(Database!$A245&amp;" HK Equity","EQUITY_OFFERINGS","array=t","startcol=2","endcol=2"),0)),"")</f>
        <v/>
      </c>
      <c r="C245" s="186">
        <f>IF($B245="","",IFERROR(BDP($B245&amp;" Action","CP036"),""))</f>
        <v/>
      </c>
      <c r="D245" s="187">
        <f>Database!S245</f>
        <v/>
      </c>
      <c r="E245" s="186">
        <f>IF($B245="","",IFERROR(BDP($B245&amp;" Action","CP037"),""))</f>
        <v/>
      </c>
      <c r="F245" s="187">
        <f>Database!T245</f>
        <v/>
      </c>
      <c r="G245" s="186">
        <f>IF($B245="","",IFERROR(BDP($B245&amp;" Action","GREENSHOE_FACILITY"),""))</f>
        <v/>
      </c>
      <c r="H245" s="186">
        <f>IF($B245="","",IFERROR(BDP($B245&amp;" Action","OFFERING_GREENSHOE_SHARES_EX"),""))</f>
        <v/>
      </c>
      <c r="I245" s="17">
        <f>Database!AE245</f>
        <v/>
      </c>
      <c r="J245" s="24">
        <f>IFERROR(BDP(Database!$A245&amp;" HK Equity","PE_RATIO"),"")</f>
        <v/>
      </c>
      <c r="K245" s="10">
        <f>IFERROR(BDP(Database!$A245&amp;" HK Equity","A/H_SHARE_CONVERSION"),"")</f>
        <v/>
      </c>
      <c r="L245" s="17">
        <f>IF(Database!BM245="","(none found)",Database!BM245)</f>
        <v/>
      </c>
      <c r="M245" s="19">
        <f>IFERROR(BDH(Database!$A245&amp;" HK Equity","CUR_MKT_CAP",Database!$H245,Database!$H245),"")</f>
        <v/>
      </c>
      <c r="N245" s="180">
        <f>Database!Q245</f>
        <v/>
      </c>
      <c r="O245" s="24">
        <f>IFERROR(BDH(Database!$A245&amp;" HK Equity","PE_RATIO",Database!$H245,Database!$H245),"")</f>
        <v/>
      </c>
      <c r="P245" s="184">
        <f>IF(Database!BG245="","(n/m or not derivable)",Database!BG245)</f>
        <v/>
      </c>
      <c r="Q245" s="24">
        <f>IF(Database!BM245="","",IFERROR(BDH(LEFT(Database!BM245,FIND(".",Database!BM245)-1)&amp;" CH Equity","PE_RATIO",Database!$H245,Database!$H245),""))</f>
        <v/>
      </c>
      <c r="R245" s="24">
        <f>IF(Database!BM245="","",IFERROR(BDH("HSAHP Index","PX_LAST",Database!$H245,Database!$H245),""))</f>
        <v/>
      </c>
      <c r="S245" s="24">
        <f>IFERROR(BDP(Database!$A245&amp;" HK Equity","PX_TO_SALES_RATIO"),"")</f>
        <v/>
      </c>
      <c r="T245" s="19">
        <f>IF(Database!BM245="","",IFERROR(BDP(LEFT(Database!BM245,FIND(".",Database!BM245)-1)&amp;" CH Equity","CUR_MKT_CAP"),""))</f>
        <v/>
      </c>
    </row>
    <row r="246">
      <c r="A246" s="17">
        <f>Database!A246&amp;"  "&amp;Database!B246</f>
        <v/>
      </c>
      <c r="B246" s="10">
        <f>IFERROR(INDEX(BDS(Database!$A246&amp;" HK Equity","EQUITY_OFFERINGS","array=t","endcol=1"),MATCH("IPO",BDS(Database!$A246&amp;" HK Equity","EQUITY_OFFERINGS","array=t","startcol=2","endcol=2"),0)),"")</f>
        <v/>
      </c>
      <c r="C246" s="186">
        <f>IF($B246="","",IFERROR(BDP($B246&amp;" Action","CP036"),""))</f>
        <v/>
      </c>
      <c r="D246" s="187">
        <f>Database!S246</f>
        <v/>
      </c>
      <c r="E246" s="186">
        <f>IF($B246="","",IFERROR(BDP($B246&amp;" Action","CP037"),""))</f>
        <v/>
      </c>
      <c r="F246" s="187">
        <f>Database!T246</f>
        <v/>
      </c>
      <c r="G246" s="186">
        <f>IF($B246="","",IFERROR(BDP($B246&amp;" Action","GREENSHOE_FACILITY"),""))</f>
        <v/>
      </c>
      <c r="H246" s="186">
        <f>IF($B246="","",IFERROR(BDP($B246&amp;" Action","OFFERING_GREENSHOE_SHARES_EX"),""))</f>
        <v/>
      </c>
      <c r="I246" s="17">
        <f>Database!AE246</f>
        <v/>
      </c>
      <c r="J246" s="24">
        <f>IFERROR(BDP(Database!$A246&amp;" HK Equity","PE_RATIO"),"")</f>
        <v/>
      </c>
      <c r="K246" s="10">
        <f>IFERROR(BDP(Database!$A246&amp;" HK Equity","A/H_SHARE_CONVERSION"),"")</f>
        <v/>
      </c>
      <c r="L246" s="17">
        <f>IF(Database!BM246="","(none found)",Database!BM246)</f>
        <v/>
      </c>
      <c r="M246" s="19">
        <f>IFERROR(BDH(Database!$A246&amp;" HK Equity","CUR_MKT_CAP",Database!$H246,Database!$H246),"")</f>
        <v/>
      </c>
      <c r="N246" s="180">
        <f>Database!Q246</f>
        <v/>
      </c>
      <c r="O246" s="24">
        <f>IFERROR(BDH(Database!$A246&amp;" HK Equity","PE_RATIO",Database!$H246,Database!$H246),"")</f>
        <v/>
      </c>
      <c r="P246" s="184">
        <f>IF(Database!BG246="","(n/m or not derivable)",Database!BG246)</f>
        <v/>
      </c>
      <c r="Q246" s="24">
        <f>IF(Database!BM246="","",IFERROR(BDH(LEFT(Database!BM246,FIND(".",Database!BM246)-1)&amp;" CH Equity","PE_RATIO",Database!$H246,Database!$H246),""))</f>
        <v/>
      </c>
      <c r="R246" s="24">
        <f>IF(Database!BM246="","",IFERROR(BDH("HSAHP Index","PX_LAST",Database!$H246,Database!$H246),""))</f>
        <v/>
      </c>
      <c r="S246" s="24">
        <f>IFERROR(BDP(Database!$A246&amp;" HK Equity","PX_TO_SALES_RATIO"),"")</f>
        <v/>
      </c>
      <c r="T246" s="19">
        <f>IF(Database!BM246="","",IFERROR(BDP(LEFT(Database!BM246,FIND(".",Database!BM246)-1)&amp;" CH Equity","CUR_MKT_CAP"),""))</f>
        <v/>
      </c>
    </row>
    <row r="247">
      <c r="A247" s="17">
        <f>Database!A247&amp;"  "&amp;Database!B247</f>
        <v/>
      </c>
      <c r="B247" s="10">
        <f>IFERROR(INDEX(BDS(Database!$A247&amp;" HK Equity","EQUITY_OFFERINGS","array=t","endcol=1"),MATCH("IPO",BDS(Database!$A247&amp;" HK Equity","EQUITY_OFFERINGS","array=t","startcol=2","endcol=2"),0)),"")</f>
        <v/>
      </c>
      <c r="C247" s="186">
        <f>IF($B247="","",IFERROR(BDP($B247&amp;" Action","CP036"),""))</f>
        <v/>
      </c>
      <c r="D247" s="187">
        <f>Database!S247</f>
        <v/>
      </c>
      <c r="E247" s="186">
        <f>IF($B247="","",IFERROR(BDP($B247&amp;" Action","CP037"),""))</f>
        <v/>
      </c>
      <c r="F247" s="187">
        <f>Database!T247</f>
        <v/>
      </c>
      <c r="G247" s="186">
        <f>IF($B247="","",IFERROR(BDP($B247&amp;" Action","GREENSHOE_FACILITY"),""))</f>
        <v/>
      </c>
      <c r="H247" s="186">
        <f>IF($B247="","",IFERROR(BDP($B247&amp;" Action","OFFERING_GREENSHOE_SHARES_EX"),""))</f>
        <v/>
      </c>
      <c r="I247" s="17">
        <f>Database!AE247</f>
        <v/>
      </c>
      <c r="J247" s="24">
        <f>IFERROR(BDP(Database!$A247&amp;" HK Equity","PE_RATIO"),"")</f>
        <v/>
      </c>
      <c r="K247" s="10">
        <f>IFERROR(BDP(Database!$A247&amp;" HK Equity","A/H_SHARE_CONVERSION"),"")</f>
        <v/>
      </c>
      <c r="L247" s="17">
        <f>IF(Database!BM247="","(none found)",Database!BM247)</f>
        <v/>
      </c>
      <c r="M247" s="19">
        <f>IFERROR(BDH(Database!$A247&amp;" HK Equity","CUR_MKT_CAP",Database!$H247,Database!$H247),"")</f>
        <v/>
      </c>
      <c r="N247" s="180">
        <f>Database!Q247</f>
        <v/>
      </c>
      <c r="O247" s="24">
        <f>IFERROR(BDH(Database!$A247&amp;" HK Equity","PE_RATIO",Database!$H247,Database!$H247),"")</f>
        <v/>
      </c>
      <c r="P247" s="184">
        <f>IF(Database!BG247="","(n/m or not derivable)",Database!BG247)</f>
        <v/>
      </c>
      <c r="Q247" s="24">
        <f>IF(Database!BM247="","",IFERROR(BDH(LEFT(Database!BM247,FIND(".",Database!BM247)-1)&amp;" CH Equity","PE_RATIO",Database!$H247,Database!$H247),""))</f>
        <v/>
      </c>
      <c r="R247" s="24">
        <f>IF(Database!BM247="","",IFERROR(BDH("HSAHP Index","PX_LAST",Database!$H247,Database!$H247),""))</f>
        <v/>
      </c>
      <c r="S247" s="24">
        <f>IFERROR(BDP(Database!$A247&amp;" HK Equity","PX_TO_SALES_RATIO"),"")</f>
        <v/>
      </c>
      <c r="T247" s="19">
        <f>IF(Database!BM247="","",IFERROR(BDP(LEFT(Database!BM247,FIND(".",Database!BM247)-1)&amp;" CH Equity","CUR_MKT_CAP"),""))</f>
        <v/>
      </c>
    </row>
    <row r="248">
      <c r="A248" s="17">
        <f>Database!A248&amp;"  "&amp;Database!B248</f>
        <v/>
      </c>
      <c r="B248" s="10">
        <f>IFERROR(INDEX(BDS(Database!$A248&amp;" HK Equity","EQUITY_OFFERINGS","array=t","endcol=1"),MATCH("IPO",BDS(Database!$A248&amp;" HK Equity","EQUITY_OFFERINGS","array=t","startcol=2","endcol=2"),0)),"")</f>
        <v/>
      </c>
      <c r="C248" s="186">
        <f>IF($B248="","",IFERROR(BDP($B248&amp;" Action","CP036"),""))</f>
        <v/>
      </c>
      <c r="D248" s="187">
        <f>Database!S248</f>
        <v/>
      </c>
      <c r="E248" s="186">
        <f>IF($B248="","",IFERROR(BDP($B248&amp;" Action","CP037"),""))</f>
        <v/>
      </c>
      <c r="F248" s="187">
        <f>Database!T248</f>
        <v/>
      </c>
      <c r="G248" s="186">
        <f>IF($B248="","",IFERROR(BDP($B248&amp;" Action","GREENSHOE_FACILITY"),""))</f>
        <v/>
      </c>
      <c r="H248" s="186">
        <f>IF($B248="","",IFERROR(BDP($B248&amp;" Action","OFFERING_GREENSHOE_SHARES_EX"),""))</f>
        <v/>
      </c>
      <c r="I248" s="17">
        <f>Database!AE248</f>
        <v/>
      </c>
      <c r="J248" s="24">
        <f>IFERROR(BDP(Database!$A248&amp;" HK Equity","PE_RATIO"),"")</f>
        <v/>
      </c>
      <c r="K248" s="10">
        <f>IFERROR(BDP(Database!$A248&amp;" HK Equity","A/H_SHARE_CONVERSION"),"")</f>
        <v/>
      </c>
      <c r="L248" s="17">
        <f>IF(Database!BM248="","(none found)",Database!BM248)</f>
        <v/>
      </c>
      <c r="M248" s="19">
        <f>IFERROR(BDH(Database!$A248&amp;" HK Equity","CUR_MKT_CAP",Database!$H248,Database!$H248),"")</f>
        <v/>
      </c>
      <c r="N248" s="180">
        <f>Database!Q248</f>
        <v/>
      </c>
      <c r="O248" s="24">
        <f>IFERROR(BDH(Database!$A248&amp;" HK Equity","PE_RATIO",Database!$H248,Database!$H248),"")</f>
        <v/>
      </c>
      <c r="P248" s="184">
        <f>IF(Database!BG248="","(n/m or not derivable)",Database!BG248)</f>
        <v/>
      </c>
      <c r="Q248" s="24">
        <f>IF(Database!BM248="","",IFERROR(BDH(LEFT(Database!BM248,FIND(".",Database!BM248)-1)&amp;" CH Equity","PE_RATIO",Database!$H248,Database!$H248),""))</f>
        <v/>
      </c>
      <c r="R248" s="24">
        <f>IF(Database!BM248="","",IFERROR(BDH("HSAHP Index","PX_LAST",Database!$H248,Database!$H248),""))</f>
        <v/>
      </c>
      <c r="S248" s="24">
        <f>IFERROR(BDP(Database!$A248&amp;" HK Equity","PX_TO_SALES_RATIO"),"")</f>
        <v/>
      </c>
      <c r="T248" s="19">
        <f>IF(Database!BM248="","",IFERROR(BDP(LEFT(Database!BM248,FIND(".",Database!BM248)-1)&amp;" CH Equity","CUR_MKT_CAP"),""))</f>
        <v/>
      </c>
    </row>
    <row r="249">
      <c r="A249" s="17">
        <f>Database!A249&amp;"  "&amp;Database!B249</f>
        <v/>
      </c>
      <c r="B249" s="10">
        <f>IFERROR(INDEX(BDS(Database!$A249&amp;" HK Equity","EQUITY_OFFERINGS","array=t","endcol=1"),MATCH("IPO",BDS(Database!$A249&amp;" HK Equity","EQUITY_OFFERINGS","array=t","startcol=2","endcol=2"),0)),"")</f>
        <v/>
      </c>
      <c r="C249" s="186">
        <f>IF($B249="","",IFERROR(BDP($B249&amp;" Action","CP036"),""))</f>
        <v/>
      </c>
      <c r="D249" s="187">
        <f>Database!S249</f>
        <v/>
      </c>
      <c r="E249" s="186">
        <f>IF($B249="","",IFERROR(BDP($B249&amp;" Action","CP037"),""))</f>
        <v/>
      </c>
      <c r="F249" s="187">
        <f>Database!T249</f>
        <v/>
      </c>
      <c r="G249" s="186">
        <f>IF($B249="","",IFERROR(BDP($B249&amp;" Action","GREENSHOE_FACILITY"),""))</f>
        <v/>
      </c>
      <c r="H249" s="186">
        <f>IF($B249="","",IFERROR(BDP($B249&amp;" Action","OFFERING_GREENSHOE_SHARES_EX"),""))</f>
        <v/>
      </c>
      <c r="I249" s="17">
        <f>Database!AE249</f>
        <v/>
      </c>
      <c r="J249" s="24">
        <f>IFERROR(BDP(Database!$A249&amp;" HK Equity","PE_RATIO"),"")</f>
        <v/>
      </c>
      <c r="K249" s="10">
        <f>IFERROR(BDP(Database!$A249&amp;" HK Equity","A/H_SHARE_CONVERSION"),"")</f>
        <v/>
      </c>
      <c r="L249" s="17">
        <f>IF(Database!BM249="","(none found)",Database!BM249)</f>
        <v/>
      </c>
      <c r="M249" s="19">
        <f>IFERROR(BDH(Database!$A249&amp;" HK Equity","CUR_MKT_CAP",Database!$H249,Database!$H249),"")</f>
        <v/>
      </c>
      <c r="N249" s="180">
        <f>Database!Q249</f>
        <v/>
      </c>
      <c r="O249" s="24">
        <f>IFERROR(BDH(Database!$A249&amp;" HK Equity","PE_RATIO",Database!$H249,Database!$H249),"")</f>
        <v/>
      </c>
      <c r="P249" s="184">
        <f>IF(Database!BG249="","(n/m or not derivable)",Database!BG249)</f>
        <v/>
      </c>
      <c r="Q249" s="24">
        <f>IF(Database!BM249="","",IFERROR(BDH(LEFT(Database!BM249,FIND(".",Database!BM249)-1)&amp;" CH Equity","PE_RATIO",Database!$H249,Database!$H249),""))</f>
        <v/>
      </c>
      <c r="R249" s="24">
        <f>IF(Database!BM249="","",IFERROR(BDH("HSAHP Index","PX_LAST",Database!$H249,Database!$H249),""))</f>
        <v/>
      </c>
      <c r="S249" s="24">
        <f>IFERROR(BDP(Database!$A249&amp;" HK Equity","PX_TO_SALES_RATIO"),"")</f>
        <v/>
      </c>
      <c r="T249" s="19">
        <f>IF(Database!BM249="","",IFERROR(BDP(LEFT(Database!BM249,FIND(".",Database!BM249)-1)&amp;" CH Equity","CUR_MKT_CAP"),""))</f>
        <v/>
      </c>
    </row>
    <row r="250">
      <c r="A250" s="17">
        <f>Database!A250&amp;"  "&amp;Database!B250</f>
        <v/>
      </c>
      <c r="B250" s="10">
        <f>IFERROR(INDEX(BDS(Database!$A250&amp;" HK Equity","EQUITY_OFFERINGS","array=t","endcol=1"),MATCH("IPO",BDS(Database!$A250&amp;" HK Equity","EQUITY_OFFERINGS","array=t","startcol=2","endcol=2"),0)),"")</f>
        <v/>
      </c>
      <c r="C250" s="186">
        <f>IF($B250="","",IFERROR(BDP($B250&amp;" Action","CP036"),""))</f>
        <v/>
      </c>
      <c r="D250" s="187">
        <f>Database!S250</f>
        <v/>
      </c>
      <c r="E250" s="186">
        <f>IF($B250="","",IFERROR(BDP($B250&amp;" Action","CP037"),""))</f>
        <v/>
      </c>
      <c r="F250" s="187">
        <f>Database!T250</f>
        <v/>
      </c>
      <c r="G250" s="186">
        <f>IF($B250="","",IFERROR(BDP($B250&amp;" Action","GREENSHOE_FACILITY"),""))</f>
        <v/>
      </c>
      <c r="H250" s="186">
        <f>IF($B250="","",IFERROR(BDP($B250&amp;" Action","OFFERING_GREENSHOE_SHARES_EX"),""))</f>
        <v/>
      </c>
      <c r="I250" s="17">
        <f>Database!AE250</f>
        <v/>
      </c>
      <c r="J250" s="24">
        <f>IFERROR(BDP(Database!$A250&amp;" HK Equity","PE_RATIO"),"")</f>
        <v/>
      </c>
      <c r="K250" s="10">
        <f>IFERROR(BDP(Database!$A250&amp;" HK Equity","A/H_SHARE_CONVERSION"),"")</f>
        <v/>
      </c>
      <c r="L250" s="17">
        <f>IF(Database!BM250="","(none found)",Database!BM250)</f>
        <v/>
      </c>
      <c r="M250" s="19">
        <f>IFERROR(BDH(Database!$A250&amp;" HK Equity","CUR_MKT_CAP",Database!$H250,Database!$H250),"")</f>
        <v/>
      </c>
      <c r="N250" s="180">
        <f>Database!Q250</f>
        <v/>
      </c>
      <c r="O250" s="24">
        <f>IFERROR(BDH(Database!$A250&amp;" HK Equity","PE_RATIO",Database!$H250,Database!$H250),"")</f>
        <v/>
      </c>
      <c r="P250" s="184">
        <f>IF(Database!BG250="","(n/m or not derivable)",Database!BG250)</f>
        <v/>
      </c>
      <c r="Q250" s="24">
        <f>IF(Database!BM250="","",IFERROR(BDH(LEFT(Database!BM250,FIND(".",Database!BM250)-1)&amp;" CH Equity","PE_RATIO",Database!$H250,Database!$H250),""))</f>
        <v/>
      </c>
      <c r="R250" s="24">
        <f>IF(Database!BM250="","",IFERROR(BDH("HSAHP Index","PX_LAST",Database!$H250,Database!$H250),""))</f>
        <v/>
      </c>
      <c r="S250" s="24">
        <f>IFERROR(BDP(Database!$A250&amp;" HK Equity","PX_TO_SALES_RATIO"),"")</f>
        <v/>
      </c>
      <c r="T250" s="19">
        <f>IF(Database!BM250="","",IFERROR(BDP(LEFT(Database!BM250,FIND(".",Database!BM250)-1)&amp;" CH Equity","CUR_MKT_CAP"),""))</f>
        <v/>
      </c>
    </row>
    <row r="251">
      <c r="A251" s="17">
        <f>Database!A251&amp;"  "&amp;Database!B251</f>
        <v/>
      </c>
      <c r="B251" s="10">
        <f>IFERROR(INDEX(BDS(Database!$A251&amp;" HK Equity","EQUITY_OFFERINGS","array=t","endcol=1"),MATCH("IPO",BDS(Database!$A251&amp;" HK Equity","EQUITY_OFFERINGS","array=t","startcol=2","endcol=2"),0)),"")</f>
        <v/>
      </c>
      <c r="C251" s="186">
        <f>IF($B251="","",IFERROR(BDP($B251&amp;" Action","CP036"),""))</f>
        <v/>
      </c>
      <c r="D251" s="187">
        <f>Database!S251</f>
        <v/>
      </c>
      <c r="E251" s="186">
        <f>IF($B251="","",IFERROR(BDP($B251&amp;" Action","CP037"),""))</f>
        <v/>
      </c>
      <c r="F251" s="187">
        <f>Database!T251</f>
        <v/>
      </c>
      <c r="G251" s="186">
        <f>IF($B251="","",IFERROR(BDP($B251&amp;" Action","GREENSHOE_FACILITY"),""))</f>
        <v/>
      </c>
      <c r="H251" s="186">
        <f>IF($B251="","",IFERROR(BDP($B251&amp;" Action","OFFERING_GREENSHOE_SHARES_EX"),""))</f>
        <v/>
      </c>
      <c r="I251" s="17">
        <f>Database!AE251</f>
        <v/>
      </c>
      <c r="J251" s="24">
        <f>IFERROR(BDP(Database!$A251&amp;" HK Equity","PE_RATIO"),"")</f>
        <v/>
      </c>
      <c r="K251" s="10">
        <f>IFERROR(BDP(Database!$A251&amp;" HK Equity","A/H_SHARE_CONVERSION"),"")</f>
        <v/>
      </c>
      <c r="L251" s="17">
        <f>IF(Database!BM251="","(none found)",Database!BM251)</f>
        <v/>
      </c>
      <c r="M251" s="19">
        <f>IFERROR(BDH(Database!$A251&amp;" HK Equity","CUR_MKT_CAP",Database!$H251,Database!$H251),"")</f>
        <v/>
      </c>
      <c r="N251" s="180">
        <f>Database!Q251</f>
        <v/>
      </c>
      <c r="O251" s="24">
        <f>IFERROR(BDH(Database!$A251&amp;" HK Equity","PE_RATIO",Database!$H251,Database!$H251),"")</f>
        <v/>
      </c>
      <c r="P251" s="184">
        <f>IF(Database!BG251="","(n/m or not derivable)",Database!BG251)</f>
        <v/>
      </c>
      <c r="Q251" s="24">
        <f>IF(Database!BM251="","",IFERROR(BDH(LEFT(Database!BM251,FIND(".",Database!BM251)-1)&amp;" CH Equity","PE_RATIO",Database!$H251,Database!$H251),""))</f>
        <v/>
      </c>
      <c r="R251" s="24">
        <f>IF(Database!BM251="","",IFERROR(BDH("HSAHP Index","PX_LAST",Database!$H251,Database!$H251),""))</f>
        <v/>
      </c>
      <c r="S251" s="24">
        <f>IFERROR(BDP(Database!$A251&amp;" HK Equity","PX_TO_SALES_RATIO"),"")</f>
        <v/>
      </c>
      <c r="T251" s="19">
        <f>IF(Database!BM251="","",IFERROR(BDP(LEFT(Database!BM251,FIND(".",Database!BM251)-1)&amp;" CH Equity","CUR_MKT_CAP"),""))</f>
        <v/>
      </c>
    </row>
    <row r="252">
      <c r="A252" s="17">
        <f>Database!A252&amp;"  "&amp;Database!B252</f>
        <v/>
      </c>
      <c r="B252" s="10">
        <f>IFERROR(INDEX(BDS(Database!$A252&amp;" HK Equity","EQUITY_OFFERINGS","array=t","endcol=1"),MATCH("IPO",BDS(Database!$A252&amp;" HK Equity","EQUITY_OFFERINGS","array=t","startcol=2","endcol=2"),0)),"")</f>
        <v/>
      </c>
      <c r="C252" s="186">
        <f>IF($B252="","",IFERROR(BDP($B252&amp;" Action","CP036"),""))</f>
        <v/>
      </c>
      <c r="D252" s="187">
        <f>Database!S252</f>
        <v/>
      </c>
      <c r="E252" s="186">
        <f>IF($B252="","",IFERROR(BDP($B252&amp;" Action","CP037"),""))</f>
        <v/>
      </c>
      <c r="F252" s="187">
        <f>Database!T252</f>
        <v/>
      </c>
      <c r="G252" s="186">
        <f>IF($B252="","",IFERROR(BDP($B252&amp;" Action","GREENSHOE_FACILITY"),""))</f>
        <v/>
      </c>
      <c r="H252" s="186">
        <f>IF($B252="","",IFERROR(BDP($B252&amp;" Action","OFFERING_GREENSHOE_SHARES_EX"),""))</f>
        <v/>
      </c>
      <c r="I252" s="17">
        <f>Database!AE252</f>
        <v/>
      </c>
      <c r="J252" s="24">
        <f>IFERROR(BDP(Database!$A252&amp;" HK Equity","PE_RATIO"),"")</f>
        <v/>
      </c>
      <c r="K252" s="10">
        <f>IFERROR(BDP(Database!$A252&amp;" HK Equity","A/H_SHARE_CONVERSION"),"")</f>
        <v/>
      </c>
      <c r="L252" s="17">
        <f>IF(Database!BM252="","(none found)",Database!BM252)</f>
        <v/>
      </c>
      <c r="M252" s="19">
        <f>IFERROR(BDH(Database!$A252&amp;" HK Equity","CUR_MKT_CAP",Database!$H252,Database!$H252),"")</f>
        <v/>
      </c>
      <c r="N252" s="180">
        <f>Database!Q252</f>
        <v/>
      </c>
      <c r="O252" s="24">
        <f>IFERROR(BDH(Database!$A252&amp;" HK Equity","PE_RATIO",Database!$H252,Database!$H252),"")</f>
        <v/>
      </c>
      <c r="P252" s="184">
        <f>IF(Database!BG252="","(n/m or not derivable)",Database!BG252)</f>
        <v/>
      </c>
      <c r="Q252" s="24">
        <f>IF(Database!BM252="","",IFERROR(BDH(LEFT(Database!BM252,FIND(".",Database!BM252)-1)&amp;" CH Equity","PE_RATIO",Database!$H252,Database!$H252),""))</f>
        <v/>
      </c>
      <c r="R252" s="24">
        <f>IF(Database!BM252="","",IFERROR(BDH("HSAHP Index","PX_LAST",Database!$H252,Database!$H252),""))</f>
        <v/>
      </c>
      <c r="S252" s="24">
        <f>IFERROR(BDP(Database!$A252&amp;" HK Equity","PX_TO_SALES_RATIO"),"")</f>
        <v/>
      </c>
      <c r="T252" s="19">
        <f>IF(Database!BM252="","",IFERROR(BDP(LEFT(Database!BM252,FIND(".",Database!BM252)-1)&amp;" CH Equity","CUR_MKT_CAP"),""))</f>
        <v/>
      </c>
    </row>
    <row r="253">
      <c r="A253" s="17">
        <f>Database!A253&amp;"  "&amp;Database!B253</f>
        <v/>
      </c>
      <c r="B253" s="10">
        <f>IFERROR(INDEX(BDS(Database!$A253&amp;" HK Equity","EQUITY_OFFERINGS","array=t","endcol=1"),MATCH("IPO",BDS(Database!$A253&amp;" HK Equity","EQUITY_OFFERINGS","array=t","startcol=2","endcol=2"),0)),"")</f>
        <v/>
      </c>
      <c r="C253" s="186">
        <f>IF($B253="","",IFERROR(BDP($B253&amp;" Action","CP036"),""))</f>
        <v/>
      </c>
      <c r="D253" s="187">
        <f>Database!S253</f>
        <v/>
      </c>
      <c r="E253" s="186">
        <f>IF($B253="","",IFERROR(BDP($B253&amp;" Action","CP037"),""))</f>
        <v/>
      </c>
      <c r="F253" s="187">
        <f>Database!T253</f>
        <v/>
      </c>
      <c r="G253" s="186">
        <f>IF($B253="","",IFERROR(BDP($B253&amp;" Action","GREENSHOE_FACILITY"),""))</f>
        <v/>
      </c>
      <c r="H253" s="186">
        <f>IF($B253="","",IFERROR(BDP($B253&amp;" Action","OFFERING_GREENSHOE_SHARES_EX"),""))</f>
        <v/>
      </c>
      <c r="I253" s="17">
        <f>Database!AE253</f>
        <v/>
      </c>
      <c r="J253" s="24">
        <f>IFERROR(BDP(Database!$A253&amp;" HK Equity","PE_RATIO"),"")</f>
        <v/>
      </c>
      <c r="K253" s="10">
        <f>IFERROR(BDP(Database!$A253&amp;" HK Equity","A/H_SHARE_CONVERSION"),"")</f>
        <v/>
      </c>
      <c r="L253" s="17">
        <f>IF(Database!BM253="","(none found)",Database!BM253)</f>
        <v/>
      </c>
      <c r="M253" s="19">
        <f>IFERROR(BDH(Database!$A253&amp;" HK Equity","CUR_MKT_CAP",Database!$H253,Database!$H253),"")</f>
        <v/>
      </c>
      <c r="N253" s="180">
        <f>Database!Q253</f>
        <v/>
      </c>
      <c r="O253" s="24">
        <f>IFERROR(BDH(Database!$A253&amp;" HK Equity","PE_RATIO",Database!$H253,Database!$H253),"")</f>
        <v/>
      </c>
      <c r="P253" s="184">
        <f>IF(Database!BG253="","(n/m or not derivable)",Database!BG253)</f>
        <v/>
      </c>
      <c r="Q253" s="24">
        <f>IF(Database!BM253="","",IFERROR(BDH(LEFT(Database!BM253,FIND(".",Database!BM253)-1)&amp;" CH Equity","PE_RATIO",Database!$H253,Database!$H253),""))</f>
        <v/>
      </c>
      <c r="R253" s="24">
        <f>IF(Database!BM253="","",IFERROR(BDH("HSAHP Index","PX_LAST",Database!$H253,Database!$H253),""))</f>
        <v/>
      </c>
      <c r="S253" s="24">
        <f>IFERROR(BDP(Database!$A253&amp;" HK Equity","PX_TO_SALES_RATIO"),"")</f>
        <v/>
      </c>
      <c r="T253" s="19">
        <f>IF(Database!BM253="","",IFERROR(BDP(LEFT(Database!BM253,FIND(".",Database!BM253)-1)&amp;" CH Equity","CUR_MKT_CAP"),""))</f>
        <v/>
      </c>
    </row>
    <row r="254">
      <c r="A254" s="17">
        <f>Database!A254&amp;"  "&amp;Database!B254</f>
        <v/>
      </c>
      <c r="B254" s="10">
        <f>IFERROR(INDEX(BDS(Database!$A254&amp;" HK Equity","EQUITY_OFFERINGS","array=t","endcol=1"),MATCH("IPO",BDS(Database!$A254&amp;" HK Equity","EQUITY_OFFERINGS","array=t","startcol=2","endcol=2"),0)),"")</f>
        <v/>
      </c>
      <c r="C254" s="186">
        <f>IF($B254="","",IFERROR(BDP($B254&amp;" Action","CP036"),""))</f>
        <v/>
      </c>
      <c r="D254" s="187">
        <f>Database!S254</f>
        <v/>
      </c>
      <c r="E254" s="186">
        <f>IF($B254="","",IFERROR(BDP($B254&amp;" Action","CP037"),""))</f>
        <v/>
      </c>
      <c r="F254" s="187">
        <f>Database!T254</f>
        <v/>
      </c>
      <c r="G254" s="186">
        <f>IF($B254="","",IFERROR(BDP($B254&amp;" Action","GREENSHOE_FACILITY"),""))</f>
        <v/>
      </c>
      <c r="H254" s="186">
        <f>IF($B254="","",IFERROR(BDP($B254&amp;" Action","OFFERING_GREENSHOE_SHARES_EX"),""))</f>
        <v/>
      </c>
      <c r="I254" s="17">
        <f>Database!AE254</f>
        <v/>
      </c>
      <c r="J254" s="24">
        <f>IFERROR(BDP(Database!$A254&amp;" HK Equity","PE_RATIO"),"")</f>
        <v/>
      </c>
      <c r="K254" s="10">
        <f>IFERROR(BDP(Database!$A254&amp;" HK Equity","A/H_SHARE_CONVERSION"),"")</f>
        <v/>
      </c>
      <c r="L254" s="17">
        <f>IF(Database!BM254="","(none found)",Database!BM254)</f>
        <v/>
      </c>
      <c r="M254" s="19">
        <f>IFERROR(BDH(Database!$A254&amp;" HK Equity","CUR_MKT_CAP",Database!$H254,Database!$H254),"")</f>
        <v/>
      </c>
      <c r="N254" s="180">
        <f>Database!Q254</f>
        <v/>
      </c>
      <c r="O254" s="24">
        <f>IFERROR(BDH(Database!$A254&amp;" HK Equity","PE_RATIO",Database!$H254,Database!$H254),"")</f>
        <v/>
      </c>
      <c r="P254" s="184">
        <f>IF(Database!BG254="","(n/m or not derivable)",Database!BG254)</f>
        <v/>
      </c>
      <c r="Q254" s="24">
        <f>IF(Database!BM254="","",IFERROR(BDH(LEFT(Database!BM254,FIND(".",Database!BM254)-1)&amp;" CH Equity","PE_RATIO",Database!$H254,Database!$H254),""))</f>
        <v/>
      </c>
      <c r="R254" s="24">
        <f>IF(Database!BM254="","",IFERROR(BDH("HSAHP Index","PX_LAST",Database!$H254,Database!$H254),""))</f>
        <v/>
      </c>
      <c r="S254" s="24">
        <f>IFERROR(BDP(Database!$A254&amp;" HK Equity","PX_TO_SALES_RATIO"),"")</f>
        <v/>
      </c>
      <c r="T254" s="19">
        <f>IF(Database!BM254="","",IFERROR(BDP(LEFT(Database!BM254,FIND(".",Database!BM254)-1)&amp;" CH Equity","CUR_MKT_CAP"),""))</f>
        <v/>
      </c>
    </row>
    <row r="255">
      <c r="A255" s="17">
        <f>Database!A255&amp;"  "&amp;Database!B255</f>
        <v/>
      </c>
      <c r="B255" s="10">
        <f>IFERROR(INDEX(BDS(Database!$A255&amp;" HK Equity","EQUITY_OFFERINGS","array=t","endcol=1"),MATCH("IPO",BDS(Database!$A255&amp;" HK Equity","EQUITY_OFFERINGS","array=t","startcol=2","endcol=2"),0)),"")</f>
        <v/>
      </c>
      <c r="C255" s="186">
        <f>IF($B255="","",IFERROR(BDP($B255&amp;" Action","CP036"),""))</f>
        <v/>
      </c>
      <c r="D255" s="187">
        <f>Database!S255</f>
        <v/>
      </c>
      <c r="E255" s="186">
        <f>IF($B255="","",IFERROR(BDP($B255&amp;" Action","CP037"),""))</f>
        <v/>
      </c>
      <c r="F255" s="187">
        <f>Database!T255</f>
        <v/>
      </c>
      <c r="G255" s="186">
        <f>IF($B255="","",IFERROR(BDP($B255&amp;" Action","GREENSHOE_FACILITY"),""))</f>
        <v/>
      </c>
      <c r="H255" s="186">
        <f>IF($B255="","",IFERROR(BDP($B255&amp;" Action","OFFERING_GREENSHOE_SHARES_EX"),""))</f>
        <v/>
      </c>
      <c r="I255" s="17">
        <f>Database!AE255</f>
        <v/>
      </c>
      <c r="J255" s="24">
        <f>IFERROR(BDP(Database!$A255&amp;" HK Equity","PE_RATIO"),"")</f>
        <v/>
      </c>
      <c r="K255" s="10">
        <f>IFERROR(BDP(Database!$A255&amp;" HK Equity","A/H_SHARE_CONVERSION"),"")</f>
        <v/>
      </c>
      <c r="L255" s="17">
        <f>IF(Database!BM255="","(none found)",Database!BM255)</f>
        <v/>
      </c>
      <c r="M255" s="19">
        <f>IFERROR(BDH(Database!$A255&amp;" HK Equity","CUR_MKT_CAP",Database!$H255,Database!$H255),"")</f>
        <v/>
      </c>
      <c r="N255" s="180">
        <f>Database!Q255</f>
        <v/>
      </c>
      <c r="O255" s="24">
        <f>IFERROR(BDH(Database!$A255&amp;" HK Equity","PE_RATIO",Database!$H255,Database!$H255),"")</f>
        <v/>
      </c>
      <c r="P255" s="184">
        <f>IF(Database!BG255="","(n/m or not derivable)",Database!BG255)</f>
        <v/>
      </c>
      <c r="Q255" s="24">
        <f>IF(Database!BM255="","",IFERROR(BDH(LEFT(Database!BM255,FIND(".",Database!BM255)-1)&amp;" CH Equity","PE_RATIO",Database!$H255,Database!$H255),""))</f>
        <v/>
      </c>
      <c r="R255" s="24">
        <f>IF(Database!BM255="","",IFERROR(BDH("HSAHP Index","PX_LAST",Database!$H255,Database!$H255),""))</f>
        <v/>
      </c>
      <c r="S255" s="24">
        <f>IFERROR(BDP(Database!$A255&amp;" HK Equity","PX_TO_SALES_RATIO"),"")</f>
        <v/>
      </c>
      <c r="T255" s="19">
        <f>IF(Database!BM255="","",IFERROR(BDP(LEFT(Database!BM255,FIND(".",Database!BM255)-1)&amp;" CH Equity","CUR_MKT_CAP"),""))</f>
        <v/>
      </c>
    </row>
    <row r="256">
      <c r="A256" s="17">
        <f>Database!A256&amp;"  "&amp;Database!B256</f>
        <v/>
      </c>
      <c r="B256" s="10">
        <f>IFERROR(INDEX(BDS(Database!$A256&amp;" HK Equity","EQUITY_OFFERINGS","array=t","endcol=1"),MATCH("IPO",BDS(Database!$A256&amp;" HK Equity","EQUITY_OFFERINGS","array=t","startcol=2","endcol=2"),0)),"")</f>
        <v/>
      </c>
      <c r="C256" s="186">
        <f>IF($B256="","",IFERROR(BDP($B256&amp;" Action","CP036"),""))</f>
        <v/>
      </c>
      <c r="D256" s="187">
        <f>Database!S256</f>
        <v/>
      </c>
      <c r="E256" s="186">
        <f>IF($B256="","",IFERROR(BDP($B256&amp;" Action","CP037"),""))</f>
        <v/>
      </c>
      <c r="F256" s="187">
        <f>Database!T256</f>
        <v/>
      </c>
      <c r="G256" s="186">
        <f>IF($B256="","",IFERROR(BDP($B256&amp;" Action","GREENSHOE_FACILITY"),""))</f>
        <v/>
      </c>
      <c r="H256" s="186">
        <f>IF($B256="","",IFERROR(BDP($B256&amp;" Action","OFFERING_GREENSHOE_SHARES_EX"),""))</f>
        <v/>
      </c>
      <c r="I256" s="17">
        <f>Database!AE256</f>
        <v/>
      </c>
      <c r="J256" s="24">
        <f>IFERROR(BDP(Database!$A256&amp;" HK Equity","PE_RATIO"),"")</f>
        <v/>
      </c>
      <c r="K256" s="10">
        <f>IFERROR(BDP(Database!$A256&amp;" HK Equity","A/H_SHARE_CONVERSION"),"")</f>
        <v/>
      </c>
      <c r="L256" s="17">
        <f>IF(Database!BM256="","(none found)",Database!BM256)</f>
        <v/>
      </c>
      <c r="M256" s="19">
        <f>IFERROR(BDH(Database!$A256&amp;" HK Equity","CUR_MKT_CAP",Database!$H256,Database!$H256),"")</f>
        <v/>
      </c>
      <c r="N256" s="180">
        <f>Database!Q256</f>
        <v/>
      </c>
      <c r="O256" s="24">
        <f>IFERROR(BDH(Database!$A256&amp;" HK Equity","PE_RATIO",Database!$H256,Database!$H256),"")</f>
        <v/>
      </c>
      <c r="P256" s="184">
        <f>IF(Database!BG256="","(n/m or not derivable)",Database!BG256)</f>
        <v/>
      </c>
      <c r="Q256" s="24">
        <f>IF(Database!BM256="","",IFERROR(BDH(LEFT(Database!BM256,FIND(".",Database!BM256)-1)&amp;" CH Equity","PE_RATIO",Database!$H256,Database!$H256),""))</f>
        <v/>
      </c>
      <c r="R256" s="24">
        <f>IF(Database!BM256="","",IFERROR(BDH("HSAHP Index","PX_LAST",Database!$H256,Database!$H256),""))</f>
        <v/>
      </c>
      <c r="S256" s="24">
        <f>IFERROR(BDP(Database!$A256&amp;" HK Equity","PX_TO_SALES_RATIO"),"")</f>
        <v/>
      </c>
      <c r="T256" s="19">
        <f>IF(Database!BM256="","",IFERROR(BDP(LEFT(Database!BM256,FIND(".",Database!BM256)-1)&amp;" CH Equity","CUR_MKT_CAP"),""))</f>
        <v/>
      </c>
    </row>
    <row r="257">
      <c r="A257" s="17">
        <f>Database!A257&amp;"  "&amp;Database!B257</f>
        <v/>
      </c>
      <c r="B257" s="10">
        <f>IFERROR(INDEX(BDS(Database!$A257&amp;" HK Equity","EQUITY_OFFERINGS","array=t","endcol=1"),MATCH("IPO",BDS(Database!$A257&amp;" HK Equity","EQUITY_OFFERINGS","array=t","startcol=2","endcol=2"),0)),"")</f>
        <v/>
      </c>
      <c r="C257" s="186">
        <f>IF($B257="","",IFERROR(BDP($B257&amp;" Action","CP036"),""))</f>
        <v/>
      </c>
      <c r="D257" s="187">
        <f>Database!S257</f>
        <v/>
      </c>
      <c r="E257" s="186">
        <f>IF($B257="","",IFERROR(BDP($B257&amp;" Action","CP037"),""))</f>
        <v/>
      </c>
      <c r="F257" s="187">
        <f>Database!T257</f>
        <v/>
      </c>
      <c r="G257" s="186">
        <f>IF($B257="","",IFERROR(BDP($B257&amp;" Action","GREENSHOE_FACILITY"),""))</f>
        <v/>
      </c>
      <c r="H257" s="186">
        <f>IF($B257="","",IFERROR(BDP($B257&amp;" Action","OFFERING_GREENSHOE_SHARES_EX"),""))</f>
        <v/>
      </c>
      <c r="I257" s="17">
        <f>Database!AE257</f>
        <v/>
      </c>
      <c r="J257" s="24">
        <f>IFERROR(BDP(Database!$A257&amp;" HK Equity","PE_RATIO"),"")</f>
        <v/>
      </c>
      <c r="K257" s="10">
        <f>IFERROR(BDP(Database!$A257&amp;" HK Equity","A/H_SHARE_CONVERSION"),"")</f>
        <v/>
      </c>
      <c r="L257" s="17">
        <f>IF(Database!BM257="","(none found)",Database!BM257)</f>
        <v/>
      </c>
      <c r="M257" s="19">
        <f>IFERROR(BDH(Database!$A257&amp;" HK Equity","CUR_MKT_CAP",Database!$H257,Database!$H257),"")</f>
        <v/>
      </c>
      <c r="N257" s="180">
        <f>Database!Q257</f>
        <v/>
      </c>
      <c r="O257" s="24">
        <f>IFERROR(BDH(Database!$A257&amp;" HK Equity","PE_RATIO",Database!$H257,Database!$H257),"")</f>
        <v/>
      </c>
      <c r="P257" s="184">
        <f>IF(Database!BG257="","(n/m or not derivable)",Database!BG257)</f>
        <v/>
      </c>
      <c r="Q257" s="24">
        <f>IF(Database!BM257="","",IFERROR(BDH(LEFT(Database!BM257,FIND(".",Database!BM257)-1)&amp;" CH Equity","PE_RATIO",Database!$H257,Database!$H257),""))</f>
        <v/>
      </c>
      <c r="R257" s="24">
        <f>IF(Database!BM257="","",IFERROR(BDH("HSAHP Index","PX_LAST",Database!$H257,Database!$H257),""))</f>
        <v/>
      </c>
      <c r="S257" s="24">
        <f>IFERROR(BDP(Database!$A257&amp;" HK Equity","PX_TO_SALES_RATIO"),"")</f>
        <v/>
      </c>
      <c r="T257" s="19">
        <f>IF(Database!BM257="","",IFERROR(BDP(LEFT(Database!BM257,FIND(".",Database!BM257)-1)&amp;" CH Equity","CUR_MKT_CAP"),""))</f>
        <v/>
      </c>
    </row>
    <row r="258">
      <c r="A258" s="17">
        <f>Database!A258&amp;"  "&amp;Database!B258</f>
        <v/>
      </c>
      <c r="B258" s="10">
        <f>IFERROR(INDEX(BDS(Database!$A258&amp;" HK Equity","EQUITY_OFFERINGS","array=t","endcol=1"),MATCH("IPO",BDS(Database!$A258&amp;" HK Equity","EQUITY_OFFERINGS","array=t","startcol=2","endcol=2"),0)),"")</f>
        <v/>
      </c>
      <c r="C258" s="186">
        <f>IF($B258="","",IFERROR(BDP($B258&amp;" Action","CP036"),""))</f>
        <v/>
      </c>
      <c r="D258" s="187">
        <f>Database!S258</f>
        <v/>
      </c>
      <c r="E258" s="186">
        <f>IF($B258="","",IFERROR(BDP($B258&amp;" Action","CP037"),""))</f>
        <v/>
      </c>
      <c r="F258" s="187">
        <f>Database!T258</f>
        <v/>
      </c>
      <c r="G258" s="186">
        <f>IF($B258="","",IFERROR(BDP($B258&amp;" Action","GREENSHOE_FACILITY"),""))</f>
        <v/>
      </c>
      <c r="H258" s="186">
        <f>IF($B258="","",IFERROR(BDP($B258&amp;" Action","OFFERING_GREENSHOE_SHARES_EX"),""))</f>
        <v/>
      </c>
      <c r="I258" s="17">
        <f>Database!AE258</f>
        <v/>
      </c>
      <c r="J258" s="24">
        <f>IFERROR(BDP(Database!$A258&amp;" HK Equity","PE_RATIO"),"")</f>
        <v/>
      </c>
      <c r="K258" s="10">
        <f>IFERROR(BDP(Database!$A258&amp;" HK Equity","A/H_SHARE_CONVERSION"),"")</f>
        <v/>
      </c>
      <c r="L258" s="17">
        <f>IF(Database!BM258="","(none found)",Database!BM258)</f>
        <v/>
      </c>
      <c r="M258" s="19">
        <f>IFERROR(BDH(Database!$A258&amp;" HK Equity","CUR_MKT_CAP",Database!$H258,Database!$H258),"")</f>
        <v/>
      </c>
      <c r="N258" s="180">
        <f>Database!Q258</f>
        <v/>
      </c>
      <c r="O258" s="24">
        <f>IFERROR(BDH(Database!$A258&amp;" HK Equity","PE_RATIO",Database!$H258,Database!$H258),"")</f>
        <v/>
      </c>
      <c r="P258" s="184">
        <f>IF(Database!BG258="","(n/m or not derivable)",Database!BG258)</f>
        <v/>
      </c>
      <c r="Q258" s="24">
        <f>IF(Database!BM258="","",IFERROR(BDH(LEFT(Database!BM258,FIND(".",Database!BM258)-1)&amp;" CH Equity","PE_RATIO",Database!$H258,Database!$H258),""))</f>
        <v/>
      </c>
      <c r="R258" s="24">
        <f>IF(Database!BM258="","",IFERROR(BDH("HSAHP Index","PX_LAST",Database!$H258,Database!$H258),""))</f>
        <v/>
      </c>
      <c r="S258" s="24">
        <f>IFERROR(BDP(Database!$A258&amp;" HK Equity","PX_TO_SALES_RATIO"),"")</f>
        <v/>
      </c>
      <c r="T258" s="19">
        <f>IF(Database!BM258="","",IFERROR(BDP(LEFT(Database!BM258,FIND(".",Database!BM258)-1)&amp;" CH Equity","CUR_MKT_CAP"),""))</f>
        <v/>
      </c>
    </row>
    <row r="259">
      <c r="A259" s="17">
        <f>Database!A259&amp;"  "&amp;Database!B259</f>
        <v/>
      </c>
      <c r="B259" s="10">
        <f>IFERROR(INDEX(BDS(Database!$A259&amp;" HK Equity","EQUITY_OFFERINGS","array=t","endcol=1"),MATCH("IPO",BDS(Database!$A259&amp;" HK Equity","EQUITY_OFFERINGS","array=t","startcol=2","endcol=2"),0)),"")</f>
        <v/>
      </c>
      <c r="C259" s="186">
        <f>IF($B259="","",IFERROR(BDP($B259&amp;" Action","CP036"),""))</f>
        <v/>
      </c>
      <c r="D259" s="187">
        <f>Database!S259</f>
        <v/>
      </c>
      <c r="E259" s="186">
        <f>IF($B259="","",IFERROR(BDP($B259&amp;" Action","CP037"),""))</f>
        <v/>
      </c>
      <c r="F259" s="187">
        <f>Database!T259</f>
        <v/>
      </c>
      <c r="G259" s="186">
        <f>IF($B259="","",IFERROR(BDP($B259&amp;" Action","GREENSHOE_FACILITY"),""))</f>
        <v/>
      </c>
      <c r="H259" s="186">
        <f>IF($B259="","",IFERROR(BDP($B259&amp;" Action","OFFERING_GREENSHOE_SHARES_EX"),""))</f>
        <v/>
      </c>
      <c r="I259" s="17">
        <f>Database!AE259</f>
        <v/>
      </c>
      <c r="J259" s="24">
        <f>IFERROR(BDP(Database!$A259&amp;" HK Equity","PE_RATIO"),"")</f>
        <v/>
      </c>
      <c r="K259" s="10">
        <f>IFERROR(BDP(Database!$A259&amp;" HK Equity","A/H_SHARE_CONVERSION"),"")</f>
        <v/>
      </c>
      <c r="L259" s="17">
        <f>IF(Database!BM259="","(none found)",Database!BM259)</f>
        <v/>
      </c>
      <c r="M259" s="19">
        <f>IFERROR(BDH(Database!$A259&amp;" HK Equity","CUR_MKT_CAP",Database!$H259,Database!$H259),"")</f>
        <v/>
      </c>
      <c r="N259" s="180">
        <f>Database!Q259</f>
        <v/>
      </c>
      <c r="O259" s="24">
        <f>IFERROR(BDH(Database!$A259&amp;" HK Equity","PE_RATIO",Database!$H259,Database!$H259),"")</f>
        <v/>
      </c>
      <c r="P259" s="184">
        <f>IF(Database!BG259="","(n/m or not derivable)",Database!BG259)</f>
        <v/>
      </c>
      <c r="Q259" s="24">
        <f>IF(Database!BM259="","",IFERROR(BDH(LEFT(Database!BM259,FIND(".",Database!BM259)-1)&amp;" CH Equity","PE_RATIO",Database!$H259,Database!$H259),""))</f>
        <v/>
      </c>
      <c r="R259" s="24">
        <f>IF(Database!BM259="","",IFERROR(BDH("HSAHP Index","PX_LAST",Database!$H259,Database!$H259),""))</f>
        <v/>
      </c>
      <c r="S259" s="24">
        <f>IFERROR(BDP(Database!$A259&amp;" HK Equity","PX_TO_SALES_RATIO"),"")</f>
        <v/>
      </c>
      <c r="T259" s="19">
        <f>IF(Database!BM259="","",IFERROR(BDP(LEFT(Database!BM259,FIND(".",Database!BM259)-1)&amp;" CH Equity","CUR_MKT_CAP"),""))</f>
        <v/>
      </c>
    </row>
    <row r="260">
      <c r="A260" s="17">
        <f>Database!A260&amp;"  "&amp;Database!B260</f>
        <v/>
      </c>
      <c r="B260" s="10">
        <f>IFERROR(INDEX(BDS(Database!$A260&amp;" HK Equity","EQUITY_OFFERINGS","array=t","endcol=1"),MATCH("IPO",BDS(Database!$A260&amp;" HK Equity","EQUITY_OFFERINGS","array=t","startcol=2","endcol=2"),0)),"")</f>
        <v/>
      </c>
      <c r="C260" s="186">
        <f>IF($B260="","",IFERROR(BDP($B260&amp;" Action","CP036"),""))</f>
        <v/>
      </c>
      <c r="D260" s="187">
        <f>Database!S260</f>
        <v/>
      </c>
      <c r="E260" s="186">
        <f>IF($B260="","",IFERROR(BDP($B260&amp;" Action","CP037"),""))</f>
        <v/>
      </c>
      <c r="F260" s="187">
        <f>Database!T260</f>
        <v/>
      </c>
      <c r="G260" s="186">
        <f>IF($B260="","",IFERROR(BDP($B260&amp;" Action","GREENSHOE_FACILITY"),""))</f>
        <v/>
      </c>
      <c r="H260" s="186">
        <f>IF($B260="","",IFERROR(BDP($B260&amp;" Action","OFFERING_GREENSHOE_SHARES_EX"),""))</f>
        <v/>
      </c>
      <c r="I260" s="17">
        <f>Database!AE260</f>
        <v/>
      </c>
      <c r="J260" s="24">
        <f>IFERROR(BDP(Database!$A260&amp;" HK Equity","PE_RATIO"),"")</f>
        <v/>
      </c>
      <c r="K260" s="10">
        <f>IFERROR(BDP(Database!$A260&amp;" HK Equity","A/H_SHARE_CONVERSION"),"")</f>
        <v/>
      </c>
      <c r="L260" s="17">
        <f>IF(Database!BM260="","(none found)",Database!BM260)</f>
        <v/>
      </c>
      <c r="M260" s="19">
        <f>IFERROR(BDH(Database!$A260&amp;" HK Equity","CUR_MKT_CAP",Database!$H260,Database!$H260),"")</f>
        <v/>
      </c>
      <c r="N260" s="180">
        <f>Database!Q260</f>
        <v/>
      </c>
      <c r="O260" s="24">
        <f>IFERROR(BDH(Database!$A260&amp;" HK Equity","PE_RATIO",Database!$H260,Database!$H260),"")</f>
        <v/>
      </c>
      <c r="P260" s="184">
        <f>IF(Database!BG260="","(n/m or not derivable)",Database!BG260)</f>
        <v/>
      </c>
      <c r="Q260" s="24">
        <f>IF(Database!BM260="","",IFERROR(BDH(LEFT(Database!BM260,FIND(".",Database!BM260)-1)&amp;" CH Equity","PE_RATIO",Database!$H260,Database!$H260),""))</f>
        <v/>
      </c>
      <c r="R260" s="24">
        <f>IF(Database!BM260="","",IFERROR(BDH("HSAHP Index","PX_LAST",Database!$H260,Database!$H260),""))</f>
        <v/>
      </c>
      <c r="S260" s="24">
        <f>IFERROR(BDP(Database!$A260&amp;" HK Equity","PX_TO_SALES_RATIO"),"")</f>
        <v/>
      </c>
      <c r="T260" s="19">
        <f>IF(Database!BM260="","",IFERROR(BDP(LEFT(Database!BM260,FIND(".",Database!BM260)-1)&amp;" CH Equity","CUR_MKT_CAP"),""))</f>
        <v/>
      </c>
    </row>
    <row r="261">
      <c r="A261" s="17">
        <f>Database!A261&amp;"  "&amp;Database!B261</f>
        <v/>
      </c>
      <c r="B261" s="10">
        <f>IFERROR(INDEX(BDS(Database!$A261&amp;" HK Equity","EQUITY_OFFERINGS","array=t","endcol=1"),MATCH("IPO",BDS(Database!$A261&amp;" HK Equity","EQUITY_OFFERINGS","array=t","startcol=2","endcol=2"),0)),"")</f>
        <v/>
      </c>
      <c r="C261" s="186">
        <f>IF($B261="","",IFERROR(BDP($B261&amp;" Action","CP036"),""))</f>
        <v/>
      </c>
      <c r="D261" s="187">
        <f>Database!S261</f>
        <v/>
      </c>
      <c r="E261" s="186">
        <f>IF($B261="","",IFERROR(BDP($B261&amp;" Action","CP037"),""))</f>
        <v/>
      </c>
      <c r="F261" s="187">
        <f>Database!T261</f>
        <v/>
      </c>
      <c r="G261" s="186">
        <f>IF($B261="","",IFERROR(BDP($B261&amp;" Action","GREENSHOE_FACILITY"),""))</f>
        <v/>
      </c>
      <c r="H261" s="186">
        <f>IF($B261="","",IFERROR(BDP($B261&amp;" Action","OFFERING_GREENSHOE_SHARES_EX"),""))</f>
        <v/>
      </c>
      <c r="I261" s="17">
        <f>Database!AE261</f>
        <v/>
      </c>
      <c r="J261" s="24">
        <f>IFERROR(BDP(Database!$A261&amp;" HK Equity","PE_RATIO"),"")</f>
        <v/>
      </c>
      <c r="K261" s="10">
        <f>IFERROR(BDP(Database!$A261&amp;" HK Equity","A/H_SHARE_CONVERSION"),"")</f>
        <v/>
      </c>
      <c r="L261" s="17">
        <f>IF(Database!BM261="","(none found)",Database!BM261)</f>
        <v/>
      </c>
      <c r="M261" s="19">
        <f>IFERROR(BDH(Database!$A261&amp;" HK Equity","CUR_MKT_CAP",Database!$H261,Database!$H261),"")</f>
        <v/>
      </c>
      <c r="N261" s="180">
        <f>Database!Q261</f>
        <v/>
      </c>
      <c r="O261" s="24">
        <f>IFERROR(BDH(Database!$A261&amp;" HK Equity","PE_RATIO",Database!$H261,Database!$H261),"")</f>
        <v/>
      </c>
      <c r="P261" s="184">
        <f>IF(Database!BG261="","(n/m or not derivable)",Database!BG261)</f>
        <v/>
      </c>
      <c r="Q261" s="24">
        <f>IF(Database!BM261="","",IFERROR(BDH(LEFT(Database!BM261,FIND(".",Database!BM261)-1)&amp;" CH Equity","PE_RATIO",Database!$H261,Database!$H261),""))</f>
        <v/>
      </c>
      <c r="R261" s="24">
        <f>IF(Database!BM261="","",IFERROR(BDH("HSAHP Index","PX_LAST",Database!$H261,Database!$H261),""))</f>
        <v/>
      </c>
      <c r="S261" s="24">
        <f>IFERROR(BDP(Database!$A261&amp;" HK Equity","PX_TO_SALES_RATIO"),"")</f>
        <v/>
      </c>
      <c r="T261" s="19">
        <f>IF(Database!BM261="","",IFERROR(BDP(LEFT(Database!BM261,FIND(".",Database!BM261)-1)&amp;" CH Equity","CUR_MKT_CAP"),""))</f>
        <v/>
      </c>
    </row>
    <row r="262">
      <c r="A262" s="17">
        <f>Database!A262&amp;"  "&amp;Database!B262</f>
        <v/>
      </c>
      <c r="B262" s="10">
        <f>IFERROR(INDEX(BDS(Database!$A262&amp;" HK Equity","EQUITY_OFFERINGS","array=t","endcol=1"),MATCH("IPO",BDS(Database!$A262&amp;" HK Equity","EQUITY_OFFERINGS","array=t","startcol=2","endcol=2"),0)),"")</f>
        <v/>
      </c>
      <c r="C262" s="186">
        <f>IF($B262="","",IFERROR(BDP($B262&amp;" Action","CP036"),""))</f>
        <v/>
      </c>
      <c r="D262" s="187">
        <f>Database!S262</f>
        <v/>
      </c>
      <c r="E262" s="186">
        <f>IF($B262="","",IFERROR(BDP($B262&amp;" Action","CP037"),""))</f>
        <v/>
      </c>
      <c r="F262" s="187">
        <f>Database!T262</f>
        <v/>
      </c>
      <c r="G262" s="186">
        <f>IF($B262="","",IFERROR(BDP($B262&amp;" Action","GREENSHOE_FACILITY"),""))</f>
        <v/>
      </c>
      <c r="H262" s="186">
        <f>IF($B262="","",IFERROR(BDP($B262&amp;" Action","OFFERING_GREENSHOE_SHARES_EX"),""))</f>
        <v/>
      </c>
      <c r="I262" s="17">
        <f>Database!AE262</f>
        <v/>
      </c>
      <c r="J262" s="24">
        <f>IFERROR(BDP(Database!$A262&amp;" HK Equity","PE_RATIO"),"")</f>
        <v/>
      </c>
      <c r="K262" s="10">
        <f>IFERROR(BDP(Database!$A262&amp;" HK Equity","A/H_SHARE_CONVERSION"),"")</f>
        <v/>
      </c>
      <c r="L262" s="17">
        <f>IF(Database!BM262="","(none found)",Database!BM262)</f>
        <v/>
      </c>
      <c r="M262" s="19">
        <f>IFERROR(BDH(Database!$A262&amp;" HK Equity","CUR_MKT_CAP",Database!$H262,Database!$H262),"")</f>
        <v/>
      </c>
      <c r="N262" s="180">
        <f>Database!Q262</f>
        <v/>
      </c>
      <c r="O262" s="24">
        <f>IFERROR(BDH(Database!$A262&amp;" HK Equity","PE_RATIO",Database!$H262,Database!$H262),"")</f>
        <v/>
      </c>
      <c r="P262" s="184">
        <f>IF(Database!BG262="","(n/m or not derivable)",Database!BG262)</f>
        <v/>
      </c>
      <c r="Q262" s="24">
        <f>IF(Database!BM262="","",IFERROR(BDH(LEFT(Database!BM262,FIND(".",Database!BM262)-1)&amp;" CH Equity","PE_RATIO",Database!$H262,Database!$H262),""))</f>
        <v/>
      </c>
      <c r="R262" s="24">
        <f>IF(Database!BM262="","",IFERROR(BDH("HSAHP Index","PX_LAST",Database!$H262,Database!$H262),""))</f>
        <v/>
      </c>
      <c r="S262" s="24">
        <f>IFERROR(BDP(Database!$A262&amp;" HK Equity","PX_TO_SALES_RATIO"),"")</f>
        <v/>
      </c>
      <c r="T262" s="19">
        <f>IF(Database!BM262="","",IFERROR(BDP(LEFT(Database!BM262,FIND(".",Database!BM262)-1)&amp;" CH Equity","CUR_MKT_CAP"),""))</f>
        <v/>
      </c>
    </row>
    <row r="263">
      <c r="A263" s="17">
        <f>Database!A263&amp;"  "&amp;Database!B263</f>
        <v/>
      </c>
      <c r="B263" s="10">
        <f>IFERROR(INDEX(BDS(Database!$A263&amp;" HK Equity","EQUITY_OFFERINGS","array=t","endcol=1"),MATCH("IPO",BDS(Database!$A263&amp;" HK Equity","EQUITY_OFFERINGS","array=t","startcol=2","endcol=2"),0)),"")</f>
        <v/>
      </c>
      <c r="C263" s="186">
        <f>IF($B263="","",IFERROR(BDP($B263&amp;" Action","CP036"),""))</f>
        <v/>
      </c>
      <c r="D263" s="187">
        <f>Database!S263</f>
        <v/>
      </c>
      <c r="E263" s="186">
        <f>IF($B263="","",IFERROR(BDP($B263&amp;" Action","CP037"),""))</f>
        <v/>
      </c>
      <c r="F263" s="187">
        <f>Database!T263</f>
        <v/>
      </c>
      <c r="G263" s="186">
        <f>IF($B263="","",IFERROR(BDP($B263&amp;" Action","GREENSHOE_FACILITY"),""))</f>
        <v/>
      </c>
      <c r="H263" s="186">
        <f>IF($B263="","",IFERROR(BDP($B263&amp;" Action","OFFERING_GREENSHOE_SHARES_EX"),""))</f>
        <v/>
      </c>
      <c r="I263" s="17">
        <f>Database!AE263</f>
        <v/>
      </c>
      <c r="J263" s="24">
        <f>IFERROR(BDP(Database!$A263&amp;" HK Equity","PE_RATIO"),"")</f>
        <v/>
      </c>
      <c r="K263" s="10">
        <f>IFERROR(BDP(Database!$A263&amp;" HK Equity","A/H_SHARE_CONVERSION"),"")</f>
        <v/>
      </c>
      <c r="L263" s="17">
        <f>IF(Database!BM263="","(none found)",Database!BM263)</f>
        <v/>
      </c>
      <c r="M263" s="19">
        <f>IFERROR(BDH(Database!$A263&amp;" HK Equity","CUR_MKT_CAP",Database!$H263,Database!$H263),"")</f>
        <v/>
      </c>
      <c r="N263" s="180">
        <f>Database!Q263</f>
        <v/>
      </c>
      <c r="O263" s="24">
        <f>IFERROR(BDH(Database!$A263&amp;" HK Equity","PE_RATIO",Database!$H263,Database!$H263),"")</f>
        <v/>
      </c>
      <c r="P263" s="184">
        <f>IF(Database!BG263="","(n/m or not derivable)",Database!BG263)</f>
        <v/>
      </c>
      <c r="Q263" s="24">
        <f>IF(Database!BM263="","",IFERROR(BDH(LEFT(Database!BM263,FIND(".",Database!BM263)-1)&amp;" CH Equity","PE_RATIO",Database!$H263,Database!$H263),""))</f>
        <v/>
      </c>
      <c r="R263" s="24">
        <f>IF(Database!BM263="","",IFERROR(BDH("HSAHP Index","PX_LAST",Database!$H263,Database!$H263),""))</f>
        <v/>
      </c>
      <c r="S263" s="24">
        <f>IFERROR(BDP(Database!$A263&amp;" HK Equity","PX_TO_SALES_RATIO"),"")</f>
        <v/>
      </c>
      <c r="T263" s="19">
        <f>IF(Database!BM263="","",IFERROR(BDP(LEFT(Database!BM263,FIND(".",Database!BM263)-1)&amp;" CH Equity","CUR_MKT_CAP"),""))</f>
        <v/>
      </c>
    </row>
    <row r="264">
      <c r="A264" s="17">
        <f>Database!A264&amp;"  "&amp;Database!B264</f>
        <v/>
      </c>
      <c r="B264" s="10">
        <f>IFERROR(INDEX(BDS(Database!$A264&amp;" HK Equity","EQUITY_OFFERINGS","array=t","endcol=1"),MATCH("IPO",BDS(Database!$A264&amp;" HK Equity","EQUITY_OFFERINGS","array=t","startcol=2","endcol=2"),0)),"")</f>
        <v/>
      </c>
      <c r="C264" s="186">
        <f>IF($B264="","",IFERROR(BDP($B264&amp;" Action","CP036"),""))</f>
        <v/>
      </c>
      <c r="D264" s="187">
        <f>Database!S264</f>
        <v/>
      </c>
      <c r="E264" s="186">
        <f>IF($B264="","",IFERROR(BDP($B264&amp;" Action","CP037"),""))</f>
        <v/>
      </c>
      <c r="F264" s="187">
        <f>Database!T264</f>
        <v/>
      </c>
      <c r="G264" s="186">
        <f>IF($B264="","",IFERROR(BDP($B264&amp;" Action","GREENSHOE_FACILITY"),""))</f>
        <v/>
      </c>
      <c r="H264" s="186">
        <f>IF($B264="","",IFERROR(BDP($B264&amp;" Action","OFFERING_GREENSHOE_SHARES_EX"),""))</f>
        <v/>
      </c>
      <c r="I264" s="17">
        <f>Database!AE264</f>
        <v/>
      </c>
      <c r="J264" s="24">
        <f>IFERROR(BDP(Database!$A264&amp;" HK Equity","PE_RATIO"),"")</f>
        <v/>
      </c>
      <c r="K264" s="10">
        <f>IFERROR(BDP(Database!$A264&amp;" HK Equity","A/H_SHARE_CONVERSION"),"")</f>
        <v/>
      </c>
      <c r="L264" s="17">
        <f>IF(Database!BM264="","(none found)",Database!BM264)</f>
        <v/>
      </c>
      <c r="M264" s="19">
        <f>IFERROR(BDH(Database!$A264&amp;" HK Equity","CUR_MKT_CAP",Database!$H264,Database!$H264),"")</f>
        <v/>
      </c>
      <c r="N264" s="180">
        <f>Database!Q264</f>
        <v/>
      </c>
      <c r="O264" s="24">
        <f>IFERROR(BDH(Database!$A264&amp;" HK Equity","PE_RATIO",Database!$H264,Database!$H264),"")</f>
        <v/>
      </c>
      <c r="P264" s="184">
        <f>IF(Database!BG264="","(n/m or not derivable)",Database!BG264)</f>
        <v/>
      </c>
      <c r="Q264" s="24">
        <f>IF(Database!BM264="","",IFERROR(BDH(LEFT(Database!BM264,FIND(".",Database!BM264)-1)&amp;" CH Equity","PE_RATIO",Database!$H264,Database!$H264),""))</f>
        <v/>
      </c>
      <c r="R264" s="24">
        <f>IF(Database!BM264="","",IFERROR(BDH("HSAHP Index","PX_LAST",Database!$H264,Database!$H264),""))</f>
        <v/>
      </c>
      <c r="S264" s="24">
        <f>IFERROR(BDP(Database!$A264&amp;" HK Equity","PX_TO_SALES_RATIO"),"")</f>
        <v/>
      </c>
      <c r="T264" s="19">
        <f>IF(Database!BM264="","",IFERROR(BDP(LEFT(Database!BM264,FIND(".",Database!BM264)-1)&amp;" CH Equity","CUR_MKT_CAP"),""))</f>
        <v/>
      </c>
    </row>
    <row r="265">
      <c r="A265" s="17">
        <f>Database!A265&amp;"  "&amp;Database!B265</f>
        <v/>
      </c>
      <c r="B265" s="10">
        <f>IFERROR(INDEX(BDS(Database!$A265&amp;" HK Equity","EQUITY_OFFERINGS","array=t","endcol=1"),MATCH("IPO",BDS(Database!$A265&amp;" HK Equity","EQUITY_OFFERINGS","array=t","startcol=2","endcol=2"),0)),"")</f>
        <v/>
      </c>
      <c r="C265" s="186">
        <f>IF($B265="","",IFERROR(BDP($B265&amp;" Action","CP036"),""))</f>
        <v/>
      </c>
      <c r="D265" s="187">
        <f>Database!S265</f>
        <v/>
      </c>
      <c r="E265" s="186">
        <f>IF($B265="","",IFERROR(BDP($B265&amp;" Action","CP037"),""))</f>
        <v/>
      </c>
      <c r="F265" s="187">
        <f>Database!T265</f>
        <v/>
      </c>
      <c r="G265" s="186">
        <f>IF($B265="","",IFERROR(BDP($B265&amp;" Action","GREENSHOE_FACILITY"),""))</f>
        <v/>
      </c>
      <c r="H265" s="186">
        <f>IF($B265="","",IFERROR(BDP($B265&amp;" Action","OFFERING_GREENSHOE_SHARES_EX"),""))</f>
        <v/>
      </c>
      <c r="I265" s="17">
        <f>Database!AE265</f>
        <v/>
      </c>
      <c r="J265" s="24">
        <f>IFERROR(BDP(Database!$A265&amp;" HK Equity","PE_RATIO"),"")</f>
        <v/>
      </c>
      <c r="K265" s="10">
        <f>IFERROR(BDP(Database!$A265&amp;" HK Equity","A/H_SHARE_CONVERSION"),"")</f>
        <v/>
      </c>
      <c r="L265" s="17">
        <f>IF(Database!BM265="","(none found)",Database!BM265)</f>
        <v/>
      </c>
      <c r="M265" s="19">
        <f>IFERROR(BDH(Database!$A265&amp;" HK Equity","CUR_MKT_CAP",Database!$H265,Database!$H265),"")</f>
        <v/>
      </c>
      <c r="N265" s="180">
        <f>Database!Q265</f>
        <v/>
      </c>
      <c r="O265" s="24">
        <f>IFERROR(BDH(Database!$A265&amp;" HK Equity","PE_RATIO",Database!$H265,Database!$H265),"")</f>
        <v/>
      </c>
      <c r="P265" s="184">
        <f>IF(Database!BG265="","(n/m or not derivable)",Database!BG265)</f>
        <v/>
      </c>
      <c r="Q265" s="24">
        <f>IF(Database!BM265="","",IFERROR(BDH(LEFT(Database!BM265,FIND(".",Database!BM265)-1)&amp;" CH Equity","PE_RATIO",Database!$H265,Database!$H265),""))</f>
        <v/>
      </c>
      <c r="R265" s="24">
        <f>IF(Database!BM265="","",IFERROR(BDH("HSAHP Index","PX_LAST",Database!$H265,Database!$H265),""))</f>
        <v/>
      </c>
      <c r="S265" s="24">
        <f>IFERROR(BDP(Database!$A265&amp;" HK Equity","PX_TO_SALES_RATIO"),"")</f>
        <v/>
      </c>
      <c r="T265" s="19">
        <f>IF(Database!BM265="","",IFERROR(BDP(LEFT(Database!BM265,FIND(".",Database!BM265)-1)&amp;" CH Equity","CUR_MKT_CAP"),""))</f>
        <v/>
      </c>
    </row>
    <row r="266">
      <c r="A266" s="17">
        <f>Database!A266&amp;"  "&amp;Database!B266</f>
        <v/>
      </c>
      <c r="B266" s="10">
        <f>IFERROR(INDEX(BDS(Database!$A266&amp;" HK Equity","EQUITY_OFFERINGS","array=t","endcol=1"),MATCH("IPO",BDS(Database!$A266&amp;" HK Equity","EQUITY_OFFERINGS","array=t","startcol=2","endcol=2"),0)),"")</f>
        <v/>
      </c>
      <c r="C266" s="186">
        <f>IF($B266="","",IFERROR(BDP($B266&amp;" Action","CP036"),""))</f>
        <v/>
      </c>
      <c r="D266" s="187">
        <f>Database!S266</f>
        <v/>
      </c>
      <c r="E266" s="186">
        <f>IF($B266="","",IFERROR(BDP($B266&amp;" Action","CP037"),""))</f>
        <v/>
      </c>
      <c r="F266" s="187">
        <f>Database!T266</f>
        <v/>
      </c>
      <c r="G266" s="186">
        <f>IF($B266="","",IFERROR(BDP($B266&amp;" Action","GREENSHOE_FACILITY"),""))</f>
        <v/>
      </c>
      <c r="H266" s="186">
        <f>IF($B266="","",IFERROR(BDP($B266&amp;" Action","OFFERING_GREENSHOE_SHARES_EX"),""))</f>
        <v/>
      </c>
      <c r="I266" s="17">
        <f>Database!AE266</f>
        <v/>
      </c>
      <c r="J266" s="24">
        <f>IFERROR(BDP(Database!$A266&amp;" HK Equity","PE_RATIO"),"")</f>
        <v/>
      </c>
      <c r="K266" s="10">
        <f>IFERROR(BDP(Database!$A266&amp;" HK Equity","A/H_SHARE_CONVERSION"),"")</f>
        <v/>
      </c>
      <c r="L266" s="17">
        <f>IF(Database!BM266="","(none found)",Database!BM266)</f>
        <v/>
      </c>
      <c r="M266" s="19">
        <f>IFERROR(BDH(Database!$A266&amp;" HK Equity","CUR_MKT_CAP",Database!$H266,Database!$H266),"")</f>
        <v/>
      </c>
      <c r="N266" s="180">
        <f>Database!Q266</f>
        <v/>
      </c>
      <c r="O266" s="24">
        <f>IFERROR(BDH(Database!$A266&amp;" HK Equity","PE_RATIO",Database!$H266,Database!$H266),"")</f>
        <v/>
      </c>
      <c r="P266" s="184">
        <f>IF(Database!BG266="","(n/m or not derivable)",Database!BG266)</f>
        <v/>
      </c>
      <c r="Q266" s="24">
        <f>IF(Database!BM266="","",IFERROR(BDH(LEFT(Database!BM266,FIND(".",Database!BM266)-1)&amp;" CH Equity","PE_RATIO",Database!$H266,Database!$H266),""))</f>
        <v/>
      </c>
      <c r="R266" s="24">
        <f>IF(Database!BM266="","",IFERROR(BDH("HSAHP Index","PX_LAST",Database!$H266,Database!$H266),""))</f>
        <v/>
      </c>
      <c r="S266" s="24">
        <f>IFERROR(BDP(Database!$A266&amp;" HK Equity","PX_TO_SALES_RATIO"),"")</f>
        <v/>
      </c>
      <c r="T266" s="19">
        <f>IF(Database!BM266="","",IFERROR(BDP(LEFT(Database!BM266,FIND(".",Database!BM266)-1)&amp;" CH Equity","CUR_MKT_CAP"),""))</f>
        <v/>
      </c>
    </row>
    <row r="267">
      <c r="A267" s="17">
        <f>Database!A267&amp;"  "&amp;Database!B267</f>
        <v/>
      </c>
      <c r="B267" s="10">
        <f>IFERROR(INDEX(BDS(Database!$A267&amp;" HK Equity","EQUITY_OFFERINGS","array=t","endcol=1"),MATCH("IPO",BDS(Database!$A267&amp;" HK Equity","EQUITY_OFFERINGS","array=t","startcol=2","endcol=2"),0)),"")</f>
        <v/>
      </c>
      <c r="C267" s="186">
        <f>IF($B267="","",IFERROR(BDP($B267&amp;" Action","CP036"),""))</f>
        <v/>
      </c>
      <c r="D267" s="187">
        <f>Database!S267</f>
        <v/>
      </c>
      <c r="E267" s="186">
        <f>IF($B267="","",IFERROR(BDP($B267&amp;" Action","CP037"),""))</f>
        <v/>
      </c>
      <c r="F267" s="187">
        <f>Database!T267</f>
        <v/>
      </c>
      <c r="G267" s="186">
        <f>IF($B267="","",IFERROR(BDP($B267&amp;" Action","GREENSHOE_FACILITY"),""))</f>
        <v/>
      </c>
      <c r="H267" s="186">
        <f>IF($B267="","",IFERROR(BDP($B267&amp;" Action","OFFERING_GREENSHOE_SHARES_EX"),""))</f>
        <v/>
      </c>
      <c r="I267" s="17">
        <f>Database!AE267</f>
        <v/>
      </c>
      <c r="J267" s="24">
        <f>IFERROR(BDP(Database!$A267&amp;" HK Equity","PE_RATIO"),"")</f>
        <v/>
      </c>
      <c r="K267" s="10">
        <f>IFERROR(BDP(Database!$A267&amp;" HK Equity","A/H_SHARE_CONVERSION"),"")</f>
        <v/>
      </c>
      <c r="L267" s="17">
        <f>IF(Database!BM267="","(none found)",Database!BM267)</f>
        <v/>
      </c>
      <c r="M267" s="19">
        <f>IFERROR(BDH(Database!$A267&amp;" HK Equity","CUR_MKT_CAP",Database!$H267,Database!$H267),"")</f>
        <v/>
      </c>
      <c r="N267" s="180">
        <f>Database!Q267</f>
        <v/>
      </c>
      <c r="O267" s="24">
        <f>IFERROR(BDH(Database!$A267&amp;" HK Equity","PE_RATIO",Database!$H267,Database!$H267),"")</f>
        <v/>
      </c>
      <c r="P267" s="184">
        <f>IF(Database!BG267="","(n/m or not derivable)",Database!BG267)</f>
        <v/>
      </c>
      <c r="Q267" s="24">
        <f>IF(Database!BM267="","",IFERROR(BDH(LEFT(Database!BM267,FIND(".",Database!BM267)-1)&amp;" CH Equity","PE_RATIO",Database!$H267,Database!$H267),""))</f>
        <v/>
      </c>
      <c r="R267" s="24">
        <f>IF(Database!BM267="","",IFERROR(BDH("HSAHP Index","PX_LAST",Database!$H267,Database!$H267),""))</f>
        <v/>
      </c>
      <c r="S267" s="24">
        <f>IFERROR(BDP(Database!$A267&amp;" HK Equity","PX_TO_SALES_RATIO"),"")</f>
        <v/>
      </c>
      <c r="T267" s="19">
        <f>IF(Database!BM267="","",IFERROR(BDP(LEFT(Database!BM267,FIND(".",Database!BM267)-1)&amp;" CH Equity","CUR_MKT_CAP"),""))</f>
        <v/>
      </c>
    </row>
    <row r="268">
      <c r="A268" s="17">
        <f>Database!A268&amp;"  "&amp;Database!B268</f>
        <v/>
      </c>
      <c r="B268" s="10">
        <f>IFERROR(INDEX(BDS(Database!$A268&amp;" HK Equity","EQUITY_OFFERINGS","array=t","endcol=1"),MATCH("IPO",BDS(Database!$A268&amp;" HK Equity","EQUITY_OFFERINGS","array=t","startcol=2","endcol=2"),0)),"")</f>
        <v/>
      </c>
      <c r="C268" s="186">
        <f>IF($B268="","",IFERROR(BDP($B268&amp;" Action","CP036"),""))</f>
        <v/>
      </c>
      <c r="D268" s="187">
        <f>Database!S268</f>
        <v/>
      </c>
      <c r="E268" s="186">
        <f>IF($B268="","",IFERROR(BDP($B268&amp;" Action","CP037"),""))</f>
        <v/>
      </c>
      <c r="F268" s="187">
        <f>Database!T268</f>
        <v/>
      </c>
      <c r="G268" s="186">
        <f>IF($B268="","",IFERROR(BDP($B268&amp;" Action","GREENSHOE_FACILITY"),""))</f>
        <v/>
      </c>
      <c r="H268" s="186">
        <f>IF($B268="","",IFERROR(BDP($B268&amp;" Action","OFFERING_GREENSHOE_SHARES_EX"),""))</f>
        <v/>
      </c>
      <c r="I268" s="17">
        <f>Database!AE268</f>
        <v/>
      </c>
      <c r="J268" s="24">
        <f>IFERROR(BDP(Database!$A268&amp;" HK Equity","PE_RATIO"),"")</f>
        <v/>
      </c>
      <c r="K268" s="10">
        <f>IFERROR(BDP(Database!$A268&amp;" HK Equity","A/H_SHARE_CONVERSION"),"")</f>
        <v/>
      </c>
      <c r="L268" s="17">
        <f>IF(Database!BM268="","(none found)",Database!BM268)</f>
        <v/>
      </c>
      <c r="M268" s="19">
        <f>IFERROR(BDH(Database!$A268&amp;" HK Equity","CUR_MKT_CAP",Database!$H268,Database!$H268),"")</f>
        <v/>
      </c>
      <c r="N268" s="180">
        <f>Database!Q268</f>
        <v/>
      </c>
      <c r="O268" s="24">
        <f>IFERROR(BDH(Database!$A268&amp;" HK Equity","PE_RATIO",Database!$H268,Database!$H268),"")</f>
        <v/>
      </c>
      <c r="P268" s="184">
        <f>IF(Database!BG268="","(n/m or not derivable)",Database!BG268)</f>
        <v/>
      </c>
      <c r="Q268" s="24">
        <f>IF(Database!BM268="","",IFERROR(BDH(LEFT(Database!BM268,FIND(".",Database!BM268)-1)&amp;" CH Equity","PE_RATIO",Database!$H268,Database!$H268),""))</f>
        <v/>
      </c>
      <c r="R268" s="24">
        <f>IF(Database!BM268="","",IFERROR(BDH("HSAHP Index","PX_LAST",Database!$H268,Database!$H268),""))</f>
        <v/>
      </c>
      <c r="S268" s="24">
        <f>IFERROR(BDP(Database!$A268&amp;" HK Equity","PX_TO_SALES_RATIO"),"")</f>
        <v/>
      </c>
      <c r="T268" s="19">
        <f>IF(Database!BM268="","",IFERROR(BDP(LEFT(Database!BM268,FIND(".",Database!BM268)-1)&amp;" CH Equity","CUR_MKT_CAP"),""))</f>
        <v/>
      </c>
    </row>
    <row r="269">
      <c r="A269" s="17">
        <f>Database!A269&amp;"  "&amp;Database!B269</f>
        <v/>
      </c>
      <c r="B269" s="10">
        <f>IFERROR(INDEX(BDS(Database!$A269&amp;" HK Equity","EQUITY_OFFERINGS","array=t","endcol=1"),MATCH("IPO",BDS(Database!$A269&amp;" HK Equity","EQUITY_OFFERINGS","array=t","startcol=2","endcol=2"),0)),"")</f>
        <v/>
      </c>
      <c r="C269" s="186">
        <f>IF($B269="","",IFERROR(BDP($B269&amp;" Action","CP036"),""))</f>
        <v/>
      </c>
      <c r="D269" s="187">
        <f>Database!S269</f>
        <v/>
      </c>
      <c r="E269" s="186">
        <f>IF($B269="","",IFERROR(BDP($B269&amp;" Action","CP037"),""))</f>
        <v/>
      </c>
      <c r="F269" s="187">
        <f>Database!T269</f>
        <v/>
      </c>
      <c r="G269" s="186">
        <f>IF($B269="","",IFERROR(BDP($B269&amp;" Action","GREENSHOE_FACILITY"),""))</f>
        <v/>
      </c>
      <c r="H269" s="186">
        <f>IF($B269="","",IFERROR(BDP($B269&amp;" Action","OFFERING_GREENSHOE_SHARES_EX"),""))</f>
        <v/>
      </c>
      <c r="I269" s="17">
        <f>Database!AE269</f>
        <v/>
      </c>
      <c r="J269" s="24">
        <f>IFERROR(BDP(Database!$A269&amp;" HK Equity","PE_RATIO"),"")</f>
        <v/>
      </c>
      <c r="K269" s="10">
        <f>IFERROR(BDP(Database!$A269&amp;" HK Equity","A/H_SHARE_CONVERSION"),"")</f>
        <v/>
      </c>
      <c r="L269" s="17">
        <f>IF(Database!BM269="","(none found)",Database!BM269)</f>
        <v/>
      </c>
      <c r="M269" s="19">
        <f>IFERROR(BDH(Database!$A269&amp;" HK Equity","CUR_MKT_CAP",Database!$H269,Database!$H269),"")</f>
        <v/>
      </c>
      <c r="N269" s="180">
        <f>Database!Q269</f>
        <v/>
      </c>
      <c r="O269" s="24">
        <f>IFERROR(BDH(Database!$A269&amp;" HK Equity","PE_RATIO",Database!$H269,Database!$H269),"")</f>
        <v/>
      </c>
      <c r="P269" s="184">
        <f>IF(Database!BG269="","(n/m or not derivable)",Database!BG269)</f>
        <v/>
      </c>
      <c r="Q269" s="24">
        <f>IF(Database!BM269="","",IFERROR(BDH(LEFT(Database!BM269,FIND(".",Database!BM269)-1)&amp;" CH Equity","PE_RATIO",Database!$H269,Database!$H269),""))</f>
        <v/>
      </c>
      <c r="R269" s="24">
        <f>IF(Database!BM269="","",IFERROR(BDH("HSAHP Index","PX_LAST",Database!$H269,Database!$H269),""))</f>
        <v/>
      </c>
      <c r="S269" s="24">
        <f>IFERROR(BDP(Database!$A269&amp;" HK Equity","PX_TO_SALES_RATIO"),"")</f>
        <v/>
      </c>
      <c r="T269" s="19">
        <f>IF(Database!BM269="","",IFERROR(BDP(LEFT(Database!BM269,FIND(".",Database!BM269)-1)&amp;" CH Equity","CUR_MKT_CAP"),""))</f>
        <v/>
      </c>
    </row>
    <row r="270">
      <c r="A270" s="17">
        <f>Database!A270&amp;"  "&amp;Database!B270</f>
        <v/>
      </c>
      <c r="B270" s="10">
        <f>IFERROR(INDEX(BDS(Database!$A270&amp;" HK Equity","EQUITY_OFFERINGS","array=t","endcol=1"),MATCH("IPO",BDS(Database!$A270&amp;" HK Equity","EQUITY_OFFERINGS","array=t","startcol=2","endcol=2"),0)),"")</f>
        <v/>
      </c>
      <c r="C270" s="186">
        <f>IF($B270="","",IFERROR(BDP($B270&amp;" Action","CP036"),""))</f>
        <v/>
      </c>
      <c r="D270" s="187">
        <f>Database!S270</f>
        <v/>
      </c>
      <c r="E270" s="186">
        <f>IF($B270="","",IFERROR(BDP($B270&amp;" Action","CP037"),""))</f>
        <v/>
      </c>
      <c r="F270" s="187">
        <f>Database!T270</f>
        <v/>
      </c>
      <c r="G270" s="186">
        <f>IF($B270="","",IFERROR(BDP($B270&amp;" Action","GREENSHOE_FACILITY"),""))</f>
        <v/>
      </c>
      <c r="H270" s="186">
        <f>IF($B270="","",IFERROR(BDP($B270&amp;" Action","OFFERING_GREENSHOE_SHARES_EX"),""))</f>
        <v/>
      </c>
      <c r="I270" s="17">
        <f>Database!AE270</f>
        <v/>
      </c>
      <c r="J270" s="24">
        <f>IFERROR(BDP(Database!$A270&amp;" HK Equity","PE_RATIO"),"")</f>
        <v/>
      </c>
      <c r="K270" s="10">
        <f>IFERROR(BDP(Database!$A270&amp;" HK Equity","A/H_SHARE_CONVERSION"),"")</f>
        <v/>
      </c>
      <c r="L270" s="17">
        <f>IF(Database!BM270="","(none found)",Database!BM270)</f>
        <v/>
      </c>
      <c r="M270" s="19">
        <f>IFERROR(BDH(Database!$A270&amp;" HK Equity","CUR_MKT_CAP",Database!$H270,Database!$H270),"")</f>
        <v/>
      </c>
      <c r="N270" s="180">
        <f>Database!Q270</f>
        <v/>
      </c>
      <c r="O270" s="24">
        <f>IFERROR(BDH(Database!$A270&amp;" HK Equity","PE_RATIO",Database!$H270,Database!$H270),"")</f>
        <v/>
      </c>
      <c r="P270" s="184">
        <f>IF(Database!BG270="","(n/m or not derivable)",Database!BG270)</f>
        <v/>
      </c>
      <c r="Q270" s="24">
        <f>IF(Database!BM270="","",IFERROR(BDH(LEFT(Database!BM270,FIND(".",Database!BM270)-1)&amp;" CH Equity","PE_RATIO",Database!$H270,Database!$H270),""))</f>
        <v/>
      </c>
      <c r="R270" s="24">
        <f>IF(Database!BM270="","",IFERROR(BDH("HSAHP Index","PX_LAST",Database!$H270,Database!$H270),""))</f>
        <v/>
      </c>
      <c r="S270" s="24">
        <f>IFERROR(BDP(Database!$A270&amp;" HK Equity","PX_TO_SALES_RATIO"),"")</f>
        <v/>
      </c>
      <c r="T270" s="19">
        <f>IF(Database!BM270="","",IFERROR(BDP(LEFT(Database!BM270,FIND(".",Database!BM270)-1)&amp;" CH Equity","CUR_MKT_CAP"),""))</f>
        <v/>
      </c>
    </row>
    <row r="271">
      <c r="A271" s="17">
        <f>Database!A271&amp;"  "&amp;Database!B271</f>
        <v/>
      </c>
      <c r="B271" s="10">
        <f>IFERROR(INDEX(BDS(Database!$A271&amp;" HK Equity","EQUITY_OFFERINGS","array=t","endcol=1"),MATCH("IPO",BDS(Database!$A271&amp;" HK Equity","EQUITY_OFFERINGS","array=t","startcol=2","endcol=2"),0)),"")</f>
        <v/>
      </c>
      <c r="C271" s="186">
        <f>IF($B271="","",IFERROR(BDP($B271&amp;" Action","CP036"),""))</f>
        <v/>
      </c>
      <c r="D271" s="187">
        <f>Database!S271</f>
        <v/>
      </c>
      <c r="E271" s="186">
        <f>IF($B271="","",IFERROR(BDP($B271&amp;" Action","CP037"),""))</f>
        <v/>
      </c>
      <c r="F271" s="187">
        <f>Database!T271</f>
        <v/>
      </c>
      <c r="G271" s="186">
        <f>IF($B271="","",IFERROR(BDP($B271&amp;" Action","GREENSHOE_FACILITY"),""))</f>
        <v/>
      </c>
      <c r="H271" s="186">
        <f>IF($B271="","",IFERROR(BDP($B271&amp;" Action","OFFERING_GREENSHOE_SHARES_EX"),""))</f>
        <v/>
      </c>
      <c r="I271" s="17">
        <f>Database!AE271</f>
        <v/>
      </c>
      <c r="J271" s="24">
        <f>IFERROR(BDP(Database!$A271&amp;" HK Equity","PE_RATIO"),"")</f>
        <v/>
      </c>
      <c r="K271" s="10">
        <f>IFERROR(BDP(Database!$A271&amp;" HK Equity","A/H_SHARE_CONVERSION"),"")</f>
        <v/>
      </c>
      <c r="L271" s="17">
        <f>IF(Database!BM271="","(none found)",Database!BM271)</f>
        <v/>
      </c>
      <c r="M271" s="19">
        <f>IFERROR(BDH(Database!$A271&amp;" HK Equity","CUR_MKT_CAP",Database!$H271,Database!$H271),"")</f>
        <v/>
      </c>
      <c r="N271" s="180">
        <f>Database!Q271</f>
        <v/>
      </c>
      <c r="O271" s="24">
        <f>IFERROR(BDH(Database!$A271&amp;" HK Equity","PE_RATIO",Database!$H271,Database!$H271),"")</f>
        <v/>
      </c>
      <c r="P271" s="184">
        <f>IF(Database!BG271="","(n/m or not derivable)",Database!BG271)</f>
        <v/>
      </c>
      <c r="Q271" s="24">
        <f>IF(Database!BM271="","",IFERROR(BDH(LEFT(Database!BM271,FIND(".",Database!BM271)-1)&amp;" CH Equity","PE_RATIO",Database!$H271,Database!$H271),""))</f>
        <v/>
      </c>
      <c r="R271" s="24">
        <f>IF(Database!BM271="","",IFERROR(BDH("HSAHP Index","PX_LAST",Database!$H271,Database!$H271),""))</f>
        <v/>
      </c>
      <c r="S271" s="24">
        <f>IFERROR(BDP(Database!$A271&amp;" HK Equity","PX_TO_SALES_RATIO"),"")</f>
        <v/>
      </c>
      <c r="T271" s="19">
        <f>IF(Database!BM271="","",IFERROR(BDP(LEFT(Database!BM271,FIND(".",Database!BM271)-1)&amp;" CH Equity","CUR_MKT_CAP"),""))</f>
        <v/>
      </c>
    </row>
    <row r="272">
      <c r="A272" s="17">
        <f>Database!A272&amp;"  "&amp;Database!B272</f>
        <v/>
      </c>
      <c r="B272" s="10">
        <f>IFERROR(INDEX(BDS(Database!$A272&amp;" HK Equity","EQUITY_OFFERINGS","array=t","endcol=1"),MATCH("IPO",BDS(Database!$A272&amp;" HK Equity","EQUITY_OFFERINGS","array=t","startcol=2","endcol=2"),0)),"")</f>
        <v/>
      </c>
      <c r="C272" s="186">
        <f>IF($B272="","",IFERROR(BDP($B272&amp;" Action","CP036"),""))</f>
        <v/>
      </c>
      <c r="D272" s="187">
        <f>Database!S272</f>
        <v/>
      </c>
      <c r="E272" s="186">
        <f>IF($B272="","",IFERROR(BDP($B272&amp;" Action","CP037"),""))</f>
        <v/>
      </c>
      <c r="F272" s="187">
        <f>Database!T272</f>
        <v/>
      </c>
      <c r="G272" s="186">
        <f>IF($B272="","",IFERROR(BDP($B272&amp;" Action","GREENSHOE_FACILITY"),""))</f>
        <v/>
      </c>
      <c r="H272" s="186">
        <f>IF($B272="","",IFERROR(BDP($B272&amp;" Action","OFFERING_GREENSHOE_SHARES_EX"),""))</f>
        <v/>
      </c>
      <c r="I272" s="17">
        <f>Database!AE272</f>
        <v/>
      </c>
      <c r="J272" s="24">
        <f>IFERROR(BDP(Database!$A272&amp;" HK Equity","PE_RATIO"),"")</f>
        <v/>
      </c>
      <c r="K272" s="10">
        <f>IFERROR(BDP(Database!$A272&amp;" HK Equity","A/H_SHARE_CONVERSION"),"")</f>
        <v/>
      </c>
      <c r="L272" s="17">
        <f>IF(Database!BM272="","(none found)",Database!BM272)</f>
        <v/>
      </c>
      <c r="M272" s="19">
        <f>IFERROR(BDH(Database!$A272&amp;" HK Equity","CUR_MKT_CAP",Database!$H272,Database!$H272),"")</f>
        <v/>
      </c>
      <c r="N272" s="180">
        <f>Database!Q272</f>
        <v/>
      </c>
      <c r="O272" s="24">
        <f>IFERROR(BDH(Database!$A272&amp;" HK Equity","PE_RATIO",Database!$H272,Database!$H272),"")</f>
        <v/>
      </c>
      <c r="P272" s="184">
        <f>IF(Database!BG272="","(n/m or not derivable)",Database!BG272)</f>
        <v/>
      </c>
      <c r="Q272" s="24">
        <f>IF(Database!BM272="","",IFERROR(BDH(LEFT(Database!BM272,FIND(".",Database!BM272)-1)&amp;" CH Equity","PE_RATIO",Database!$H272,Database!$H272),""))</f>
        <v/>
      </c>
      <c r="R272" s="24">
        <f>IF(Database!BM272="","",IFERROR(BDH("HSAHP Index","PX_LAST",Database!$H272,Database!$H272),""))</f>
        <v/>
      </c>
      <c r="S272" s="24">
        <f>IFERROR(BDP(Database!$A272&amp;" HK Equity","PX_TO_SALES_RATIO"),"")</f>
        <v/>
      </c>
      <c r="T272" s="19">
        <f>IF(Database!BM272="","",IFERROR(BDP(LEFT(Database!BM272,FIND(".",Database!BM272)-1)&amp;" CH Equity","CUR_MKT_CAP"),""))</f>
        <v/>
      </c>
    </row>
    <row r="273">
      <c r="A273" s="17">
        <f>Database!A273&amp;"  "&amp;Database!B273</f>
        <v/>
      </c>
      <c r="B273" s="10">
        <f>IFERROR(INDEX(BDS(Database!$A273&amp;" HK Equity","EQUITY_OFFERINGS","array=t","endcol=1"),MATCH("IPO",BDS(Database!$A273&amp;" HK Equity","EQUITY_OFFERINGS","array=t","startcol=2","endcol=2"),0)),"")</f>
        <v/>
      </c>
      <c r="C273" s="186">
        <f>IF($B273="","",IFERROR(BDP($B273&amp;" Action","CP036"),""))</f>
        <v/>
      </c>
      <c r="D273" s="187">
        <f>Database!S273</f>
        <v/>
      </c>
      <c r="E273" s="186">
        <f>IF($B273="","",IFERROR(BDP($B273&amp;" Action","CP037"),""))</f>
        <v/>
      </c>
      <c r="F273" s="187">
        <f>Database!T273</f>
        <v/>
      </c>
      <c r="G273" s="186">
        <f>IF($B273="","",IFERROR(BDP($B273&amp;" Action","GREENSHOE_FACILITY"),""))</f>
        <v/>
      </c>
      <c r="H273" s="186">
        <f>IF($B273="","",IFERROR(BDP($B273&amp;" Action","OFFERING_GREENSHOE_SHARES_EX"),""))</f>
        <v/>
      </c>
      <c r="I273" s="17">
        <f>Database!AE273</f>
        <v/>
      </c>
      <c r="J273" s="24">
        <f>IFERROR(BDP(Database!$A273&amp;" HK Equity","PE_RATIO"),"")</f>
        <v/>
      </c>
      <c r="K273" s="10">
        <f>IFERROR(BDP(Database!$A273&amp;" HK Equity","A/H_SHARE_CONVERSION"),"")</f>
        <v/>
      </c>
      <c r="L273" s="17">
        <f>IF(Database!BM273="","(none found)",Database!BM273)</f>
        <v/>
      </c>
      <c r="M273" s="19">
        <f>IFERROR(BDH(Database!$A273&amp;" HK Equity","CUR_MKT_CAP",Database!$H273,Database!$H273),"")</f>
        <v/>
      </c>
      <c r="N273" s="180">
        <f>Database!Q273</f>
        <v/>
      </c>
      <c r="O273" s="24">
        <f>IFERROR(BDH(Database!$A273&amp;" HK Equity","PE_RATIO",Database!$H273,Database!$H273),"")</f>
        <v/>
      </c>
      <c r="P273" s="184">
        <f>IF(Database!BG273="","(n/m or not derivable)",Database!BG273)</f>
        <v/>
      </c>
      <c r="Q273" s="24">
        <f>IF(Database!BM273="","",IFERROR(BDH(LEFT(Database!BM273,FIND(".",Database!BM273)-1)&amp;" CH Equity","PE_RATIO",Database!$H273,Database!$H273),""))</f>
        <v/>
      </c>
      <c r="R273" s="24">
        <f>IF(Database!BM273="","",IFERROR(BDH("HSAHP Index","PX_LAST",Database!$H273,Database!$H273),""))</f>
        <v/>
      </c>
      <c r="S273" s="24">
        <f>IFERROR(BDP(Database!$A273&amp;" HK Equity","PX_TO_SALES_RATIO"),"")</f>
        <v/>
      </c>
      <c r="T273" s="19">
        <f>IF(Database!BM273="","",IFERROR(BDP(LEFT(Database!BM273,FIND(".",Database!BM273)-1)&amp;" CH Equity","CUR_MKT_CAP"),""))</f>
        <v/>
      </c>
    </row>
    <row r="274">
      <c r="A274" s="17">
        <f>Database!A274&amp;"  "&amp;Database!B274</f>
        <v/>
      </c>
      <c r="B274" s="10">
        <f>IFERROR(INDEX(BDS(Database!$A274&amp;" HK Equity","EQUITY_OFFERINGS","array=t","endcol=1"),MATCH("IPO",BDS(Database!$A274&amp;" HK Equity","EQUITY_OFFERINGS","array=t","startcol=2","endcol=2"),0)),"")</f>
        <v/>
      </c>
      <c r="C274" s="186">
        <f>IF($B274="","",IFERROR(BDP($B274&amp;" Action","CP036"),""))</f>
        <v/>
      </c>
      <c r="D274" s="187">
        <f>Database!S274</f>
        <v/>
      </c>
      <c r="E274" s="186">
        <f>IF($B274="","",IFERROR(BDP($B274&amp;" Action","CP037"),""))</f>
        <v/>
      </c>
      <c r="F274" s="187">
        <f>Database!T274</f>
        <v/>
      </c>
      <c r="G274" s="186">
        <f>IF($B274="","",IFERROR(BDP($B274&amp;" Action","GREENSHOE_FACILITY"),""))</f>
        <v/>
      </c>
      <c r="H274" s="186">
        <f>IF($B274="","",IFERROR(BDP($B274&amp;" Action","OFFERING_GREENSHOE_SHARES_EX"),""))</f>
        <v/>
      </c>
      <c r="I274" s="17">
        <f>Database!AE274</f>
        <v/>
      </c>
      <c r="J274" s="24">
        <f>IFERROR(BDP(Database!$A274&amp;" HK Equity","PE_RATIO"),"")</f>
        <v/>
      </c>
      <c r="K274" s="10">
        <f>IFERROR(BDP(Database!$A274&amp;" HK Equity","A/H_SHARE_CONVERSION"),"")</f>
        <v/>
      </c>
      <c r="L274" s="17">
        <f>IF(Database!BM274="","(none found)",Database!BM274)</f>
        <v/>
      </c>
      <c r="M274" s="19">
        <f>IFERROR(BDH(Database!$A274&amp;" HK Equity","CUR_MKT_CAP",Database!$H274,Database!$H274),"")</f>
        <v/>
      </c>
      <c r="N274" s="180">
        <f>Database!Q274</f>
        <v/>
      </c>
      <c r="O274" s="24">
        <f>IFERROR(BDH(Database!$A274&amp;" HK Equity","PE_RATIO",Database!$H274,Database!$H274),"")</f>
        <v/>
      </c>
      <c r="P274" s="184">
        <f>IF(Database!BG274="","(n/m or not derivable)",Database!BG274)</f>
        <v/>
      </c>
      <c r="Q274" s="24">
        <f>IF(Database!BM274="","",IFERROR(BDH(LEFT(Database!BM274,FIND(".",Database!BM274)-1)&amp;" CH Equity","PE_RATIO",Database!$H274,Database!$H274),""))</f>
        <v/>
      </c>
      <c r="R274" s="24">
        <f>IF(Database!BM274="","",IFERROR(BDH("HSAHP Index","PX_LAST",Database!$H274,Database!$H274),""))</f>
        <v/>
      </c>
      <c r="S274" s="24">
        <f>IFERROR(BDP(Database!$A274&amp;" HK Equity","PX_TO_SALES_RATIO"),"")</f>
        <v/>
      </c>
      <c r="T274" s="19">
        <f>IF(Database!BM274="","",IFERROR(BDP(LEFT(Database!BM274,FIND(".",Database!BM274)-1)&amp;" CH Equity","CUR_MKT_CAP"),""))</f>
        <v/>
      </c>
    </row>
    <row r="275">
      <c r="A275" s="17">
        <f>Database!A275&amp;"  "&amp;Database!B275</f>
        <v/>
      </c>
      <c r="B275" s="10">
        <f>IFERROR(INDEX(BDS(Database!$A275&amp;" HK Equity","EQUITY_OFFERINGS","array=t","endcol=1"),MATCH("IPO",BDS(Database!$A275&amp;" HK Equity","EQUITY_OFFERINGS","array=t","startcol=2","endcol=2"),0)),"")</f>
        <v/>
      </c>
      <c r="C275" s="186">
        <f>IF($B275="","",IFERROR(BDP($B275&amp;" Action","CP036"),""))</f>
        <v/>
      </c>
      <c r="D275" s="187">
        <f>Database!S275</f>
        <v/>
      </c>
      <c r="E275" s="186">
        <f>IF($B275="","",IFERROR(BDP($B275&amp;" Action","CP037"),""))</f>
        <v/>
      </c>
      <c r="F275" s="187">
        <f>Database!T275</f>
        <v/>
      </c>
      <c r="G275" s="186">
        <f>IF($B275="","",IFERROR(BDP($B275&amp;" Action","GREENSHOE_FACILITY"),""))</f>
        <v/>
      </c>
      <c r="H275" s="186">
        <f>IF($B275="","",IFERROR(BDP($B275&amp;" Action","OFFERING_GREENSHOE_SHARES_EX"),""))</f>
        <v/>
      </c>
      <c r="I275" s="17">
        <f>Database!AE275</f>
        <v/>
      </c>
      <c r="J275" s="24">
        <f>IFERROR(BDP(Database!$A275&amp;" HK Equity","PE_RATIO"),"")</f>
        <v/>
      </c>
      <c r="K275" s="10">
        <f>IFERROR(BDP(Database!$A275&amp;" HK Equity","A/H_SHARE_CONVERSION"),"")</f>
        <v/>
      </c>
      <c r="L275" s="17">
        <f>IF(Database!BM275="","(none found)",Database!BM275)</f>
        <v/>
      </c>
      <c r="M275" s="19">
        <f>IFERROR(BDH(Database!$A275&amp;" HK Equity","CUR_MKT_CAP",Database!$H275,Database!$H275),"")</f>
        <v/>
      </c>
      <c r="N275" s="180">
        <f>Database!Q275</f>
        <v/>
      </c>
      <c r="O275" s="24">
        <f>IFERROR(BDH(Database!$A275&amp;" HK Equity","PE_RATIO",Database!$H275,Database!$H275),"")</f>
        <v/>
      </c>
      <c r="P275" s="184">
        <f>IF(Database!BG275="","(n/m or not derivable)",Database!BG275)</f>
        <v/>
      </c>
      <c r="Q275" s="24">
        <f>IF(Database!BM275="","",IFERROR(BDH(LEFT(Database!BM275,FIND(".",Database!BM275)-1)&amp;" CH Equity","PE_RATIO",Database!$H275,Database!$H275),""))</f>
        <v/>
      </c>
      <c r="R275" s="24">
        <f>IF(Database!BM275="","",IFERROR(BDH("HSAHP Index","PX_LAST",Database!$H275,Database!$H275),""))</f>
        <v/>
      </c>
      <c r="S275" s="24">
        <f>IFERROR(BDP(Database!$A275&amp;" HK Equity","PX_TO_SALES_RATIO"),"")</f>
        <v/>
      </c>
      <c r="T275" s="19">
        <f>IF(Database!BM275="","",IFERROR(BDP(LEFT(Database!BM275,FIND(".",Database!BM275)-1)&amp;" CH Equity","CUR_MKT_CAP"),""))</f>
        <v/>
      </c>
    </row>
    <row r="276">
      <c r="A276" s="17">
        <f>Database!A276&amp;"  "&amp;Database!B276</f>
        <v/>
      </c>
      <c r="B276" s="10">
        <f>IFERROR(INDEX(BDS(Database!$A276&amp;" HK Equity","EQUITY_OFFERINGS","array=t","endcol=1"),MATCH("IPO",BDS(Database!$A276&amp;" HK Equity","EQUITY_OFFERINGS","array=t","startcol=2","endcol=2"),0)),"")</f>
        <v/>
      </c>
      <c r="C276" s="186">
        <f>IF($B276="","",IFERROR(BDP($B276&amp;" Action","CP036"),""))</f>
        <v/>
      </c>
      <c r="D276" s="187">
        <f>Database!S276</f>
        <v/>
      </c>
      <c r="E276" s="186">
        <f>IF($B276="","",IFERROR(BDP($B276&amp;" Action","CP037"),""))</f>
        <v/>
      </c>
      <c r="F276" s="187">
        <f>Database!T276</f>
        <v/>
      </c>
      <c r="G276" s="186">
        <f>IF($B276="","",IFERROR(BDP($B276&amp;" Action","GREENSHOE_FACILITY"),""))</f>
        <v/>
      </c>
      <c r="H276" s="186">
        <f>IF($B276="","",IFERROR(BDP($B276&amp;" Action","OFFERING_GREENSHOE_SHARES_EX"),""))</f>
        <v/>
      </c>
      <c r="I276" s="17">
        <f>Database!AE276</f>
        <v/>
      </c>
      <c r="J276" s="24">
        <f>IFERROR(BDP(Database!$A276&amp;" HK Equity","PE_RATIO"),"")</f>
        <v/>
      </c>
      <c r="K276" s="10">
        <f>IFERROR(BDP(Database!$A276&amp;" HK Equity","A/H_SHARE_CONVERSION"),"")</f>
        <v/>
      </c>
      <c r="L276" s="17">
        <f>IF(Database!BM276="","(none found)",Database!BM276)</f>
        <v/>
      </c>
      <c r="M276" s="19">
        <f>IFERROR(BDH(Database!$A276&amp;" HK Equity","CUR_MKT_CAP",Database!$H276,Database!$H276),"")</f>
        <v/>
      </c>
      <c r="N276" s="180">
        <f>Database!Q276</f>
        <v/>
      </c>
      <c r="O276" s="24">
        <f>IFERROR(BDH(Database!$A276&amp;" HK Equity","PE_RATIO",Database!$H276,Database!$H276),"")</f>
        <v/>
      </c>
      <c r="P276" s="184">
        <f>IF(Database!BG276="","(n/m or not derivable)",Database!BG276)</f>
        <v/>
      </c>
      <c r="Q276" s="24">
        <f>IF(Database!BM276="","",IFERROR(BDH(LEFT(Database!BM276,FIND(".",Database!BM276)-1)&amp;" CH Equity","PE_RATIO",Database!$H276,Database!$H276),""))</f>
        <v/>
      </c>
      <c r="R276" s="24">
        <f>IF(Database!BM276="","",IFERROR(BDH("HSAHP Index","PX_LAST",Database!$H276,Database!$H276),""))</f>
        <v/>
      </c>
      <c r="S276" s="24">
        <f>IFERROR(BDP(Database!$A276&amp;" HK Equity","PX_TO_SALES_RATIO"),"")</f>
        <v/>
      </c>
      <c r="T276" s="19">
        <f>IF(Database!BM276="","",IFERROR(BDP(LEFT(Database!BM276,FIND(".",Database!BM276)-1)&amp;" CH Equity","CUR_MKT_CAP"),""))</f>
        <v/>
      </c>
    </row>
    <row r="277">
      <c r="A277" s="17">
        <f>Database!A277&amp;"  "&amp;Database!B277</f>
        <v/>
      </c>
      <c r="B277" s="10">
        <f>IFERROR(INDEX(BDS(Database!$A277&amp;" HK Equity","EQUITY_OFFERINGS","array=t","endcol=1"),MATCH("IPO",BDS(Database!$A277&amp;" HK Equity","EQUITY_OFFERINGS","array=t","startcol=2","endcol=2"),0)),"")</f>
        <v/>
      </c>
      <c r="C277" s="186">
        <f>IF($B277="","",IFERROR(BDP($B277&amp;" Action","CP036"),""))</f>
        <v/>
      </c>
      <c r="D277" s="187">
        <f>Database!S277</f>
        <v/>
      </c>
      <c r="E277" s="186">
        <f>IF($B277="","",IFERROR(BDP($B277&amp;" Action","CP037"),""))</f>
        <v/>
      </c>
      <c r="F277" s="187">
        <f>Database!T277</f>
        <v/>
      </c>
      <c r="G277" s="186">
        <f>IF($B277="","",IFERROR(BDP($B277&amp;" Action","GREENSHOE_FACILITY"),""))</f>
        <v/>
      </c>
      <c r="H277" s="186">
        <f>IF($B277="","",IFERROR(BDP($B277&amp;" Action","OFFERING_GREENSHOE_SHARES_EX"),""))</f>
        <v/>
      </c>
      <c r="I277" s="17">
        <f>Database!AE277</f>
        <v/>
      </c>
      <c r="J277" s="24">
        <f>IFERROR(BDP(Database!$A277&amp;" HK Equity","PE_RATIO"),"")</f>
        <v/>
      </c>
      <c r="K277" s="10">
        <f>IFERROR(BDP(Database!$A277&amp;" HK Equity","A/H_SHARE_CONVERSION"),"")</f>
        <v/>
      </c>
      <c r="L277" s="17">
        <f>IF(Database!BM277="","(none found)",Database!BM277)</f>
        <v/>
      </c>
      <c r="M277" s="19">
        <f>IFERROR(BDH(Database!$A277&amp;" HK Equity","CUR_MKT_CAP",Database!$H277,Database!$H277),"")</f>
        <v/>
      </c>
      <c r="N277" s="180">
        <f>Database!Q277</f>
        <v/>
      </c>
      <c r="O277" s="24">
        <f>IFERROR(BDH(Database!$A277&amp;" HK Equity","PE_RATIO",Database!$H277,Database!$H277),"")</f>
        <v/>
      </c>
      <c r="P277" s="184">
        <f>IF(Database!BG277="","(n/m or not derivable)",Database!BG277)</f>
        <v/>
      </c>
      <c r="Q277" s="24">
        <f>IF(Database!BM277="","",IFERROR(BDH(LEFT(Database!BM277,FIND(".",Database!BM277)-1)&amp;" CH Equity","PE_RATIO",Database!$H277,Database!$H277),""))</f>
        <v/>
      </c>
      <c r="R277" s="24">
        <f>IF(Database!BM277="","",IFERROR(BDH("HSAHP Index","PX_LAST",Database!$H277,Database!$H277),""))</f>
        <v/>
      </c>
      <c r="S277" s="24">
        <f>IFERROR(BDP(Database!$A277&amp;" HK Equity","PX_TO_SALES_RATIO"),"")</f>
        <v/>
      </c>
      <c r="T277" s="19">
        <f>IF(Database!BM277="","",IFERROR(BDP(LEFT(Database!BM277,FIND(".",Database!BM277)-1)&amp;" CH Equity","CUR_MKT_CAP"),""))</f>
        <v/>
      </c>
    </row>
    <row r="278">
      <c r="A278" s="17">
        <f>Database!A278&amp;"  "&amp;Database!B278</f>
        <v/>
      </c>
      <c r="B278" s="10">
        <f>IFERROR(INDEX(BDS(Database!$A278&amp;" HK Equity","EQUITY_OFFERINGS","array=t","endcol=1"),MATCH("IPO",BDS(Database!$A278&amp;" HK Equity","EQUITY_OFFERINGS","array=t","startcol=2","endcol=2"),0)),"")</f>
        <v/>
      </c>
      <c r="C278" s="186">
        <f>IF($B278="","",IFERROR(BDP($B278&amp;" Action","CP036"),""))</f>
        <v/>
      </c>
      <c r="D278" s="187">
        <f>Database!S278</f>
        <v/>
      </c>
      <c r="E278" s="186">
        <f>IF($B278="","",IFERROR(BDP($B278&amp;" Action","CP037"),""))</f>
        <v/>
      </c>
      <c r="F278" s="187">
        <f>Database!T278</f>
        <v/>
      </c>
      <c r="G278" s="186">
        <f>IF($B278="","",IFERROR(BDP($B278&amp;" Action","GREENSHOE_FACILITY"),""))</f>
        <v/>
      </c>
      <c r="H278" s="186">
        <f>IF($B278="","",IFERROR(BDP($B278&amp;" Action","OFFERING_GREENSHOE_SHARES_EX"),""))</f>
        <v/>
      </c>
      <c r="I278" s="17">
        <f>Database!AE278</f>
        <v/>
      </c>
      <c r="J278" s="24">
        <f>IFERROR(BDP(Database!$A278&amp;" HK Equity","PE_RATIO"),"")</f>
        <v/>
      </c>
      <c r="K278" s="10">
        <f>IFERROR(BDP(Database!$A278&amp;" HK Equity","A/H_SHARE_CONVERSION"),"")</f>
        <v/>
      </c>
      <c r="L278" s="17">
        <f>IF(Database!BM278="","(none found)",Database!BM278)</f>
        <v/>
      </c>
      <c r="M278" s="19">
        <f>IFERROR(BDH(Database!$A278&amp;" HK Equity","CUR_MKT_CAP",Database!$H278,Database!$H278),"")</f>
        <v/>
      </c>
      <c r="N278" s="180">
        <f>Database!Q278</f>
        <v/>
      </c>
      <c r="O278" s="24">
        <f>IFERROR(BDH(Database!$A278&amp;" HK Equity","PE_RATIO",Database!$H278,Database!$H278),"")</f>
        <v/>
      </c>
      <c r="P278" s="184">
        <f>IF(Database!BG278="","(n/m or not derivable)",Database!BG278)</f>
        <v/>
      </c>
      <c r="Q278" s="24">
        <f>IF(Database!BM278="","",IFERROR(BDH(LEFT(Database!BM278,FIND(".",Database!BM278)-1)&amp;" CH Equity","PE_RATIO",Database!$H278,Database!$H278),""))</f>
        <v/>
      </c>
      <c r="R278" s="24">
        <f>IF(Database!BM278="","",IFERROR(BDH("HSAHP Index","PX_LAST",Database!$H278,Database!$H278),""))</f>
        <v/>
      </c>
      <c r="S278" s="24">
        <f>IFERROR(BDP(Database!$A278&amp;" HK Equity","PX_TO_SALES_RATIO"),"")</f>
        <v/>
      </c>
      <c r="T278" s="19">
        <f>IF(Database!BM278="","",IFERROR(BDP(LEFT(Database!BM278,FIND(".",Database!BM278)-1)&amp;" CH Equity","CUR_MKT_CAP"),""))</f>
        <v/>
      </c>
    </row>
    <row r="279">
      <c r="A279" s="17">
        <f>Database!A279&amp;"  "&amp;Database!B279</f>
        <v/>
      </c>
      <c r="B279" s="10">
        <f>IFERROR(INDEX(BDS(Database!$A279&amp;" HK Equity","EQUITY_OFFERINGS","array=t","endcol=1"),MATCH("IPO",BDS(Database!$A279&amp;" HK Equity","EQUITY_OFFERINGS","array=t","startcol=2","endcol=2"),0)),"")</f>
        <v/>
      </c>
      <c r="C279" s="186">
        <f>IF($B279="","",IFERROR(BDP($B279&amp;" Action","CP036"),""))</f>
        <v/>
      </c>
      <c r="D279" s="187">
        <f>Database!S279</f>
        <v/>
      </c>
      <c r="E279" s="186">
        <f>IF($B279="","",IFERROR(BDP($B279&amp;" Action","CP037"),""))</f>
        <v/>
      </c>
      <c r="F279" s="187">
        <f>Database!T279</f>
        <v/>
      </c>
      <c r="G279" s="186">
        <f>IF($B279="","",IFERROR(BDP($B279&amp;" Action","GREENSHOE_FACILITY"),""))</f>
        <v/>
      </c>
      <c r="H279" s="186">
        <f>IF($B279="","",IFERROR(BDP($B279&amp;" Action","OFFERING_GREENSHOE_SHARES_EX"),""))</f>
        <v/>
      </c>
      <c r="I279" s="17">
        <f>Database!AE279</f>
        <v/>
      </c>
      <c r="J279" s="24">
        <f>IFERROR(BDP(Database!$A279&amp;" HK Equity","PE_RATIO"),"")</f>
        <v/>
      </c>
      <c r="K279" s="10">
        <f>IFERROR(BDP(Database!$A279&amp;" HK Equity","A/H_SHARE_CONVERSION"),"")</f>
        <v/>
      </c>
      <c r="L279" s="17">
        <f>IF(Database!BM279="","(none found)",Database!BM279)</f>
        <v/>
      </c>
      <c r="M279" s="19">
        <f>IFERROR(BDH(Database!$A279&amp;" HK Equity","CUR_MKT_CAP",Database!$H279,Database!$H279),"")</f>
        <v/>
      </c>
      <c r="N279" s="180">
        <f>Database!Q279</f>
        <v/>
      </c>
      <c r="O279" s="24">
        <f>IFERROR(BDH(Database!$A279&amp;" HK Equity","PE_RATIO",Database!$H279,Database!$H279),"")</f>
        <v/>
      </c>
      <c r="P279" s="184">
        <f>IF(Database!BG279="","(n/m or not derivable)",Database!BG279)</f>
        <v/>
      </c>
      <c r="Q279" s="24">
        <f>IF(Database!BM279="","",IFERROR(BDH(LEFT(Database!BM279,FIND(".",Database!BM279)-1)&amp;" CH Equity","PE_RATIO",Database!$H279,Database!$H279),""))</f>
        <v/>
      </c>
      <c r="R279" s="24">
        <f>IF(Database!BM279="","",IFERROR(BDH("HSAHP Index","PX_LAST",Database!$H279,Database!$H279),""))</f>
        <v/>
      </c>
      <c r="S279" s="24">
        <f>IFERROR(BDP(Database!$A279&amp;" HK Equity","PX_TO_SALES_RATIO"),"")</f>
        <v/>
      </c>
      <c r="T279" s="19">
        <f>IF(Database!BM279="","",IFERROR(BDP(LEFT(Database!BM279,FIND(".",Database!BM279)-1)&amp;" CH Equity","CUR_MKT_CAP"),""))</f>
        <v/>
      </c>
    </row>
    <row r="280">
      <c r="A280" s="17">
        <f>Database!A280&amp;"  "&amp;Database!B280</f>
        <v/>
      </c>
      <c r="B280" s="10">
        <f>IFERROR(INDEX(BDS(Database!$A280&amp;" HK Equity","EQUITY_OFFERINGS","array=t","endcol=1"),MATCH("IPO",BDS(Database!$A280&amp;" HK Equity","EQUITY_OFFERINGS","array=t","startcol=2","endcol=2"),0)),"")</f>
        <v/>
      </c>
      <c r="C280" s="186">
        <f>IF($B280="","",IFERROR(BDP($B280&amp;" Action","CP036"),""))</f>
        <v/>
      </c>
      <c r="D280" s="187">
        <f>Database!S280</f>
        <v/>
      </c>
      <c r="E280" s="186">
        <f>IF($B280="","",IFERROR(BDP($B280&amp;" Action","CP037"),""))</f>
        <v/>
      </c>
      <c r="F280" s="187">
        <f>Database!T280</f>
        <v/>
      </c>
      <c r="G280" s="186">
        <f>IF($B280="","",IFERROR(BDP($B280&amp;" Action","GREENSHOE_FACILITY"),""))</f>
        <v/>
      </c>
      <c r="H280" s="186">
        <f>IF($B280="","",IFERROR(BDP($B280&amp;" Action","OFFERING_GREENSHOE_SHARES_EX"),""))</f>
        <v/>
      </c>
      <c r="I280" s="17">
        <f>Database!AE280</f>
        <v/>
      </c>
      <c r="J280" s="24">
        <f>IFERROR(BDP(Database!$A280&amp;" HK Equity","PE_RATIO"),"")</f>
        <v/>
      </c>
      <c r="K280" s="10">
        <f>IFERROR(BDP(Database!$A280&amp;" HK Equity","A/H_SHARE_CONVERSION"),"")</f>
        <v/>
      </c>
      <c r="L280" s="17">
        <f>IF(Database!BM280="","(none found)",Database!BM280)</f>
        <v/>
      </c>
      <c r="M280" s="19">
        <f>IFERROR(BDH(Database!$A280&amp;" HK Equity","CUR_MKT_CAP",Database!$H280,Database!$H280),"")</f>
        <v/>
      </c>
      <c r="N280" s="180">
        <f>Database!Q280</f>
        <v/>
      </c>
      <c r="O280" s="24">
        <f>IFERROR(BDH(Database!$A280&amp;" HK Equity","PE_RATIO",Database!$H280,Database!$H280),"")</f>
        <v/>
      </c>
      <c r="P280" s="184">
        <f>IF(Database!BG280="","(n/m or not derivable)",Database!BG280)</f>
        <v/>
      </c>
      <c r="Q280" s="24">
        <f>IF(Database!BM280="","",IFERROR(BDH(LEFT(Database!BM280,FIND(".",Database!BM280)-1)&amp;" CH Equity","PE_RATIO",Database!$H280,Database!$H280),""))</f>
        <v/>
      </c>
      <c r="R280" s="24">
        <f>IF(Database!BM280="","",IFERROR(BDH("HSAHP Index","PX_LAST",Database!$H280,Database!$H280),""))</f>
        <v/>
      </c>
      <c r="S280" s="24">
        <f>IFERROR(BDP(Database!$A280&amp;" HK Equity","PX_TO_SALES_RATIO"),"")</f>
        <v/>
      </c>
      <c r="T280" s="19">
        <f>IF(Database!BM280="","",IFERROR(BDP(LEFT(Database!BM280,FIND(".",Database!BM280)-1)&amp;" CH Equity","CUR_MKT_CAP"),""))</f>
        <v/>
      </c>
    </row>
    <row r="281">
      <c r="A281" s="17">
        <f>Database!A281&amp;"  "&amp;Database!B281</f>
        <v/>
      </c>
      <c r="B281" s="10">
        <f>IFERROR(INDEX(BDS(Database!$A281&amp;" HK Equity","EQUITY_OFFERINGS","array=t","endcol=1"),MATCH("IPO",BDS(Database!$A281&amp;" HK Equity","EQUITY_OFFERINGS","array=t","startcol=2","endcol=2"),0)),"")</f>
        <v/>
      </c>
      <c r="C281" s="186">
        <f>IF($B281="","",IFERROR(BDP($B281&amp;" Action","CP036"),""))</f>
        <v/>
      </c>
      <c r="D281" s="187">
        <f>Database!S281</f>
        <v/>
      </c>
      <c r="E281" s="186">
        <f>IF($B281="","",IFERROR(BDP($B281&amp;" Action","CP037"),""))</f>
        <v/>
      </c>
      <c r="F281" s="187">
        <f>Database!T281</f>
        <v/>
      </c>
      <c r="G281" s="186">
        <f>IF($B281="","",IFERROR(BDP($B281&amp;" Action","GREENSHOE_FACILITY"),""))</f>
        <v/>
      </c>
      <c r="H281" s="186">
        <f>IF($B281="","",IFERROR(BDP($B281&amp;" Action","OFFERING_GREENSHOE_SHARES_EX"),""))</f>
        <v/>
      </c>
      <c r="I281" s="17">
        <f>Database!AE281</f>
        <v/>
      </c>
      <c r="J281" s="24">
        <f>IFERROR(BDP(Database!$A281&amp;" HK Equity","PE_RATIO"),"")</f>
        <v/>
      </c>
      <c r="K281" s="10">
        <f>IFERROR(BDP(Database!$A281&amp;" HK Equity","A/H_SHARE_CONVERSION"),"")</f>
        <v/>
      </c>
      <c r="L281" s="17">
        <f>IF(Database!BM281="","(none found)",Database!BM281)</f>
        <v/>
      </c>
      <c r="M281" s="19">
        <f>IFERROR(BDH(Database!$A281&amp;" HK Equity","CUR_MKT_CAP",Database!$H281,Database!$H281),"")</f>
        <v/>
      </c>
      <c r="N281" s="180">
        <f>Database!Q281</f>
        <v/>
      </c>
      <c r="O281" s="24">
        <f>IFERROR(BDH(Database!$A281&amp;" HK Equity","PE_RATIO",Database!$H281,Database!$H281),"")</f>
        <v/>
      </c>
      <c r="P281" s="184">
        <f>IF(Database!BG281="","(n/m or not derivable)",Database!BG281)</f>
        <v/>
      </c>
      <c r="Q281" s="24">
        <f>IF(Database!BM281="","",IFERROR(BDH(LEFT(Database!BM281,FIND(".",Database!BM281)-1)&amp;" CH Equity","PE_RATIO",Database!$H281,Database!$H281),""))</f>
        <v/>
      </c>
      <c r="R281" s="24">
        <f>IF(Database!BM281="","",IFERROR(BDH("HSAHP Index","PX_LAST",Database!$H281,Database!$H281),""))</f>
        <v/>
      </c>
      <c r="S281" s="24">
        <f>IFERROR(BDP(Database!$A281&amp;" HK Equity","PX_TO_SALES_RATIO"),"")</f>
        <v/>
      </c>
      <c r="T281" s="19">
        <f>IF(Database!BM281="","",IFERROR(BDP(LEFT(Database!BM281,FIND(".",Database!BM281)-1)&amp;" CH Equity","CUR_MKT_CAP"),""))</f>
        <v/>
      </c>
    </row>
    <row r="282">
      <c r="A282" s="17">
        <f>Database!A282&amp;"  "&amp;Database!B282</f>
        <v/>
      </c>
      <c r="B282" s="10">
        <f>IFERROR(INDEX(BDS(Database!$A282&amp;" HK Equity","EQUITY_OFFERINGS","array=t","endcol=1"),MATCH("IPO",BDS(Database!$A282&amp;" HK Equity","EQUITY_OFFERINGS","array=t","startcol=2","endcol=2"),0)),"")</f>
        <v/>
      </c>
      <c r="C282" s="186">
        <f>IF($B282="","",IFERROR(BDP($B282&amp;" Action","CP036"),""))</f>
        <v/>
      </c>
      <c r="D282" s="187">
        <f>Database!S282</f>
        <v/>
      </c>
      <c r="E282" s="186">
        <f>IF($B282="","",IFERROR(BDP($B282&amp;" Action","CP037"),""))</f>
        <v/>
      </c>
      <c r="F282" s="187">
        <f>Database!T282</f>
        <v/>
      </c>
      <c r="G282" s="186">
        <f>IF($B282="","",IFERROR(BDP($B282&amp;" Action","GREENSHOE_FACILITY"),""))</f>
        <v/>
      </c>
      <c r="H282" s="186">
        <f>IF($B282="","",IFERROR(BDP($B282&amp;" Action","OFFERING_GREENSHOE_SHARES_EX"),""))</f>
        <v/>
      </c>
      <c r="I282" s="17">
        <f>Database!AE282</f>
        <v/>
      </c>
      <c r="J282" s="24">
        <f>IFERROR(BDP(Database!$A282&amp;" HK Equity","PE_RATIO"),"")</f>
        <v/>
      </c>
      <c r="K282" s="10">
        <f>IFERROR(BDP(Database!$A282&amp;" HK Equity","A/H_SHARE_CONVERSION"),"")</f>
        <v/>
      </c>
      <c r="L282" s="17">
        <f>IF(Database!BM282="","(none found)",Database!BM282)</f>
        <v/>
      </c>
      <c r="M282" s="19">
        <f>IFERROR(BDH(Database!$A282&amp;" HK Equity","CUR_MKT_CAP",Database!$H282,Database!$H282),"")</f>
        <v/>
      </c>
      <c r="N282" s="180">
        <f>Database!Q282</f>
        <v/>
      </c>
      <c r="O282" s="24">
        <f>IFERROR(BDH(Database!$A282&amp;" HK Equity","PE_RATIO",Database!$H282,Database!$H282),"")</f>
        <v/>
      </c>
      <c r="P282" s="184">
        <f>IF(Database!BG282="","(n/m or not derivable)",Database!BG282)</f>
        <v/>
      </c>
      <c r="Q282" s="24">
        <f>IF(Database!BM282="","",IFERROR(BDH(LEFT(Database!BM282,FIND(".",Database!BM282)-1)&amp;" CH Equity","PE_RATIO",Database!$H282,Database!$H282),""))</f>
        <v/>
      </c>
      <c r="R282" s="24">
        <f>IF(Database!BM282="","",IFERROR(BDH("HSAHP Index","PX_LAST",Database!$H282,Database!$H282),""))</f>
        <v/>
      </c>
      <c r="S282" s="24">
        <f>IFERROR(BDP(Database!$A282&amp;" HK Equity","PX_TO_SALES_RATIO"),"")</f>
        <v/>
      </c>
      <c r="T282" s="19">
        <f>IF(Database!BM282="","",IFERROR(BDP(LEFT(Database!BM282,FIND(".",Database!BM282)-1)&amp;" CH Equity","CUR_MKT_CAP"),""))</f>
        <v/>
      </c>
    </row>
    <row r="283">
      <c r="A283" s="17">
        <f>Database!A283&amp;"  "&amp;Database!B283</f>
        <v/>
      </c>
      <c r="B283" s="10">
        <f>IFERROR(INDEX(BDS(Database!$A283&amp;" HK Equity","EQUITY_OFFERINGS","array=t","endcol=1"),MATCH("IPO",BDS(Database!$A283&amp;" HK Equity","EQUITY_OFFERINGS","array=t","startcol=2","endcol=2"),0)),"")</f>
        <v/>
      </c>
      <c r="C283" s="186">
        <f>IF($B283="","",IFERROR(BDP($B283&amp;" Action","CP036"),""))</f>
        <v/>
      </c>
      <c r="D283" s="187">
        <f>Database!S283</f>
        <v/>
      </c>
      <c r="E283" s="186">
        <f>IF($B283="","",IFERROR(BDP($B283&amp;" Action","CP037"),""))</f>
        <v/>
      </c>
      <c r="F283" s="187">
        <f>Database!T283</f>
        <v/>
      </c>
      <c r="G283" s="186">
        <f>IF($B283="","",IFERROR(BDP($B283&amp;" Action","GREENSHOE_FACILITY"),""))</f>
        <v/>
      </c>
      <c r="H283" s="186">
        <f>IF($B283="","",IFERROR(BDP($B283&amp;" Action","OFFERING_GREENSHOE_SHARES_EX"),""))</f>
        <v/>
      </c>
      <c r="I283" s="17">
        <f>Database!AE283</f>
        <v/>
      </c>
      <c r="J283" s="24">
        <f>IFERROR(BDP(Database!$A283&amp;" HK Equity","PE_RATIO"),"")</f>
        <v/>
      </c>
      <c r="K283" s="10">
        <f>IFERROR(BDP(Database!$A283&amp;" HK Equity","A/H_SHARE_CONVERSION"),"")</f>
        <v/>
      </c>
      <c r="L283" s="17">
        <f>IF(Database!BM283="","(none found)",Database!BM283)</f>
        <v/>
      </c>
      <c r="M283" s="19">
        <f>IFERROR(BDH(Database!$A283&amp;" HK Equity","CUR_MKT_CAP",Database!$H283,Database!$H283),"")</f>
        <v/>
      </c>
      <c r="N283" s="180">
        <f>Database!Q283</f>
        <v/>
      </c>
      <c r="O283" s="24">
        <f>IFERROR(BDH(Database!$A283&amp;" HK Equity","PE_RATIO",Database!$H283,Database!$H283),"")</f>
        <v/>
      </c>
      <c r="P283" s="184">
        <f>IF(Database!BG283="","(n/m or not derivable)",Database!BG283)</f>
        <v/>
      </c>
      <c r="Q283" s="24">
        <f>IF(Database!BM283="","",IFERROR(BDH(LEFT(Database!BM283,FIND(".",Database!BM283)-1)&amp;" CH Equity","PE_RATIO",Database!$H283,Database!$H283),""))</f>
        <v/>
      </c>
      <c r="R283" s="24">
        <f>IF(Database!BM283="","",IFERROR(BDH("HSAHP Index","PX_LAST",Database!$H283,Database!$H283),""))</f>
        <v/>
      </c>
      <c r="S283" s="24">
        <f>IFERROR(BDP(Database!$A283&amp;" HK Equity","PX_TO_SALES_RATIO"),"")</f>
        <v/>
      </c>
      <c r="T283" s="19">
        <f>IF(Database!BM283="","",IFERROR(BDP(LEFT(Database!BM283,FIND(".",Database!BM283)-1)&amp;" CH Equity","CUR_MKT_CAP"),""))</f>
        <v/>
      </c>
    </row>
    <row r="284">
      <c r="A284" s="17">
        <f>Database!A284&amp;"  "&amp;Database!B284</f>
        <v/>
      </c>
      <c r="B284" s="10">
        <f>IFERROR(INDEX(BDS(Database!$A284&amp;" HK Equity","EQUITY_OFFERINGS","array=t","endcol=1"),MATCH("IPO",BDS(Database!$A284&amp;" HK Equity","EQUITY_OFFERINGS","array=t","startcol=2","endcol=2"),0)),"")</f>
        <v/>
      </c>
      <c r="C284" s="186">
        <f>IF($B284="","",IFERROR(BDP($B284&amp;" Action","CP036"),""))</f>
        <v/>
      </c>
      <c r="D284" s="187">
        <f>Database!S284</f>
        <v/>
      </c>
      <c r="E284" s="186">
        <f>IF($B284="","",IFERROR(BDP($B284&amp;" Action","CP037"),""))</f>
        <v/>
      </c>
      <c r="F284" s="187">
        <f>Database!T284</f>
        <v/>
      </c>
      <c r="G284" s="186">
        <f>IF($B284="","",IFERROR(BDP($B284&amp;" Action","GREENSHOE_FACILITY"),""))</f>
        <v/>
      </c>
      <c r="H284" s="186">
        <f>IF($B284="","",IFERROR(BDP($B284&amp;" Action","OFFERING_GREENSHOE_SHARES_EX"),""))</f>
        <v/>
      </c>
      <c r="I284" s="17">
        <f>Database!AE284</f>
        <v/>
      </c>
      <c r="J284" s="24">
        <f>IFERROR(BDP(Database!$A284&amp;" HK Equity","PE_RATIO"),"")</f>
        <v/>
      </c>
      <c r="K284" s="10">
        <f>IFERROR(BDP(Database!$A284&amp;" HK Equity","A/H_SHARE_CONVERSION"),"")</f>
        <v/>
      </c>
      <c r="L284" s="17">
        <f>IF(Database!BM284="","(none found)",Database!BM284)</f>
        <v/>
      </c>
      <c r="M284" s="19">
        <f>IFERROR(BDH(Database!$A284&amp;" HK Equity","CUR_MKT_CAP",Database!$H284,Database!$H284),"")</f>
        <v/>
      </c>
      <c r="N284" s="180">
        <f>Database!Q284</f>
        <v/>
      </c>
      <c r="O284" s="24">
        <f>IFERROR(BDH(Database!$A284&amp;" HK Equity","PE_RATIO",Database!$H284,Database!$H284),"")</f>
        <v/>
      </c>
      <c r="P284" s="184">
        <f>IF(Database!BG284="","(n/m or not derivable)",Database!BG284)</f>
        <v/>
      </c>
      <c r="Q284" s="24">
        <f>IF(Database!BM284="","",IFERROR(BDH(LEFT(Database!BM284,FIND(".",Database!BM284)-1)&amp;" CH Equity","PE_RATIO",Database!$H284,Database!$H284),""))</f>
        <v/>
      </c>
      <c r="R284" s="24">
        <f>IF(Database!BM284="","",IFERROR(BDH("HSAHP Index","PX_LAST",Database!$H284,Database!$H284),""))</f>
        <v/>
      </c>
      <c r="S284" s="24">
        <f>IFERROR(BDP(Database!$A284&amp;" HK Equity","PX_TO_SALES_RATIO"),"")</f>
        <v/>
      </c>
      <c r="T284" s="19">
        <f>IF(Database!BM284="","",IFERROR(BDP(LEFT(Database!BM284,FIND(".",Database!BM284)-1)&amp;" CH Equity","CUR_MKT_CAP"),""))</f>
        <v/>
      </c>
    </row>
    <row r="285">
      <c r="A285" s="17">
        <f>Database!A285&amp;"  "&amp;Database!B285</f>
        <v/>
      </c>
      <c r="B285" s="10">
        <f>IFERROR(INDEX(BDS(Database!$A285&amp;" HK Equity","EQUITY_OFFERINGS","array=t","endcol=1"),MATCH("IPO",BDS(Database!$A285&amp;" HK Equity","EQUITY_OFFERINGS","array=t","startcol=2","endcol=2"),0)),"")</f>
        <v/>
      </c>
      <c r="C285" s="186">
        <f>IF($B285="","",IFERROR(BDP($B285&amp;" Action","CP036"),""))</f>
        <v/>
      </c>
      <c r="D285" s="187">
        <f>Database!S285</f>
        <v/>
      </c>
      <c r="E285" s="186">
        <f>IF($B285="","",IFERROR(BDP($B285&amp;" Action","CP037"),""))</f>
        <v/>
      </c>
      <c r="F285" s="187">
        <f>Database!T285</f>
        <v/>
      </c>
      <c r="G285" s="186">
        <f>IF($B285="","",IFERROR(BDP($B285&amp;" Action","GREENSHOE_FACILITY"),""))</f>
        <v/>
      </c>
      <c r="H285" s="186">
        <f>IF($B285="","",IFERROR(BDP($B285&amp;" Action","OFFERING_GREENSHOE_SHARES_EX"),""))</f>
        <v/>
      </c>
      <c r="I285" s="17">
        <f>Database!AE285</f>
        <v/>
      </c>
      <c r="J285" s="24">
        <f>IFERROR(BDP(Database!$A285&amp;" HK Equity","PE_RATIO"),"")</f>
        <v/>
      </c>
      <c r="K285" s="10">
        <f>IFERROR(BDP(Database!$A285&amp;" HK Equity","A/H_SHARE_CONVERSION"),"")</f>
        <v/>
      </c>
      <c r="L285" s="17">
        <f>IF(Database!BM285="","(none found)",Database!BM285)</f>
        <v/>
      </c>
      <c r="M285" s="19">
        <f>IFERROR(BDH(Database!$A285&amp;" HK Equity","CUR_MKT_CAP",Database!$H285,Database!$H285),"")</f>
        <v/>
      </c>
      <c r="N285" s="180">
        <f>Database!Q285</f>
        <v/>
      </c>
      <c r="O285" s="24">
        <f>IFERROR(BDH(Database!$A285&amp;" HK Equity","PE_RATIO",Database!$H285,Database!$H285),"")</f>
        <v/>
      </c>
      <c r="P285" s="184">
        <f>IF(Database!BG285="","(n/m or not derivable)",Database!BG285)</f>
        <v/>
      </c>
      <c r="Q285" s="24">
        <f>IF(Database!BM285="","",IFERROR(BDH(LEFT(Database!BM285,FIND(".",Database!BM285)-1)&amp;" CH Equity","PE_RATIO",Database!$H285,Database!$H285),""))</f>
        <v/>
      </c>
      <c r="R285" s="24">
        <f>IF(Database!BM285="","",IFERROR(BDH("HSAHP Index","PX_LAST",Database!$H285,Database!$H285),""))</f>
        <v/>
      </c>
      <c r="S285" s="24">
        <f>IFERROR(BDP(Database!$A285&amp;" HK Equity","PX_TO_SALES_RATIO"),"")</f>
        <v/>
      </c>
      <c r="T285" s="19">
        <f>IF(Database!BM285="","",IFERROR(BDP(LEFT(Database!BM285,FIND(".",Database!BM285)-1)&amp;" CH Equity","CUR_MKT_CAP"),""))</f>
        <v/>
      </c>
    </row>
    <row r="286">
      <c r="A286" s="17">
        <f>Database!A286&amp;"  "&amp;Database!B286</f>
        <v/>
      </c>
      <c r="B286" s="10">
        <f>IFERROR(INDEX(BDS(Database!$A286&amp;" HK Equity","EQUITY_OFFERINGS","array=t","endcol=1"),MATCH("IPO",BDS(Database!$A286&amp;" HK Equity","EQUITY_OFFERINGS","array=t","startcol=2","endcol=2"),0)),"")</f>
        <v/>
      </c>
      <c r="C286" s="186">
        <f>IF($B286="","",IFERROR(BDP($B286&amp;" Action","CP036"),""))</f>
        <v/>
      </c>
      <c r="D286" s="187">
        <f>Database!S286</f>
        <v/>
      </c>
      <c r="E286" s="186">
        <f>IF($B286="","",IFERROR(BDP($B286&amp;" Action","CP037"),""))</f>
        <v/>
      </c>
      <c r="F286" s="187">
        <f>Database!T286</f>
        <v/>
      </c>
      <c r="G286" s="186">
        <f>IF($B286="","",IFERROR(BDP($B286&amp;" Action","GREENSHOE_FACILITY"),""))</f>
        <v/>
      </c>
      <c r="H286" s="186">
        <f>IF($B286="","",IFERROR(BDP($B286&amp;" Action","OFFERING_GREENSHOE_SHARES_EX"),""))</f>
        <v/>
      </c>
      <c r="I286" s="17">
        <f>Database!AE286</f>
        <v/>
      </c>
      <c r="J286" s="24">
        <f>IFERROR(BDP(Database!$A286&amp;" HK Equity","PE_RATIO"),"")</f>
        <v/>
      </c>
      <c r="K286" s="10">
        <f>IFERROR(BDP(Database!$A286&amp;" HK Equity","A/H_SHARE_CONVERSION"),"")</f>
        <v/>
      </c>
      <c r="L286" s="17">
        <f>IF(Database!BM286="","(none found)",Database!BM286)</f>
        <v/>
      </c>
      <c r="M286" s="19">
        <f>IFERROR(BDH(Database!$A286&amp;" HK Equity","CUR_MKT_CAP",Database!$H286,Database!$H286),"")</f>
        <v/>
      </c>
      <c r="N286" s="180">
        <f>Database!Q286</f>
        <v/>
      </c>
      <c r="O286" s="24">
        <f>IFERROR(BDH(Database!$A286&amp;" HK Equity","PE_RATIO",Database!$H286,Database!$H286),"")</f>
        <v/>
      </c>
      <c r="P286" s="184">
        <f>IF(Database!BG286="","(n/m or not derivable)",Database!BG286)</f>
        <v/>
      </c>
      <c r="Q286" s="24">
        <f>IF(Database!BM286="","",IFERROR(BDH(LEFT(Database!BM286,FIND(".",Database!BM286)-1)&amp;" CH Equity","PE_RATIO",Database!$H286,Database!$H286),""))</f>
        <v/>
      </c>
      <c r="R286" s="24">
        <f>IF(Database!BM286="","",IFERROR(BDH("HSAHP Index","PX_LAST",Database!$H286,Database!$H286),""))</f>
        <v/>
      </c>
      <c r="S286" s="24">
        <f>IFERROR(BDP(Database!$A286&amp;" HK Equity","PX_TO_SALES_RATIO"),"")</f>
        <v/>
      </c>
      <c r="T286" s="19">
        <f>IF(Database!BM286="","",IFERROR(BDP(LEFT(Database!BM286,FIND(".",Database!BM286)-1)&amp;" CH Equity","CUR_MKT_CAP"),""))</f>
        <v/>
      </c>
    </row>
    <row r="287">
      <c r="A287" s="17">
        <f>Database!A287&amp;"  "&amp;Database!B287</f>
        <v/>
      </c>
      <c r="B287" s="10">
        <f>IFERROR(INDEX(BDS(Database!$A287&amp;" HK Equity","EQUITY_OFFERINGS","array=t","endcol=1"),MATCH("IPO",BDS(Database!$A287&amp;" HK Equity","EQUITY_OFFERINGS","array=t","startcol=2","endcol=2"),0)),"")</f>
        <v/>
      </c>
      <c r="C287" s="186">
        <f>IF($B287="","",IFERROR(BDP($B287&amp;" Action","CP036"),""))</f>
        <v/>
      </c>
      <c r="D287" s="187">
        <f>Database!S287</f>
        <v/>
      </c>
      <c r="E287" s="186">
        <f>IF($B287="","",IFERROR(BDP($B287&amp;" Action","CP037"),""))</f>
        <v/>
      </c>
      <c r="F287" s="187">
        <f>Database!T287</f>
        <v/>
      </c>
      <c r="G287" s="186">
        <f>IF($B287="","",IFERROR(BDP($B287&amp;" Action","GREENSHOE_FACILITY"),""))</f>
        <v/>
      </c>
      <c r="H287" s="186">
        <f>IF($B287="","",IFERROR(BDP($B287&amp;" Action","OFFERING_GREENSHOE_SHARES_EX"),""))</f>
        <v/>
      </c>
      <c r="I287" s="17">
        <f>Database!AE287</f>
        <v/>
      </c>
      <c r="J287" s="24">
        <f>IFERROR(BDP(Database!$A287&amp;" HK Equity","PE_RATIO"),"")</f>
        <v/>
      </c>
      <c r="K287" s="10">
        <f>IFERROR(BDP(Database!$A287&amp;" HK Equity","A/H_SHARE_CONVERSION"),"")</f>
        <v/>
      </c>
      <c r="L287" s="17">
        <f>IF(Database!BM287="","(none found)",Database!BM287)</f>
        <v/>
      </c>
      <c r="M287" s="19">
        <f>IFERROR(BDH(Database!$A287&amp;" HK Equity","CUR_MKT_CAP",Database!$H287,Database!$H287),"")</f>
        <v/>
      </c>
      <c r="N287" s="180">
        <f>Database!Q287</f>
        <v/>
      </c>
      <c r="O287" s="24">
        <f>IFERROR(BDH(Database!$A287&amp;" HK Equity","PE_RATIO",Database!$H287,Database!$H287),"")</f>
        <v/>
      </c>
      <c r="P287" s="184">
        <f>IF(Database!BG287="","(n/m or not derivable)",Database!BG287)</f>
        <v/>
      </c>
      <c r="Q287" s="24">
        <f>IF(Database!BM287="","",IFERROR(BDH(LEFT(Database!BM287,FIND(".",Database!BM287)-1)&amp;" CH Equity","PE_RATIO",Database!$H287,Database!$H287),""))</f>
        <v/>
      </c>
      <c r="R287" s="24">
        <f>IF(Database!BM287="","",IFERROR(BDH("HSAHP Index","PX_LAST",Database!$H287,Database!$H287),""))</f>
        <v/>
      </c>
      <c r="S287" s="24">
        <f>IFERROR(BDP(Database!$A287&amp;" HK Equity","PX_TO_SALES_RATIO"),"")</f>
        <v/>
      </c>
      <c r="T287" s="19">
        <f>IF(Database!BM287="","",IFERROR(BDP(LEFT(Database!BM287,FIND(".",Database!BM287)-1)&amp;" CH Equity","CUR_MKT_CAP"),""))</f>
        <v/>
      </c>
    </row>
    <row r="288">
      <c r="A288" s="17">
        <f>Database!A288&amp;"  "&amp;Database!B288</f>
        <v/>
      </c>
      <c r="B288" s="10">
        <f>IFERROR(INDEX(BDS(Database!$A288&amp;" HK Equity","EQUITY_OFFERINGS","array=t","endcol=1"),MATCH("IPO",BDS(Database!$A288&amp;" HK Equity","EQUITY_OFFERINGS","array=t","startcol=2","endcol=2"),0)),"")</f>
        <v/>
      </c>
      <c r="C288" s="186">
        <f>IF($B288="","",IFERROR(BDP($B288&amp;" Action","CP036"),""))</f>
        <v/>
      </c>
      <c r="D288" s="187">
        <f>Database!S288</f>
        <v/>
      </c>
      <c r="E288" s="186">
        <f>IF($B288="","",IFERROR(BDP($B288&amp;" Action","CP037"),""))</f>
        <v/>
      </c>
      <c r="F288" s="187">
        <f>Database!T288</f>
        <v/>
      </c>
      <c r="G288" s="186">
        <f>IF($B288="","",IFERROR(BDP($B288&amp;" Action","GREENSHOE_FACILITY"),""))</f>
        <v/>
      </c>
      <c r="H288" s="186">
        <f>IF($B288="","",IFERROR(BDP($B288&amp;" Action","OFFERING_GREENSHOE_SHARES_EX"),""))</f>
        <v/>
      </c>
      <c r="I288" s="17">
        <f>Database!AE288</f>
        <v/>
      </c>
      <c r="J288" s="24">
        <f>IFERROR(BDP(Database!$A288&amp;" HK Equity","PE_RATIO"),"")</f>
        <v/>
      </c>
      <c r="K288" s="10">
        <f>IFERROR(BDP(Database!$A288&amp;" HK Equity","A/H_SHARE_CONVERSION"),"")</f>
        <v/>
      </c>
      <c r="L288" s="17">
        <f>IF(Database!BM288="","(none found)",Database!BM288)</f>
        <v/>
      </c>
      <c r="M288" s="19">
        <f>IFERROR(BDH(Database!$A288&amp;" HK Equity","CUR_MKT_CAP",Database!$H288,Database!$H288),"")</f>
        <v/>
      </c>
      <c r="N288" s="180">
        <f>Database!Q288</f>
        <v/>
      </c>
      <c r="O288" s="24">
        <f>IFERROR(BDH(Database!$A288&amp;" HK Equity","PE_RATIO",Database!$H288,Database!$H288),"")</f>
        <v/>
      </c>
      <c r="P288" s="184">
        <f>IF(Database!BG288="","(n/m or not derivable)",Database!BG288)</f>
        <v/>
      </c>
      <c r="Q288" s="24">
        <f>IF(Database!BM288="","",IFERROR(BDH(LEFT(Database!BM288,FIND(".",Database!BM288)-1)&amp;" CH Equity","PE_RATIO",Database!$H288,Database!$H288),""))</f>
        <v/>
      </c>
      <c r="R288" s="24">
        <f>IF(Database!BM288="","",IFERROR(BDH("HSAHP Index","PX_LAST",Database!$H288,Database!$H288),""))</f>
        <v/>
      </c>
      <c r="S288" s="24">
        <f>IFERROR(BDP(Database!$A288&amp;" HK Equity","PX_TO_SALES_RATIO"),"")</f>
        <v/>
      </c>
      <c r="T288" s="19">
        <f>IF(Database!BM288="","",IFERROR(BDP(LEFT(Database!BM288,FIND(".",Database!BM288)-1)&amp;" CH Equity","CUR_MKT_CAP"),""))</f>
        <v/>
      </c>
    </row>
    <row r="289">
      <c r="A289" s="17">
        <f>Database!A289&amp;"  "&amp;Database!B289</f>
        <v/>
      </c>
      <c r="B289" s="10">
        <f>IFERROR(INDEX(BDS(Database!$A289&amp;" HK Equity","EQUITY_OFFERINGS","array=t","endcol=1"),MATCH("IPO",BDS(Database!$A289&amp;" HK Equity","EQUITY_OFFERINGS","array=t","startcol=2","endcol=2"),0)),"")</f>
        <v/>
      </c>
      <c r="C289" s="186">
        <f>IF($B289="","",IFERROR(BDP($B289&amp;" Action","CP036"),""))</f>
        <v/>
      </c>
      <c r="D289" s="187">
        <f>Database!S289</f>
        <v/>
      </c>
      <c r="E289" s="186">
        <f>IF($B289="","",IFERROR(BDP($B289&amp;" Action","CP037"),""))</f>
        <v/>
      </c>
      <c r="F289" s="187">
        <f>Database!T289</f>
        <v/>
      </c>
      <c r="G289" s="186">
        <f>IF($B289="","",IFERROR(BDP($B289&amp;" Action","GREENSHOE_FACILITY"),""))</f>
        <v/>
      </c>
      <c r="H289" s="186">
        <f>IF($B289="","",IFERROR(BDP($B289&amp;" Action","OFFERING_GREENSHOE_SHARES_EX"),""))</f>
        <v/>
      </c>
      <c r="I289" s="17">
        <f>Database!AE289</f>
        <v/>
      </c>
      <c r="J289" s="24">
        <f>IFERROR(BDP(Database!$A289&amp;" HK Equity","PE_RATIO"),"")</f>
        <v/>
      </c>
      <c r="K289" s="10">
        <f>IFERROR(BDP(Database!$A289&amp;" HK Equity","A/H_SHARE_CONVERSION"),"")</f>
        <v/>
      </c>
      <c r="L289" s="17">
        <f>IF(Database!BM289="","(none found)",Database!BM289)</f>
        <v/>
      </c>
      <c r="M289" s="19">
        <f>IFERROR(BDH(Database!$A289&amp;" HK Equity","CUR_MKT_CAP",Database!$H289,Database!$H289),"")</f>
        <v/>
      </c>
      <c r="N289" s="180">
        <f>Database!Q289</f>
        <v/>
      </c>
      <c r="O289" s="24">
        <f>IFERROR(BDH(Database!$A289&amp;" HK Equity","PE_RATIO",Database!$H289,Database!$H289),"")</f>
        <v/>
      </c>
      <c r="P289" s="184">
        <f>IF(Database!BG289="","(n/m or not derivable)",Database!BG289)</f>
        <v/>
      </c>
      <c r="Q289" s="24">
        <f>IF(Database!BM289="","",IFERROR(BDH(LEFT(Database!BM289,FIND(".",Database!BM289)-1)&amp;" CH Equity","PE_RATIO",Database!$H289,Database!$H289),""))</f>
        <v/>
      </c>
      <c r="R289" s="24">
        <f>IF(Database!BM289="","",IFERROR(BDH("HSAHP Index","PX_LAST",Database!$H289,Database!$H289),""))</f>
        <v/>
      </c>
      <c r="S289" s="24">
        <f>IFERROR(BDP(Database!$A289&amp;" HK Equity","PX_TO_SALES_RATIO"),"")</f>
        <v/>
      </c>
      <c r="T289" s="19">
        <f>IF(Database!BM289="","",IFERROR(BDP(LEFT(Database!BM289,FIND(".",Database!BM289)-1)&amp;" CH Equity","CUR_MKT_CAP"),""))</f>
        <v/>
      </c>
    </row>
    <row r="290">
      <c r="A290" s="17">
        <f>Database!A290&amp;"  "&amp;Database!B290</f>
        <v/>
      </c>
      <c r="B290" s="10">
        <f>IFERROR(INDEX(BDS(Database!$A290&amp;" HK Equity","EQUITY_OFFERINGS","array=t","endcol=1"),MATCH("IPO",BDS(Database!$A290&amp;" HK Equity","EQUITY_OFFERINGS","array=t","startcol=2","endcol=2"),0)),"")</f>
        <v/>
      </c>
      <c r="C290" s="186">
        <f>IF($B290="","",IFERROR(BDP($B290&amp;" Action","CP036"),""))</f>
        <v/>
      </c>
      <c r="D290" s="187">
        <f>Database!S290</f>
        <v/>
      </c>
      <c r="E290" s="186">
        <f>IF($B290="","",IFERROR(BDP($B290&amp;" Action","CP037"),""))</f>
        <v/>
      </c>
      <c r="F290" s="187">
        <f>Database!T290</f>
        <v/>
      </c>
      <c r="G290" s="186">
        <f>IF($B290="","",IFERROR(BDP($B290&amp;" Action","GREENSHOE_FACILITY"),""))</f>
        <v/>
      </c>
      <c r="H290" s="186">
        <f>IF($B290="","",IFERROR(BDP($B290&amp;" Action","OFFERING_GREENSHOE_SHARES_EX"),""))</f>
        <v/>
      </c>
      <c r="I290" s="17">
        <f>Database!AE290</f>
        <v/>
      </c>
      <c r="J290" s="24">
        <f>IFERROR(BDP(Database!$A290&amp;" HK Equity","PE_RATIO"),"")</f>
        <v/>
      </c>
      <c r="K290" s="10">
        <f>IFERROR(BDP(Database!$A290&amp;" HK Equity","A/H_SHARE_CONVERSION"),"")</f>
        <v/>
      </c>
      <c r="L290" s="17">
        <f>IF(Database!BM290="","(none found)",Database!BM290)</f>
        <v/>
      </c>
      <c r="M290" s="19">
        <f>IFERROR(BDH(Database!$A290&amp;" HK Equity","CUR_MKT_CAP",Database!$H290,Database!$H290),"")</f>
        <v/>
      </c>
      <c r="N290" s="180">
        <f>Database!Q290</f>
        <v/>
      </c>
      <c r="O290" s="24">
        <f>IFERROR(BDH(Database!$A290&amp;" HK Equity","PE_RATIO",Database!$H290,Database!$H290),"")</f>
        <v/>
      </c>
      <c r="P290" s="184">
        <f>IF(Database!BG290="","(n/m or not derivable)",Database!BG290)</f>
        <v/>
      </c>
      <c r="Q290" s="24">
        <f>IF(Database!BM290="","",IFERROR(BDH(LEFT(Database!BM290,FIND(".",Database!BM290)-1)&amp;" CH Equity","PE_RATIO",Database!$H290,Database!$H290),""))</f>
        <v/>
      </c>
      <c r="R290" s="24">
        <f>IF(Database!BM290="","",IFERROR(BDH("HSAHP Index","PX_LAST",Database!$H290,Database!$H290),""))</f>
        <v/>
      </c>
      <c r="S290" s="24">
        <f>IFERROR(BDP(Database!$A290&amp;" HK Equity","PX_TO_SALES_RATIO"),"")</f>
        <v/>
      </c>
      <c r="T290" s="19">
        <f>IF(Database!BM290="","",IFERROR(BDP(LEFT(Database!BM290,FIND(".",Database!BM290)-1)&amp;" CH Equity","CUR_MKT_CAP"),""))</f>
        <v/>
      </c>
    </row>
    <row r="291">
      <c r="A291" s="17">
        <f>Database!A291&amp;"  "&amp;Database!B291</f>
        <v/>
      </c>
      <c r="B291" s="10">
        <f>IFERROR(INDEX(BDS(Database!$A291&amp;" HK Equity","EQUITY_OFFERINGS","array=t","endcol=1"),MATCH("IPO",BDS(Database!$A291&amp;" HK Equity","EQUITY_OFFERINGS","array=t","startcol=2","endcol=2"),0)),"")</f>
        <v/>
      </c>
      <c r="C291" s="186">
        <f>IF($B291="","",IFERROR(BDP($B291&amp;" Action","CP036"),""))</f>
        <v/>
      </c>
      <c r="D291" s="187">
        <f>Database!S291</f>
        <v/>
      </c>
      <c r="E291" s="186">
        <f>IF($B291="","",IFERROR(BDP($B291&amp;" Action","CP037"),""))</f>
        <v/>
      </c>
      <c r="F291" s="187">
        <f>Database!T291</f>
        <v/>
      </c>
      <c r="G291" s="186">
        <f>IF($B291="","",IFERROR(BDP($B291&amp;" Action","GREENSHOE_FACILITY"),""))</f>
        <v/>
      </c>
      <c r="H291" s="186">
        <f>IF($B291="","",IFERROR(BDP($B291&amp;" Action","OFFERING_GREENSHOE_SHARES_EX"),""))</f>
        <v/>
      </c>
      <c r="I291" s="17">
        <f>Database!AE291</f>
        <v/>
      </c>
      <c r="J291" s="24">
        <f>IFERROR(BDP(Database!$A291&amp;" HK Equity","PE_RATIO"),"")</f>
        <v/>
      </c>
      <c r="K291" s="10">
        <f>IFERROR(BDP(Database!$A291&amp;" HK Equity","A/H_SHARE_CONVERSION"),"")</f>
        <v/>
      </c>
      <c r="L291" s="17">
        <f>IF(Database!BM291="","(none found)",Database!BM291)</f>
        <v/>
      </c>
      <c r="M291" s="19">
        <f>IFERROR(BDH(Database!$A291&amp;" HK Equity","CUR_MKT_CAP",Database!$H291,Database!$H291),"")</f>
        <v/>
      </c>
      <c r="N291" s="180">
        <f>Database!Q291</f>
        <v/>
      </c>
      <c r="O291" s="24">
        <f>IFERROR(BDH(Database!$A291&amp;" HK Equity","PE_RATIO",Database!$H291,Database!$H291),"")</f>
        <v/>
      </c>
      <c r="P291" s="184">
        <f>IF(Database!BG291="","(n/m or not derivable)",Database!BG291)</f>
        <v/>
      </c>
      <c r="Q291" s="24">
        <f>IF(Database!BM291="","",IFERROR(BDH(LEFT(Database!BM291,FIND(".",Database!BM291)-1)&amp;" CH Equity","PE_RATIO",Database!$H291,Database!$H291),""))</f>
        <v/>
      </c>
      <c r="R291" s="24">
        <f>IF(Database!BM291="","",IFERROR(BDH("HSAHP Index","PX_LAST",Database!$H291,Database!$H291),""))</f>
        <v/>
      </c>
      <c r="S291" s="24">
        <f>IFERROR(BDP(Database!$A291&amp;" HK Equity","PX_TO_SALES_RATIO"),"")</f>
        <v/>
      </c>
      <c r="T291" s="19">
        <f>IF(Database!BM291="","",IFERROR(BDP(LEFT(Database!BM291,FIND(".",Database!BM291)-1)&amp;" CH Equity","CUR_MKT_CAP"),""))</f>
        <v/>
      </c>
    </row>
    <row r="292">
      <c r="A292" s="17">
        <f>Database!A292&amp;"  "&amp;Database!B292</f>
        <v/>
      </c>
      <c r="B292" s="10">
        <f>IFERROR(INDEX(BDS(Database!$A292&amp;" HK Equity","EQUITY_OFFERINGS","array=t","endcol=1"),MATCH("IPO",BDS(Database!$A292&amp;" HK Equity","EQUITY_OFFERINGS","array=t","startcol=2","endcol=2"),0)),"")</f>
        <v/>
      </c>
      <c r="C292" s="186">
        <f>IF($B292="","",IFERROR(BDP($B292&amp;" Action","CP036"),""))</f>
        <v/>
      </c>
      <c r="D292" s="187">
        <f>Database!S292</f>
        <v/>
      </c>
      <c r="E292" s="186">
        <f>IF($B292="","",IFERROR(BDP($B292&amp;" Action","CP037"),""))</f>
        <v/>
      </c>
      <c r="F292" s="187">
        <f>Database!T292</f>
        <v/>
      </c>
      <c r="G292" s="186">
        <f>IF($B292="","",IFERROR(BDP($B292&amp;" Action","GREENSHOE_FACILITY"),""))</f>
        <v/>
      </c>
      <c r="H292" s="186">
        <f>IF($B292="","",IFERROR(BDP($B292&amp;" Action","OFFERING_GREENSHOE_SHARES_EX"),""))</f>
        <v/>
      </c>
      <c r="I292" s="17">
        <f>Database!AE292</f>
        <v/>
      </c>
      <c r="J292" s="24">
        <f>IFERROR(BDP(Database!$A292&amp;" HK Equity","PE_RATIO"),"")</f>
        <v/>
      </c>
      <c r="K292" s="10">
        <f>IFERROR(BDP(Database!$A292&amp;" HK Equity","A/H_SHARE_CONVERSION"),"")</f>
        <v/>
      </c>
      <c r="L292" s="17">
        <f>IF(Database!BM292="","(none found)",Database!BM292)</f>
        <v/>
      </c>
      <c r="M292" s="19">
        <f>IFERROR(BDH(Database!$A292&amp;" HK Equity","CUR_MKT_CAP",Database!$H292,Database!$H292),"")</f>
        <v/>
      </c>
      <c r="N292" s="180">
        <f>Database!Q292</f>
        <v/>
      </c>
      <c r="O292" s="24">
        <f>IFERROR(BDH(Database!$A292&amp;" HK Equity","PE_RATIO",Database!$H292,Database!$H292),"")</f>
        <v/>
      </c>
      <c r="P292" s="184">
        <f>IF(Database!BG292="","(n/m or not derivable)",Database!BG292)</f>
        <v/>
      </c>
      <c r="Q292" s="24">
        <f>IF(Database!BM292="","",IFERROR(BDH(LEFT(Database!BM292,FIND(".",Database!BM292)-1)&amp;" CH Equity","PE_RATIO",Database!$H292,Database!$H292),""))</f>
        <v/>
      </c>
      <c r="R292" s="24">
        <f>IF(Database!BM292="","",IFERROR(BDH("HSAHP Index","PX_LAST",Database!$H292,Database!$H292),""))</f>
        <v/>
      </c>
      <c r="S292" s="24">
        <f>IFERROR(BDP(Database!$A292&amp;" HK Equity","PX_TO_SALES_RATIO"),"")</f>
        <v/>
      </c>
      <c r="T292" s="19">
        <f>IF(Database!BM292="","",IFERROR(BDP(LEFT(Database!BM292,FIND(".",Database!BM292)-1)&amp;" CH Equity","CUR_MKT_CAP"),""))</f>
        <v/>
      </c>
    </row>
    <row r="293">
      <c r="A293" s="17">
        <f>Database!A293&amp;"  "&amp;Database!B293</f>
        <v/>
      </c>
      <c r="B293" s="10">
        <f>IFERROR(INDEX(BDS(Database!$A293&amp;" HK Equity","EQUITY_OFFERINGS","array=t","endcol=1"),MATCH("IPO",BDS(Database!$A293&amp;" HK Equity","EQUITY_OFFERINGS","array=t","startcol=2","endcol=2"),0)),"")</f>
        <v/>
      </c>
      <c r="C293" s="186">
        <f>IF($B293="","",IFERROR(BDP($B293&amp;" Action","CP036"),""))</f>
        <v/>
      </c>
      <c r="D293" s="187">
        <f>Database!S293</f>
        <v/>
      </c>
      <c r="E293" s="186">
        <f>IF($B293="","",IFERROR(BDP($B293&amp;" Action","CP037"),""))</f>
        <v/>
      </c>
      <c r="F293" s="187">
        <f>Database!T293</f>
        <v/>
      </c>
      <c r="G293" s="186">
        <f>IF($B293="","",IFERROR(BDP($B293&amp;" Action","GREENSHOE_FACILITY"),""))</f>
        <v/>
      </c>
      <c r="H293" s="186">
        <f>IF($B293="","",IFERROR(BDP($B293&amp;" Action","OFFERING_GREENSHOE_SHARES_EX"),""))</f>
        <v/>
      </c>
      <c r="I293" s="17">
        <f>Database!AE293</f>
        <v/>
      </c>
      <c r="J293" s="24">
        <f>IFERROR(BDP(Database!$A293&amp;" HK Equity","PE_RATIO"),"")</f>
        <v/>
      </c>
      <c r="K293" s="10">
        <f>IFERROR(BDP(Database!$A293&amp;" HK Equity","A/H_SHARE_CONVERSION"),"")</f>
        <v/>
      </c>
      <c r="L293" s="17">
        <f>IF(Database!BM293="","(none found)",Database!BM293)</f>
        <v/>
      </c>
      <c r="M293" s="19">
        <f>IFERROR(BDH(Database!$A293&amp;" HK Equity","CUR_MKT_CAP",Database!$H293,Database!$H293),"")</f>
        <v/>
      </c>
      <c r="N293" s="180">
        <f>Database!Q293</f>
        <v/>
      </c>
      <c r="O293" s="24">
        <f>IFERROR(BDH(Database!$A293&amp;" HK Equity","PE_RATIO",Database!$H293,Database!$H293),"")</f>
        <v/>
      </c>
      <c r="P293" s="184">
        <f>IF(Database!BG293="","(n/m or not derivable)",Database!BG293)</f>
        <v/>
      </c>
      <c r="Q293" s="24">
        <f>IF(Database!BM293="","",IFERROR(BDH(LEFT(Database!BM293,FIND(".",Database!BM293)-1)&amp;" CH Equity","PE_RATIO",Database!$H293,Database!$H293),""))</f>
        <v/>
      </c>
      <c r="R293" s="24">
        <f>IF(Database!BM293="","",IFERROR(BDH("HSAHP Index","PX_LAST",Database!$H293,Database!$H293),""))</f>
        <v/>
      </c>
      <c r="S293" s="24">
        <f>IFERROR(BDP(Database!$A293&amp;" HK Equity","PX_TO_SALES_RATIO"),"")</f>
        <v/>
      </c>
      <c r="T293" s="19">
        <f>IF(Database!BM293="","",IFERROR(BDP(LEFT(Database!BM293,FIND(".",Database!BM293)-1)&amp;" CH Equity","CUR_MKT_CAP"),""))</f>
        <v/>
      </c>
    </row>
    <row r="294">
      <c r="A294" s="17">
        <f>Database!A294&amp;"  "&amp;Database!B294</f>
        <v/>
      </c>
      <c r="B294" s="10">
        <f>IFERROR(INDEX(BDS(Database!$A294&amp;" HK Equity","EQUITY_OFFERINGS","array=t","endcol=1"),MATCH("IPO",BDS(Database!$A294&amp;" HK Equity","EQUITY_OFFERINGS","array=t","startcol=2","endcol=2"),0)),"")</f>
        <v/>
      </c>
      <c r="C294" s="186">
        <f>IF($B294="","",IFERROR(BDP($B294&amp;" Action","CP036"),""))</f>
        <v/>
      </c>
      <c r="D294" s="187">
        <f>Database!S294</f>
        <v/>
      </c>
      <c r="E294" s="186">
        <f>IF($B294="","",IFERROR(BDP($B294&amp;" Action","CP037"),""))</f>
        <v/>
      </c>
      <c r="F294" s="187">
        <f>Database!T294</f>
        <v/>
      </c>
      <c r="G294" s="186">
        <f>IF($B294="","",IFERROR(BDP($B294&amp;" Action","GREENSHOE_FACILITY"),""))</f>
        <v/>
      </c>
      <c r="H294" s="186">
        <f>IF($B294="","",IFERROR(BDP($B294&amp;" Action","OFFERING_GREENSHOE_SHARES_EX"),""))</f>
        <v/>
      </c>
      <c r="I294" s="17">
        <f>Database!AE294</f>
        <v/>
      </c>
      <c r="J294" s="24">
        <f>IFERROR(BDP(Database!$A294&amp;" HK Equity","PE_RATIO"),"")</f>
        <v/>
      </c>
      <c r="K294" s="10">
        <f>IFERROR(BDP(Database!$A294&amp;" HK Equity","A/H_SHARE_CONVERSION"),"")</f>
        <v/>
      </c>
      <c r="L294" s="17">
        <f>IF(Database!BM294="","(none found)",Database!BM294)</f>
        <v/>
      </c>
      <c r="M294" s="19">
        <f>IFERROR(BDH(Database!$A294&amp;" HK Equity","CUR_MKT_CAP",Database!$H294,Database!$H294),"")</f>
        <v/>
      </c>
      <c r="N294" s="180">
        <f>Database!Q294</f>
        <v/>
      </c>
      <c r="O294" s="24">
        <f>IFERROR(BDH(Database!$A294&amp;" HK Equity","PE_RATIO",Database!$H294,Database!$H294),"")</f>
        <v/>
      </c>
      <c r="P294" s="184">
        <f>IF(Database!BG294="","(n/m or not derivable)",Database!BG294)</f>
        <v/>
      </c>
      <c r="Q294" s="24">
        <f>IF(Database!BM294="","",IFERROR(BDH(LEFT(Database!BM294,FIND(".",Database!BM294)-1)&amp;" CH Equity","PE_RATIO",Database!$H294,Database!$H294),""))</f>
        <v/>
      </c>
      <c r="R294" s="24">
        <f>IF(Database!BM294="","",IFERROR(BDH("HSAHP Index","PX_LAST",Database!$H294,Database!$H294),""))</f>
        <v/>
      </c>
      <c r="S294" s="24">
        <f>IFERROR(BDP(Database!$A294&amp;" HK Equity","PX_TO_SALES_RATIO"),"")</f>
        <v/>
      </c>
      <c r="T294" s="19">
        <f>IF(Database!BM294="","",IFERROR(BDP(LEFT(Database!BM294,FIND(".",Database!BM294)-1)&amp;" CH Equity","CUR_MKT_CAP"),""))</f>
        <v/>
      </c>
    </row>
    <row r="295">
      <c r="A295" s="17">
        <f>Database!A295&amp;"  "&amp;Database!B295</f>
        <v/>
      </c>
      <c r="B295" s="10">
        <f>IFERROR(INDEX(BDS(Database!$A295&amp;" HK Equity","EQUITY_OFFERINGS","array=t","endcol=1"),MATCH("IPO",BDS(Database!$A295&amp;" HK Equity","EQUITY_OFFERINGS","array=t","startcol=2","endcol=2"),0)),"")</f>
        <v/>
      </c>
      <c r="C295" s="186">
        <f>IF($B295="","",IFERROR(BDP($B295&amp;" Action","CP036"),""))</f>
        <v/>
      </c>
      <c r="D295" s="187">
        <f>Database!S295</f>
        <v/>
      </c>
      <c r="E295" s="186">
        <f>IF($B295="","",IFERROR(BDP($B295&amp;" Action","CP037"),""))</f>
        <v/>
      </c>
      <c r="F295" s="187">
        <f>Database!T295</f>
        <v/>
      </c>
      <c r="G295" s="186">
        <f>IF($B295="","",IFERROR(BDP($B295&amp;" Action","GREENSHOE_FACILITY"),""))</f>
        <v/>
      </c>
      <c r="H295" s="186">
        <f>IF($B295="","",IFERROR(BDP($B295&amp;" Action","OFFERING_GREENSHOE_SHARES_EX"),""))</f>
        <v/>
      </c>
      <c r="I295" s="17">
        <f>Database!AE295</f>
        <v/>
      </c>
      <c r="J295" s="24">
        <f>IFERROR(BDP(Database!$A295&amp;" HK Equity","PE_RATIO"),"")</f>
        <v/>
      </c>
      <c r="K295" s="10">
        <f>IFERROR(BDP(Database!$A295&amp;" HK Equity","A/H_SHARE_CONVERSION"),"")</f>
        <v/>
      </c>
      <c r="L295" s="17">
        <f>IF(Database!BM295="","(none found)",Database!BM295)</f>
        <v/>
      </c>
      <c r="M295" s="19">
        <f>IFERROR(BDH(Database!$A295&amp;" HK Equity","CUR_MKT_CAP",Database!$H295,Database!$H295),"")</f>
        <v/>
      </c>
      <c r="N295" s="180">
        <f>Database!Q295</f>
        <v/>
      </c>
      <c r="O295" s="24">
        <f>IFERROR(BDH(Database!$A295&amp;" HK Equity","PE_RATIO",Database!$H295,Database!$H295),"")</f>
        <v/>
      </c>
      <c r="P295" s="184">
        <f>IF(Database!BG295="","(n/m or not derivable)",Database!BG295)</f>
        <v/>
      </c>
      <c r="Q295" s="24">
        <f>IF(Database!BM295="","",IFERROR(BDH(LEFT(Database!BM295,FIND(".",Database!BM295)-1)&amp;" CH Equity","PE_RATIO",Database!$H295,Database!$H295),""))</f>
        <v/>
      </c>
      <c r="R295" s="24">
        <f>IF(Database!BM295="","",IFERROR(BDH("HSAHP Index","PX_LAST",Database!$H295,Database!$H295),""))</f>
        <v/>
      </c>
      <c r="S295" s="24">
        <f>IFERROR(BDP(Database!$A295&amp;" HK Equity","PX_TO_SALES_RATIO"),"")</f>
        <v/>
      </c>
      <c r="T295" s="19">
        <f>IF(Database!BM295="","",IFERROR(BDP(LEFT(Database!BM295,FIND(".",Database!BM295)-1)&amp;" CH Equity","CUR_MKT_CAP"),""))</f>
        <v/>
      </c>
    </row>
    <row r="296">
      <c r="A296" s="17">
        <f>Database!A296&amp;"  "&amp;Database!B296</f>
        <v/>
      </c>
      <c r="B296" s="10">
        <f>IFERROR(INDEX(BDS(Database!$A296&amp;" HK Equity","EQUITY_OFFERINGS","array=t","endcol=1"),MATCH("IPO",BDS(Database!$A296&amp;" HK Equity","EQUITY_OFFERINGS","array=t","startcol=2","endcol=2"),0)),"")</f>
        <v/>
      </c>
      <c r="C296" s="186">
        <f>IF($B296="","",IFERROR(BDP($B296&amp;" Action","CP036"),""))</f>
        <v/>
      </c>
      <c r="D296" s="187">
        <f>Database!S296</f>
        <v/>
      </c>
      <c r="E296" s="186">
        <f>IF($B296="","",IFERROR(BDP($B296&amp;" Action","CP037"),""))</f>
        <v/>
      </c>
      <c r="F296" s="187">
        <f>Database!T296</f>
        <v/>
      </c>
      <c r="G296" s="186">
        <f>IF($B296="","",IFERROR(BDP($B296&amp;" Action","GREENSHOE_FACILITY"),""))</f>
        <v/>
      </c>
      <c r="H296" s="186">
        <f>IF($B296="","",IFERROR(BDP($B296&amp;" Action","OFFERING_GREENSHOE_SHARES_EX"),""))</f>
        <v/>
      </c>
      <c r="I296" s="17">
        <f>Database!AE296</f>
        <v/>
      </c>
      <c r="J296" s="24">
        <f>IFERROR(BDP(Database!$A296&amp;" HK Equity","PE_RATIO"),"")</f>
        <v/>
      </c>
      <c r="K296" s="10">
        <f>IFERROR(BDP(Database!$A296&amp;" HK Equity","A/H_SHARE_CONVERSION"),"")</f>
        <v/>
      </c>
      <c r="L296" s="17">
        <f>IF(Database!BM296="","(none found)",Database!BM296)</f>
        <v/>
      </c>
      <c r="M296" s="19">
        <f>IFERROR(BDH(Database!$A296&amp;" HK Equity","CUR_MKT_CAP",Database!$H296,Database!$H296),"")</f>
        <v/>
      </c>
      <c r="N296" s="180">
        <f>Database!Q296</f>
        <v/>
      </c>
      <c r="O296" s="24">
        <f>IFERROR(BDH(Database!$A296&amp;" HK Equity","PE_RATIO",Database!$H296,Database!$H296),"")</f>
        <v/>
      </c>
      <c r="P296" s="184">
        <f>IF(Database!BG296="","(n/m or not derivable)",Database!BG296)</f>
        <v/>
      </c>
      <c r="Q296" s="24">
        <f>IF(Database!BM296="","",IFERROR(BDH(LEFT(Database!BM296,FIND(".",Database!BM296)-1)&amp;" CH Equity","PE_RATIO",Database!$H296,Database!$H296),""))</f>
        <v/>
      </c>
      <c r="R296" s="24">
        <f>IF(Database!BM296="","",IFERROR(BDH("HSAHP Index","PX_LAST",Database!$H296,Database!$H296),""))</f>
        <v/>
      </c>
      <c r="S296" s="24">
        <f>IFERROR(BDP(Database!$A296&amp;" HK Equity","PX_TO_SALES_RATIO"),"")</f>
        <v/>
      </c>
      <c r="T296" s="19">
        <f>IF(Database!BM296="","",IFERROR(BDP(LEFT(Database!BM296,FIND(".",Database!BM296)-1)&amp;" CH Equity","CUR_MKT_CAP"),""))</f>
        <v/>
      </c>
    </row>
    <row r="297">
      <c r="A297" s="17">
        <f>Database!A297&amp;"  "&amp;Database!B297</f>
        <v/>
      </c>
      <c r="B297" s="10">
        <f>IFERROR(INDEX(BDS(Database!$A297&amp;" HK Equity","EQUITY_OFFERINGS","array=t","endcol=1"),MATCH("IPO",BDS(Database!$A297&amp;" HK Equity","EQUITY_OFFERINGS","array=t","startcol=2","endcol=2"),0)),"")</f>
        <v/>
      </c>
      <c r="C297" s="186">
        <f>IF($B297="","",IFERROR(BDP($B297&amp;" Action","CP036"),""))</f>
        <v/>
      </c>
      <c r="D297" s="187">
        <f>Database!S297</f>
        <v/>
      </c>
      <c r="E297" s="186">
        <f>IF($B297="","",IFERROR(BDP($B297&amp;" Action","CP037"),""))</f>
        <v/>
      </c>
      <c r="F297" s="187">
        <f>Database!T297</f>
        <v/>
      </c>
      <c r="G297" s="186">
        <f>IF($B297="","",IFERROR(BDP($B297&amp;" Action","GREENSHOE_FACILITY"),""))</f>
        <v/>
      </c>
      <c r="H297" s="186">
        <f>IF($B297="","",IFERROR(BDP($B297&amp;" Action","OFFERING_GREENSHOE_SHARES_EX"),""))</f>
        <v/>
      </c>
      <c r="I297" s="17">
        <f>Database!AE297</f>
        <v/>
      </c>
      <c r="J297" s="24">
        <f>IFERROR(BDP(Database!$A297&amp;" HK Equity","PE_RATIO"),"")</f>
        <v/>
      </c>
      <c r="K297" s="10">
        <f>IFERROR(BDP(Database!$A297&amp;" HK Equity","A/H_SHARE_CONVERSION"),"")</f>
        <v/>
      </c>
      <c r="L297" s="17">
        <f>IF(Database!BM297="","(none found)",Database!BM297)</f>
        <v/>
      </c>
      <c r="M297" s="19">
        <f>IFERROR(BDH(Database!$A297&amp;" HK Equity","CUR_MKT_CAP",Database!$H297,Database!$H297),"")</f>
        <v/>
      </c>
      <c r="N297" s="180">
        <f>Database!Q297</f>
        <v/>
      </c>
      <c r="O297" s="24">
        <f>IFERROR(BDH(Database!$A297&amp;" HK Equity","PE_RATIO",Database!$H297,Database!$H297),"")</f>
        <v/>
      </c>
      <c r="P297" s="184">
        <f>IF(Database!BG297="","(n/m or not derivable)",Database!BG297)</f>
        <v/>
      </c>
      <c r="Q297" s="24">
        <f>IF(Database!BM297="","",IFERROR(BDH(LEFT(Database!BM297,FIND(".",Database!BM297)-1)&amp;" CH Equity","PE_RATIO",Database!$H297,Database!$H297),""))</f>
        <v/>
      </c>
      <c r="R297" s="24">
        <f>IF(Database!BM297="","",IFERROR(BDH("HSAHP Index","PX_LAST",Database!$H297,Database!$H297),""))</f>
        <v/>
      </c>
      <c r="S297" s="24">
        <f>IFERROR(BDP(Database!$A297&amp;" HK Equity","PX_TO_SALES_RATIO"),"")</f>
        <v/>
      </c>
      <c r="T297" s="19">
        <f>IF(Database!BM297="","",IFERROR(BDP(LEFT(Database!BM297,FIND(".",Database!BM297)-1)&amp;" CH Equity","CUR_MKT_CAP"),""))</f>
        <v/>
      </c>
    </row>
    <row r="298">
      <c r="A298" s="17">
        <f>Database!A298&amp;"  "&amp;Database!B298</f>
        <v/>
      </c>
      <c r="B298" s="10">
        <f>IFERROR(INDEX(BDS(Database!$A298&amp;" HK Equity","EQUITY_OFFERINGS","array=t","endcol=1"),MATCH("IPO",BDS(Database!$A298&amp;" HK Equity","EQUITY_OFFERINGS","array=t","startcol=2","endcol=2"),0)),"")</f>
        <v/>
      </c>
      <c r="C298" s="186">
        <f>IF($B298="","",IFERROR(BDP($B298&amp;" Action","CP036"),""))</f>
        <v/>
      </c>
      <c r="D298" s="187">
        <f>Database!S298</f>
        <v/>
      </c>
      <c r="E298" s="186">
        <f>IF($B298="","",IFERROR(BDP($B298&amp;" Action","CP037"),""))</f>
        <v/>
      </c>
      <c r="F298" s="187">
        <f>Database!T298</f>
        <v/>
      </c>
      <c r="G298" s="186">
        <f>IF($B298="","",IFERROR(BDP($B298&amp;" Action","GREENSHOE_FACILITY"),""))</f>
        <v/>
      </c>
      <c r="H298" s="186">
        <f>IF($B298="","",IFERROR(BDP($B298&amp;" Action","OFFERING_GREENSHOE_SHARES_EX"),""))</f>
        <v/>
      </c>
      <c r="I298" s="17">
        <f>Database!AE298</f>
        <v/>
      </c>
      <c r="J298" s="24">
        <f>IFERROR(BDP(Database!$A298&amp;" HK Equity","PE_RATIO"),"")</f>
        <v/>
      </c>
      <c r="K298" s="10">
        <f>IFERROR(BDP(Database!$A298&amp;" HK Equity","A/H_SHARE_CONVERSION"),"")</f>
        <v/>
      </c>
      <c r="L298" s="17">
        <f>IF(Database!BM298="","(none found)",Database!BM298)</f>
        <v/>
      </c>
      <c r="M298" s="19">
        <f>IFERROR(BDH(Database!$A298&amp;" HK Equity","CUR_MKT_CAP",Database!$H298,Database!$H298),"")</f>
        <v/>
      </c>
      <c r="N298" s="180">
        <f>Database!Q298</f>
        <v/>
      </c>
      <c r="O298" s="24">
        <f>IFERROR(BDH(Database!$A298&amp;" HK Equity","PE_RATIO",Database!$H298,Database!$H298),"")</f>
        <v/>
      </c>
      <c r="P298" s="184">
        <f>IF(Database!BG298="","(n/m or not derivable)",Database!BG298)</f>
        <v/>
      </c>
      <c r="Q298" s="24">
        <f>IF(Database!BM298="","",IFERROR(BDH(LEFT(Database!BM298,FIND(".",Database!BM298)-1)&amp;" CH Equity","PE_RATIO",Database!$H298,Database!$H298),""))</f>
        <v/>
      </c>
      <c r="R298" s="24">
        <f>IF(Database!BM298="","",IFERROR(BDH("HSAHP Index","PX_LAST",Database!$H298,Database!$H298),""))</f>
        <v/>
      </c>
      <c r="S298" s="24">
        <f>IFERROR(BDP(Database!$A298&amp;" HK Equity","PX_TO_SALES_RATIO"),"")</f>
        <v/>
      </c>
      <c r="T298" s="19">
        <f>IF(Database!BM298="","",IFERROR(BDP(LEFT(Database!BM298,FIND(".",Database!BM298)-1)&amp;" CH Equity","CUR_MKT_CAP"),""))</f>
        <v/>
      </c>
    </row>
    <row r="299">
      <c r="A299" s="17">
        <f>Database!A299&amp;"  "&amp;Database!B299</f>
        <v/>
      </c>
      <c r="B299" s="10">
        <f>IFERROR(INDEX(BDS(Database!$A299&amp;" HK Equity","EQUITY_OFFERINGS","array=t","endcol=1"),MATCH("IPO",BDS(Database!$A299&amp;" HK Equity","EQUITY_OFFERINGS","array=t","startcol=2","endcol=2"),0)),"")</f>
        <v/>
      </c>
      <c r="C299" s="186">
        <f>IF($B299="","",IFERROR(BDP($B299&amp;" Action","CP036"),""))</f>
        <v/>
      </c>
      <c r="D299" s="187">
        <f>Database!S299</f>
        <v/>
      </c>
      <c r="E299" s="186">
        <f>IF($B299="","",IFERROR(BDP($B299&amp;" Action","CP037"),""))</f>
        <v/>
      </c>
      <c r="F299" s="187">
        <f>Database!T299</f>
        <v/>
      </c>
      <c r="G299" s="186">
        <f>IF($B299="","",IFERROR(BDP($B299&amp;" Action","GREENSHOE_FACILITY"),""))</f>
        <v/>
      </c>
      <c r="H299" s="186">
        <f>IF($B299="","",IFERROR(BDP($B299&amp;" Action","OFFERING_GREENSHOE_SHARES_EX"),""))</f>
        <v/>
      </c>
      <c r="I299" s="17">
        <f>Database!AE299</f>
        <v/>
      </c>
      <c r="J299" s="24">
        <f>IFERROR(BDP(Database!$A299&amp;" HK Equity","PE_RATIO"),"")</f>
        <v/>
      </c>
      <c r="K299" s="10">
        <f>IFERROR(BDP(Database!$A299&amp;" HK Equity","A/H_SHARE_CONVERSION"),"")</f>
        <v/>
      </c>
      <c r="L299" s="17">
        <f>IF(Database!BM299="","(none found)",Database!BM299)</f>
        <v/>
      </c>
      <c r="M299" s="19">
        <f>IFERROR(BDH(Database!$A299&amp;" HK Equity","CUR_MKT_CAP",Database!$H299,Database!$H299),"")</f>
        <v/>
      </c>
      <c r="N299" s="180">
        <f>Database!Q299</f>
        <v/>
      </c>
      <c r="O299" s="24">
        <f>IFERROR(BDH(Database!$A299&amp;" HK Equity","PE_RATIO",Database!$H299,Database!$H299),"")</f>
        <v/>
      </c>
      <c r="P299" s="184">
        <f>IF(Database!BG299="","(n/m or not derivable)",Database!BG299)</f>
        <v/>
      </c>
      <c r="Q299" s="24">
        <f>IF(Database!BM299="","",IFERROR(BDH(LEFT(Database!BM299,FIND(".",Database!BM299)-1)&amp;" CH Equity","PE_RATIO",Database!$H299,Database!$H299),""))</f>
        <v/>
      </c>
      <c r="R299" s="24">
        <f>IF(Database!BM299="","",IFERROR(BDH("HSAHP Index","PX_LAST",Database!$H299,Database!$H299),""))</f>
        <v/>
      </c>
      <c r="S299" s="24">
        <f>IFERROR(BDP(Database!$A299&amp;" HK Equity","PX_TO_SALES_RATIO"),"")</f>
        <v/>
      </c>
      <c r="T299" s="19">
        <f>IF(Database!BM299="","",IFERROR(BDP(LEFT(Database!BM299,FIND(".",Database!BM299)-1)&amp;" CH Equity","CUR_MKT_CAP"),""))</f>
        <v/>
      </c>
    </row>
    <row r="300">
      <c r="A300" s="17">
        <f>Database!A300&amp;"  "&amp;Database!B300</f>
        <v/>
      </c>
      <c r="B300" s="10">
        <f>IFERROR(INDEX(BDS(Database!$A300&amp;" HK Equity","EQUITY_OFFERINGS","array=t","endcol=1"),MATCH("IPO",BDS(Database!$A300&amp;" HK Equity","EQUITY_OFFERINGS","array=t","startcol=2","endcol=2"),0)),"")</f>
        <v/>
      </c>
      <c r="C300" s="186">
        <f>IF($B300="","",IFERROR(BDP($B300&amp;" Action","CP036"),""))</f>
        <v/>
      </c>
      <c r="D300" s="187">
        <f>Database!S300</f>
        <v/>
      </c>
      <c r="E300" s="186">
        <f>IF($B300="","",IFERROR(BDP($B300&amp;" Action","CP037"),""))</f>
        <v/>
      </c>
      <c r="F300" s="187">
        <f>Database!T300</f>
        <v/>
      </c>
      <c r="G300" s="186">
        <f>IF($B300="","",IFERROR(BDP($B300&amp;" Action","GREENSHOE_FACILITY"),""))</f>
        <v/>
      </c>
      <c r="H300" s="186">
        <f>IF($B300="","",IFERROR(BDP($B300&amp;" Action","OFFERING_GREENSHOE_SHARES_EX"),""))</f>
        <v/>
      </c>
      <c r="I300" s="17">
        <f>Database!AE300</f>
        <v/>
      </c>
      <c r="J300" s="24">
        <f>IFERROR(BDP(Database!$A300&amp;" HK Equity","PE_RATIO"),"")</f>
        <v/>
      </c>
      <c r="K300" s="10">
        <f>IFERROR(BDP(Database!$A300&amp;" HK Equity","A/H_SHARE_CONVERSION"),"")</f>
        <v/>
      </c>
      <c r="L300" s="17">
        <f>IF(Database!BM300="","(none found)",Database!BM300)</f>
        <v/>
      </c>
      <c r="M300" s="19">
        <f>IFERROR(BDH(Database!$A300&amp;" HK Equity","CUR_MKT_CAP",Database!$H300,Database!$H300),"")</f>
        <v/>
      </c>
      <c r="N300" s="180">
        <f>Database!Q300</f>
        <v/>
      </c>
      <c r="O300" s="24">
        <f>IFERROR(BDH(Database!$A300&amp;" HK Equity","PE_RATIO",Database!$H300,Database!$H300),"")</f>
        <v/>
      </c>
      <c r="P300" s="184">
        <f>IF(Database!BG300="","(n/m or not derivable)",Database!BG300)</f>
        <v/>
      </c>
      <c r="Q300" s="24">
        <f>IF(Database!BM300="","",IFERROR(BDH(LEFT(Database!BM300,FIND(".",Database!BM300)-1)&amp;" CH Equity","PE_RATIO",Database!$H300,Database!$H300),""))</f>
        <v/>
      </c>
      <c r="R300" s="24">
        <f>IF(Database!BM300="","",IFERROR(BDH("HSAHP Index","PX_LAST",Database!$H300,Database!$H300),""))</f>
        <v/>
      </c>
      <c r="S300" s="24">
        <f>IFERROR(BDP(Database!$A300&amp;" HK Equity","PX_TO_SALES_RATIO"),"")</f>
        <v/>
      </c>
      <c r="T300" s="19">
        <f>IF(Database!BM300="","",IFERROR(BDP(LEFT(Database!BM300,FIND(".",Database!BM300)-1)&amp;" CH Equity","CUR_MKT_CAP"),""))</f>
        <v/>
      </c>
    </row>
    <row r="301">
      <c r="A301" s="17">
        <f>Database!A301&amp;"  "&amp;Database!B301</f>
        <v/>
      </c>
      <c r="B301" s="10">
        <f>IFERROR(INDEX(BDS(Database!$A301&amp;" HK Equity","EQUITY_OFFERINGS","array=t","endcol=1"),MATCH("IPO",BDS(Database!$A301&amp;" HK Equity","EQUITY_OFFERINGS","array=t","startcol=2","endcol=2"),0)),"")</f>
        <v/>
      </c>
      <c r="C301" s="186">
        <f>IF($B301="","",IFERROR(BDP($B301&amp;" Action","CP036"),""))</f>
        <v/>
      </c>
      <c r="D301" s="187">
        <f>Database!S301</f>
        <v/>
      </c>
      <c r="E301" s="186">
        <f>IF($B301="","",IFERROR(BDP($B301&amp;" Action","CP037"),""))</f>
        <v/>
      </c>
      <c r="F301" s="187">
        <f>Database!T301</f>
        <v/>
      </c>
      <c r="G301" s="186">
        <f>IF($B301="","",IFERROR(BDP($B301&amp;" Action","GREENSHOE_FACILITY"),""))</f>
        <v/>
      </c>
      <c r="H301" s="186">
        <f>IF($B301="","",IFERROR(BDP($B301&amp;" Action","OFFERING_GREENSHOE_SHARES_EX"),""))</f>
        <v/>
      </c>
      <c r="I301" s="17">
        <f>Database!AE301</f>
        <v/>
      </c>
      <c r="J301" s="24">
        <f>IFERROR(BDP(Database!$A301&amp;" HK Equity","PE_RATIO"),"")</f>
        <v/>
      </c>
      <c r="K301" s="10">
        <f>IFERROR(BDP(Database!$A301&amp;" HK Equity","A/H_SHARE_CONVERSION"),"")</f>
        <v/>
      </c>
      <c r="L301" s="17">
        <f>IF(Database!BM301="","(none found)",Database!BM301)</f>
        <v/>
      </c>
      <c r="M301" s="19">
        <f>IFERROR(BDH(Database!$A301&amp;" HK Equity","CUR_MKT_CAP",Database!$H301,Database!$H301),"")</f>
        <v/>
      </c>
      <c r="N301" s="180">
        <f>Database!Q301</f>
        <v/>
      </c>
      <c r="O301" s="24">
        <f>IFERROR(BDH(Database!$A301&amp;" HK Equity","PE_RATIO",Database!$H301,Database!$H301),"")</f>
        <v/>
      </c>
      <c r="P301" s="184">
        <f>IF(Database!BG301="","(n/m or not derivable)",Database!BG301)</f>
        <v/>
      </c>
      <c r="Q301" s="24">
        <f>IF(Database!BM301="","",IFERROR(BDH(LEFT(Database!BM301,FIND(".",Database!BM301)-1)&amp;" CH Equity","PE_RATIO",Database!$H301,Database!$H301),""))</f>
        <v/>
      </c>
      <c r="R301" s="24">
        <f>IF(Database!BM301="","",IFERROR(BDH("HSAHP Index","PX_LAST",Database!$H301,Database!$H301),""))</f>
        <v/>
      </c>
      <c r="S301" s="24">
        <f>IFERROR(BDP(Database!$A301&amp;" HK Equity","PX_TO_SALES_RATIO"),"")</f>
        <v/>
      </c>
      <c r="T301" s="19">
        <f>IF(Database!BM301="","",IFERROR(BDP(LEFT(Database!BM301,FIND(".",Database!BM301)-1)&amp;" CH Equity","CUR_MKT_CAP"),""))</f>
        <v/>
      </c>
    </row>
    <row r="302">
      <c r="A302" s="17">
        <f>Database!A302&amp;"  "&amp;Database!B302</f>
        <v/>
      </c>
      <c r="B302" s="10">
        <f>IFERROR(INDEX(BDS(Database!$A302&amp;" HK Equity","EQUITY_OFFERINGS","array=t","endcol=1"),MATCH("IPO",BDS(Database!$A302&amp;" HK Equity","EQUITY_OFFERINGS","array=t","startcol=2","endcol=2"),0)),"")</f>
        <v/>
      </c>
      <c r="C302" s="186">
        <f>IF($B302="","",IFERROR(BDP($B302&amp;" Action","CP036"),""))</f>
        <v/>
      </c>
      <c r="D302" s="187">
        <f>Database!S302</f>
        <v/>
      </c>
      <c r="E302" s="186">
        <f>IF($B302="","",IFERROR(BDP($B302&amp;" Action","CP037"),""))</f>
        <v/>
      </c>
      <c r="F302" s="187">
        <f>Database!T302</f>
        <v/>
      </c>
      <c r="G302" s="186">
        <f>IF($B302="","",IFERROR(BDP($B302&amp;" Action","GREENSHOE_FACILITY"),""))</f>
        <v/>
      </c>
      <c r="H302" s="186">
        <f>IF($B302="","",IFERROR(BDP($B302&amp;" Action","OFFERING_GREENSHOE_SHARES_EX"),""))</f>
        <v/>
      </c>
      <c r="I302" s="17">
        <f>Database!AE302</f>
        <v/>
      </c>
      <c r="J302" s="24">
        <f>IFERROR(BDP(Database!$A302&amp;" HK Equity","PE_RATIO"),"")</f>
        <v/>
      </c>
      <c r="K302" s="10">
        <f>IFERROR(BDP(Database!$A302&amp;" HK Equity","A/H_SHARE_CONVERSION"),"")</f>
        <v/>
      </c>
      <c r="L302" s="17">
        <f>IF(Database!BM302="","(none found)",Database!BM302)</f>
        <v/>
      </c>
      <c r="M302" s="19">
        <f>IFERROR(BDH(Database!$A302&amp;" HK Equity","CUR_MKT_CAP",Database!$H302,Database!$H302),"")</f>
        <v/>
      </c>
      <c r="N302" s="180">
        <f>Database!Q302</f>
        <v/>
      </c>
      <c r="O302" s="24">
        <f>IFERROR(BDH(Database!$A302&amp;" HK Equity","PE_RATIO",Database!$H302,Database!$H302),"")</f>
        <v/>
      </c>
      <c r="P302" s="184">
        <f>IF(Database!BG302="","(n/m or not derivable)",Database!BG302)</f>
        <v/>
      </c>
      <c r="Q302" s="24">
        <f>IF(Database!BM302="","",IFERROR(BDH(LEFT(Database!BM302,FIND(".",Database!BM302)-1)&amp;" CH Equity","PE_RATIO",Database!$H302,Database!$H302),""))</f>
        <v/>
      </c>
      <c r="R302" s="24">
        <f>IF(Database!BM302="","",IFERROR(BDH("HSAHP Index","PX_LAST",Database!$H302,Database!$H302),""))</f>
        <v/>
      </c>
      <c r="S302" s="24">
        <f>IFERROR(BDP(Database!$A302&amp;" HK Equity","PX_TO_SALES_RATIO"),"")</f>
        <v/>
      </c>
      <c r="T302" s="19">
        <f>IF(Database!BM302="","",IFERROR(BDP(LEFT(Database!BM302,FIND(".",Database!BM302)-1)&amp;" CH Equity","CUR_MKT_CAP"),""))</f>
        <v/>
      </c>
    </row>
    <row r="303">
      <c r="A303" s="17">
        <f>Database!A303&amp;"  "&amp;Database!B303</f>
        <v/>
      </c>
      <c r="B303" s="10">
        <f>IFERROR(INDEX(BDS(Database!$A303&amp;" HK Equity","EQUITY_OFFERINGS","array=t","endcol=1"),MATCH("IPO",BDS(Database!$A303&amp;" HK Equity","EQUITY_OFFERINGS","array=t","startcol=2","endcol=2"),0)),"")</f>
        <v/>
      </c>
      <c r="C303" s="186">
        <f>IF($B303="","",IFERROR(BDP($B303&amp;" Action","CP036"),""))</f>
        <v/>
      </c>
      <c r="D303" s="187">
        <f>Database!S303</f>
        <v/>
      </c>
      <c r="E303" s="186">
        <f>IF($B303="","",IFERROR(BDP($B303&amp;" Action","CP037"),""))</f>
        <v/>
      </c>
      <c r="F303" s="187">
        <f>Database!T303</f>
        <v/>
      </c>
      <c r="G303" s="186">
        <f>IF($B303="","",IFERROR(BDP($B303&amp;" Action","GREENSHOE_FACILITY"),""))</f>
        <v/>
      </c>
      <c r="H303" s="186">
        <f>IF($B303="","",IFERROR(BDP($B303&amp;" Action","OFFERING_GREENSHOE_SHARES_EX"),""))</f>
        <v/>
      </c>
      <c r="I303" s="17">
        <f>Database!AE303</f>
        <v/>
      </c>
      <c r="J303" s="24">
        <f>IFERROR(BDP(Database!$A303&amp;" HK Equity","PE_RATIO"),"")</f>
        <v/>
      </c>
      <c r="K303" s="10">
        <f>IFERROR(BDP(Database!$A303&amp;" HK Equity","A/H_SHARE_CONVERSION"),"")</f>
        <v/>
      </c>
      <c r="L303" s="17">
        <f>IF(Database!BM303="","(none found)",Database!BM303)</f>
        <v/>
      </c>
      <c r="M303" s="19">
        <f>IFERROR(BDH(Database!$A303&amp;" HK Equity","CUR_MKT_CAP",Database!$H303,Database!$H303),"")</f>
        <v/>
      </c>
      <c r="N303" s="180">
        <f>Database!Q303</f>
        <v/>
      </c>
      <c r="O303" s="24">
        <f>IFERROR(BDH(Database!$A303&amp;" HK Equity","PE_RATIO",Database!$H303,Database!$H303),"")</f>
        <v/>
      </c>
      <c r="P303" s="184">
        <f>IF(Database!BG303="","(n/m or not derivable)",Database!BG303)</f>
        <v/>
      </c>
      <c r="Q303" s="24">
        <f>IF(Database!BM303="","",IFERROR(BDH(LEFT(Database!BM303,FIND(".",Database!BM303)-1)&amp;" CH Equity","PE_RATIO",Database!$H303,Database!$H303),""))</f>
        <v/>
      </c>
      <c r="R303" s="24">
        <f>IF(Database!BM303="","",IFERROR(BDH("HSAHP Index","PX_LAST",Database!$H303,Database!$H303),""))</f>
        <v/>
      </c>
      <c r="S303" s="24">
        <f>IFERROR(BDP(Database!$A303&amp;" HK Equity","PX_TO_SALES_RATIO"),"")</f>
        <v/>
      </c>
      <c r="T303" s="19">
        <f>IF(Database!BM303="","",IFERROR(BDP(LEFT(Database!BM303,FIND(".",Database!BM303)-1)&amp;" CH Equity","CUR_MKT_CAP"),""))</f>
        <v/>
      </c>
    </row>
    <row r="304">
      <c r="A304" s="17">
        <f>Database!A304&amp;"  "&amp;Database!B304</f>
        <v/>
      </c>
      <c r="B304" s="10">
        <f>IFERROR(INDEX(BDS(Database!$A304&amp;" HK Equity","EQUITY_OFFERINGS","array=t","endcol=1"),MATCH("IPO",BDS(Database!$A304&amp;" HK Equity","EQUITY_OFFERINGS","array=t","startcol=2","endcol=2"),0)),"")</f>
        <v/>
      </c>
      <c r="C304" s="186">
        <f>IF($B304="","",IFERROR(BDP($B304&amp;" Action","CP036"),""))</f>
        <v/>
      </c>
      <c r="D304" s="187">
        <f>Database!S304</f>
        <v/>
      </c>
      <c r="E304" s="186">
        <f>IF($B304="","",IFERROR(BDP($B304&amp;" Action","CP037"),""))</f>
        <v/>
      </c>
      <c r="F304" s="187">
        <f>Database!T304</f>
        <v/>
      </c>
      <c r="G304" s="186">
        <f>IF($B304="","",IFERROR(BDP($B304&amp;" Action","GREENSHOE_FACILITY"),""))</f>
        <v/>
      </c>
      <c r="H304" s="186">
        <f>IF($B304="","",IFERROR(BDP($B304&amp;" Action","OFFERING_GREENSHOE_SHARES_EX"),""))</f>
        <v/>
      </c>
      <c r="I304" s="17">
        <f>Database!AE304</f>
        <v/>
      </c>
      <c r="J304" s="24">
        <f>IFERROR(BDP(Database!$A304&amp;" HK Equity","PE_RATIO"),"")</f>
        <v/>
      </c>
      <c r="K304" s="10">
        <f>IFERROR(BDP(Database!$A304&amp;" HK Equity","A/H_SHARE_CONVERSION"),"")</f>
        <v/>
      </c>
      <c r="L304" s="17">
        <f>IF(Database!BM304="","(none found)",Database!BM304)</f>
        <v/>
      </c>
      <c r="M304" s="19">
        <f>IFERROR(BDH(Database!$A304&amp;" HK Equity","CUR_MKT_CAP",Database!$H304,Database!$H304),"")</f>
        <v/>
      </c>
      <c r="N304" s="180">
        <f>Database!Q304</f>
        <v/>
      </c>
      <c r="O304" s="24">
        <f>IFERROR(BDH(Database!$A304&amp;" HK Equity","PE_RATIO",Database!$H304,Database!$H304),"")</f>
        <v/>
      </c>
      <c r="P304" s="184">
        <f>IF(Database!BG304="","(n/m or not derivable)",Database!BG304)</f>
        <v/>
      </c>
      <c r="Q304" s="24">
        <f>IF(Database!BM304="","",IFERROR(BDH(LEFT(Database!BM304,FIND(".",Database!BM304)-1)&amp;" CH Equity","PE_RATIO",Database!$H304,Database!$H304),""))</f>
        <v/>
      </c>
      <c r="R304" s="24">
        <f>IF(Database!BM304="","",IFERROR(BDH("HSAHP Index","PX_LAST",Database!$H304,Database!$H304),""))</f>
        <v/>
      </c>
      <c r="S304" s="24">
        <f>IFERROR(BDP(Database!$A304&amp;" HK Equity","PX_TO_SALES_RATIO"),"")</f>
        <v/>
      </c>
      <c r="T304" s="19">
        <f>IF(Database!BM304="","",IFERROR(BDP(LEFT(Database!BM304,FIND(".",Database!BM304)-1)&amp;" CH Equity","CUR_MKT_CAP"),""))</f>
        <v/>
      </c>
    </row>
    <row r="305">
      <c r="A305" s="17">
        <f>Database!A305&amp;"  "&amp;Database!B305</f>
        <v/>
      </c>
      <c r="B305" s="10">
        <f>IFERROR(INDEX(BDS(Database!$A305&amp;" HK Equity","EQUITY_OFFERINGS","array=t","endcol=1"),MATCH("IPO",BDS(Database!$A305&amp;" HK Equity","EQUITY_OFFERINGS","array=t","startcol=2","endcol=2"),0)),"")</f>
        <v/>
      </c>
      <c r="C305" s="186">
        <f>IF($B305="","",IFERROR(BDP($B305&amp;" Action","CP036"),""))</f>
        <v/>
      </c>
      <c r="D305" s="187">
        <f>Database!S305</f>
        <v/>
      </c>
      <c r="E305" s="186">
        <f>IF($B305="","",IFERROR(BDP($B305&amp;" Action","CP037"),""))</f>
        <v/>
      </c>
      <c r="F305" s="187">
        <f>Database!T305</f>
        <v/>
      </c>
      <c r="G305" s="186">
        <f>IF($B305="","",IFERROR(BDP($B305&amp;" Action","GREENSHOE_FACILITY"),""))</f>
        <v/>
      </c>
      <c r="H305" s="186">
        <f>IF($B305="","",IFERROR(BDP($B305&amp;" Action","OFFERING_GREENSHOE_SHARES_EX"),""))</f>
        <v/>
      </c>
      <c r="I305" s="17">
        <f>Database!AE305</f>
        <v/>
      </c>
      <c r="J305" s="24">
        <f>IFERROR(BDP(Database!$A305&amp;" HK Equity","PE_RATIO"),"")</f>
        <v/>
      </c>
      <c r="K305" s="10">
        <f>IFERROR(BDP(Database!$A305&amp;" HK Equity","A/H_SHARE_CONVERSION"),"")</f>
        <v/>
      </c>
      <c r="L305" s="17">
        <f>IF(Database!BM305="","(none found)",Database!BM305)</f>
        <v/>
      </c>
      <c r="M305" s="19">
        <f>IFERROR(BDH(Database!$A305&amp;" HK Equity","CUR_MKT_CAP",Database!$H305,Database!$H305),"")</f>
        <v/>
      </c>
      <c r="N305" s="180">
        <f>Database!Q305</f>
        <v/>
      </c>
      <c r="O305" s="24">
        <f>IFERROR(BDH(Database!$A305&amp;" HK Equity","PE_RATIO",Database!$H305,Database!$H305),"")</f>
        <v/>
      </c>
      <c r="P305" s="184">
        <f>IF(Database!BG305="","(n/m or not derivable)",Database!BG305)</f>
        <v/>
      </c>
      <c r="Q305" s="24">
        <f>IF(Database!BM305="","",IFERROR(BDH(LEFT(Database!BM305,FIND(".",Database!BM305)-1)&amp;" CH Equity","PE_RATIO",Database!$H305,Database!$H305),""))</f>
        <v/>
      </c>
      <c r="R305" s="24">
        <f>IF(Database!BM305="","",IFERROR(BDH("HSAHP Index","PX_LAST",Database!$H305,Database!$H305),""))</f>
        <v/>
      </c>
      <c r="S305" s="24">
        <f>IFERROR(BDP(Database!$A305&amp;" HK Equity","PX_TO_SALES_RATIO"),"")</f>
        <v/>
      </c>
      <c r="T305" s="19">
        <f>IF(Database!BM305="","",IFERROR(BDP(LEFT(Database!BM305,FIND(".",Database!BM305)-1)&amp;" CH Equity","CUR_MKT_CAP"),""))</f>
        <v/>
      </c>
    </row>
    <row r="306">
      <c r="A306" s="17">
        <f>Database!A306&amp;"  "&amp;Database!B306</f>
        <v/>
      </c>
      <c r="B306" s="10">
        <f>IFERROR(INDEX(BDS(Database!$A306&amp;" HK Equity","EQUITY_OFFERINGS","array=t","endcol=1"),MATCH("IPO",BDS(Database!$A306&amp;" HK Equity","EQUITY_OFFERINGS","array=t","startcol=2","endcol=2"),0)),"")</f>
        <v/>
      </c>
      <c r="C306" s="186">
        <f>IF($B306="","",IFERROR(BDP($B306&amp;" Action","CP036"),""))</f>
        <v/>
      </c>
      <c r="D306" s="187">
        <f>Database!S306</f>
        <v/>
      </c>
      <c r="E306" s="186">
        <f>IF($B306="","",IFERROR(BDP($B306&amp;" Action","CP037"),""))</f>
        <v/>
      </c>
      <c r="F306" s="187">
        <f>Database!T306</f>
        <v/>
      </c>
      <c r="G306" s="186">
        <f>IF($B306="","",IFERROR(BDP($B306&amp;" Action","GREENSHOE_FACILITY"),""))</f>
        <v/>
      </c>
      <c r="H306" s="186">
        <f>IF($B306="","",IFERROR(BDP($B306&amp;" Action","OFFERING_GREENSHOE_SHARES_EX"),""))</f>
        <v/>
      </c>
      <c r="I306" s="17">
        <f>Database!AE306</f>
        <v/>
      </c>
      <c r="J306" s="24">
        <f>IFERROR(BDP(Database!$A306&amp;" HK Equity","PE_RATIO"),"")</f>
        <v/>
      </c>
      <c r="K306" s="10">
        <f>IFERROR(BDP(Database!$A306&amp;" HK Equity","A/H_SHARE_CONVERSION"),"")</f>
        <v/>
      </c>
      <c r="L306" s="17">
        <f>IF(Database!BM306="","(none found)",Database!BM306)</f>
        <v/>
      </c>
      <c r="M306" s="19">
        <f>IFERROR(BDH(Database!$A306&amp;" HK Equity","CUR_MKT_CAP",Database!$H306,Database!$H306),"")</f>
        <v/>
      </c>
      <c r="N306" s="180">
        <f>Database!Q306</f>
        <v/>
      </c>
      <c r="O306" s="24">
        <f>IFERROR(BDH(Database!$A306&amp;" HK Equity","PE_RATIO",Database!$H306,Database!$H306),"")</f>
        <v/>
      </c>
      <c r="P306" s="184">
        <f>IF(Database!BG306="","(n/m or not derivable)",Database!BG306)</f>
        <v/>
      </c>
      <c r="Q306" s="24">
        <f>IF(Database!BM306="","",IFERROR(BDH(LEFT(Database!BM306,FIND(".",Database!BM306)-1)&amp;" CH Equity","PE_RATIO",Database!$H306,Database!$H306),""))</f>
        <v/>
      </c>
      <c r="R306" s="24">
        <f>IF(Database!BM306="","",IFERROR(BDH("HSAHP Index","PX_LAST",Database!$H306,Database!$H306),""))</f>
        <v/>
      </c>
      <c r="S306" s="24">
        <f>IFERROR(BDP(Database!$A306&amp;" HK Equity","PX_TO_SALES_RATIO"),"")</f>
        <v/>
      </c>
      <c r="T306" s="19">
        <f>IF(Database!BM306="","",IFERROR(BDP(LEFT(Database!BM306,FIND(".",Database!BM306)-1)&amp;" CH Equity","CUR_MKT_CAP"),""))</f>
        <v/>
      </c>
    </row>
    <row r="307">
      <c r="A307" s="17">
        <f>Database!A307&amp;"  "&amp;Database!B307</f>
        <v/>
      </c>
      <c r="B307" s="10">
        <f>IFERROR(INDEX(BDS(Database!$A307&amp;" HK Equity","EQUITY_OFFERINGS","array=t","endcol=1"),MATCH("IPO",BDS(Database!$A307&amp;" HK Equity","EQUITY_OFFERINGS","array=t","startcol=2","endcol=2"),0)),"")</f>
        <v/>
      </c>
      <c r="C307" s="186">
        <f>IF($B307="","",IFERROR(BDP($B307&amp;" Action","CP036"),""))</f>
        <v/>
      </c>
      <c r="D307" s="187">
        <f>Database!S307</f>
        <v/>
      </c>
      <c r="E307" s="186">
        <f>IF($B307="","",IFERROR(BDP($B307&amp;" Action","CP037"),""))</f>
        <v/>
      </c>
      <c r="F307" s="187">
        <f>Database!T307</f>
        <v/>
      </c>
      <c r="G307" s="186">
        <f>IF($B307="","",IFERROR(BDP($B307&amp;" Action","GREENSHOE_FACILITY"),""))</f>
        <v/>
      </c>
      <c r="H307" s="186">
        <f>IF($B307="","",IFERROR(BDP($B307&amp;" Action","OFFERING_GREENSHOE_SHARES_EX"),""))</f>
        <v/>
      </c>
      <c r="I307" s="17">
        <f>Database!AE307</f>
        <v/>
      </c>
      <c r="J307" s="24">
        <f>IFERROR(BDP(Database!$A307&amp;" HK Equity","PE_RATIO"),"")</f>
        <v/>
      </c>
      <c r="K307" s="10">
        <f>IFERROR(BDP(Database!$A307&amp;" HK Equity","A/H_SHARE_CONVERSION"),"")</f>
        <v/>
      </c>
      <c r="L307" s="17">
        <f>IF(Database!BM307="","(none found)",Database!BM307)</f>
        <v/>
      </c>
      <c r="M307" s="19">
        <f>IFERROR(BDH(Database!$A307&amp;" HK Equity","CUR_MKT_CAP",Database!$H307,Database!$H307),"")</f>
        <v/>
      </c>
      <c r="N307" s="180">
        <f>Database!Q307</f>
        <v/>
      </c>
      <c r="O307" s="24">
        <f>IFERROR(BDH(Database!$A307&amp;" HK Equity","PE_RATIO",Database!$H307,Database!$H307),"")</f>
        <v/>
      </c>
      <c r="P307" s="184">
        <f>IF(Database!BG307="","(n/m or not derivable)",Database!BG307)</f>
        <v/>
      </c>
      <c r="Q307" s="24">
        <f>IF(Database!BM307="","",IFERROR(BDH(LEFT(Database!BM307,FIND(".",Database!BM307)-1)&amp;" CH Equity","PE_RATIO",Database!$H307,Database!$H307),""))</f>
        <v/>
      </c>
      <c r="R307" s="24">
        <f>IF(Database!BM307="","",IFERROR(BDH("HSAHP Index","PX_LAST",Database!$H307,Database!$H307),""))</f>
        <v/>
      </c>
      <c r="S307" s="24">
        <f>IFERROR(BDP(Database!$A307&amp;" HK Equity","PX_TO_SALES_RATIO"),"")</f>
        <v/>
      </c>
      <c r="T307" s="19">
        <f>IF(Database!BM307="","",IFERROR(BDP(LEFT(Database!BM307,FIND(".",Database!BM307)-1)&amp;" CH Equity","CUR_MKT_CAP"),""))</f>
        <v/>
      </c>
    </row>
    <row r="308">
      <c r="A308" s="17">
        <f>Database!A308&amp;"  "&amp;Database!B308</f>
        <v/>
      </c>
      <c r="B308" s="10">
        <f>IFERROR(INDEX(BDS(Database!$A308&amp;" HK Equity","EQUITY_OFFERINGS","array=t","endcol=1"),MATCH("IPO",BDS(Database!$A308&amp;" HK Equity","EQUITY_OFFERINGS","array=t","startcol=2","endcol=2"),0)),"")</f>
        <v/>
      </c>
      <c r="C308" s="186">
        <f>IF($B308="","",IFERROR(BDP($B308&amp;" Action","CP036"),""))</f>
        <v/>
      </c>
      <c r="D308" s="187">
        <f>Database!S308</f>
        <v/>
      </c>
      <c r="E308" s="186">
        <f>IF($B308="","",IFERROR(BDP($B308&amp;" Action","CP037"),""))</f>
        <v/>
      </c>
      <c r="F308" s="187">
        <f>Database!T308</f>
        <v/>
      </c>
      <c r="G308" s="186">
        <f>IF($B308="","",IFERROR(BDP($B308&amp;" Action","GREENSHOE_FACILITY"),""))</f>
        <v/>
      </c>
      <c r="H308" s="186">
        <f>IF($B308="","",IFERROR(BDP($B308&amp;" Action","OFFERING_GREENSHOE_SHARES_EX"),""))</f>
        <v/>
      </c>
      <c r="I308" s="17">
        <f>Database!AE308</f>
        <v/>
      </c>
      <c r="J308" s="24">
        <f>IFERROR(BDP(Database!$A308&amp;" HK Equity","PE_RATIO"),"")</f>
        <v/>
      </c>
      <c r="K308" s="10">
        <f>IFERROR(BDP(Database!$A308&amp;" HK Equity","A/H_SHARE_CONVERSION"),"")</f>
        <v/>
      </c>
      <c r="L308" s="17">
        <f>IF(Database!BM308="","(none found)",Database!BM308)</f>
        <v/>
      </c>
      <c r="M308" s="19">
        <f>IFERROR(BDH(Database!$A308&amp;" HK Equity","CUR_MKT_CAP",Database!$H308,Database!$H308),"")</f>
        <v/>
      </c>
      <c r="N308" s="180">
        <f>Database!Q308</f>
        <v/>
      </c>
      <c r="O308" s="24">
        <f>IFERROR(BDH(Database!$A308&amp;" HK Equity","PE_RATIO",Database!$H308,Database!$H308),"")</f>
        <v/>
      </c>
      <c r="P308" s="184">
        <f>IF(Database!BG308="","(n/m or not derivable)",Database!BG308)</f>
        <v/>
      </c>
      <c r="Q308" s="24">
        <f>IF(Database!BM308="","",IFERROR(BDH(LEFT(Database!BM308,FIND(".",Database!BM308)-1)&amp;" CH Equity","PE_RATIO",Database!$H308,Database!$H308),""))</f>
        <v/>
      </c>
      <c r="R308" s="24">
        <f>IF(Database!BM308="","",IFERROR(BDH("HSAHP Index","PX_LAST",Database!$H308,Database!$H308),""))</f>
        <v/>
      </c>
      <c r="S308" s="24">
        <f>IFERROR(BDP(Database!$A308&amp;" HK Equity","PX_TO_SALES_RATIO"),"")</f>
        <v/>
      </c>
      <c r="T308" s="19">
        <f>IF(Database!BM308="","",IFERROR(BDP(LEFT(Database!BM308,FIND(".",Database!BM308)-1)&amp;" CH Equity","CUR_MKT_CAP"),""))</f>
        <v/>
      </c>
    </row>
    <row r="309">
      <c r="A309" s="17">
        <f>Database!A309&amp;"  "&amp;Database!B309</f>
        <v/>
      </c>
      <c r="B309" s="10">
        <f>IFERROR(INDEX(BDS(Database!$A309&amp;" HK Equity","EQUITY_OFFERINGS","array=t","endcol=1"),MATCH("IPO",BDS(Database!$A309&amp;" HK Equity","EQUITY_OFFERINGS","array=t","startcol=2","endcol=2"),0)),"")</f>
        <v/>
      </c>
      <c r="C309" s="186">
        <f>IF($B309="","",IFERROR(BDP($B309&amp;" Action","CP036"),""))</f>
        <v/>
      </c>
      <c r="D309" s="187">
        <f>Database!S309</f>
        <v/>
      </c>
      <c r="E309" s="186">
        <f>IF($B309="","",IFERROR(BDP($B309&amp;" Action","CP037"),""))</f>
        <v/>
      </c>
      <c r="F309" s="187">
        <f>Database!T309</f>
        <v/>
      </c>
      <c r="G309" s="186">
        <f>IF($B309="","",IFERROR(BDP($B309&amp;" Action","GREENSHOE_FACILITY"),""))</f>
        <v/>
      </c>
      <c r="H309" s="186">
        <f>IF($B309="","",IFERROR(BDP($B309&amp;" Action","OFFERING_GREENSHOE_SHARES_EX"),""))</f>
        <v/>
      </c>
      <c r="I309" s="17">
        <f>Database!AE309</f>
        <v/>
      </c>
      <c r="J309" s="24">
        <f>IFERROR(BDP(Database!$A309&amp;" HK Equity","PE_RATIO"),"")</f>
        <v/>
      </c>
      <c r="K309" s="10">
        <f>IFERROR(BDP(Database!$A309&amp;" HK Equity","A/H_SHARE_CONVERSION"),"")</f>
        <v/>
      </c>
      <c r="L309" s="17">
        <f>IF(Database!BM309="","(none found)",Database!BM309)</f>
        <v/>
      </c>
      <c r="M309" s="19">
        <f>IFERROR(BDH(Database!$A309&amp;" HK Equity","CUR_MKT_CAP",Database!$H309,Database!$H309),"")</f>
        <v/>
      </c>
      <c r="N309" s="180">
        <f>Database!Q309</f>
        <v/>
      </c>
      <c r="O309" s="24">
        <f>IFERROR(BDH(Database!$A309&amp;" HK Equity","PE_RATIO",Database!$H309,Database!$H309),"")</f>
        <v/>
      </c>
      <c r="P309" s="184">
        <f>IF(Database!BG309="","(n/m or not derivable)",Database!BG309)</f>
        <v/>
      </c>
      <c r="Q309" s="24">
        <f>IF(Database!BM309="","",IFERROR(BDH(LEFT(Database!BM309,FIND(".",Database!BM309)-1)&amp;" CH Equity","PE_RATIO",Database!$H309,Database!$H309),""))</f>
        <v/>
      </c>
      <c r="R309" s="24">
        <f>IF(Database!BM309="","",IFERROR(BDH("HSAHP Index","PX_LAST",Database!$H309,Database!$H309),""))</f>
        <v/>
      </c>
      <c r="S309" s="24">
        <f>IFERROR(BDP(Database!$A309&amp;" HK Equity","PX_TO_SALES_RATIO"),"")</f>
        <v/>
      </c>
      <c r="T309" s="19">
        <f>IF(Database!BM309="","",IFERROR(BDP(LEFT(Database!BM309,FIND(".",Database!BM309)-1)&amp;" CH Equity","CUR_MKT_CAP"),""))</f>
        <v/>
      </c>
    </row>
    <row r="310">
      <c r="A310" s="17">
        <f>Database!A310&amp;"  "&amp;Database!B310</f>
        <v/>
      </c>
      <c r="B310" s="10">
        <f>IFERROR(INDEX(BDS(Database!$A310&amp;" HK Equity","EQUITY_OFFERINGS","array=t","endcol=1"),MATCH("IPO",BDS(Database!$A310&amp;" HK Equity","EQUITY_OFFERINGS","array=t","startcol=2","endcol=2"),0)),"")</f>
        <v/>
      </c>
      <c r="C310" s="186">
        <f>IF($B310="","",IFERROR(BDP($B310&amp;" Action","CP036"),""))</f>
        <v/>
      </c>
      <c r="D310" s="187">
        <f>Database!S310</f>
        <v/>
      </c>
      <c r="E310" s="186">
        <f>IF($B310="","",IFERROR(BDP($B310&amp;" Action","CP037"),""))</f>
        <v/>
      </c>
      <c r="F310" s="187">
        <f>Database!T310</f>
        <v/>
      </c>
      <c r="G310" s="186">
        <f>IF($B310="","",IFERROR(BDP($B310&amp;" Action","GREENSHOE_FACILITY"),""))</f>
        <v/>
      </c>
      <c r="H310" s="186">
        <f>IF($B310="","",IFERROR(BDP($B310&amp;" Action","OFFERING_GREENSHOE_SHARES_EX"),""))</f>
        <v/>
      </c>
      <c r="I310" s="17">
        <f>Database!AE310</f>
        <v/>
      </c>
      <c r="J310" s="24">
        <f>IFERROR(BDP(Database!$A310&amp;" HK Equity","PE_RATIO"),"")</f>
        <v/>
      </c>
      <c r="K310" s="10">
        <f>IFERROR(BDP(Database!$A310&amp;" HK Equity","A/H_SHARE_CONVERSION"),"")</f>
        <v/>
      </c>
      <c r="L310" s="17">
        <f>IF(Database!BM310="","(none found)",Database!BM310)</f>
        <v/>
      </c>
      <c r="M310" s="19">
        <f>IFERROR(BDH(Database!$A310&amp;" HK Equity","CUR_MKT_CAP",Database!$H310,Database!$H310),"")</f>
        <v/>
      </c>
      <c r="N310" s="180">
        <f>Database!Q310</f>
        <v/>
      </c>
      <c r="O310" s="24">
        <f>IFERROR(BDH(Database!$A310&amp;" HK Equity","PE_RATIO",Database!$H310,Database!$H310),"")</f>
        <v/>
      </c>
      <c r="P310" s="184">
        <f>IF(Database!BG310="","(n/m or not derivable)",Database!BG310)</f>
        <v/>
      </c>
      <c r="Q310" s="24">
        <f>IF(Database!BM310="","",IFERROR(BDH(LEFT(Database!BM310,FIND(".",Database!BM310)-1)&amp;" CH Equity","PE_RATIO",Database!$H310,Database!$H310),""))</f>
        <v/>
      </c>
      <c r="R310" s="24">
        <f>IF(Database!BM310="","",IFERROR(BDH("HSAHP Index","PX_LAST",Database!$H310,Database!$H310),""))</f>
        <v/>
      </c>
      <c r="S310" s="24">
        <f>IFERROR(BDP(Database!$A310&amp;" HK Equity","PX_TO_SALES_RATIO"),"")</f>
        <v/>
      </c>
      <c r="T310" s="19">
        <f>IF(Database!BM310="","",IFERROR(BDP(LEFT(Database!BM310,FIND(".",Database!BM310)-1)&amp;" CH Equity","CUR_MKT_CAP"),""))</f>
        <v/>
      </c>
    </row>
    <row r="311">
      <c r="A311" s="17">
        <f>Database!A311&amp;"  "&amp;Database!B311</f>
        <v/>
      </c>
      <c r="B311" s="10">
        <f>IFERROR(INDEX(BDS(Database!$A311&amp;" HK Equity","EQUITY_OFFERINGS","array=t","endcol=1"),MATCH("IPO",BDS(Database!$A311&amp;" HK Equity","EQUITY_OFFERINGS","array=t","startcol=2","endcol=2"),0)),"")</f>
        <v/>
      </c>
      <c r="C311" s="186">
        <f>IF($B311="","",IFERROR(BDP($B311&amp;" Action","CP036"),""))</f>
        <v/>
      </c>
      <c r="D311" s="187">
        <f>Database!S311</f>
        <v/>
      </c>
      <c r="E311" s="186">
        <f>IF($B311="","",IFERROR(BDP($B311&amp;" Action","CP037"),""))</f>
        <v/>
      </c>
      <c r="F311" s="187">
        <f>Database!T311</f>
        <v/>
      </c>
      <c r="G311" s="186">
        <f>IF($B311="","",IFERROR(BDP($B311&amp;" Action","GREENSHOE_FACILITY"),""))</f>
        <v/>
      </c>
      <c r="H311" s="186">
        <f>IF($B311="","",IFERROR(BDP($B311&amp;" Action","OFFERING_GREENSHOE_SHARES_EX"),""))</f>
        <v/>
      </c>
      <c r="I311" s="17">
        <f>Database!AE311</f>
        <v/>
      </c>
      <c r="J311" s="24">
        <f>IFERROR(BDP(Database!$A311&amp;" HK Equity","PE_RATIO"),"")</f>
        <v/>
      </c>
      <c r="K311" s="10">
        <f>IFERROR(BDP(Database!$A311&amp;" HK Equity","A/H_SHARE_CONVERSION"),"")</f>
        <v/>
      </c>
      <c r="L311" s="17">
        <f>IF(Database!BM311="","(none found)",Database!BM311)</f>
        <v/>
      </c>
      <c r="M311" s="19">
        <f>IFERROR(BDH(Database!$A311&amp;" HK Equity","CUR_MKT_CAP",Database!$H311,Database!$H311),"")</f>
        <v/>
      </c>
      <c r="N311" s="180">
        <f>Database!Q311</f>
        <v/>
      </c>
      <c r="O311" s="24">
        <f>IFERROR(BDH(Database!$A311&amp;" HK Equity","PE_RATIO",Database!$H311,Database!$H311),"")</f>
        <v/>
      </c>
      <c r="P311" s="184">
        <f>IF(Database!BG311="","(n/m or not derivable)",Database!BG311)</f>
        <v/>
      </c>
      <c r="Q311" s="24">
        <f>IF(Database!BM311="","",IFERROR(BDH(LEFT(Database!BM311,FIND(".",Database!BM311)-1)&amp;" CH Equity","PE_RATIO",Database!$H311,Database!$H311),""))</f>
        <v/>
      </c>
      <c r="R311" s="24">
        <f>IF(Database!BM311="","",IFERROR(BDH("HSAHP Index","PX_LAST",Database!$H311,Database!$H311),""))</f>
        <v/>
      </c>
      <c r="S311" s="24">
        <f>IFERROR(BDP(Database!$A311&amp;" HK Equity","PX_TO_SALES_RATIO"),"")</f>
        <v/>
      </c>
      <c r="T311" s="19">
        <f>IF(Database!BM311="","",IFERROR(BDP(LEFT(Database!BM311,FIND(".",Database!BM311)-1)&amp;" CH Equity","CUR_MKT_CAP"),""))</f>
        <v/>
      </c>
    </row>
    <row r="312">
      <c r="A312" s="17">
        <f>Database!A312&amp;"  "&amp;Database!B312</f>
        <v/>
      </c>
      <c r="B312" s="10">
        <f>IFERROR(INDEX(BDS(Database!$A312&amp;" HK Equity","EQUITY_OFFERINGS","array=t","endcol=1"),MATCH("IPO",BDS(Database!$A312&amp;" HK Equity","EQUITY_OFFERINGS","array=t","startcol=2","endcol=2"),0)),"")</f>
        <v/>
      </c>
      <c r="C312" s="186">
        <f>IF($B312="","",IFERROR(BDP($B312&amp;" Action","CP036"),""))</f>
        <v/>
      </c>
      <c r="D312" s="187">
        <f>Database!S312</f>
        <v/>
      </c>
      <c r="E312" s="186">
        <f>IF($B312="","",IFERROR(BDP($B312&amp;" Action","CP037"),""))</f>
        <v/>
      </c>
      <c r="F312" s="187">
        <f>Database!T312</f>
        <v/>
      </c>
      <c r="G312" s="186">
        <f>IF($B312="","",IFERROR(BDP($B312&amp;" Action","GREENSHOE_FACILITY"),""))</f>
        <v/>
      </c>
      <c r="H312" s="186">
        <f>IF($B312="","",IFERROR(BDP($B312&amp;" Action","OFFERING_GREENSHOE_SHARES_EX"),""))</f>
        <v/>
      </c>
      <c r="I312" s="17">
        <f>Database!AE312</f>
        <v/>
      </c>
      <c r="J312" s="24">
        <f>IFERROR(BDP(Database!$A312&amp;" HK Equity","PE_RATIO"),"")</f>
        <v/>
      </c>
      <c r="K312" s="10">
        <f>IFERROR(BDP(Database!$A312&amp;" HK Equity","A/H_SHARE_CONVERSION"),"")</f>
        <v/>
      </c>
      <c r="L312" s="17">
        <f>IF(Database!BM312="","(none found)",Database!BM312)</f>
        <v/>
      </c>
      <c r="M312" s="19">
        <f>IFERROR(BDH(Database!$A312&amp;" HK Equity","CUR_MKT_CAP",Database!$H312,Database!$H312),"")</f>
        <v/>
      </c>
      <c r="N312" s="180">
        <f>Database!Q312</f>
        <v/>
      </c>
      <c r="O312" s="24">
        <f>IFERROR(BDH(Database!$A312&amp;" HK Equity","PE_RATIO",Database!$H312,Database!$H312),"")</f>
        <v/>
      </c>
      <c r="P312" s="184">
        <f>IF(Database!BG312="","(n/m or not derivable)",Database!BG312)</f>
        <v/>
      </c>
      <c r="Q312" s="24">
        <f>IF(Database!BM312="","",IFERROR(BDH(LEFT(Database!BM312,FIND(".",Database!BM312)-1)&amp;" CH Equity","PE_RATIO",Database!$H312,Database!$H312),""))</f>
        <v/>
      </c>
      <c r="R312" s="24">
        <f>IF(Database!BM312="","",IFERROR(BDH("HSAHP Index","PX_LAST",Database!$H312,Database!$H312),""))</f>
        <v/>
      </c>
      <c r="S312" s="24">
        <f>IFERROR(BDP(Database!$A312&amp;" HK Equity","PX_TO_SALES_RATIO"),"")</f>
        <v/>
      </c>
      <c r="T312" s="19">
        <f>IF(Database!BM312="","",IFERROR(BDP(LEFT(Database!BM312,FIND(".",Database!BM312)-1)&amp;" CH Equity","CUR_MKT_CAP"),""))</f>
        <v/>
      </c>
    </row>
    <row r="313">
      <c r="A313" s="17">
        <f>Database!A313&amp;"  "&amp;Database!B313</f>
        <v/>
      </c>
      <c r="B313" s="10">
        <f>IFERROR(INDEX(BDS(Database!$A313&amp;" HK Equity","EQUITY_OFFERINGS","array=t","endcol=1"),MATCH("IPO",BDS(Database!$A313&amp;" HK Equity","EQUITY_OFFERINGS","array=t","startcol=2","endcol=2"),0)),"")</f>
        <v/>
      </c>
      <c r="C313" s="186">
        <f>IF($B313="","",IFERROR(BDP($B313&amp;" Action","CP036"),""))</f>
        <v/>
      </c>
      <c r="D313" s="187">
        <f>Database!S313</f>
        <v/>
      </c>
      <c r="E313" s="186">
        <f>IF($B313="","",IFERROR(BDP($B313&amp;" Action","CP037"),""))</f>
        <v/>
      </c>
      <c r="F313" s="187">
        <f>Database!T313</f>
        <v/>
      </c>
      <c r="G313" s="186">
        <f>IF($B313="","",IFERROR(BDP($B313&amp;" Action","GREENSHOE_FACILITY"),""))</f>
        <v/>
      </c>
      <c r="H313" s="186">
        <f>IF($B313="","",IFERROR(BDP($B313&amp;" Action","OFFERING_GREENSHOE_SHARES_EX"),""))</f>
        <v/>
      </c>
      <c r="I313" s="17">
        <f>Database!AE313</f>
        <v/>
      </c>
      <c r="J313" s="24">
        <f>IFERROR(BDP(Database!$A313&amp;" HK Equity","PE_RATIO"),"")</f>
        <v/>
      </c>
      <c r="K313" s="10">
        <f>IFERROR(BDP(Database!$A313&amp;" HK Equity","A/H_SHARE_CONVERSION"),"")</f>
        <v/>
      </c>
      <c r="L313" s="17">
        <f>IF(Database!BM313="","(none found)",Database!BM313)</f>
        <v/>
      </c>
      <c r="M313" s="19">
        <f>IFERROR(BDH(Database!$A313&amp;" HK Equity","CUR_MKT_CAP",Database!$H313,Database!$H313),"")</f>
        <v/>
      </c>
      <c r="N313" s="180">
        <f>Database!Q313</f>
        <v/>
      </c>
      <c r="O313" s="24">
        <f>IFERROR(BDH(Database!$A313&amp;" HK Equity","PE_RATIO",Database!$H313,Database!$H313),"")</f>
        <v/>
      </c>
      <c r="P313" s="184">
        <f>IF(Database!BG313="","(n/m or not derivable)",Database!BG313)</f>
        <v/>
      </c>
      <c r="Q313" s="24">
        <f>IF(Database!BM313="","",IFERROR(BDH(LEFT(Database!BM313,FIND(".",Database!BM313)-1)&amp;" CH Equity","PE_RATIO",Database!$H313,Database!$H313),""))</f>
        <v/>
      </c>
      <c r="R313" s="24">
        <f>IF(Database!BM313="","",IFERROR(BDH("HSAHP Index","PX_LAST",Database!$H313,Database!$H313),""))</f>
        <v/>
      </c>
      <c r="S313" s="24">
        <f>IFERROR(BDP(Database!$A313&amp;" HK Equity","PX_TO_SALES_RATIO"),"")</f>
        <v/>
      </c>
      <c r="T313" s="19">
        <f>IF(Database!BM313="","",IFERROR(BDP(LEFT(Database!BM313,FIND(".",Database!BM313)-1)&amp;" CH Equity","CUR_MKT_CAP"),""))</f>
        <v/>
      </c>
    </row>
    <row r="314">
      <c r="A314" s="17">
        <f>Database!A314&amp;"  "&amp;Database!B314</f>
        <v/>
      </c>
      <c r="B314" s="10">
        <f>IFERROR(INDEX(BDS(Database!$A314&amp;" HK Equity","EQUITY_OFFERINGS","array=t","endcol=1"),MATCH("IPO",BDS(Database!$A314&amp;" HK Equity","EQUITY_OFFERINGS","array=t","startcol=2","endcol=2"),0)),"")</f>
        <v/>
      </c>
      <c r="C314" s="186">
        <f>IF($B314="","",IFERROR(BDP($B314&amp;" Action","CP036"),""))</f>
        <v/>
      </c>
      <c r="D314" s="187">
        <f>Database!S314</f>
        <v/>
      </c>
      <c r="E314" s="186">
        <f>IF($B314="","",IFERROR(BDP($B314&amp;" Action","CP037"),""))</f>
        <v/>
      </c>
      <c r="F314" s="187">
        <f>Database!T314</f>
        <v/>
      </c>
      <c r="G314" s="186">
        <f>IF($B314="","",IFERROR(BDP($B314&amp;" Action","GREENSHOE_FACILITY"),""))</f>
        <v/>
      </c>
      <c r="H314" s="186">
        <f>IF($B314="","",IFERROR(BDP($B314&amp;" Action","OFFERING_GREENSHOE_SHARES_EX"),""))</f>
        <v/>
      </c>
      <c r="I314" s="17">
        <f>Database!AE314</f>
        <v/>
      </c>
      <c r="J314" s="24">
        <f>IFERROR(BDP(Database!$A314&amp;" HK Equity","PE_RATIO"),"")</f>
        <v/>
      </c>
      <c r="K314" s="10">
        <f>IFERROR(BDP(Database!$A314&amp;" HK Equity","A/H_SHARE_CONVERSION"),"")</f>
        <v/>
      </c>
      <c r="L314" s="17">
        <f>IF(Database!BM314="","(none found)",Database!BM314)</f>
        <v/>
      </c>
      <c r="M314" s="19">
        <f>IFERROR(BDH(Database!$A314&amp;" HK Equity","CUR_MKT_CAP",Database!$H314,Database!$H314),"")</f>
        <v/>
      </c>
      <c r="N314" s="180">
        <f>Database!Q314</f>
        <v/>
      </c>
      <c r="O314" s="24">
        <f>IFERROR(BDH(Database!$A314&amp;" HK Equity","PE_RATIO",Database!$H314,Database!$H314),"")</f>
        <v/>
      </c>
      <c r="P314" s="184">
        <f>IF(Database!BG314="","(n/m or not derivable)",Database!BG314)</f>
        <v/>
      </c>
      <c r="Q314" s="24">
        <f>IF(Database!BM314="","",IFERROR(BDH(LEFT(Database!BM314,FIND(".",Database!BM314)-1)&amp;" CH Equity","PE_RATIO",Database!$H314,Database!$H314),""))</f>
        <v/>
      </c>
      <c r="R314" s="24">
        <f>IF(Database!BM314="","",IFERROR(BDH("HSAHP Index","PX_LAST",Database!$H314,Database!$H314),""))</f>
        <v/>
      </c>
      <c r="S314" s="24">
        <f>IFERROR(BDP(Database!$A314&amp;" HK Equity","PX_TO_SALES_RATIO"),"")</f>
        <v/>
      </c>
      <c r="T314" s="19">
        <f>IF(Database!BM314="","",IFERROR(BDP(LEFT(Database!BM314,FIND(".",Database!BM314)-1)&amp;" CH Equity","CUR_MKT_CAP"),""))</f>
        <v/>
      </c>
    </row>
    <row r="315">
      <c r="A315" s="17">
        <f>Database!A315&amp;"  "&amp;Database!B315</f>
        <v/>
      </c>
      <c r="B315" s="10">
        <f>IFERROR(INDEX(BDS(Database!$A315&amp;" HK Equity","EQUITY_OFFERINGS","array=t","endcol=1"),MATCH("IPO",BDS(Database!$A315&amp;" HK Equity","EQUITY_OFFERINGS","array=t","startcol=2","endcol=2"),0)),"")</f>
        <v/>
      </c>
      <c r="C315" s="186">
        <f>IF($B315="","",IFERROR(BDP($B315&amp;" Action","CP036"),""))</f>
        <v/>
      </c>
      <c r="D315" s="187">
        <f>Database!S315</f>
        <v/>
      </c>
      <c r="E315" s="186">
        <f>IF($B315="","",IFERROR(BDP($B315&amp;" Action","CP037"),""))</f>
        <v/>
      </c>
      <c r="F315" s="187">
        <f>Database!T315</f>
        <v/>
      </c>
      <c r="G315" s="186">
        <f>IF($B315="","",IFERROR(BDP($B315&amp;" Action","GREENSHOE_FACILITY"),""))</f>
        <v/>
      </c>
      <c r="H315" s="186">
        <f>IF($B315="","",IFERROR(BDP($B315&amp;" Action","OFFERING_GREENSHOE_SHARES_EX"),""))</f>
        <v/>
      </c>
      <c r="I315" s="17">
        <f>Database!AE315</f>
        <v/>
      </c>
      <c r="J315" s="24">
        <f>IFERROR(BDP(Database!$A315&amp;" HK Equity","PE_RATIO"),"")</f>
        <v/>
      </c>
      <c r="K315" s="10">
        <f>IFERROR(BDP(Database!$A315&amp;" HK Equity","A/H_SHARE_CONVERSION"),"")</f>
        <v/>
      </c>
      <c r="L315" s="17">
        <f>IF(Database!BM315="","(none found)",Database!BM315)</f>
        <v/>
      </c>
      <c r="M315" s="19">
        <f>IFERROR(BDH(Database!$A315&amp;" HK Equity","CUR_MKT_CAP",Database!$H315,Database!$H315),"")</f>
        <v/>
      </c>
      <c r="N315" s="180">
        <f>Database!Q315</f>
        <v/>
      </c>
      <c r="O315" s="24">
        <f>IFERROR(BDH(Database!$A315&amp;" HK Equity","PE_RATIO",Database!$H315,Database!$H315),"")</f>
        <v/>
      </c>
      <c r="P315" s="184">
        <f>IF(Database!BG315="","(n/m or not derivable)",Database!BG315)</f>
        <v/>
      </c>
      <c r="Q315" s="24">
        <f>IF(Database!BM315="","",IFERROR(BDH(LEFT(Database!BM315,FIND(".",Database!BM315)-1)&amp;" CH Equity","PE_RATIO",Database!$H315,Database!$H315),""))</f>
        <v/>
      </c>
      <c r="R315" s="24">
        <f>IF(Database!BM315="","",IFERROR(BDH("HSAHP Index","PX_LAST",Database!$H315,Database!$H315),""))</f>
        <v/>
      </c>
      <c r="S315" s="24">
        <f>IFERROR(BDP(Database!$A315&amp;" HK Equity","PX_TO_SALES_RATIO"),"")</f>
        <v/>
      </c>
      <c r="T315" s="19">
        <f>IF(Database!BM315="","",IFERROR(BDP(LEFT(Database!BM315,FIND(".",Database!BM315)-1)&amp;" CH Equity","CUR_MKT_CAP"),""))</f>
        <v/>
      </c>
    </row>
    <row r="316">
      <c r="A316" s="17">
        <f>Database!A316&amp;"  "&amp;Database!B316</f>
        <v/>
      </c>
      <c r="B316" s="10">
        <f>IFERROR(INDEX(BDS(Database!$A316&amp;" HK Equity","EQUITY_OFFERINGS","array=t","endcol=1"),MATCH("IPO",BDS(Database!$A316&amp;" HK Equity","EQUITY_OFFERINGS","array=t","startcol=2","endcol=2"),0)),"")</f>
        <v/>
      </c>
      <c r="C316" s="186">
        <f>IF($B316="","",IFERROR(BDP($B316&amp;" Action","CP036"),""))</f>
        <v/>
      </c>
      <c r="D316" s="187">
        <f>Database!S316</f>
        <v/>
      </c>
      <c r="E316" s="186">
        <f>IF($B316="","",IFERROR(BDP($B316&amp;" Action","CP037"),""))</f>
        <v/>
      </c>
      <c r="F316" s="187">
        <f>Database!T316</f>
        <v/>
      </c>
      <c r="G316" s="186">
        <f>IF($B316="","",IFERROR(BDP($B316&amp;" Action","GREENSHOE_FACILITY"),""))</f>
        <v/>
      </c>
      <c r="H316" s="186">
        <f>IF($B316="","",IFERROR(BDP($B316&amp;" Action","OFFERING_GREENSHOE_SHARES_EX"),""))</f>
        <v/>
      </c>
      <c r="I316" s="17">
        <f>Database!AE316</f>
        <v/>
      </c>
      <c r="J316" s="24">
        <f>IFERROR(BDP(Database!$A316&amp;" HK Equity","PE_RATIO"),"")</f>
        <v/>
      </c>
      <c r="K316" s="10">
        <f>IFERROR(BDP(Database!$A316&amp;" HK Equity","A/H_SHARE_CONVERSION"),"")</f>
        <v/>
      </c>
      <c r="L316" s="17">
        <f>IF(Database!BM316="","(none found)",Database!BM316)</f>
        <v/>
      </c>
      <c r="M316" s="19">
        <f>IFERROR(BDH(Database!$A316&amp;" HK Equity","CUR_MKT_CAP",Database!$H316,Database!$H316),"")</f>
        <v/>
      </c>
      <c r="N316" s="180">
        <f>Database!Q316</f>
        <v/>
      </c>
      <c r="O316" s="24">
        <f>IFERROR(BDH(Database!$A316&amp;" HK Equity","PE_RATIO",Database!$H316,Database!$H316),"")</f>
        <v/>
      </c>
      <c r="P316" s="184">
        <f>IF(Database!BG316="","(n/m or not derivable)",Database!BG316)</f>
        <v/>
      </c>
      <c r="Q316" s="24">
        <f>IF(Database!BM316="","",IFERROR(BDH(LEFT(Database!BM316,FIND(".",Database!BM316)-1)&amp;" CH Equity","PE_RATIO",Database!$H316,Database!$H316),""))</f>
        <v/>
      </c>
      <c r="R316" s="24">
        <f>IF(Database!BM316="","",IFERROR(BDH("HSAHP Index","PX_LAST",Database!$H316,Database!$H316),""))</f>
        <v/>
      </c>
      <c r="S316" s="24">
        <f>IFERROR(BDP(Database!$A316&amp;" HK Equity","PX_TO_SALES_RATIO"),"")</f>
        <v/>
      </c>
      <c r="T316" s="19">
        <f>IF(Database!BM316="","",IFERROR(BDP(LEFT(Database!BM316,FIND(".",Database!BM316)-1)&amp;" CH Equity","CUR_MKT_CAP"),""))</f>
        <v/>
      </c>
    </row>
    <row r="317">
      <c r="A317" s="17">
        <f>Database!A317&amp;"  "&amp;Database!B317</f>
        <v/>
      </c>
      <c r="B317" s="10">
        <f>IFERROR(INDEX(BDS(Database!$A317&amp;" HK Equity","EQUITY_OFFERINGS","array=t","endcol=1"),MATCH("IPO",BDS(Database!$A317&amp;" HK Equity","EQUITY_OFFERINGS","array=t","startcol=2","endcol=2"),0)),"")</f>
        <v/>
      </c>
      <c r="C317" s="186">
        <f>IF($B317="","",IFERROR(BDP($B317&amp;" Action","CP036"),""))</f>
        <v/>
      </c>
      <c r="D317" s="187">
        <f>Database!S317</f>
        <v/>
      </c>
      <c r="E317" s="186">
        <f>IF($B317="","",IFERROR(BDP($B317&amp;" Action","CP037"),""))</f>
        <v/>
      </c>
      <c r="F317" s="187">
        <f>Database!T317</f>
        <v/>
      </c>
      <c r="G317" s="186">
        <f>IF($B317="","",IFERROR(BDP($B317&amp;" Action","GREENSHOE_FACILITY"),""))</f>
        <v/>
      </c>
      <c r="H317" s="186">
        <f>IF($B317="","",IFERROR(BDP($B317&amp;" Action","OFFERING_GREENSHOE_SHARES_EX"),""))</f>
        <v/>
      </c>
      <c r="I317" s="17">
        <f>Database!AE317</f>
        <v/>
      </c>
      <c r="J317" s="24">
        <f>IFERROR(BDP(Database!$A317&amp;" HK Equity","PE_RATIO"),"")</f>
        <v/>
      </c>
      <c r="K317" s="10">
        <f>IFERROR(BDP(Database!$A317&amp;" HK Equity","A/H_SHARE_CONVERSION"),"")</f>
        <v/>
      </c>
      <c r="L317" s="17">
        <f>IF(Database!BM317="","(none found)",Database!BM317)</f>
        <v/>
      </c>
      <c r="M317" s="19">
        <f>IFERROR(BDH(Database!$A317&amp;" HK Equity","CUR_MKT_CAP",Database!$H317,Database!$H317),"")</f>
        <v/>
      </c>
      <c r="N317" s="180">
        <f>Database!Q317</f>
        <v/>
      </c>
      <c r="O317" s="24">
        <f>IFERROR(BDH(Database!$A317&amp;" HK Equity","PE_RATIO",Database!$H317,Database!$H317),"")</f>
        <v/>
      </c>
      <c r="P317" s="184">
        <f>IF(Database!BG317="","(n/m or not derivable)",Database!BG317)</f>
        <v/>
      </c>
      <c r="Q317" s="24">
        <f>IF(Database!BM317="","",IFERROR(BDH(LEFT(Database!BM317,FIND(".",Database!BM317)-1)&amp;" CH Equity","PE_RATIO",Database!$H317,Database!$H317),""))</f>
        <v/>
      </c>
      <c r="R317" s="24">
        <f>IF(Database!BM317="","",IFERROR(BDH("HSAHP Index","PX_LAST",Database!$H317,Database!$H317),""))</f>
        <v/>
      </c>
      <c r="S317" s="24">
        <f>IFERROR(BDP(Database!$A317&amp;" HK Equity","PX_TO_SALES_RATIO"),"")</f>
        <v/>
      </c>
      <c r="T317" s="19">
        <f>IF(Database!BM317="","",IFERROR(BDP(LEFT(Database!BM317,FIND(".",Database!BM317)-1)&amp;" CH Equity","CUR_MKT_CAP"),""))</f>
        <v/>
      </c>
    </row>
    <row r="318">
      <c r="A318" s="17">
        <f>Database!A318&amp;"  "&amp;Database!B318</f>
        <v/>
      </c>
      <c r="B318" s="10">
        <f>IFERROR(INDEX(BDS(Database!$A318&amp;" HK Equity","EQUITY_OFFERINGS","array=t","endcol=1"),MATCH("IPO",BDS(Database!$A318&amp;" HK Equity","EQUITY_OFFERINGS","array=t","startcol=2","endcol=2"),0)),"")</f>
        <v/>
      </c>
      <c r="C318" s="186">
        <f>IF($B318="","",IFERROR(BDP($B318&amp;" Action","CP036"),""))</f>
        <v/>
      </c>
      <c r="D318" s="187">
        <f>Database!S318</f>
        <v/>
      </c>
      <c r="E318" s="186">
        <f>IF($B318="","",IFERROR(BDP($B318&amp;" Action","CP037"),""))</f>
        <v/>
      </c>
      <c r="F318" s="187">
        <f>Database!T318</f>
        <v/>
      </c>
      <c r="G318" s="186">
        <f>IF($B318="","",IFERROR(BDP($B318&amp;" Action","GREENSHOE_FACILITY"),""))</f>
        <v/>
      </c>
      <c r="H318" s="186">
        <f>IF($B318="","",IFERROR(BDP($B318&amp;" Action","OFFERING_GREENSHOE_SHARES_EX"),""))</f>
        <v/>
      </c>
      <c r="I318" s="17">
        <f>Database!AE318</f>
        <v/>
      </c>
      <c r="J318" s="24">
        <f>IFERROR(BDP(Database!$A318&amp;" HK Equity","PE_RATIO"),"")</f>
        <v/>
      </c>
      <c r="K318" s="10">
        <f>IFERROR(BDP(Database!$A318&amp;" HK Equity","A/H_SHARE_CONVERSION"),"")</f>
        <v/>
      </c>
      <c r="L318" s="17">
        <f>IF(Database!BM318="","(none found)",Database!BM318)</f>
        <v/>
      </c>
      <c r="M318" s="19">
        <f>IFERROR(BDH(Database!$A318&amp;" HK Equity","CUR_MKT_CAP",Database!$H318,Database!$H318),"")</f>
        <v/>
      </c>
      <c r="N318" s="180">
        <f>Database!Q318</f>
        <v/>
      </c>
      <c r="O318" s="24">
        <f>IFERROR(BDH(Database!$A318&amp;" HK Equity","PE_RATIO",Database!$H318,Database!$H318),"")</f>
        <v/>
      </c>
      <c r="P318" s="184">
        <f>IF(Database!BG318="","(n/m or not derivable)",Database!BG318)</f>
        <v/>
      </c>
      <c r="Q318" s="24">
        <f>IF(Database!BM318="","",IFERROR(BDH(LEFT(Database!BM318,FIND(".",Database!BM318)-1)&amp;" CH Equity","PE_RATIO",Database!$H318,Database!$H318),""))</f>
        <v/>
      </c>
      <c r="R318" s="24">
        <f>IF(Database!BM318="","",IFERROR(BDH("HSAHP Index","PX_LAST",Database!$H318,Database!$H318),""))</f>
        <v/>
      </c>
      <c r="S318" s="24">
        <f>IFERROR(BDP(Database!$A318&amp;" HK Equity","PX_TO_SALES_RATIO"),"")</f>
        <v/>
      </c>
      <c r="T318" s="19">
        <f>IF(Database!BM318="","",IFERROR(BDP(LEFT(Database!BM318,FIND(".",Database!BM318)-1)&amp;" CH Equity","CUR_MKT_CAP"),""))</f>
        <v/>
      </c>
    </row>
    <row r="319">
      <c r="A319" s="17">
        <f>Database!A319&amp;"  "&amp;Database!B319</f>
        <v/>
      </c>
      <c r="B319" s="10">
        <f>IFERROR(INDEX(BDS(Database!$A319&amp;" HK Equity","EQUITY_OFFERINGS","array=t","endcol=1"),MATCH("IPO",BDS(Database!$A319&amp;" HK Equity","EQUITY_OFFERINGS","array=t","startcol=2","endcol=2"),0)),"")</f>
        <v/>
      </c>
      <c r="C319" s="186">
        <f>IF($B319="","",IFERROR(BDP($B319&amp;" Action","CP036"),""))</f>
        <v/>
      </c>
      <c r="D319" s="187">
        <f>Database!S319</f>
        <v/>
      </c>
      <c r="E319" s="186">
        <f>IF($B319="","",IFERROR(BDP($B319&amp;" Action","CP037"),""))</f>
        <v/>
      </c>
      <c r="F319" s="187">
        <f>Database!T319</f>
        <v/>
      </c>
      <c r="G319" s="186">
        <f>IF($B319="","",IFERROR(BDP($B319&amp;" Action","GREENSHOE_FACILITY"),""))</f>
        <v/>
      </c>
      <c r="H319" s="186">
        <f>IF($B319="","",IFERROR(BDP($B319&amp;" Action","OFFERING_GREENSHOE_SHARES_EX"),""))</f>
        <v/>
      </c>
      <c r="I319" s="17">
        <f>Database!AE319</f>
        <v/>
      </c>
      <c r="J319" s="24">
        <f>IFERROR(BDP(Database!$A319&amp;" HK Equity","PE_RATIO"),"")</f>
        <v/>
      </c>
      <c r="K319" s="10">
        <f>IFERROR(BDP(Database!$A319&amp;" HK Equity","A/H_SHARE_CONVERSION"),"")</f>
        <v/>
      </c>
      <c r="L319" s="17">
        <f>IF(Database!BM319="","(none found)",Database!BM319)</f>
        <v/>
      </c>
      <c r="M319" s="19">
        <f>IFERROR(BDH(Database!$A319&amp;" HK Equity","CUR_MKT_CAP",Database!$H319,Database!$H319),"")</f>
        <v/>
      </c>
      <c r="N319" s="180">
        <f>Database!Q319</f>
        <v/>
      </c>
      <c r="O319" s="24">
        <f>IFERROR(BDH(Database!$A319&amp;" HK Equity","PE_RATIO",Database!$H319,Database!$H319),"")</f>
        <v/>
      </c>
      <c r="P319" s="184">
        <f>IF(Database!BG319="","(n/m or not derivable)",Database!BG319)</f>
        <v/>
      </c>
      <c r="Q319" s="24">
        <f>IF(Database!BM319="","",IFERROR(BDH(LEFT(Database!BM319,FIND(".",Database!BM319)-1)&amp;" CH Equity","PE_RATIO",Database!$H319,Database!$H319),""))</f>
        <v/>
      </c>
      <c r="R319" s="24">
        <f>IF(Database!BM319="","",IFERROR(BDH("HSAHP Index","PX_LAST",Database!$H319,Database!$H319),""))</f>
        <v/>
      </c>
      <c r="S319" s="24">
        <f>IFERROR(BDP(Database!$A319&amp;" HK Equity","PX_TO_SALES_RATIO"),"")</f>
        <v/>
      </c>
      <c r="T319" s="19">
        <f>IF(Database!BM319="","",IFERROR(BDP(LEFT(Database!BM319,FIND(".",Database!BM319)-1)&amp;" CH Equity","CUR_MKT_CAP"),""))</f>
        <v/>
      </c>
    </row>
    <row r="320">
      <c r="A320" s="17">
        <f>Database!A320&amp;"  "&amp;Database!B320</f>
        <v/>
      </c>
      <c r="B320" s="10">
        <f>IFERROR(INDEX(BDS(Database!$A320&amp;" HK Equity","EQUITY_OFFERINGS","array=t","endcol=1"),MATCH("IPO",BDS(Database!$A320&amp;" HK Equity","EQUITY_OFFERINGS","array=t","startcol=2","endcol=2"),0)),"")</f>
        <v/>
      </c>
      <c r="C320" s="186">
        <f>IF($B320="","",IFERROR(BDP($B320&amp;" Action","CP036"),""))</f>
        <v/>
      </c>
      <c r="D320" s="187">
        <f>Database!S320</f>
        <v/>
      </c>
      <c r="E320" s="186">
        <f>IF($B320="","",IFERROR(BDP($B320&amp;" Action","CP037"),""))</f>
        <v/>
      </c>
      <c r="F320" s="187">
        <f>Database!T320</f>
        <v/>
      </c>
      <c r="G320" s="186">
        <f>IF($B320="","",IFERROR(BDP($B320&amp;" Action","GREENSHOE_FACILITY"),""))</f>
        <v/>
      </c>
      <c r="H320" s="186">
        <f>IF($B320="","",IFERROR(BDP($B320&amp;" Action","OFFERING_GREENSHOE_SHARES_EX"),""))</f>
        <v/>
      </c>
      <c r="I320" s="17">
        <f>Database!AE320</f>
        <v/>
      </c>
      <c r="J320" s="24">
        <f>IFERROR(BDP(Database!$A320&amp;" HK Equity","PE_RATIO"),"")</f>
        <v/>
      </c>
      <c r="K320" s="10">
        <f>IFERROR(BDP(Database!$A320&amp;" HK Equity","A/H_SHARE_CONVERSION"),"")</f>
        <v/>
      </c>
      <c r="L320" s="17">
        <f>IF(Database!BM320="","(none found)",Database!BM320)</f>
        <v/>
      </c>
      <c r="M320" s="19">
        <f>IFERROR(BDH(Database!$A320&amp;" HK Equity","CUR_MKT_CAP",Database!$H320,Database!$H320),"")</f>
        <v/>
      </c>
      <c r="N320" s="180">
        <f>Database!Q320</f>
        <v/>
      </c>
      <c r="O320" s="24">
        <f>IFERROR(BDH(Database!$A320&amp;" HK Equity","PE_RATIO",Database!$H320,Database!$H320),"")</f>
        <v/>
      </c>
      <c r="P320" s="184">
        <f>IF(Database!BG320="","(n/m or not derivable)",Database!BG320)</f>
        <v/>
      </c>
      <c r="Q320" s="24">
        <f>IF(Database!BM320="","",IFERROR(BDH(LEFT(Database!BM320,FIND(".",Database!BM320)-1)&amp;" CH Equity","PE_RATIO",Database!$H320,Database!$H320),""))</f>
        <v/>
      </c>
      <c r="R320" s="24">
        <f>IF(Database!BM320="","",IFERROR(BDH("HSAHP Index","PX_LAST",Database!$H320,Database!$H320),""))</f>
        <v/>
      </c>
      <c r="S320" s="24">
        <f>IFERROR(BDP(Database!$A320&amp;" HK Equity","PX_TO_SALES_RATIO"),"")</f>
        <v/>
      </c>
      <c r="T320" s="19">
        <f>IF(Database!BM320="","",IFERROR(BDP(LEFT(Database!BM320,FIND(".",Database!BM320)-1)&amp;" CH Equity","CUR_MKT_CAP"),""))</f>
        <v/>
      </c>
    </row>
    <row r="321">
      <c r="A321" s="17">
        <f>Database!A321&amp;"  "&amp;Database!B321</f>
        <v/>
      </c>
      <c r="B321" s="10">
        <f>IFERROR(INDEX(BDS(Database!$A321&amp;" HK Equity","EQUITY_OFFERINGS","array=t","endcol=1"),MATCH("IPO",BDS(Database!$A321&amp;" HK Equity","EQUITY_OFFERINGS","array=t","startcol=2","endcol=2"),0)),"")</f>
        <v/>
      </c>
      <c r="C321" s="186">
        <f>IF($B321="","",IFERROR(BDP($B321&amp;" Action","CP036"),""))</f>
        <v/>
      </c>
      <c r="D321" s="187">
        <f>Database!S321</f>
        <v/>
      </c>
      <c r="E321" s="186">
        <f>IF($B321="","",IFERROR(BDP($B321&amp;" Action","CP037"),""))</f>
        <v/>
      </c>
      <c r="F321" s="187">
        <f>Database!T321</f>
        <v/>
      </c>
      <c r="G321" s="186">
        <f>IF($B321="","",IFERROR(BDP($B321&amp;" Action","GREENSHOE_FACILITY"),""))</f>
        <v/>
      </c>
      <c r="H321" s="186">
        <f>IF($B321="","",IFERROR(BDP($B321&amp;" Action","OFFERING_GREENSHOE_SHARES_EX"),""))</f>
        <v/>
      </c>
      <c r="I321" s="17">
        <f>Database!AE321</f>
        <v/>
      </c>
      <c r="J321" s="24">
        <f>IFERROR(BDP(Database!$A321&amp;" HK Equity","PE_RATIO"),"")</f>
        <v/>
      </c>
      <c r="K321" s="10">
        <f>IFERROR(BDP(Database!$A321&amp;" HK Equity","A/H_SHARE_CONVERSION"),"")</f>
        <v/>
      </c>
      <c r="L321" s="17">
        <f>IF(Database!BM321="","(none found)",Database!BM321)</f>
        <v/>
      </c>
      <c r="M321" s="19">
        <f>IFERROR(BDH(Database!$A321&amp;" HK Equity","CUR_MKT_CAP",Database!$H321,Database!$H321),"")</f>
        <v/>
      </c>
      <c r="N321" s="180">
        <f>Database!Q321</f>
        <v/>
      </c>
      <c r="O321" s="24">
        <f>IFERROR(BDH(Database!$A321&amp;" HK Equity","PE_RATIO",Database!$H321,Database!$H321),"")</f>
        <v/>
      </c>
      <c r="P321" s="184">
        <f>IF(Database!BG321="","(n/m or not derivable)",Database!BG321)</f>
        <v/>
      </c>
      <c r="Q321" s="24">
        <f>IF(Database!BM321="","",IFERROR(BDH(LEFT(Database!BM321,FIND(".",Database!BM321)-1)&amp;" CH Equity","PE_RATIO",Database!$H321,Database!$H321),""))</f>
        <v/>
      </c>
      <c r="R321" s="24">
        <f>IF(Database!BM321="","",IFERROR(BDH("HSAHP Index","PX_LAST",Database!$H321,Database!$H321),""))</f>
        <v/>
      </c>
      <c r="S321" s="24">
        <f>IFERROR(BDP(Database!$A321&amp;" HK Equity","PX_TO_SALES_RATIO"),"")</f>
        <v/>
      </c>
      <c r="T321" s="19">
        <f>IF(Database!BM321="","",IFERROR(BDP(LEFT(Database!BM321,FIND(".",Database!BM321)-1)&amp;" CH Equity","CUR_MKT_CAP"),""))</f>
        <v/>
      </c>
    </row>
    <row r="322">
      <c r="A322" s="17">
        <f>Database!A322&amp;"  "&amp;Database!B322</f>
        <v/>
      </c>
      <c r="B322" s="10">
        <f>IFERROR(INDEX(BDS(Database!$A322&amp;" HK Equity","EQUITY_OFFERINGS","array=t","endcol=1"),MATCH("IPO",BDS(Database!$A322&amp;" HK Equity","EQUITY_OFFERINGS","array=t","startcol=2","endcol=2"),0)),"")</f>
        <v/>
      </c>
      <c r="C322" s="186">
        <f>IF($B322="","",IFERROR(BDP($B322&amp;" Action","CP036"),""))</f>
        <v/>
      </c>
      <c r="D322" s="187">
        <f>Database!S322</f>
        <v/>
      </c>
      <c r="E322" s="186">
        <f>IF($B322="","",IFERROR(BDP($B322&amp;" Action","CP037"),""))</f>
        <v/>
      </c>
      <c r="F322" s="187">
        <f>Database!T322</f>
        <v/>
      </c>
      <c r="G322" s="186">
        <f>IF($B322="","",IFERROR(BDP($B322&amp;" Action","GREENSHOE_FACILITY"),""))</f>
        <v/>
      </c>
      <c r="H322" s="186">
        <f>IF($B322="","",IFERROR(BDP($B322&amp;" Action","OFFERING_GREENSHOE_SHARES_EX"),""))</f>
        <v/>
      </c>
      <c r="I322" s="17">
        <f>Database!AE322</f>
        <v/>
      </c>
      <c r="J322" s="24">
        <f>IFERROR(BDP(Database!$A322&amp;" HK Equity","PE_RATIO"),"")</f>
        <v/>
      </c>
      <c r="K322" s="10">
        <f>IFERROR(BDP(Database!$A322&amp;" HK Equity","A/H_SHARE_CONVERSION"),"")</f>
        <v/>
      </c>
      <c r="L322" s="17">
        <f>IF(Database!BM322="","(none found)",Database!BM322)</f>
        <v/>
      </c>
      <c r="M322" s="19">
        <f>IFERROR(BDH(Database!$A322&amp;" HK Equity","CUR_MKT_CAP",Database!$H322,Database!$H322),"")</f>
        <v/>
      </c>
      <c r="N322" s="180">
        <f>Database!Q322</f>
        <v/>
      </c>
      <c r="O322" s="24">
        <f>IFERROR(BDH(Database!$A322&amp;" HK Equity","PE_RATIO",Database!$H322,Database!$H322),"")</f>
        <v/>
      </c>
      <c r="P322" s="184">
        <f>IF(Database!BG322="","(n/m or not derivable)",Database!BG322)</f>
        <v/>
      </c>
      <c r="Q322" s="24">
        <f>IF(Database!BM322="","",IFERROR(BDH(LEFT(Database!BM322,FIND(".",Database!BM322)-1)&amp;" CH Equity","PE_RATIO",Database!$H322,Database!$H322),""))</f>
        <v/>
      </c>
      <c r="R322" s="24">
        <f>IF(Database!BM322="","",IFERROR(BDH("HSAHP Index","PX_LAST",Database!$H322,Database!$H322),""))</f>
        <v/>
      </c>
      <c r="S322" s="24">
        <f>IFERROR(BDP(Database!$A322&amp;" HK Equity","PX_TO_SALES_RATIO"),"")</f>
        <v/>
      </c>
      <c r="T322" s="19">
        <f>IF(Database!BM322="","",IFERROR(BDP(LEFT(Database!BM322,FIND(".",Database!BM322)-1)&amp;" CH Equity","CUR_MKT_CAP"),""))</f>
        <v/>
      </c>
    </row>
    <row r="323">
      <c r="A323" s="17">
        <f>Database!A323&amp;"  "&amp;Database!B323</f>
        <v/>
      </c>
      <c r="B323" s="10">
        <f>IFERROR(INDEX(BDS(Database!$A323&amp;" HK Equity","EQUITY_OFFERINGS","array=t","endcol=1"),MATCH("IPO",BDS(Database!$A323&amp;" HK Equity","EQUITY_OFFERINGS","array=t","startcol=2","endcol=2"),0)),"")</f>
        <v/>
      </c>
      <c r="C323" s="186">
        <f>IF($B323="","",IFERROR(BDP($B323&amp;" Action","CP036"),""))</f>
        <v/>
      </c>
      <c r="D323" s="187">
        <f>Database!S323</f>
        <v/>
      </c>
      <c r="E323" s="186">
        <f>IF($B323="","",IFERROR(BDP($B323&amp;" Action","CP037"),""))</f>
        <v/>
      </c>
      <c r="F323" s="187">
        <f>Database!T323</f>
        <v/>
      </c>
      <c r="G323" s="186">
        <f>IF($B323="","",IFERROR(BDP($B323&amp;" Action","GREENSHOE_FACILITY"),""))</f>
        <v/>
      </c>
      <c r="H323" s="186">
        <f>IF($B323="","",IFERROR(BDP($B323&amp;" Action","OFFERING_GREENSHOE_SHARES_EX"),""))</f>
        <v/>
      </c>
      <c r="I323" s="17">
        <f>Database!AE323</f>
        <v/>
      </c>
      <c r="J323" s="24">
        <f>IFERROR(BDP(Database!$A323&amp;" HK Equity","PE_RATIO"),"")</f>
        <v/>
      </c>
      <c r="K323" s="10">
        <f>IFERROR(BDP(Database!$A323&amp;" HK Equity","A/H_SHARE_CONVERSION"),"")</f>
        <v/>
      </c>
      <c r="L323" s="17">
        <f>IF(Database!BM323="","(none found)",Database!BM323)</f>
        <v/>
      </c>
      <c r="M323" s="19">
        <f>IFERROR(BDH(Database!$A323&amp;" HK Equity","CUR_MKT_CAP",Database!$H323,Database!$H323),"")</f>
        <v/>
      </c>
      <c r="N323" s="180">
        <f>Database!Q323</f>
        <v/>
      </c>
      <c r="O323" s="24">
        <f>IFERROR(BDH(Database!$A323&amp;" HK Equity","PE_RATIO",Database!$H323,Database!$H323),"")</f>
        <v/>
      </c>
      <c r="P323" s="184">
        <f>IF(Database!BG323="","(n/m or not derivable)",Database!BG323)</f>
        <v/>
      </c>
      <c r="Q323" s="24">
        <f>IF(Database!BM323="","",IFERROR(BDH(LEFT(Database!BM323,FIND(".",Database!BM323)-1)&amp;" CH Equity","PE_RATIO",Database!$H323,Database!$H323),""))</f>
        <v/>
      </c>
      <c r="R323" s="24">
        <f>IF(Database!BM323="","",IFERROR(BDH("HSAHP Index","PX_LAST",Database!$H323,Database!$H323),""))</f>
        <v/>
      </c>
      <c r="S323" s="24">
        <f>IFERROR(BDP(Database!$A323&amp;" HK Equity","PX_TO_SALES_RATIO"),"")</f>
        <v/>
      </c>
      <c r="T323" s="19">
        <f>IF(Database!BM323="","",IFERROR(BDP(LEFT(Database!BM323,FIND(".",Database!BM323)-1)&amp;" CH Equity","CUR_MKT_CAP"),""))</f>
        <v/>
      </c>
    </row>
    <row r="324">
      <c r="A324" s="17">
        <f>Database!A324&amp;"  "&amp;Database!B324</f>
        <v/>
      </c>
      <c r="B324" s="10">
        <f>IFERROR(INDEX(BDS(Database!$A324&amp;" HK Equity","EQUITY_OFFERINGS","array=t","endcol=1"),MATCH("IPO",BDS(Database!$A324&amp;" HK Equity","EQUITY_OFFERINGS","array=t","startcol=2","endcol=2"),0)),"")</f>
        <v/>
      </c>
      <c r="C324" s="186">
        <f>IF($B324="","",IFERROR(BDP($B324&amp;" Action","CP036"),""))</f>
        <v/>
      </c>
      <c r="D324" s="187">
        <f>Database!S324</f>
        <v/>
      </c>
      <c r="E324" s="186">
        <f>IF($B324="","",IFERROR(BDP($B324&amp;" Action","CP037"),""))</f>
        <v/>
      </c>
      <c r="F324" s="187">
        <f>Database!T324</f>
        <v/>
      </c>
      <c r="G324" s="186">
        <f>IF($B324="","",IFERROR(BDP($B324&amp;" Action","GREENSHOE_FACILITY"),""))</f>
        <v/>
      </c>
      <c r="H324" s="186">
        <f>IF($B324="","",IFERROR(BDP($B324&amp;" Action","OFFERING_GREENSHOE_SHARES_EX"),""))</f>
        <v/>
      </c>
      <c r="I324" s="17">
        <f>Database!AE324</f>
        <v/>
      </c>
      <c r="J324" s="24">
        <f>IFERROR(BDP(Database!$A324&amp;" HK Equity","PE_RATIO"),"")</f>
        <v/>
      </c>
      <c r="K324" s="10">
        <f>IFERROR(BDP(Database!$A324&amp;" HK Equity","A/H_SHARE_CONVERSION"),"")</f>
        <v/>
      </c>
      <c r="L324" s="17">
        <f>IF(Database!BM324="","(none found)",Database!BM324)</f>
        <v/>
      </c>
      <c r="M324" s="19">
        <f>IFERROR(BDH(Database!$A324&amp;" HK Equity","CUR_MKT_CAP",Database!$H324,Database!$H324),"")</f>
        <v/>
      </c>
      <c r="N324" s="180">
        <f>Database!Q324</f>
        <v/>
      </c>
      <c r="O324" s="24">
        <f>IFERROR(BDH(Database!$A324&amp;" HK Equity","PE_RATIO",Database!$H324,Database!$H324),"")</f>
        <v/>
      </c>
      <c r="P324" s="184">
        <f>IF(Database!BG324="","(n/m or not derivable)",Database!BG324)</f>
        <v/>
      </c>
      <c r="Q324" s="24">
        <f>IF(Database!BM324="","",IFERROR(BDH(LEFT(Database!BM324,FIND(".",Database!BM324)-1)&amp;" CH Equity","PE_RATIO",Database!$H324,Database!$H324),""))</f>
        <v/>
      </c>
      <c r="R324" s="24">
        <f>IF(Database!BM324="","",IFERROR(BDH("HSAHP Index","PX_LAST",Database!$H324,Database!$H324),""))</f>
        <v/>
      </c>
      <c r="S324" s="24">
        <f>IFERROR(BDP(Database!$A324&amp;" HK Equity","PX_TO_SALES_RATIO"),"")</f>
        <v/>
      </c>
      <c r="T324" s="19">
        <f>IF(Database!BM324="","",IFERROR(BDP(LEFT(Database!BM324,FIND(".",Database!BM324)-1)&amp;" CH Equity","CUR_MKT_CAP"),""))</f>
        <v/>
      </c>
    </row>
    <row r="325">
      <c r="A325" s="17">
        <f>Database!A325&amp;"  "&amp;Database!B325</f>
        <v/>
      </c>
      <c r="B325" s="10">
        <f>IFERROR(INDEX(BDS(Database!$A325&amp;" HK Equity","EQUITY_OFFERINGS","array=t","endcol=1"),MATCH("IPO",BDS(Database!$A325&amp;" HK Equity","EQUITY_OFFERINGS","array=t","startcol=2","endcol=2"),0)),"")</f>
        <v/>
      </c>
      <c r="C325" s="186">
        <f>IF($B325="","",IFERROR(BDP($B325&amp;" Action","CP036"),""))</f>
        <v/>
      </c>
      <c r="D325" s="187">
        <f>Database!S325</f>
        <v/>
      </c>
      <c r="E325" s="186">
        <f>IF($B325="","",IFERROR(BDP($B325&amp;" Action","CP037"),""))</f>
        <v/>
      </c>
      <c r="F325" s="187">
        <f>Database!T325</f>
        <v/>
      </c>
      <c r="G325" s="186">
        <f>IF($B325="","",IFERROR(BDP($B325&amp;" Action","GREENSHOE_FACILITY"),""))</f>
        <v/>
      </c>
      <c r="H325" s="186">
        <f>IF($B325="","",IFERROR(BDP($B325&amp;" Action","OFFERING_GREENSHOE_SHARES_EX"),""))</f>
        <v/>
      </c>
      <c r="I325" s="17">
        <f>Database!AE325</f>
        <v/>
      </c>
      <c r="J325" s="24">
        <f>IFERROR(BDP(Database!$A325&amp;" HK Equity","PE_RATIO"),"")</f>
        <v/>
      </c>
      <c r="K325" s="10">
        <f>IFERROR(BDP(Database!$A325&amp;" HK Equity","A/H_SHARE_CONVERSION"),"")</f>
        <v/>
      </c>
      <c r="L325" s="17">
        <f>IF(Database!BM325="","(none found)",Database!BM325)</f>
        <v/>
      </c>
      <c r="M325" s="19">
        <f>IFERROR(BDH(Database!$A325&amp;" HK Equity","CUR_MKT_CAP",Database!$H325,Database!$H325),"")</f>
        <v/>
      </c>
      <c r="N325" s="180">
        <f>Database!Q325</f>
        <v/>
      </c>
      <c r="O325" s="24">
        <f>IFERROR(BDH(Database!$A325&amp;" HK Equity","PE_RATIO",Database!$H325,Database!$H325),"")</f>
        <v/>
      </c>
      <c r="P325" s="184">
        <f>IF(Database!BG325="","(n/m or not derivable)",Database!BG325)</f>
        <v/>
      </c>
      <c r="Q325" s="24">
        <f>IF(Database!BM325="","",IFERROR(BDH(LEFT(Database!BM325,FIND(".",Database!BM325)-1)&amp;" CH Equity","PE_RATIO",Database!$H325,Database!$H325),""))</f>
        <v/>
      </c>
      <c r="R325" s="24">
        <f>IF(Database!BM325="","",IFERROR(BDH("HSAHP Index","PX_LAST",Database!$H325,Database!$H325),""))</f>
        <v/>
      </c>
      <c r="S325" s="24">
        <f>IFERROR(BDP(Database!$A325&amp;" HK Equity","PX_TO_SALES_RATIO"),"")</f>
        <v/>
      </c>
      <c r="T325" s="19">
        <f>IF(Database!BM325="","",IFERROR(BDP(LEFT(Database!BM325,FIND(".",Database!BM325)-1)&amp;" CH Equity","CUR_MKT_CAP"),""))</f>
        <v/>
      </c>
    </row>
    <row r="326">
      <c r="A326" s="17">
        <f>Database!A326&amp;"  "&amp;Database!B326</f>
        <v/>
      </c>
      <c r="B326" s="10">
        <f>IFERROR(INDEX(BDS(Database!$A326&amp;" HK Equity","EQUITY_OFFERINGS","array=t","endcol=1"),MATCH("IPO",BDS(Database!$A326&amp;" HK Equity","EQUITY_OFFERINGS","array=t","startcol=2","endcol=2"),0)),"")</f>
        <v/>
      </c>
      <c r="C326" s="186">
        <f>IF($B326="","",IFERROR(BDP($B326&amp;" Action","CP036"),""))</f>
        <v/>
      </c>
      <c r="D326" s="187">
        <f>Database!S326</f>
        <v/>
      </c>
      <c r="E326" s="186">
        <f>IF($B326="","",IFERROR(BDP($B326&amp;" Action","CP037"),""))</f>
        <v/>
      </c>
      <c r="F326" s="187">
        <f>Database!T326</f>
        <v/>
      </c>
      <c r="G326" s="186">
        <f>IF($B326="","",IFERROR(BDP($B326&amp;" Action","GREENSHOE_FACILITY"),""))</f>
        <v/>
      </c>
      <c r="H326" s="186">
        <f>IF($B326="","",IFERROR(BDP($B326&amp;" Action","OFFERING_GREENSHOE_SHARES_EX"),""))</f>
        <v/>
      </c>
      <c r="I326" s="17">
        <f>Database!AE326</f>
        <v/>
      </c>
      <c r="J326" s="24">
        <f>IFERROR(BDP(Database!$A326&amp;" HK Equity","PE_RATIO"),"")</f>
        <v/>
      </c>
      <c r="K326" s="10">
        <f>IFERROR(BDP(Database!$A326&amp;" HK Equity","A/H_SHARE_CONVERSION"),"")</f>
        <v/>
      </c>
      <c r="L326" s="17">
        <f>IF(Database!BM326="","(none found)",Database!BM326)</f>
        <v/>
      </c>
      <c r="M326" s="19">
        <f>IFERROR(BDH(Database!$A326&amp;" HK Equity","CUR_MKT_CAP",Database!$H326,Database!$H326),"")</f>
        <v/>
      </c>
      <c r="N326" s="180">
        <f>Database!Q326</f>
        <v/>
      </c>
      <c r="O326" s="24">
        <f>IFERROR(BDH(Database!$A326&amp;" HK Equity","PE_RATIO",Database!$H326,Database!$H326),"")</f>
        <v/>
      </c>
      <c r="P326" s="184">
        <f>IF(Database!BG326="","(n/m or not derivable)",Database!BG326)</f>
        <v/>
      </c>
      <c r="Q326" s="24">
        <f>IF(Database!BM326="","",IFERROR(BDH(LEFT(Database!BM326,FIND(".",Database!BM326)-1)&amp;" CH Equity","PE_RATIO",Database!$H326,Database!$H326),""))</f>
        <v/>
      </c>
      <c r="R326" s="24">
        <f>IF(Database!BM326="","",IFERROR(BDH("HSAHP Index","PX_LAST",Database!$H326,Database!$H326),""))</f>
        <v/>
      </c>
      <c r="S326" s="24">
        <f>IFERROR(BDP(Database!$A326&amp;" HK Equity","PX_TO_SALES_RATIO"),"")</f>
        <v/>
      </c>
      <c r="T326" s="19">
        <f>IF(Database!BM326="","",IFERROR(BDP(LEFT(Database!BM326,FIND(".",Database!BM326)-1)&amp;" CH Equity","CUR_MKT_CAP"),""))</f>
        <v/>
      </c>
    </row>
    <row r="327">
      <c r="A327" s="17">
        <f>Database!A327&amp;"  "&amp;Database!B327</f>
        <v/>
      </c>
      <c r="B327" s="10">
        <f>IFERROR(INDEX(BDS(Database!$A327&amp;" HK Equity","EQUITY_OFFERINGS","array=t","endcol=1"),MATCH("IPO",BDS(Database!$A327&amp;" HK Equity","EQUITY_OFFERINGS","array=t","startcol=2","endcol=2"),0)),"")</f>
        <v/>
      </c>
      <c r="C327" s="186">
        <f>IF($B327="","",IFERROR(BDP($B327&amp;" Action","CP036"),""))</f>
        <v/>
      </c>
      <c r="D327" s="187">
        <f>Database!S327</f>
        <v/>
      </c>
      <c r="E327" s="186">
        <f>IF($B327="","",IFERROR(BDP($B327&amp;" Action","CP037"),""))</f>
        <v/>
      </c>
      <c r="F327" s="187">
        <f>Database!T327</f>
        <v/>
      </c>
      <c r="G327" s="186">
        <f>IF($B327="","",IFERROR(BDP($B327&amp;" Action","GREENSHOE_FACILITY"),""))</f>
        <v/>
      </c>
      <c r="H327" s="186">
        <f>IF($B327="","",IFERROR(BDP($B327&amp;" Action","OFFERING_GREENSHOE_SHARES_EX"),""))</f>
        <v/>
      </c>
      <c r="I327" s="17">
        <f>Database!AE327</f>
        <v/>
      </c>
      <c r="J327" s="24">
        <f>IFERROR(BDP(Database!$A327&amp;" HK Equity","PE_RATIO"),"")</f>
        <v/>
      </c>
      <c r="K327" s="10">
        <f>IFERROR(BDP(Database!$A327&amp;" HK Equity","A/H_SHARE_CONVERSION"),"")</f>
        <v/>
      </c>
      <c r="L327" s="17">
        <f>IF(Database!BM327="","(none found)",Database!BM327)</f>
        <v/>
      </c>
      <c r="M327" s="19">
        <f>IFERROR(BDH(Database!$A327&amp;" HK Equity","CUR_MKT_CAP",Database!$H327,Database!$H327),"")</f>
        <v/>
      </c>
      <c r="N327" s="180">
        <f>Database!Q327</f>
        <v/>
      </c>
      <c r="O327" s="24">
        <f>IFERROR(BDH(Database!$A327&amp;" HK Equity","PE_RATIO",Database!$H327,Database!$H327),"")</f>
        <v/>
      </c>
      <c r="P327" s="184">
        <f>IF(Database!BG327="","(n/m or not derivable)",Database!BG327)</f>
        <v/>
      </c>
      <c r="Q327" s="24">
        <f>IF(Database!BM327="","",IFERROR(BDH(LEFT(Database!BM327,FIND(".",Database!BM327)-1)&amp;" CH Equity","PE_RATIO",Database!$H327,Database!$H327),""))</f>
        <v/>
      </c>
      <c r="R327" s="24">
        <f>IF(Database!BM327="","",IFERROR(BDH("HSAHP Index","PX_LAST",Database!$H327,Database!$H327),""))</f>
        <v/>
      </c>
      <c r="S327" s="24">
        <f>IFERROR(BDP(Database!$A327&amp;" HK Equity","PX_TO_SALES_RATIO"),"")</f>
        <v/>
      </c>
      <c r="T327" s="19">
        <f>IF(Database!BM327="","",IFERROR(BDP(LEFT(Database!BM327,FIND(".",Database!BM327)-1)&amp;" CH Equity","CUR_MKT_CAP"),""))</f>
        <v/>
      </c>
    </row>
    <row r="328">
      <c r="A328" s="17">
        <f>Database!A328&amp;"  "&amp;Database!B328</f>
        <v/>
      </c>
      <c r="B328" s="10">
        <f>IFERROR(INDEX(BDS(Database!$A328&amp;" HK Equity","EQUITY_OFFERINGS","array=t","endcol=1"),MATCH("IPO",BDS(Database!$A328&amp;" HK Equity","EQUITY_OFFERINGS","array=t","startcol=2","endcol=2"),0)),"")</f>
        <v/>
      </c>
      <c r="C328" s="186">
        <f>IF($B328="","",IFERROR(BDP($B328&amp;" Action","CP036"),""))</f>
        <v/>
      </c>
      <c r="D328" s="187">
        <f>Database!S328</f>
        <v/>
      </c>
      <c r="E328" s="186">
        <f>IF($B328="","",IFERROR(BDP($B328&amp;" Action","CP037"),""))</f>
        <v/>
      </c>
      <c r="F328" s="187">
        <f>Database!T328</f>
        <v/>
      </c>
      <c r="G328" s="186">
        <f>IF($B328="","",IFERROR(BDP($B328&amp;" Action","GREENSHOE_FACILITY"),""))</f>
        <v/>
      </c>
      <c r="H328" s="186">
        <f>IF($B328="","",IFERROR(BDP($B328&amp;" Action","OFFERING_GREENSHOE_SHARES_EX"),""))</f>
        <v/>
      </c>
      <c r="I328" s="17">
        <f>Database!AE328</f>
        <v/>
      </c>
      <c r="J328" s="24">
        <f>IFERROR(BDP(Database!$A328&amp;" HK Equity","PE_RATIO"),"")</f>
        <v/>
      </c>
      <c r="K328" s="10">
        <f>IFERROR(BDP(Database!$A328&amp;" HK Equity","A/H_SHARE_CONVERSION"),"")</f>
        <v/>
      </c>
      <c r="L328" s="17">
        <f>IF(Database!BM328="","(none found)",Database!BM328)</f>
        <v/>
      </c>
      <c r="M328" s="19">
        <f>IFERROR(BDH(Database!$A328&amp;" HK Equity","CUR_MKT_CAP",Database!$H328,Database!$H328),"")</f>
        <v/>
      </c>
      <c r="N328" s="180">
        <f>Database!Q328</f>
        <v/>
      </c>
      <c r="O328" s="24">
        <f>IFERROR(BDH(Database!$A328&amp;" HK Equity","PE_RATIO",Database!$H328,Database!$H328),"")</f>
        <v/>
      </c>
      <c r="P328" s="184">
        <f>IF(Database!BG328="","(n/m or not derivable)",Database!BG328)</f>
        <v/>
      </c>
      <c r="Q328" s="24">
        <f>IF(Database!BM328="","",IFERROR(BDH(LEFT(Database!BM328,FIND(".",Database!BM328)-1)&amp;" CH Equity","PE_RATIO",Database!$H328,Database!$H328),""))</f>
        <v/>
      </c>
      <c r="R328" s="24">
        <f>IF(Database!BM328="","",IFERROR(BDH("HSAHP Index","PX_LAST",Database!$H328,Database!$H328),""))</f>
        <v/>
      </c>
      <c r="S328" s="24">
        <f>IFERROR(BDP(Database!$A328&amp;" HK Equity","PX_TO_SALES_RATIO"),"")</f>
        <v/>
      </c>
      <c r="T328" s="19">
        <f>IF(Database!BM328="","",IFERROR(BDP(LEFT(Database!BM328,FIND(".",Database!BM328)-1)&amp;" CH Equity","CUR_MKT_CAP"),""))</f>
        <v/>
      </c>
    </row>
    <row r="329">
      <c r="A329" s="17">
        <f>Database!A329&amp;"  "&amp;Database!B329</f>
        <v/>
      </c>
      <c r="B329" s="10">
        <f>IFERROR(INDEX(BDS(Database!$A329&amp;" HK Equity","EQUITY_OFFERINGS","array=t","endcol=1"),MATCH("IPO",BDS(Database!$A329&amp;" HK Equity","EQUITY_OFFERINGS","array=t","startcol=2","endcol=2"),0)),"")</f>
        <v/>
      </c>
      <c r="C329" s="186">
        <f>IF($B329="","",IFERROR(BDP($B329&amp;" Action","CP036"),""))</f>
        <v/>
      </c>
      <c r="D329" s="187">
        <f>Database!S329</f>
        <v/>
      </c>
      <c r="E329" s="186">
        <f>IF($B329="","",IFERROR(BDP($B329&amp;" Action","CP037"),""))</f>
        <v/>
      </c>
      <c r="F329" s="187">
        <f>Database!T329</f>
        <v/>
      </c>
      <c r="G329" s="186">
        <f>IF($B329="","",IFERROR(BDP($B329&amp;" Action","GREENSHOE_FACILITY"),""))</f>
        <v/>
      </c>
      <c r="H329" s="186">
        <f>IF($B329="","",IFERROR(BDP($B329&amp;" Action","OFFERING_GREENSHOE_SHARES_EX"),""))</f>
        <v/>
      </c>
      <c r="I329" s="17">
        <f>Database!AE329</f>
        <v/>
      </c>
      <c r="J329" s="24">
        <f>IFERROR(BDP(Database!$A329&amp;" HK Equity","PE_RATIO"),"")</f>
        <v/>
      </c>
      <c r="K329" s="10">
        <f>IFERROR(BDP(Database!$A329&amp;" HK Equity","A/H_SHARE_CONVERSION"),"")</f>
        <v/>
      </c>
      <c r="L329" s="17">
        <f>IF(Database!BM329="","(none found)",Database!BM329)</f>
        <v/>
      </c>
      <c r="M329" s="19">
        <f>IFERROR(BDH(Database!$A329&amp;" HK Equity","CUR_MKT_CAP",Database!$H329,Database!$H329),"")</f>
        <v/>
      </c>
      <c r="N329" s="180">
        <f>Database!Q329</f>
        <v/>
      </c>
      <c r="O329" s="24">
        <f>IFERROR(BDH(Database!$A329&amp;" HK Equity","PE_RATIO",Database!$H329,Database!$H329),"")</f>
        <v/>
      </c>
      <c r="P329" s="184">
        <f>IF(Database!BG329="","(n/m or not derivable)",Database!BG329)</f>
        <v/>
      </c>
      <c r="Q329" s="24">
        <f>IF(Database!BM329="","",IFERROR(BDH(LEFT(Database!BM329,FIND(".",Database!BM329)-1)&amp;" CH Equity","PE_RATIO",Database!$H329,Database!$H329),""))</f>
        <v/>
      </c>
      <c r="R329" s="24">
        <f>IF(Database!BM329="","",IFERROR(BDH("HSAHP Index","PX_LAST",Database!$H329,Database!$H329),""))</f>
        <v/>
      </c>
      <c r="S329" s="24">
        <f>IFERROR(BDP(Database!$A329&amp;" HK Equity","PX_TO_SALES_RATIO"),"")</f>
        <v/>
      </c>
      <c r="T329" s="19">
        <f>IF(Database!BM329="","",IFERROR(BDP(LEFT(Database!BM329,FIND(".",Database!BM329)-1)&amp;" CH Equity","CUR_MKT_CAP"),""))</f>
        <v/>
      </c>
    </row>
    <row r="330">
      <c r="A330" s="17">
        <f>Database!A330&amp;"  "&amp;Database!B330</f>
        <v/>
      </c>
      <c r="B330" s="10">
        <f>IFERROR(INDEX(BDS(Database!$A330&amp;" HK Equity","EQUITY_OFFERINGS","array=t","endcol=1"),MATCH("IPO",BDS(Database!$A330&amp;" HK Equity","EQUITY_OFFERINGS","array=t","startcol=2","endcol=2"),0)),"")</f>
        <v/>
      </c>
      <c r="C330" s="186">
        <f>IF($B330="","",IFERROR(BDP($B330&amp;" Action","CP036"),""))</f>
        <v/>
      </c>
      <c r="D330" s="187">
        <f>Database!S330</f>
        <v/>
      </c>
      <c r="E330" s="186">
        <f>IF($B330="","",IFERROR(BDP($B330&amp;" Action","CP037"),""))</f>
        <v/>
      </c>
      <c r="F330" s="187">
        <f>Database!T330</f>
        <v/>
      </c>
      <c r="G330" s="186">
        <f>IF($B330="","",IFERROR(BDP($B330&amp;" Action","GREENSHOE_FACILITY"),""))</f>
        <v/>
      </c>
      <c r="H330" s="186">
        <f>IF($B330="","",IFERROR(BDP($B330&amp;" Action","OFFERING_GREENSHOE_SHARES_EX"),""))</f>
        <v/>
      </c>
      <c r="I330" s="17">
        <f>Database!AE330</f>
        <v/>
      </c>
      <c r="J330" s="24">
        <f>IFERROR(BDP(Database!$A330&amp;" HK Equity","PE_RATIO"),"")</f>
        <v/>
      </c>
      <c r="K330" s="10">
        <f>IFERROR(BDP(Database!$A330&amp;" HK Equity","A/H_SHARE_CONVERSION"),"")</f>
        <v/>
      </c>
      <c r="L330" s="17">
        <f>IF(Database!BM330="","(none found)",Database!BM330)</f>
        <v/>
      </c>
      <c r="M330" s="19">
        <f>IFERROR(BDH(Database!$A330&amp;" HK Equity","CUR_MKT_CAP",Database!$H330,Database!$H330),"")</f>
        <v/>
      </c>
      <c r="N330" s="180">
        <f>Database!Q330</f>
        <v/>
      </c>
      <c r="O330" s="24">
        <f>IFERROR(BDH(Database!$A330&amp;" HK Equity","PE_RATIO",Database!$H330,Database!$H330),"")</f>
        <v/>
      </c>
      <c r="P330" s="184">
        <f>IF(Database!BG330="","(n/m or not derivable)",Database!BG330)</f>
        <v/>
      </c>
      <c r="Q330" s="24">
        <f>IF(Database!BM330="","",IFERROR(BDH(LEFT(Database!BM330,FIND(".",Database!BM330)-1)&amp;" CH Equity","PE_RATIO",Database!$H330,Database!$H330),""))</f>
        <v/>
      </c>
      <c r="R330" s="24">
        <f>IF(Database!BM330="","",IFERROR(BDH("HSAHP Index","PX_LAST",Database!$H330,Database!$H330),""))</f>
        <v/>
      </c>
      <c r="S330" s="24">
        <f>IFERROR(BDP(Database!$A330&amp;" HK Equity","PX_TO_SALES_RATIO"),"")</f>
        <v/>
      </c>
      <c r="T330" s="19">
        <f>IF(Database!BM330="","",IFERROR(BDP(LEFT(Database!BM330,FIND(".",Database!BM330)-1)&amp;" CH Equity","CUR_MKT_CAP"),""))</f>
        <v/>
      </c>
    </row>
    <row r="331">
      <c r="A331" s="17">
        <f>Database!A331&amp;"  "&amp;Database!B331</f>
        <v/>
      </c>
      <c r="B331" s="10">
        <f>IFERROR(INDEX(BDS(Database!$A331&amp;" HK Equity","EQUITY_OFFERINGS","array=t","endcol=1"),MATCH("IPO",BDS(Database!$A331&amp;" HK Equity","EQUITY_OFFERINGS","array=t","startcol=2","endcol=2"),0)),"")</f>
        <v/>
      </c>
      <c r="C331" s="186">
        <f>IF($B331="","",IFERROR(BDP($B331&amp;" Action","CP036"),""))</f>
        <v/>
      </c>
      <c r="D331" s="187">
        <f>Database!S331</f>
        <v/>
      </c>
      <c r="E331" s="186">
        <f>IF($B331="","",IFERROR(BDP($B331&amp;" Action","CP037"),""))</f>
        <v/>
      </c>
      <c r="F331" s="187">
        <f>Database!T331</f>
        <v/>
      </c>
      <c r="G331" s="186">
        <f>IF($B331="","",IFERROR(BDP($B331&amp;" Action","GREENSHOE_FACILITY"),""))</f>
        <v/>
      </c>
      <c r="H331" s="186">
        <f>IF($B331="","",IFERROR(BDP($B331&amp;" Action","OFFERING_GREENSHOE_SHARES_EX"),""))</f>
        <v/>
      </c>
      <c r="I331" s="17">
        <f>Database!AE331</f>
        <v/>
      </c>
      <c r="J331" s="24">
        <f>IFERROR(BDP(Database!$A331&amp;" HK Equity","PE_RATIO"),"")</f>
        <v/>
      </c>
      <c r="K331" s="10">
        <f>IFERROR(BDP(Database!$A331&amp;" HK Equity","A/H_SHARE_CONVERSION"),"")</f>
        <v/>
      </c>
      <c r="L331" s="17">
        <f>IF(Database!BM331="","(none found)",Database!BM331)</f>
        <v/>
      </c>
      <c r="M331" s="19">
        <f>IFERROR(BDH(Database!$A331&amp;" HK Equity","CUR_MKT_CAP",Database!$H331,Database!$H331),"")</f>
        <v/>
      </c>
      <c r="N331" s="180">
        <f>Database!Q331</f>
        <v/>
      </c>
      <c r="O331" s="24">
        <f>IFERROR(BDH(Database!$A331&amp;" HK Equity","PE_RATIO",Database!$H331,Database!$H331),"")</f>
        <v/>
      </c>
      <c r="P331" s="184">
        <f>IF(Database!BG331="","(n/m or not derivable)",Database!BG331)</f>
        <v/>
      </c>
      <c r="Q331" s="24">
        <f>IF(Database!BM331="","",IFERROR(BDH(LEFT(Database!BM331,FIND(".",Database!BM331)-1)&amp;" CH Equity","PE_RATIO",Database!$H331,Database!$H331),""))</f>
        <v/>
      </c>
      <c r="R331" s="24">
        <f>IF(Database!BM331="","",IFERROR(BDH("HSAHP Index","PX_LAST",Database!$H331,Database!$H331),""))</f>
        <v/>
      </c>
      <c r="S331" s="24">
        <f>IFERROR(BDP(Database!$A331&amp;" HK Equity","PX_TO_SALES_RATIO"),"")</f>
        <v/>
      </c>
      <c r="T331" s="19">
        <f>IF(Database!BM331="","",IFERROR(BDP(LEFT(Database!BM331,FIND(".",Database!BM331)-1)&amp;" CH Equity","CUR_MKT_CAP"),""))</f>
        <v/>
      </c>
    </row>
    <row r="332">
      <c r="A332" s="17">
        <f>Database!A332&amp;"  "&amp;Database!B332</f>
        <v/>
      </c>
      <c r="B332" s="10">
        <f>IFERROR(INDEX(BDS(Database!$A332&amp;" HK Equity","EQUITY_OFFERINGS","array=t","endcol=1"),MATCH("IPO",BDS(Database!$A332&amp;" HK Equity","EQUITY_OFFERINGS","array=t","startcol=2","endcol=2"),0)),"")</f>
        <v/>
      </c>
      <c r="C332" s="186">
        <f>IF($B332="","",IFERROR(BDP($B332&amp;" Action","CP036"),""))</f>
        <v/>
      </c>
      <c r="D332" s="187">
        <f>Database!S332</f>
        <v/>
      </c>
      <c r="E332" s="186">
        <f>IF($B332="","",IFERROR(BDP($B332&amp;" Action","CP037"),""))</f>
        <v/>
      </c>
      <c r="F332" s="187">
        <f>Database!T332</f>
        <v/>
      </c>
      <c r="G332" s="186">
        <f>IF($B332="","",IFERROR(BDP($B332&amp;" Action","GREENSHOE_FACILITY"),""))</f>
        <v/>
      </c>
      <c r="H332" s="186">
        <f>IF($B332="","",IFERROR(BDP($B332&amp;" Action","OFFERING_GREENSHOE_SHARES_EX"),""))</f>
        <v/>
      </c>
      <c r="I332" s="17">
        <f>Database!AE332</f>
        <v/>
      </c>
      <c r="J332" s="24">
        <f>IFERROR(BDP(Database!$A332&amp;" HK Equity","PE_RATIO"),"")</f>
        <v/>
      </c>
      <c r="K332" s="10">
        <f>IFERROR(BDP(Database!$A332&amp;" HK Equity","A/H_SHARE_CONVERSION"),"")</f>
        <v/>
      </c>
      <c r="L332" s="17">
        <f>IF(Database!BM332="","(none found)",Database!BM332)</f>
        <v/>
      </c>
      <c r="M332" s="19">
        <f>IFERROR(BDH(Database!$A332&amp;" HK Equity","CUR_MKT_CAP",Database!$H332,Database!$H332),"")</f>
        <v/>
      </c>
      <c r="N332" s="180">
        <f>Database!Q332</f>
        <v/>
      </c>
      <c r="O332" s="24">
        <f>IFERROR(BDH(Database!$A332&amp;" HK Equity","PE_RATIO",Database!$H332,Database!$H332),"")</f>
        <v/>
      </c>
      <c r="P332" s="184">
        <f>IF(Database!BG332="","(n/m or not derivable)",Database!BG332)</f>
        <v/>
      </c>
      <c r="Q332" s="24">
        <f>IF(Database!BM332="","",IFERROR(BDH(LEFT(Database!BM332,FIND(".",Database!BM332)-1)&amp;" CH Equity","PE_RATIO",Database!$H332,Database!$H332),""))</f>
        <v/>
      </c>
      <c r="R332" s="24">
        <f>IF(Database!BM332="","",IFERROR(BDH("HSAHP Index","PX_LAST",Database!$H332,Database!$H332),""))</f>
        <v/>
      </c>
      <c r="S332" s="24">
        <f>IFERROR(BDP(Database!$A332&amp;" HK Equity","PX_TO_SALES_RATIO"),"")</f>
        <v/>
      </c>
      <c r="T332" s="19">
        <f>IF(Database!BM332="","",IFERROR(BDP(LEFT(Database!BM332,FIND(".",Database!BM332)-1)&amp;" CH Equity","CUR_MKT_CAP"),""))</f>
        <v/>
      </c>
    </row>
    <row r="333">
      <c r="A333" s="17">
        <f>Database!A333&amp;"  "&amp;Database!B333</f>
        <v/>
      </c>
      <c r="B333" s="10">
        <f>IFERROR(INDEX(BDS(Database!$A333&amp;" HK Equity","EQUITY_OFFERINGS","array=t","endcol=1"),MATCH("IPO",BDS(Database!$A333&amp;" HK Equity","EQUITY_OFFERINGS","array=t","startcol=2","endcol=2"),0)),"")</f>
        <v/>
      </c>
      <c r="C333" s="186">
        <f>IF($B333="","",IFERROR(BDP($B333&amp;" Action","CP036"),""))</f>
        <v/>
      </c>
      <c r="D333" s="187">
        <f>Database!S333</f>
        <v/>
      </c>
      <c r="E333" s="186">
        <f>IF($B333="","",IFERROR(BDP($B333&amp;" Action","CP037"),""))</f>
        <v/>
      </c>
      <c r="F333" s="187">
        <f>Database!T333</f>
        <v/>
      </c>
      <c r="G333" s="186">
        <f>IF($B333="","",IFERROR(BDP($B333&amp;" Action","GREENSHOE_FACILITY"),""))</f>
        <v/>
      </c>
      <c r="H333" s="186">
        <f>IF($B333="","",IFERROR(BDP($B333&amp;" Action","OFFERING_GREENSHOE_SHARES_EX"),""))</f>
        <v/>
      </c>
      <c r="I333" s="17">
        <f>Database!AE333</f>
        <v/>
      </c>
      <c r="J333" s="24">
        <f>IFERROR(BDP(Database!$A333&amp;" HK Equity","PE_RATIO"),"")</f>
        <v/>
      </c>
      <c r="K333" s="10">
        <f>IFERROR(BDP(Database!$A333&amp;" HK Equity","A/H_SHARE_CONVERSION"),"")</f>
        <v/>
      </c>
      <c r="L333" s="17">
        <f>IF(Database!BM333="","(none found)",Database!BM333)</f>
        <v/>
      </c>
      <c r="M333" s="19">
        <f>IFERROR(BDH(Database!$A333&amp;" HK Equity","CUR_MKT_CAP",Database!$H333,Database!$H333),"")</f>
        <v/>
      </c>
      <c r="N333" s="180">
        <f>Database!Q333</f>
        <v/>
      </c>
      <c r="O333" s="24">
        <f>IFERROR(BDH(Database!$A333&amp;" HK Equity","PE_RATIO",Database!$H333,Database!$H333),"")</f>
        <v/>
      </c>
      <c r="P333" s="184">
        <f>IF(Database!BG333="","(n/m or not derivable)",Database!BG333)</f>
        <v/>
      </c>
      <c r="Q333" s="24">
        <f>IF(Database!BM333="","",IFERROR(BDH(LEFT(Database!BM333,FIND(".",Database!BM333)-1)&amp;" CH Equity","PE_RATIO",Database!$H333,Database!$H333),""))</f>
        <v/>
      </c>
      <c r="R333" s="24">
        <f>IF(Database!BM333="","",IFERROR(BDH("HSAHP Index","PX_LAST",Database!$H333,Database!$H333),""))</f>
        <v/>
      </c>
      <c r="S333" s="24">
        <f>IFERROR(BDP(Database!$A333&amp;" HK Equity","PX_TO_SALES_RATIO"),"")</f>
        <v/>
      </c>
      <c r="T333" s="19">
        <f>IF(Database!BM333="","",IFERROR(BDP(LEFT(Database!BM333,FIND(".",Database!BM333)-1)&amp;" CH Equity","CUR_MKT_CAP"),""))</f>
        <v/>
      </c>
    </row>
    <row r="334">
      <c r="A334" s="17">
        <f>Database!A334&amp;"  "&amp;Database!B334</f>
        <v/>
      </c>
      <c r="B334" s="10">
        <f>IFERROR(INDEX(BDS(Database!$A334&amp;" HK Equity","EQUITY_OFFERINGS","array=t","endcol=1"),MATCH("IPO",BDS(Database!$A334&amp;" HK Equity","EQUITY_OFFERINGS","array=t","startcol=2","endcol=2"),0)),"")</f>
        <v/>
      </c>
      <c r="C334" s="186">
        <f>IF($B334="","",IFERROR(BDP($B334&amp;" Action","CP036"),""))</f>
        <v/>
      </c>
      <c r="D334" s="187">
        <f>Database!S334</f>
        <v/>
      </c>
      <c r="E334" s="186">
        <f>IF($B334="","",IFERROR(BDP($B334&amp;" Action","CP037"),""))</f>
        <v/>
      </c>
      <c r="F334" s="187">
        <f>Database!T334</f>
        <v/>
      </c>
      <c r="G334" s="186">
        <f>IF($B334="","",IFERROR(BDP($B334&amp;" Action","GREENSHOE_FACILITY"),""))</f>
        <v/>
      </c>
      <c r="H334" s="186">
        <f>IF($B334="","",IFERROR(BDP($B334&amp;" Action","OFFERING_GREENSHOE_SHARES_EX"),""))</f>
        <v/>
      </c>
      <c r="I334" s="17">
        <f>Database!AE334</f>
        <v/>
      </c>
      <c r="J334" s="24">
        <f>IFERROR(BDP(Database!$A334&amp;" HK Equity","PE_RATIO"),"")</f>
        <v/>
      </c>
      <c r="K334" s="10">
        <f>IFERROR(BDP(Database!$A334&amp;" HK Equity","A/H_SHARE_CONVERSION"),"")</f>
        <v/>
      </c>
      <c r="L334" s="17">
        <f>IF(Database!BM334="","(none found)",Database!BM334)</f>
        <v/>
      </c>
      <c r="M334" s="19">
        <f>IFERROR(BDH(Database!$A334&amp;" HK Equity","CUR_MKT_CAP",Database!$H334,Database!$H334),"")</f>
        <v/>
      </c>
      <c r="N334" s="180">
        <f>Database!Q334</f>
        <v/>
      </c>
      <c r="O334" s="24">
        <f>IFERROR(BDH(Database!$A334&amp;" HK Equity","PE_RATIO",Database!$H334,Database!$H334),"")</f>
        <v/>
      </c>
      <c r="P334" s="184">
        <f>IF(Database!BG334="","(n/m or not derivable)",Database!BG334)</f>
        <v/>
      </c>
      <c r="Q334" s="24">
        <f>IF(Database!BM334="","",IFERROR(BDH(LEFT(Database!BM334,FIND(".",Database!BM334)-1)&amp;" CH Equity","PE_RATIO",Database!$H334,Database!$H334),""))</f>
        <v/>
      </c>
      <c r="R334" s="24">
        <f>IF(Database!BM334="","",IFERROR(BDH("HSAHP Index","PX_LAST",Database!$H334,Database!$H334),""))</f>
        <v/>
      </c>
      <c r="S334" s="24">
        <f>IFERROR(BDP(Database!$A334&amp;" HK Equity","PX_TO_SALES_RATIO"),"")</f>
        <v/>
      </c>
      <c r="T334" s="19">
        <f>IF(Database!BM334="","",IFERROR(BDP(LEFT(Database!BM334,FIND(".",Database!BM334)-1)&amp;" CH Equity","CUR_MKT_CAP"),""))</f>
        <v/>
      </c>
    </row>
    <row r="335">
      <c r="A335" s="17">
        <f>Database!A335&amp;"  "&amp;Database!B335</f>
        <v/>
      </c>
      <c r="B335" s="10">
        <f>IFERROR(INDEX(BDS(Database!$A335&amp;" HK Equity","EQUITY_OFFERINGS","array=t","endcol=1"),MATCH("IPO",BDS(Database!$A335&amp;" HK Equity","EQUITY_OFFERINGS","array=t","startcol=2","endcol=2"),0)),"")</f>
        <v/>
      </c>
      <c r="C335" s="186">
        <f>IF($B335="","",IFERROR(BDP($B335&amp;" Action","CP036"),""))</f>
        <v/>
      </c>
      <c r="D335" s="187">
        <f>Database!S335</f>
        <v/>
      </c>
      <c r="E335" s="186">
        <f>IF($B335="","",IFERROR(BDP($B335&amp;" Action","CP037"),""))</f>
        <v/>
      </c>
      <c r="F335" s="187">
        <f>Database!T335</f>
        <v/>
      </c>
      <c r="G335" s="186">
        <f>IF($B335="","",IFERROR(BDP($B335&amp;" Action","GREENSHOE_FACILITY"),""))</f>
        <v/>
      </c>
      <c r="H335" s="186">
        <f>IF($B335="","",IFERROR(BDP($B335&amp;" Action","OFFERING_GREENSHOE_SHARES_EX"),""))</f>
        <v/>
      </c>
      <c r="I335" s="17">
        <f>Database!AE335</f>
        <v/>
      </c>
      <c r="J335" s="24">
        <f>IFERROR(BDP(Database!$A335&amp;" HK Equity","PE_RATIO"),"")</f>
        <v/>
      </c>
      <c r="K335" s="10">
        <f>IFERROR(BDP(Database!$A335&amp;" HK Equity","A/H_SHARE_CONVERSION"),"")</f>
        <v/>
      </c>
      <c r="L335" s="17">
        <f>IF(Database!BM335="","(none found)",Database!BM335)</f>
        <v/>
      </c>
      <c r="M335" s="19">
        <f>IFERROR(BDH(Database!$A335&amp;" HK Equity","CUR_MKT_CAP",Database!$H335,Database!$H335),"")</f>
        <v/>
      </c>
      <c r="N335" s="180">
        <f>Database!Q335</f>
        <v/>
      </c>
      <c r="O335" s="24">
        <f>IFERROR(BDH(Database!$A335&amp;" HK Equity","PE_RATIO",Database!$H335,Database!$H335),"")</f>
        <v/>
      </c>
      <c r="P335" s="184">
        <f>IF(Database!BG335="","(n/m or not derivable)",Database!BG335)</f>
        <v/>
      </c>
      <c r="Q335" s="24">
        <f>IF(Database!BM335="","",IFERROR(BDH(LEFT(Database!BM335,FIND(".",Database!BM335)-1)&amp;" CH Equity","PE_RATIO",Database!$H335,Database!$H335),""))</f>
        <v/>
      </c>
      <c r="R335" s="24">
        <f>IF(Database!BM335="","",IFERROR(BDH("HSAHP Index","PX_LAST",Database!$H335,Database!$H335),""))</f>
        <v/>
      </c>
      <c r="S335" s="24">
        <f>IFERROR(BDP(Database!$A335&amp;" HK Equity","PX_TO_SALES_RATIO"),"")</f>
        <v/>
      </c>
      <c r="T335" s="19">
        <f>IF(Database!BM335="","",IFERROR(BDP(LEFT(Database!BM335,FIND(".",Database!BM335)-1)&amp;" CH Equity","CUR_MKT_CAP"),""))</f>
        <v/>
      </c>
    </row>
    <row r="336">
      <c r="A336" s="17">
        <f>Database!A336&amp;"  "&amp;Database!B336</f>
        <v/>
      </c>
      <c r="B336" s="10">
        <f>IFERROR(INDEX(BDS(Database!$A336&amp;" HK Equity","EQUITY_OFFERINGS","array=t","endcol=1"),MATCH("IPO",BDS(Database!$A336&amp;" HK Equity","EQUITY_OFFERINGS","array=t","startcol=2","endcol=2"),0)),"")</f>
        <v/>
      </c>
      <c r="C336" s="186">
        <f>IF($B336="","",IFERROR(BDP($B336&amp;" Action","CP036"),""))</f>
        <v/>
      </c>
      <c r="D336" s="187">
        <f>Database!S336</f>
        <v/>
      </c>
      <c r="E336" s="186">
        <f>IF($B336="","",IFERROR(BDP($B336&amp;" Action","CP037"),""))</f>
        <v/>
      </c>
      <c r="F336" s="187">
        <f>Database!T336</f>
        <v/>
      </c>
      <c r="G336" s="186">
        <f>IF($B336="","",IFERROR(BDP($B336&amp;" Action","GREENSHOE_FACILITY"),""))</f>
        <v/>
      </c>
      <c r="H336" s="186">
        <f>IF($B336="","",IFERROR(BDP($B336&amp;" Action","OFFERING_GREENSHOE_SHARES_EX"),""))</f>
        <v/>
      </c>
      <c r="I336" s="17">
        <f>Database!AE336</f>
        <v/>
      </c>
      <c r="J336" s="24">
        <f>IFERROR(BDP(Database!$A336&amp;" HK Equity","PE_RATIO"),"")</f>
        <v/>
      </c>
      <c r="K336" s="10">
        <f>IFERROR(BDP(Database!$A336&amp;" HK Equity","A/H_SHARE_CONVERSION"),"")</f>
        <v/>
      </c>
      <c r="L336" s="17">
        <f>IF(Database!BM336="","(none found)",Database!BM336)</f>
        <v/>
      </c>
      <c r="M336" s="19">
        <f>IFERROR(BDH(Database!$A336&amp;" HK Equity","CUR_MKT_CAP",Database!$H336,Database!$H336),"")</f>
        <v/>
      </c>
      <c r="N336" s="180">
        <f>Database!Q336</f>
        <v/>
      </c>
      <c r="O336" s="24">
        <f>IFERROR(BDH(Database!$A336&amp;" HK Equity","PE_RATIO",Database!$H336,Database!$H336),"")</f>
        <v/>
      </c>
      <c r="P336" s="184">
        <f>IF(Database!BG336="","(n/m or not derivable)",Database!BG336)</f>
        <v/>
      </c>
      <c r="Q336" s="24">
        <f>IF(Database!BM336="","",IFERROR(BDH(LEFT(Database!BM336,FIND(".",Database!BM336)-1)&amp;" CH Equity","PE_RATIO",Database!$H336,Database!$H336),""))</f>
        <v/>
      </c>
      <c r="R336" s="24">
        <f>IF(Database!BM336="","",IFERROR(BDH("HSAHP Index","PX_LAST",Database!$H336,Database!$H336),""))</f>
        <v/>
      </c>
      <c r="S336" s="24">
        <f>IFERROR(BDP(Database!$A336&amp;" HK Equity","PX_TO_SALES_RATIO"),"")</f>
        <v/>
      </c>
      <c r="T336" s="19">
        <f>IF(Database!BM336="","",IFERROR(BDP(LEFT(Database!BM336,FIND(".",Database!BM336)-1)&amp;" CH Equity","CUR_MKT_CAP"),""))</f>
        <v/>
      </c>
    </row>
    <row r="337">
      <c r="A337" s="17">
        <f>Database!A337&amp;"  "&amp;Database!B337</f>
        <v/>
      </c>
      <c r="B337" s="10">
        <f>IFERROR(INDEX(BDS(Database!$A337&amp;" HK Equity","EQUITY_OFFERINGS","array=t","endcol=1"),MATCH("IPO",BDS(Database!$A337&amp;" HK Equity","EQUITY_OFFERINGS","array=t","startcol=2","endcol=2"),0)),"")</f>
        <v/>
      </c>
      <c r="C337" s="186">
        <f>IF($B337="","",IFERROR(BDP($B337&amp;" Action","CP036"),""))</f>
        <v/>
      </c>
      <c r="D337" s="187">
        <f>Database!S337</f>
        <v/>
      </c>
      <c r="E337" s="186">
        <f>IF($B337="","",IFERROR(BDP($B337&amp;" Action","CP037"),""))</f>
        <v/>
      </c>
      <c r="F337" s="187">
        <f>Database!T337</f>
        <v/>
      </c>
      <c r="G337" s="186">
        <f>IF($B337="","",IFERROR(BDP($B337&amp;" Action","GREENSHOE_FACILITY"),""))</f>
        <v/>
      </c>
      <c r="H337" s="186">
        <f>IF($B337="","",IFERROR(BDP($B337&amp;" Action","OFFERING_GREENSHOE_SHARES_EX"),""))</f>
        <v/>
      </c>
      <c r="I337" s="17">
        <f>Database!AE337</f>
        <v/>
      </c>
      <c r="J337" s="24">
        <f>IFERROR(BDP(Database!$A337&amp;" HK Equity","PE_RATIO"),"")</f>
        <v/>
      </c>
      <c r="K337" s="10">
        <f>IFERROR(BDP(Database!$A337&amp;" HK Equity","A/H_SHARE_CONVERSION"),"")</f>
        <v/>
      </c>
      <c r="L337" s="17">
        <f>IF(Database!BM337="","(none found)",Database!BM337)</f>
        <v/>
      </c>
      <c r="M337" s="19">
        <f>IFERROR(BDH(Database!$A337&amp;" HK Equity","CUR_MKT_CAP",Database!$H337,Database!$H337),"")</f>
        <v/>
      </c>
      <c r="N337" s="180">
        <f>Database!Q337</f>
        <v/>
      </c>
      <c r="O337" s="24">
        <f>IFERROR(BDH(Database!$A337&amp;" HK Equity","PE_RATIO",Database!$H337,Database!$H337),"")</f>
        <v/>
      </c>
      <c r="P337" s="184">
        <f>IF(Database!BG337="","(n/m or not derivable)",Database!BG337)</f>
        <v/>
      </c>
      <c r="Q337" s="24">
        <f>IF(Database!BM337="","",IFERROR(BDH(LEFT(Database!BM337,FIND(".",Database!BM337)-1)&amp;" CH Equity","PE_RATIO",Database!$H337,Database!$H337),""))</f>
        <v/>
      </c>
      <c r="R337" s="24">
        <f>IF(Database!BM337="","",IFERROR(BDH("HSAHP Index","PX_LAST",Database!$H337,Database!$H337),""))</f>
        <v/>
      </c>
      <c r="S337" s="24">
        <f>IFERROR(BDP(Database!$A337&amp;" HK Equity","PX_TO_SALES_RATIO"),"")</f>
        <v/>
      </c>
      <c r="T337" s="19">
        <f>IF(Database!BM337="","",IFERROR(BDP(LEFT(Database!BM337,FIND(".",Database!BM337)-1)&amp;" CH Equity","CUR_MKT_CAP"),""))</f>
        <v/>
      </c>
    </row>
    <row r="338">
      <c r="A338" s="17">
        <f>Database!A338&amp;"  "&amp;Database!B338</f>
        <v/>
      </c>
      <c r="B338" s="10">
        <f>IFERROR(INDEX(BDS(Database!$A338&amp;" HK Equity","EQUITY_OFFERINGS","array=t","endcol=1"),MATCH("IPO",BDS(Database!$A338&amp;" HK Equity","EQUITY_OFFERINGS","array=t","startcol=2","endcol=2"),0)),"")</f>
        <v/>
      </c>
      <c r="C338" s="186">
        <f>IF($B338="","",IFERROR(BDP($B338&amp;" Action","CP036"),""))</f>
        <v/>
      </c>
      <c r="D338" s="187">
        <f>Database!S338</f>
        <v/>
      </c>
      <c r="E338" s="186">
        <f>IF($B338="","",IFERROR(BDP($B338&amp;" Action","CP037"),""))</f>
        <v/>
      </c>
      <c r="F338" s="187">
        <f>Database!T338</f>
        <v/>
      </c>
      <c r="G338" s="186">
        <f>IF($B338="","",IFERROR(BDP($B338&amp;" Action","GREENSHOE_FACILITY"),""))</f>
        <v/>
      </c>
      <c r="H338" s="186">
        <f>IF($B338="","",IFERROR(BDP($B338&amp;" Action","OFFERING_GREENSHOE_SHARES_EX"),""))</f>
        <v/>
      </c>
      <c r="I338" s="17">
        <f>Database!AE338</f>
        <v/>
      </c>
      <c r="J338" s="24">
        <f>IFERROR(BDP(Database!$A338&amp;" HK Equity","PE_RATIO"),"")</f>
        <v/>
      </c>
      <c r="K338" s="10">
        <f>IFERROR(BDP(Database!$A338&amp;" HK Equity","A/H_SHARE_CONVERSION"),"")</f>
        <v/>
      </c>
      <c r="L338" s="17">
        <f>IF(Database!BM338="","(none found)",Database!BM338)</f>
        <v/>
      </c>
      <c r="M338" s="19">
        <f>IFERROR(BDH(Database!$A338&amp;" HK Equity","CUR_MKT_CAP",Database!$H338,Database!$H338),"")</f>
        <v/>
      </c>
      <c r="N338" s="180">
        <f>Database!Q338</f>
        <v/>
      </c>
      <c r="O338" s="24">
        <f>IFERROR(BDH(Database!$A338&amp;" HK Equity","PE_RATIO",Database!$H338,Database!$H338),"")</f>
        <v/>
      </c>
      <c r="P338" s="184">
        <f>IF(Database!BG338="","(n/m or not derivable)",Database!BG338)</f>
        <v/>
      </c>
      <c r="Q338" s="24">
        <f>IF(Database!BM338="","",IFERROR(BDH(LEFT(Database!BM338,FIND(".",Database!BM338)-1)&amp;" CH Equity","PE_RATIO",Database!$H338,Database!$H338),""))</f>
        <v/>
      </c>
      <c r="R338" s="24">
        <f>IF(Database!BM338="","",IFERROR(BDH("HSAHP Index","PX_LAST",Database!$H338,Database!$H338),""))</f>
        <v/>
      </c>
      <c r="S338" s="24">
        <f>IFERROR(BDP(Database!$A338&amp;" HK Equity","PX_TO_SALES_RATIO"),"")</f>
        <v/>
      </c>
      <c r="T338" s="19">
        <f>IF(Database!BM338="","",IFERROR(BDP(LEFT(Database!BM338,FIND(".",Database!BM338)-1)&amp;" CH Equity","CUR_MKT_CAP"),""))</f>
        <v/>
      </c>
    </row>
    <row r="339">
      <c r="A339" s="17">
        <f>Database!A339&amp;"  "&amp;Database!B339</f>
        <v/>
      </c>
      <c r="B339" s="10">
        <f>IFERROR(INDEX(BDS(Database!$A339&amp;" HK Equity","EQUITY_OFFERINGS","array=t","endcol=1"),MATCH("IPO",BDS(Database!$A339&amp;" HK Equity","EQUITY_OFFERINGS","array=t","startcol=2","endcol=2"),0)),"")</f>
        <v/>
      </c>
      <c r="C339" s="186">
        <f>IF($B339="","",IFERROR(BDP($B339&amp;" Action","CP036"),""))</f>
        <v/>
      </c>
      <c r="D339" s="187">
        <f>Database!S339</f>
        <v/>
      </c>
      <c r="E339" s="186">
        <f>IF($B339="","",IFERROR(BDP($B339&amp;" Action","CP037"),""))</f>
        <v/>
      </c>
      <c r="F339" s="187">
        <f>Database!T339</f>
        <v/>
      </c>
      <c r="G339" s="186">
        <f>IF($B339="","",IFERROR(BDP($B339&amp;" Action","GREENSHOE_FACILITY"),""))</f>
        <v/>
      </c>
      <c r="H339" s="186">
        <f>IF($B339="","",IFERROR(BDP($B339&amp;" Action","OFFERING_GREENSHOE_SHARES_EX"),""))</f>
        <v/>
      </c>
      <c r="I339" s="17">
        <f>Database!AE339</f>
        <v/>
      </c>
      <c r="J339" s="24">
        <f>IFERROR(BDP(Database!$A339&amp;" HK Equity","PE_RATIO"),"")</f>
        <v/>
      </c>
      <c r="K339" s="10">
        <f>IFERROR(BDP(Database!$A339&amp;" HK Equity","A/H_SHARE_CONVERSION"),"")</f>
        <v/>
      </c>
      <c r="L339" s="17">
        <f>IF(Database!BM339="","(none found)",Database!BM339)</f>
        <v/>
      </c>
      <c r="M339" s="19">
        <f>IFERROR(BDH(Database!$A339&amp;" HK Equity","CUR_MKT_CAP",Database!$H339,Database!$H339),"")</f>
        <v/>
      </c>
      <c r="N339" s="180">
        <f>Database!Q339</f>
        <v/>
      </c>
      <c r="O339" s="24">
        <f>IFERROR(BDH(Database!$A339&amp;" HK Equity","PE_RATIO",Database!$H339,Database!$H339),"")</f>
        <v/>
      </c>
      <c r="P339" s="184">
        <f>IF(Database!BG339="","(n/m or not derivable)",Database!BG339)</f>
        <v/>
      </c>
      <c r="Q339" s="24">
        <f>IF(Database!BM339="","",IFERROR(BDH(LEFT(Database!BM339,FIND(".",Database!BM339)-1)&amp;" CH Equity","PE_RATIO",Database!$H339,Database!$H339),""))</f>
        <v/>
      </c>
      <c r="R339" s="24">
        <f>IF(Database!BM339="","",IFERROR(BDH("HSAHP Index","PX_LAST",Database!$H339,Database!$H339),""))</f>
        <v/>
      </c>
      <c r="S339" s="24">
        <f>IFERROR(BDP(Database!$A339&amp;" HK Equity","PX_TO_SALES_RATIO"),"")</f>
        <v/>
      </c>
      <c r="T339" s="19">
        <f>IF(Database!BM339="","",IFERROR(BDP(LEFT(Database!BM339,FIND(".",Database!BM339)-1)&amp;" CH Equity","CUR_MKT_CAP"),""))</f>
        <v/>
      </c>
    </row>
    <row r="340">
      <c r="A340" s="17">
        <f>Database!A340&amp;"  "&amp;Database!B340</f>
        <v/>
      </c>
      <c r="B340" s="10">
        <f>IFERROR(INDEX(BDS(Database!$A340&amp;" HK Equity","EQUITY_OFFERINGS","array=t","endcol=1"),MATCH("IPO",BDS(Database!$A340&amp;" HK Equity","EQUITY_OFFERINGS","array=t","startcol=2","endcol=2"),0)),"")</f>
        <v/>
      </c>
      <c r="C340" s="186">
        <f>IF($B340="","",IFERROR(BDP($B340&amp;" Action","CP036"),""))</f>
        <v/>
      </c>
      <c r="D340" s="187">
        <f>Database!S340</f>
        <v/>
      </c>
      <c r="E340" s="186">
        <f>IF($B340="","",IFERROR(BDP($B340&amp;" Action","CP037"),""))</f>
        <v/>
      </c>
      <c r="F340" s="187">
        <f>Database!T340</f>
        <v/>
      </c>
      <c r="G340" s="186">
        <f>IF($B340="","",IFERROR(BDP($B340&amp;" Action","GREENSHOE_FACILITY"),""))</f>
        <v/>
      </c>
      <c r="H340" s="186">
        <f>IF($B340="","",IFERROR(BDP($B340&amp;" Action","OFFERING_GREENSHOE_SHARES_EX"),""))</f>
        <v/>
      </c>
      <c r="I340" s="17">
        <f>Database!AE340</f>
        <v/>
      </c>
      <c r="J340" s="24">
        <f>IFERROR(BDP(Database!$A340&amp;" HK Equity","PE_RATIO"),"")</f>
        <v/>
      </c>
      <c r="K340" s="10">
        <f>IFERROR(BDP(Database!$A340&amp;" HK Equity","A/H_SHARE_CONVERSION"),"")</f>
        <v/>
      </c>
      <c r="L340" s="17">
        <f>IF(Database!BM340="","(none found)",Database!BM340)</f>
        <v/>
      </c>
      <c r="M340" s="19">
        <f>IFERROR(BDH(Database!$A340&amp;" HK Equity","CUR_MKT_CAP",Database!$H340,Database!$H340),"")</f>
        <v/>
      </c>
      <c r="N340" s="180">
        <f>Database!Q340</f>
        <v/>
      </c>
      <c r="O340" s="24">
        <f>IFERROR(BDH(Database!$A340&amp;" HK Equity","PE_RATIO",Database!$H340,Database!$H340),"")</f>
        <v/>
      </c>
      <c r="P340" s="184">
        <f>IF(Database!BG340="","(n/m or not derivable)",Database!BG340)</f>
        <v/>
      </c>
      <c r="Q340" s="24">
        <f>IF(Database!BM340="","",IFERROR(BDH(LEFT(Database!BM340,FIND(".",Database!BM340)-1)&amp;" CH Equity","PE_RATIO",Database!$H340,Database!$H340),""))</f>
        <v/>
      </c>
      <c r="R340" s="24">
        <f>IF(Database!BM340="","",IFERROR(BDH("HSAHP Index","PX_LAST",Database!$H340,Database!$H340),""))</f>
        <v/>
      </c>
      <c r="S340" s="24">
        <f>IFERROR(BDP(Database!$A340&amp;" HK Equity","PX_TO_SALES_RATIO"),"")</f>
        <v/>
      </c>
      <c r="T340" s="19">
        <f>IF(Database!BM340="","",IFERROR(BDP(LEFT(Database!BM340,FIND(".",Database!BM340)-1)&amp;" CH Equity","CUR_MKT_CAP"),""))</f>
        <v/>
      </c>
    </row>
    <row r="341">
      <c r="A341" s="17">
        <f>Database!A341&amp;"  "&amp;Database!B341</f>
        <v/>
      </c>
      <c r="B341" s="10">
        <f>IFERROR(INDEX(BDS(Database!$A341&amp;" HK Equity","EQUITY_OFFERINGS","array=t","endcol=1"),MATCH("IPO",BDS(Database!$A341&amp;" HK Equity","EQUITY_OFFERINGS","array=t","startcol=2","endcol=2"),0)),"")</f>
        <v/>
      </c>
      <c r="C341" s="186">
        <f>IF($B341="","",IFERROR(BDP($B341&amp;" Action","CP036"),""))</f>
        <v/>
      </c>
      <c r="D341" s="187">
        <f>Database!S341</f>
        <v/>
      </c>
      <c r="E341" s="186">
        <f>IF($B341="","",IFERROR(BDP($B341&amp;" Action","CP037"),""))</f>
        <v/>
      </c>
      <c r="F341" s="187">
        <f>Database!T341</f>
        <v/>
      </c>
      <c r="G341" s="186">
        <f>IF($B341="","",IFERROR(BDP($B341&amp;" Action","GREENSHOE_FACILITY"),""))</f>
        <v/>
      </c>
      <c r="H341" s="186">
        <f>IF($B341="","",IFERROR(BDP($B341&amp;" Action","OFFERING_GREENSHOE_SHARES_EX"),""))</f>
        <v/>
      </c>
      <c r="I341" s="17">
        <f>Database!AE341</f>
        <v/>
      </c>
      <c r="J341" s="24">
        <f>IFERROR(BDP(Database!$A341&amp;" HK Equity","PE_RATIO"),"")</f>
        <v/>
      </c>
      <c r="K341" s="10">
        <f>IFERROR(BDP(Database!$A341&amp;" HK Equity","A/H_SHARE_CONVERSION"),"")</f>
        <v/>
      </c>
      <c r="L341" s="17">
        <f>IF(Database!BM341="","(none found)",Database!BM341)</f>
        <v/>
      </c>
      <c r="M341" s="19">
        <f>IFERROR(BDH(Database!$A341&amp;" HK Equity","CUR_MKT_CAP",Database!$H341,Database!$H341),"")</f>
        <v/>
      </c>
      <c r="N341" s="180">
        <f>Database!Q341</f>
        <v/>
      </c>
      <c r="O341" s="24">
        <f>IFERROR(BDH(Database!$A341&amp;" HK Equity","PE_RATIO",Database!$H341,Database!$H341),"")</f>
        <v/>
      </c>
      <c r="P341" s="184">
        <f>IF(Database!BG341="","(n/m or not derivable)",Database!BG341)</f>
        <v/>
      </c>
      <c r="Q341" s="24">
        <f>IF(Database!BM341="","",IFERROR(BDH(LEFT(Database!BM341,FIND(".",Database!BM341)-1)&amp;" CH Equity","PE_RATIO",Database!$H341,Database!$H341),""))</f>
        <v/>
      </c>
      <c r="R341" s="24">
        <f>IF(Database!BM341="","",IFERROR(BDH("HSAHP Index","PX_LAST",Database!$H341,Database!$H341),""))</f>
        <v/>
      </c>
      <c r="S341" s="24">
        <f>IFERROR(BDP(Database!$A341&amp;" HK Equity","PX_TO_SALES_RATIO"),"")</f>
        <v/>
      </c>
      <c r="T341" s="19">
        <f>IF(Database!BM341="","",IFERROR(BDP(LEFT(Database!BM341,FIND(".",Database!BM341)-1)&amp;" CH Equity","CUR_MKT_CAP"),""))</f>
        <v/>
      </c>
    </row>
    <row r="342">
      <c r="A342" s="17">
        <f>Database!A342&amp;"  "&amp;Database!B342</f>
        <v/>
      </c>
      <c r="B342" s="10">
        <f>IFERROR(INDEX(BDS(Database!$A342&amp;" HK Equity","EQUITY_OFFERINGS","array=t","endcol=1"),MATCH("IPO",BDS(Database!$A342&amp;" HK Equity","EQUITY_OFFERINGS","array=t","startcol=2","endcol=2"),0)),"")</f>
        <v/>
      </c>
      <c r="C342" s="186">
        <f>IF($B342="","",IFERROR(BDP($B342&amp;" Action","CP036"),""))</f>
        <v/>
      </c>
      <c r="D342" s="187">
        <f>Database!S342</f>
        <v/>
      </c>
      <c r="E342" s="186">
        <f>IF($B342="","",IFERROR(BDP($B342&amp;" Action","CP037"),""))</f>
        <v/>
      </c>
      <c r="F342" s="187">
        <f>Database!T342</f>
        <v/>
      </c>
      <c r="G342" s="186">
        <f>IF($B342="","",IFERROR(BDP($B342&amp;" Action","GREENSHOE_FACILITY"),""))</f>
        <v/>
      </c>
      <c r="H342" s="186">
        <f>IF($B342="","",IFERROR(BDP($B342&amp;" Action","OFFERING_GREENSHOE_SHARES_EX"),""))</f>
        <v/>
      </c>
      <c r="I342" s="17">
        <f>Database!AE342</f>
        <v/>
      </c>
      <c r="J342" s="24">
        <f>IFERROR(BDP(Database!$A342&amp;" HK Equity","PE_RATIO"),"")</f>
        <v/>
      </c>
      <c r="K342" s="10">
        <f>IFERROR(BDP(Database!$A342&amp;" HK Equity","A/H_SHARE_CONVERSION"),"")</f>
        <v/>
      </c>
      <c r="L342" s="17">
        <f>IF(Database!BM342="","(none found)",Database!BM342)</f>
        <v/>
      </c>
      <c r="M342" s="19">
        <f>IFERROR(BDH(Database!$A342&amp;" HK Equity","CUR_MKT_CAP",Database!$H342,Database!$H342),"")</f>
        <v/>
      </c>
      <c r="N342" s="180">
        <f>Database!Q342</f>
        <v/>
      </c>
      <c r="O342" s="24">
        <f>IFERROR(BDH(Database!$A342&amp;" HK Equity","PE_RATIO",Database!$H342,Database!$H342),"")</f>
        <v/>
      </c>
      <c r="P342" s="184">
        <f>IF(Database!BG342="","(n/m or not derivable)",Database!BG342)</f>
        <v/>
      </c>
      <c r="Q342" s="24">
        <f>IF(Database!BM342="","",IFERROR(BDH(LEFT(Database!BM342,FIND(".",Database!BM342)-1)&amp;" CH Equity","PE_RATIO",Database!$H342,Database!$H342),""))</f>
        <v/>
      </c>
      <c r="R342" s="24">
        <f>IF(Database!BM342="","",IFERROR(BDH("HSAHP Index","PX_LAST",Database!$H342,Database!$H342),""))</f>
        <v/>
      </c>
      <c r="S342" s="24">
        <f>IFERROR(BDP(Database!$A342&amp;" HK Equity","PX_TO_SALES_RATIO"),"")</f>
        <v/>
      </c>
      <c r="T342" s="19">
        <f>IF(Database!BM342="","",IFERROR(BDP(LEFT(Database!BM342,FIND(".",Database!BM342)-1)&amp;" CH Equity","CUR_MKT_CAP"),""))</f>
        <v/>
      </c>
    </row>
    <row r="343">
      <c r="A343" s="17">
        <f>Database!A343&amp;"  "&amp;Database!B343</f>
        <v/>
      </c>
      <c r="B343" s="10">
        <f>IFERROR(INDEX(BDS(Database!$A343&amp;" HK Equity","EQUITY_OFFERINGS","array=t","endcol=1"),MATCH("IPO",BDS(Database!$A343&amp;" HK Equity","EQUITY_OFFERINGS","array=t","startcol=2","endcol=2"),0)),"")</f>
        <v/>
      </c>
      <c r="C343" s="186">
        <f>IF($B343="","",IFERROR(BDP($B343&amp;" Action","CP036"),""))</f>
        <v/>
      </c>
      <c r="D343" s="187">
        <f>Database!S343</f>
        <v/>
      </c>
      <c r="E343" s="186">
        <f>IF($B343="","",IFERROR(BDP($B343&amp;" Action","CP037"),""))</f>
        <v/>
      </c>
      <c r="F343" s="187">
        <f>Database!T343</f>
        <v/>
      </c>
      <c r="G343" s="186">
        <f>IF($B343="","",IFERROR(BDP($B343&amp;" Action","GREENSHOE_FACILITY"),""))</f>
        <v/>
      </c>
      <c r="H343" s="186">
        <f>IF($B343="","",IFERROR(BDP($B343&amp;" Action","OFFERING_GREENSHOE_SHARES_EX"),""))</f>
        <v/>
      </c>
      <c r="I343" s="17">
        <f>Database!AE343</f>
        <v/>
      </c>
      <c r="J343" s="24">
        <f>IFERROR(BDP(Database!$A343&amp;" HK Equity","PE_RATIO"),"")</f>
        <v/>
      </c>
      <c r="K343" s="10">
        <f>IFERROR(BDP(Database!$A343&amp;" HK Equity","A/H_SHARE_CONVERSION"),"")</f>
        <v/>
      </c>
      <c r="L343" s="17">
        <f>IF(Database!BM343="","(none found)",Database!BM343)</f>
        <v/>
      </c>
      <c r="M343" s="19">
        <f>IFERROR(BDH(Database!$A343&amp;" HK Equity","CUR_MKT_CAP",Database!$H343,Database!$H343),"")</f>
        <v/>
      </c>
      <c r="N343" s="180">
        <f>Database!Q343</f>
        <v/>
      </c>
      <c r="O343" s="24">
        <f>IFERROR(BDH(Database!$A343&amp;" HK Equity","PE_RATIO",Database!$H343,Database!$H343),"")</f>
        <v/>
      </c>
      <c r="P343" s="184">
        <f>IF(Database!BG343="","(n/m or not derivable)",Database!BG343)</f>
        <v/>
      </c>
      <c r="Q343" s="24">
        <f>IF(Database!BM343="","",IFERROR(BDH(LEFT(Database!BM343,FIND(".",Database!BM343)-1)&amp;" CH Equity","PE_RATIO",Database!$H343,Database!$H343),""))</f>
        <v/>
      </c>
      <c r="R343" s="24">
        <f>IF(Database!BM343="","",IFERROR(BDH("HSAHP Index","PX_LAST",Database!$H343,Database!$H343),""))</f>
        <v/>
      </c>
      <c r="S343" s="24">
        <f>IFERROR(BDP(Database!$A343&amp;" HK Equity","PX_TO_SALES_RATIO"),"")</f>
        <v/>
      </c>
      <c r="T343" s="19">
        <f>IF(Database!BM343="","",IFERROR(BDP(LEFT(Database!BM343,FIND(".",Database!BM343)-1)&amp;" CH Equity","CUR_MKT_CAP"),""))</f>
        <v/>
      </c>
    </row>
    <row r="344">
      <c r="A344" s="17">
        <f>Database!A344&amp;"  "&amp;Database!B344</f>
        <v/>
      </c>
      <c r="B344" s="10">
        <f>IFERROR(INDEX(BDS(Database!$A344&amp;" HK Equity","EQUITY_OFFERINGS","array=t","endcol=1"),MATCH("IPO",BDS(Database!$A344&amp;" HK Equity","EQUITY_OFFERINGS","array=t","startcol=2","endcol=2"),0)),"")</f>
        <v/>
      </c>
      <c r="C344" s="186">
        <f>IF($B344="","",IFERROR(BDP($B344&amp;" Action","CP036"),""))</f>
        <v/>
      </c>
      <c r="D344" s="187">
        <f>Database!S344</f>
        <v/>
      </c>
      <c r="E344" s="186">
        <f>IF($B344="","",IFERROR(BDP($B344&amp;" Action","CP037"),""))</f>
        <v/>
      </c>
      <c r="F344" s="187">
        <f>Database!T344</f>
        <v/>
      </c>
      <c r="G344" s="186">
        <f>IF($B344="","",IFERROR(BDP($B344&amp;" Action","GREENSHOE_FACILITY"),""))</f>
        <v/>
      </c>
      <c r="H344" s="186">
        <f>IF($B344="","",IFERROR(BDP($B344&amp;" Action","OFFERING_GREENSHOE_SHARES_EX"),""))</f>
        <v/>
      </c>
      <c r="I344" s="17">
        <f>Database!AE344</f>
        <v/>
      </c>
      <c r="J344" s="24">
        <f>IFERROR(BDP(Database!$A344&amp;" HK Equity","PE_RATIO"),"")</f>
        <v/>
      </c>
      <c r="K344" s="10">
        <f>IFERROR(BDP(Database!$A344&amp;" HK Equity","A/H_SHARE_CONVERSION"),"")</f>
        <v/>
      </c>
      <c r="L344" s="17">
        <f>IF(Database!BM344="","(none found)",Database!BM344)</f>
        <v/>
      </c>
      <c r="M344" s="19">
        <f>IFERROR(BDH(Database!$A344&amp;" HK Equity","CUR_MKT_CAP",Database!$H344,Database!$H344),"")</f>
        <v/>
      </c>
      <c r="N344" s="180">
        <f>Database!Q344</f>
        <v/>
      </c>
      <c r="O344" s="24">
        <f>IFERROR(BDH(Database!$A344&amp;" HK Equity","PE_RATIO",Database!$H344,Database!$H344),"")</f>
        <v/>
      </c>
      <c r="P344" s="184">
        <f>IF(Database!BG344="","(n/m or not derivable)",Database!BG344)</f>
        <v/>
      </c>
      <c r="Q344" s="24">
        <f>IF(Database!BM344="","",IFERROR(BDH(LEFT(Database!BM344,FIND(".",Database!BM344)-1)&amp;" CH Equity","PE_RATIO",Database!$H344,Database!$H344),""))</f>
        <v/>
      </c>
      <c r="R344" s="24">
        <f>IF(Database!BM344="","",IFERROR(BDH("HSAHP Index","PX_LAST",Database!$H344,Database!$H344),""))</f>
        <v/>
      </c>
      <c r="S344" s="24">
        <f>IFERROR(BDP(Database!$A344&amp;" HK Equity","PX_TO_SALES_RATIO"),"")</f>
        <v/>
      </c>
      <c r="T344" s="19">
        <f>IF(Database!BM344="","",IFERROR(BDP(LEFT(Database!BM344,FIND(".",Database!BM344)-1)&amp;" CH Equity","CUR_MKT_CAP"),""))</f>
        <v/>
      </c>
    </row>
    <row r="345">
      <c r="A345" s="17">
        <f>Database!A345&amp;"  "&amp;Database!B345</f>
        <v/>
      </c>
      <c r="B345" s="10">
        <f>IFERROR(INDEX(BDS(Database!$A345&amp;" HK Equity","EQUITY_OFFERINGS","array=t","endcol=1"),MATCH("IPO",BDS(Database!$A345&amp;" HK Equity","EQUITY_OFFERINGS","array=t","startcol=2","endcol=2"),0)),"")</f>
        <v/>
      </c>
      <c r="C345" s="186">
        <f>IF($B345="","",IFERROR(BDP($B345&amp;" Action","CP036"),""))</f>
        <v/>
      </c>
      <c r="D345" s="187">
        <f>Database!S345</f>
        <v/>
      </c>
      <c r="E345" s="186">
        <f>IF($B345="","",IFERROR(BDP($B345&amp;" Action","CP037"),""))</f>
        <v/>
      </c>
      <c r="F345" s="187">
        <f>Database!T345</f>
        <v/>
      </c>
      <c r="G345" s="186">
        <f>IF($B345="","",IFERROR(BDP($B345&amp;" Action","GREENSHOE_FACILITY"),""))</f>
        <v/>
      </c>
      <c r="H345" s="186">
        <f>IF($B345="","",IFERROR(BDP($B345&amp;" Action","OFFERING_GREENSHOE_SHARES_EX"),""))</f>
        <v/>
      </c>
      <c r="I345" s="17">
        <f>Database!AE345</f>
        <v/>
      </c>
      <c r="J345" s="24">
        <f>IFERROR(BDP(Database!$A345&amp;" HK Equity","PE_RATIO"),"")</f>
        <v/>
      </c>
      <c r="K345" s="10">
        <f>IFERROR(BDP(Database!$A345&amp;" HK Equity","A/H_SHARE_CONVERSION"),"")</f>
        <v/>
      </c>
      <c r="L345" s="17">
        <f>IF(Database!BM345="","(none found)",Database!BM345)</f>
        <v/>
      </c>
      <c r="M345" s="19">
        <f>IFERROR(BDH(Database!$A345&amp;" HK Equity","CUR_MKT_CAP",Database!$H345,Database!$H345),"")</f>
        <v/>
      </c>
      <c r="N345" s="180">
        <f>Database!Q345</f>
        <v/>
      </c>
      <c r="O345" s="24">
        <f>IFERROR(BDH(Database!$A345&amp;" HK Equity","PE_RATIO",Database!$H345,Database!$H345),"")</f>
        <v/>
      </c>
      <c r="P345" s="184">
        <f>IF(Database!BG345="","(n/m or not derivable)",Database!BG345)</f>
        <v/>
      </c>
      <c r="Q345" s="24">
        <f>IF(Database!BM345="","",IFERROR(BDH(LEFT(Database!BM345,FIND(".",Database!BM345)-1)&amp;" CH Equity","PE_RATIO",Database!$H345,Database!$H345),""))</f>
        <v/>
      </c>
      <c r="R345" s="24">
        <f>IF(Database!BM345="","",IFERROR(BDH("HSAHP Index","PX_LAST",Database!$H345,Database!$H345),""))</f>
        <v/>
      </c>
      <c r="S345" s="24">
        <f>IFERROR(BDP(Database!$A345&amp;" HK Equity","PX_TO_SALES_RATIO"),"")</f>
        <v/>
      </c>
      <c r="T345" s="19">
        <f>IF(Database!BM345="","",IFERROR(BDP(LEFT(Database!BM345,FIND(".",Database!BM345)-1)&amp;" CH Equity","CUR_MKT_CAP"),""))</f>
        <v/>
      </c>
    </row>
    <row r="346">
      <c r="A346" s="17">
        <f>Database!A346&amp;"  "&amp;Database!B346</f>
        <v/>
      </c>
      <c r="B346" s="10">
        <f>IFERROR(INDEX(BDS(Database!$A346&amp;" HK Equity","EQUITY_OFFERINGS","array=t","endcol=1"),MATCH("IPO",BDS(Database!$A346&amp;" HK Equity","EQUITY_OFFERINGS","array=t","startcol=2","endcol=2"),0)),"")</f>
        <v/>
      </c>
      <c r="C346" s="186">
        <f>IF($B346="","",IFERROR(BDP($B346&amp;" Action","CP036"),""))</f>
        <v/>
      </c>
      <c r="D346" s="187">
        <f>Database!S346</f>
        <v/>
      </c>
      <c r="E346" s="186">
        <f>IF($B346="","",IFERROR(BDP($B346&amp;" Action","CP037"),""))</f>
        <v/>
      </c>
      <c r="F346" s="187">
        <f>Database!T346</f>
        <v/>
      </c>
      <c r="G346" s="186">
        <f>IF($B346="","",IFERROR(BDP($B346&amp;" Action","GREENSHOE_FACILITY"),""))</f>
        <v/>
      </c>
      <c r="H346" s="186">
        <f>IF($B346="","",IFERROR(BDP($B346&amp;" Action","OFFERING_GREENSHOE_SHARES_EX"),""))</f>
        <v/>
      </c>
      <c r="I346" s="17">
        <f>Database!AE346</f>
        <v/>
      </c>
      <c r="J346" s="24">
        <f>IFERROR(BDP(Database!$A346&amp;" HK Equity","PE_RATIO"),"")</f>
        <v/>
      </c>
      <c r="K346" s="10">
        <f>IFERROR(BDP(Database!$A346&amp;" HK Equity","A/H_SHARE_CONVERSION"),"")</f>
        <v/>
      </c>
      <c r="L346" s="17">
        <f>IF(Database!BM346="","(none found)",Database!BM346)</f>
        <v/>
      </c>
      <c r="M346" s="19">
        <f>IFERROR(BDH(Database!$A346&amp;" HK Equity","CUR_MKT_CAP",Database!$H346,Database!$H346),"")</f>
        <v/>
      </c>
      <c r="N346" s="180">
        <f>Database!Q346</f>
        <v/>
      </c>
      <c r="O346" s="24">
        <f>IFERROR(BDH(Database!$A346&amp;" HK Equity","PE_RATIO",Database!$H346,Database!$H346),"")</f>
        <v/>
      </c>
      <c r="P346" s="184">
        <f>IF(Database!BG346="","(n/m or not derivable)",Database!BG346)</f>
        <v/>
      </c>
      <c r="Q346" s="24">
        <f>IF(Database!BM346="","",IFERROR(BDH(LEFT(Database!BM346,FIND(".",Database!BM346)-1)&amp;" CH Equity","PE_RATIO",Database!$H346,Database!$H346),""))</f>
        <v/>
      </c>
      <c r="R346" s="24">
        <f>IF(Database!BM346="","",IFERROR(BDH("HSAHP Index","PX_LAST",Database!$H346,Database!$H346),""))</f>
        <v/>
      </c>
      <c r="S346" s="24">
        <f>IFERROR(BDP(Database!$A346&amp;" HK Equity","PX_TO_SALES_RATIO"),"")</f>
        <v/>
      </c>
      <c r="T346" s="19">
        <f>IF(Database!BM346="","",IFERROR(BDP(LEFT(Database!BM346,FIND(".",Database!BM346)-1)&amp;" CH Equity","CUR_MKT_CAP"),""))</f>
        <v/>
      </c>
    </row>
    <row r="347">
      <c r="A347" s="17">
        <f>Database!A347&amp;"  "&amp;Database!B347</f>
        <v/>
      </c>
      <c r="B347" s="10">
        <f>IFERROR(INDEX(BDS(Database!$A347&amp;" HK Equity","EQUITY_OFFERINGS","array=t","endcol=1"),MATCH("IPO",BDS(Database!$A347&amp;" HK Equity","EQUITY_OFFERINGS","array=t","startcol=2","endcol=2"),0)),"")</f>
        <v/>
      </c>
      <c r="C347" s="186">
        <f>IF($B347="","",IFERROR(BDP($B347&amp;" Action","CP036"),""))</f>
        <v/>
      </c>
      <c r="D347" s="187">
        <f>Database!S347</f>
        <v/>
      </c>
      <c r="E347" s="186">
        <f>IF($B347="","",IFERROR(BDP($B347&amp;" Action","CP037"),""))</f>
        <v/>
      </c>
      <c r="F347" s="187">
        <f>Database!T347</f>
        <v/>
      </c>
      <c r="G347" s="186">
        <f>IF($B347="","",IFERROR(BDP($B347&amp;" Action","GREENSHOE_FACILITY"),""))</f>
        <v/>
      </c>
      <c r="H347" s="186">
        <f>IF($B347="","",IFERROR(BDP($B347&amp;" Action","OFFERING_GREENSHOE_SHARES_EX"),""))</f>
        <v/>
      </c>
      <c r="I347" s="17">
        <f>Database!AE347</f>
        <v/>
      </c>
      <c r="J347" s="24">
        <f>IFERROR(BDP(Database!$A347&amp;" HK Equity","PE_RATIO"),"")</f>
        <v/>
      </c>
      <c r="K347" s="10">
        <f>IFERROR(BDP(Database!$A347&amp;" HK Equity","A/H_SHARE_CONVERSION"),"")</f>
        <v/>
      </c>
      <c r="L347" s="17">
        <f>IF(Database!BM347="","(none found)",Database!BM347)</f>
        <v/>
      </c>
      <c r="M347" s="19">
        <f>IFERROR(BDH(Database!$A347&amp;" HK Equity","CUR_MKT_CAP",Database!$H347,Database!$H347),"")</f>
        <v/>
      </c>
      <c r="N347" s="180">
        <f>Database!Q347</f>
        <v/>
      </c>
      <c r="O347" s="24">
        <f>IFERROR(BDH(Database!$A347&amp;" HK Equity","PE_RATIO",Database!$H347,Database!$H347),"")</f>
        <v/>
      </c>
      <c r="P347" s="184">
        <f>IF(Database!BG347="","(n/m or not derivable)",Database!BG347)</f>
        <v/>
      </c>
      <c r="Q347" s="24">
        <f>IF(Database!BM347="","",IFERROR(BDH(LEFT(Database!BM347,FIND(".",Database!BM347)-1)&amp;" CH Equity","PE_RATIO",Database!$H347,Database!$H347),""))</f>
        <v/>
      </c>
      <c r="R347" s="24">
        <f>IF(Database!BM347="","",IFERROR(BDH("HSAHP Index","PX_LAST",Database!$H347,Database!$H347),""))</f>
        <v/>
      </c>
      <c r="S347" s="24">
        <f>IFERROR(BDP(Database!$A347&amp;" HK Equity","PX_TO_SALES_RATIO"),"")</f>
        <v/>
      </c>
      <c r="T347" s="19">
        <f>IF(Database!BM347="","",IFERROR(BDP(LEFT(Database!BM347,FIND(".",Database!BM347)-1)&amp;" CH Equity","CUR_MKT_CAP"),""))</f>
        <v/>
      </c>
    </row>
    <row r="348">
      <c r="A348" s="17">
        <f>Database!A348&amp;"  "&amp;Database!B348</f>
        <v/>
      </c>
      <c r="B348" s="10">
        <f>IFERROR(INDEX(BDS(Database!$A348&amp;" HK Equity","EQUITY_OFFERINGS","array=t","endcol=1"),MATCH("IPO",BDS(Database!$A348&amp;" HK Equity","EQUITY_OFFERINGS","array=t","startcol=2","endcol=2"),0)),"")</f>
        <v/>
      </c>
      <c r="C348" s="186">
        <f>IF($B348="","",IFERROR(BDP($B348&amp;" Action","CP036"),""))</f>
        <v/>
      </c>
      <c r="D348" s="187">
        <f>Database!S348</f>
        <v/>
      </c>
      <c r="E348" s="186">
        <f>IF($B348="","",IFERROR(BDP($B348&amp;" Action","CP037"),""))</f>
        <v/>
      </c>
      <c r="F348" s="187">
        <f>Database!T348</f>
        <v/>
      </c>
      <c r="G348" s="186">
        <f>IF($B348="","",IFERROR(BDP($B348&amp;" Action","GREENSHOE_FACILITY"),""))</f>
        <v/>
      </c>
      <c r="H348" s="186">
        <f>IF($B348="","",IFERROR(BDP($B348&amp;" Action","OFFERING_GREENSHOE_SHARES_EX"),""))</f>
        <v/>
      </c>
      <c r="I348" s="17">
        <f>Database!AE348</f>
        <v/>
      </c>
      <c r="J348" s="24">
        <f>IFERROR(BDP(Database!$A348&amp;" HK Equity","PE_RATIO"),"")</f>
        <v/>
      </c>
      <c r="K348" s="10">
        <f>IFERROR(BDP(Database!$A348&amp;" HK Equity","A/H_SHARE_CONVERSION"),"")</f>
        <v/>
      </c>
      <c r="L348" s="17">
        <f>IF(Database!BM348="","(none found)",Database!BM348)</f>
        <v/>
      </c>
      <c r="M348" s="19">
        <f>IFERROR(BDH(Database!$A348&amp;" HK Equity","CUR_MKT_CAP",Database!$H348,Database!$H348),"")</f>
        <v/>
      </c>
      <c r="N348" s="180">
        <f>Database!Q348</f>
        <v/>
      </c>
      <c r="O348" s="24">
        <f>IFERROR(BDH(Database!$A348&amp;" HK Equity","PE_RATIO",Database!$H348,Database!$H348),"")</f>
        <v/>
      </c>
      <c r="P348" s="184">
        <f>IF(Database!BG348="","(n/m or not derivable)",Database!BG348)</f>
        <v/>
      </c>
      <c r="Q348" s="24">
        <f>IF(Database!BM348="","",IFERROR(BDH(LEFT(Database!BM348,FIND(".",Database!BM348)-1)&amp;" CH Equity","PE_RATIO",Database!$H348,Database!$H348),""))</f>
        <v/>
      </c>
      <c r="R348" s="24">
        <f>IF(Database!BM348="","",IFERROR(BDH("HSAHP Index","PX_LAST",Database!$H348,Database!$H348),""))</f>
        <v/>
      </c>
      <c r="S348" s="24">
        <f>IFERROR(BDP(Database!$A348&amp;" HK Equity","PX_TO_SALES_RATIO"),"")</f>
        <v/>
      </c>
      <c r="T348" s="19">
        <f>IF(Database!BM348="","",IFERROR(BDP(LEFT(Database!BM348,FIND(".",Database!BM348)-1)&amp;" CH Equity","CUR_MKT_CAP"),""))</f>
        <v/>
      </c>
    </row>
    <row r="349">
      <c r="A349" s="17">
        <f>Database!A349&amp;"  "&amp;Database!B349</f>
        <v/>
      </c>
      <c r="B349" s="10">
        <f>IFERROR(INDEX(BDS(Database!$A349&amp;" HK Equity","EQUITY_OFFERINGS","array=t","endcol=1"),MATCH("IPO",BDS(Database!$A349&amp;" HK Equity","EQUITY_OFFERINGS","array=t","startcol=2","endcol=2"),0)),"")</f>
        <v/>
      </c>
      <c r="C349" s="186">
        <f>IF($B349="","",IFERROR(BDP($B349&amp;" Action","CP036"),""))</f>
        <v/>
      </c>
      <c r="D349" s="187">
        <f>Database!S349</f>
        <v/>
      </c>
      <c r="E349" s="186">
        <f>IF($B349="","",IFERROR(BDP($B349&amp;" Action","CP037"),""))</f>
        <v/>
      </c>
      <c r="F349" s="187">
        <f>Database!T349</f>
        <v/>
      </c>
      <c r="G349" s="186">
        <f>IF($B349="","",IFERROR(BDP($B349&amp;" Action","GREENSHOE_FACILITY"),""))</f>
        <v/>
      </c>
      <c r="H349" s="186">
        <f>IF($B349="","",IFERROR(BDP($B349&amp;" Action","OFFERING_GREENSHOE_SHARES_EX"),""))</f>
        <v/>
      </c>
      <c r="I349" s="17">
        <f>Database!AE349</f>
        <v/>
      </c>
      <c r="J349" s="24">
        <f>IFERROR(BDP(Database!$A349&amp;" HK Equity","PE_RATIO"),"")</f>
        <v/>
      </c>
      <c r="K349" s="10">
        <f>IFERROR(BDP(Database!$A349&amp;" HK Equity","A/H_SHARE_CONVERSION"),"")</f>
        <v/>
      </c>
      <c r="L349" s="17">
        <f>IF(Database!BM349="","(none found)",Database!BM349)</f>
        <v/>
      </c>
      <c r="M349" s="19">
        <f>IFERROR(BDH(Database!$A349&amp;" HK Equity","CUR_MKT_CAP",Database!$H349,Database!$H349),"")</f>
        <v/>
      </c>
      <c r="N349" s="180">
        <f>Database!Q349</f>
        <v/>
      </c>
      <c r="O349" s="24">
        <f>IFERROR(BDH(Database!$A349&amp;" HK Equity","PE_RATIO",Database!$H349,Database!$H349),"")</f>
        <v/>
      </c>
      <c r="P349" s="184">
        <f>IF(Database!BG349="","(n/m or not derivable)",Database!BG349)</f>
        <v/>
      </c>
      <c r="Q349" s="24">
        <f>IF(Database!BM349="","",IFERROR(BDH(LEFT(Database!BM349,FIND(".",Database!BM349)-1)&amp;" CH Equity","PE_RATIO",Database!$H349,Database!$H349),""))</f>
        <v/>
      </c>
      <c r="R349" s="24">
        <f>IF(Database!BM349="","",IFERROR(BDH("HSAHP Index","PX_LAST",Database!$H349,Database!$H349),""))</f>
        <v/>
      </c>
      <c r="S349" s="24">
        <f>IFERROR(BDP(Database!$A349&amp;" HK Equity","PX_TO_SALES_RATIO"),"")</f>
        <v/>
      </c>
      <c r="T349" s="19">
        <f>IF(Database!BM349="","",IFERROR(BDP(LEFT(Database!BM349,FIND(".",Database!BM349)-1)&amp;" CH Equity","CUR_MKT_CAP"),""))</f>
        <v/>
      </c>
    </row>
    <row r="350">
      <c r="A350" s="17">
        <f>Database!A350&amp;"  "&amp;Database!B350</f>
        <v/>
      </c>
      <c r="B350" s="10">
        <f>IFERROR(INDEX(BDS(Database!$A350&amp;" HK Equity","EQUITY_OFFERINGS","array=t","endcol=1"),MATCH("IPO",BDS(Database!$A350&amp;" HK Equity","EQUITY_OFFERINGS","array=t","startcol=2","endcol=2"),0)),"")</f>
        <v/>
      </c>
      <c r="C350" s="186">
        <f>IF($B350="","",IFERROR(BDP($B350&amp;" Action","CP036"),""))</f>
        <v/>
      </c>
      <c r="D350" s="187">
        <f>Database!S350</f>
        <v/>
      </c>
      <c r="E350" s="186">
        <f>IF($B350="","",IFERROR(BDP($B350&amp;" Action","CP037"),""))</f>
        <v/>
      </c>
      <c r="F350" s="187">
        <f>Database!T350</f>
        <v/>
      </c>
      <c r="G350" s="186">
        <f>IF($B350="","",IFERROR(BDP($B350&amp;" Action","GREENSHOE_FACILITY"),""))</f>
        <v/>
      </c>
      <c r="H350" s="186">
        <f>IF($B350="","",IFERROR(BDP($B350&amp;" Action","OFFERING_GREENSHOE_SHARES_EX"),""))</f>
        <v/>
      </c>
      <c r="I350" s="17">
        <f>Database!AE350</f>
        <v/>
      </c>
      <c r="J350" s="24">
        <f>IFERROR(BDP(Database!$A350&amp;" HK Equity","PE_RATIO"),"")</f>
        <v/>
      </c>
      <c r="K350" s="10">
        <f>IFERROR(BDP(Database!$A350&amp;" HK Equity","A/H_SHARE_CONVERSION"),"")</f>
        <v/>
      </c>
      <c r="L350" s="17">
        <f>IF(Database!BM350="","(none found)",Database!BM350)</f>
        <v/>
      </c>
      <c r="M350" s="19">
        <f>IFERROR(BDH(Database!$A350&amp;" HK Equity","CUR_MKT_CAP",Database!$H350,Database!$H350),"")</f>
        <v/>
      </c>
      <c r="N350" s="180">
        <f>Database!Q350</f>
        <v/>
      </c>
      <c r="O350" s="24">
        <f>IFERROR(BDH(Database!$A350&amp;" HK Equity","PE_RATIO",Database!$H350,Database!$H350),"")</f>
        <v/>
      </c>
      <c r="P350" s="184">
        <f>IF(Database!BG350="","(n/m or not derivable)",Database!BG350)</f>
        <v/>
      </c>
      <c r="Q350" s="24">
        <f>IF(Database!BM350="","",IFERROR(BDH(LEFT(Database!BM350,FIND(".",Database!BM350)-1)&amp;" CH Equity","PE_RATIO",Database!$H350,Database!$H350),""))</f>
        <v/>
      </c>
      <c r="R350" s="24">
        <f>IF(Database!BM350="","",IFERROR(BDH("HSAHP Index","PX_LAST",Database!$H350,Database!$H350),""))</f>
        <v/>
      </c>
      <c r="S350" s="24">
        <f>IFERROR(BDP(Database!$A350&amp;" HK Equity","PX_TO_SALES_RATIO"),"")</f>
        <v/>
      </c>
      <c r="T350" s="19">
        <f>IF(Database!BM350="","",IFERROR(BDP(LEFT(Database!BM350,FIND(".",Database!BM350)-1)&amp;" CH Equity","CUR_MKT_CAP"),""))</f>
        <v/>
      </c>
    </row>
    <row r="351">
      <c r="A351" s="17">
        <f>Database!A351&amp;"  "&amp;Database!B351</f>
        <v/>
      </c>
      <c r="B351" s="10">
        <f>IFERROR(INDEX(BDS(Database!$A351&amp;" HK Equity","EQUITY_OFFERINGS","array=t","endcol=1"),MATCH("IPO",BDS(Database!$A351&amp;" HK Equity","EQUITY_OFFERINGS","array=t","startcol=2","endcol=2"),0)),"")</f>
        <v/>
      </c>
      <c r="C351" s="186">
        <f>IF($B351="","",IFERROR(BDP($B351&amp;" Action","CP036"),""))</f>
        <v/>
      </c>
      <c r="D351" s="187">
        <f>Database!S351</f>
        <v/>
      </c>
      <c r="E351" s="186">
        <f>IF($B351="","",IFERROR(BDP($B351&amp;" Action","CP037"),""))</f>
        <v/>
      </c>
      <c r="F351" s="187">
        <f>Database!T351</f>
        <v/>
      </c>
      <c r="G351" s="186">
        <f>IF($B351="","",IFERROR(BDP($B351&amp;" Action","GREENSHOE_FACILITY"),""))</f>
        <v/>
      </c>
      <c r="H351" s="186">
        <f>IF($B351="","",IFERROR(BDP($B351&amp;" Action","OFFERING_GREENSHOE_SHARES_EX"),""))</f>
        <v/>
      </c>
      <c r="I351" s="17">
        <f>Database!AE351</f>
        <v/>
      </c>
      <c r="J351" s="24">
        <f>IFERROR(BDP(Database!$A351&amp;" HK Equity","PE_RATIO"),"")</f>
        <v/>
      </c>
      <c r="K351" s="10">
        <f>IFERROR(BDP(Database!$A351&amp;" HK Equity","A/H_SHARE_CONVERSION"),"")</f>
        <v/>
      </c>
      <c r="L351" s="17">
        <f>IF(Database!BM351="","(none found)",Database!BM351)</f>
        <v/>
      </c>
      <c r="M351" s="19">
        <f>IFERROR(BDH(Database!$A351&amp;" HK Equity","CUR_MKT_CAP",Database!$H351,Database!$H351),"")</f>
        <v/>
      </c>
      <c r="N351" s="180">
        <f>Database!Q351</f>
        <v/>
      </c>
      <c r="O351" s="24">
        <f>IFERROR(BDH(Database!$A351&amp;" HK Equity","PE_RATIO",Database!$H351,Database!$H351),"")</f>
        <v/>
      </c>
      <c r="P351" s="184">
        <f>IF(Database!BG351="","(n/m or not derivable)",Database!BG351)</f>
        <v/>
      </c>
      <c r="Q351" s="24">
        <f>IF(Database!BM351="","",IFERROR(BDH(LEFT(Database!BM351,FIND(".",Database!BM351)-1)&amp;" CH Equity","PE_RATIO",Database!$H351,Database!$H351),""))</f>
        <v/>
      </c>
      <c r="R351" s="24">
        <f>IF(Database!BM351="","",IFERROR(BDH("HSAHP Index","PX_LAST",Database!$H351,Database!$H351),""))</f>
        <v/>
      </c>
      <c r="S351" s="24">
        <f>IFERROR(BDP(Database!$A351&amp;" HK Equity","PX_TO_SALES_RATIO"),"")</f>
        <v/>
      </c>
      <c r="T351" s="19">
        <f>IF(Database!BM351="","",IFERROR(BDP(LEFT(Database!BM351,FIND(".",Database!BM351)-1)&amp;" CH Equity","CUR_MKT_CAP"),""))</f>
        <v/>
      </c>
    </row>
    <row r="352">
      <c r="A352" s="17">
        <f>Database!A352&amp;"  "&amp;Database!B352</f>
        <v/>
      </c>
      <c r="B352" s="10">
        <f>IFERROR(INDEX(BDS(Database!$A352&amp;" HK Equity","EQUITY_OFFERINGS","array=t","endcol=1"),MATCH("IPO",BDS(Database!$A352&amp;" HK Equity","EQUITY_OFFERINGS","array=t","startcol=2","endcol=2"),0)),"")</f>
        <v/>
      </c>
      <c r="C352" s="186">
        <f>IF($B352="","",IFERROR(BDP($B352&amp;" Action","CP036"),""))</f>
        <v/>
      </c>
      <c r="D352" s="187">
        <f>Database!S352</f>
        <v/>
      </c>
      <c r="E352" s="186">
        <f>IF($B352="","",IFERROR(BDP($B352&amp;" Action","CP037"),""))</f>
        <v/>
      </c>
      <c r="F352" s="187">
        <f>Database!T352</f>
        <v/>
      </c>
      <c r="G352" s="186">
        <f>IF($B352="","",IFERROR(BDP($B352&amp;" Action","GREENSHOE_FACILITY"),""))</f>
        <v/>
      </c>
      <c r="H352" s="186">
        <f>IF($B352="","",IFERROR(BDP($B352&amp;" Action","OFFERING_GREENSHOE_SHARES_EX"),""))</f>
        <v/>
      </c>
      <c r="I352" s="17">
        <f>Database!AE352</f>
        <v/>
      </c>
      <c r="J352" s="24">
        <f>IFERROR(BDP(Database!$A352&amp;" HK Equity","PE_RATIO"),"")</f>
        <v/>
      </c>
      <c r="K352" s="10">
        <f>IFERROR(BDP(Database!$A352&amp;" HK Equity","A/H_SHARE_CONVERSION"),"")</f>
        <v/>
      </c>
      <c r="L352" s="17">
        <f>IF(Database!BM352="","(none found)",Database!BM352)</f>
        <v/>
      </c>
      <c r="M352" s="19">
        <f>IFERROR(BDH(Database!$A352&amp;" HK Equity","CUR_MKT_CAP",Database!$H352,Database!$H352),"")</f>
        <v/>
      </c>
      <c r="N352" s="180">
        <f>Database!Q352</f>
        <v/>
      </c>
      <c r="O352" s="24">
        <f>IFERROR(BDH(Database!$A352&amp;" HK Equity","PE_RATIO",Database!$H352,Database!$H352),"")</f>
        <v/>
      </c>
      <c r="P352" s="184">
        <f>IF(Database!BG352="","(n/m or not derivable)",Database!BG352)</f>
        <v/>
      </c>
      <c r="Q352" s="24">
        <f>IF(Database!BM352="","",IFERROR(BDH(LEFT(Database!BM352,FIND(".",Database!BM352)-1)&amp;" CH Equity","PE_RATIO",Database!$H352,Database!$H352),""))</f>
        <v/>
      </c>
      <c r="R352" s="24">
        <f>IF(Database!BM352="","",IFERROR(BDH("HSAHP Index","PX_LAST",Database!$H352,Database!$H352),""))</f>
        <v/>
      </c>
      <c r="S352" s="24">
        <f>IFERROR(BDP(Database!$A352&amp;" HK Equity","PX_TO_SALES_RATIO"),"")</f>
        <v/>
      </c>
      <c r="T352" s="19">
        <f>IF(Database!BM352="","",IFERROR(BDP(LEFT(Database!BM352,FIND(".",Database!BM352)-1)&amp;" CH Equity","CUR_MKT_CAP"),""))</f>
        <v/>
      </c>
    </row>
    <row r="353">
      <c r="A353" s="17">
        <f>Database!A353&amp;"  "&amp;Database!B353</f>
        <v/>
      </c>
      <c r="B353" s="10">
        <f>IFERROR(INDEX(BDS(Database!$A353&amp;" HK Equity","EQUITY_OFFERINGS","array=t","endcol=1"),MATCH("IPO",BDS(Database!$A353&amp;" HK Equity","EQUITY_OFFERINGS","array=t","startcol=2","endcol=2"),0)),"")</f>
        <v/>
      </c>
      <c r="C353" s="186">
        <f>IF($B353="","",IFERROR(BDP($B353&amp;" Action","CP036"),""))</f>
        <v/>
      </c>
      <c r="D353" s="187">
        <f>Database!S353</f>
        <v/>
      </c>
      <c r="E353" s="186">
        <f>IF($B353="","",IFERROR(BDP($B353&amp;" Action","CP037"),""))</f>
        <v/>
      </c>
      <c r="F353" s="187">
        <f>Database!T353</f>
        <v/>
      </c>
      <c r="G353" s="186">
        <f>IF($B353="","",IFERROR(BDP($B353&amp;" Action","GREENSHOE_FACILITY"),""))</f>
        <v/>
      </c>
      <c r="H353" s="186">
        <f>IF($B353="","",IFERROR(BDP($B353&amp;" Action","OFFERING_GREENSHOE_SHARES_EX"),""))</f>
        <v/>
      </c>
      <c r="I353" s="17">
        <f>Database!AE353</f>
        <v/>
      </c>
      <c r="J353" s="24">
        <f>IFERROR(BDP(Database!$A353&amp;" HK Equity","PE_RATIO"),"")</f>
        <v/>
      </c>
      <c r="K353" s="10">
        <f>IFERROR(BDP(Database!$A353&amp;" HK Equity","A/H_SHARE_CONVERSION"),"")</f>
        <v/>
      </c>
      <c r="L353" s="17">
        <f>IF(Database!BM353="","(none found)",Database!BM353)</f>
        <v/>
      </c>
      <c r="M353" s="19">
        <f>IFERROR(BDH(Database!$A353&amp;" HK Equity","CUR_MKT_CAP",Database!$H353,Database!$H353),"")</f>
        <v/>
      </c>
      <c r="N353" s="180">
        <f>Database!Q353</f>
        <v/>
      </c>
      <c r="O353" s="24">
        <f>IFERROR(BDH(Database!$A353&amp;" HK Equity","PE_RATIO",Database!$H353,Database!$H353),"")</f>
        <v/>
      </c>
      <c r="P353" s="184">
        <f>IF(Database!BG353="","(n/m or not derivable)",Database!BG353)</f>
        <v/>
      </c>
      <c r="Q353" s="24">
        <f>IF(Database!BM353="","",IFERROR(BDH(LEFT(Database!BM353,FIND(".",Database!BM353)-1)&amp;" CH Equity","PE_RATIO",Database!$H353,Database!$H353),""))</f>
        <v/>
      </c>
      <c r="R353" s="24">
        <f>IF(Database!BM353="","",IFERROR(BDH("HSAHP Index","PX_LAST",Database!$H353,Database!$H353),""))</f>
        <v/>
      </c>
      <c r="S353" s="24">
        <f>IFERROR(BDP(Database!$A353&amp;" HK Equity","PX_TO_SALES_RATIO"),"")</f>
        <v/>
      </c>
      <c r="T353" s="19">
        <f>IF(Database!BM353="","",IFERROR(BDP(LEFT(Database!BM353,FIND(".",Database!BM353)-1)&amp;" CH Equity","CUR_MKT_CAP"),""))</f>
        <v/>
      </c>
    </row>
    <row r="354">
      <c r="A354" s="17">
        <f>Database!A354&amp;"  "&amp;Database!B354</f>
        <v/>
      </c>
      <c r="B354" s="10">
        <f>IFERROR(INDEX(BDS(Database!$A354&amp;" HK Equity","EQUITY_OFFERINGS","array=t","endcol=1"),MATCH("IPO",BDS(Database!$A354&amp;" HK Equity","EQUITY_OFFERINGS","array=t","startcol=2","endcol=2"),0)),"")</f>
        <v/>
      </c>
      <c r="C354" s="186">
        <f>IF($B354="","",IFERROR(BDP($B354&amp;" Action","CP036"),""))</f>
        <v/>
      </c>
      <c r="D354" s="187">
        <f>Database!S354</f>
        <v/>
      </c>
      <c r="E354" s="186">
        <f>IF($B354="","",IFERROR(BDP($B354&amp;" Action","CP037"),""))</f>
        <v/>
      </c>
      <c r="F354" s="187">
        <f>Database!T354</f>
        <v/>
      </c>
      <c r="G354" s="186">
        <f>IF($B354="","",IFERROR(BDP($B354&amp;" Action","GREENSHOE_FACILITY"),""))</f>
        <v/>
      </c>
      <c r="H354" s="186">
        <f>IF($B354="","",IFERROR(BDP($B354&amp;" Action","OFFERING_GREENSHOE_SHARES_EX"),""))</f>
        <v/>
      </c>
      <c r="I354" s="17">
        <f>Database!AE354</f>
        <v/>
      </c>
      <c r="J354" s="24">
        <f>IFERROR(BDP(Database!$A354&amp;" HK Equity","PE_RATIO"),"")</f>
        <v/>
      </c>
      <c r="K354" s="10">
        <f>IFERROR(BDP(Database!$A354&amp;" HK Equity","A/H_SHARE_CONVERSION"),"")</f>
        <v/>
      </c>
      <c r="L354" s="17">
        <f>IF(Database!BM354="","(none found)",Database!BM354)</f>
        <v/>
      </c>
      <c r="M354" s="19">
        <f>IFERROR(BDH(Database!$A354&amp;" HK Equity","CUR_MKT_CAP",Database!$H354,Database!$H354),"")</f>
        <v/>
      </c>
      <c r="N354" s="180">
        <f>Database!Q354</f>
        <v/>
      </c>
      <c r="O354" s="24">
        <f>IFERROR(BDH(Database!$A354&amp;" HK Equity","PE_RATIO",Database!$H354,Database!$H354),"")</f>
        <v/>
      </c>
      <c r="P354" s="184">
        <f>IF(Database!BG354="","(n/m or not derivable)",Database!BG354)</f>
        <v/>
      </c>
      <c r="Q354" s="24">
        <f>IF(Database!BM354="","",IFERROR(BDH(LEFT(Database!BM354,FIND(".",Database!BM354)-1)&amp;" CH Equity","PE_RATIO",Database!$H354,Database!$H354),""))</f>
        <v/>
      </c>
      <c r="R354" s="24">
        <f>IF(Database!BM354="","",IFERROR(BDH("HSAHP Index","PX_LAST",Database!$H354,Database!$H354),""))</f>
        <v/>
      </c>
      <c r="S354" s="24">
        <f>IFERROR(BDP(Database!$A354&amp;" HK Equity","PX_TO_SALES_RATIO"),"")</f>
        <v/>
      </c>
      <c r="T354" s="19">
        <f>IF(Database!BM354="","",IFERROR(BDP(LEFT(Database!BM354,FIND(".",Database!BM354)-1)&amp;" CH Equity","CUR_MKT_CAP"),""))</f>
        <v/>
      </c>
    </row>
    <row r="355">
      <c r="A355" s="17">
        <f>Database!A355&amp;"  "&amp;Database!B355</f>
        <v/>
      </c>
      <c r="B355" s="10">
        <f>IFERROR(INDEX(BDS(Database!$A355&amp;" HK Equity","EQUITY_OFFERINGS","array=t","endcol=1"),MATCH("IPO",BDS(Database!$A355&amp;" HK Equity","EQUITY_OFFERINGS","array=t","startcol=2","endcol=2"),0)),"")</f>
        <v/>
      </c>
      <c r="C355" s="186">
        <f>IF($B355="","",IFERROR(BDP($B355&amp;" Action","CP036"),""))</f>
        <v/>
      </c>
      <c r="D355" s="187">
        <f>Database!S355</f>
        <v/>
      </c>
      <c r="E355" s="186">
        <f>IF($B355="","",IFERROR(BDP($B355&amp;" Action","CP037"),""))</f>
        <v/>
      </c>
      <c r="F355" s="187">
        <f>Database!T355</f>
        <v/>
      </c>
      <c r="G355" s="186">
        <f>IF($B355="","",IFERROR(BDP($B355&amp;" Action","GREENSHOE_FACILITY"),""))</f>
        <v/>
      </c>
      <c r="H355" s="186">
        <f>IF($B355="","",IFERROR(BDP($B355&amp;" Action","OFFERING_GREENSHOE_SHARES_EX"),""))</f>
        <v/>
      </c>
      <c r="I355" s="17">
        <f>Database!AE355</f>
        <v/>
      </c>
      <c r="J355" s="24">
        <f>IFERROR(BDP(Database!$A355&amp;" HK Equity","PE_RATIO"),"")</f>
        <v/>
      </c>
      <c r="K355" s="10">
        <f>IFERROR(BDP(Database!$A355&amp;" HK Equity","A/H_SHARE_CONVERSION"),"")</f>
        <v/>
      </c>
      <c r="L355" s="17">
        <f>IF(Database!BM355="","(none found)",Database!BM355)</f>
        <v/>
      </c>
      <c r="M355" s="19">
        <f>IFERROR(BDH(Database!$A355&amp;" HK Equity","CUR_MKT_CAP",Database!$H355,Database!$H355),"")</f>
        <v/>
      </c>
      <c r="N355" s="180">
        <f>Database!Q355</f>
        <v/>
      </c>
      <c r="O355" s="24">
        <f>IFERROR(BDH(Database!$A355&amp;" HK Equity","PE_RATIO",Database!$H355,Database!$H355),"")</f>
        <v/>
      </c>
      <c r="P355" s="184">
        <f>IF(Database!BG355="","(n/m or not derivable)",Database!BG355)</f>
        <v/>
      </c>
      <c r="Q355" s="24">
        <f>IF(Database!BM355="","",IFERROR(BDH(LEFT(Database!BM355,FIND(".",Database!BM355)-1)&amp;" CH Equity","PE_RATIO",Database!$H355,Database!$H355),""))</f>
        <v/>
      </c>
      <c r="R355" s="24">
        <f>IF(Database!BM355="","",IFERROR(BDH("HSAHP Index","PX_LAST",Database!$H355,Database!$H355),""))</f>
        <v/>
      </c>
      <c r="S355" s="24">
        <f>IFERROR(BDP(Database!$A355&amp;" HK Equity","PX_TO_SALES_RATIO"),"")</f>
        <v/>
      </c>
      <c r="T355" s="19">
        <f>IF(Database!BM355="","",IFERROR(BDP(LEFT(Database!BM355,FIND(".",Database!BM355)-1)&amp;" CH Equity","CUR_MKT_CAP"),""))</f>
        <v/>
      </c>
    </row>
    <row r="356">
      <c r="A356" s="17">
        <f>Database!A356&amp;"  "&amp;Database!B356</f>
        <v/>
      </c>
      <c r="B356" s="10">
        <f>IFERROR(INDEX(BDS(Database!$A356&amp;" HK Equity","EQUITY_OFFERINGS","array=t","endcol=1"),MATCH("IPO",BDS(Database!$A356&amp;" HK Equity","EQUITY_OFFERINGS","array=t","startcol=2","endcol=2"),0)),"")</f>
        <v/>
      </c>
      <c r="C356" s="186">
        <f>IF($B356="","",IFERROR(BDP($B356&amp;" Action","CP036"),""))</f>
        <v/>
      </c>
      <c r="D356" s="187">
        <f>Database!S356</f>
        <v/>
      </c>
      <c r="E356" s="186">
        <f>IF($B356="","",IFERROR(BDP($B356&amp;" Action","CP037"),""))</f>
        <v/>
      </c>
      <c r="F356" s="187">
        <f>Database!T356</f>
        <v/>
      </c>
      <c r="G356" s="186">
        <f>IF($B356="","",IFERROR(BDP($B356&amp;" Action","GREENSHOE_FACILITY"),""))</f>
        <v/>
      </c>
      <c r="H356" s="186">
        <f>IF($B356="","",IFERROR(BDP($B356&amp;" Action","OFFERING_GREENSHOE_SHARES_EX"),""))</f>
        <v/>
      </c>
      <c r="I356" s="17">
        <f>Database!AE356</f>
        <v/>
      </c>
      <c r="J356" s="24">
        <f>IFERROR(BDP(Database!$A356&amp;" HK Equity","PE_RATIO"),"")</f>
        <v/>
      </c>
      <c r="K356" s="10">
        <f>IFERROR(BDP(Database!$A356&amp;" HK Equity","A/H_SHARE_CONVERSION"),"")</f>
        <v/>
      </c>
      <c r="L356" s="17">
        <f>IF(Database!BM356="","(none found)",Database!BM356)</f>
        <v/>
      </c>
      <c r="M356" s="19">
        <f>IFERROR(BDH(Database!$A356&amp;" HK Equity","CUR_MKT_CAP",Database!$H356,Database!$H356),"")</f>
        <v/>
      </c>
      <c r="N356" s="180">
        <f>Database!Q356</f>
        <v/>
      </c>
      <c r="O356" s="24">
        <f>IFERROR(BDH(Database!$A356&amp;" HK Equity","PE_RATIO",Database!$H356,Database!$H356),"")</f>
        <v/>
      </c>
      <c r="P356" s="184">
        <f>IF(Database!BG356="","(n/m or not derivable)",Database!BG356)</f>
        <v/>
      </c>
      <c r="Q356" s="24">
        <f>IF(Database!BM356="","",IFERROR(BDH(LEFT(Database!BM356,FIND(".",Database!BM356)-1)&amp;" CH Equity","PE_RATIO",Database!$H356,Database!$H356),""))</f>
        <v/>
      </c>
      <c r="R356" s="24">
        <f>IF(Database!BM356="","",IFERROR(BDH("HSAHP Index","PX_LAST",Database!$H356,Database!$H356),""))</f>
        <v/>
      </c>
      <c r="S356" s="24">
        <f>IFERROR(BDP(Database!$A356&amp;" HK Equity","PX_TO_SALES_RATIO"),"")</f>
        <v/>
      </c>
      <c r="T356" s="19">
        <f>IF(Database!BM356="","",IFERROR(BDP(LEFT(Database!BM356,FIND(".",Database!BM356)-1)&amp;" CH Equity","CUR_MKT_CAP"),""))</f>
        <v/>
      </c>
    </row>
    <row r="357">
      <c r="A357" s="17">
        <f>Database!A357&amp;"  "&amp;Database!B357</f>
        <v/>
      </c>
      <c r="B357" s="10">
        <f>IFERROR(INDEX(BDS(Database!$A357&amp;" HK Equity","EQUITY_OFFERINGS","array=t","endcol=1"),MATCH("IPO",BDS(Database!$A357&amp;" HK Equity","EQUITY_OFFERINGS","array=t","startcol=2","endcol=2"),0)),"")</f>
        <v/>
      </c>
      <c r="C357" s="186">
        <f>IF($B357="","",IFERROR(BDP($B357&amp;" Action","CP036"),""))</f>
        <v/>
      </c>
      <c r="D357" s="187">
        <f>Database!S357</f>
        <v/>
      </c>
      <c r="E357" s="186">
        <f>IF($B357="","",IFERROR(BDP($B357&amp;" Action","CP037"),""))</f>
        <v/>
      </c>
      <c r="F357" s="187">
        <f>Database!T357</f>
        <v/>
      </c>
      <c r="G357" s="186">
        <f>IF($B357="","",IFERROR(BDP($B357&amp;" Action","GREENSHOE_FACILITY"),""))</f>
        <v/>
      </c>
      <c r="H357" s="186">
        <f>IF($B357="","",IFERROR(BDP($B357&amp;" Action","OFFERING_GREENSHOE_SHARES_EX"),""))</f>
        <v/>
      </c>
      <c r="I357" s="17">
        <f>Database!AE357</f>
        <v/>
      </c>
      <c r="J357" s="24">
        <f>IFERROR(BDP(Database!$A357&amp;" HK Equity","PE_RATIO"),"")</f>
        <v/>
      </c>
      <c r="K357" s="10">
        <f>IFERROR(BDP(Database!$A357&amp;" HK Equity","A/H_SHARE_CONVERSION"),"")</f>
        <v/>
      </c>
      <c r="L357" s="17">
        <f>IF(Database!BM357="","(none found)",Database!BM357)</f>
        <v/>
      </c>
      <c r="M357" s="19">
        <f>IFERROR(BDH(Database!$A357&amp;" HK Equity","CUR_MKT_CAP",Database!$H357,Database!$H357),"")</f>
        <v/>
      </c>
      <c r="N357" s="180">
        <f>Database!Q357</f>
        <v/>
      </c>
      <c r="O357" s="24">
        <f>IFERROR(BDH(Database!$A357&amp;" HK Equity","PE_RATIO",Database!$H357,Database!$H357),"")</f>
        <v/>
      </c>
      <c r="P357" s="184">
        <f>IF(Database!BG357="","(n/m or not derivable)",Database!BG357)</f>
        <v/>
      </c>
      <c r="Q357" s="24">
        <f>IF(Database!BM357="","",IFERROR(BDH(LEFT(Database!BM357,FIND(".",Database!BM357)-1)&amp;" CH Equity","PE_RATIO",Database!$H357,Database!$H357),""))</f>
        <v/>
      </c>
      <c r="R357" s="24">
        <f>IF(Database!BM357="","",IFERROR(BDH("HSAHP Index","PX_LAST",Database!$H357,Database!$H357),""))</f>
        <v/>
      </c>
      <c r="S357" s="24">
        <f>IFERROR(BDP(Database!$A357&amp;" HK Equity","PX_TO_SALES_RATIO"),"")</f>
        <v/>
      </c>
      <c r="T357" s="19">
        <f>IF(Database!BM357="","",IFERROR(BDP(LEFT(Database!BM357,FIND(".",Database!BM357)-1)&amp;" CH Equity","CUR_MKT_CAP"),""))</f>
        <v/>
      </c>
    </row>
    <row r="358">
      <c r="A358" s="17">
        <f>Database!A358&amp;"  "&amp;Database!B358</f>
        <v/>
      </c>
      <c r="B358" s="10">
        <f>IFERROR(INDEX(BDS(Database!$A358&amp;" HK Equity","EQUITY_OFFERINGS","array=t","endcol=1"),MATCH("IPO",BDS(Database!$A358&amp;" HK Equity","EQUITY_OFFERINGS","array=t","startcol=2","endcol=2"),0)),"")</f>
        <v/>
      </c>
      <c r="C358" s="186">
        <f>IF($B358="","",IFERROR(BDP($B358&amp;" Action","CP036"),""))</f>
        <v/>
      </c>
      <c r="D358" s="187">
        <f>Database!S358</f>
        <v/>
      </c>
      <c r="E358" s="186">
        <f>IF($B358="","",IFERROR(BDP($B358&amp;" Action","CP037"),""))</f>
        <v/>
      </c>
      <c r="F358" s="187">
        <f>Database!T358</f>
        <v/>
      </c>
      <c r="G358" s="186">
        <f>IF($B358="","",IFERROR(BDP($B358&amp;" Action","GREENSHOE_FACILITY"),""))</f>
        <v/>
      </c>
      <c r="H358" s="186">
        <f>IF($B358="","",IFERROR(BDP($B358&amp;" Action","OFFERING_GREENSHOE_SHARES_EX"),""))</f>
        <v/>
      </c>
      <c r="I358" s="17">
        <f>Database!AE358</f>
        <v/>
      </c>
      <c r="J358" s="24">
        <f>IFERROR(BDP(Database!$A358&amp;" HK Equity","PE_RATIO"),"")</f>
        <v/>
      </c>
      <c r="K358" s="10">
        <f>IFERROR(BDP(Database!$A358&amp;" HK Equity","A/H_SHARE_CONVERSION"),"")</f>
        <v/>
      </c>
      <c r="L358" s="17">
        <f>IF(Database!BM358="","(none found)",Database!BM358)</f>
        <v/>
      </c>
      <c r="M358" s="19">
        <f>IFERROR(BDH(Database!$A358&amp;" HK Equity","CUR_MKT_CAP",Database!$H358,Database!$H358),"")</f>
        <v/>
      </c>
      <c r="N358" s="180">
        <f>Database!Q358</f>
        <v/>
      </c>
      <c r="O358" s="24">
        <f>IFERROR(BDH(Database!$A358&amp;" HK Equity","PE_RATIO",Database!$H358,Database!$H358),"")</f>
        <v/>
      </c>
      <c r="P358" s="184">
        <f>IF(Database!BG358="","(n/m or not derivable)",Database!BG358)</f>
        <v/>
      </c>
      <c r="Q358" s="24">
        <f>IF(Database!BM358="","",IFERROR(BDH(LEFT(Database!BM358,FIND(".",Database!BM358)-1)&amp;" CH Equity","PE_RATIO",Database!$H358,Database!$H358),""))</f>
        <v/>
      </c>
      <c r="R358" s="24">
        <f>IF(Database!BM358="","",IFERROR(BDH("HSAHP Index","PX_LAST",Database!$H358,Database!$H358),""))</f>
        <v/>
      </c>
      <c r="S358" s="24">
        <f>IFERROR(BDP(Database!$A358&amp;" HK Equity","PX_TO_SALES_RATIO"),"")</f>
        <v/>
      </c>
      <c r="T358" s="19">
        <f>IF(Database!BM358="","",IFERROR(BDP(LEFT(Database!BM358,FIND(".",Database!BM358)-1)&amp;" CH Equity","CUR_MKT_CAP"),""))</f>
        <v/>
      </c>
    </row>
    <row r="359">
      <c r="A359" s="17">
        <f>Database!A359&amp;"  "&amp;Database!B359</f>
        <v/>
      </c>
      <c r="B359" s="10">
        <f>IFERROR(INDEX(BDS(Database!$A359&amp;" HK Equity","EQUITY_OFFERINGS","array=t","endcol=1"),MATCH("IPO",BDS(Database!$A359&amp;" HK Equity","EQUITY_OFFERINGS","array=t","startcol=2","endcol=2"),0)),"")</f>
        <v/>
      </c>
      <c r="C359" s="186">
        <f>IF($B359="","",IFERROR(BDP($B359&amp;" Action","CP036"),""))</f>
        <v/>
      </c>
      <c r="D359" s="187">
        <f>Database!S359</f>
        <v/>
      </c>
      <c r="E359" s="186">
        <f>IF($B359="","",IFERROR(BDP($B359&amp;" Action","CP037"),""))</f>
        <v/>
      </c>
      <c r="F359" s="187">
        <f>Database!T359</f>
        <v/>
      </c>
      <c r="G359" s="186">
        <f>IF($B359="","",IFERROR(BDP($B359&amp;" Action","GREENSHOE_FACILITY"),""))</f>
        <v/>
      </c>
      <c r="H359" s="186">
        <f>IF($B359="","",IFERROR(BDP($B359&amp;" Action","OFFERING_GREENSHOE_SHARES_EX"),""))</f>
        <v/>
      </c>
      <c r="I359" s="17">
        <f>Database!AE359</f>
        <v/>
      </c>
      <c r="J359" s="24">
        <f>IFERROR(BDP(Database!$A359&amp;" HK Equity","PE_RATIO"),"")</f>
        <v/>
      </c>
      <c r="K359" s="10">
        <f>IFERROR(BDP(Database!$A359&amp;" HK Equity","A/H_SHARE_CONVERSION"),"")</f>
        <v/>
      </c>
      <c r="L359" s="17">
        <f>IF(Database!BM359="","(none found)",Database!BM359)</f>
        <v/>
      </c>
      <c r="M359" s="19">
        <f>IFERROR(BDH(Database!$A359&amp;" HK Equity","CUR_MKT_CAP",Database!$H359,Database!$H359),"")</f>
        <v/>
      </c>
      <c r="N359" s="180">
        <f>Database!Q359</f>
        <v/>
      </c>
      <c r="O359" s="24">
        <f>IFERROR(BDH(Database!$A359&amp;" HK Equity","PE_RATIO",Database!$H359,Database!$H359),"")</f>
        <v/>
      </c>
      <c r="P359" s="184">
        <f>IF(Database!BG359="","(n/m or not derivable)",Database!BG359)</f>
        <v/>
      </c>
      <c r="Q359" s="24">
        <f>IF(Database!BM359="","",IFERROR(BDH(LEFT(Database!BM359,FIND(".",Database!BM359)-1)&amp;" CH Equity","PE_RATIO",Database!$H359,Database!$H359),""))</f>
        <v/>
      </c>
      <c r="R359" s="24">
        <f>IF(Database!BM359="","",IFERROR(BDH("HSAHP Index","PX_LAST",Database!$H359,Database!$H359),""))</f>
        <v/>
      </c>
      <c r="S359" s="24">
        <f>IFERROR(BDP(Database!$A359&amp;" HK Equity","PX_TO_SALES_RATIO"),"")</f>
        <v/>
      </c>
      <c r="T359" s="19">
        <f>IF(Database!BM359="","",IFERROR(BDP(LEFT(Database!BM359,FIND(".",Database!BM359)-1)&amp;" CH Equity","CUR_MKT_CAP"),""))</f>
        <v/>
      </c>
    </row>
    <row r="360">
      <c r="A360" s="17">
        <f>Database!A360&amp;"  "&amp;Database!B360</f>
        <v/>
      </c>
      <c r="B360" s="10">
        <f>IFERROR(INDEX(BDS(Database!$A360&amp;" HK Equity","EQUITY_OFFERINGS","array=t","endcol=1"),MATCH("IPO",BDS(Database!$A360&amp;" HK Equity","EQUITY_OFFERINGS","array=t","startcol=2","endcol=2"),0)),"")</f>
        <v/>
      </c>
      <c r="C360" s="186">
        <f>IF($B360="","",IFERROR(BDP($B360&amp;" Action","CP036"),""))</f>
        <v/>
      </c>
      <c r="D360" s="187">
        <f>Database!S360</f>
        <v/>
      </c>
      <c r="E360" s="186">
        <f>IF($B360="","",IFERROR(BDP($B360&amp;" Action","CP037"),""))</f>
        <v/>
      </c>
      <c r="F360" s="187">
        <f>Database!T360</f>
        <v/>
      </c>
      <c r="G360" s="186">
        <f>IF($B360="","",IFERROR(BDP($B360&amp;" Action","GREENSHOE_FACILITY"),""))</f>
        <v/>
      </c>
      <c r="H360" s="186">
        <f>IF($B360="","",IFERROR(BDP($B360&amp;" Action","OFFERING_GREENSHOE_SHARES_EX"),""))</f>
        <v/>
      </c>
      <c r="I360" s="17">
        <f>Database!AE360</f>
        <v/>
      </c>
      <c r="J360" s="24">
        <f>IFERROR(BDP(Database!$A360&amp;" HK Equity","PE_RATIO"),"")</f>
        <v/>
      </c>
      <c r="K360" s="10">
        <f>IFERROR(BDP(Database!$A360&amp;" HK Equity","A/H_SHARE_CONVERSION"),"")</f>
        <v/>
      </c>
      <c r="L360" s="17">
        <f>IF(Database!BM360="","(none found)",Database!BM360)</f>
        <v/>
      </c>
      <c r="M360" s="19">
        <f>IFERROR(BDH(Database!$A360&amp;" HK Equity","CUR_MKT_CAP",Database!$H360,Database!$H360),"")</f>
        <v/>
      </c>
      <c r="N360" s="180">
        <f>Database!Q360</f>
        <v/>
      </c>
      <c r="O360" s="24">
        <f>IFERROR(BDH(Database!$A360&amp;" HK Equity","PE_RATIO",Database!$H360,Database!$H360),"")</f>
        <v/>
      </c>
      <c r="P360" s="184">
        <f>IF(Database!BG360="","(n/m or not derivable)",Database!BG360)</f>
        <v/>
      </c>
      <c r="Q360" s="24">
        <f>IF(Database!BM360="","",IFERROR(BDH(LEFT(Database!BM360,FIND(".",Database!BM360)-1)&amp;" CH Equity","PE_RATIO",Database!$H360,Database!$H360),""))</f>
        <v/>
      </c>
      <c r="R360" s="24">
        <f>IF(Database!BM360="","",IFERROR(BDH("HSAHP Index","PX_LAST",Database!$H360,Database!$H360),""))</f>
        <v/>
      </c>
      <c r="S360" s="24">
        <f>IFERROR(BDP(Database!$A360&amp;" HK Equity","PX_TO_SALES_RATIO"),"")</f>
        <v/>
      </c>
      <c r="T360" s="19">
        <f>IF(Database!BM360="","",IFERROR(BDP(LEFT(Database!BM360,FIND(".",Database!BM360)-1)&amp;" CH Equity","CUR_MKT_CAP"),""))</f>
        <v/>
      </c>
    </row>
    <row r="361">
      <c r="A361" s="17">
        <f>Database!A361&amp;"  "&amp;Database!B361</f>
        <v/>
      </c>
      <c r="B361" s="10">
        <f>IFERROR(INDEX(BDS(Database!$A361&amp;" HK Equity","EQUITY_OFFERINGS","array=t","endcol=1"),MATCH("IPO",BDS(Database!$A361&amp;" HK Equity","EQUITY_OFFERINGS","array=t","startcol=2","endcol=2"),0)),"")</f>
        <v/>
      </c>
      <c r="C361" s="186">
        <f>IF($B361="","",IFERROR(BDP($B361&amp;" Action","CP036"),""))</f>
        <v/>
      </c>
      <c r="D361" s="187">
        <f>Database!S361</f>
        <v/>
      </c>
      <c r="E361" s="186">
        <f>IF($B361="","",IFERROR(BDP($B361&amp;" Action","CP037"),""))</f>
        <v/>
      </c>
      <c r="F361" s="187">
        <f>Database!T361</f>
        <v/>
      </c>
      <c r="G361" s="186">
        <f>IF($B361="","",IFERROR(BDP($B361&amp;" Action","GREENSHOE_FACILITY"),""))</f>
        <v/>
      </c>
      <c r="H361" s="186">
        <f>IF($B361="","",IFERROR(BDP($B361&amp;" Action","OFFERING_GREENSHOE_SHARES_EX"),""))</f>
        <v/>
      </c>
      <c r="I361" s="17">
        <f>Database!AE361</f>
        <v/>
      </c>
      <c r="J361" s="24">
        <f>IFERROR(BDP(Database!$A361&amp;" HK Equity","PE_RATIO"),"")</f>
        <v/>
      </c>
      <c r="K361" s="10">
        <f>IFERROR(BDP(Database!$A361&amp;" HK Equity","A/H_SHARE_CONVERSION"),"")</f>
        <v/>
      </c>
      <c r="L361" s="17">
        <f>IF(Database!BM361="","(none found)",Database!BM361)</f>
        <v/>
      </c>
      <c r="M361" s="19">
        <f>IFERROR(BDH(Database!$A361&amp;" HK Equity","CUR_MKT_CAP",Database!$H361,Database!$H361),"")</f>
        <v/>
      </c>
      <c r="N361" s="180">
        <f>Database!Q361</f>
        <v/>
      </c>
      <c r="O361" s="24">
        <f>IFERROR(BDH(Database!$A361&amp;" HK Equity","PE_RATIO",Database!$H361,Database!$H361),"")</f>
        <v/>
      </c>
      <c r="P361" s="184">
        <f>IF(Database!BG361="","(n/m or not derivable)",Database!BG361)</f>
        <v/>
      </c>
      <c r="Q361" s="24">
        <f>IF(Database!BM361="","",IFERROR(BDH(LEFT(Database!BM361,FIND(".",Database!BM361)-1)&amp;" CH Equity","PE_RATIO",Database!$H361,Database!$H361),""))</f>
        <v/>
      </c>
      <c r="R361" s="24">
        <f>IF(Database!BM361="","",IFERROR(BDH("HSAHP Index","PX_LAST",Database!$H361,Database!$H361),""))</f>
        <v/>
      </c>
      <c r="S361" s="24">
        <f>IFERROR(BDP(Database!$A361&amp;" HK Equity","PX_TO_SALES_RATIO"),"")</f>
        <v/>
      </c>
      <c r="T361" s="19">
        <f>IF(Database!BM361="","",IFERROR(BDP(LEFT(Database!BM361,FIND(".",Database!BM361)-1)&amp;" CH Equity","CUR_MKT_CAP"),""))</f>
        <v/>
      </c>
    </row>
    <row r="362">
      <c r="A362" s="17">
        <f>Database!A362&amp;"  "&amp;Database!B362</f>
        <v/>
      </c>
      <c r="B362" s="10">
        <f>IFERROR(INDEX(BDS(Database!$A362&amp;" HK Equity","EQUITY_OFFERINGS","array=t","endcol=1"),MATCH("IPO",BDS(Database!$A362&amp;" HK Equity","EQUITY_OFFERINGS","array=t","startcol=2","endcol=2"),0)),"")</f>
        <v/>
      </c>
      <c r="C362" s="186">
        <f>IF($B362="","",IFERROR(BDP($B362&amp;" Action","CP036"),""))</f>
        <v/>
      </c>
      <c r="D362" s="187">
        <f>Database!S362</f>
        <v/>
      </c>
      <c r="E362" s="186">
        <f>IF($B362="","",IFERROR(BDP($B362&amp;" Action","CP037"),""))</f>
        <v/>
      </c>
      <c r="F362" s="187">
        <f>Database!T362</f>
        <v/>
      </c>
      <c r="G362" s="186">
        <f>IF($B362="","",IFERROR(BDP($B362&amp;" Action","GREENSHOE_FACILITY"),""))</f>
        <v/>
      </c>
      <c r="H362" s="186">
        <f>IF($B362="","",IFERROR(BDP($B362&amp;" Action","OFFERING_GREENSHOE_SHARES_EX"),""))</f>
        <v/>
      </c>
      <c r="I362" s="17">
        <f>Database!AE362</f>
        <v/>
      </c>
      <c r="J362" s="24">
        <f>IFERROR(BDP(Database!$A362&amp;" HK Equity","PE_RATIO"),"")</f>
        <v/>
      </c>
      <c r="K362" s="10">
        <f>IFERROR(BDP(Database!$A362&amp;" HK Equity","A/H_SHARE_CONVERSION"),"")</f>
        <v/>
      </c>
      <c r="L362" s="17">
        <f>IF(Database!BM362="","(none found)",Database!BM362)</f>
        <v/>
      </c>
      <c r="M362" s="19">
        <f>IFERROR(BDH(Database!$A362&amp;" HK Equity","CUR_MKT_CAP",Database!$H362,Database!$H362),"")</f>
        <v/>
      </c>
      <c r="N362" s="180">
        <f>Database!Q362</f>
        <v/>
      </c>
      <c r="O362" s="24">
        <f>IFERROR(BDH(Database!$A362&amp;" HK Equity","PE_RATIO",Database!$H362,Database!$H362),"")</f>
        <v/>
      </c>
      <c r="P362" s="184">
        <f>IF(Database!BG362="","(n/m or not derivable)",Database!BG362)</f>
        <v/>
      </c>
      <c r="Q362" s="24">
        <f>IF(Database!BM362="","",IFERROR(BDH(LEFT(Database!BM362,FIND(".",Database!BM362)-1)&amp;" CH Equity","PE_RATIO",Database!$H362,Database!$H362),""))</f>
        <v/>
      </c>
      <c r="R362" s="24">
        <f>IF(Database!BM362="","",IFERROR(BDH("HSAHP Index","PX_LAST",Database!$H362,Database!$H362),""))</f>
        <v/>
      </c>
      <c r="S362" s="24">
        <f>IFERROR(BDP(Database!$A362&amp;" HK Equity","PX_TO_SALES_RATIO"),"")</f>
        <v/>
      </c>
      <c r="T362" s="19">
        <f>IF(Database!BM362="","",IFERROR(BDP(LEFT(Database!BM362,FIND(".",Database!BM362)-1)&amp;" CH Equity","CUR_MKT_CAP"),""))</f>
        <v/>
      </c>
    </row>
    <row r="363">
      <c r="A363" s="17">
        <f>Database!A363&amp;"  "&amp;Database!B363</f>
        <v/>
      </c>
      <c r="B363" s="10">
        <f>IFERROR(INDEX(BDS(Database!$A363&amp;" HK Equity","EQUITY_OFFERINGS","array=t","endcol=1"),MATCH("IPO",BDS(Database!$A363&amp;" HK Equity","EQUITY_OFFERINGS","array=t","startcol=2","endcol=2"),0)),"")</f>
        <v/>
      </c>
      <c r="C363" s="186">
        <f>IF($B363="","",IFERROR(BDP($B363&amp;" Action","CP036"),""))</f>
        <v/>
      </c>
      <c r="D363" s="187">
        <f>Database!S363</f>
        <v/>
      </c>
      <c r="E363" s="186">
        <f>IF($B363="","",IFERROR(BDP($B363&amp;" Action","CP037"),""))</f>
        <v/>
      </c>
      <c r="F363" s="187">
        <f>Database!T363</f>
        <v/>
      </c>
      <c r="G363" s="186">
        <f>IF($B363="","",IFERROR(BDP($B363&amp;" Action","GREENSHOE_FACILITY"),""))</f>
        <v/>
      </c>
      <c r="H363" s="186">
        <f>IF($B363="","",IFERROR(BDP($B363&amp;" Action","OFFERING_GREENSHOE_SHARES_EX"),""))</f>
        <v/>
      </c>
      <c r="I363" s="17">
        <f>Database!AE363</f>
        <v/>
      </c>
      <c r="J363" s="24">
        <f>IFERROR(BDP(Database!$A363&amp;" HK Equity","PE_RATIO"),"")</f>
        <v/>
      </c>
      <c r="K363" s="10">
        <f>IFERROR(BDP(Database!$A363&amp;" HK Equity","A/H_SHARE_CONVERSION"),"")</f>
        <v/>
      </c>
      <c r="L363" s="17">
        <f>IF(Database!BM363="","(none found)",Database!BM363)</f>
        <v/>
      </c>
      <c r="M363" s="19">
        <f>IFERROR(BDH(Database!$A363&amp;" HK Equity","CUR_MKT_CAP",Database!$H363,Database!$H363),"")</f>
        <v/>
      </c>
      <c r="N363" s="180">
        <f>Database!Q363</f>
        <v/>
      </c>
      <c r="O363" s="24">
        <f>IFERROR(BDH(Database!$A363&amp;" HK Equity","PE_RATIO",Database!$H363,Database!$H363),"")</f>
        <v/>
      </c>
      <c r="P363" s="184">
        <f>IF(Database!BG363="","(n/m or not derivable)",Database!BG363)</f>
        <v/>
      </c>
      <c r="Q363" s="24">
        <f>IF(Database!BM363="","",IFERROR(BDH(LEFT(Database!BM363,FIND(".",Database!BM363)-1)&amp;" CH Equity","PE_RATIO",Database!$H363,Database!$H363),""))</f>
        <v/>
      </c>
      <c r="R363" s="24">
        <f>IF(Database!BM363="","",IFERROR(BDH("HSAHP Index","PX_LAST",Database!$H363,Database!$H363),""))</f>
        <v/>
      </c>
      <c r="S363" s="24">
        <f>IFERROR(BDP(Database!$A363&amp;" HK Equity","PX_TO_SALES_RATIO"),"")</f>
        <v/>
      </c>
      <c r="T363" s="19">
        <f>IF(Database!BM363="","",IFERROR(BDP(LEFT(Database!BM363,FIND(".",Database!BM363)-1)&amp;" CH Equity","CUR_MKT_CAP"),""))</f>
        <v/>
      </c>
    </row>
    <row r="364">
      <c r="A364" s="17">
        <f>Database!A364&amp;"  "&amp;Database!B364</f>
        <v/>
      </c>
      <c r="B364" s="10">
        <f>IFERROR(INDEX(BDS(Database!$A364&amp;" HK Equity","EQUITY_OFFERINGS","array=t","endcol=1"),MATCH("IPO",BDS(Database!$A364&amp;" HK Equity","EQUITY_OFFERINGS","array=t","startcol=2","endcol=2"),0)),"")</f>
        <v/>
      </c>
      <c r="C364" s="186">
        <f>IF($B364="","",IFERROR(BDP($B364&amp;" Action","CP036"),""))</f>
        <v/>
      </c>
      <c r="D364" s="187">
        <f>Database!S364</f>
        <v/>
      </c>
      <c r="E364" s="186">
        <f>IF($B364="","",IFERROR(BDP($B364&amp;" Action","CP037"),""))</f>
        <v/>
      </c>
      <c r="F364" s="187">
        <f>Database!T364</f>
        <v/>
      </c>
      <c r="G364" s="186">
        <f>IF($B364="","",IFERROR(BDP($B364&amp;" Action","GREENSHOE_FACILITY"),""))</f>
        <v/>
      </c>
      <c r="H364" s="186">
        <f>IF($B364="","",IFERROR(BDP($B364&amp;" Action","OFFERING_GREENSHOE_SHARES_EX"),""))</f>
        <v/>
      </c>
      <c r="I364" s="17">
        <f>Database!AE364</f>
        <v/>
      </c>
      <c r="J364" s="24">
        <f>IFERROR(BDP(Database!$A364&amp;" HK Equity","PE_RATIO"),"")</f>
        <v/>
      </c>
      <c r="K364" s="10">
        <f>IFERROR(BDP(Database!$A364&amp;" HK Equity","A/H_SHARE_CONVERSION"),"")</f>
        <v/>
      </c>
      <c r="L364" s="17">
        <f>IF(Database!BM364="","(none found)",Database!BM364)</f>
        <v/>
      </c>
      <c r="M364" s="19">
        <f>IFERROR(BDH(Database!$A364&amp;" HK Equity","CUR_MKT_CAP",Database!$H364,Database!$H364),"")</f>
        <v/>
      </c>
      <c r="N364" s="180">
        <f>Database!Q364</f>
        <v/>
      </c>
      <c r="O364" s="24">
        <f>IFERROR(BDH(Database!$A364&amp;" HK Equity","PE_RATIO",Database!$H364,Database!$H364),"")</f>
        <v/>
      </c>
      <c r="P364" s="184">
        <f>IF(Database!BG364="","(n/m or not derivable)",Database!BG364)</f>
        <v/>
      </c>
      <c r="Q364" s="24">
        <f>IF(Database!BM364="","",IFERROR(BDH(LEFT(Database!BM364,FIND(".",Database!BM364)-1)&amp;" CH Equity","PE_RATIO",Database!$H364,Database!$H364),""))</f>
        <v/>
      </c>
      <c r="R364" s="24">
        <f>IF(Database!BM364="","",IFERROR(BDH("HSAHP Index","PX_LAST",Database!$H364,Database!$H364),""))</f>
        <v/>
      </c>
      <c r="S364" s="24">
        <f>IFERROR(BDP(Database!$A364&amp;" HK Equity","PX_TO_SALES_RATIO"),"")</f>
        <v/>
      </c>
      <c r="T364" s="19">
        <f>IF(Database!BM364="","",IFERROR(BDP(LEFT(Database!BM364,FIND(".",Database!BM364)-1)&amp;" CH Equity","CUR_MKT_CAP"),""))</f>
        <v/>
      </c>
    </row>
    <row r="365">
      <c r="A365" s="17">
        <f>Database!A365&amp;"  "&amp;Database!B365</f>
        <v/>
      </c>
      <c r="B365" s="10">
        <f>IFERROR(INDEX(BDS(Database!$A365&amp;" HK Equity","EQUITY_OFFERINGS","array=t","endcol=1"),MATCH("IPO",BDS(Database!$A365&amp;" HK Equity","EQUITY_OFFERINGS","array=t","startcol=2","endcol=2"),0)),"")</f>
        <v/>
      </c>
      <c r="C365" s="186">
        <f>IF($B365="","",IFERROR(BDP($B365&amp;" Action","CP036"),""))</f>
        <v/>
      </c>
      <c r="D365" s="187">
        <f>Database!S365</f>
        <v/>
      </c>
      <c r="E365" s="186">
        <f>IF($B365="","",IFERROR(BDP($B365&amp;" Action","CP037"),""))</f>
        <v/>
      </c>
      <c r="F365" s="187">
        <f>Database!T365</f>
        <v/>
      </c>
      <c r="G365" s="186">
        <f>IF($B365="","",IFERROR(BDP($B365&amp;" Action","GREENSHOE_FACILITY"),""))</f>
        <v/>
      </c>
      <c r="H365" s="186">
        <f>IF($B365="","",IFERROR(BDP($B365&amp;" Action","OFFERING_GREENSHOE_SHARES_EX"),""))</f>
        <v/>
      </c>
      <c r="I365" s="17">
        <f>Database!AE365</f>
        <v/>
      </c>
      <c r="J365" s="24">
        <f>IFERROR(BDP(Database!$A365&amp;" HK Equity","PE_RATIO"),"")</f>
        <v/>
      </c>
      <c r="K365" s="10">
        <f>IFERROR(BDP(Database!$A365&amp;" HK Equity","A/H_SHARE_CONVERSION"),"")</f>
        <v/>
      </c>
      <c r="L365" s="17">
        <f>IF(Database!BM365="","(none found)",Database!BM365)</f>
        <v/>
      </c>
      <c r="M365" s="19">
        <f>IFERROR(BDH(Database!$A365&amp;" HK Equity","CUR_MKT_CAP",Database!$H365,Database!$H365),"")</f>
        <v/>
      </c>
      <c r="N365" s="180">
        <f>Database!Q365</f>
        <v/>
      </c>
      <c r="O365" s="24">
        <f>IFERROR(BDH(Database!$A365&amp;" HK Equity","PE_RATIO",Database!$H365,Database!$H365),"")</f>
        <v/>
      </c>
      <c r="P365" s="184">
        <f>IF(Database!BG365="","(n/m or not derivable)",Database!BG365)</f>
        <v/>
      </c>
      <c r="Q365" s="24">
        <f>IF(Database!BM365="","",IFERROR(BDH(LEFT(Database!BM365,FIND(".",Database!BM365)-1)&amp;" CH Equity","PE_RATIO",Database!$H365,Database!$H365),""))</f>
        <v/>
      </c>
      <c r="R365" s="24">
        <f>IF(Database!BM365="","",IFERROR(BDH("HSAHP Index","PX_LAST",Database!$H365,Database!$H365),""))</f>
        <v/>
      </c>
      <c r="S365" s="24">
        <f>IFERROR(BDP(Database!$A365&amp;" HK Equity","PX_TO_SALES_RATIO"),"")</f>
        <v/>
      </c>
      <c r="T365" s="19">
        <f>IF(Database!BM365="","",IFERROR(BDP(LEFT(Database!BM365,FIND(".",Database!BM365)-1)&amp;" CH Equity","CUR_MKT_CAP"),""))</f>
        <v/>
      </c>
    </row>
    <row r="366">
      <c r="A366" s="17">
        <f>Database!A366&amp;"  "&amp;Database!B366</f>
        <v/>
      </c>
      <c r="B366" s="10">
        <f>IFERROR(INDEX(BDS(Database!$A366&amp;" HK Equity","EQUITY_OFFERINGS","array=t","endcol=1"),MATCH("IPO",BDS(Database!$A366&amp;" HK Equity","EQUITY_OFFERINGS","array=t","startcol=2","endcol=2"),0)),"")</f>
        <v/>
      </c>
      <c r="C366" s="186">
        <f>IF($B366="","",IFERROR(BDP($B366&amp;" Action","CP036"),""))</f>
        <v/>
      </c>
      <c r="D366" s="187">
        <f>Database!S366</f>
        <v/>
      </c>
      <c r="E366" s="186">
        <f>IF($B366="","",IFERROR(BDP($B366&amp;" Action","CP037"),""))</f>
        <v/>
      </c>
      <c r="F366" s="187">
        <f>Database!T366</f>
        <v/>
      </c>
      <c r="G366" s="186">
        <f>IF($B366="","",IFERROR(BDP($B366&amp;" Action","GREENSHOE_FACILITY"),""))</f>
        <v/>
      </c>
      <c r="H366" s="186">
        <f>IF($B366="","",IFERROR(BDP($B366&amp;" Action","OFFERING_GREENSHOE_SHARES_EX"),""))</f>
        <v/>
      </c>
      <c r="I366" s="17">
        <f>Database!AE366</f>
        <v/>
      </c>
      <c r="J366" s="24">
        <f>IFERROR(BDP(Database!$A366&amp;" HK Equity","PE_RATIO"),"")</f>
        <v/>
      </c>
      <c r="K366" s="10">
        <f>IFERROR(BDP(Database!$A366&amp;" HK Equity","A/H_SHARE_CONVERSION"),"")</f>
        <v/>
      </c>
      <c r="L366" s="17">
        <f>IF(Database!BM366="","(none found)",Database!BM366)</f>
        <v/>
      </c>
      <c r="M366" s="19">
        <f>IFERROR(BDH(Database!$A366&amp;" HK Equity","CUR_MKT_CAP",Database!$H366,Database!$H366),"")</f>
        <v/>
      </c>
      <c r="N366" s="180">
        <f>Database!Q366</f>
        <v/>
      </c>
      <c r="O366" s="24">
        <f>IFERROR(BDH(Database!$A366&amp;" HK Equity","PE_RATIO",Database!$H366,Database!$H366),"")</f>
        <v/>
      </c>
      <c r="P366" s="184">
        <f>IF(Database!BG366="","(n/m or not derivable)",Database!BG366)</f>
        <v/>
      </c>
      <c r="Q366" s="24">
        <f>IF(Database!BM366="","",IFERROR(BDH(LEFT(Database!BM366,FIND(".",Database!BM366)-1)&amp;" CH Equity","PE_RATIO",Database!$H366,Database!$H366),""))</f>
        <v/>
      </c>
      <c r="R366" s="24">
        <f>IF(Database!BM366="","",IFERROR(BDH("HSAHP Index","PX_LAST",Database!$H366,Database!$H366),""))</f>
        <v/>
      </c>
      <c r="S366" s="24">
        <f>IFERROR(BDP(Database!$A366&amp;" HK Equity","PX_TO_SALES_RATIO"),"")</f>
        <v/>
      </c>
      <c r="T366" s="19">
        <f>IF(Database!BM366="","",IFERROR(BDP(LEFT(Database!BM366,FIND(".",Database!BM366)-1)&amp;" CH Equity","CUR_MKT_CAP"),""))</f>
        <v/>
      </c>
    </row>
    <row r="367">
      <c r="A367" s="17">
        <f>Database!A367&amp;"  "&amp;Database!B367</f>
        <v/>
      </c>
      <c r="B367" s="10">
        <f>IFERROR(INDEX(BDS(Database!$A367&amp;" HK Equity","EQUITY_OFFERINGS","array=t","endcol=1"),MATCH("IPO",BDS(Database!$A367&amp;" HK Equity","EQUITY_OFFERINGS","array=t","startcol=2","endcol=2"),0)),"")</f>
        <v/>
      </c>
      <c r="C367" s="186">
        <f>IF($B367="","",IFERROR(BDP($B367&amp;" Action","CP036"),""))</f>
        <v/>
      </c>
      <c r="D367" s="187">
        <f>Database!S367</f>
        <v/>
      </c>
      <c r="E367" s="186">
        <f>IF($B367="","",IFERROR(BDP($B367&amp;" Action","CP037"),""))</f>
        <v/>
      </c>
      <c r="F367" s="187">
        <f>Database!T367</f>
        <v/>
      </c>
      <c r="G367" s="186">
        <f>IF($B367="","",IFERROR(BDP($B367&amp;" Action","GREENSHOE_FACILITY"),""))</f>
        <v/>
      </c>
      <c r="H367" s="186">
        <f>IF($B367="","",IFERROR(BDP($B367&amp;" Action","OFFERING_GREENSHOE_SHARES_EX"),""))</f>
        <v/>
      </c>
      <c r="I367" s="17">
        <f>Database!AE367</f>
        <v/>
      </c>
      <c r="J367" s="24">
        <f>IFERROR(BDP(Database!$A367&amp;" HK Equity","PE_RATIO"),"")</f>
        <v/>
      </c>
      <c r="K367" s="10">
        <f>IFERROR(BDP(Database!$A367&amp;" HK Equity","A/H_SHARE_CONVERSION"),"")</f>
        <v/>
      </c>
      <c r="L367" s="17">
        <f>IF(Database!BM367="","(none found)",Database!BM367)</f>
        <v/>
      </c>
      <c r="M367" s="19">
        <f>IFERROR(BDH(Database!$A367&amp;" HK Equity","CUR_MKT_CAP",Database!$H367,Database!$H367),"")</f>
        <v/>
      </c>
      <c r="N367" s="180">
        <f>Database!Q367</f>
        <v/>
      </c>
      <c r="O367" s="24">
        <f>IFERROR(BDH(Database!$A367&amp;" HK Equity","PE_RATIO",Database!$H367,Database!$H367),"")</f>
        <v/>
      </c>
      <c r="P367" s="184">
        <f>IF(Database!BG367="","(n/m or not derivable)",Database!BG367)</f>
        <v/>
      </c>
      <c r="Q367" s="24">
        <f>IF(Database!BM367="","",IFERROR(BDH(LEFT(Database!BM367,FIND(".",Database!BM367)-1)&amp;" CH Equity","PE_RATIO",Database!$H367,Database!$H367),""))</f>
        <v/>
      </c>
      <c r="R367" s="24">
        <f>IF(Database!BM367="","",IFERROR(BDH("HSAHP Index","PX_LAST",Database!$H367,Database!$H367),""))</f>
        <v/>
      </c>
      <c r="S367" s="24">
        <f>IFERROR(BDP(Database!$A367&amp;" HK Equity","PX_TO_SALES_RATIO"),"")</f>
        <v/>
      </c>
      <c r="T367" s="19">
        <f>IF(Database!BM367="","",IFERROR(BDP(LEFT(Database!BM367,FIND(".",Database!BM367)-1)&amp;" CH Equity","CUR_MKT_CAP"),""))</f>
        <v/>
      </c>
    </row>
    <row r="368">
      <c r="A368" s="17">
        <f>Database!A368&amp;"  "&amp;Database!B368</f>
        <v/>
      </c>
      <c r="B368" s="10">
        <f>IFERROR(INDEX(BDS(Database!$A368&amp;" HK Equity","EQUITY_OFFERINGS","array=t","endcol=1"),MATCH("IPO",BDS(Database!$A368&amp;" HK Equity","EQUITY_OFFERINGS","array=t","startcol=2","endcol=2"),0)),"")</f>
        <v/>
      </c>
      <c r="C368" s="186">
        <f>IF($B368="","",IFERROR(BDP($B368&amp;" Action","CP036"),""))</f>
        <v/>
      </c>
      <c r="D368" s="187">
        <f>Database!S368</f>
        <v/>
      </c>
      <c r="E368" s="186">
        <f>IF($B368="","",IFERROR(BDP($B368&amp;" Action","CP037"),""))</f>
        <v/>
      </c>
      <c r="F368" s="187">
        <f>Database!T368</f>
        <v/>
      </c>
      <c r="G368" s="186">
        <f>IF($B368="","",IFERROR(BDP($B368&amp;" Action","GREENSHOE_FACILITY"),""))</f>
        <v/>
      </c>
      <c r="H368" s="186">
        <f>IF($B368="","",IFERROR(BDP($B368&amp;" Action","OFFERING_GREENSHOE_SHARES_EX"),""))</f>
        <v/>
      </c>
      <c r="I368" s="17">
        <f>Database!AE368</f>
        <v/>
      </c>
      <c r="J368" s="24">
        <f>IFERROR(BDP(Database!$A368&amp;" HK Equity","PE_RATIO"),"")</f>
        <v/>
      </c>
      <c r="K368" s="10">
        <f>IFERROR(BDP(Database!$A368&amp;" HK Equity","A/H_SHARE_CONVERSION"),"")</f>
        <v/>
      </c>
      <c r="L368" s="17">
        <f>IF(Database!BM368="","(none found)",Database!BM368)</f>
        <v/>
      </c>
      <c r="M368" s="19">
        <f>IFERROR(BDH(Database!$A368&amp;" HK Equity","CUR_MKT_CAP",Database!$H368,Database!$H368),"")</f>
        <v/>
      </c>
      <c r="N368" s="180">
        <f>Database!Q368</f>
        <v/>
      </c>
      <c r="O368" s="24">
        <f>IFERROR(BDH(Database!$A368&amp;" HK Equity","PE_RATIO",Database!$H368,Database!$H368),"")</f>
        <v/>
      </c>
      <c r="P368" s="184">
        <f>IF(Database!BG368="","(n/m or not derivable)",Database!BG368)</f>
        <v/>
      </c>
      <c r="Q368" s="24">
        <f>IF(Database!BM368="","",IFERROR(BDH(LEFT(Database!BM368,FIND(".",Database!BM368)-1)&amp;" CH Equity","PE_RATIO",Database!$H368,Database!$H368),""))</f>
        <v/>
      </c>
      <c r="R368" s="24">
        <f>IF(Database!BM368="","",IFERROR(BDH("HSAHP Index","PX_LAST",Database!$H368,Database!$H368),""))</f>
        <v/>
      </c>
      <c r="S368" s="24">
        <f>IFERROR(BDP(Database!$A368&amp;" HK Equity","PX_TO_SALES_RATIO"),"")</f>
        <v/>
      </c>
      <c r="T368" s="19">
        <f>IF(Database!BM368="","",IFERROR(BDP(LEFT(Database!BM368,FIND(".",Database!BM368)-1)&amp;" CH Equity","CUR_MKT_CAP"),""))</f>
        <v/>
      </c>
    </row>
    <row r="369">
      <c r="A369" s="17">
        <f>Database!A369&amp;"  "&amp;Database!B369</f>
        <v/>
      </c>
      <c r="B369" s="10">
        <f>IFERROR(INDEX(BDS(Database!$A369&amp;" HK Equity","EQUITY_OFFERINGS","array=t","endcol=1"),MATCH("IPO",BDS(Database!$A369&amp;" HK Equity","EQUITY_OFFERINGS","array=t","startcol=2","endcol=2"),0)),"")</f>
        <v/>
      </c>
      <c r="C369" s="186">
        <f>IF($B369="","",IFERROR(BDP($B369&amp;" Action","CP036"),""))</f>
        <v/>
      </c>
      <c r="D369" s="187">
        <f>Database!S369</f>
        <v/>
      </c>
      <c r="E369" s="186">
        <f>IF($B369="","",IFERROR(BDP($B369&amp;" Action","CP037"),""))</f>
        <v/>
      </c>
      <c r="F369" s="187">
        <f>Database!T369</f>
        <v/>
      </c>
      <c r="G369" s="186">
        <f>IF($B369="","",IFERROR(BDP($B369&amp;" Action","GREENSHOE_FACILITY"),""))</f>
        <v/>
      </c>
      <c r="H369" s="186">
        <f>IF($B369="","",IFERROR(BDP($B369&amp;" Action","OFFERING_GREENSHOE_SHARES_EX"),""))</f>
        <v/>
      </c>
      <c r="I369" s="17">
        <f>Database!AE369</f>
        <v/>
      </c>
      <c r="J369" s="24">
        <f>IFERROR(BDP(Database!$A369&amp;" HK Equity","PE_RATIO"),"")</f>
        <v/>
      </c>
      <c r="K369" s="10">
        <f>IFERROR(BDP(Database!$A369&amp;" HK Equity","A/H_SHARE_CONVERSION"),"")</f>
        <v/>
      </c>
      <c r="L369" s="17">
        <f>IF(Database!BM369="","(none found)",Database!BM369)</f>
        <v/>
      </c>
      <c r="M369" s="19">
        <f>IFERROR(BDH(Database!$A369&amp;" HK Equity","CUR_MKT_CAP",Database!$H369,Database!$H369),"")</f>
        <v/>
      </c>
      <c r="N369" s="180">
        <f>Database!Q369</f>
        <v/>
      </c>
      <c r="O369" s="24">
        <f>IFERROR(BDH(Database!$A369&amp;" HK Equity","PE_RATIO",Database!$H369,Database!$H369),"")</f>
        <v/>
      </c>
      <c r="P369" s="184">
        <f>IF(Database!BG369="","(n/m or not derivable)",Database!BG369)</f>
        <v/>
      </c>
      <c r="Q369" s="24">
        <f>IF(Database!BM369="","",IFERROR(BDH(LEFT(Database!BM369,FIND(".",Database!BM369)-1)&amp;" CH Equity","PE_RATIO",Database!$H369,Database!$H369),""))</f>
        <v/>
      </c>
      <c r="R369" s="24">
        <f>IF(Database!BM369="","",IFERROR(BDH("HSAHP Index","PX_LAST",Database!$H369,Database!$H369),""))</f>
        <v/>
      </c>
      <c r="S369" s="24">
        <f>IFERROR(BDP(Database!$A369&amp;" HK Equity","PX_TO_SALES_RATIO"),"")</f>
        <v/>
      </c>
      <c r="T369" s="19">
        <f>IF(Database!BM369="","",IFERROR(BDP(LEFT(Database!BM369,FIND(".",Database!BM369)-1)&amp;" CH Equity","CUR_MKT_CAP"),""))</f>
        <v/>
      </c>
    </row>
    <row r="370">
      <c r="A370" s="17">
        <f>Database!A370&amp;"  "&amp;Database!B370</f>
        <v/>
      </c>
      <c r="B370" s="10">
        <f>IFERROR(INDEX(BDS(Database!$A370&amp;" HK Equity","EQUITY_OFFERINGS","array=t","endcol=1"),MATCH("IPO",BDS(Database!$A370&amp;" HK Equity","EQUITY_OFFERINGS","array=t","startcol=2","endcol=2"),0)),"")</f>
        <v/>
      </c>
      <c r="C370" s="186">
        <f>IF($B370="","",IFERROR(BDP($B370&amp;" Action","CP036"),""))</f>
        <v/>
      </c>
      <c r="D370" s="187">
        <f>Database!S370</f>
        <v/>
      </c>
      <c r="E370" s="186">
        <f>IF($B370="","",IFERROR(BDP($B370&amp;" Action","CP037"),""))</f>
        <v/>
      </c>
      <c r="F370" s="187">
        <f>Database!T370</f>
        <v/>
      </c>
      <c r="G370" s="186">
        <f>IF($B370="","",IFERROR(BDP($B370&amp;" Action","GREENSHOE_FACILITY"),""))</f>
        <v/>
      </c>
      <c r="H370" s="186">
        <f>IF($B370="","",IFERROR(BDP($B370&amp;" Action","OFFERING_GREENSHOE_SHARES_EX"),""))</f>
        <v/>
      </c>
      <c r="I370" s="17">
        <f>Database!AE370</f>
        <v/>
      </c>
      <c r="J370" s="24">
        <f>IFERROR(BDP(Database!$A370&amp;" HK Equity","PE_RATIO"),"")</f>
        <v/>
      </c>
      <c r="K370" s="10">
        <f>IFERROR(BDP(Database!$A370&amp;" HK Equity","A/H_SHARE_CONVERSION"),"")</f>
        <v/>
      </c>
      <c r="L370" s="17">
        <f>IF(Database!BM370="","(none found)",Database!BM370)</f>
        <v/>
      </c>
      <c r="M370" s="19">
        <f>IFERROR(BDH(Database!$A370&amp;" HK Equity","CUR_MKT_CAP",Database!$H370,Database!$H370),"")</f>
        <v/>
      </c>
      <c r="N370" s="180">
        <f>Database!Q370</f>
        <v/>
      </c>
      <c r="O370" s="24">
        <f>IFERROR(BDH(Database!$A370&amp;" HK Equity","PE_RATIO",Database!$H370,Database!$H370),"")</f>
        <v/>
      </c>
      <c r="P370" s="184">
        <f>IF(Database!BG370="","(n/m or not derivable)",Database!BG370)</f>
        <v/>
      </c>
      <c r="Q370" s="24">
        <f>IF(Database!BM370="","",IFERROR(BDH(LEFT(Database!BM370,FIND(".",Database!BM370)-1)&amp;" CH Equity","PE_RATIO",Database!$H370,Database!$H370),""))</f>
        <v/>
      </c>
      <c r="R370" s="24">
        <f>IF(Database!BM370="","",IFERROR(BDH("HSAHP Index","PX_LAST",Database!$H370,Database!$H370),""))</f>
        <v/>
      </c>
      <c r="S370" s="24">
        <f>IFERROR(BDP(Database!$A370&amp;" HK Equity","PX_TO_SALES_RATIO"),"")</f>
        <v/>
      </c>
      <c r="T370" s="19">
        <f>IF(Database!BM370="","",IFERROR(BDP(LEFT(Database!BM370,FIND(".",Database!BM370)-1)&amp;" CH Equity","CUR_MKT_CAP"),""))</f>
        <v/>
      </c>
    </row>
    <row r="371">
      <c r="A371" s="17">
        <f>Database!A371&amp;"  "&amp;Database!B371</f>
        <v/>
      </c>
      <c r="B371" s="10">
        <f>IFERROR(INDEX(BDS(Database!$A371&amp;" HK Equity","EQUITY_OFFERINGS","array=t","endcol=1"),MATCH("IPO",BDS(Database!$A371&amp;" HK Equity","EQUITY_OFFERINGS","array=t","startcol=2","endcol=2"),0)),"")</f>
        <v/>
      </c>
      <c r="C371" s="186">
        <f>IF($B371="","",IFERROR(BDP($B371&amp;" Action","CP036"),""))</f>
        <v/>
      </c>
      <c r="D371" s="187">
        <f>Database!S371</f>
        <v/>
      </c>
      <c r="E371" s="186">
        <f>IF($B371="","",IFERROR(BDP($B371&amp;" Action","CP037"),""))</f>
        <v/>
      </c>
      <c r="F371" s="187">
        <f>Database!T371</f>
        <v/>
      </c>
      <c r="G371" s="186">
        <f>IF($B371="","",IFERROR(BDP($B371&amp;" Action","GREENSHOE_FACILITY"),""))</f>
        <v/>
      </c>
      <c r="H371" s="186">
        <f>IF($B371="","",IFERROR(BDP($B371&amp;" Action","OFFERING_GREENSHOE_SHARES_EX"),""))</f>
        <v/>
      </c>
      <c r="I371" s="17">
        <f>Database!AE371</f>
        <v/>
      </c>
      <c r="J371" s="24">
        <f>IFERROR(BDP(Database!$A371&amp;" HK Equity","PE_RATIO"),"")</f>
        <v/>
      </c>
      <c r="K371" s="10">
        <f>IFERROR(BDP(Database!$A371&amp;" HK Equity","A/H_SHARE_CONVERSION"),"")</f>
        <v/>
      </c>
      <c r="L371" s="17">
        <f>IF(Database!BM371="","(none found)",Database!BM371)</f>
        <v/>
      </c>
      <c r="M371" s="19">
        <f>IFERROR(BDH(Database!$A371&amp;" HK Equity","CUR_MKT_CAP",Database!$H371,Database!$H371),"")</f>
        <v/>
      </c>
      <c r="N371" s="180">
        <f>Database!Q371</f>
        <v/>
      </c>
      <c r="O371" s="24">
        <f>IFERROR(BDH(Database!$A371&amp;" HK Equity","PE_RATIO",Database!$H371,Database!$H371),"")</f>
        <v/>
      </c>
      <c r="P371" s="184">
        <f>IF(Database!BG371="","(n/m or not derivable)",Database!BG371)</f>
        <v/>
      </c>
      <c r="Q371" s="24">
        <f>IF(Database!BM371="","",IFERROR(BDH(LEFT(Database!BM371,FIND(".",Database!BM371)-1)&amp;" CH Equity","PE_RATIO",Database!$H371,Database!$H371),""))</f>
        <v/>
      </c>
      <c r="R371" s="24">
        <f>IF(Database!BM371="","",IFERROR(BDH("HSAHP Index","PX_LAST",Database!$H371,Database!$H371),""))</f>
        <v/>
      </c>
      <c r="S371" s="24">
        <f>IFERROR(BDP(Database!$A371&amp;" HK Equity","PX_TO_SALES_RATIO"),"")</f>
        <v/>
      </c>
      <c r="T371" s="19">
        <f>IF(Database!BM371="","",IFERROR(BDP(LEFT(Database!BM371,FIND(".",Database!BM371)-1)&amp;" CH Equity","CUR_MKT_CAP"),""))</f>
        <v/>
      </c>
    </row>
    <row r="372">
      <c r="A372" s="17">
        <f>Database!A372&amp;"  "&amp;Database!B372</f>
        <v/>
      </c>
      <c r="B372" s="10">
        <f>IFERROR(INDEX(BDS(Database!$A372&amp;" HK Equity","EQUITY_OFFERINGS","array=t","endcol=1"),MATCH("IPO",BDS(Database!$A372&amp;" HK Equity","EQUITY_OFFERINGS","array=t","startcol=2","endcol=2"),0)),"")</f>
        <v/>
      </c>
      <c r="C372" s="186">
        <f>IF($B372="","",IFERROR(BDP($B372&amp;" Action","CP036"),""))</f>
        <v/>
      </c>
      <c r="D372" s="187">
        <f>Database!S372</f>
        <v/>
      </c>
      <c r="E372" s="186">
        <f>IF($B372="","",IFERROR(BDP($B372&amp;" Action","CP037"),""))</f>
        <v/>
      </c>
      <c r="F372" s="187">
        <f>Database!T372</f>
        <v/>
      </c>
      <c r="G372" s="186">
        <f>IF($B372="","",IFERROR(BDP($B372&amp;" Action","GREENSHOE_FACILITY"),""))</f>
        <v/>
      </c>
      <c r="H372" s="186">
        <f>IF($B372="","",IFERROR(BDP($B372&amp;" Action","OFFERING_GREENSHOE_SHARES_EX"),""))</f>
        <v/>
      </c>
      <c r="I372" s="17">
        <f>Database!AE372</f>
        <v/>
      </c>
      <c r="J372" s="24">
        <f>IFERROR(BDP(Database!$A372&amp;" HK Equity","PE_RATIO"),"")</f>
        <v/>
      </c>
      <c r="K372" s="10">
        <f>IFERROR(BDP(Database!$A372&amp;" HK Equity","A/H_SHARE_CONVERSION"),"")</f>
        <v/>
      </c>
      <c r="L372" s="17">
        <f>IF(Database!BM372="","(none found)",Database!BM372)</f>
        <v/>
      </c>
      <c r="M372" s="19">
        <f>IFERROR(BDH(Database!$A372&amp;" HK Equity","CUR_MKT_CAP",Database!$H372,Database!$H372),"")</f>
        <v/>
      </c>
      <c r="N372" s="180">
        <f>Database!Q372</f>
        <v/>
      </c>
      <c r="O372" s="24">
        <f>IFERROR(BDH(Database!$A372&amp;" HK Equity","PE_RATIO",Database!$H372,Database!$H372),"")</f>
        <v/>
      </c>
      <c r="P372" s="184">
        <f>IF(Database!BG372="","(n/m or not derivable)",Database!BG372)</f>
        <v/>
      </c>
      <c r="Q372" s="24">
        <f>IF(Database!BM372="","",IFERROR(BDH(LEFT(Database!BM372,FIND(".",Database!BM372)-1)&amp;" CH Equity","PE_RATIO",Database!$H372,Database!$H372),""))</f>
        <v/>
      </c>
      <c r="R372" s="24">
        <f>IF(Database!BM372="","",IFERROR(BDH("HSAHP Index","PX_LAST",Database!$H372,Database!$H372),""))</f>
        <v/>
      </c>
      <c r="S372" s="24">
        <f>IFERROR(BDP(Database!$A372&amp;" HK Equity","PX_TO_SALES_RATIO"),"")</f>
        <v/>
      </c>
      <c r="T372" s="19">
        <f>IF(Database!BM372="","",IFERROR(BDP(LEFT(Database!BM372,FIND(".",Database!BM372)-1)&amp;" CH Equity","CUR_MKT_CAP"),""))</f>
        <v/>
      </c>
    </row>
    <row r="373">
      <c r="A373" s="17">
        <f>Database!A373&amp;"  "&amp;Database!B373</f>
        <v/>
      </c>
      <c r="B373" s="10">
        <f>IFERROR(INDEX(BDS(Database!$A373&amp;" HK Equity","EQUITY_OFFERINGS","array=t","endcol=1"),MATCH("IPO",BDS(Database!$A373&amp;" HK Equity","EQUITY_OFFERINGS","array=t","startcol=2","endcol=2"),0)),"")</f>
        <v/>
      </c>
      <c r="C373" s="186">
        <f>IF($B373="","",IFERROR(BDP($B373&amp;" Action","CP036"),""))</f>
        <v/>
      </c>
      <c r="D373" s="187">
        <f>Database!S373</f>
        <v/>
      </c>
      <c r="E373" s="186">
        <f>IF($B373="","",IFERROR(BDP($B373&amp;" Action","CP037"),""))</f>
        <v/>
      </c>
      <c r="F373" s="187">
        <f>Database!T373</f>
        <v/>
      </c>
      <c r="G373" s="186">
        <f>IF($B373="","",IFERROR(BDP($B373&amp;" Action","GREENSHOE_FACILITY"),""))</f>
        <v/>
      </c>
      <c r="H373" s="186">
        <f>IF($B373="","",IFERROR(BDP($B373&amp;" Action","OFFERING_GREENSHOE_SHARES_EX"),""))</f>
        <v/>
      </c>
      <c r="I373" s="17">
        <f>Database!AE373</f>
        <v/>
      </c>
      <c r="J373" s="24">
        <f>IFERROR(BDP(Database!$A373&amp;" HK Equity","PE_RATIO"),"")</f>
        <v/>
      </c>
      <c r="K373" s="10">
        <f>IFERROR(BDP(Database!$A373&amp;" HK Equity","A/H_SHARE_CONVERSION"),"")</f>
        <v/>
      </c>
      <c r="L373" s="17">
        <f>IF(Database!BM373="","(none found)",Database!BM373)</f>
        <v/>
      </c>
      <c r="M373" s="19">
        <f>IFERROR(BDH(Database!$A373&amp;" HK Equity","CUR_MKT_CAP",Database!$H373,Database!$H373),"")</f>
        <v/>
      </c>
      <c r="N373" s="180">
        <f>Database!Q373</f>
        <v/>
      </c>
      <c r="O373" s="24">
        <f>IFERROR(BDH(Database!$A373&amp;" HK Equity","PE_RATIO",Database!$H373,Database!$H373),"")</f>
        <v/>
      </c>
      <c r="P373" s="184">
        <f>IF(Database!BG373="","(n/m or not derivable)",Database!BG373)</f>
        <v/>
      </c>
      <c r="Q373" s="24">
        <f>IF(Database!BM373="","",IFERROR(BDH(LEFT(Database!BM373,FIND(".",Database!BM373)-1)&amp;" CH Equity","PE_RATIO",Database!$H373,Database!$H373),""))</f>
        <v/>
      </c>
      <c r="R373" s="24">
        <f>IF(Database!BM373="","",IFERROR(BDH("HSAHP Index","PX_LAST",Database!$H373,Database!$H373),""))</f>
        <v/>
      </c>
      <c r="S373" s="24">
        <f>IFERROR(BDP(Database!$A373&amp;" HK Equity","PX_TO_SALES_RATIO"),"")</f>
        <v/>
      </c>
      <c r="T373" s="19">
        <f>IF(Database!BM373="","",IFERROR(BDP(LEFT(Database!BM373,FIND(".",Database!BM373)-1)&amp;" CH Equity","CUR_MKT_CAP"),""))</f>
        <v/>
      </c>
    </row>
    <row r="374">
      <c r="A374" s="17">
        <f>Database!A374&amp;"  "&amp;Database!B374</f>
        <v/>
      </c>
      <c r="B374" s="10">
        <f>IFERROR(INDEX(BDS(Database!$A374&amp;" HK Equity","EQUITY_OFFERINGS","array=t","endcol=1"),MATCH("IPO",BDS(Database!$A374&amp;" HK Equity","EQUITY_OFFERINGS","array=t","startcol=2","endcol=2"),0)),"")</f>
        <v/>
      </c>
      <c r="C374" s="186">
        <f>IF($B374="","",IFERROR(BDP($B374&amp;" Action","CP036"),""))</f>
        <v/>
      </c>
      <c r="D374" s="187">
        <f>Database!S374</f>
        <v/>
      </c>
      <c r="E374" s="186">
        <f>IF($B374="","",IFERROR(BDP($B374&amp;" Action","CP037"),""))</f>
        <v/>
      </c>
      <c r="F374" s="187">
        <f>Database!T374</f>
        <v/>
      </c>
      <c r="G374" s="186">
        <f>IF($B374="","",IFERROR(BDP($B374&amp;" Action","GREENSHOE_FACILITY"),""))</f>
        <v/>
      </c>
      <c r="H374" s="186">
        <f>IF($B374="","",IFERROR(BDP($B374&amp;" Action","OFFERING_GREENSHOE_SHARES_EX"),""))</f>
        <v/>
      </c>
      <c r="I374" s="17">
        <f>Database!AE374</f>
        <v/>
      </c>
      <c r="J374" s="24">
        <f>IFERROR(BDP(Database!$A374&amp;" HK Equity","PE_RATIO"),"")</f>
        <v/>
      </c>
      <c r="K374" s="10">
        <f>IFERROR(BDP(Database!$A374&amp;" HK Equity","A/H_SHARE_CONVERSION"),"")</f>
        <v/>
      </c>
      <c r="L374" s="17">
        <f>IF(Database!BM374="","(none found)",Database!BM374)</f>
        <v/>
      </c>
      <c r="M374" s="19">
        <f>IFERROR(BDH(Database!$A374&amp;" HK Equity","CUR_MKT_CAP",Database!$H374,Database!$H374),"")</f>
        <v/>
      </c>
      <c r="N374" s="180">
        <f>Database!Q374</f>
        <v/>
      </c>
      <c r="O374" s="24">
        <f>IFERROR(BDH(Database!$A374&amp;" HK Equity","PE_RATIO",Database!$H374,Database!$H374),"")</f>
        <v/>
      </c>
      <c r="P374" s="184">
        <f>IF(Database!BG374="","(n/m or not derivable)",Database!BG374)</f>
        <v/>
      </c>
      <c r="Q374" s="24">
        <f>IF(Database!BM374="","",IFERROR(BDH(LEFT(Database!BM374,FIND(".",Database!BM374)-1)&amp;" CH Equity","PE_RATIO",Database!$H374,Database!$H374),""))</f>
        <v/>
      </c>
      <c r="R374" s="24">
        <f>IF(Database!BM374="","",IFERROR(BDH("HSAHP Index","PX_LAST",Database!$H374,Database!$H374),""))</f>
        <v/>
      </c>
      <c r="S374" s="24">
        <f>IFERROR(BDP(Database!$A374&amp;" HK Equity","PX_TO_SALES_RATIO"),"")</f>
        <v/>
      </c>
      <c r="T374" s="19">
        <f>IF(Database!BM374="","",IFERROR(BDP(LEFT(Database!BM374,FIND(".",Database!BM374)-1)&amp;" CH Equity","CUR_MKT_CAP"),""))</f>
        <v/>
      </c>
    </row>
    <row r="375">
      <c r="A375" s="17">
        <f>Database!A375&amp;"  "&amp;Database!B375</f>
        <v/>
      </c>
      <c r="B375" s="10">
        <f>IFERROR(INDEX(BDS(Database!$A375&amp;" HK Equity","EQUITY_OFFERINGS","array=t","endcol=1"),MATCH("IPO",BDS(Database!$A375&amp;" HK Equity","EQUITY_OFFERINGS","array=t","startcol=2","endcol=2"),0)),"")</f>
        <v/>
      </c>
      <c r="C375" s="186">
        <f>IF($B375="","",IFERROR(BDP($B375&amp;" Action","CP036"),""))</f>
        <v/>
      </c>
      <c r="D375" s="187">
        <f>Database!S375</f>
        <v/>
      </c>
      <c r="E375" s="186">
        <f>IF($B375="","",IFERROR(BDP($B375&amp;" Action","CP037"),""))</f>
        <v/>
      </c>
      <c r="F375" s="187">
        <f>Database!T375</f>
        <v/>
      </c>
      <c r="G375" s="186">
        <f>IF($B375="","",IFERROR(BDP($B375&amp;" Action","GREENSHOE_FACILITY"),""))</f>
        <v/>
      </c>
      <c r="H375" s="186">
        <f>IF($B375="","",IFERROR(BDP($B375&amp;" Action","OFFERING_GREENSHOE_SHARES_EX"),""))</f>
        <v/>
      </c>
      <c r="I375" s="17">
        <f>Database!AE375</f>
        <v/>
      </c>
      <c r="J375" s="24">
        <f>IFERROR(BDP(Database!$A375&amp;" HK Equity","PE_RATIO"),"")</f>
        <v/>
      </c>
      <c r="K375" s="10">
        <f>IFERROR(BDP(Database!$A375&amp;" HK Equity","A/H_SHARE_CONVERSION"),"")</f>
        <v/>
      </c>
      <c r="L375" s="17">
        <f>IF(Database!BM375="","(none found)",Database!BM375)</f>
        <v/>
      </c>
      <c r="M375" s="19">
        <f>IFERROR(BDH(Database!$A375&amp;" HK Equity","CUR_MKT_CAP",Database!$H375,Database!$H375),"")</f>
        <v/>
      </c>
      <c r="N375" s="180">
        <f>Database!Q375</f>
        <v/>
      </c>
      <c r="O375" s="24">
        <f>IFERROR(BDH(Database!$A375&amp;" HK Equity","PE_RATIO",Database!$H375,Database!$H375),"")</f>
        <v/>
      </c>
      <c r="P375" s="184">
        <f>IF(Database!BG375="","(n/m or not derivable)",Database!BG375)</f>
        <v/>
      </c>
      <c r="Q375" s="24">
        <f>IF(Database!BM375="","",IFERROR(BDH(LEFT(Database!BM375,FIND(".",Database!BM375)-1)&amp;" CH Equity","PE_RATIO",Database!$H375,Database!$H375),""))</f>
        <v/>
      </c>
      <c r="R375" s="24">
        <f>IF(Database!BM375="","",IFERROR(BDH("HSAHP Index","PX_LAST",Database!$H375,Database!$H375),""))</f>
        <v/>
      </c>
      <c r="S375" s="24">
        <f>IFERROR(BDP(Database!$A375&amp;" HK Equity","PX_TO_SALES_RATIO"),"")</f>
        <v/>
      </c>
      <c r="T375" s="19">
        <f>IF(Database!BM375="","",IFERROR(BDP(LEFT(Database!BM375,FIND(".",Database!BM375)-1)&amp;" CH Equity","CUR_MKT_CAP"),""))</f>
        <v/>
      </c>
    </row>
    <row r="376">
      <c r="A376" s="17">
        <f>Database!A376&amp;"  "&amp;Database!B376</f>
        <v/>
      </c>
      <c r="B376" s="10">
        <f>IFERROR(INDEX(BDS(Database!$A376&amp;" HK Equity","EQUITY_OFFERINGS","array=t","endcol=1"),MATCH("IPO",BDS(Database!$A376&amp;" HK Equity","EQUITY_OFFERINGS","array=t","startcol=2","endcol=2"),0)),"")</f>
        <v/>
      </c>
      <c r="C376" s="186">
        <f>IF($B376="","",IFERROR(BDP($B376&amp;" Action","CP036"),""))</f>
        <v/>
      </c>
      <c r="D376" s="187">
        <f>Database!S376</f>
        <v/>
      </c>
      <c r="E376" s="186">
        <f>IF($B376="","",IFERROR(BDP($B376&amp;" Action","CP037"),""))</f>
        <v/>
      </c>
      <c r="F376" s="187">
        <f>Database!T376</f>
        <v/>
      </c>
      <c r="G376" s="186">
        <f>IF($B376="","",IFERROR(BDP($B376&amp;" Action","GREENSHOE_FACILITY"),""))</f>
        <v/>
      </c>
      <c r="H376" s="186">
        <f>IF($B376="","",IFERROR(BDP($B376&amp;" Action","OFFERING_GREENSHOE_SHARES_EX"),""))</f>
        <v/>
      </c>
      <c r="I376" s="17">
        <f>Database!AE376</f>
        <v/>
      </c>
      <c r="J376" s="24">
        <f>IFERROR(BDP(Database!$A376&amp;" HK Equity","PE_RATIO"),"")</f>
        <v/>
      </c>
      <c r="K376" s="10">
        <f>IFERROR(BDP(Database!$A376&amp;" HK Equity","A/H_SHARE_CONVERSION"),"")</f>
        <v/>
      </c>
      <c r="L376" s="17">
        <f>IF(Database!BM376="","(none found)",Database!BM376)</f>
        <v/>
      </c>
      <c r="M376" s="19">
        <f>IFERROR(BDH(Database!$A376&amp;" HK Equity","CUR_MKT_CAP",Database!$H376,Database!$H376),"")</f>
        <v/>
      </c>
      <c r="N376" s="180">
        <f>Database!Q376</f>
        <v/>
      </c>
      <c r="O376" s="24">
        <f>IFERROR(BDH(Database!$A376&amp;" HK Equity","PE_RATIO",Database!$H376,Database!$H376),"")</f>
        <v/>
      </c>
      <c r="P376" s="184">
        <f>IF(Database!BG376="","(n/m or not derivable)",Database!BG376)</f>
        <v/>
      </c>
      <c r="Q376" s="24">
        <f>IF(Database!BM376="","",IFERROR(BDH(LEFT(Database!BM376,FIND(".",Database!BM376)-1)&amp;" CH Equity","PE_RATIO",Database!$H376,Database!$H376),""))</f>
        <v/>
      </c>
      <c r="R376" s="24">
        <f>IF(Database!BM376="","",IFERROR(BDH("HSAHP Index","PX_LAST",Database!$H376,Database!$H376),""))</f>
        <v/>
      </c>
      <c r="S376" s="24">
        <f>IFERROR(BDP(Database!$A376&amp;" HK Equity","PX_TO_SALES_RATIO"),"")</f>
        <v/>
      </c>
      <c r="T376" s="19">
        <f>IF(Database!BM376="","",IFERROR(BDP(LEFT(Database!BM376,FIND(".",Database!BM376)-1)&amp;" CH Equity","CUR_MKT_CAP"),""))</f>
        <v/>
      </c>
    </row>
    <row r="377">
      <c r="A377" s="17">
        <f>Database!A377&amp;"  "&amp;Database!B377</f>
        <v/>
      </c>
      <c r="B377" s="10">
        <f>IFERROR(INDEX(BDS(Database!$A377&amp;" HK Equity","EQUITY_OFFERINGS","array=t","endcol=1"),MATCH("IPO",BDS(Database!$A377&amp;" HK Equity","EQUITY_OFFERINGS","array=t","startcol=2","endcol=2"),0)),"")</f>
        <v/>
      </c>
      <c r="C377" s="186">
        <f>IF($B377="","",IFERROR(BDP($B377&amp;" Action","CP036"),""))</f>
        <v/>
      </c>
      <c r="D377" s="187">
        <f>Database!S377</f>
        <v/>
      </c>
      <c r="E377" s="186">
        <f>IF($B377="","",IFERROR(BDP($B377&amp;" Action","CP037"),""))</f>
        <v/>
      </c>
      <c r="F377" s="187">
        <f>Database!T377</f>
        <v/>
      </c>
      <c r="G377" s="186">
        <f>IF($B377="","",IFERROR(BDP($B377&amp;" Action","GREENSHOE_FACILITY"),""))</f>
        <v/>
      </c>
      <c r="H377" s="186">
        <f>IF($B377="","",IFERROR(BDP($B377&amp;" Action","OFFERING_GREENSHOE_SHARES_EX"),""))</f>
        <v/>
      </c>
      <c r="I377" s="17">
        <f>Database!AE377</f>
        <v/>
      </c>
      <c r="J377" s="24">
        <f>IFERROR(BDP(Database!$A377&amp;" HK Equity","PE_RATIO"),"")</f>
        <v/>
      </c>
      <c r="K377" s="10">
        <f>IFERROR(BDP(Database!$A377&amp;" HK Equity","A/H_SHARE_CONVERSION"),"")</f>
        <v/>
      </c>
      <c r="L377" s="17">
        <f>IF(Database!BM377="","(none found)",Database!BM377)</f>
        <v/>
      </c>
      <c r="M377" s="19">
        <f>IFERROR(BDH(Database!$A377&amp;" HK Equity","CUR_MKT_CAP",Database!$H377,Database!$H377),"")</f>
        <v/>
      </c>
      <c r="N377" s="180">
        <f>Database!Q377</f>
        <v/>
      </c>
      <c r="O377" s="24">
        <f>IFERROR(BDH(Database!$A377&amp;" HK Equity","PE_RATIO",Database!$H377,Database!$H377),"")</f>
        <v/>
      </c>
      <c r="P377" s="184">
        <f>IF(Database!BG377="","(n/m or not derivable)",Database!BG377)</f>
        <v/>
      </c>
      <c r="Q377" s="24">
        <f>IF(Database!BM377="","",IFERROR(BDH(LEFT(Database!BM377,FIND(".",Database!BM377)-1)&amp;" CH Equity","PE_RATIO",Database!$H377,Database!$H377),""))</f>
        <v/>
      </c>
      <c r="R377" s="24">
        <f>IF(Database!BM377="","",IFERROR(BDH("HSAHP Index","PX_LAST",Database!$H377,Database!$H377),""))</f>
        <v/>
      </c>
      <c r="S377" s="24">
        <f>IFERROR(BDP(Database!$A377&amp;" HK Equity","PX_TO_SALES_RATIO"),"")</f>
        <v/>
      </c>
      <c r="T377" s="19">
        <f>IF(Database!BM377="","",IFERROR(BDP(LEFT(Database!BM377,FIND(".",Database!BM377)-1)&amp;" CH Equity","CUR_MKT_CAP"),""))</f>
        <v/>
      </c>
    </row>
    <row r="378">
      <c r="A378" s="17">
        <f>Database!A378&amp;"  "&amp;Database!B378</f>
        <v/>
      </c>
      <c r="B378" s="10">
        <f>IFERROR(INDEX(BDS(Database!$A378&amp;" HK Equity","EQUITY_OFFERINGS","array=t","endcol=1"),MATCH("IPO",BDS(Database!$A378&amp;" HK Equity","EQUITY_OFFERINGS","array=t","startcol=2","endcol=2"),0)),"")</f>
        <v/>
      </c>
      <c r="C378" s="186">
        <f>IF($B378="","",IFERROR(BDP($B378&amp;" Action","CP036"),""))</f>
        <v/>
      </c>
      <c r="D378" s="187">
        <f>Database!S378</f>
        <v/>
      </c>
      <c r="E378" s="186">
        <f>IF($B378="","",IFERROR(BDP($B378&amp;" Action","CP037"),""))</f>
        <v/>
      </c>
      <c r="F378" s="187">
        <f>Database!T378</f>
        <v/>
      </c>
      <c r="G378" s="186">
        <f>IF($B378="","",IFERROR(BDP($B378&amp;" Action","GREENSHOE_FACILITY"),""))</f>
        <v/>
      </c>
      <c r="H378" s="186">
        <f>IF($B378="","",IFERROR(BDP($B378&amp;" Action","OFFERING_GREENSHOE_SHARES_EX"),""))</f>
        <v/>
      </c>
      <c r="I378" s="17">
        <f>Database!AE378</f>
        <v/>
      </c>
      <c r="J378" s="24">
        <f>IFERROR(BDP(Database!$A378&amp;" HK Equity","PE_RATIO"),"")</f>
        <v/>
      </c>
      <c r="K378" s="10">
        <f>IFERROR(BDP(Database!$A378&amp;" HK Equity","A/H_SHARE_CONVERSION"),"")</f>
        <v/>
      </c>
      <c r="L378" s="17">
        <f>IF(Database!BM378="","(none found)",Database!BM378)</f>
        <v/>
      </c>
      <c r="M378" s="19">
        <f>IFERROR(BDH(Database!$A378&amp;" HK Equity","CUR_MKT_CAP",Database!$H378,Database!$H378),"")</f>
        <v/>
      </c>
      <c r="N378" s="180">
        <f>Database!Q378</f>
        <v/>
      </c>
      <c r="O378" s="24">
        <f>IFERROR(BDH(Database!$A378&amp;" HK Equity","PE_RATIO",Database!$H378,Database!$H378),"")</f>
        <v/>
      </c>
      <c r="P378" s="184">
        <f>IF(Database!BG378="","(n/m or not derivable)",Database!BG378)</f>
        <v/>
      </c>
      <c r="Q378" s="24">
        <f>IF(Database!BM378="","",IFERROR(BDH(LEFT(Database!BM378,FIND(".",Database!BM378)-1)&amp;" CH Equity","PE_RATIO",Database!$H378,Database!$H378),""))</f>
        <v/>
      </c>
      <c r="R378" s="24">
        <f>IF(Database!BM378="","",IFERROR(BDH("HSAHP Index","PX_LAST",Database!$H378,Database!$H378),""))</f>
        <v/>
      </c>
      <c r="S378" s="24">
        <f>IFERROR(BDP(Database!$A378&amp;" HK Equity","PX_TO_SALES_RATIO"),"")</f>
        <v/>
      </c>
      <c r="T378" s="19">
        <f>IF(Database!BM378="","",IFERROR(BDP(LEFT(Database!BM378,FIND(".",Database!BM378)-1)&amp;" CH Equity","CUR_MKT_CAP"),""))</f>
        <v/>
      </c>
    </row>
    <row r="379">
      <c r="A379" s="17">
        <f>Database!A379&amp;"  "&amp;Database!B379</f>
        <v/>
      </c>
      <c r="B379" s="10">
        <f>IFERROR(INDEX(BDS(Database!$A379&amp;" HK Equity","EQUITY_OFFERINGS","array=t","endcol=1"),MATCH("IPO",BDS(Database!$A379&amp;" HK Equity","EQUITY_OFFERINGS","array=t","startcol=2","endcol=2"),0)),"")</f>
        <v/>
      </c>
      <c r="C379" s="186">
        <f>IF($B379="","",IFERROR(BDP($B379&amp;" Action","CP036"),""))</f>
        <v/>
      </c>
      <c r="D379" s="187">
        <f>Database!S379</f>
        <v/>
      </c>
      <c r="E379" s="186">
        <f>IF($B379="","",IFERROR(BDP($B379&amp;" Action","CP037"),""))</f>
        <v/>
      </c>
      <c r="F379" s="187">
        <f>Database!T379</f>
        <v/>
      </c>
      <c r="G379" s="186">
        <f>IF($B379="","",IFERROR(BDP($B379&amp;" Action","GREENSHOE_FACILITY"),""))</f>
        <v/>
      </c>
      <c r="H379" s="186">
        <f>IF($B379="","",IFERROR(BDP($B379&amp;" Action","OFFERING_GREENSHOE_SHARES_EX"),""))</f>
        <v/>
      </c>
      <c r="I379" s="17">
        <f>Database!AE379</f>
        <v/>
      </c>
      <c r="J379" s="24">
        <f>IFERROR(BDP(Database!$A379&amp;" HK Equity","PE_RATIO"),"")</f>
        <v/>
      </c>
      <c r="K379" s="10">
        <f>IFERROR(BDP(Database!$A379&amp;" HK Equity","A/H_SHARE_CONVERSION"),"")</f>
        <v/>
      </c>
      <c r="L379" s="17">
        <f>IF(Database!BM379="","(none found)",Database!BM379)</f>
        <v/>
      </c>
      <c r="M379" s="19">
        <f>IFERROR(BDH(Database!$A379&amp;" HK Equity","CUR_MKT_CAP",Database!$H379,Database!$H379),"")</f>
        <v/>
      </c>
      <c r="N379" s="180">
        <f>Database!Q379</f>
        <v/>
      </c>
      <c r="O379" s="24">
        <f>IFERROR(BDH(Database!$A379&amp;" HK Equity","PE_RATIO",Database!$H379,Database!$H379),"")</f>
        <v/>
      </c>
      <c r="P379" s="184">
        <f>IF(Database!BG379="","(n/m or not derivable)",Database!BG379)</f>
        <v/>
      </c>
      <c r="Q379" s="24">
        <f>IF(Database!BM379="","",IFERROR(BDH(LEFT(Database!BM379,FIND(".",Database!BM379)-1)&amp;" CH Equity","PE_RATIO",Database!$H379,Database!$H379),""))</f>
        <v/>
      </c>
      <c r="R379" s="24">
        <f>IF(Database!BM379="","",IFERROR(BDH("HSAHP Index","PX_LAST",Database!$H379,Database!$H379),""))</f>
        <v/>
      </c>
      <c r="S379" s="24">
        <f>IFERROR(BDP(Database!$A379&amp;" HK Equity","PX_TO_SALES_RATIO"),"")</f>
        <v/>
      </c>
      <c r="T379" s="19">
        <f>IF(Database!BM379="","",IFERROR(BDP(LEFT(Database!BM379,FIND(".",Database!BM379)-1)&amp;" CH Equity","CUR_MKT_CAP"),""))</f>
        <v/>
      </c>
    </row>
    <row r="380">
      <c r="A380" s="17">
        <f>Database!A380&amp;"  "&amp;Database!B380</f>
        <v/>
      </c>
      <c r="B380" s="10">
        <f>IFERROR(INDEX(BDS(Database!$A380&amp;" HK Equity","EQUITY_OFFERINGS","array=t","endcol=1"),MATCH("IPO",BDS(Database!$A380&amp;" HK Equity","EQUITY_OFFERINGS","array=t","startcol=2","endcol=2"),0)),"")</f>
        <v/>
      </c>
      <c r="C380" s="186">
        <f>IF($B380="","",IFERROR(BDP($B380&amp;" Action","CP036"),""))</f>
        <v/>
      </c>
      <c r="D380" s="187">
        <f>Database!S380</f>
        <v/>
      </c>
      <c r="E380" s="186">
        <f>IF($B380="","",IFERROR(BDP($B380&amp;" Action","CP037"),""))</f>
        <v/>
      </c>
      <c r="F380" s="187">
        <f>Database!T380</f>
        <v/>
      </c>
      <c r="G380" s="186">
        <f>IF($B380="","",IFERROR(BDP($B380&amp;" Action","GREENSHOE_FACILITY"),""))</f>
        <v/>
      </c>
      <c r="H380" s="186">
        <f>IF($B380="","",IFERROR(BDP($B380&amp;" Action","OFFERING_GREENSHOE_SHARES_EX"),""))</f>
        <v/>
      </c>
      <c r="I380" s="17">
        <f>Database!AE380</f>
        <v/>
      </c>
      <c r="J380" s="24">
        <f>IFERROR(BDP(Database!$A380&amp;" HK Equity","PE_RATIO"),"")</f>
        <v/>
      </c>
      <c r="K380" s="10">
        <f>IFERROR(BDP(Database!$A380&amp;" HK Equity","A/H_SHARE_CONVERSION"),"")</f>
        <v/>
      </c>
      <c r="L380" s="17">
        <f>IF(Database!BM380="","(none found)",Database!BM380)</f>
        <v/>
      </c>
      <c r="M380" s="19">
        <f>IFERROR(BDH(Database!$A380&amp;" HK Equity","CUR_MKT_CAP",Database!$H380,Database!$H380),"")</f>
        <v/>
      </c>
      <c r="N380" s="180">
        <f>Database!Q380</f>
        <v/>
      </c>
      <c r="O380" s="24">
        <f>IFERROR(BDH(Database!$A380&amp;" HK Equity","PE_RATIO",Database!$H380,Database!$H380),"")</f>
        <v/>
      </c>
      <c r="P380" s="184">
        <f>IF(Database!BG380="","(n/m or not derivable)",Database!BG380)</f>
        <v/>
      </c>
      <c r="Q380" s="24">
        <f>IF(Database!BM380="","",IFERROR(BDH(LEFT(Database!BM380,FIND(".",Database!BM380)-1)&amp;" CH Equity","PE_RATIO",Database!$H380,Database!$H380),""))</f>
        <v/>
      </c>
      <c r="R380" s="24">
        <f>IF(Database!BM380="","",IFERROR(BDH("HSAHP Index","PX_LAST",Database!$H380,Database!$H380),""))</f>
        <v/>
      </c>
      <c r="S380" s="24">
        <f>IFERROR(BDP(Database!$A380&amp;" HK Equity","PX_TO_SALES_RATIO"),"")</f>
        <v/>
      </c>
      <c r="T380" s="19">
        <f>IF(Database!BM380="","",IFERROR(BDP(LEFT(Database!BM380,FIND(".",Database!BM380)-1)&amp;" CH Equity","CUR_MKT_CAP"),""))</f>
        <v/>
      </c>
    </row>
    <row r="381">
      <c r="A381" s="17">
        <f>Database!A381&amp;"  "&amp;Database!B381</f>
        <v/>
      </c>
      <c r="B381" s="10">
        <f>IFERROR(INDEX(BDS(Database!$A381&amp;" HK Equity","EQUITY_OFFERINGS","array=t","endcol=1"),MATCH("IPO",BDS(Database!$A381&amp;" HK Equity","EQUITY_OFFERINGS","array=t","startcol=2","endcol=2"),0)),"")</f>
        <v/>
      </c>
      <c r="C381" s="186">
        <f>IF($B381="","",IFERROR(BDP($B381&amp;" Action","CP036"),""))</f>
        <v/>
      </c>
      <c r="D381" s="187">
        <f>Database!S381</f>
        <v/>
      </c>
      <c r="E381" s="186">
        <f>IF($B381="","",IFERROR(BDP($B381&amp;" Action","CP037"),""))</f>
        <v/>
      </c>
      <c r="F381" s="187">
        <f>Database!T381</f>
        <v/>
      </c>
      <c r="G381" s="186">
        <f>IF($B381="","",IFERROR(BDP($B381&amp;" Action","GREENSHOE_FACILITY"),""))</f>
        <v/>
      </c>
      <c r="H381" s="186">
        <f>IF($B381="","",IFERROR(BDP($B381&amp;" Action","OFFERING_GREENSHOE_SHARES_EX"),""))</f>
        <v/>
      </c>
      <c r="I381" s="17">
        <f>Database!AE381</f>
        <v/>
      </c>
      <c r="J381" s="24">
        <f>IFERROR(BDP(Database!$A381&amp;" HK Equity","PE_RATIO"),"")</f>
        <v/>
      </c>
      <c r="K381" s="10">
        <f>IFERROR(BDP(Database!$A381&amp;" HK Equity","A/H_SHARE_CONVERSION"),"")</f>
        <v/>
      </c>
      <c r="L381" s="17">
        <f>IF(Database!BM381="","(none found)",Database!BM381)</f>
        <v/>
      </c>
      <c r="M381" s="19">
        <f>IFERROR(BDH(Database!$A381&amp;" HK Equity","CUR_MKT_CAP",Database!$H381,Database!$H381),"")</f>
        <v/>
      </c>
      <c r="N381" s="180">
        <f>Database!Q381</f>
        <v/>
      </c>
      <c r="O381" s="24">
        <f>IFERROR(BDH(Database!$A381&amp;" HK Equity","PE_RATIO",Database!$H381,Database!$H381),"")</f>
        <v/>
      </c>
      <c r="P381" s="184">
        <f>IF(Database!BG381="","(n/m or not derivable)",Database!BG381)</f>
        <v/>
      </c>
      <c r="Q381" s="24">
        <f>IF(Database!BM381="","",IFERROR(BDH(LEFT(Database!BM381,FIND(".",Database!BM381)-1)&amp;" CH Equity","PE_RATIO",Database!$H381,Database!$H381),""))</f>
        <v/>
      </c>
      <c r="R381" s="24">
        <f>IF(Database!BM381="","",IFERROR(BDH("HSAHP Index","PX_LAST",Database!$H381,Database!$H381),""))</f>
        <v/>
      </c>
      <c r="S381" s="24">
        <f>IFERROR(BDP(Database!$A381&amp;" HK Equity","PX_TO_SALES_RATIO"),"")</f>
        <v/>
      </c>
      <c r="T381" s="19">
        <f>IF(Database!BM381="","",IFERROR(BDP(LEFT(Database!BM381,FIND(".",Database!BM381)-1)&amp;" CH Equity","CUR_MKT_CAP"),""))</f>
        <v/>
      </c>
    </row>
    <row r="382">
      <c r="A382" s="17">
        <f>Database!A382&amp;"  "&amp;Database!B382</f>
        <v/>
      </c>
      <c r="B382" s="10">
        <f>IFERROR(INDEX(BDS(Database!$A382&amp;" HK Equity","EQUITY_OFFERINGS","array=t","endcol=1"),MATCH("IPO",BDS(Database!$A382&amp;" HK Equity","EQUITY_OFFERINGS","array=t","startcol=2","endcol=2"),0)),"")</f>
        <v/>
      </c>
      <c r="C382" s="186">
        <f>IF($B382="","",IFERROR(BDP($B382&amp;" Action","CP036"),""))</f>
        <v/>
      </c>
      <c r="D382" s="187">
        <f>Database!S382</f>
        <v/>
      </c>
      <c r="E382" s="186">
        <f>IF($B382="","",IFERROR(BDP($B382&amp;" Action","CP037"),""))</f>
        <v/>
      </c>
      <c r="F382" s="187">
        <f>Database!T382</f>
        <v/>
      </c>
      <c r="G382" s="186">
        <f>IF($B382="","",IFERROR(BDP($B382&amp;" Action","GREENSHOE_FACILITY"),""))</f>
        <v/>
      </c>
      <c r="H382" s="186">
        <f>IF($B382="","",IFERROR(BDP($B382&amp;" Action","OFFERING_GREENSHOE_SHARES_EX"),""))</f>
        <v/>
      </c>
      <c r="I382" s="17">
        <f>Database!AE382</f>
        <v/>
      </c>
      <c r="J382" s="24">
        <f>IFERROR(BDP(Database!$A382&amp;" HK Equity","PE_RATIO"),"")</f>
        <v/>
      </c>
      <c r="K382" s="10">
        <f>IFERROR(BDP(Database!$A382&amp;" HK Equity","A/H_SHARE_CONVERSION"),"")</f>
        <v/>
      </c>
      <c r="L382" s="17">
        <f>IF(Database!BM382="","(none found)",Database!BM382)</f>
        <v/>
      </c>
      <c r="M382" s="19">
        <f>IFERROR(BDH(Database!$A382&amp;" HK Equity","CUR_MKT_CAP",Database!$H382,Database!$H382),"")</f>
        <v/>
      </c>
      <c r="N382" s="180">
        <f>Database!Q382</f>
        <v/>
      </c>
      <c r="O382" s="24">
        <f>IFERROR(BDH(Database!$A382&amp;" HK Equity","PE_RATIO",Database!$H382,Database!$H382),"")</f>
        <v/>
      </c>
      <c r="P382" s="184">
        <f>IF(Database!BG382="","(n/m or not derivable)",Database!BG382)</f>
        <v/>
      </c>
      <c r="Q382" s="24">
        <f>IF(Database!BM382="","",IFERROR(BDH(LEFT(Database!BM382,FIND(".",Database!BM382)-1)&amp;" CH Equity","PE_RATIO",Database!$H382,Database!$H382),""))</f>
        <v/>
      </c>
      <c r="R382" s="24">
        <f>IF(Database!BM382="","",IFERROR(BDH("HSAHP Index","PX_LAST",Database!$H382,Database!$H382),""))</f>
        <v/>
      </c>
      <c r="S382" s="24">
        <f>IFERROR(BDP(Database!$A382&amp;" HK Equity","PX_TO_SALES_RATIO"),"")</f>
        <v/>
      </c>
      <c r="T382" s="19">
        <f>IF(Database!BM382="","",IFERROR(BDP(LEFT(Database!BM382,FIND(".",Database!BM382)-1)&amp;" CH Equity","CUR_MKT_CAP"),""))</f>
        <v/>
      </c>
    </row>
    <row r="383">
      <c r="A383" s="17">
        <f>Database!A383&amp;"  "&amp;Database!B383</f>
        <v/>
      </c>
      <c r="B383" s="10">
        <f>IFERROR(INDEX(BDS(Database!$A383&amp;" HK Equity","EQUITY_OFFERINGS","array=t","endcol=1"),MATCH("IPO",BDS(Database!$A383&amp;" HK Equity","EQUITY_OFFERINGS","array=t","startcol=2","endcol=2"),0)),"")</f>
        <v/>
      </c>
      <c r="C383" s="186">
        <f>IF($B383="","",IFERROR(BDP($B383&amp;" Action","CP036"),""))</f>
        <v/>
      </c>
      <c r="D383" s="187">
        <f>Database!S383</f>
        <v/>
      </c>
      <c r="E383" s="186">
        <f>IF($B383="","",IFERROR(BDP($B383&amp;" Action","CP037"),""))</f>
        <v/>
      </c>
      <c r="F383" s="187">
        <f>Database!T383</f>
        <v/>
      </c>
      <c r="G383" s="186">
        <f>IF($B383="","",IFERROR(BDP($B383&amp;" Action","GREENSHOE_FACILITY"),""))</f>
        <v/>
      </c>
      <c r="H383" s="186">
        <f>IF($B383="","",IFERROR(BDP($B383&amp;" Action","OFFERING_GREENSHOE_SHARES_EX"),""))</f>
        <v/>
      </c>
      <c r="I383" s="17">
        <f>Database!AE383</f>
        <v/>
      </c>
      <c r="J383" s="24">
        <f>IFERROR(BDP(Database!$A383&amp;" HK Equity","PE_RATIO"),"")</f>
        <v/>
      </c>
      <c r="K383" s="10">
        <f>IFERROR(BDP(Database!$A383&amp;" HK Equity","A/H_SHARE_CONVERSION"),"")</f>
        <v/>
      </c>
      <c r="L383" s="17">
        <f>IF(Database!BM383="","(none found)",Database!BM383)</f>
        <v/>
      </c>
      <c r="M383" s="19">
        <f>IFERROR(BDH(Database!$A383&amp;" HK Equity","CUR_MKT_CAP",Database!$H383,Database!$H383),"")</f>
        <v/>
      </c>
      <c r="N383" s="180">
        <f>Database!Q383</f>
        <v/>
      </c>
      <c r="O383" s="24">
        <f>IFERROR(BDH(Database!$A383&amp;" HK Equity","PE_RATIO",Database!$H383,Database!$H383),"")</f>
        <v/>
      </c>
      <c r="P383" s="184">
        <f>IF(Database!BG383="","(n/m or not derivable)",Database!BG383)</f>
        <v/>
      </c>
      <c r="Q383" s="24">
        <f>IF(Database!BM383="","",IFERROR(BDH(LEFT(Database!BM383,FIND(".",Database!BM383)-1)&amp;" CH Equity","PE_RATIO",Database!$H383,Database!$H383),""))</f>
        <v/>
      </c>
      <c r="R383" s="24">
        <f>IF(Database!BM383="","",IFERROR(BDH("HSAHP Index","PX_LAST",Database!$H383,Database!$H383),""))</f>
        <v/>
      </c>
      <c r="S383" s="24">
        <f>IFERROR(BDP(Database!$A383&amp;" HK Equity","PX_TO_SALES_RATIO"),"")</f>
        <v/>
      </c>
      <c r="T383" s="19">
        <f>IF(Database!BM383="","",IFERROR(BDP(LEFT(Database!BM383,FIND(".",Database!BM383)-1)&amp;" CH Equity","CUR_MKT_CAP"),""))</f>
        <v/>
      </c>
    </row>
    <row r="384">
      <c r="A384" s="17">
        <f>Database!A384&amp;"  "&amp;Database!B384</f>
        <v/>
      </c>
      <c r="B384" s="10">
        <f>IFERROR(INDEX(BDS(Database!$A384&amp;" HK Equity","EQUITY_OFFERINGS","array=t","endcol=1"),MATCH("IPO",BDS(Database!$A384&amp;" HK Equity","EQUITY_OFFERINGS","array=t","startcol=2","endcol=2"),0)),"")</f>
        <v/>
      </c>
      <c r="C384" s="186">
        <f>IF($B384="","",IFERROR(BDP($B384&amp;" Action","CP036"),""))</f>
        <v/>
      </c>
      <c r="D384" s="187">
        <f>Database!S384</f>
        <v/>
      </c>
      <c r="E384" s="186">
        <f>IF($B384="","",IFERROR(BDP($B384&amp;" Action","CP037"),""))</f>
        <v/>
      </c>
      <c r="F384" s="187">
        <f>Database!T384</f>
        <v/>
      </c>
      <c r="G384" s="186">
        <f>IF($B384="","",IFERROR(BDP($B384&amp;" Action","GREENSHOE_FACILITY"),""))</f>
        <v/>
      </c>
      <c r="H384" s="186">
        <f>IF($B384="","",IFERROR(BDP($B384&amp;" Action","OFFERING_GREENSHOE_SHARES_EX"),""))</f>
        <v/>
      </c>
      <c r="I384" s="17">
        <f>Database!AE384</f>
        <v/>
      </c>
      <c r="J384" s="24">
        <f>IFERROR(BDP(Database!$A384&amp;" HK Equity","PE_RATIO"),"")</f>
        <v/>
      </c>
      <c r="K384" s="10">
        <f>IFERROR(BDP(Database!$A384&amp;" HK Equity","A/H_SHARE_CONVERSION"),"")</f>
        <v/>
      </c>
      <c r="L384" s="17">
        <f>IF(Database!BM384="","(none found)",Database!BM384)</f>
        <v/>
      </c>
      <c r="M384" s="19">
        <f>IFERROR(BDH(Database!$A384&amp;" HK Equity","CUR_MKT_CAP",Database!$H384,Database!$H384),"")</f>
        <v/>
      </c>
      <c r="N384" s="180">
        <f>Database!Q384</f>
        <v/>
      </c>
      <c r="O384" s="24">
        <f>IFERROR(BDH(Database!$A384&amp;" HK Equity","PE_RATIO",Database!$H384,Database!$H384),"")</f>
        <v/>
      </c>
      <c r="P384" s="184">
        <f>IF(Database!BG384="","(n/m or not derivable)",Database!BG384)</f>
        <v/>
      </c>
      <c r="Q384" s="24">
        <f>IF(Database!BM384="","",IFERROR(BDH(LEFT(Database!BM384,FIND(".",Database!BM384)-1)&amp;" CH Equity","PE_RATIO",Database!$H384,Database!$H384),""))</f>
        <v/>
      </c>
      <c r="R384" s="24">
        <f>IF(Database!BM384="","",IFERROR(BDH("HSAHP Index","PX_LAST",Database!$H384,Database!$H384),""))</f>
        <v/>
      </c>
      <c r="S384" s="24">
        <f>IFERROR(BDP(Database!$A384&amp;" HK Equity","PX_TO_SALES_RATIO"),"")</f>
        <v/>
      </c>
      <c r="T384" s="19">
        <f>IF(Database!BM384="","",IFERROR(BDP(LEFT(Database!BM384,FIND(".",Database!BM384)-1)&amp;" CH Equity","CUR_MKT_CAP"),""))</f>
        <v/>
      </c>
    </row>
    <row r="385">
      <c r="A385" s="17">
        <f>Database!A385&amp;"  "&amp;Database!B385</f>
        <v/>
      </c>
      <c r="B385" s="10">
        <f>IFERROR(INDEX(BDS(Database!$A385&amp;" HK Equity","EQUITY_OFFERINGS","array=t","endcol=1"),MATCH("IPO",BDS(Database!$A385&amp;" HK Equity","EQUITY_OFFERINGS","array=t","startcol=2","endcol=2"),0)),"")</f>
        <v/>
      </c>
      <c r="C385" s="186">
        <f>IF($B385="","",IFERROR(BDP($B385&amp;" Action","CP036"),""))</f>
        <v/>
      </c>
      <c r="D385" s="187">
        <f>Database!S385</f>
        <v/>
      </c>
      <c r="E385" s="186">
        <f>IF($B385="","",IFERROR(BDP($B385&amp;" Action","CP037"),""))</f>
        <v/>
      </c>
      <c r="F385" s="187">
        <f>Database!T385</f>
        <v/>
      </c>
      <c r="G385" s="186">
        <f>IF($B385="","",IFERROR(BDP($B385&amp;" Action","GREENSHOE_FACILITY"),""))</f>
        <v/>
      </c>
      <c r="H385" s="186">
        <f>IF($B385="","",IFERROR(BDP($B385&amp;" Action","OFFERING_GREENSHOE_SHARES_EX"),""))</f>
        <v/>
      </c>
      <c r="I385" s="17">
        <f>Database!AE385</f>
        <v/>
      </c>
      <c r="J385" s="24">
        <f>IFERROR(BDP(Database!$A385&amp;" HK Equity","PE_RATIO"),"")</f>
        <v/>
      </c>
      <c r="K385" s="10">
        <f>IFERROR(BDP(Database!$A385&amp;" HK Equity","A/H_SHARE_CONVERSION"),"")</f>
        <v/>
      </c>
      <c r="L385" s="17">
        <f>IF(Database!BM385="","(none found)",Database!BM385)</f>
        <v/>
      </c>
      <c r="M385" s="19">
        <f>IFERROR(BDH(Database!$A385&amp;" HK Equity","CUR_MKT_CAP",Database!$H385,Database!$H385),"")</f>
        <v/>
      </c>
      <c r="N385" s="180">
        <f>Database!Q385</f>
        <v/>
      </c>
      <c r="O385" s="24">
        <f>IFERROR(BDH(Database!$A385&amp;" HK Equity","PE_RATIO",Database!$H385,Database!$H385),"")</f>
        <v/>
      </c>
      <c r="P385" s="184">
        <f>IF(Database!BG385="","(n/m or not derivable)",Database!BG385)</f>
        <v/>
      </c>
      <c r="Q385" s="24">
        <f>IF(Database!BM385="","",IFERROR(BDH(LEFT(Database!BM385,FIND(".",Database!BM385)-1)&amp;" CH Equity","PE_RATIO",Database!$H385,Database!$H385),""))</f>
        <v/>
      </c>
      <c r="R385" s="24">
        <f>IF(Database!BM385="","",IFERROR(BDH("HSAHP Index","PX_LAST",Database!$H385,Database!$H385),""))</f>
        <v/>
      </c>
      <c r="S385" s="24">
        <f>IFERROR(BDP(Database!$A385&amp;" HK Equity","PX_TO_SALES_RATIO"),"")</f>
        <v/>
      </c>
      <c r="T385" s="19">
        <f>IF(Database!BM385="","",IFERROR(BDP(LEFT(Database!BM385,FIND(".",Database!BM385)-1)&amp;" CH Equity","CUR_MKT_CAP"),""))</f>
        <v/>
      </c>
    </row>
    <row r="386">
      <c r="A386" s="17">
        <f>Database!A386&amp;"  "&amp;Database!B386</f>
        <v/>
      </c>
      <c r="B386" s="10">
        <f>IFERROR(INDEX(BDS(Database!$A386&amp;" HK Equity","EQUITY_OFFERINGS","array=t","endcol=1"),MATCH("IPO",BDS(Database!$A386&amp;" HK Equity","EQUITY_OFFERINGS","array=t","startcol=2","endcol=2"),0)),"")</f>
        <v/>
      </c>
      <c r="C386" s="186">
        <f>IF($B386="","",IFERROR(BDP($B386&amp;" Action","CP036"),""))</f>
        <v/>
      </c>
      <c r="D386" s="187">
        <f>Database!S386</f>
        <v/>
      </c>
      <c r="E386" s="186">
        <f>IF($B386="","",IFERROR(BDP($B386&amp;" Action","CP037"),""))</f>
        <v/>
      </c>
      <c r="F386" s="187">
        <f>Database!T386</f>
        <v/>
      </c>
      <c r="G386" s="186">
        <f>IF($B386="","",IFERROR(BDP($B386&amp;" Action","GREENSHOE_FACILITY"),""))</f>
        <v/>
      </c>
      <c r="H386" s="186">
        <f>IF($B386="","",IFERROR(BDP($B386&amp;" Action","OFFERING_GREENSHOE_SHARES_EX"),""))</f>
        <v/>
      </c>
      <c r="I386" s="17">
        <f>Database!AE386</f>
        <v/>
      </c>
      <c r="J386" s="24">
        <f>IFERROR(BDP(Database!$A386&amp;" HK Equity","PE_RATIO"),"")</f>
        <v/>
      </c>
      <c r="K386" s="10">
        <f>IFERROR(BDP(Database!$A386&amp;" HK Equity","A/H_SHARE_CONVERSION"),"")</f>
        <v/>
      </c>
      <c r="L386" s="17">
        <f>IF(Database!BM386="","(none found)",Database!BM386)</f>
        <v/>
      </c>
      <c r="M386" s="19">
        <f>IFERROR(BDH(Database!$A386&amp;" HK Equity","CUR_MKT_CAP",Database!$H386,Database!$H386),"")</f>
        <v/>
      </c>
      <c r="N386" s="180">
        <f>Database!Q386</f>
        <v/>
      </c>
      <c r="O386" s="24">
        <f>IFERROR(BDH(Database!$A386&amp;" HK Equity","PE_RATIO",Database!$H386,Database!$H386),"")</f>
        <v/>
      </c>
      <c r="P386" s="184">
        <f>IF(Database!BG386="","(n/m or not derivable)",Database!BG386)</f>
        <v/>
      </c>
      <c r="Q386" s="24">
        <f>IF(Database!BM386="","",IFERROR(BDH(LEFT(Database!BM386,FIND(".",Database!BM386)-1)&amp;" CH Equity","PE_RATIO",Database!$H386,Database!$H386),""))</f>
        <v/>
      </c>
      <c r="R386" s="24">
        <f>IF(Database!BM386="","",IFERROR(BDH("HSAHP Index","PX_LAST",Database!$H386,Database!$H386),""))</f>
        <v/>
      </c>
      <c r="S386" s="24">
        <f>IFERROR(BDP(Database!$A386&amp;" HK Equity","PX_TO_SALES_RATIO"),"")</f>
        <v/>
      </c>
      <c r="T386" s="19">
        <f>IF(Database!BM386="","",IFERROR(BDP(LEFT(Database!BM386,FIND(".",Database!BM386)-1)&amp;" CH Equity","CUR_MKT_CAP"),""))</f>
        <v/>
      </c>
    </row>
    <row r="387">
      <c r="A387" s="17">
        <f>Database!A387&amp;"  "&amp;Database!B387</f>
        <v/>
      </c>
      <c r="B387" s="10">
        <f>IFERROR(INDEX(BDS(Database!$A387&amp;" HK Equity","EQUITY_OFFERINGS","array=t","endcol=1"),MATCH("IPO",BDS(Database!$A387&amp;" HK Equity","EQUITY_OFFERINGS","array=t","startcol=2","endcol=2"),0)),"")</f>
        <v/>
      </c>
      <c r="C387" s="186">
        <f>IF($B387="","",IFERROR(BDP($B387&amp;" Action","CP036"),""))</f>
        <v/>
      </c>
      <c r="D387" s="187">
        <f>Database!S387</f>
        <v/>
      </c>
      <c r="E387" s="186">
        <f>IF($B387="","",IFERROR(BDP($B387&amp;" Action","CP037"),""))</f>
        <v/>
      </c>
      <c r="F387" s="187">
        <f>Database!T387</f>
        <v/>
      </c>
      <c r="G387" s="186">
        <f>IF($B387="","",IFERROR(BDP($B387&amp;" Action","GREENSHOE_FACILITY"),""))</f>
        <v/>
      </c>
      <c r="H387" s="186">
        <f>IF($B387="","",IFERROR(BDP($B387&amp;" Action","OFFERING_GREENSHOE_SHARES_EX"),""))</f>
        <v/>
      </c>
      <c r="I387" s="17">
        <f>Database!AE387</f>
        <v/>
      </c>
      <c r="J387" s="24">
        <f>IFERROR(BDP(Database!$A387&amp;" HK Equity","PE_RATIO"),"")</f>
        <v/>
      </c>
      <c r="K387" s="10">
        <f>IFERROR(BDP(Database!$A387&amp;" HK Equity","A/H_SHARE_CONVERSION"),"")</f>
        <v/>
      </c>
      <c r="L387" s="17">
        <f>IF(Database!BM387="","(none found)",Database!BM387)</f>
        <v/>
      </c>
      <c r="M387" s="19">
        <f>IFERROR(BDH(Database!$A387&amp;" HK Equity","CUR_MKT_CAP",Database!$H387,Database!$H387),"")</f>
        <v/>
      </c>
      <c r="N387" s="180">
        <f>Database!Q387</f>
        <v/>
      </c>
      <c r="O387" s="24">
        <f>IFERROR(BDH(Database!$A387&amp;" HK Equity","PE_RATIO",Database!$H387,Database!$H387),"")</f>
        <v/>
      </c>
      <c r="P387" s="184">
        <f>IF(Database!BG387="","(n/m or not derivable)",Database!BG387)</f>
        <v/>
      </c>
      <c r="Q387" s="24">
        <f>IF(Database!BM387="","",IFERROR(BDH(LEFT(Database!BM387,FIND(".",Database!BM387)-1)&amp;" CH Equity","PE_RATIO",Database!$H387,Database!$H387),""))</f>
        <v/>
      </c>
      <c r="R387" s="24">
        <f>IF(Database!BM387="","",IFERROR(BDH("HSAHP Index","PX_LAST",Database!$H387,Database!$H387),""))</f>
        <v/>
      </c>
      <c r="S387" s="24">
        <f>IFERROR(BDP(Database!$A387&amp;" HK Equity","PX_TO_SALES_RATIO"),"")</f>
        <v/>
      </c>
      <c r="T387" s="19">
        <f>IF(Database!BM387="","",IFERROR(BDP(LEFT(Database!BM387,FIND(".",Database!BM387)-1)&amp;" CH Equity","CUR_MKT_CAP"),""))</f>
        <v/>
      </c>
    </row>
    <row r="388">
      <c r="A388" s="17">
        <f>Database!A388&amp;"  "&amp;Database!B388</f>
        <v/>
      </c>
      <c r="B388" s="10">
        <f>IFERROR(INDEX(BDS(Database!$A388&amp;" HK Equity","EQUITY_OFFERINGS","array=t","endcol=1"),MATCH("IPO",BDS(Database!$A388&amp;" HK Equity","EQUITY_OFFERINGS","array=t","startcol=2","endcol=2"),0)),"")</f>
        <v/>
      </c>
      <c r="C388" s="186">
        <f>IF($B388="","",IFERROR(BDP($B388&amp;" Action","CP036"),""))</f>
        <v/>
      </c>
      <c r="D388" s="187">
        <f>Database!S388</f>
        <v/>
      </c>
      <c r="E388" s="186">
        <f>IF($B388="","",IFERROR(BDP($B388&amp;" Action","CP037"),""))</f>
        <v/>
      </c>
      <c r="F388" s="187">
        <f>Database!T388</f>
        <v/>
      </c>
      <c r="G388" s="186">
        <f>IF($B388="","",IFERROR(BDP($B388&amp;" Action","GREENSHOE_FACILITY"),""))</f>
        <v/>
      </c>
      <c r="H388" s="186">
        <f>IF($B388="","",IFERROR(BDP($B388&amp;" Action","OFFERING_GREENSHOE_SHARES_EX"),""))</f>
        <v/>
      </c>
      <c r="I388" s="17">
        <f>Database!AE388</f>
        <v/>
      </c>
      <c r="J388" s="24">
        <f>IFERROR(BDP(Database!$A388&amp;" HK Equity","PE_RATIO"),"")</f>
        <v/>
      </c>
      <c r="K388" s="10">
        <f>IFERROR(BDP(Database!$A388&amp;" HK Equity","A/H_SHARE_CONVERSION"),"")</f>
        <v/>
      </c>
      <c r="L388" s="17">
        <f>IF(Database!BM388="","(none found)",Database!BM388)</f>
        <v/>
      </c>
      <c r="M388" s="19">
        <f>IFERROR(BDH(Database!$A388&amp;" HK Equity","CUR_MKT_CAP",Database!$H388,Database!$H388),"")</f>
        <v/>
      </c>
      <c r="N388" s="180">
        <f>Database!Q388</f>
        <v/>
      </c>
      <c r="O388" s="24">
        <f>IFERROR(BDH(Database!$A388&amp;" HK Equity","PE_RATIO",Database!$H388,Database!$H388),"")</f>
        <v/>
      </c>
      <c r="P388" s="184">
        <f>IF(Database!BG388="","(n/m or not derivable)",Database!BG388)</f>
        <v/>
      </c>
      <c r="Q388" s="24">
        <f>IF(Database!BM388="","",IFERROR(BDH(LEFT(Database!BM388,FIND(".",Database!BM388)-1)&amp;" CH Equity","PE_RATIO",Database!$H388,Database!$H388),""))</f>
        <v/>
      </c>
      <c r="R388" s="24">
        <f>IF(Database!BM388="","",IFERROR(BDH("HSAHP Index","PX_LAST",Database!$H388,Database!$H388),""))</f>
        <v/>
      </c>
      <c r="S388" s="24">
        <f>IFERROR(BDP(Database!$A388&amp;" HK Equity","PX_TO_SALES_RATIO"),"")</f>
        <v/>
      </c>
      <c r="T388" s="19">
        <f>IF(Database!BM388="","",IFERROR(BDP(LEFT(Database!BM388,FIND(".",Database!BM388)-1)&amp;" CH Equity","CUR_MKT_CAP"),""))</f>
        <v/>
      </c>
    </row>
    <row r="389">
      <c r="A389" s="17">
        <f>Database!A389&amp;"  "&amp;Database!B389</f>
        <v/>
      </c>
      <c r="B389" s="10">
        <f>IFERROR(INDEX(BDS(Database!$A389&amp;" HK Equity","EQUITY_OFFERINGS","array=t","endcol=1"),MATCH("IPO",BDS(Database!$A389&amp;" HK Equity","EQUITY_OFFERINGS","array=t","startcol=2","endcol=2"),0)),"")</f>
        <v/>
      </c>
      <c r="C389" s="186">
        <f>IF($B389="","",IFERROR(BDP($B389&amp;" Action","CP036"),""))</f>
        <v/>
      </c>
      <c r="D389" s="187">
        <f>Database!S389</f>
        <v/>
      </c>
      <c r="E389" s="186">
        <f>IF($B389="","",IFERROR(BDP($B389&amp;" Action","CP037"),""))</f>
        <v/>
      </c>
      <c r="F389" s="187">
        <f>Database!T389</f>
        <v/>
      </c>
      <c r="G389" s="186">
        <f>IF($B389="","",IFERROR(BDP($B389&amp;" Action","GREENSHOE_FACILITY"),""))</f>
        <v/>
      </c>
      <c r="H389" s="186">
        <f>IF($B389="","",IFERROR(BDP($B389&amp;" Action","OFFERING_GREENSHOE_SHARES_EX"),""))</f>
        <v/>
      </c>
      <c r="I389" s="17">
        <f>Database!AE389</f>
        <v/>
      </c>
      <c r="J389" s="24">
        <f>IFERROR(BDP(Database!$A389&amp;" HK Equity","PE_RATIO"),"")</f>
        <v/>
      </c>
      <c r="K389" s="10">
        <f>IFERROR(BDP(Database!$A389&amp;" HK Equity","A/H_SHARE_CONVERSION"),"")</f>
        <v/>
      </c>
      <c r="L389" s="17">
        <f>IF(Database!BM389="","(none found)",Database!BM389)</f>
        <v/>
      </c>
      <c r="M389" s="19">
        <f>IFERROR(BDH(Database!$A389&amp;" HK Equity","CUR_MKT_CAP",Database!$H389,Database!$H389),"")</f>
        <v/>
      </c>
      <c r="N389" s="180">
        <f>Database!Q389</f>
        <v/>
      </c>
      <c r="O389" s="24">
        <f>IFERROR(BDH(Database!$A389&amp;" HK Equity","PE_RATIO",Database!$H389,Database!$H389),"")</f>
        <v/>
      </c>
      <c r="P389" s="184">
        <f>IF(Database!BG389="","(n/m or not derivable)",Database!BG389)</f>
        <v/>
      </c>
      <c r="Q389" s="24">
        <f>IF(Database!BM389="","",IFERROR(BDH(LEFT(Database!BM389,FIND(".",Database!BM389)-1)&amp;" CH Equity","PE_RATIO",Database!$H389,Database!$H389),""))</f>
        <v/>
      </c>
      <c r="R389" s="24">
        <f>IF(Database!BM389="","",IFERROR(BDH("HSAHP Index","PX_LAST",Database!$H389,Database!$H389),""))</f>
        <v/>
      </c>
      <c r="S389" s="24">
        <f>IFERROR(BDP(Database!$A389&amp;" HK Equity","PX_TO_SALES_RATIO"),"")</f>
        <v/>
      </c>
      <c r="T389" s="19">
        <f>IF(Database!BM389="","",IFERROR(BDP(LEFT(Database!BM389,FIND(".",Database!BM389)-1)&amp;" CH Equity","CUR_MKT_CAP"),""))</f>
        <v/>
      </c>
    </row>
    <row r="390">
      <c r="A390" s="17">
        <f>Database!A390&amp;"  "&amp;Database!B390</f>
        <v/>
      </c>
      <c r="B390" s="10">
        <f>IFERROR(INDEX(BDS(Database!$A390&amp;" HK Equity","EQUITY_OFFERINGS","array=t","endcol=1"),MATCH("IPO",BDS(Database!$A390&amp;" HK Equity","EQUITY_OFFERINGS","array=t","startcol=2","endcol=2"),0)),"")</f>
        <v/>
      </c>
      <c r="C390" s="186">
        <f>IF($B390="","",IFERROR(BDP($B390&amp;" Action","CP036"),""))</f>
        <v/>
      </c>
      <c r="D390" s="187">
        <f>Database!S390</f>
        <v/>
      </c>
      <c r="E390" s="186">
        <f>IF($B390="","",IFERROR(BDP($B390&amp;" Action","CP037"),""))</f>
        <v/>
      </c>
      <c r="F390" s="187">
        <f>Database!T390</f>
        <v/>
      </c>
      <c r="G390" s="186">
        <f>IF($B390="","",IFERROR(BDP($B390&amp;" Action","GREENSHOE_FACILITY"),""))</f>
        <v/>
      </c>
      <c r="H390" s="186">
        <f>IF($B390="","",IFERROR(BDP($B390&amp;" Action","OFFERING_GREENSHOE_SHARES_EX"),""))</f>
        <v/>
      </c>
      <c r="I390" s="17">
        <f>Database!AE390</f>
        <v/>
      </c>
      <c r="J390" s="24">
        <f>IFERROR(BDP(Database!$A390&amp;" HK Equity","PE_RATIO"),"")</f>
        <v/>
      </c>
      <c r="K390" s="10">
        <f>IFERROR(BDP(Database!$A390&amp;" HK Equity","A/H_SHARE_CONVERSION"),"")</f>
        <v/>
      </c>
      <c r="L390" s="17">
        <f>IF(Database!BM390="","(none found)",Database!BM390)</f>
        <v/>
      </c>
      <c r="M390" s="19">
        <f>IFERROR(BDH(Database!$A390&amp;" HK Equity","CUR_MKT_CAP",Database!$H390,Database!$H390),"")</f>
        <v/>
      </c>
      <c r="N390" s="180">
        <f>Database!Q390</f>
        <v/>
      </c>
      <c r="O390" s="24">
        <f>IFERROR(BDH(Database!$A390&amp;" HK Equity","PE_RATIO",Database!$H390,Database!$H390),"")</f>
        <v/>
      </c>
      <c r="P390" s="184">
        <f>IF(Database!BG390="","(n/m or not derivable)",Database!BG390)</f>
        <v/>
      </c>
      <c r="Q390" s="24">
        <f>IF(Database!BM390="","",IFERROR(BDH(LEFT(Database!BM390,FIND(".",Database!BM390)-1)&amp;" CH Equity","PE_RATIO",Database!$H390,Database!$H390),""))</f>
        <v/>
      </c>
      <c r="R390" s="24">
        <f>IF(Database!BM390="","",IFERROR(BDH("HSAHP Index","PX_LAST",Database!$H390,Database!$H390),""))</f>
        <v/>
      </c>
      <c r="S390" s="24">
        <f>IFERROR(BDP(Database!$A390&amp;" HK Equity","PX_TO_SALES_RATIO"),"")</f>
        <v/>
      </c>
      <c r="T390" s="19">
        <f>IF(Database!BM390="","",IFERROR(BDP(LEFT(Database!BM390,FIND(".",Database!BM390)-1)&amp;" CH Equity","CUR_MKT_CAP"),""))</f>
        <v/>
      </c>
    </row>
    <row r="391">
      <c r="A391" s="17">
        <f>Database!A391&amp;"  "&amp;Database!B391</f>
        <v/>
      </c>
      <c r="B391" s="10">
        <f>IFERROR(INDEX(BDS(Database!$A391&amp;" HK Equity","EQUITY_OFFERINGS","array=t","endcol=1"),MATCH("IPO",BDS(Database!$A391&amp;" HK Equity","EQUITY_OFFERINGS","array=t","startcol=2","endcol=2"),0)),"")</f>
        <v/>
      </c>
      <c r="C391" s="186">
        <f>IF($B391="","",IFERROR(BDP($B391&amp;" Action","CP036"),""))</f>
        <v/>
      </c>
      <c r="D391" s="187">
        <f>Database!S391</f>
        <v/>
      </c>
      <c r="E391" s="186">
        <f>IF($B391="","",IFERROR(BDP($B391&amp;" Action","CP037"),""))</f>
        <v/>
      </c>
      <c r="F391" s="187">
        <f>Database!T391</f>
        <v/>
      </c>
      <c r="G391" s="186">
        <f>IF($B391="","",IFERROR(BDP($B391&amp;" Action","GREENSHOE_FACILITY"),""))</f>
        <v/>
      </c>
      <c r="H391" s="186">
        <f>IF($B391="","",IFERROR(BDP($B391&amp;" Action","OFFERING_GREENSHOE_SHARES_EX"),""))</f>
        <v/>
      </c>
      <c r="I391" s="17">
        <f>Database!AE391</f>
        <v/>
      </c>
      <c r="J391" s="24">
        <f>IFERROR(BDP(Database!$A391&amp;" HK Equity","PE_RATIO"),"")</f>
        <v/>
      </c>
      <c r="K391" s="10">
        <f>IFERROR(BDP(Database!$A391&amp;" HK Equity","A/H_SHARE_CONVERSION"),"")</f>
        <v/>
      </c>
      <c r="L391" s="17">
        <f>IF(Database!BM391="","(none found)",Database!BM391)</f>
        <v/>
      </c>
      <c r="M391" s="19">
        <f>IFERROR(BDH(Database!$A391&amp;" HK Equity","CUR_MKT_CAP",Database!$H391,Database!$H391),"")</f>
        <v/>
      </c>
      <c r="N391" s="180">
        <f>Database!Q391</f>
        <v/>
      </c>
      <c r="O391" s="24">
        <f>IFERROR(BDH(Database!$A391&amp;" HK Equity","PE_RATIO",Database!$H391,Database!$H391),"")</f>
        <v/>
      </c>
      <c r="P391" s="184">
        <f>IF(Database!BG391="","(n/m or not derivable)",Database!BG391)</f>
        <v/>
      </c>
      <c r="Q391" s="24">
        <f>IF(Database!BM391="","",IFERROR(BDH(LEFT(Database!BM391,FIND(".",Database!BM391)-1)&amp;" CH Equity","PE_RATIO",Database!$H391,Database!$H391),""))</f>
        <v/>
      </c>
      <c r="R391" s="24">
        <f>IF(Database!BM391="","",IFERROR(BDH("HSAHP Index","PX_LAST",Database!$H391,Database!$H391),""))</f>
        <v/>
      </c>
      <c r="S391" s="24">
        <f>IFERROR(BDP(Database!$A391&amp;" HK Equity","PX_TO_SALES_RATIO"),"")</f>
        <v/>
      </c>
      <c r="T391" s="19">
        <f>IF(Database!BM391="","",IFERROR(BDP(LEFT(Database!BM391,FIND(".",Database!BM391)-1)&amp;" CH Equity","CUR_MKT_CAP"),""))</f>
        <v/>
      </c>
    </row>
    <row r="392">
      <c r="A392" s="17">
        <f>Database!A392&amp;"  "&amp;Database!B392</f>
        <v/>
      </c>
      <c r="B392" s="10">
        <f>IFERROR(INDEX(BDS(Database!$A392&amp;" HK Equity","EQUITY_OFFERINGS","array=t","endcol=1"),MATCH("IPO",BDS(Database!$A392&amp;" HK Equity","EQUITY_OFFERINGS","array=t","startcol=2","endcol=2"),0)),"")</f>
        <v/>
      </c>
      <c r="C392" s="186">
        <f>IF($B392="","",IFERROR(BDP($B392&amp;" Action","CP036"),""))</f>
        <v/>
      </c>
      <c r="D392" s="187">
        <f>Database!S392</f>
        <v/>
      </c>
      <c r="E392" s="186">
        <f>IF($B392="","",IFERROR(BDP($B392&amp;" Action","CP037"),""))</f>
        <v/>
      </c>
      <c r="F392" s="187">
        <f>Database!T392</f>
        <v/>
      </c>
      <c r="G392" s="186">
        <f>IF($B392="","",IFERROR(BDP($B392&amp;" Action","GREENSHOE_FACILITY"),""))</f>
        <v/>
      </c>
      <c r="H392" s="186">
        <f>IF($B392="","",IFERROR(BDP($B392&amp;" Action","OFFERING_GREENSHOE_SHARES_EX"),""))</f>
        <v/>
      </c>
      <c r="I392" s="17">
        <f>Database!AE392</f>
        <v/>
      </c>
      <c r="J392" s="24">
        <f>IFERROR(BDP(Database!$A392&amp;" HK Equity","PE_RATIO"),"")</f>
        <v/>
      </c>
      <c r="K392" s="10">
        <f>IFERROR(BDP(Database!$A392&amp;" HK Equity","A/H_SHARE_CONVERSION"),"")</f>
        <v/>
      </c>
      <c r="L392" s="17">
        <f>IF(Database!BM392="","(none found)",Database!BM392)</f>
        <v/>
      </c>
      <c r="M392" s="19">
        <f>IFERROR(BDH(Database!$A392&amp;" HK Equity","CUR_MKT_CAP",Database!$H392,Database!$H392),"")</f>
        <v/>
      </c>
      <c r="N392" s="180">
        <f>Database!Q392</f>
        <v/>
      </c>
      <c r="O392" s="24">
        <f>IFERROR(BDH(Database!$A392&amp;" HK Equity","PE_RATIO",Database!$H392,Database!$H392),"")</f>
        <v/>
      </c>
      <c r="P392" s="184">
        <f>IF(Database!BG392="","(n/m or not derivable)",Database!BG392)</f>
        <v/>
      </c>
      <c r="Q392" s="24">
        <f>IF(Database!BM392="","",IFERROR(BDH(LEFT(Database!BM392,FIND(".",Database!BM392)-1)&amp;" CH Equity","PE_RATIO",Database!$H392,Database!$H392),""))</f>
        <v/>
      </c>
      <c r="R392" s="24">
        <f>IF(Database!BM392="","",IFERROR(BDH("HSAHP Index","PX_LAST",Database!$H392,Database!$H392),""))</f>
        <v/>
      </c>
      <c r="S392" s="24">
        <f>IFERROR(BDP(Database!$A392&amp;" HK Equity","PX_TO_SALES_RATIO"),"")</f>
        <v/>
      </c>
      <c r="T392" s="19">
        <f>IF(Database!BM392="","",IFERROR(BDP(LEFT(Database!BM392,FIND(".",Database!BM392)-1)&amp;" CH Equity","CUR_MKT_CAP"),""))</f>
        <v/>
      </c>
    </row>
    <row r="393">
      <c r="A393" s="17">
        <f>Database!A393&amp;"  "&amp;Database!B393</f>
        <v/>
      </c>
      <c r="B393" s="10">
        <f>IFERROR(INDEX(BDS(Database!$A393&amp;" HK Equity","EQUITY_OFFERINGS","array=t","endcol=1"),MATCH("IPO",BDS(Database!$A393&amp;" HK Equity","EQUITY_OFFERINGS","array=t","startcol=2","endcol=2"),0)),"")</f>
        <v/>
      </c>
      <c r="C393" s="186">
        <f>IF($B393="","",IFERROR(BDP($B393&amp;" Action","CP036"),""))</f>
        <v/>
      </c>
      <c r="D393" s="187">
        <f>Database!S393</f>
        <v/>
      </c>
      <c r="E393" s="186">
        <f>IF($B393="","",IFERROR(BDP($B393&amp;" Action","CP037"),""))</f>
        <v/>
      </c>
      <c r="F393" s="187">
        <f>Database!T393</f>
        <v/>
      </c>
      <c r="G393" s="186">
        <f>IF($B393="","",IFERROR(BDP($B393&amp;" Action","GREENSHOE_FACILITY"),""))</f>
        <v/>
      </c>
      <c r="H393" s="186">
        <f>IF($B393="","",IFERROR(BDP($B393&amp;" Action","OFFERING_GREENSHOE_SHARES_EX"),""))</f>
        <v/>
      </c>
      <c r="I393" s="17">
        <f>Database!AE393</f>
        <v/>
      </c>
      <c r="J393" s="24">
        <f>IFERROR(BDP(Database!$A393&amp;" HK Equity","PE_RATIO"),"")</f>
        <v/>
      </c>
      <c r="K393" s="10">
        <f>IFERROR(BDP(Database!$A393&amp;" HK Equity","A/H_SHARE_CONVERSION"),"")</f>
        <v/>
      </c>
      <c r="L393" s="17">
        <f>IF(Database!BM393="","(none found)",Database!BM393)</f>
        <v/>
      </c>
      <c r="M393" s="19">
        <f>IFERROR(BDH(Database!$A393&amp;" HK Equity","CUR_MKT_CAP",Database!$H393,Database!$H393),"")</f>
        <v/>
      </c>
      <c r="N393" s="180">
        <f>Database!Q393</f>
        <v/>
      </c>
      <c r="O393" s="24">
        <f>IFERROR(BDH(Database!$A393&amp;" HK Equity","PE_RATIO",Database!$H393,Database!$H393),"")</f>
        <v/>
      </c>
      <c r="P393" s="184">
        <f>IF(Database!BG393="","(n/m or not derivable)",Database!BG393)</f>
        <v/>
      </c>
      <c r="Q393" s="24">
        <f>IF(Database!BM393="","",IFERROR(BDH(LEFT(Database!BM393,FIND(".",Database!BM393)-1)&amp;" CH Equity","PE_RATIO",Database!$H393,Database!$H393),""))</f>
        <v/>
      </c>
      <c r="R393" s="24">
        <f>IF(Database!BM393="","",IFERROR(BDH("HSAHP Index","PX_LAST",Database!$H393,Database!$H393),""))</f>
        <v/>
      </c>
      <c r="S393" s="24">
        <f>IFERROR(BDP(Database!$A393&amp;" HK Equity","PX_TO_SALES_RATIO"),"")</f>
        <v/>
      </c>
      <c r="T393" s="19">
        <f>IF(Database!BM393="","",IFERROR(BDP(LEFT(Database!BM393,FIND(".",Database!BM393)-1)&amp;" CH Equity","CUR_MKT_CAP"),""))</f>
        <v/>
      </c>
    </row>
    <row r="394">
      <c r="A394" s="17">
        <f>Database!A394&amp;"  "&amp;Database!B394</f>
        <v/>
      </c>
      <c r="B394" s="10">
        <f>IFERROR(INDEX(BDS(Database!$A394&amp;" HK Equity","EQUITY_OFFERINGS","array=t","endcol=1"),MATCH("IPO",BDS(Database!$A394&amp;" HK Equity","EQUITY_OFFERINGS","array=t","startcol=2","endcol=2"),0)),"")</f>
        <v/>
      </c>
      <c r="C394" s="186">
        <f>IF($B394="","",IFERROR(BDP($B394&amp;" Action","CP036"),""))</f>
        <v/>
      </c>
      <c r="D394" s="187">
        <f>Database!S394</f>
        <v/>
      </c>
      <c r="E394" s="186">
        <f>IF($B394="","",IFERROR(BDP($B394&amp;" Action","CP037"),""))</f>
        <v/>
      </c>
      <c r="F394" s="187">
        <f>Database!T394</f>
        <v/>
      </c>
      <c r="G394" s="186">
        <f>IF($B394="","",IFERROR(BDP($B394&amp;" Action","GREENSHOE_FACILITY"),""))</f>
        <v/>
      </c>
      <c r="H394" s="186">
        <f>IF($B394="","",IFERROR(BDP($B394&amp;" Action","OFFERING_GREENSHOE_SHARES_EX"),""))</f>
        <v/>
      </c>
      <c r="I394" s="17">
        <f>Database!AE394</f>
        <v/>
      </c>
      <c r="J394" s="24">
        <f>IFERROR(BDP(Database!$A394&amp;" HK Equity","PE_RATIO"),"")</f>
        <v/>
      </c>
      <c r="K394" s="10">
        <f>IFERROR(BDP(Database!$A394&amp;" HK Equity","A/H_SHARE_CONVERSION"),"")</f>
        <v/>
      </c>
      <c r="L394" s="17">
        <f>IF(Database!BM394="","(none found)",Database!BM394)</f>
        <v/>
      </c>
      <c r="M394" s="19">
        <f>IFERROR(BDH(Database!$A394&amp;" HK Equity","CUR_MKT_CAP",Database!$H394,Database!$H394),"")</f>
        <v/>
      </c>
      <c r="N394" s="180">
        <f>Database!Q394</f>
        <v/>
      </c>
      <c r="O394" s="24">
        <f>IFERROR(BDH(Database!$A394&amp;" HK Equity","PE_RATIO",Database!$H394,Database!$H394),"")</f>
        <v/>
      </c>
      <c r="P394" s="184">
        <f>IF(Database!BG394="","(n/m or not derivable)",Database!BG394)</f>
        <v/>
      </c>
      <c r="Q394" s="24">
        <f>IF(Database!BM394="","",IFERROR(BDH(LEFT(Database!BM394,FIND(".",Database!BM394)-1)&amp;" CH Equity","PE_RATIO",Database!$H394,Database!$H394),""))</f>
        <v/>
      </c>
      <c r="R394" s="24">
        <f>IF(Database!BM394="","",IFERROR(BDH("HSAHP Index","PX_LAST",Database!$H394,Database!$H394),""))</f>
        <v/>
      </c>
      <c r="S394" s="24">
        <f>IFERROR(BDP(Database!$A394&amp;" HK Equity","PX_TO_SALES_RATIO"),"")</f>
        <v/>
      </c>
      <c r="T394" s="19">
        <f>IF(Database!BM394="","",IFERROR(BDP(LEFT(Database!BM394,FIND(".",Database!BM394)-1)&amp;" CH Equity","CUR_MKT_CAP"),""))</f>
        <v/>
      </c>
    </row>
    <row r="395">
      <c r="A395" s="17">
        <f>Database!A395&amp;"  "&amp;Database!B395</f>
        <v/>
      </c>
      <c r="B395" s="10">
        <f>IFERROR(INDEX(BDS(Database!$A395&amp;" HK Equity","EQUITY_OFFERINGS","array=t","endcol=1"),MATCH("IPO",BDS(Database!$A395&amp;" HK Equity","EQUITY_OFFERINGS","array=t","startcol=2","endcol=2"),0)),"")</f>
        <v/>
      </c>
      <c r="C395" s="186">
        <f>IF($B395="","",IFERROR(BDP($B395&amp;" Action","CP036"),""))</f>
        <v/>
      </c>
      <c r="D395" s="187">
        <f>Database!S395</f>
        <v/>
      </c>
      <c r="E395" s="186">
        <f>IF($B395="","",IFERROR(BDP($B395&amp;" Action","CP037"),""))</f>
        <v/>
      </c>
      <c r="F395" s="187">
        <f>Database!T395</f>
        <v/>
      </c>
      <c r="G395" s="186">
        <f>IF($B395="","",IFERROR(BDP($B395&amp;" Action","GREENSHOE_FACILITY"),""))</f>
        <v/>
      </c>
      <c r="H395" s="186">
        <f>IF($B395="","",IFERROR(BDP($B395&amp;" Action","OFFERING_GREENSHOE_SHARES_EX"),""))</f>
        <v/>
      </c>
      <c r="I395" s="17">
        <f>Database!AE395</f>
        <v/>
      </c>
      <c r="J395" s="24">
        <f>IFERROR(BDP(Database!$A395&amp;" HK Equity","PE_RATIO"),"")</f>
        <v/>
      </c>
      <c r="K395" s="10">
        <f>IFERROR(BDP(Database!$A395&amp;" HK Equity","A/H_SHARE_CONVERSION"),"")</f>
        <v/>
      </c>
      <c r="L395" s="17">
        <f>IF(Database!BM395="","(none found)",Database!BM395)</f>
        <v/>
      </c>
      <c r="M395" s="19">
        <f>IFERROR(BDH(Database!$A395&amp;" HK Equity","CUR_MKT_CAP",Database!$H395,Database!$H395),"")</f>
        <v/>
      </c>
      <c r="N395" s="180">
        <f>Database!Q395</f>
        <v/>
      </c>
      <c r="O395" s="24">
        <f>IFERROR(BDH(Database!$A395&amp;" HK Equity","PE_RATIO",Database!$H395,Database!$H395),"")</f>
        <v/>
      </c>
      <c r="P395" s="184">
        <f>IF(Database!BG395="","(n/m or not derivable)",Database!BG395)</f>
        <v/>
      </c>
      <c r="Q395" s="24">
        <f>IF(Database!BM395="","",IFERROR(BDH(LEFT(Database!BM395,FIND(".",Database!BM395)-1)&amp;" CH Equity","PE_RATIO",Database!$H395,Database!$H395),""))</f>
        <v/>
      </c>
      <c r="R395" s="24">
        <f>IF(Database!BM395="","",IFERROR(BDH("HSAHP Index","PX_LAST",Database!$H395,Database!$H395),""))</f>
        <v/>
      </c>
      <c r="S395" s="24">
        <f>IFERROR(BDP(Database!$A395&amp;" HK Equity","PX_TO_SALES_RATIO"),"")</f>
        <v/>
      </c>
      <c r="T395" s="19">
        <f>IF(Database!BM395="","",IFERROR(BDP(LEFT(Database!BM395,FIND(".",Database!BM395)-1)&amp;" CH Equity","CUR_MKT_CAP"),""))</f>
        <v/>
      </c>
    </row>
    <row r="396">
      <c r="A396" s="17">
        <f>Database!A396&amp;"  "&amp;Database!B396</f>
        <v/>
      </c>
      <c r="B396" s="10">
        <f>IFERROR(INDEX(BDS(Database!$A396&amp;" HK Equity","EQUITY_OFFERINGS","array=t","endcol=1"),MATCH("IPO",BDS(Database!$A396&amp;" HK Equity","EQUITY_OFFERINGS","array=t","startcol=2","endcol=2"),0)),"")</f>
        <v/>
      </c>
      <c r="C396" s="186">
        <f>IF($B396="","",IFERROR(BDP($B396&amp;" Action","CP036"),""))</f>
        <v/>
      </c>
      <c r="D396" s="187">
        <f>Database!S396</f>
        <v/>
      </c>
      <c r="E396" s="186">
        <f>IF($B396="","",IFERROR(BDP($B396&amp;" Action","CP037"),""))</f>
        <v/>
      </c>
      <c r="F396" s="187">
        <f>Database!T396</f>
        <v/>
      </c>
      <c r="G396" s="186">
        <f>IF($B396="","",IFERROR(BDP($B396&amp;" Action","GREENSHOE_FACILITY"),""))</f>
        <v/>
      </c>
      <c r="H396" s="186">
        <f>IF($B396="","",IFERROR(BDP($B396&amp;" Action","OFFERING_GREENSHOE_SHARES_EX"),""))</f>
        <v/>
      </c>
      <c r="I396" s="17">
        <f>Database!AE396</f>
        <v/>
      </c>
      <c r="J396" s="24">
        <f>IFERROR(BDP(Database!$A396&amp;" HK Equity","PE_RATIO"),"")</f>
        <v/>
      </c>
      <c r="K396" s="10">
        <f>IFERROR(BDP(Database!$A396&amp;" HK Equity","A/H_SHARE_CONVERSION"),"")</f>
        <v/>
      </c>
      <c r="L396" s="17">
        <f>IF(Database!BM396="","(none found)",Database!BM396)</f>
        <v/>
      </c>
      <c r="M396" s="19">
        <f>IFERROR(BDH(Database!$A396&amp;" HK Equity","CUR_MKT_CAP",Database!$H396,Database!$H396),"")</f>
        <v/>
      </c>
      <c r="N396" s="180">
        <f>Database!Q396</f>
        <v/>
      </c>
      <c r="O396" s="24">
        <f>IFERROR(BDH(Database!$A396&amp;" HK Equity","PE_RATIO",Database!$H396,Database!$H396),"")</f>
        <v/>
      </c>
      <c r="P396" s="184">
        <f>IF(Database!BG396="","(n/m or not derivable)",Database!BG396)</f>
        <v/>
      </c>
      <c r="Q396" s="24">
        <f>IF(Database!BM396="","",IFERROR(BDH(LEFT(Database!BM396,FIND(".",Database!BM396)-1)&amp;" CH Equity","PE_RATIO",Database!$H396,Database!$H396),""))</f>
        <v/>
      </c>
      <c r="R396" s="24">
        <f>IF(Database!BM396="","",IFERROR(BDH("HSAHP Index","PX_LAST",Database!$H396,Database!$H396),""))</f>
        <v/>
      </c>
      <c r="S396" s="24">
        <f>IFERROR(BDP(Database!$A396&amp;" HK Equity","PX_TO_SALES_RATIO"),"")</f>
        <v/>
      </c>
      <c r="T396" s="19">
        <f>IF(Database!BM396="","",IFERROR(BDP(LEFT(Database!BM396,FIND(".",Database!BM396)-1)&amp;" CH Equity","CUR_MKT_CAP"),""))</f>
        <v/>
      </c>
    </row>
    <row r="397">
      <c r="A397" s="17">
        <f>Database!A397&amp;"  "&amp;Database!B397</f>
        <v/>
      </c>
      <c r="B397" s="10">
        <f>IFERROR(INDEX(BDS(Database!$A397&amp;" HK Equity","EQUITY_OFFERINGS","array=t","endcol=1"),MATCH("IPO",BDS(Database!$A397&amp;" HK Equity","EQUITY_OFFERINGS","array=t","startcol=2","endcol=2"),0)),"")</f>
        <v/>
      </c>
      <c r="C397" s="186">
        <f>IF($B397="","",IFERROR(BDP($B397&amp;" Action","CP036"),""))</f>
        <v/>
      </c>
      <c r="D397" s="187">
        <f>Database!S397</f>
        <v/>
      </c>
      <c r="E397" s="186">
        <f>IF($B397="","",IFERROR(BDP($B397&amp;" Action","CP037"),""))</f>
        <v/>
      </c>
      <c r="F397" s="187">
        <f>Database!T397</f>
        <v/>
      </c>
      <c r="G397" s="186">
        <f>IF($B397="","",IFERROR(BDP($B397&amp;" Action","GREENSHOE_FACILITY"),""))</f>
        <v/>
      </c>
      <c r="H397" s="186">
        <f>IF($B397="","",IFERROR(BDP($B397&amp;" Action","OFFERING_GREENSHOE_SHARES_EX"),""))</f>
        <v/>
      </c>
      <c r="I397" s="17">
        <f>Database!AE397</f>
        <v/>
      </c>
      <c r="J397" s="24">
        <f>IFERROR(BDP(Database!$A397&amp;" HK Equity","PE_RATIO"),"")</f>
        <v/>
      </c>
      <c r="K397" s="10">
        <f>IFERROR(BDP(Database!$A397&amp;" HK Equity","A/H_SHARE_CONVERSION"),"")</f>
        <v/>
      </c>
      <c r="L397" s="17">
        <f>IF(Database!BM397="","(none found)",Database!BM397)</f>
        <v/>
      </c>
      <c r="M397" s="19">
        <f>IFERROR(BDH(Database!$A397&amp;" HK Equity","CUR_MKT_CAP",Database!$H397,Database!$H397),"")</f>
        <v/>
      </c>
      <c r="N397" s="180">
        <f>Database!Q397</f>
        <v/>
      </c>
      <c r="O397" s="24">
        <f>IFERROR(BDH(Database!$A397&amp;" HK Equity","PE_RATIO",Database!$H397,Database!$H397),"")</f>
        <v/>
      </c>
      <c r="P397" s="184">
        <f>IF(Database!BG397="","(n/m or not derivable)",Database!BG397)</f>
        <v/>
      </c>
      <c r="Q397" s="24">
        <f>IF(Database!BM397="","",IFERROR(BDH(LEFT(Database!BM397,FIND(".",Database!BM397)-1)&amp;" CH Equity","PE_RATIO",Database!$H397,Database!$H397),""))</f>
        <v/>
      </c>
      <c r="R397" s="24">
        <f>IF(Database!BM397="","",IFERROR(BDH("HSAHP Index","PX_LAST",Database!$H397,Database!$H397),""))</f>
        <v/>
      </c>
      <c r="S397" s="24">
        <f>IFERROR(BDP(Database!$A397&amp;" HK Equity","PX_TO_SALES_RATIO"),"")</f>
        <v/>
      </c>
      <c r="T397" s="19">
        <f>IF(Database!BM397="","",IFERROR(BDP(LEFT(Database!BM397,FIND(".",Database!BM397)-1)&amp;" CH Equity","CUR_MKT_CAP"),""))</f>
        <v/>
      </c>
    </row>
    <row r="398">
      <c r="A398" s="17">
        <f>Database!A398&amp;"  "&amp;Database!B398</f>
        <v/>
      </c>
      <c r="B398" s="10">
        <f>IFERROR(INDEX(BDS(Database!$A398&amp;" HK Equity","EQUITY_OFFERINGS","array=t","endcol=1"),MATCH("IPO",BDS(Database!$A398&amp;" HK Equity","EQUITY_OFFERINGS","array=t","startcol=2","endcol=2"),0)),"")</f>
        <v/>
      </c>
      <c r="C398" s="186">
        <f>IF($B398="","",IFERROR(BDP($B398&amp;" Action","CP036"),""))</f>
        <v/>
      </c>
      <c r="D398" s="187">
        <f>Database!S398</f>
        <v/>
      </c>
      <c r="E398" s="186">
        <f>IF($B398="","",IFERROR(BDP($B398&amp;" Action","CP037"),""))</f>
        <v/>
      </c>
      <c r="F398" s="187">
        <f>Database!T398</f>
        <v/>
      </c>
      <c r="G398" s="186">
        <f>IF($B398="","",IFERROR(BDP($B398&amp;" Action","GREENSHOE_FACILITY"),""))</f>
        <v/>
      </c>
      <c r="H398" s="186">
        <f>IF($B398="","",IFERROR(BDP($B398&amp;" Action","OFFERING_GREENSHOE_SHARES_EX"),""))</f>
        <v/>
      </c>
      <c r="I398" s="17">
        <f>Database!AE398</f>
        <v/>
      </c>
      <c r="J398" s="24">
        <f>IFERROR(BDP(Database!$A398&amp;" HK Equity","PE_RATIO"),"")</f>
        <v/>
      </c>
      <c r="K398" s="10">
        <f>IFERROR(BDP(Database!$A398&amp;" HK Equity","A/H_SHARE_CONVERSION"),"")</f>
        <v/>
      </c>
      <c r="L398" s="17">
        <f>IF(Database!BM398="","(none found)",Database!BM398)</f>
        <v/>
      </c>
      <c r="M398" s="19">
        <f>IFERROR(BDH(Database!$A398&amp;" HK Equity","CUR_MKT_CAP",Database!$H398,Database!$H398),"")</f>
        <v/>
      </c>
      <c r="N398" s="180">
        <f>Database!Q398</f>
        <v/>
      </c>
      <c r="O398" s="24">
        <f>IFERROR(BDH(Database!$A398&amp;" HK Equity","PE_RATIO",Database!$H398,Database!$H398),"")</f>
        <v/>
      </c>
      <c r="P398" s="184">
        <f>IF(Database!BG398="","(n/m or not derivable)",Database!BG398)</f>
        <v/>
      </c>
      <c r="Q398" s="24">
        <f>IF(Database!BM398="","",IFERROR(BDH(LEFT(Database!BM398,FIND(".",Database!BM398)-1)&amp;" CH Equity","PE_RATIO",Database!$H398,Database!$H398),""))</f>
        <v/>
      </c>
      <c r="R398" s="24">
        <f>IF(Database!BM398="","",IFERROR(BDH("HSAHP Index","PX_LAST",Database!$H398,Database!$H398),""))</f>
        <v/>
      </c>
      <c r="S398" s="24">
        <f>IFERROR(BDP(Database!$A398&amp;" HK Equity","PX_TO_SALES_RATIO"),"")</f>
        <v/>
      </c>
      <c r="T398" s="19">
        <f>IF(Database!BM398="","",IFERROR(BDP(LEFT(Database!BM398,FIND(".",Database!BM398)-1)&amp;" CH Equity","CUR_MKT_CAP"),""))</f>
        <v/>
      </c>
    </row>
    <row r="399">
      <c r="A399" s="17">
        <f>Database!A399&amp;"  "&amp;Database!B399</f>
        <v/>
      </c>
      <c r="B399" s="10">
        <f>IFERROR(INDEX(BDS(Database!$A399&amp;" HK Equity","EQUITY_OFFERINGS","array=t","endcol=1"),MATCH("IPO",BDS(Database!$A399&amp;" HK Equity","EQUITY_OFFERINGS","array=t","startcol=2","endcol=2"),0)),"")</f>
        <v/>
      </c>
      <c r="C399" s="186">
        <f>IF($B399="","",IFERROR(BDP($B399&amp;" Action","CP036"),""))</f>
        <v/>
      </c>
      <c r="D399" s="187">
        <f>Database!S399</f>
        <v/>
      </c>
      <c r="E399" s="186">
        <f>IF($B399="","",IFERROR(BDP($B399&amp;" Action","CP037"),""))</f>
        <v/>
      </c>
      <c r="F399" s="187">
        <f>Database!T399</f>
        <v/>
      </c>
      <c r="G399" s="186">
        <f>IF($B399="","",IFERROR(BDP($B399&amp;" Action","GREENSHOE_FACILITY"),""))</f>
        <v/>
      </c>
      <c r="H399" s="186">
        <f>IF($B399="","",IFERROR(BDP($B399&amp;" Action","OFFERING_GREENSHOE_SHARES_EX"),""))</f>
        <v/>
      </c>
      <c r="I399" s="17">
        <f>Database!AE399</f>
        <v/>
      </c>
      <c r="J399" s="24">
        <f>IFERROR(BDP(Database!$A399&amp;" HK Equity","PE_RATIO"),"")</f>
        <v/>
      </c>
      <c r="K399" s="10">
        <f>IFERROR(BDP(Database!$A399&amp;" HK Equity","A/H_SHARE_CONVERSION"),"")</f>
        <v/>
      </c>
      <c r="L399" s="17">
        <f>IF(Database!BM399="","(none found)",Database!BM399)</f>
        <v/>
      </c>
      <c r="M399" s="19">
        <f>IFERROR(BDH(Database!$A399&amp;" HK Equity","CUR_MKT_CAP",Database!$H399,Database!$H399),"")</f>
        <v/>
      </c>
      <c r="N399" s="180">
        <f>Database!Q399</f>
        <v/>
      </c>
      <c r="O399" s="24">
        <f>IFERROR(BDH(Database!$A399&amp;" HK Equity","PE_RATIO",Database!$H399,Database!$H399),"")</f>
        <v/>
      </c>
      <c r="P399" s="184">
        <f>IF(Database!BG399="","(n/m or not derivable)",Database!BG399)</f>
        <v/>
      </c>
      <c r="Q399" s="24">
        <f>IF(Database!BM399="","",IFERROR(BDH(LEFT(Database!BM399,FIND(".",Database!BM399)-1)&amp;" CH Equity","PE_RATIO",Database!$H399,Database!$H399),""))</f>
        <v/>
      </c>
      <c r="R399" s="24">
        <f>IF(Database!BM399="","",IFERROR(BDH("HSAHP Index","PX_LAST",Database!$H399,Database!$H399),""))</f>
        <v/>
      </c>
      <c r="S399" s="24">
        <f>IFERROR(BDP(Database!$A399&amp;" HK Equity","PX_TO_SALES_RATIO"),"")</f>
        <v/>
      </c>
      <c r="T399" s="19">
        <f>IF(Database!BM399="","",IFERROR(BDP(LEFT(Database!BM399,FIND(".",Database!BM399)-1)&amp;" CH Equity","CUR_MKT_CAP"),""))</f>
        <v/>
      </c>
    </row>
    <row r="400">
      <c r="A400" s="17">
        <f>Database!A400&amp;"  "&amp;Database!B400</f>
        <v/>
      </c>
      <c r="B400" s="10">
        <f>IFERROR(INDEX(BDS(Database!$A400&amp;" HK Equity","EQUITY_OFFERINGS","array=t","endcol=1"),MATCH("IPO",BDS(Database!$A400&amp;" HK Equity","EQUITY_OFFERINGS","array=t","startcol=2","endcol=2"),0)),"")</f>
        <v/>
      </c>
      <c r="C400" s="186">
        <f>IF($B400="","",IFERROR(BDP($B400&amp;" Action","CP036"),""))</f>
        <v/>
      </c>
      <c r="D400" s="187">
        <f>Database!S400</f>
        <v/>
      </c>
      <c r="E400" s="186">
        <f>IF($B400="","",IFERROR(BDP($B400&amp;" Action","CP037"),""))</f>
        <v/>
      </c>
      <c r="F400" s="187">
        <f>Database!T400</f>
        <v/>
      </c>
      <c r="G400" s="186">
        <f>IF($B400="","",IFERROR(BDP($B400&amp;" Action","GREENSHOE_FACILITY"),""))</f>
        <v/>
      </c>
      <c r="H400" s="186">
        <f>IF($B400="","",IFERROR(BDP($B400&amp;" Action","OFFERING_GREENSHOE_SHARES_EX"),""))</f>
        <v/>
      </c>
      <c r="I400" s="17">
        <f>Database!AE400</f>
        <v/>
      </c>
      <c r="J400" s="24">
        <f>IFERROR(BDP(Database!$A400&amp;" HK Equity","PE_RATIO"),"")</f>
        <v/>
      </c>
      <c r="K400" s="10">
        <f>IFERROR(BDP(Database!$A400&amp;" HK Equity","A/H_SHARE_CONVERSION"),"")</f>
        <v/>
      </c>
      <c r="L400" s="17">
        <f>IF(Database!BM400="","(none found)",Database!BM400)</f>
        <v/>
      </c>
      <c r="M400" s="19">
        <f>IFERROR(BDH(Database!$A400&amp;" HK Equity","CUR_MKT_CAP",Database!$H400,Database!$H400),"")</f>
        <v/>
      </c>
      <c r="N400" s="180">
        <f>Database!Q400</f>
        <v/>
      </c>
      <c r="O400" s="24">
        <f>IFERROR(BDH(Database!$A400&amp;" HK Equity","PE_RATIO",Database!$H400,Database!$H400),"")</f>
        <v/>
      </c>
      <c r="P400" s="184">
        <f>IF(Database!BG400="","(n/m or not derivable)",Database!BG400)</f>
        <v/>
      </c>
      <c r="Q400" s="24">
        <f>IF(Database!BM400="","",IFERROR(BDH(LEFT(Database!BM400,FIND(".",Database!BM400)-1)&amp;" CH Equity","PE_RATIO",Database!$H400,Database!$H400),""))</f>
        <v/>
      </c>
      <c r="R400" s="24">
        <f>IF(Database!BM400="","",IFERROR(BDH("HSAHP Index","PX_LAST",Database!$H400,Database!$H400),""))</f>
        <v/>
      </c>
      <c r="S400" s="24">
        <f>IFERROR(BDP(Database!$A400&amp;" HK Equity","PX_TO_SALES_RATIO"),"")</f>
        <v/>
      </c>
      <c r="T400" s="19">
        <f>IF(Database!BM400="","",IFERROR(BDP(LEFT(Database!BM400,FIND(".",Database!BM400)-1)&amp;" CH Equity","CUR_MKT_CAP"),""))</f>
        <v/>
      </c>
    </row>
    <row r="401">
      <c r="A401" s="17">
        <f>Database!A401&amp;"  "&amp;Database!B401</f>
        <v/>
      </c>
      <c r="B401" s="10">
        <f>IFERROR(INDEX(BDS(Database!$A401&amp;" HK Equity","EQUITY_OFFERINGS","array=t","endcol=1"),MATCH("IPO",BDS(Database!$A401&amp;" HK Equity","EQUITY_OFFERINGS","array=t","startcol=2","endcol=2"),0)),"")</f>
        <v/>
      </c>
      <c r="C401" s="186">
        <f>IF($B401="","",IFERROR(BDP($B401&amp;" Action","CP036"),""))</f>
        <v/>
      </c>
      <c r="D401" s="187">
        <f>Database!S401</f>
        <v/>
      </c>
      <c r="E401" s="186">
        <f>IF($B401="","",IFERROR(BDP($B401&amp;" Action","CP037"),""))</f>
        <v/>
      </c>
      <c r="F401" s="187">
        <f>Database!T401</f>
        <v/>
      </c>
      <c r="G401" s="186">
        <f>IF($B401="","",IFERROR(BDP($B401&amp;" Action","GREENSHOE_FACILITY"),""))</f>
        <v/>
      </c>
      <c r="H401" s="186">
        <f>IF($B401="","",IFERROR(BDP($B401&amp;" Action","OFFERING_GREENSHOE_SHARES_EX"),""))</f>
        <v/>
      </c>
      <c r="I401" s="17">
        <f>Database!AE401</f>
        <v/>
      </c>
      <c r="J401" s="24">
        <f>IFERROR(BDP(Database!$A401&amp;" HK Equity","PE_RATIO"),"")</f>
        <v/>
      </c>
      <c r="K401" s="10">
        <f>IFERROR(BDP(Database!$A401&amp;" HK Equity","A/H_SHARE_CONVERSION"),"")</f>
        <v/>
      </c>
      <c r="L401" s="17">
        <f>IF(Database!BM401="","(none found)",Database!BM401)</f>
        <v/>
      </c>
      <c r="M401" s="19">
        <f>IFERROR(BDH(Database!$A401&amp;" HK Equity","CUR_MKT_CAP",Database!$H401,Database!$H401),"")</f>
        <v/>
      </c>
      <c r="N401" s="180">
        <f>Database!Q401</f>
        <v/>
      </c>
      <c r="O401" s="24">
        <f>IFERROR(BDH(Database!$A401&amp;" HK Equity","PE_RATIO",Database!$H401,Database!$H401),"")</f>
        <v/>
      </c>
      <c r="P401" s="184">
        <f>IF(Database!BG401="","(n/m or not derivable)",Database!BG401)</f>
        <v/>
      </c>
      <c r="Q401" s="24">
        <f>IF(Database!BM401="","",IFERROR(BDH(LEFT(Database!BM401,FIND(".",Database!BM401)-1)&amp;" CH Equity","PE_RATIO",Database!$H401,Database!$H401),""))</f>
        <v/>
      </c>
      <c r="R401" s="24">
        <f>IF(Database!BM401="","",IFERROR(BDH("HSAHP Index","PX_LAST",Database!$H401,Database!$H401),""))</f>
        <v/>
      </c>
      <c r="S401" s="24">
        <f>IFERROR(BDP(Database!$A401&amp;" HK Equity","PX_TO_SALES_RATIO"),"")</f>
        <v/>
      </c>
      <c r="T401" s="19">
        <f>IF(Database!BM401="","",IFERROR(BDP(LEFT(Database!BM401,FIND(".",Database!BM401)-1)&amp;" CH Equity","CUR_MKT_CAP"),""))</f>
        <v/>
      </c>
    </row>
    <row r="402">
      <c r="A402" s="17">
        <f>Database!A402&amp;"  "&amp;Database!B402</f>
        <v/>
      </c>
      <c r="B402" s="10">
        <f>IFERROR(INDEX(BDS(Database!$A402&amp;" HK Equity","EQUITY_OFFERINGS","array=t","endcol=1"),MATCH("IPO",BDS(Database!$A402&amp;" HK Equity","EQUITY_OFFERINGS","array=t","startcol=2","endcol=2"),0)),"")</f>
        <v/>
      </c>
      <c r="C402" s="186">
        <f>IF($B402="","",IFERROR(BDP($B402&amp;" Action","CP036"),""))</f>
        <v/>
      </c>
      <c r="D402" s="187">
        <f>Database!S402</f>
        <v/>
      </c>
      <c r="E402" s="186">
        <f>IF($B402="","",IFERROR(BDP($B402&amp;" Action","CP037"),""))</f>
        <v/>
      </c>
      <c r="F402" s="187">
        <f>Database!T402</f>
        <v/>
      </c>
      <c r="G402" s="186">
        <f>IF($B402="","",IFERROR(BDP($B402&amp;" Action","GREENSHOE_FACILITY"),""))</f>
        <v/>
      </c>
      <c r="H402" s="186">
        <f>IF($B402="","",IFERROR(BDP($B402&amp;" Action","OFFERING_GREENSHOE_SHARES_EX"),""))</f>
        <v/>
      </c>
      <c r="I402" s="17">
        <f>Database!AE402</f>
        <v/>
      </c>
      <c r="J402" s="24">
        <f>IFERROR(BDP(Database!$A402&amp;" HK Equity","PE_RATIO"),"")</f>
        <v/>
      </c>
      <c r="K402" s="10">
        <f>IFERROR(BDP(Database!$A402&amp;" HK Equity","A/H_SHARE_CONVERSION"),"")</f>
        <v/>
      </c>
      <c r="L402" s="17">
        <f>IF(Database!BM402="","(none found)",Database!BM402)</f>
        <v/>
      </c>
      <c r="M402" s="19">
        <f>IFERROR(BDH(Database!$A402&amp;" HK Equity","CUR_MKT_CAP",Database!$H402,Database!$H402),"")</f>
        <v/>
      </c>
      <c r="N402" s="180">
        <f>Database!Q402</f>
        <v/>
      </c>
      <c r="O402" s="24">
        <f>IFERROR(BDH(Database!$A402&amp;" HK Equity","PE_RATIO",Database!$H402,Database!$H402),"")</f>
        <v/>
      </c>
      <c r="P402" s="184">
        <f>IF(Database!BG402="","(n/m or not derivable)",Database!BG402)</f>
        <v/>
      </c>
      <c r="Q402" s="24">
        <f>IF(Database!BM402="","",IFERROR(BDH(LEFT(Database!BM402,FIND(".",Database!BM402)-1)&amp;" CH Equity","PE_RATIO",Database!$H402,Database!$H402),""))</f>
        <v/>
      </c>
      <c r="R402" s="24">
        <f>IF(Database!BM402="","",IFERROR(BDH("HSAHP Index","PX_LAST",Database!$H402,Database!$H402),""))</f>
        <v/>
      </c>
      <c r="S402" s="24">
        <f>IFERROR(BDP(Database!$A402&amp;" HK Equity","PX_TO_SALES_RATIO"),"")</f>
        <v/>
      </c>
      <c r="T402" s="19">
        <f>IF(Database!BM402="","",IFERROR(BDP(LEFT(Database!BM402,FIND(".",Database!BM402)-1)&amp;" CH Equity","CUR_MKT_CAP"),""))</f>
        <v/>
      </c>
    </row>
    <row r="403">
      <c r="A403" s="17">
        <f>Database!A403&amp;"  "&amp;Database!B403</f>
        <v/>
      </c>
      <c r="B403" s="10">
        <f>IFERROR(INDEX(BDS(Database!$A403&amp;" HK Equity","EQUITY_OFFERINGS","array=t","endcol=1"),MATCH("IPO",BDS(Database!$A403&amp;" HK Equity","EQUITY_OFFERINGS","array=t","startcol=2","endcol=2"),0)),"")</f>
        <v/>
      </c>
      <c r="C403" s="186">
        <f>IF($B403="","",IFERROR(BDP($B403&amp;" Action","CP036"),""))</f>
        <v/>
      </c>
      <c r="D403" s="187">
        <f>Database!S403</f>
        <v/>
      </c>
      <c r="E403" s="186">
        <f>IF($B403="","",IFERROR(BDP($B403&amp;" Action","CP037"),""))</f>
        <v/>
      </c>
      <c r="F403" s="187">
        <f>Database!T403</f>
        <v/>
      </c>
      <c r="G403" s="186">
        <f>IF($B403="","",IFERROR(BDP($B403&amp;" Action","GREENSHOE_FACILITY"),""))</f>
        <v/>
      </c>
      <c r="H403" s="186">
        <f>IF($B403="","",IFERROR(BDP($B403&amp;" Action","OFFERING_GREENSHOE_SHARES_EX"),""))</f>
        <v/>
      </c>
      <c r="I403" s="17">
        <f>Database!AE403</f>
        <v/>
      </c>
      <c r="J403" s="24">
        <f>IFERROR(BDP(Database!$A403&amp;" HK Equity","PE_RATIO"),"")</f>
        <v/>
      </c>
      <c r="K403" s="10">
        <f>IFERROR(BDP(Database!$A403&amp;" HK Equity","A/H_SHARE_CONVERSION"),"")</f>
        <v/>
      </c>
      <c r="L403" s="17">
        <f>IF(Database!BM403="","(none found)",Database!BM403)</f>
        <v/>
      </c>
      <c r="M403" s="19">
        <f>IFERROR(BDH(Database!$A403&amp;" HK Equity","CUR_MKT_CAP",Database!$H403,Database!$H403),"")</f>
        <v/>
      </c>
      <c r="N403" s="180">
        <f>Database!Q403</f>
        <v/>
      </c>
      <c r="O403" s="24">
        <f>IFERROR(BDH(Database!$A403&amp;" HK Equity","PE_RATIO",Database!$H403,Database!$H403),"")</f>
        <v/>
      </c>
      <c r="P403" s="184">
        <f>IF(Database!BG403="","(n/m or not derivable)",Database!BG403)</f>
        <v/>
      </c>
      <c r="Q403" s="24">
        <f>IF(Database!BM403="","",IFERROR(BDH(LEFT(Database!BM403,FIND(".",Database!BM403)-1)&amp;" CH Equity","PE_RATIO",Database!$H403,Database!$H403),""))</f>
        <v/>
      </c>
      <c r="R403" s="24">
        <f>IF(Database!BM403="","",IFERROR(BDH("HSAHP Index","PX_LAST",Database!$H403,Database!$H403),""))</f>
        <v/>
      </c>
      <c r="S403" s="24">
        <f>IFERROR(BDP(Database!$A403&amp;" HK Equity","PX_TO_SALES_RATIO"),"")</f>
        <v/>
      </c>
      <c r="T403" s="19">
        <f>IF(Database!BM403="","",IFERROR(BDP(LEFT(Database!BM403,FIND(".",Database!BM403)-1)&amp;" CH Equity","CUR_MKT_CAP"),""))</f>
        <v/>
      </c>
    </row>
    <row r="404">
      <c r="A404" s="17">
        <f>Database!A404&amp;"  "&amp;Database!B404</f>
        <v/>
      </c>
      <c r="B404" s="10">
        <f>IFERROR(INDEX(BDS(Database!$A404&amp;" HK Equity","EQUITY_OFFERINGS","array=t","endcol=1"),MATCH("IPO",BDS(Database!$A404&amp;" HK Equity","EQUITY_OFFERINGS","array=t","startcol=2","endcol=2"),0)),"")</f>
        <v/>
      </c>
      <c r="C404" s="186">
        <f>IF($B404="","",IFERROR(BDP($B404&amp;" Action","CP036"),""))</f>
        <v/>
      </c>
      <c r="D404" s="187">
        <f>Database!S404</f>
        <v/>
      </c>
      <c r="E404" s="186">
        <f>IF($B404="","",IFERROR(BDP($B404&amp;" Action","CP037"),""))</f>
        <v/>
      </c>
      <c r="F404" s="187">
        <f>Database!T404</f>
        <v/>
      </c>
      <c r="G404" s="186">
        <f>IF($B404="","",IFERROR(BDP($B404&amp;" Action","GREENSHOE_FACILITY"),""))</f>
        <v/>
      </c>
      <c r="H404" s="186">
        <f>IF($B404="","",IFERROR(BDP($B404&amp;" Action","OFFERING_GREENSHOE_SHARES_EX"),""))</f>
        <v/>
      </c>
      <c r="I404" s="17">
        <f>Database!AE404</f>
        <v/>
      </c>
      <c r="J404" s="24">
        <f>IFERROR(BDP(Database!$A404&amp;" HK Equity","PE_RATIO"),"")</f>
        <v/>
      </c>
      <c r="K404" s="10">
        <f>IFERROR(BDP(Database!$A404&amp;" HK Equity","A/H_SHARE_CONVERSION"),"")</f>
        <v/>
      </c>
      <c r="L404" s="17">
        <f>IF(Database!BM404="","(none found)",Database!BM404)</f>
        <v/>
      </c>
      <c r="M404" s="19">
        <f>IFERROR(BDH(Database!$A404&amp;" HK Equity","CUR_MKT_CAP",Database!$H404,Database!$H404),"")</f>
        <v/>
      </c>
      <c r="N404" s="180">
        <f>Database!Q404</f>
        <v/>
      </c>
      <c r="O404" s="24">
        <f>IFERROR(BDH(Database!$A404&amp;" HK Equity","PE_RATIO",Database!$H404,Database!$H404),"")</f>
        <v/>
      </c>
      <c r="P404" s="184">
        <f>IF(Database!BG404="","(n/m or not derivable)",Database!BG404)</f>
        <v/>
      </c>
      <c r="Q404" s="24">
        <f>IF(Database!BM404="","",IFERROR(BDH(LEFT(Database!BM404,FIND(".",Database!BM404)-1)&amp;" CH Equity","PE_RATIO",Database!$H404,Database!$H404),""))</f>
        <v/>
      </c>
      <c r="R404" s="24">
        <f>IF(Database!BM404="","",IFERROR(BDH("HSAHP Index","PX_LAST",Database!$H404,Database!$H404),""))</f>
        <v/>
      </c>
      <c r="S404" s="24">
        <f>IFERROR(BDP(Database!$A404&amp;" HK Equity","PX_TO_SALES_RATIO"),"")</f>
        <v/>
      </c>
      <c r="T404" s="19">
        <f>IF(Database!BM404="","",IFERROR(BDP(LEFT(Database!BM404,FIND(".",Database!BM404)-1)&amp;" CH Equity","CUR_MKT_CAP"),""))</f>
        <v/>
      </c>
    </row>
    <row r="405">
      <c r="A405" s="17">
        <f>Database!A405&amp;"  "&amp;Database!B405</f>
        <v/>
      </c>
      <c r="B405" s="10">
        <f>IFERROR(INDEX(BDS(Database!$A405&amp;" HK Equity","EQUITY_OFFERINGS","array=t","endcol=1"),MATCH("IPO",BDS(Database!$A405&amp;" HK Equity","EQUITY_OFFERINGS","array=t","startcol=2","endcol=2"),0)),"")</f>
        <v/>
      </c>
      <c r="C405" s="186">
        <f>IF($B405="","",IFERROR(BDP($B405&amp;" Action","CP036"),""))</f>
        <v/>
      </c>
      <c r="D405" s="187">
        <f>Database!S405</f>
        <v/>
      </c>
      <c r="E405" s="186">
        <f>IF($B405="","",IFERROR(BDP($B405&amp;" Action","CP037"),""))</f>
        <v/>
      </c>
      <c r="F405" s="187">
        <f>Database!T405</f>
        <v/>
      </c>
      <c r="G405" s="186">
        <f>IF($B405="","",IFERROR(BDP($B405&amp;" Action","GREENSHOE_FACILITY"),""))</f>
        <v/>
      </c>
      <c r="H405" s="186">
        <f>IF($B405="","",IFERROR(BDP($B405&amp;" Action","OFFERING_GREENSHOE_SHARES_EX"),""))</f>
        <v/>
      </c>
      <c r="I405" s="17">
        <f>Database!AE405</f>
        <v/>
      </c>
      <c r="J405" s="24">
        <f>IFERROR(BDP(Database!$A405&amp;" HK Equity","PE_RATIO"),"")</f>
        <v/>
      </c>
      <c r="K405" s="10">
        <f>IFERROR(BDP(Database!$A405&amp;" HK Equity","A/H_SHARE_CONVERSION"),"")</f>
        <v/>
      </c>
      <c r="L405" s="17">
        <f>IF(Database!BM405="","(none found)",Database!BM405)</f>
        <v/>
      </c>
      <c r="M405" s="19">
        <f>IFERROR(BDH(Database!$A405&amp;" HK Equity","CUR_MKT_CAP",Database!$H405,Database!$H405),"")</f>
        <v/>
      </c>
      <c r="N405" s="180">
        <f>Database!Q405</f>
        <v/>
      </c>
      <c r="O405" s="24">
        <f>IFERROR(BDH(Database!$A405&amp;" HK Equity","PE_RATIO",Database!$H405,Database!$H405),"")</f>
        <v/>
      </c>
      <c r="P405" s="184">
        <f>IF(Database!BG405="","(n/m or not derivable)",Database!BG405)</f>
        <v/>
      </c>
      <c r="Q405" s="24">
        <f>IF(Database!BM405="","",IFERROR(BDH(LEFT(Database!BM405,FIND(".",Database!BM405)-1)&amp;" CH Equity","PE_RATIO",Database!$H405,Database!$H405),""))</f>
        <v/>
      </c>
      <c r="R405" s="24">
        <f>IF(Database!BM405="","",IFERROR(BDH("HSAHP Index","PX_LAST",Database!$H405,Database!$H405),""))</f>
        <v/>
      </c>
      <c r="S405" s="24">
        <f>IFERROR(BDP(Database!$A405&amp;" HK Equity","PX_TO_SALES_RATIO"),"")</f>
        <v/>
      </c>
      <c r="T405" s="19">
        <f>IF(Database!BM405="","",IFERROR(BDP(LEFT(Database!BM405,FIND(".",Database!BM405)-1)&amp;" CH Equity","CUR_MKT_CAP"),""))</f>
        <v/>
      </c>
    </row>
    <row r="406">
      <c r="A406" s="17">
        <f>Database!A406&amp;"  "&amp;Database!B406</f>
        <v/>
      </c>
      <c r="B406" s="10">
        <f>IFERROR(INDEX(BDS(Database!$A406&amp;" HK Equity","EQUITY_OFFERINGS","array=t","endcol=1"),MATCH("IPO",BDS(Database!$A406&amp;" HK Equity","EQUITY_OFFERINGS","array=t","startcol=2","endcol=2"),0)),"")</f>
        <v/>
      </c>
      <c r="C406" s="186">
        <f>IF($B406="","",IFERROR(BDP($B406&amp;" Action","CP036"),""))</f>
        <v/>
      </c>
      <c r="D406" s="187">
        <f>Database!S406</f>
        <v/>
      </c>
      <c r="E406" s="186">
        <f>IF($B406="","",IFERROR(BDP($B406&amp;" Action","CP037"),""))</f>
        <v/>
      </c>
      <c r="F406" s="187">
        <f>Database!T406</f>
        <v/>
      </c>
      <c r="G406" s="186">
        <f>IF($B406="","",IFERROR(BDP($B406&amp;" Action","GREENSHOE_FACILITY"),""))</f>
        <v/>
      </c>
      <c r="H406" s="186">
        <f>IF($B406="","",IFERROR(BDP($B406&amp;" Action","OFFERING_GREENSHOE_SHARES_EX"),""))</f>
        <v/>
      </c>
      <c r="I406" s="17">
        <f>Database!AE406</f>
        <v/>
      </c>
      <c r="J406" s="24">
        <f>IFERROR(BDP(Database!$A406&amp;" HK Equity","PE_RATIO"),"")</f>
        <v/>
      </c>
      <c r="K406" s="10">
        <f>IFERROR(BDP(Database!$A406&amp;" HK Equity","A/H_SHARE_CONVERSION"),"")</f>
        <v/>
      </c>
      <c r="L406" s="17">
        <f>IF(Database!BM406="","(none found)",Database!BM406)</f>
        <v/>
      </c>
      <c r="M406" s="19">
        <f>IFERROR(BDH(Database!$A406&amp;" HK Equity","CUR_MKT_CAP",Database!$H406,Database!$H406),"")</f>
        <v/>
      </c>
      <c r="N406" s="180">
        <f>Database!Q406</f>
        <v/>
      </c>
      <c r="O406" s="24">
        <f>IFERROR(BDH(Database!$A406&amp;" HK Equity","PE_RATIO",Database!$H406,Database!$H406),"")</f>
        <v/>
      </c>
      <c r="P406" s="184">
        <f>IF(Database!BG406="","(n/m or not derivable)",Database!BG406)</f>
        <v/>
      </c>
      <c r="Q406" s="24">
        <f>IF(Database!BM406="","",IFERROR(BDH(LEFT(Database!BM406,FIND(".",Database!BM406)-1)&amp;" CH Equity","PE_RATIO",Database!$H406,Database!$H406),""))</f>
        <v/>
      </c>
      <c r="R406" s="24">
        <f>IF(Database!BM406="","",IFERROR(BDH("HSAHP Index","PX_LAST",Database!$H406,Database!$H406),""))</f>
        <v/>
      </c>
      <c r="S406" s="24">
        <f>IFERROR(BDP(Database!$A406&amp;" HK Equity","PX_TO_SALES_RATIO"),"")</f>
        <v/>
      </c>
      <c r="T406" s="19">
        <f>IF(Database!BM406="","",IFERROR(BDP(LEFT(Database!BM406,FIND(".",Database!BM406)-1)&amp;" CH Equity","CUR_MKT_CAP"),""))</f>
        <v/>
      </c>
    </row>
    <row r="407">
      <c r="A407" s="17">
        <f>Database!A407&amp;"  "&amp;Database!B407</f>
        <v/>
      </c>
      <c r="B407" s="10">
        <f>IFERROR(INDEX(BDS(Database!$A407&amp;" HK Equity","EQUITY_OFFERINGS","array=t","endcol=1"),MATCH("IPO",BDS(Database!$A407&amp;" HK Equity","EQUITY_OFFERINGS","array=t","startcol=2","endcol=2"),0)),"")</f>
        <v/>
      </c>
      <c r="C407" s="186">
        <f>IF($B407="","",IFERROR(BDP($B407&amp;" Action","CP036"),""))</f>
        <v/>
      </c>
      <c r="D407" s="187">
        <f>Database!S407</f>
        <v/>
      </c>
      <c r="E407" s="186">
        <f>IF($B407="","",IFERROR(BDP($B407&amp;" Action","CP037"),""))</f>
        <v/>
      </c>
      <c r="F407" s="187">
        <f>Database!T407</f>
        <v/>
      </c>
      <c r="G407" s="186">
        <f>IF($B407="","",IFERROR(BDP($B407&amp;" Action","GREENSHOE_FACILITY"),""))</f>
        <v/>
      </c>
      <c r="H407" s="186">
        <f>IF($B407="","",IFERROR(BDP($B407&amp;" Action","OFFERING_GREENSHOE_SHARES_EX"),""))</f>
        <v/>
      </c>
      <c r="I407" s="17">
        <f>Database!AE407</f>
        <v/>
      </c>
      <c r="J407" s="24">
        <f>IFERROR(BDP(Database!$A407&amp;" HK Equity","PE_RATIO"),"")</f>
        <v/>
      </c>
      <c r="K407" s="10">
        <f>IFERROR(BDP(Database!$A407&amp;" HK Equity","A/H_SHARE_CONVERSION"),"")</f>
        <v/>
      </c>
      <c r="L407" s="17">
        <f>IF(Database!BM407="","(none found)",Database!BM407)</f>
        <v/>
      </c>
      <c r="M407" s="19">
        <f>IFERROR(BDH(Database!$A407&amp;" HK Equity","CUR_MKT_CAP",Database!$H407,Database!$H407),"")</f>
        <v/>
      </c>
      <c r="N407" s="180">
        <f>Database!Q407</f>
        <v/>
      </c>
      <c r="O407" s="24">
        <f>IFERROR(BDH(Database!$A407&amp;" HK Equity","PE_RATIO",Database!$H407,Database!$H407),"")</f>
        <v/>
      </c>
      <c r="P407" s="184">
        <f>IF(Database!BG407="","(n/m or not derivable)",Database!BG407)</f>
        <v/>
      </c>
      <c r="Q407" s="24">
        <f>IF(Database!BM407="","",IFERROR(BDH(LEFT(Database!BM407,FIND(".",Database!BM407)-1)&amp;" CH Equity","PE_RATIO",Database!$H407,Database!$H407),""))</f>
        <v/>
      </c>
      <c r="R407" s="24">
        <f>IF(Database!BM407="","",IFERROR(BDH("HSAHP Index","PX_LAST",Database!$H407,Database!$H407),""))</f>
        <v/>
      </c>
      <c r="S407" s="24">
        <f>IFERROR(BDP(Database!$A407&amp;" HK Equity","PX_TO_SALES_RATIO"),"")</f>
        <v/>
      </c>
      <c r="T407" s="19">
        <f>IF(Database!BM407="","",IFERROR(BDP(LEFT(Database!BM407,FIND(".",Database!BM407)-1)&amp;" CH Equity","CUR_MKT_CAP"),""))</f>
        <v/>
      </c>
    </row>
    <row r="408">
      <c r="A408" s="17">
        <f>Database!A408&amp;"  "&amp;Database!B408</f>
        <v/>
      </c>
      <c r="B408" s="10">
        <f>IFERROR(INDEX(BDS(Database!$A408&amp;" HK Equity","EQUITY_OFFERINGS","array=t","endcol=1"),MATCH("IPO",BDS(Database!$A408&amp;" HK Equity","EQUITY_OFFERINGS","array=t","startcol=2","endcol=2"),0)),"")</f>
        <v/>
      </c>
      <c r="C408" s="186">
        <f>IF($B408="","",IFERROR(BDP($B408&amp;" Action","CP036"),""))</f>
        <v/>
      </c>
      <c r="D408" s="187">
        <f>Database!S408</f>
        <v/>
      </c>
      <c r="E408" s="186">
        <f>IF($B408="","",IFERROR(BDP($B408&amp;" Action","CP037"),""))</f>
        <v/>
      </c>
      <c r="F408" s="187">
        <f>Database!T408</f>
        <v/>
      </c>
      <c r="G408" s="186">
        <f>IF($B408="","",IFERROR(BDP($B408&amp;" Action","GREENSHOE_FACILITY"),""))</f>
        <v/>
      </c>
      <c r="H408" s="186">
        <f>IF($B408="","",IFERROR(BDP($B408&amp;" Action","OFFERING_GREENSHOE_SHARES_EX"),""))</f>
        <v/>
      </c>
      <c r="I408" s="17">
        <f>Database!AE408</f>
        <v/>
      </c>
      <c r="J408" s="24">
        <f>IFERROR(BDP(Database!$A408&amp;" HK Equity","PE_RATIO"),"")</f>
        <v/>
      </c>
      <c r="K408" s="10">
        <f>IFERROR(BDP(Database!$A408&amp;" HK Equity","A/H_SHARE_CONVERSION"),"")</f>
        <v/>
      </c>
      <c r="L408" s="17">
        <f>IF(Database!BM408="","(none found)",Database!BM408)</f>
        <v/>
      </c>
      <c r="M408" s="19">
        <f>IFERROR(BDH(Database!$A408&amp;" HK Equity","CUR_MKT_CAP",Database!$H408,Database!$H408),"")</f>
        <v/>
      </c>
      <c r="N408" s="180">
        <f>Database!Q408</f>
        <v/>
      </c>
      <c r="O408" s="24">
        <f>IFERROR(BDH(Database!$A408&amp;" HK Equity","PE_RATIO",Database!$H408,Database!$H408),"")</f>
        <v/>
      </c>
      <c r="P408" s="184">
        <f>IF(Database!BG408="","(n/m or not derivable)",Database!BG408)</f>
        <v/>
      </c>
      <c r="Q408" s="24">
        <f>IF(Database!BM408="","",IFERROR(BDH(LEFT(Database!BM408,FIND(".",Database!BM408)-1)&amp;" CH Equity","PE_RATIO",Database!$H408,Database!$H408),""))</f>
        <v/>
      </c>
      <c r="R408" s="24">
        <f>IF(Database!BM408="","",IFERROR(BDH("HSAHP Index","PX_LAST",Database!$H408,Database!$H408),""))</f>
        <v/>
      </c>
      <c r="S408" s="24">
        <f>IFERROR(BDP(Database!$A408&amp;" HK Equity","PX_TO_SALES_RATIO"),"")</f>
        <v/>
      </c>
      <c r="T408" s="19">
        <f>IF(Database!BM408="","",IFERROR(BDP(LEFT(Database!BM408,FIND(".",Database!BM408)-1)&amp;" CH Equity","CUR_MKT_CAP"),""))</f>
        <v/>
      </c>
    </row>
    <row r="409">
      <c r="A409" s="17">
        <f>Database!A409&amp;"  "&amp;Database!B409</f>
        <v/>
      </c>
      <c r="B409" s="10">
        <f>IFERROR(INDEX(BDS(Database!$A409&amp;" HK Equity","EQUITY_OFFERINGS","array=t","endcol=1"),MATCH("IPO",BDS(Database!$A409&amp;" HK Equity","EQUITY_OFFERINGS","array=t","startcol=2","endcol=2"),0)),"")</f>
        <v/>
      </c>
      <c r="C409" s="186">
        <f>IF($B409="","",IFERROR(BDP($B409&amp;" Action","CP036"),""))</f>
        <v/>
      </c>
      <c r="D409" s="187">
        <f>Database!S409</f>
        <v/>
      </c>
      <c r="E409" s="186">
        <f>IF($B409="","",IFERROR(BDP($B409&amp;" Action","CP037"),""))</f>
        <v/>
      </c>
      <c r="F409" s="187">
        <f>Database!T409</f>
        <v/>
      </c>
      <c r="G409" s="186">
        <f>IF($B409="","",IFERROR(BDP($B409&amp;" Action","GREENSHOE_FACILITY"),""))</f>
        <v/>
      </c>
      <c r="H409" s="186">
        <f>IF($B409="","",IFERROR(BDP($B409&amp;" Action","OFFERING_GREENSHOE_SHARES_EX"),""))</f>
        <v/>
      </c>
      <c r="I409" s="17">
        <f>Database!AE409</f>
        <v/>
      </c>
      <c r="J409" s="24">
        <f>IFERROR(BDP(Database!$A409&amp;" HK Equity","PE_RATIO"),"")</f>
        <v/>
      </c>
      <c r="K409" s="10">
        <f>IFERROR(BDP(Database!$A409&amp;" HK Equity","A/H_SHARE_CONVERSION"),"")</f>
        <v/>
      </c>
      <c r="L409" s="17">
        <f>IF(Database!BM409="","(none found)",Database!BM409)</f>
        <v/>
      </c>
      <c r="M409" s="19">
        <f>IFERROR(BDH(Database!$A409&amp;" HK Equity","CUR_MKT_CAP",Database!$H409,Database!$H409),"")</f>
        <v/>
      </c>
      <c r="N409" s="180">
        <f>Database!Q409</f>
        <v/>
      </c>
      <c r="O409" s="24">
        <f>IFERROR(BDH(Database!$A409&amp;" HK Equity","PE_RATIO",Database!$H409,Database!$H409),"")</f>
        <v/>
      </c>
      <c r="P409" s="184">
        <f>IF(Database!BG409="","(n/m or not derivable)",Database!BG409)</f>
        <v/>
      </c>
      <c r="Q409" s="24">
        <f>IF(Database!BM409="","",IFERROR(BDH(LEFT(Database!BM409,FIND(".",Database!BM409)-1)&amp;" CH Equity","PE_RATIO",Database!$H409,Database!$H409),""))</f>
        <v/>
      </c>
      <c r="R409" s="24">
        <f>IF(Database!BM409="","",IFERROR(BDH("HSAHP Index","PX_LAST",Database!$H409,Database!$H409),""))</f>
        <v/>
      </c>
      <c r="S409" s="24">
        <f>IFERROR(BDP(Database!$A409&amp;" HK Equity","PX_TO_SALES_RATIO"),"")</f>
        <v/>
      </c>
      <c r="T409" s="19">
        <f>IF(Database!BM409="","",IFERROR(BDP(LEFT(Database!BM409,FIND(".",Database!BM409)-1)&amp;" CH Equity","CUR_MKT_CAP"),""))</f>
        <v/>
      </c>
    </row>
    <row r="410">
      <c r="A410" s="17">
        <f>Database!A410&amp;"  "&amp;Database!B410</f>
        <v/>
      </c>
      <c r="B410" s="10">
        <f>IFERROR(INDEX(BDS(Database!$A410&amp;" HK Equity","EQUITY_OFFERINGS","array=t","endcol=1"),MATCH("IPO",BDS(Database!$A410&amp;" HK Equity","EQUITY_OFFERINGS","array=t","startcol=2","endcol=2"),0)),"")</f>
        <v/>
      </c>
      <c r="C410" s="186">
        <f>IF($B410="","",IFERROR(BDP($B410&amp;" Action","CP036"),""))</f>
        <v/>
      </c>
      <c r="D410" s="187">
        <f>Database!S410</f>
        <v/>
      </c>
      <c r="E410" s="186">
        <f>IF($B410="","",IFERROR(BDP($B410&amp;" Action","CP037"),""))</f>
        <v/>
      </c>
      <c r="F410" s="187">
        <f>Database!T410</f>
        <v/>
      </c>
      <c r="G410" s="186">
        <f>IF($B410="","",IFERROR(BDP($B410&amp;" Action","GREENSHOE_FACILITY"),""))</f>
        <v/>
      </c>
      <c r="H410" s="186">
        <f>IF($B410="","",IFERROR(BDP($B410&amp;" Action","OFFERING_GREENSHOE_SHARES_EX"),""))</f>
        <v/>
      </c>
      <c r="I410" s="17">
        <f>Database!AE410</f>
        <v/>
      </c>
      <c r="J410" s="24">
        <f>IFERROR(BDP(Database!$A410&amp;" HK Equity","PE_RATIO"),"")</f>
        <v/>
      </c>
      <c r="K410" s="10">
        <f>IFERROR(BDP(Database!$A410&amp;" HK Equity","A/H_SHARE_CONVERSION"),"")</f>
        <v/>
      </c>
      <c r="L410" s="17">
        <f>IF(Database!BM410="","(none found)",Database!BM410)</f>
        <v/>
      </c>
      <c r="M410" s="19">
        <f>IFERROR(BDH(Database!$A410&amp;" HK Equity","CUR_MKT_CAP",Database!$H410,Database!$H410),"")</f>
        <v/>
      </c>
      <c r="N410" s="180">
        <f>Database!Q410</f>
        <v/>
      </c>
      <c r="O410" s="24">
        <f>IFERROR(BDH(Database!$A410&amp;" HK Equity","PE_RATIO",Database!$H410,Database!$H410),"")</f>
        <v/>
      </c>
      <c r="P410" s="184">
        <f>IF(Database!BG410="","(n/m or not derivable)",Database!BG410)</f>
        <v/>
      </c>
      <c r="Q410" s="24">
        <f>IF(Database!BM410="","",IFERROR(BDH(LEFT(Database!BM410,FIND(".",Database!BM410)-1)&amp;" CH Equity","PE_RATIO",Database!$H410,Database!$H410),""))</f>
        <v/>
      </c>
      <c r="R410" s="24">
        <f>IF(Database!BM410="","",IFERROR(BDH("HSAHP Index","PX_LAST",Database!$H410,Database!$H410),""))</f>
        <v/>
      </c>
      <c r="S410" s="24">
        <f>IFERROR(BDP(Database!$A410&amp;" HK Equity","PX_TO_SALES_RATIO"),"")</f>
        <v/>
      </c>
      <c r="T410" s="19">
        <f>IF(Database!BM410="","",IFERROR(BDP(LEFT(Database!BM410,FIND(".",Database!BM410)-1)&amp;" CH Equity","CUR_MKT_CAP"),""))</f>
        <v/>
      </c>
    </row>
    <row r="411">
      <c r="A411" s="17">
        <f>Database!A411&amp;"  "&amp;Database!B411</f>
        <v/>
      </c>
      <c r="B411" s="10">
        <f>IFERROR(INDEX(BDS(Database!$A411&amp;" HK Equity","EQUITY_OFFERINGS","array=t","endcol=1"),MATCH("IPO",BDS(Database!$A411&amp;" HK Equity","EQUITY_OFFERINGS","array=t","startcol=2","endcol=2"),0)),"")</f>
        <v/>
      </c>
      <c r="C411" s="186">
        <f>IF($B411="","",IFERROR(BDP($B411&amp;" Action","CP036"),""))</f>
        <v/>
      </c>
      <c r="D411" s="187">
        <f>Database!S411</f>
        <v/>
      </c>
      <c r="E411" s="186">
        <f>IF($B411="","",IFERROR(BDP($B411&amp;" Action","CP037"),""))</f>
        <v/>
      </c>
      <c r="F411" s="187">
        <f>Database!T411</f>
        <v/>
      </c>
      <c r="G411" s="186">
        <f>IF($B411="","",IFERROR(BDP($B411&amp;" Action","GREENSHOE_FACILITY"),""))</f>
        <v/>
      </c>
      <c r="H411" s="186">
        <f>IF($B411="","",IFERROR(BDP($B411&amp;" Action","OFFERING_GREENSHOE_SHARES_EX"),""))</f>
        <v/>
      </c>
      <c r="I411" s="17">
        <f>Database!AE411</f>
        <v/>
      </c>
      <c r="J411" s="24">
        <f>IFERROR(BDP(Database!$A411&amp;" HK Equity","PE_RATIO"),"")</f>
        <v/>
      </c>
      <c r="K411" s="10">
        <f>IFERROR(BDP(Database!$A411&amp;" HK Equity","A/H_SHARE_CONVERSION"),"")</f>
        <v/>
      </c>
      <c r="L411" s="17">
        <f>IF(Database!BM411="","(none found)",Database!BM411)</f>
        <v/>
      </c>
      <c r="M411" s="19">
        <f>IFERROR(BDH(Database!$A411&amp;" HK Equity","CUR_MKT_CAP",Database!$H411,Database!$H411),"")</f>
        <v/>
      </c>
      <c r="N411" s="180">
        <f>Database!Q411</f>
        <v/>
      </c>
      <c r="O411" s="24">
        <f>IFERROR(BDH(Database!$A411&amp;" HK Equity","PE_RATIO",Database!$H411,Database!$H411),"")</f>
        <v/>
      </c>
      <c r="P411" s="184">
        <f>IF(Database!BG411="","(n/m or not derivable)",Database!BG411)</f>
        <v/>
      </c>
      <c r="Q411" s="24">
        <f>IF(Database!BM411="","",IFERROR(BDH(LEFT(Database!BM411,FIND(".",Database!BM411)-1)&amp;" CH Equity","PE_RATIO",Database!$H411,Database!$H411),""))</f>
        <v/>
      </c>
      <c r="R411" s="24">
        <f>IF(Database!BM411="","",IFERROR(BDH("HSAHP Index","PX_LAST",Database!$H411,Database!$H411),""))</f>
        <v/>
      </c>
      <c r="S411" s="24">
        <f>IFERROR(BDP(Database!$A411&amp;" HK Equity","PX_TO_SALES_RATIO"),"")</f>
        <v/>
      </c>
      <c r="T411" s="19">
        <f>IF(Database!BM411="","",IFERROR(BDP(LEFT(Database!BM411,FIND(".",Database!BM411)-1)&amp;" CH Equity","CUR_MKT_CAP"),""))</f>
        <v/>
      </c>
    </row>
    <row r="412">
      <c r="A412" s="17">
        <f>Database!A412&amp;"  "&amp;Database!B412</f>
        <v/>
      </c>
      <c r="B412" s="10">
        <f>IFERROR(INDEX(BDS(Database!$A412&amp;" HK Equity","EQUITY_OFFERINGS","array=t","endcol=1"),MATCH("IPO",BDS(Database!$A412&amp;" HK Equity","EQUITY_OFFERINGS","array=t","startcol=2","endcol=2"),0)),"")</f>
        <v/>
      </c>
      <c r="C412" s="186">
        <f>IF($B412="","",IFERROR(BDP($B412&amp;" Action","CP036"),""))</f>
        <v/>
      </c>
      <c r="D412" s="187">
        <f>Database!S412</f>
        <v/>
      </c>
      <c r="E412" s="186">
        <f>IF($B412="","",IFERROR(BDP($B412&amp;" Action","CP037"),""))</f>
        <v/>
      </c>
      <c r="F412" s="187">
        <f>Database!T412</f>
        <v/>
      </c>
      <c r="G412" s="186">
        <f>IF($B412="","",IFERROR(BDP($B412&amp;" Action","GREENSHOE_FACILITY"),""))</f>
        <v/>
      </c>
      <c r="H412" s="186">
        <f>IF($B412="","",IFERROR(BDP($B412&amp;" Action","OFFERING_GREENSHOE_SHARES_EX"),""))</f>
        <v/>
      </c>
      <c r="I412" s="17">
        <f>Database!AE412</f>
        <v/>
      </c>
      <c r="J412" s="24">
        <f>IFERROR(BDP(Database!$A412&amp;" HK Equity","PE_RATIO"),"")</f>
        <v/>
      </c>
      <c r="K412" s="10">
        <f>IFERROR(BDP(Database!$A412&amp;" HK Equity","A/H_SHARE_CONVERSION"),"")</f>
        <v/>
      </c>
      <c r="L412" s="17">
        <f>IF(Database!BM412="","(none found)",Database!BM412)</f>
        <v/>
      </c>
      <c r="M412" s="19">
        <f>IFERROR(BDH(Database!$A412&amp;" HK Equity","CUR_MKT_CAP",Database!$H412,Database!$H412),"")</f>
        <v/>
      </c>
      <c r="N412" s="180">
        <f>Database!Q412</f>
        <v/>
      </c>
      <c r="O412" s="24">
        <f>IFERROR(BDH(Database!$A412&amp;" HK Equity","PE_RATIO",Database!$H412,Database!$H412),"")</f>
        <v/>
      </c>
      <c r="P412" s="184">
        <f>IF(Database!BG412="","(n/m or not derivable)",Database!BG412)</f>
        <v/>
      </c>
      <c r="Q412" s="24">
        <f>IF(Database!BM412="","",IFERROR(BDH(LEFT(Database!BM412,FIND(".",Database!BM412)-1)&amp;" CH Equity","PE_RATIO",Database!$H412,Database!$H412),""))</f>
        <v/>
      </c>
      <c r="R412" s="24">
        <f>IF(Database!BM412="","",IFERROR(BDH("HSAHP Index","PX_LAST",Database!$H412,Database!$H412),""))</f>
        <v/>
      </c>
      <c r="S412" s="24">
        <f>IFERROR(BDP(Database!$A412&amp;" HK Equity","PX_TO_SALES_RATIO"),"")</f>
        <v/>
      </c>
      <c r="T412" s="19">
        <f>IF(Database!BM412="","",IFERROR(BDP(LEFT(Database!BM412,FIND(".",Database!BM412)-1)&amp;" CH Equity","CUR_MKT_CAP"),""))</f>
        <v/>
      </c>
    </row>
    <row r="413">
      <c r="A413" s="17">
        <f>Database!A413&amp;"  "&amp;Database!B413</f>
        <v/>
      </c>
      <c r="B413" s="10">
        <f>IFERROR(INDEX(BDS(Database!$A413&amp;" HK Equity","EQUITY_OFFERINGS","array=t","endcol=1"),MATCH("IPO",BDS(Database!$A413&amp;" HK Equity","EQUITY_OFFERINGS","array=t","startcol=2","endcol=2"),0)),"")</f>
        <v/>
      </c>
      <c r="C413" s="186">
        <f>IF($B413="","",IFERROR(BDP($B413&amp;" Action","CP036"),""))</f>
        <v/>
      </c>
      <c r="D413" s="187">
        <f>Database!S413</f>
        <v/>
      </c>
      <c r="E413" s="186">
        <f>IF($B413="","",IFERROR(BDP($B413&amp;" Action","CP037"),""))</f>
        <v/>
      </c>
      <c r="F413" s="187">
        <f>Database!T413</f>
        <v/>
      </c>
      <c r="G413" s="186">
        <f>IF($B413="","",IFERROR(BDP($B413&amp;" Action","GREENSHOE_FACILITY"),""))</f>
        <v/>
      </c>
      <c r="H413" s="186">
        <f>IF($B413="","",IFERROR(BDP($B413&amp;" Action","OFFERING_GREENSHOE_SHARES_EX"),""))</f>
        <v/>
      </c>
      <c r="I413" s="17">
        <f>Database!AE413</f>
        <v/>
      </c>
      <c r="J413" s="24">
        <f>IFERROR(BDP(Database!$A413&amp;" HK Equity","PE_RATIO"),"")</f>
        <v/>
      </c>
      <c r="K413" s="10">
        <f>IFERROR(BDP(Database!$A413&amp;" HK Equity","A/H_SHARE_CONVERSION"),"")</f>
        <v/>
      </c>
      <c r="L413" s="17">
        <f>IF(Database!BM413="","(none found)",Database!BM413)</f>
        <v/>
      </c>
      <c r="M413" s="19">
        <f>IFERROR(BDH(Database!$A413&amp;" HK Equity","CUR_MKT_CAP",Database!$H413,Database!$H413),"")</f>
        <v/>
      </c>
      <c r="N413" s="180">
        <f>Database!Q413</f>
        <v/>
      </c>
      <c r="O413" s="24">
        <f>IFERROR(BDH(Database!$A413&amp;" HK Equity","PE_RATIO",Database!$H413,Database!$H413),"")</f>
        <v/>
      </c>
      <c r="P413" s="184">
        <f>IF(Database!BG413="","(n/m or not derivable)",Database!BG413)</f>
        <v/>
      </c>
      <c r="Q413" s="24">
        <f>IF(Database!BM413="","",IFERROR(BDH(LEFT(Database!BM413,FIND(".",Database!BM413)-1)&amp;" CH Equity","PE_RATIO",Database!$H413,Database!$H413),""))</f>
        <v/>
      </c>
      <c r="R413" s="24">
        <f>IF(Database!BM413="","",IFERROR(BDH("HSAHP Index","PX_LAST",Database!$H413,Database!$H413),""))</f>
        <v/>
      </c>
      <c r="S413" s="24">
        <f>IFERROR(BDP(Database!$A413&amp;" HK Equity","PX_TO_SALES_RATIO"),"")</f>
        <v/>
      </c>
      <c r="T413" s="19">
        <f>IF(Database!BM413="","",IFERROR(BDP(LEFT(Database!BM413,FIND(".",Database!BM413)-1)&amp;" CH Equity","CUR_MKT_CAP"),""))</f>
        <v/>
      </c>
    </row>
    <row r="414">
      <c r="A414" s="17">
        <f>Database!A414&amp;"  "&amp;Database!B414</f>
        <v/>
      </c>
      <c r="B414" s="10">
        <f>IFERROR(INDEX(BDS(Database!$A414&amp;" HK Equity","EQUITY_OFFERINGS","array=t","endcol=1"),MATCH("IPO",BDS(Database!$A414&amp;" HK Equity","EQUITY_OFFERINGS","array=t","startcol=2","endcol=2"),0)),"")</f>
        <v/>
      </c>
      <c r="C414" s="186">
        <f>IF($B414="","",IFERROR(BDP($B414&amp;" Action","CP036"),""))</f>
        <v/>
      </c>
      <c r="D414" s="187">
        <f>Database!S414</f>
        <v/>
      </c>
      <c r="E414" s="186">
        <f>IF($B414="","",IFERROR(BDP($B414&amp;" Action","CP037"),""))</f>
        <v/>
      </c>
      <c r="F414" s="187">
        <f>Database!T414</f>
        <v/>
      </c>
      <c r="G414" s="186">
        <f>IF($B414="","",IFERROR(BDP($B414&amp;" Action","GREENSHOE_FACILITY"),""))</f>
        <v/>
      </c>
      <c r="H414" s="186">
        <f>IF($B414="","",IFERROR(BDP($B414&amp;" Action","OFFERING_GREENSHOE_SHARES_EX"),""))</f>
        <v/>
      </c>
      <c r="I414" s="17">
        <f>Database!AE414</f>
        <v/>
      </c>
      <c r="J414" s="24">
        <f>IFERROR(BDP(Database!$A414&amp;" HK Equity","PE_RATIO"),"")</f>
        <v/>
      </c>
      <c r="K414" s="10">
        <f>IFERROR(BDP(Database!$A414&amp;" HK Equity","A/H_SHARE_CONVERSION"),"")</f>
        <v/>
      </c>
      <c r="L414" s="17">
        <f>IF(Database!BM414="","(none found)",Database!BM414)</f>
        <v/>
      </c>
      <c r="M414" s="19">
        <f>IFERROR(BDH(Database!$A414&amp;" HK Equity","CUR_MKT_CAP",Database!$H414,Database!$H414),"")</f>
        <v/>
      </c>
      <c r="N414" s="180">
        <f>Database!Q414</f>
        <v/>
      </c>
      <c r="O414" s="24">
        <f>IFERROR(BDH(Database!$A414&amp;" HK Equity","PE_RATIO",Database!$H414,Database!$H414),"")</f>
        <v/>
      </c>
      <c r="P414" s="184">
        <f>IF(Database!BG414="","(n/m or not derivable)",Database!BG414)</f>
        <v/>
      </c>
      <c r="Q414" s="24">
        <f>IF(Database!BM414="","",IFERROR(BDH(LEFT(Database!BM414,FIND(".",Database!BM414)-1)&amp;" CH Equity","PE_RATIO",Database!$H414,Database!$H414),""))</f>
        <v/>
      </c>
      <c r="R414" s="24">
        <f>IF(Database!BM414="","",IFERROR(BDH("HSAHP Index","PX_LAST",Database!$H414,Database!$H414),""))</f>
        <v/>
      </c>
      <c r="S414" s="24">
        <f>IFERROR(BDP(Database!$A414&amp;" HK Equity","PX_TO_SALES_RATIO"),"")</f>
        <v/>
      </c>
      <c r="T414" s="19">
        <f>IF(Database!BM414="","",IFERROR(BDP(LEFT(Database!BM414,FIND(".",Database!BM414)-1)&amp;" CH Equity","CUR_MKT_CAP"),""))</f>
        <v/>
      </c>
    </row>
    <row r="415">
      <c r="A415" s="17">
        <f>Database!A415&amp;"  "&amp;Database!B415</f>
        <v/>
      </c>
      <c r="B415" s="10">
        <f>IFERROR(INDEX(BDS(Database!$A415&amp;" HK Equity","EQUITY_OFFERINGS","array=t","endcol=1"),MATCH("IPO",BDS(Database!$A415&amp;" HK Equity","EQUITY_OFFERINGS","array=t","startcol=2","endcol=2"),0)),"")</f>
        <v/>
      </c>
      <c r="C415" s="186">
        <f>IF($B415="","",IFERROR(BDP($B415&amp;" Action","CP036"),""))</f>
        <v/>
      </c>
      <c r="D415" s="187">
        <f>Database!S415</f>
        <v/>
      </c>
      <c r="E415" s="186">
        <f>IF($B415="","",IFERROR(BDP($B415&amp;" Action","CP037"),""))</f>
        <v/>
      </c>
      <c r="F415" s="187">
        <f>Database!T415</f>
        <v/>
      </c>
      <c r="G415" s="186">
        <f>IF($B415="","",IFERROR(BDP($B415&amp;" Action","GREENSHOE_FACILITY"),""))</f>
        <v/>
      </c>
      <c r="H415" s="186">
        <f>IF($B415="","",IFERROR(BDP($B415&amp;" Action","OFFERING_GREENSHOE_SHARES_EX"),""))</f>
        <v/>
      </c>
      <c r="I415" s="17">
        <f>Database!AE415</f>
        <v/>
      </c>
      <c r="J415" s="24">
        <f>IFERROR(BDP(Database!$A415&amp;" HK Equity","PE_RATIO"),"")</f>
        <v/>
      </c>
      <c r="K415" s="10">
        <f>IFERROR(BDP(Database!$A415&amp;" HK Equity","A/H_SHARE_CONVERSION"),"")</f>
        <v/>
      </c>
      <c r="L415" s="17">
        <f>IF(Database!BM415="","(none found)",Database!BM415)</f>
        <v/>
      </c>
      <c r="M415" s="19">
        <f>IFERROR(BDH(Database!$A415&amp;" HK Equity","CUR_MKT_CAP",Database!$H415,Database!$H415),"")</f>
        <v/>
      </c>
      <c r="N415" s="180">
        <f>Database!Q415</f>
        <v/>
      </c>
      <c r="O415" s="24">
        <f>IFERROR(BDH(Database!$A415&amp;" HK Equity","PE_RATIO",Database!$H415,Database!$H415),"")</f>
        <v/>
      </c>
      <c r="P415" s="184">
        <f>IF(Database!BG415="","(n/m or not derivable)",Database!BG415)</f>
        <v/>
      </c>
      <c r="Q415" s="24">
        <f>IF(Database!BM415="","",IFERROR(BDH(LEFT(Database!BM415,FIND(".",Database!BM415)-1)&amp;" CH Equity","PE_RATIO",Database!$H415,Database!$H415),""))</f>
        <v/>
      </c>
      <c r="R415" s="24">
        <f>IF(Database!BM415="","",IFERROR(BDH("HSAHP Index","PX_LAST",Database!$H415,Database!$H415),""))</f>
        <v/>
      </c>
      <c r="S415" s="24">
        <f>IFERROR(BDP(Database!$A415&amp;" HK Equity","PX_TO_SALES_RATIO"),"")</f>
        <v/>
      </c>
      <c r="T415" s="19">
        <f>IF(Database!BM415="","",IFERROR(BDP(LEFT(Database!BM415,FIND(".",Database!BM415)-1)&amp;" CH Equity","CUR_MKT_CAP"),""))</f>
        <v/>
      </c>
    </row>
    <row r="416">
      <c r="A416" s="17">
        <f>Database!A416&amp;"  "&amp;Database!B416</f>
        <v/>
      </c>
      <c r="B416" s="10">
        <f>IFERROR(INDEX(BDS(Database!$A416&amp;" HK Equity","EQUITY_OFFERINGS","array=t","endcol=1"),MATCH("IPO",BDS(Database!$A416&amp;" HK Equity","EQUITY_OFFERINGS","array=t","startcol=2","endcol=2"),0)),"")</f>
        <v/>
      </c>
      <c r="C416" s="186">
        <f>IF($B416="","",IFERROR(BDP($B416&amp;" Action","CP036"),""))</f>
        <v/>
      </c>
      <c r="D416" s="187">
        <f>Database!S416</f>
        <v/>
      </c>
      <c r="E416" s="186">
        <f>IF($B416="","",IFERROR(BDP($B416&amp;" Action","CP037"),""))</f>
        <v/>
      </c>
      <c r="F416" s="187">
        <f>Database!T416</f>
        <v/>
      </c>
      <c r="G416" s="186">
        <f>IF($B416="","",IFERROR(BDP($B416&amp;" Action","GREENSHOE_FACILITY"),""))</f>
        <v/>
      </c>
      <c r="H416" s="186">
        <f>IF($B416="","",IFERROR(BDP($B416&amp;" Action","OFFERING_GREENSHOE_SHARES_EX"),""))</f>
        <v/>
      </c>
      <c r="I416" s="17">
        <f>Database!AE416</f>
        <v/>
      </c>
      <c r="J416" s="24">
        <f>IFERROR(BDP(Database!$A416&amp;" HK Equity","PE_RATIO"),"")</f>
        <v/>
      </c>
      <c r="K416" s="10">
        <f>IFERROR(BDP(Database!$A416&amp;" HK Equity","A/H_SHARE_CONVERSION"),"")</f>
        <v/>
      </c>
      <c r="L416" s="17">
        <f>IF(Database!BM416="","(none found)",Database!BM416)</f>
        <v/>
      </c>
      <c r="M416" s="19">
        <f>IFERROR(BDH(Database!$A416&amp;" HK Equity","CUR_MKT_CAP",Database!$H416,Database!$H416),"")</f>
        <v/>
      </c>
      <c r="N416" s="180">
        <f>Database!Q416</f>
        <v/>
      </c>
      <c r="O416" s="24">
        <f>IFERROR(BDH(Database!$A416&amp;" HK Equity","PE_RATIO",Database!$H416,Database!$H416),"")</f>
        <v/>
      </c>
      <c r="P416" s="184">
        <f>IF(Database!BG416="","(n/m or not derivable)",Database!BG416)</f>
        <v/>
      </c>
      <c r="Q416" s="24">
        <f>IF(Database!BM416="","",IFERROR(BDH(LEFT(Database!BM416,FIND(".",Database!BM416)-1)&amp;" CH Equity","PE_RATIO",Database!$H416,Database!$H416),""))</f>
        <v/>
      </c>
      <c r="R416" s="24">
        <f>IF(Database!BM416="","",IFERROR(BDH("HSAHP Index","PX_LAST",Database!$H416,Database!$H416),""))</f>
        <v/>
      </c>
      <c r="S416" s="24">
        <f>IFERROR(BDP(Database!$A416&amp;" HK Equity","PX_TO_SALES_RATIO"),"")</f>
        <v/>
      </c>
      <c r="T416" s="19">
        <f>IF(Database!BM416="","",IFERROR(BDP(LEFT(Database!BM416,FIND(".",Database!BM416)-1)&amp;" CH Equity","CUR_MKT_CAP"),""))</f>
        <v/>
      </c>
    </row>
    <row r="417">
      <c r="A417" s="17">
        <f>Database!A417&amp;"  "&amp;Database!B417</f>
        <v/>
      </c>
      <c r="B417" s="10">
        <f>IFERROR(INDEX(BDS(Database!$A417&amp;" HK Equity","EQUITY_OFFERINGS","array=t","endcol=1"),MATCH("IPO",BDS(Database!$A417&amp;" HK Equity","EQUITY_OFFERINGS","array=t","startcol=2","endcol=2"),0)),"")</f>
        <v/>
      </c>
      <c r="C417" s="186">
        <f>IF($B417="","",IFERROR(BDP($B417&amp;" Action","CP036"),""))</f>
        <v/>
      </c>
      <c r="D417" s="187">
        <f>Database!S417</f>
        <v/>
      </c>
      <c r="E417" s="186">
        <f>IF($B417="","",IFERROR(BDP($B417&amp;" Action","CP037"),""))</f>
        <v/>
      </c>
      <c r="F417" s="187">
        <f>Database!T417</f>
        <v/>
      </c>
      <c r="G417" s="186">
        <f>IF($B417="","",IFERROR(BDP($B417&amp;" Action","GREENSHOE_FACILITY"),""))</f>
        <v/>
      </c>
      <c r="H417" s="186">
        <f>IF($B417="","",IFERROR(BDP($B417&amp;" Action","OFFERING_GREENSHOE_SHARES_EX"),""))</f>
        <v/>
      </c>
      <c r="I417" s="17">
        <f>Database!AE417</f>
        <v/>
      </c>
      <c r="J417" s="24">
        <f>IFERROR(BDP(Database!$A417&amp;" HK Equity","PE_RATIO"),"")</f>
        <v/>
      </c>
      <c r="K417" s="10">
        <f>IFERROR(BDP(Database!$A417&amp;" HK Equity","A/H_SHARE_CONVERSION"),"")</f>
        <v/>
      </c>
      <c r="L417" s="17">
        <f>IF(Database!BM417="","(none found)",Database!BM417)</f>
        <v/>
      </c>
      <c r="M417" s="19">
        <f>IFERROR(BDH(Database!$A417&amp;" HK Equity","CUR_MKT_CAP",Database!$H417,Database!$H417),"")</f>
        <v/>
      </c>
      <c r="N417" s="180">
        <f>Database!Q417</f>
        <v/>
      </c>
      <c r="O417" s="24">
        <f>IFERROR(BDH(Database!$A417&amp;" HK Equity","PE_RATIO",Database!$H417,Database!$H417),"")</f>
        <v/>
      </c>
      <c r="P417" s="184">
        <f>IF(Database!BG417="","(n/m or not derivable)",Database!BG417)</f>
        <v/>
      </c>
      <c r="Q417" s="24">
        <f>IF(Database!BM417="","",IFERROR(BDH(LEFT(Database!BM417,FIND(".",Database!BM417)-1)&amp;" CH Equity","PE_RATIO",Database!$H417,Database!$H417),""))</f>
        <v/>
      </c>
      <c r="R417" s="24">
        <f>IF(Database!BM417="","",IFERROR(BDH("HSAHP Index","PX_LAST",Database!$H417,Database!$H417),""))</f>
        <v/>
      </c>
      <c r="S417" s="24">
        <f>IFERROR(BDP(Database!$A417&amp;" HK Equity","PX_TO_SALES_RATIO"),"")</f>
        <v/>
      </c>
      <c r="T417" s="19">
        <f>IF(Database!BM417="","",IFERROR(BDP(LEFT(Database!BM417,FIND(".",Database!BM417)-1)&amp;" CH Equity","CUR_MKT_CAP"),""))</f>
        <v/>
      </c>
    </row>
    <row r="418">
      <c r="A418" s="17">
        <f>Database!A418&amp;"  "&amp;Database!B418</f>
        <v/>
      </c>
      <c r="B418" s="10">
        <f>IFERROR(INDEX(BDS(Database!$A418&amp;" HK Equity","EQUITY_OFFERINGS","array=t","endcol=1"),MATCH("IPO",BDS(Database!$A418&amp;" HK Equity","EQUITY_OFFERINGS","array=t","startcol=2","endcol=2"),0)),"")</f>
        <v/>
      </c>
      <c r="C418" s="186">
        <f>IF($B418="","",IFERROR(BDP($B418&amp;" Action","CP036"),""))</f>
        <v/>
      </c>
      <c r="D418" s="187">
        <f>Database!S418</f>
        <v/>
      </c>
      <c r="E418" s="186">
        <f>IF($B418="","",IFERROR(BDP($B418&amp;" Action","CP037"),""))</f>
        <v/>
      </c>
      <c r="F418" s="187">
        <f>Database!T418</f>
        <v/>
      </c>
      <c r="G418" s="186">
        <f>IF($B418="","",IFERROR(BDP($B418&amp;" Action","GREENSHOE_FACILITY"),""))</f>
        <v/>
      </c>
      <c r="H418" s="186">
        <f>IF($B418="","",IFERROR(BDP($B418&amp;" Action","OFFERING_GREENSHOE_SHARES_EX"),""))</f>
        <v/>
      </c>
      <c r="I418" s="17">
        <f>Database!AE418</f>
        <v/>
      </c>
      <c r="J418" s="24">
        <f>IFERROR(BDP(Database!$A418&amp;" HK Equity","PE_RATIO"),"")</f>
        <v/>
      </c>
      <c r="K418" s="10">
        <f>IFERROR(BDP(Database!$A418&amp;" HK Equity","A/H_SHARE_CONVERSION"),"")</f>
        <v/>
      </c>
      <c r="L418" s="17">
        <f>IF(Database!BM418="","(none found)",Database!BM418)</f>
        <v/>
      </c>
      <c r="M418" s="19">
        <f>IFERROR(BDH(Database!$A418&amp;" HK Equity","CUR_MKT_CAP",Database!$H418,Database!$H418),"")</f>
        <v/>
      </c>
      <c r="N418" s="180">
        <f>Database!Q418</f>
        <v/>
      </c>
      <c r="O418" s="24">
        <f>IFERROR(BDH(Database!$A418&amp;" HK Equity","PE_RATIO",Database!$H418,Database!$H418),"")</f>
        <v/>
      </c>
      <c r="P418" s="184">
        <f>IF(Database!BG418="","(n/m or not derivable)",Database!BG418)</f>
        <v/>
      </c>
      <c r="Q418" s="24">
        <f>IF(Database!BM418="","",IFERROR(BDH(LEFT(Database!BM418,FIND(".",Database!BM418)-1)&amp;" CH Equity","PE_RATIO",Database!$H418,Database!$H418),""))</f>
        <v/>
      </c>
      <c r="R418" s="24">
        <f>IF(Database!BM418="","",IFERROR(BDH("HSAHP Index","PX_LAST",Database!$H418,Database!$H418),""))</f>
        <v/>
      </c>
      <c r="S418" s="24">
        <f>IFERROR(BDP(Database!$A418&amp;" HK Equity","PX_TO_SALES_RATIO"),"")</f>
        <v/>
      </c>
      <c r="T418" s="19">
        <f>IF(Database!BM418="","",IFERROR(BDP(LEFT(Database!BM418,FIND(".",Database!BM418)-1)&amp;" CH Equity","CUR_MKT_CAP"),""))</f>
        <v/>
      </c>
    </row>
    <row r="419">
      <c r="A419" s="17">
        <f>Database!A419&amp;"  "&amp;Database!B419</f>
        <v/>
      </c>
      <c r="B419" s="10">
        <f>IFERROR(INDEX(BDS(Database!$A419&amp;" HK Equity","EQUITY_OFFERINGS","array=t","endcol=1"),MATCH("IPO",BDS(Database!$A419&amp;" HK Equity","EQUITY_OFFERINGS","array=t","startcol=2","endcol=2"),0)),"")</f>
        <v/>
      </c>
      <c r="C419" s="186">
        <f>IF($B419="","",IFERROR(BDP($B419&amp;" Action","CP036"),""))</f>
        <v/>
      </c>
      <c r="D419" s="187">
        <f>Database!S419</f>
        <v/>
      </c>
      <c r="E419" s="186">
        <f>IF($B419="","",IFERROR(BDP($B419&amp;" Action","CP037"),""))</f>
        <v/>
      </c>
      <c r="F419" s="187">
        <f>Database!T419</f>
        <v/>
      </c>
      <c r="G419" s="186">
        <f>IF($B419="","",IFERROR(BDP($B419&amp;" Action","GREENSHOE_FACILITY"),""))</f>
        <v/>
      </c>
      <c r="H419" s="186">
        <f>IF($B419="","",IFERROR(BDP($B419&amp;" Action","OFFERING_GREENSHOE_SHARES_EX"),""))</f>
        <v/>
      </c>
      <c r="I419" s="17">
        <f>Database!AE419</f>
        <v/>
      </c>
      <c r="J419" s="24">
        <f>IFERROR(BDP(Database!$A419&amp;" HK Equity","PE_RATIO"),"")</f>
        <v/>
      </c>
      <c r="K419" s="10">
        <f>IFERROR(BDP(Database!$A419&amp;" HK Equity","A/H_SHARE_CONVERSION"),"")</f>
        <v/>
      </c>
      <c r="L419" s="17">
        <f>IF(Database!BM419="","(none found)",Database!BM419)</f>
        <v/>
      </c>
      <c r="M419" s="19">
        <f>IFERROR(BDH(Database!$A419&amp;" HK Equity","CUR_MKT_CAP",Database!$H419,Database!$H419),"")</f>
        <v/>
      </c>
      <c r="N419" s="180">
        <f>Database!Q419</f>
        <v/>
      </c>
      <c r="O419" s="24">
        <f>IFERROR(BDH(Database!$A419&amp;" HK Equity","PE_RATIO",Database!$H419,Database!$H419),"")</f>
        <v/>
      </c>
      <c r="P419" s="184">
        <f>IF(Database!BG419="","(n/m or not derivable)",Database!BG419)</f>
        <v/>
      </c>
      <c r="Q419" s="24">
        <f>IF(Database!BM419="","",IFERROR(BDH(LEFT(Database!BM419,FIND(".",Database!BM419)-1)&amp;" CH Equity","PE_RATIO",Database!$H419,Database!$H419),""))</f>
        <v/>
      </c>
      <c r="R419" s="24">
        <f>IF(Database!BM419="","",IFERROR(BDH("HSAHP Index","PX_LAST",Database!$H419,Database!$H419),""))</f>
        <v/>
      </c>
      <c r="S419" s="24">
        <f>IFERROR(BDP(Database!$A419&amp;" HK Equity","PX_TO_SALES_RATIO"),"")</f>
        <v/>
      </c>
      <c r="T419" s="19">
        <f>IF(Database!BM419="","",IFERROR(BDP(LEFT(Database!BM419,FIND(".",Database!BM419)-1)&amp;" CH Equity","CUR_MKT_CAP"),""))</f>
        <v/>
      </c>
    </row>
    <row r="420">
      <c r="A420" s="17">
        <f>Database!A420&amp;"  "&amp;Database!B420</f>
        <v/>
      </c>
      <c r="B420" s="10">
        <f>IFERROR(INDEX(BDS(Database!$A420&amp;" HK Equity","EQUITY_OFFERINGS","array=t","endcol=1"),MATCH("IPO",BDS(Database!$A420&amp;" HK Equity","EQUITY_OFFERINGS","array=t","startcol=2","endcol=2"),0)),"")</f>
        <v/>
      </c>
      <c r="C420" s="186">
        <f>IF($B420="","",IFERROR(BDP($B420&amp;" Action","CP036"),""))</f>
        <v/>
      </c>
      <c r="D420" s="187">
        <f>Database!S420</f>
        <v/>
      </c>
      <c r="E420" s="186">
        <f>IF($B420="","",IFERROR(BDP($B420&amp;" Action","CP037"),""))</f>
        <v/>
      </c>
      <c r="F420" s="187">
        <f>Database!T420</f>
        <v/>
      </c>
      <c r="G420" s="186">
        <f>IF($B420="","",IFERROR(BDP($B420&amp;" Action","GREENSHOE_FACILITY"),""))</f>
        <v/>
      </c>
      <c r="H420" s="186">
        <f>IF($B420="","",IFERROR(BDP($B420&amp;" Action","OFFERING_GREENSHOE_SHARES_EX"),""))</f>
        <v/>
      </c>
      <c r="I420" s="17">
        <f>Database!AE420</f>
        <v/>
      </c>
      <c r="J420" s="24">
        <f>IFERROR(BDP(Database!$A420&amp;" HK Equity","PE_RATIO"),"")</f>
        <v/>
      </c>
      <c r="K420" s="10">
        <f>IFERROR(BDP(Database!$A420&amp;" HK Equity","A/H_SHARE_CONVERSION"),"")</f>
        <v/>
      </c>
      <c r="L420" s="17">
        <f>IF(Database!BM420="","(none found)",Database!BM420)</f>
        <v/>
      </c>
      <c r="M420" s="19">
        <f>IFERROR(BDH(Database!$A420&amp;" HK Equity","CUR_MKT_CAP",Database!$H420,Database!$H420),"")</f>
        <v/>
      </c>
      <c r="N420" s="180">
        <f>Database!Q420</f>
        <v/>
      </c>
      <c r="O420" s="24">
        <f>IFERROR(BDH(Database!$A420&amp;" HK Equity","PE_RATIO",Database!$H420,Database!$H420),"")</f>
        <v/>
      </c>
      <c r="P420" s="184">
        <f>IF(Database!BG420="","(n/m or not derivable)",Database!BG420)</f>
        <v/>
      </c>
      <c r="Q420" s="24">
        <f>IF(Database!BM420="","",IFERROR(BDH(LEFT(Database!BM420,FIND(".",Database!BM420)-1)&amp;" CH Equity","PE_RATIO",Database!$H420,Database!$H420),""))</f>
        <v/>
      </c>
      <c r="R420" s="24">
        <f>IF(Database!BM420="","",IFERROR(BDH("HSAHP Index","PX_LAST",Database!$H420,Database!$H420),""))</f>
        <v/>
      </c>
      <c r="S420" s="24">
        <f>IFERROR(BDP(Database!$A420&amp;" HK Equity","PX_TO_SALES_RATIO"),"")</f>
        <v/>
      </c>
      <c r="T420" s="19">
        <f>IF(Database!BM420="","",IFERROR(BDP(LEFT(Database!BM420,FIND(".",Database!BM420)-1)&amp;" CH Equity","CUR_MKT_CAP"),""))</f>
        <v/>
      </c>
    </row>
    <row r="421">
      <c r="A421" s="17">
        <f>Database!A421&amp;"  "&amp;Database!B421</f>
        <v/>
      </c>
      <c r="B421" s="10">
        <f>IFERROR(INDEX(BDS(Database!$A421&amp;" HK Equity","EQUITY_OFFERINGS","array=t","endcol=1"),MATCH("IPO",BDS(Database!$A421&amp;" HK Equity","EQUITY_OFFERINGS","array=t","startcol=2","endcol=2"),0)),"")</f>
        <v/>
      </c>
      <c r="C421" s="186">
        <f>IF($B421="","",IFERROR(BDP($B421&amp;" Action","CP036"),""))</f>
        <v/>
      </c>
      <c r="D421" s="187">
        <f>Database!S421</f>
        <v/>
      </c>
      <c r="E421" s="186">
        <f>IF($B421="","",IFERROR(BDP($B421&amp;" Action","CP037"),""))</f>
        <v/>
      </c>
      <c r="F421" s="187">
        <f>Database!T421</f>
        <v/>
      </c>
      <c r="G421" s="186">
        <f>IF($B421="","",IFERROR(BDP($B421&amp;" Action","GREENSHOE_FACILITY"),""))</f>
        <v/>
      </c>
      <c r="H421" s="186">
        <f>IF($B421="","",IFERROR(BDP($B421&amp;" Action","OFFERING_GREENSHOE_SHARES_EX"),""))</f>
        <v/>
      </c>
      <c r="I421" s="17">
        <f>Database!AE421</f>
        <v/>
      </c>
      <c r="J421" s="24">
        <f>IFERROR(BDP(Database!$A421&amp;" HK Equity","PE_RATIO"),"")</f>
        <v/>
      </c>
      <c r="K421" s="10">
        <f>IFERROR(BDP(Database!$A421&amp;" HK Equity","A/H_SHARE_CONVERSION"),"")</f>
        <v/>
      </c>
      <c r="L421" s="17">
        <f>IF(Database!BM421="","(none found)",Database!BM421)</f>
        <v/>
      </c>
      <c r="M421" s="19">
        <f>IFERROR(BDH(Database!$A421&amp;" HK Equity","CUR_MKT_CAP",Database!$H421,Database!$H421),"")</f>
        <v/>
      </c>
      <c r="N421" s="180">
        <f>Database!Q421</f>
        <v/>
      </c>
      <c r="O421" s="24">
        <f>IFERROR(BDH(Database!$A421&amp;" HK Equity","PE_RATIO",Database!$H421,Database!$H421),"")</f>
        <v/>
      </c>
      <c r="P421" s="184">
        <f>IF(Database!BG421="","(n/m or not derivable)",Database!BG421)</f>
        <v/>
      </c>
      <c r="Q421" s="24">
        <f>IF(Database!BM421="","",IFERROR(BDH(LEFT(Database!BM421,FIND(".",Database!BM421)-1)&amp;" CH Equity","PE_RATIO",Database!$H421,Database!$H421),""))</f>
        <v/>
      </c>
      <c r="R421" s="24">
        <f>IF(Database!BM421="","",IFERROR(BDH("HSAHP Index","PX_LAST",Database!$H421,Database!$H421),""))</f>
        <v/>
      </c>
      <c r="S421" s="24">
        <f>IFERROR(BDP(Database!$A421&amp;" HK Equity","PX_TO_SALES_RATIO"),"")</f>
        <v/>
      </c>
      <c r="T421" s="19">
        <f>IF(Database!BM421="","",IFERROR(BDP(LEFT(Database!BM421,FIND(".",Database!BM421)-1)&amp;" CH Equity","CUR_MKT_CAP"),""))</f>
        <v/>
      </c>
    </row>
    <row r="422">
      <c r="A422" s="17">
        <f>Database!A422&amp;"  "&amp;Database!B422</f>
        <v/>
      </c>
      <c r="B422" s="10">
        <f>IFERROR(INDEX(BDS(Database!$A422&amp;" HK Equity","EQUITY_OFFERINGS","array=t","endcol=1"),MATCH("IPO",BDS(Database!$A422&amp;" HK Equity","EQUITY_OFFERINGS","array=t","startcol=2","endcol=2"),0)),"")</f>
        <v/>
      </c>
      <c r="C422" s="186">
        <f>IF($B422="","",IFERROR(BDP($B422&amp;" Action","CP036"),""))</f>
        <v/>
      </c>
      <c r="D422" s="187">
        <f>Database!S422</f>
        <v/>
      </c>
      <c r="E422" s="186">
        <f>IF($B422="","",IFERROR(BDP($B422&amp;" Action","CP037"),""))</f>
        <v/>
      </c>
      <c r="F422" s="187">
        <f>Database!T422</f>
        <v/>
      </c>
      <c r="G422" s="186">
        <f>IF($B422="","",IFERROR(BDP($B422&amp;" Action","GREENSHOE_FACILITY"),""))</f>
        <v/>
      </c>
      <c r="H422" s="186">
        <f>IF($B422="","",IFERROR(BDP($B422&amp;" Action","OFFERING_GREENSHOE_SHARES_EX"),""))</f>
        <v/>
      </c>
      <c r="I422" s="17">
        <f>Database!AE422</f>
        <v/>
      </c>
      <c r="J422" s="24">
        <f>IFERROR(BDP(Database!$A422&amp;" HK Equity","PE_RATIO"),"")</f>
        <v/>
      </c>
      <c r="K422" s="10">
        <f>IFERROR(BDP(Database!$A422&amp;" HK Equity","A/H_SHARE_CONVERSION"),"")</f>
        <v/>
      </c>
      <c r="L422" s="17">
        <f>IF(Database!BM422="","(none found)",Database!BM422)</f>
        <v/>
      </c>
      <c r="M422" s="19">
        <f>IFERROR(BDH(Database!$A422&amp;" HK Equity","CUR_MKT_CAP",Database!$H422,Database!$H422),"")</f>
        <v/>
      </c>
      <c r="N422" s="180">
        <f>Database!Q422</f>
        <v/>
      </c>
      <c r="O422" s="24">
        <f>IFERROR(BDH(Database!$A422&amp;" HK Equity","PE_RATIO",Database!$H422,Database!$H422),"")</f>
        <v/>
      </c>
      <c r="P422" s="184">
        <f>IF(Database!BG422="","(n/m or not derivable)",Database!BG422)</f>
        <v/>
      </c>
      <c r="Q422" s="24">
        <f>IF(Database!BM422="","",IFERROR(BDH(LEFT(Database!BM422,FIND(".",Database!BM422)-1)&amp;" CH Equity","PE_RATIO",Database!$H422,Database!$H422),""))</f>
        <v/>
      </c>
      <c r="R422" s="24">
        <f>IF(Database!BM422="","",IFERROR(BDH("HSAHP Index","PX_LAST",Database!$H422,Database!$H422),""))</f>
        <v/>
      </c>
      <c r="S422" s="24">
        <f>IFERROR(BDP(Database!$A422&amp;" HK Equity","PX_TO_SALES_RATIO"),"")</f>
        <v/>
      </c>
      <c r="T422" s="19">
        <f>IF(Database!BM422="","",IFERROR(BDP(LEFT(Database!BM422,FIND(".",Database!BM422)-1)&amp;" CH Equity","CUR_MKT_CAP"),""))</f>
        <v/>
      </c>
    </row>
    <row r="423">
      <c r="A423" s="17">
        <f>Database!A423&amp;"  "&amp;Database!B423</f>
        <v/>
      </c>
      <c r="B423" s="10">
        <f>IFERROR(INDEX(BDS(Database!$A423&amp;" HK Equity","EQUITY_OFFERINGS","array=t","endcol=1"),MATCH("IPO",BDS(Database!$A423&amp;" HK Equity","EQUITY_OFFERINGS","array=t","startcol=2","endcol=2"),0)),"")</f>
        <v/>
      </c>
      <c r="C423" s="186">
        <f>IF($B423="","",IFERROR(BDP($B423&amp;" Action","CP036"),""))</f>
        <v/>
      </c>
      <c r="D423" s="187">
        <f>Database!S423</f>
        <v/>
      </c>
      <c r="E423" s="186">
        <f>IF($B423="","",IFERROR(BDP($B423&amp;" Action","CP037"),""))</f>
        <v/>
      </c>
      <c r="F423" s="187">
        <f>Database!T423</f>
        <v/>
      </c>
      <c r="G423" s="186">
        <f>IF($B423="","",IFERROR(BDP($B423&amp;" Action","GREENSHOE_FACILITY"),""))</f>
        <v/>
      </c>
      <c r="H423" s="186">
        <f>IF($B423="","",IFERROR(BDP($B423&amp;" Action","OFFERING_GREENSHOE_SHARES_EX"),""))</f>
        <v/>
      </c>
      <c r="I423" s="17">
        <f>Database!AE423</f>
        <v/>
      </c>
      <c r="J423" s="24">
        <f>IFERROR(BDP(Database!$A423&amp;" HK Equity","PE_RATIO"),"")</f>
        <v/>
      </c>
      <c r="K423" s="10">
        <f>IFERROR(BDP(Database!$A423&amp;" HK Equity","A/H_SHARE_CONVERSION"),"")</f>
        <v/>
      </c>
      <c r="L423" s="17">
        <f>IF(Database!BM423="","(none found)",Database!BM423)</f>
        <v/>
      </c>
      <c r="M423" s="19">
        <f>IFERROR(BDH(Database!$A423&amp;" HK Equity","CUR_MKT_CAP",Database!$H423,Database!$H423),"")</f>
        <v/>
      </c>
      <c r="N423" s="180">
        <f>Database!Q423</f>
        <v/>
      </c>
      <c r="O423" s="24">
        <f>IFERROR(BDH(Database!$A423&amp;" HK Equity","PE_RATIO",Database!$H423,Database!$H423),"")</f>
        <v/>
      </c>
      <c r="P423" s="184">
        <f>IF(Database!BG423="","(n/m or not derivable)",Database!BG423)</f>
        <v/>
      </c>
      <c r="Q423" s="24">
        <f>IF(Database!BM423="","",IFERROR(BDH(LEFT(Database!BM423,FIND(".",Database!BM423)-1)&amp;" CH Equity","PE_RATIO",Database!$H423,Database!$H423),""))</f>
        <v/>
      </c>
      <c r="R423" s="24">
        <f>IF(Database!BM423="","",IFERROR(BDH("HSAHP Index","PX_LAST",Database!$H423,Database!$H423),""))</f>
        <v/>
      </c>
      <c r="S423" s="24">
        <f>IFERROR(BDP(Database!$A423&amp;" HK Equity","PX_TO_SALES_RATIO"),"")</f>
        <v/>
      </c>
      <c r="T423" s="19">
        <f>IF(Database!BM423="","",IFERROR(BDP(LEFT(Database!BM423,FIND(".",Database!BM423)-1)&amp;" CH Equity","CUR_MKT_CAP"),""))</f>
        <v/>
      </c>
    </row>
    <row r="424">
      <c r="A424" s="17">
        <f>Database!A424&amp;"  "&amp;Database!B424</f>
        <v/>
      </c>
      <c r="B424" s="10">
        <f>IFERROR(INDEX(BDS(Database!$A424&amp;" HK Equity","EQUITY_OFFERINGS","array=t","endcol=1"),MATCH("IPO",BDS(Database!$A424&amp;" HK Equity","EQUITY_OFFERINGS","array=t","startcol=2","endcol=2"),0)),"")</f>
        <v/>
      </c>
      <c r="C424" s="186">
        <f>IF($B424="","",IFERROR(BDP($B424&amp;" Action","CP036"),""))</f>
        <v/>
      </c>
      <c r="D424" s="187">
        <f>Database!S424</f>
        <v/>
      </c>
      <c r="E424" s="186">
        <f>IF($B424="","",IFERROR(BDP($B424&amp;" Action","CP037"),""))</f>
        <v/>
      </c>
      <c r="F424" s="187">
        <f>Database!T424</f>
        <v/>
      </c>
      <c r="G424" s="186">
        <f>IF($B424="","",IFERROR(BDP($B424&amp;" Action","GREENSHOE_FACILITY"),""))</f>
        <v/>
      </c>
      <c r="H424" s="186">
        <f>IF($B424="","",IFERROR(BDP($B424&amp;" Action","OFFERING_GREENSHOE_SHARES_EX"),""))</f>
        <v/>
      </c>
      <c r="I424" s="17">
        <f>Database!AE424</f>
        <v/>
      </c>
      <c r="J424" s="24">
        <f>IFERROR(BDP(Database!$A424&amp;" HK Equity","PE_RATIO"),"")</f>
        <v/>
      </c>
      <c r="K424" s="10">
        <f>IFERROR(BDP(Database!$A424&amp;" HK Equity","A/H_SHARE_CONVERSION"),"")</f>
        <v/>
      </c>
      <c r="L424" s="17">
        <f>IF(Database!BM424="","(none found)",Database!BM424)</f>
        <v/>
      </c>
      <c r="M424" s="19">
        <f>IFERROR(BDH(Database!$A424&amp;" HK Equity","CUR_MKT_CAP",Database!$H424,Database!$H424),"")</f>
        <v/>
      </c>
      <c r="N424" s="180">
        <f>Database!Q424</f>
        <v/>
      </c>
      <c r="O424" s="24">
        <f>IFERROR(BDH(Database!$A424&amp;" HK Equity","PE_RATIO",Database!$H424,Database!$H424),"")</f>
        <v/>
      </c>
      <c r="P424" s="184">
        <f>IF(Database!BG424="","(n/m or not derivable)",Database!BG424)</f>
        <v/>
      </c>
      <c r="Q424" s="24">
        <f>IF(Database!BM424="","",IFERROR(BDH(LEFT(Database!BM424,FIND(".",Database!BM424)-1)&amp;" CH Equity","PE_RATIO",Database!$H424,Database!$H424),""))</f>
        <v/>
      </c>
      <c r="R424" s="24">
        <f>IF(Database!BM424="","",IFERROR(BDH("HSAHP Index","PX_LAST",Database!$H424,Database!$H424),""))</f>
        <v/>
      </c>
      <c r="S424" s="24">
        <f>IFERROR(BDP(Database!$A424&amp;" HK Equity","PX_TO_SALES_RATIO"),"")</f>
        <v/>
      </c>
      <c r="T424" s="19">
        <f>IF(Database!BM424="","",IFERROR(BDP(LEFT(Database!BM424,FIND(".",Database!BM424)-1)&amp;" CH Equity","CUR_MKT_CAP"),""))</f>
        <v/>
      </c>
    </row>
    <row r="425">
      <c r="A425" s="17">
        <f>Database!A425&amp;"  "&amp;Database!B425</f>
        <v/>
      </c>
      <c r="B425" s="10">
        <f>IFERROR(INDEX(BDS(Database!$A425&amp;" HK Equity","EQUITY_OFFERINGS","array=t","endcol=1"),MATCH("IPO",BDS(Database!$A425&amp;" HK Equity","EQUITY_OFFERINGS","array=t","startcol=2","endcol=2"),0)),"")</f>
        <v/>
      </c>
      <c r="C425" s="186">
        <f>IF($B425="","",IFERROR(BDP($B425&amp;" Action","CP036"),""))</f>
        <v/>
      </c>
      <c r="D425" s="187">
        <f>Database!S425</f>
        <v/>
      </c>
      <c r="E425" s="186">
        <f>IF($B425="","",IFERROR(BDP($B425&amp;" Action","CP037"),""))</f>
        <v/>
      </c>
      <c r="F425" s="187">
        <f>Database!T425</f>
        <v/>
      </c>
      <c r="G425" s="186">
        <f>IF($B425="","",IFERROR(BDP($B425&amp;" Action","GREENSHOE_FACILITY"),""))</f>
        <v/>
      </c>
      <c r="H425" s="186">
        <f>IF($B425="","",IFERROR(BDP($B425&amp;" Action","OFFERING_GREENSHOE_SHARES_EX"),""))</f>
        <v/>
      </c>
      <c r="I425" s="17">
        <f>Database!AE425</f>
        <v/>
      </c>
      <c r="J425" s="24">
        <f>IFERROR(BDP(Database!$A425&amp;" HK Equity","PE_RATIO"),"")</f>
        <v/>
      </c>
      <c r="K425" s="10">
        <f>IFERROR(BDP(Database!$A425&amp;" HK Equity","A/H_SHARE_CONVERSION"),"")</f>
        <v/>
      </c>
      <c r="L425" s="17">
        <f>IF(Database!BM425="","(none found)",Database!BM425)</f>
        <v/>
      </c>
      <c r="M425" s="19">
        <f>IFERROR(BDH(Database!$A425&amp;" HK Equity","CUR_MKT_CAP",Database!$H425,Database!$H425),"")</f>
        <v/>
      </c>
      <c r="N425" s="180">
        <f>Database!Q425</f>
        <v/>
      </c>
      <c r="O425" s="24">
        <f>IFERROR(BDH(Database!$A425&amp;" HK Equity","PE_RATIO",Database!$H425,Database!$H425),"")</f>
        <v/>
      </c>
      <c r="P425" s="184">
        <f>IF(Database!BG425="","(n/m or not derivable)",Database!BG425)</f>
        <v/>
      </c>
      <c r="Q425" s="24">
        <f>IF(Database!BM425="","",IFERROR(BDH(LEFT(Database!BM425,FIND(".",Database!BM425)-1)&amp;" CH Equity","PE_RATIO",Database!$H425,Database!$H425),""))</f>
        <v/>
      </c>
      <c r="R425" s="24">
        <f>IF(Database!BM425="","",IFERROR(BDH("HSAHP Index","PX_LAST",Database!$H425,Database!$H425),""))</f>
        <v/>
      </c>
      <c r="S425" s="24">
        <f>IFERROR(BDP(Database!$A425&amp;" HK Equity","PX_TO_SALES_RATIO"),"")</f>
        <v/>
      </c>
      <c r="T425" s="19">
        <f>IF(Database!BM425="","",IFERROR(BDP(LEFT(Database!BM425,FIND(".",Database!BM425)-1)&amp;" CH Equity","CUR_MKT_CAP"),""))</f>
        <v/>
      </c>
    </row>
    <row r="426">
      <c r="A426" s="17">
        <f>Database!A426&amp;"  "&amp;Database!B426</f>
        <v/>
      </c>
      <c r="B426" s="10">
        <f>IFERROR(INDEX(BDS(Database!$A426&amp;" HK Equity","EQUITY_OFFERINGS","array=t","endcol=1"),MATCH("IPO",BDS(Database!$A426&amp;" HK Equity","EQUITY_OFFERINGS","array=t","startcol=2","endcol=2"),0)),"")</f>
        <v/>
      </c>
      <c r="C426" s="186">
        <f>IF($B426="","",IFERROR(BDP($B426&amp;" Action","CP036"),""))</f>
        <v/>
      </c>
      <c r="D426" s="187">
        <f>Database!S426</f>
        <v/>
      </c>
      <c r="E426" s="186">
        <f>IF($B426="","",IFERROR(BDP($B426&amp;" Action","CP037"),""))</f>
        <v/>
      </c>
      <c r="F426" s="187">
        <f>Database!T426</f>
        <v/>
      </c>
      <c r="G426" s="186">
        <f>IF($B426="","",IFERROR(BDP($B426&amp;" Action","GREENSHOE_FACILITY"),""))</f>
        <v/>
      </c>
      <c r="H426" s="186">
        <f>IF($B426="","",IFERROR(BDP($B426&amp;" Action","OFFERING_GREENSHOE_SHARES_EX"),""))</f>
        <v/>
      </c>
      <c r="I426" s="17">
        <f>Database!AE426</f>
        <v/>
      </c>
      <c r="J426" s="24">
        <f>IFERROR(BDP(Database!$A426&amp;" HK Equity","PE_RATIO"),"")</f>
        <v/>
      </c>
      <c r="K426" s="10">
        <f>IFERROR(BDP(Database!$A426&amp;" HK Equity","A/H_SHARE_CONVERSION"),"")</f>
        <v/>
      </c>
      <c r="L426" s="17">
        <f>IF(Database!BM426="","(none found)",Database!BM426)</f>
        <v/>
      </c>
      <c r="M426" s="19">
        <f>IFERROR(BDH(Database!$A426&amp;" HK Equity","CUR_MKT_CAP",Database!$H426,Database!$H426),"")</f>
        <v/>
      </c>
      <c r="N426" s="180">
        <f>Database!Q426</f>
        <v/>
      </c>
      <c r="O426" s="24">
        <f>IFERROR(BDH(Database!$A426&amp;" HK Equity","PE_RATIO",Database!$H426,Database!$H426),"")</f>
        <v/>
      </c>
      <c r="P426" s="184">
        <f>IF(Database!BG426="","(n/m or not derivable)",Database!BG426)</f>
        <v/>
      </c>
      <c r="Q426" s="24">
        <f>IF(Database!BM426="","",IFERROR(BDH(LEFT(Database!BM426,FIND(".",Database!BM426)-1)&amp;" CH Equity","PE_RATIO",Database!$H426,Database!$H426),""))</f>
        <v/>
      </c>
      <c r="R426" s="24">
        <f>IF(Database!BM426="","",IFERROR(BDH("HSAHP Index","PX_LAST",Database!$H426,Database!$H426),""))</f>
        <v/>
      </c>
      <c r="S426" s="24">
        <f>IFERROR(BDP(Database!$A426&amp;" HK Equity","PX_TO_SALES_RATIO"),"")</f>
        <v/>
      </c>
      <c r="T426" s="19">
        <f>IF(Database!BM426="","",IFERROR(BDP(LEFT(Database!BM426,FIND(".",Database!BM426)-1)&amp;" CH Equity","CUR_MKT_CAP"),""))</f>
        <v/>
      </c>
    </row>
    <row r="427">
      <c r="A427" s="17">
        <f>Database!A427&amp;"  "&amp;Database!B427</f>
        <v/>
      </c>
      <c r="B427" s="10">
        <f>IFERROR(INDEX(BDS(Database!$A427&amp;" HK Equity","EQUITY_OFFERINGS","array=t","endcol=1"),MATCH("IPO",BDS(Database!$A427&amp;" HK Equity","EQUITY_OFFERINGS","array=t","startcol=2","endcol=2"),0)),"")</f>
        <v/>
      </c>
      <c r="C427" s="186">
        <f>IF($B427="","",IFERROR(BDP($B427&amp;" Action","CP036"),""))</f>
        <v/>
      </c>
      <c r="D427" s="187">
        <f>Database!S427</f>
        <v/>
      </c>
      <c r="E427" s="186">
        <f>IF($B427="","",IFERROR(BDP($B427&amp;" Action","CP037"),""))</f>
        <v/>
      </c>
      <c r="F427" s="187">
        <f>Database!T427</f>
        <v/>
      </c>
      <c r="G427" s="186">
        <f>IF($B427="","",IFERROR(BDP($B427&amp;" Action","GREENSHOE_FACILITY"),""))</f>
        <v/>
      </c>
      <c r="H427" s="186">
        <f>IF($B427="","",IFERROR(BDP($B427&amp;" Action","OFFERING_GREENSHOE_SHARES_EX"),""))</f>
        <v/>
      </c>
      <c r="I427" s="17">
        <f>Database!AE427</f>
        <v/>
      </c>
      <c r="J427" s="24">
        <f>IFERROR(BDP(Database!$A427&amp;" HK Equity","PE_RATIO"),"")</f>
        <v/>
      </c>
      <c r="K427" s="10">
        <f>IFERROR(BDP(Database!$A427&amp;" HK Equity","A/H_SHARE_CONVERSION"),"")</f>
        <v/>
      </c>
      <c r="L427" s="17">
        <f>IF(Database!BM427="","(none found)",Database!BM427)</f>
        <v/>
      </c>
      <c r="M427" s="19">
        <f>IFERROR(BDH(Database!$A427&amp;" HK Equity","CUR_MKT_CAP",Database!$H427,Database!$H427),"")</f>
        <v/>
      </c>
      <c r="N427" s="180">
        <f>Database!Q427</f>
        <v/>
      </c>
      <c r="O427" s="24">
        <f>IFERROR(BDH(Database!$A427&amp;" HK Equity","PE_RATIO",Database!$H427,Database!$H427),"")</f>
        <v/>
      </c>
      <c r="P427" s="184">
        <f>IF(Database!BG427="","(n/m or not derivable)",Database!BG427)</f>
        <v/>
      </c>
      <c r="Q427" s="24">
        <f>IF(Database!BM427="","",IFERROR(BDH(LEFT(Database!BM427,FIND(".",Database!BM427)-1)&amp;" CH Equity","PE_RATIO",Database!$H427,Database!$H427),""))</f>
        <v/>
      </c>
      <c r="R427" s="24">
        <f>IF(Database!BM427="","",IFERROR(BDH("HSAHP Index","PX_LAST",Database!$H427,Database!$H427),""))</f>
        <v/>
      </c>
      <c r="S427" s="24">
        <f>IFERROR(BDP(Database!$A427&amp;" HK Equity","PX_TO_SALES_RATIO"),"")</f>
        <v/>
      </c>
      <c r="T427" s="19">
        <f>IF(Database!BM427="","",IFERROR(BDP(LEFT(Database!BM427,FIND(".",Database!BM427)-1)&amp;" CH Equity","CUR_MKT_CAP"),""))</f>
        <v/>
      </c>
    </row>
    <row r="428">
      <c r="A428" s="17">
        <f>Database!A428&amp;"  "&amp;Database!B428</f>
        <v/>
      </c>
      <c r="B428" s="10">
        <f>IFERROR(INDEX(BDS(Database!$A428&amp;" HK Equity","EQUITY_OFFERINGS","array=t","endcol=1"),MATCH("IPO",BDS(Database!$A428&amp;" HK Equity","EQUITY_OFFERINGS","array=t","startcol=2","endcol=2"),0)),"")</f>
        <v/>
      </c>
      <c r="C428" s="186">
        <f>IF($B428="","",IFERROR(BDP($B428&amp;" Action","CP036"),""))</f>
        <v/>
      </c>
      <c r="D428" s="187">
        <f>Database!S428</f>
        <v/>
      </c>
      <c r="E428" s="186">
        <f>IF($B428="","",IFERROR(BDP($B428&amp;" Action","CP037"),""))</f>
        <v/>
      </c>
      <c r="F428" s="187">
        <f>Database!T428</f>
        <v/>
      </c>
      <c r="G428" s="186">
        <f>IF($B428="","",IFERROR(BDP($B428&amp;" Action","GREENSHOE_FACILITY"),""))</f>
        <v/>
      </c>
      <c r="H428" s="186">
        <f>IF($B428="","",IFERROR(BDP($B428&amp;" Action","OFFERING_GREENSHOE_SHARES_EX"),""))</f>
        <v/>
      </c>
      <c r="I428" s="17">
        <f>Database!AE428</f>
        <v/>
      </c>
      <c r="J428" s="24">
        <f>IFERROR(BDP(Database!$A428&amp;" HK Equity","PE_RATIO"),"")</f>
        <v/>
      </c>
      <c r="K428" s="10">
        <f>IFERROR(BDP(Database!$A428&amp;" HK Equity","A/H_SHARE_CONVERSION"),"")</f>
        <v/>
      </c>
      <c r="L428" s="17">
        <f>IF(Database!BM428="","(none found)",Database!BM428)</f>
        <v/>
      </c>
      <c r="M428" s="19">
        <f>IFERROR(BDH(Database!$A428&amp;" HK Equity","CUR_MKT_CAP",Database!$H428,Database!$H428),"")</f>
        <v/>
      </c>
      <c r="N428" s="180">
        <f>Database!Q428</f>
        <v/>
      </c>
      <c r="O428" s="24">
        <f>IFERROR(BDH(Database!$A428&amp;" HK Equity","PE_RATIO",Database!$H428,Database!$H428),"")</f>
        <v/>
      </c>
      <c r="P428" s="184">
        <f>IF(Database!BG428="","(n/m or not derivable)",Database!BG428)</f>
        <v/>
      </c>
      <c r="Q428" s="24">
        <f>IF(Database!BM428="","",IFERROR(BDH(LEFT(Database!BM428,FIND(".",Database!BM428)-1)&amp;" CH Equity","PE_RATIO",Database!$H428,Database!$H428),""))</f>
        <v/>
      </c>
      <c r="R428" s="24">
        <f>IF(Database!BM428="","",IFERROR(BDH("HSAHP Index","PX_LAST",Database!$H428,Database!$H428),""))</f>
        <v/>
      </c>
      <c r="S428" s="24">
        <f>IFERROR(BDP(Database!$A428&amp;" HK Equity","PX_TO_SALES_RATIO"),"")</f>
        <v/>
      </c>
      <c r="T428" s="19">
        <f>IF(Database!BM428="","",IFERROR(BDP(LEFT(Database!BM428,FIND(".",Database!BM428)-1)&amp;" CH Equity","CUR_MKT_CAP"),""))</f>
        <v/>
      </c>
    </row>
    <row r="429">
      <c r="A429" s="17">
        <f>Database!A429&amp;"  "&amp;Database!B429</f>
        <v/>
      </c>
      <c r="B429" s="10">
        <f>IFERROR(INDEX(BDS(Database!$A429&amp;" HK Equity","EQUITY_OFFERINGS","array=t","endcol=1"),MATCH("IPO",BDS(Database!$A429&amp;" HK Equity","EQUITY_OFFERINGS","array=t","startcol=2","endcol=2"),0)),"")</f>
        <v/>
      </c>
      <c r="C429" s="186">
        <f>IF($B429="","",IFERROR(BDP($B429&amp;" Action","CP036"),""))</f>
        <v/>
      </c>
      <c r="D429" s="187">
        <f>Database!S429</f>
        <v/>
      </c>
      <c r="E429" s="186">
        <f>IF($B429="","",IFERROR(BDP($B429&amp;" Action","CP037"),""))</f>
        <v/>
      </c>
      <c r="F429" s="187">
        <f>Database!T429</f>
        <v/>
      </c>
      <c r="G429" s="186">
        <f>IF($B429="","",IFERROR(BDP($B429&amp;" Action","GREENSHOE_FACILITY"),""))</f>
        <v/>
      </c>
      <c r="H429" s="186">
        <f>IF($B429="","",IFERROR(BDP($B429&amp;" Action","OFFERING_GREENSHOE_SHARES_EX"),""))</f>
        <v/>
      </c>
      <c r="I429" s="17">
        <f>Database!AE429</f>
        <v/>
      </c>
      <c r="J429" s="24">
        <f>IFERROR(BDP(Database!$A429&amp;" HK Equity","PE_RATIO"),"")</f>
        <v/>
      </c>
      <c r="K429" s="10">
        <f>IFERROR(BDP(Database!$A429&amp;" HK Equity","A/H_SHARE_CONVERSION"),"")</f>
        <v/>
      </c>
      <c r="L429" s="17">
        <f>IF(Database!BM429="","(none found)",Database!BM429)</f>
        <v/>
      </c>
      <c r="M429" s="19">
        <f>IFERROR(BDH(Database!$A429&amp;" HK Equity","CUR_MKT_CAP",Database!$H429,Database!$H429),"")</f>
        <v/>
      </c>
      <c r="N429" s="180">
        <f>Database!Q429</f>
        <v/>
      </c>
      <c r="O429" s="24">
        <f>IFERROR(BDH(Database!$A429&amp;" HK Equity","PE_RATIO",Database!$H429,Database!$H429),"")</f>
        <v/>
      </c>
      <c r="P429" s="184">
        <f>IF(Database!BG429="","(n/m or not derivable)",Database!BG429)</f>
        <v/>
      </c>
      <c r="Q429" s="24">
        <f>IF(Database!BM429="","",IFERROR(BDH(LEFT(Database!BM429,FIND(".",Database!BM429)-1)&amp;" CH Equity","PE_RATIO",Database!$H429,Database!$H429),""))</f>
        <v/>
      </c>
      <c r="R429" s="24">
        <f>IF(Database!BM429="","",IFERROR(BDH("HSAHP Index","PX_LAST",Database!$H429,Database!$H429),""))</f>
        <v/>
      </c>
      <c r="S429" s="24">
        <f>IFERROR(BDP(Database!$A429&amp;" HK Equity","PX_TO_SALES_RATIO"),"")</f>
        <v/>
      </c>
      <c r="T429" s="19">
        <f>IF(Database!BM429="","",IFERROR(BDP(LEFT(Database!BM429,FIND(".",Database!BM429)-1)&amp;" CH Equity","CUR_MKT_CAP"),""))</f>
        <v/>
      </c>
    </row>
    <row r="430">
      <c r="A430" s="17">
        <f>Database!A430&amp;"  "&amp;Database!B430</f>
        <v/>
      </c>
      <c r="B430" s="10">
        <f>IFERROR(INDEX(BDS(Database!$A430&amp;" HK Equity","EQUITY_OFFERINGS","array=t","endcol=1"),MATCH("IPO",BDS(Database!$A430&amp;" HK Equity","EQUITY_OFFERINGS","array=t","startcol=2","endcol=2"),0)),"")</f>
        <v/>
      </c>
      <c r="C430" s="186">
        <f>IF($B430="","",IFERROR(BDP($B430&amp;" Action","CP036"),""))</f>
        <v/>
      </c>
      <c r="D430" s="187">
        <f>Database!S430</f>
        <v/>
      </c>
      <c r="E430" s="186">
        <f>IF($B430="","",IFERROR(BDP($B430&amp;" Action","CP037"),""))</f>
        <v/>
      </c>
      <c r="F430" s="187">
        <f>Database!T430</f>
        <v/>
      </c>
      <c r="G430" s="186">
        <f>IF($B430="","",IFERROR(BDP($B430&amp;" Action","GREENSHOE_FACILITY"),""))</f>
        <v/>
      </c>
      <c r="H430" s="186">
        <f>IF($B430="","",IFERROR(BDP($B430&amp;" Action","OFFERING_GREENSHOE_SHARES_EX"),""))</f>
        <v/>
      </c>
      <c r="I430" s="17">
        <f>Database!AE430</f>
        <v/>
      </c>
      <c r="J430" s="24">
        <f>IFERROR(BDP(Database!$A430&amp;" HK Equity","PE_RATIO"),"")</f>
        <v/>
      </c>
      <c r="K430" s="10">
        <f>IFERROR(BDP(Database!$A430&amp;" HK Equity","A/H_SHARE_CONVERSION"),"")</f>
        <v/>
      </c>
      <c r="L430" s="17">
        <f>IF(Database!BM430="","(none found)",Database!BM430)</f>
        <v/>
      </c>
      <c r="M430" s="19">
        <f>IFERROR(BDH(Database!$A430&amp;" HK Equity","CUR_MKT_CAP",Database!$H430,Database!$H430),"")</f>
        <v/>
      </c>
      <c r="N430" s="180">
        <f>Database!Q430</f>
        <v/>
      </c>
      <c r="O430" s="24">
        <f>IFERROR(BDH(Database!$A430&amp;" HK Equity","PE_RATIO",Database!$H430,Database!$H430),"")</f>
        <v/>
      </c>
      <c r="P430" s="184">
        <f>IF(Database!BG430="","(n/m or not derivable)",Database!BG430)</f>
        <v/>
      </c>
      <c r="Q430" s="24">
        <f>IF(Database!BM430="","",IFERROR(BDH(LEFT(Database!BM430,FIND(".",Database!BM430)-1)&amp;" CH Equity","PE_RATIO",Database!$H430,Database!$H430),""))</f>
        <v/>
      </c>
      <c r="R430" s="24">
        <f>IF(Database!BM430="","",IFERROR(BDH("HSAHP Index","PX_LAST",Database!$H430,Database!$H430),""))</f>
        <v/>
      </c>
      <c r="S430" s="24">
        <f>IFERROR(BDP(Database!$A430&amp;" HK Equity","PX_TO_SALES_RATIO"),"")</f>
        <v/>
      </c>
      <c r="T430" s="19">
        <f>IF(Database!BM430="","",IFERROR(BDP(LEFT(Database!BM430,FIND(".",Database!BM430)-1)&amp;" CH Equity","CUR_MKT_CAP"),""))</f>
        <v/>
      </c>
    </row>
    <row r="431">
      <c r="A431" s="17">
        <f>Database!A431&amp;"  "&amp;Database!B431</f>
        <v/>
      </c>
      <c r="B431" s="10">
        <f>IFERROR(INDEX(BDS(Database!$A431&amp;" HK Equity","EQUITY_OFFERINGS","array=t","endcol=1"),MATCH("IPO",BDS(Database!$A431&amp;" HK Equity","EQUITY_OFFERINGS","array=t","startcol=2","endcol=2"),0)),"")</f>
        <v/>
      </c>
      <c r="C431" s="186">
        <f>IF($B431="","",IFERROR(BDP($B431&amp;" Action","CP036"),""))</f>
        <v/>
      </c>
      <c r="D431" s="187">
        <f>Database!S431</f>
        <v/>
      </c>
      <c r="E431" s="186">
        <f>IF($B431="","",IFERROR(BDP($B431&amp;" Action","CP037"),""))</f>
        <v/>
      </c>
      <c r="F431" s="187">
        <f>Database!T431</f>
        <v/>
      </c>
      <c r="G431" s="186">
        <f>IF($B431="","",IFERROR(BDP($B431&amp;" Action","GREENSHOE_FACILITY"),""))</f>
        <v/>
      </c>
      <c r="H431" s="186">
        <f>IF($B431="","",IFERROR(BDP($B431&amp;" Action","OFFERING_GREENSHOE_SHARES_EX"),""))</f>
        <v/>
      </c>
      <c r="I431" s="17">
        <f>Database!AE431</f>
        <v/>
      </c>
      <c r="J431" s="24">
        <f>IFERROR(BDP(Database!$A431&amp;" HK Equity","PE_RATIO"),"")</f>
        <v/>
      </c>
      <c r="K431" s="10">
        <f>IFERROR(BDP(Database!$A431&amp;" HK Equity","A/H_SHARE_CONVERSION"),"")</f>
        <v/>
      </c>
      <c r="L431" s="17">
        <f>IF(Database!BM431="","(none found)",Database!BM431)</f>
        <v/>
      </c>
      <c r="M431" s="19">
        <f>IFERROR(BDH(Database!$A431&amp;" HK Equity","CUR_MKT_CAP",Database!$H431,Database!$H431),"")</f>
        <v/>
      </c>
      <c r="N431" s="180">
        <f>Database!Q431</f>
        <v/>
      </c>
      <c r="O431" s="24">
        <f>IFERROR(BDH(Database!$A431&amp;" HK Equity","PE_RATIO",Database!$H431,Database!$H431),"")</f>
        <v/>
      </c>
      <c r="P431" s="184">
        <f>IF(Database!BG431="","(n/m or not derivable)",Database!BG431)</f>
        <v/>
      </c>
      <c r="Q431" s="24">
        <f>IF(Database!BM431="","",IFERROR(BDH(LEFT(Database!BM431,FIND(".",Database!BM431)-1)&amp;" CH Equity","PE_RATIO",Database!$H431,Database!$H431),""))</f>
        <v/>
      </c>
      <c r="R431" s="24">
        <f>IF(Database!BM431="","",IFERROR(BDH("HSAHP Index","PX_LAST",Database!$H431,Database!$H431),""))</f>
        <v/>
      </c>
      <c r="S431" s="24">
        <f>IFERROR(BDP(Database!$A431&amp;" HK Equity","PX_TO_SALES_RATIO"),"")</f>
        <v/>
      </c>
      <c r="T431" s="19">
        <f>IF(Database!BM431="","",IFERROR(BDP(LEFT(Database!BM431,FIND(".",Database!BM431)-1)&amp;" CH Equity","CUR_MKT_CAP"),""))</f>
        <v/>
      </c>
    </row>
    <row r="432">
      <c r="A432" s="17">
        <f>Database!A432&amp;"  "&amp;Database!B432</f>
        <v/>
      </c>
      <c r="B432" s="10">
        <f>IFERROR(INDEX(BDS(Database!$A432&amp;" HK Equity","EQUITY_OFFERINGS","array=t","endcol=1"),MATCH("IPO",BDS(Database!$A432&amp;" HK Equity","EQUITY_OFFERINGS","array=t","startcol=2","endcol=2"),0)),"")</f>
        <v/>
      </c>
      <c r="C432" s="186">
        <f>IF($B432="","",IFERROR(BDP($B432&amp;" Action","CP036"),""))</f>
        <v/>
      </c>
      <c r="D432" s="187">
        <f>Database!S432</f>
        <v/>
      </c>
      <c r="E432" s="186">
        <f>IF($B432="","",IFERROR(BDP($B432&amp;" Action","CP037"),""))</f>
        <v/>
      </c>
      <c r="F432" s="187">
        <f>Database!T432</f>
        <v/>
      </c>
      <c r="G432" s="186">
        <f>IF($B432="","",IFERROR(BDP($B432&amp;" Action","GREENSHOE_FACILITY"),""))</f>
        <v/>
      </c>
      <c r="H432" s="186">
        <f>IF($B432="","",IFERROR(BDP($B432&amp;" Action","OFFERING_GREENSHOE_SHARES_EX"),""))</f>
        <v/>
      </c>
      <c r="I432" s="17">
        <f>Database!AE432</f>
        <v/>
      </c>
      <c r="J432" s="24">
        <f>IFERROR(BDP(Database!$A432&amp;" HK Equity","PE_RATIO"),"")</f>
        <v/>
      </c>
      <c r="K432" s="10">
        <f>IFERROR(BDP(Database!$A432&amp;" HK Equity","A/H_SHARE_CONVERSION"),"")</f>
        <v/>
      </c>
      <c r="L432" s="17">
        <f>IF(Database!BM432="","(none found)",Database!BM432)</f>
        <v/>
      </c>
      <c r="M432" s="19">
        <f>IFERROR(BDH(Database!$A432&amp;" HK Equity","CUR_MKT_CAP",Database!$H432,Database!$H432),"")</f>
        <v/>
      </c>
      <c r="N432" s="180">
        <f>Database!Q432</f>
        <v/>
      </c>
      <c r="O432" s="24">
        <f>IFERROR(BDH(Database!$A432&amp;" HK Equity","PE_RATIO",Database!$H432,Database!$H432),"")</f>
        <v/>
      </c>
      <c r="P432" s="184">
        <f>IF(Database!BG432="","(n/m or not derivable)",Database!BG432)</f>
        <v/>
      </c>
      <c r="Q432" s="24">
        <f>IF(Database!BM432="","",IFERROR(BDH(LEFT(Database!BM432,FIND(".",Database!BM432)-1)&amp;" CH Equity","PE_RATIO",Database!$H432,Database!$H432),""))</f>
        <v/>
      </c>
      <c r="R432" s="24">
        <f>IF(Database!BM432="","",IFERROR(BDH("HSAHP Index","PX_LAST",Database!$H432,Database!$H432),""))</f>
        <v/>
      </c>
      <c r="S432" s="24">
        <f>IFERROR(BDP(Database!$A432&amp;" HK Equity","PX_TO_SALES_RATIO"),"")</f>
        <v/>
      </c>
      <c r="T432" s="19">
        <f>IF(Database!BM432="","",IFERROR(BDP(LEFT(Database!BM432,FIND(".",Database!BM432)-1)&amp;" CH Equity","CUR_MKT_CAP"),""))</f>
        <v/>
      </c>
    </row>
    <row r="433">
      <c r="A433" s="17">
        <f>Database!A433&amp;"  "&amp;Database!B433</f>
        <v/>
      </c>
      <c r="B433" s="10">
        <f>IFERROR(INDEX(BDS(Database!$A433&amp;" HK Equity","EQUITY_OFFERINGS","array=t","endcol=1"),MATCH("IPO",BDS(Database!$A433&amp;" HK Equity","EQUITY_OFFERINGS","array=t","startcol=2","endcol=2"),0)),"")</f>
        <v/>
      </c>
      <c r="C433" s="186">
        <f>IF($B433="","",IFERROR(BDP($B433&amp;" Action","CP036"),""))</f>
        <v/>
      </c>
      <c r="D433" s="187">
        <f>Database!S433</f>
        <v/>
      </c>
      <c r="E433" s="186">
        <f>IF($B433="","",IFERROR(BDP($B433&amp;" Action","CP037"),""))</f>
        <v/>
      </c>
      <c r="F433" s="187">
        <f>Database!T433</f>
        <v/>
      </c>
      <c r="G433" s="186">
        <f>IF($B433="","",IFERROR(BDP($B433&amp;" Action","GREENSHOE_FACILITY"),""))</f>
        <v/>
      </c>
      <c r="H433" s="186">
        <f>IF($B433="","",IFERROR(BDP($B433&amp;" Action","OFFERING_GREENSHOE_SHARES_EX"),""))</f>
        <v/>
      </c>
      <c r="I433" s="17">
        <f>Database!AE433</f>
        <v/>
      </c>
      <c r="J433" s="24">
        <f>IFERROR(BDP(Database!$A433&amp;" HK Equity","PE_RATIO"),"")</f>
        <v/>
      </c>
      <c r="K433" s="10">
        <f>IFERROR(BDP(Database!$A433&amp;" HK Equity","A/H_SHARE_CONVERSION"),"")</f>
        <v/>
      </c>
      <c r="L433" s="17">
        <f>IF(Database!BM433="","(none found)",Database!BM433)</f>
        <v/>
      </c>
      <c r="M433" s="19">
        <f>IFERROR(BDH(Database!$A433&amp;" HK Equity","CUR_MKT_CAP",Database!$H433,Database!$H433),"")</f>
        <v/>
      </c>
      <c r="N433" s="180">
        <f>Database!Q433</f>
        <v/>
      </c>
      <c r="O433" s="24">
        <f>IFERROR(BDH(Database!$A433&amp;" HK Equity","PE_RATIO",Database!$H433,Database!$H433),"")</f>
        <v/>
      </c>
      <c r="P433" s="184">
        <f>IF(Database!BG433="","(n/m or not derivable)",Database!BG433)</f>
        <v/>
      </c>
      <c r="Q433" s="24">
        <f>IF(Database!BM433="","",IFERROR(BDH(LEFT(Database!BM433,FIND(".",Database!BM433)-1)&amp;" CH Equity","PE_RATIO",Database!$H433,Database!$H433),""))</f>
        <v/>
      </c>
      <c r="R433" s="24">
        <f>IF(Database!BM433="","",IFERROR(BDH("HSAHP Index","PX_LAST",Database!$H433,Database!$H433),""))</f>
        <v/>
      </c>
      <c r="S433" s="24">
        <f>IFERROR(BDP(Database!$A433&amp;" HK Equity","PX_TO_SALES_RATIO"),"")</f>
        <v/>
      </c>
      <c r="T433" s="19">
        <f>IF(Database!BM433="","",IFERROR(BDP(LEFT(Database!BM433,FIND(".",Database!BM433)-1)&amp;" CH Equity","CUR_MKT_CAP"),""))</f>
        <v/>
      </c>
    </row>
    <row r="434">
      <c r="A434" s="17">
        <f>Database!A434&amp;"  "&amp;Database!B434</f>
        <v/>
      </c>
      <c r="B434" s="10">
        <f>IFERROR(INDEX(BDS(Database!$A434&amp;" HK Equity","EQUITY_OFFERINGS","array=t","endcol=1"),MATCH("IPO",BDS(Database!$A434&amp;" HK Equity","EQUITY_OFFERINGS","array=t","startcol=2","endcol=2"),0)),"")</f>
        <v/>
      </c>
      <c r="C434" s="186">
        <f>IF($B434="","",IFERROR(BDP($B434&amp;" Action","CP036"),""))</f>
        <v/>
      </c>
      <c r="D434" s="187">
        <f>Database!S434</f>
        <v/>
      </c>
      <c r="E434" s="186">
        <f>IF($B434="","",IFERROR(BDP($B434&amp;" Action","CP037"),""))</f>
        <v/>
      </c>
      <c r="F434" s="187">
        <f>Database!T434</f>
        <v/>
      </c>
      <c r="G434" s="186">
        <f>IF($B434="","",IFERROR(BDP($B434&amp;" Action","GREENSHOE_FACILITY"),""))</f>
        <v/>
      </c>
      <c r="H434" s="186">
        <f>IF($B434="","",IFERROR(BDP($B434&amp;" Action","OFFERING_GREENSHOE_SHARES_EX"),""))</f>
        <v/>
      </c>
      <c r="I434" s="17">
        <f>Database!AE434</f>
        <v/>
      </c>
      <c r="J434" s="24">
        <f>IFERROR(BDP(Database!$A434&amp;" HK Equity","PE_RATIO"),"")</f>
        <v/>
      </c>
      <c r="K434" s="10">
        <f>IFERROR(BDP(Database!$A434&amp;" HK Equity","A/H_SHARE_CONVERSION"),"")</f>
        <v/>
      </c>
      <c r="L434" s="17">
        <f>IF(Database!BM434="","(none found)",Database!BM434)</f>
        <v/>
      </c>
      <c r="M434" s="19">
        <f>IFERROR(BDH(Database!$A434&amp;" HK Equity","CUR_MKT_CAP",Database!$H434,Database!$H434),"")</f>
        <v/>
      </c>
      <c r="N434" s="180">
        <f>Database!Q434</f>
        <v/>
      </c>
      <c r="O434" s="24">
        <f>IFERROR(BDH(Database!$A434&amp;" HK Equity","PE_RATIO",Database!$H434,Database!$H434),"")</f>
        <v/>
      </c>
      <c r="P434" s="184">
        <f>IF(Database!BG434="","(n/m or not derivable)",Database!BG434)</f>
        <v/>
      </c>
      <c r="Q434" s="24">
        <f>IF(Database!BM434="","",IFERROR(BDH(LEFT(Database!BM434,FIND(".",Database!BM434)-1)&amp;" CH Equity","PE_RATIO",Database!$H434,Database!$H434),""))</f>
        <v/>
      </c>
      <c r="R434" s="24">
        <f>IF(Database!BM434="","",IFERROR(BDH("HSAHP Index","PX_LAST",Database!$H434,Database!$H434),""))</f>
        <v/>
      </c>
      <c r="S434" s="24">
        <f>IFERROR(BDP(Database!$A434&amp;" HK Equity","PX_TO_SALES_RATIO"),"")</f>
        <v/>
      </c>
      <c r="T434" s="19">
        <f>IF(Database!BM434="","",IFERROR(BDP(LEFT(Database!BM434,FIND(".",Database!BM434)-1)&amp;" CH Equity","CUR_MKT_CAP"),""))</f>
        <v/>
      </c>
    </row>
    <row r="435">
      <c r="A435" s="17">
        <f>Database!A435&amp;"  "&amp;Database!B435</f>
        <v/>
      </c>
      <c r="B435" s="10">
        <f>IFERROR(INDEX(BDS(Database!$A435&amp;" HK Equity","EQUITY_OFFERINGS","array=t","endcol=1"),MATCH("IPO",BDS(Database!$A435&amp;" HK Equity","EQUITY_OFFERINGS","array=t","startcol=2","endcol=2"),0)),"")</f>
        <v/>
      </c>
      <c r="C435" s="186">
        <f>IF($B435="","",IFERROR(BDP($B435&amp;" Action","CP036"),""))</f>
        <v/>
      </c>
      <c r="D435" s="187">
        <f>Database!S435</f>
        <v/>
      </c>
      <c r="E435" s="186">
        <f>IF($B435="","",IFERROR(BDP($B435&amp;" Action","CP037"),""))</f>
        <v/>
      </c>
      <c r="F435" s="187">
        <f>Database!T435</f>
        <v/>
      </c>
      <c r="G435" s="186">
        <f>IF($B435="","",IFERROR(BDP($B435&amp;" Action","GREENSHOE_FACILITY"),""))</f>
        <v/>
      </c>
      <c r="H435" s="186">
        <f>IF($B435="","",IFERROR(BDP($B435&amp;" Action","OFFERING_GREENSHOE_SHARES_EX"),""))</f>
        <v/>
      </c>
      <c r="I435" s="17">
        <f>Database!AE435</f>
        <v/>
      </c>
      <c r="J435" s="24">
        <f>IFERROR(BDP(Database!$A435&amp;" HK Equity","PE_RATIO"),"")</f>
        <v/>
      </c>
      <c r="K435" s="10">
        <f>IFERROR(BDP(Database!$A435&amp;" HK Equity","A/H_SHARE_CONVERSION"),"")</f>
        <v/>
      </c>
      <c r="L435" s="17">
        <f>IF(Database!BM435="","(none found)",Database!BM435)</f>
        <v/>
      </c>
      <c r="M435" s="19">
        <f>IFERROR(BDH(Database!$A435&amp;" HK Equity","CUR_MKT_CAP",Database!$H435,Database!$H435),"")</f>
        <v/>
      </c>
      <c r="N435" s="180">
        <f>Database!Q435</f>
        <v/>
      </c>
      <c r="O435" s="24">
        <f>IFERROR(BDH(Database!$A435&amp;" HK Equity","PE_RATIO",Database!$H435,Database!$H435),"")</f>
        <v/>
      </c>
      <c r="P435" s="184">
        <f>IF(Database!BG435="","(n/m or not derivable)",Database!BG435)</f>
        <v/>
      </c>
      <c r="Q435" s="24">
        <f>IF(Database!BM435="","",IFERROR(BDH(LEFT(Database!BM435,FIND(".",Database!BM435)-1)&amp;" CH Equity","PE_RATIO",Database!$H435,Database!$H435),""))</f>
        <v/>
      </c>
      <c r="R435" s="24">
        <f>IF(Database!BM435="","",IFERROR(BDH("HSAHP Index","PX_LAST",Database!$H435,Database!$H435),""))</f>
        <v/>
      </c>
      <c r="S435" s="24">
        <f>IFERROR(BDP(Database!$A435&amp;" HK Equity","PX_TO_SALES_RATIO"),"")</f>
        <v/>
      </c>
      <c r="T435" s="19">
        <f>IF(Database!BM435="","",IFERROR(BDP(LEFT(Database!BM435,FIND(".",Database!BM435)-1)&amp;" CH Equity","CUR_MKT_CAP"),""))</f>
        <v/>
      </c>
    </row>
    <row r="436">
      <c r="A436" s="17">
        <f>Database!A436&amp;"  "&amp;Database!B436</f>
        <v/>
      </c>
      <c r="B436" s="10">
        <f>IFERROR(INDEX(BDS(Database!$A436&amp;" HK Equity","EQUITY_OFFERINGS","array=t","endcol=1"),MATCH("IPO",BDS(Database!$A436&amp;" HK Equity","EQUITY_OFFERINGS","array=t","startcol=2","endcol=2"),0)),"")</f>
        <v/>
      </c>
      <c r="C436" s="186">
        <f>IF($B436="","",IFERROR(BDP($B436&amp;" Action","CP036"),""))</f>
        <v/>
      </c>
      <c r="D436" s="187">
        <f>Database!S436</f>
        <v/>
      </c>
      <c r="E436" s="186">
        <f>IF($B436="","",IFERROR(BDP($B436&amp;" Action","CP037"),""))</f>
        <v/>
      </c>
      <c r="F436" s="187">
        <f>Database!T436</f>
        <v/>
      </c>
      <c r="G436" s="186">
        <f>IF($B436="","",IFERROR(BDP($B436&amp;" Action","GREENSHOE_FACILITY"),""))</f>
        <v/>
      </c>
      <c r="H436" s="186">
        <f>IF($B436="","",IFERROR(BDP($B436&amp;" Action","OFFERING_GREENSHOE_SHARES_EX"),""))</f>
        <v/>
      </c>
      <c r="I436" s="17">
        <f>Database!AE436</f>
        <v/>
      </c>
      <c r="J436" s="24">
        <f>IFERROR(BDP(Database!$A436&amp;" HK Equity","PE_RATIO"),"")</f>
        <v/>
      </c>
      <c r="K436" s="10">
        <f>IFERROR(BDP(Database!$A436&amp;" HK Equity","A/H_SHARE_CONVERSION"),"")</f>
        <v/>
      </c>
      <c r="L436" s="17">
        <f>IF(Database!BM436="","(none found)",Database!BM436)</f>
        <v/>
      </c>
      <c r="M436" s="19">
        <f>IFERROR(BDH(Database!$A436&amp;" HK Equity","CUR_MKT_CAP",Database!$H436,Database!$H436),"")</f>
        <v/>
      </c>
      <c r="N436" s="180">
        <f>Database!Q436</f>
        <v/>
      </c>
      <c r="O436" s="24">
        <f>IFERROR(BDH(Database!$A436&amp;" HK Equity","PE_RATIO",Database!$H436,Database!$H436),"")</f>
        <v/>
      </c>
      <c r="P436" s="184">
        <f>IF(Database!BG436="","(n/m or not derivable)",Database!BG436)</f>
        <v/>
      </c>
      <c r="Q436" s="24">
        <f>IF(Database!BM436="","",IFERROR(BDH(LEFT(Database!BM436,FIND(".",Database!BM436)-1)&amp;" CH Equity","PE_RATIO",Database!$H436,Database!$H436),""))</f>
        <v/>
      </c>
      <c r="R436" s="24">
        <f>IF(Database!BM436="","",IFERROR(BDH("HSAHP Index","PX_LAST",Database!$H436,Database!$H436),""))</f>
        <v/>
      </c>
      <c r="S436" s="24">
        <f>IFERROR(BDP(Database!$A436&amp;" HK Equity","PX_TO_SALES_RATIO"),"")</f>
        <v/>
      </c>
      <c r="T436" s="19">
        <f>IF(Database!BM436="","",IFERROR(BDP(LEFT(Database!BM436,FIND(".",Database!BM436)-1)&amp;" CH Equity","CUR_MKT_CAP"),""))</f>
        <v/>
      </c>
    </row>
    <row r="437">
      <c r="A437" s="17">
        <f>Database!A437&amp;"  "&amp;Database!B437</f>
        <v/>
      </c>
      <c r="B437" s="10">
        <f>IFERROR(INDEX(BDS(Database!$A437&amp;" HK Equity","EQUITY_OFFERINGS","array=t","endcol=1"),MATCH("IPO",BDS(Database!$A437&amp;" HK Equity","EQUITY_OFFERINGS","array=t","startcol=2","endcol=2"),0)),"")</f>
        <v/>
      </c>
      <c r="C437" s="186">
        <f>IF($B437="","",IFERROR(BDP($B437&amp;" Action","CP036"),""))</f>
        <v/>
      </c>
      <c r="D437" s="187">
        <f>Database!S437</f>
        <v/>
      </c>
      <c r="E437" s="186">
        <f>IF($B437="","",IFERROR(BDP($B437&amp;" Action","CP037"),""))</f>
        <v/>
      </c>
      <c r="F437" s="187">
        <f>Database!T437</f>
        <v/>
      </c>
      <c r="G437" s="186">
        <f>IF($B437="","",IFERROR(BDP($B437&amp;" Action","GREENSHOE_FACILITY"),""))</f>
        <v/>
      </c>
      <c r="H437" s="186">
        <f>IF($B437="","",IFERROR(BDP($B437&amp;" Action","OFFERING_GREENSHOE_SHARES_EX"),""))</f>
        <v/>
      </c>
      <c r="I437" s="17">
        <f>Database!AE437</f>
        <v/>
      </c>
      <c r="J437" s="24">
        <f>IFERROR(BDP(Database!$A437&amp;" HK Equity","PE_RATIO"),"")</f>
        <v/>
      </c>
      <c r="K437" s="10">
        <f>IFERROR(BDP(Database!$A437&amp;" HK Equity","A/H_SHARE_CONVERSION"),"")</f>
        <v/>
      </c>
      <c r="L437" s="17">
        <f>IF(Database!BM437="","(none found)",Database!BM437)</f>
        <v/>
      </c>
      <c r="M437" s="19">
        <f>IFERROR(BDH(Database!$A437&amp;" HK Equity","CUR_MKT_CAP",Database!$H437,Database!$H437),"")</f>
        <v/>
      </c>
      <c r="N437" s="180">
        <f>Database!Q437</f>
        <v/>
      </c>
      <c r="O437" s="24">
        <f>IFERROR(BDH(Database!$A437&amp;" HK Equity","PE_RATIO",Database!$H437,Database!$H437),"")</f>
        <v/>
      </c>
      <c r="P437" s="184">
        <f>IF(Database!BG437="","(n/m or not derivable)",Database!BG437)</f>
        <v/>
      </c>
      <c r="Q437" s="24">
        <f>IF(Database!BM437="","",IFERROR(BDH(LEFT(Database!BM437,FIND(".",Database!BM437)-1)&amp;" CH Equity","PE_RATIO",Database!$H437,Database!$H437),""))</f>
        <v/>
      </c>
      <c r="R437" s="24">
        <f>IF(Database!BM437="","",IFERROR(BDH("HSAHP Index","PX_LAST",Database!$H437,Database!$H437),""))</f>
        <v/>
      </c>
      <c r="S437" s="24">
        <f>IFERROR(BDP(Database!$A437&amp;" HK Equity","PX_TO_SALES_RATIO"),"")</f>
        <v/>
      </c>
      <c r="T437" s="19">
        <f>IF(Database!BM437="","",IFERROR(BDP(LEFT(Database!BM437,FIND(".",Database!BM437)-1)&amp;" CH Equity","CUR_MKT_CAP"),""))</f>
        <v/>
      </c>
    </row>
    <row r="438">
      <c r="A438" s="17">
        <f>Database!A438&amp;"  "&amp;Database!B438</f>
        <v/>
      </c>
      <c r="B438" s="10">
        <f>IFERROR(INDEX(BDS(Database!$A438&amp;" HK Equity","EQUITY_OFFERINGS","array=t","endcol=1"),MATCH("IPO",BDS(Database!$A438&amp;" HK Equity","EQUITY_OFFERINGS","array=t","startcol=2","endcol=2"),0)),"")</f>
        <v/>
      </c>
      <c r="C438" s="186">
        <f>IF($B438="","",IFERROR(BDP($B438&amp;" Action","CP036"),""))</f>
        <v/>
      </c>
      <c r="D438" s="187">
        <f>Database!S438</f>
        <v/>
      </c>
      <c r="E438" s="186">
        <f>IF($B438="","",IFERROR(BDP($B438&amp;" Action","CP037"),""))</f>
        <v/>
      </c>
      <c r="F438" s="187">
        <f>Database!T438</f>
        <v/>
      </c>
      <c r="G438" s="186">
        <f>IF($B438="","",IFERROR(BDP($B438&amp;" Action","GREENSHOE_FACILITY"),""))</f>
        <v/>
      </c>
      <c r="H438" s="186">
        <f>IF($B438="","",IFERROR(BDP($B438&amp;" Action","OFFERING_GREENSHOE_SHARES_EX"),""))</f>
        <v/>
      </c>
      <c r="I438" s="17">
        <f>Database!AE438</f>
        <v/>
      </c>
      <c r="J438" s="24">
        <f>IFERROR(BDP(Database!$A438&amp;" HK Equity","PE_RATIO"),"")</f>
        <v/>
      </c>
      <c r="K438" s="10">
        <f>IFERROR(BDP(Database!$A438&amp;" HK Equity","A/H_SHARE_CONVERSION"),"")</f>
        <v/>
      </c>
      <c r="L438" s="17">
        <f>IF(Database!BM438="","(none found)",Database!BM438)</f>
        <v/>
      </c>
      <c r="M438" s="19">
        <f>IFERROR(BDH(Database!$A438&amp;" HK Equity","CUR_MKT_CAP",Database!$H438,Database!$H438),"")</f>
        <v/>
      </c>
      <c r="N438" s="180">
        <f>Database!Q438</f>
        <v/>
      </c>
      <c r="O438" s="24">
        <f>IFERROR(BDH(Database!$A438&amp;" HK Equity","PE_RATIO",Database!$H438,Database!$H438),"")</f>
        <v/>
      </c>
      <c r="P438" s="184">
        <f>IF(Database!BG438="","(n/m or not derivable)",Database!BG438)</f>
        <v/>
      </c>
      <c r="Q438" s="24">
        <f>IF(Database!BM438="","",IFERROR(BDH(LEFT(Database!BM438,FIND(".",Database!BM438)-1)&amp;" CH Equity","PE_RATIO",Database!$H438,Database!$H438),""))</f>
        <v/>
      </c>
      <c r="R438" s="24">
        <f>IF(Database!BM438="","",IFERROR(BDH("HSAHP Index","PX_LAST",Database!$H438,Database!$H438),""))</f>
        <v/>
      </c>
      <c r="S438" s="24">
        <f>IFERROR(BDP(Database!$A438&amp;" HK Equity","PX_TO_SALES_RATIO"),"")</f>
        <v/>
      </c>
      <c r="T438" s="19">
        <f>IF(Database!BM438="","",IFERROR(BDP(LEFT(Database!BM438,FIND(".",Database!BM438)-1)&amp;" CH Equity","CUR_MKT_CAP"),""))</f>
        <v/>
      </c>
    </row>
    <row r="439">
      <c r="A439" s="17">
        <f>Database!A439&amp;"  "&amp;Database!B439</f>
        <v/>
      </c>
      <c r="B439" s="10">
        <f>IFERROR(INDEX(BDS(Database!$A439&amp;" HK Equity","EQUITY_OFFERINGS","array=t","endcol=1"),MATCH("IPO",BDS(Database!$A439&amp;" HK Equity","EQUITY_OFFERINGS","array=t","startcol=2","endcol=2"),0)),"")</f>
        <v/>
      </c>
      <c r="C439" s="186">
        <f>IF($B439="","",IFERROR(BDP($B439&amp;" Action","CP036"),""))</f>
        <v/>
      </c>
      <c r="D439" s="187">
        <f>Database!S439</f>
        <v/>
      </c>
      <c r="E439" s="186">
        <f>IF($B439="","",IFERROR(BDP($B439&amp;" Action","CP037"),""))</f>
        <v/>
      </c>
      <c r="F439" s="187">
        <f>Database!T439</f>
        <v/>
      </c>
      <c r="G439" s="186">
        <f>IF($B439="","",IFERROR(BDP($B439&amp;" Action","GREENSHOE_FACILITY"),""))</f>
        <v/>
      </c>
      <c r="H439" s="186">
        <f>IF($B439="","",IFERROR(BDP($B439&amp;" Action","OFFERING_GREENSHOE_SHARES_EX"),""))</f>
        <v/>
      </c>
      <c r="I439" s="17">
        <f>Database!AE439</f>
        <v/>
      </c>
      <c r="J439" s="24">
        <f>IFERROR(BDP(Database!$A439&amp;" HK Equity","PE_RATIO"),"")</f>
        <v/>
      </c>
      <c r="K439" s="10">
        <f>IFERROR(BDP(Database!$A439&amp;" HK Equity","A/H_SHARE_CONVERSION"),"")</f>
        <v/>
      </c>
      <c r="L439" s="17">
        <f>IF(Database!BM439="","(none found)",Database!BM439)</f>
        <v/>
      </c>
      <c r="M439" s="19">
        <f>IFERROR(BDH(Database!$A439&amp;" HK Equity","CUR_MKT_CAP",Database!$H439,Database!$H439),"")</f>
        <v/>
      </c>
      <c r="N439" s="180">
        <f>Database!Q439</f>
        <v/>
      </c>
      <c r="O439" s="24">
        <f>IFERROR(BDH(Database!$A439&amp;" HK Equity","PE_RATIO",Database!$H439,Database!$H439),"")</f>
        <v/>
      </c>
      <c r="P439" s="184">
        <f>IF(Database!BG439="","(n/m or not derivable)",Database!BG439)</f>
        <v/>
      </c>
      <c r="Q439" s="24">
        <f>IF(Database!BM439="","",IFERROR(BDH(LEFT(Database!BM439,FIND(".",Database!BM439)-1)&amp;" CH Equity","PE_RATIO",Database!$H439,Database!$H439),""))</f>
        <v/>
      </c>
      <c r="R439" s="24">
        <f>IF(Database!BM439="","",IFERROR(BDH("HSAHP Index","PX_LAST",Database!$H439,Database!$H439),""))</f>
        <v/>
      </c>
      <c r="S439" s="24">
        <f>IFERROR(BDP(Database!$A439&amp;" HK Equity","PX_TO_SALES_RATIO"),"")</f>
        <v/>
      </c>
      <c r="T439" s="19">
        <f>IF(Database!BM439="","",IFERROR(BDP(LEFT(Database!BM439,FIND(".",Database!BM439)-1)&amp;" CH Equity","CUR_MKT_CAP"),""))</f>
        <v/>
      </c>
    </row>
    <row r="440">
      <c r="A440" s="17">
        <f>Database!A440&amp;"  "&amp;Database!B440</f>
        <v/>
      </c>
      <c r="B440" s="10">
        <f>IFERROR(INDEX(BDS(Database!$A440&amp;" HK Equity","EQUITY_OFFERINGS","array=t","endcol=1"),MATCH("IPO",BDS(Database!$A440&amp;" HK Equity","EQUITY_OFFERINGS","array=t","startcol=2","endcol=2"),0)),"")</f>
        <v/>
      </c>
      <c r="C440" s="186">
        <f>IF($B440="","",IFERROR(BDP($B440&amp;" Action","CP036"),""))</f>
        <v/>
      </c>
      <c r="D440" s="187">
        <f>Database!S440</f>
        <v/>
      </c>
      <c r="E440" s="186">
        <f>IF($B440="","",IFERROR(BDP($B440&amp;" Action","CP037"),""))</f>
        <v/>
      </c>
      <c r="F440" s="187">
        <f>Database!T440</f>
        <v/>
      </c>
      <c r="G440" s="186">
        <f>IF($B440="","",IFERROR(BDP($B440&amp;" Action","GREENSHOE_FACILITY"),""))</f>
        <v/>
      </c>
      <c r="H440" s="186">
        <f>IF($B440="","",IFERROR(BDP($B440&amp;" Action","OFFERING_GREENSHOE_SHARES_EX"),""))</f>
        <v/>
      </c>
      <c r="I440" s="17">
        <f>Database!AE440</f>
        <v/>
      </c>
      <c r="J440" s="24">
        <f>IFERROR(BDP(Database!$A440&amp;" HK Equity","PE_RATIO"),"")</f>
        <v/>
      </c>
      <c r="K440" s="10">
        <f>IFERROR(BDP(Database!$A440&amp;" HK Equity","A/H_SHARE_CONVERSION"),"")</f>
        <v/>
      </c>
      <c r="L440" s="17">
        <f>IF(Database!BM440="","(none found)",Database!BM440)</f>
        <v/>
      </c>
      <c r="M440" s="19">
        <f>IFERROR(BDH(Database!$A440&amp;" HK Equity","CUR_MKT_CAP",Database!$H440,Database!$H440),"")</f>
        <v/>
      </c>
      <c r="N440" s="180">
        <f>Database!Q440</f>
        <v/>
      </c>
      <c r="O440" s="24">
        <f>IFERROR(BDH(Database!$A440&amp;" HK Equity","PE_RATIO",Database!$H440,Database!$H440),"")</f>
        <v/>
      </c>
      <c r="P440" s="184">
        <f>IF(Database!BG440="","(n/m or not derivable)",Database!BG440)</f>
        <v/>
      </c>
      <c r="Q440" s="24">
        <f>IF(Database!BM440="","",IFERROR(BDH(LEFT(Database!BM440,FIND(".",Database!BM440)-1)&amp;" CH Equity","PE_RATIO",Database!$H440,Database!$H440),""))</f>
        <v/>
      </c>
      <c r="R440" s="24">
        <f>IF(Database!BM440="","",IFERROR(BDH("HSAHP Index","PX_LAST",Database!$H440,Database!$H440),""))</f>
        <v/>
      </c>
      <c r="S440" s="24">
        <f>IFERROR(BDP(Database!$A440&amp;" HK Equity","PX_TO_SALES_RATIO"),"")</f>
        <v/>
      </c>
      <c r="T440" s="19">
        <f>IF(Database!BM440="","",IFERROR(BDP(LEFT(Database!BM440,FIND(".",Database!BM440)-1)&amp;" CH Equity","CUR_MKT_CAP"),""))</f>
        <v/>
      </c>
    </row>
    <row r="441">
      <c r="A441" s="17">
        <f>Database!A441&amp;"  "&amp;Database!B441</f>
        <v/>
      </c>
      <c r="B441" s="10">
        <f>IFERROR(INDEX(BDS(Database!$A441&amp;" HK Equity","EQUITY_OFFERINGS","array=t","endcol=1"),MATCH("IPO",BDS(Database!$A441&amp;" HK Equity","EQUITY_OFFERINGS","array=t","startcol=2","endcol=2"),0)),"")</f>
        <v/>
      </c>
      <c r="C441" s="186">
        <f>IF($B441="","",IFERROR(BDP($B441&amp;" Action","CP036"),""))</f>
        <v/>
      </c>
      <c r="D441" s="187">
        <f>Database!S441</f>
        <v/>
      </c>
      <c r="E441" s="186">
        <f>IF($B441="","",IFERROR(BDP($B441&amp;" Action","CP037"),""))</f>
        <v/>
      </c>
      <c r="F441" s="187">
        <f>Database!T441</f>
        <v/>
      </c>
      <c r="G441" s="186">
        <f>IF($B441="","",IFERROR(BDP($B441&amp;" Action","GREENSHOE_FACILITY"),""))</f>
        <v/>
      </c>
      <c r="H441" s="186">
        <f>IF($B441="","",IFERROR(BDP($B441&amp;" Action","OFFERING_GREENSHOE_SHARES_EX"),""))</f>
        <v/>
      </c>
      <c r="I441" s="17">
        <f>Database!AE441</f>
        <v/>
      </c>
      <c r="J441" s="24">
        <f>IFERROR(BDP(Database!$A441&amp;" HK Equity","PE_RATIO"),"")</f>
        <v/>
      </c>
      <c r="K441" s="10">
        <f>IFERROR(BDP(Database!$A441&amp;" HK Equity","A/H_SHARE_CONVERSION"),"")</f>
        <v/>
      </c>
      <c r="L441" s="17">
        <f>IF(Database!BM441="","(none found)",Database!BM441)</f>
        <v/>
      </c>
      <c r="M441" s="19">
        <f>IFERROR(BDH(Database!$A441&amp;" HK Equity","CUR_MKT_CAP",Database!$H441,Database!$H441),"")</f>
        <v/>
      </c>
      <c r="N441" s="180">
        <f>Database!Q441</f>
        <v/>
      </c>
      <c r="O441" s="24">
        <f>IFERROR(BDH(Database!$A441&amp;" HK Equity","PE_RATIO",Database!$H441,Database!$H441),"")</f>
        <v/>
      </c>
      <c r="P441" s="184">
        <f>IF(Database!BG441="","(n/m or not derivable)",Database!BG441)</f>
        <v/>
      </c>
      <c r="Q441" s="24">
        <f>IF(Database!BM441="","",IFERROR(BDH(LEFT(Database!BM441,FIND(".",Database!BM441)-1)&amp;" CH Equity","PE_RATIO",Database!$H441,Database!$H441),""))</f>
        <v/>
      </c>
      <c r="R441" s="24">
        <f>IF(Database!BM441="","",IFERROR(BDH("HSAHP Index","PX_LAST",Database!$H441,Database!$H441),""))</f>
        <v/>
      </c>
      <c r="S441" s="24">
        <f>IFERROR(BDP(Database!$A441&amp;" HK Equity","PX_TO_SALES_RATIO"),"")</f>
        <v/>
      </c>
      <c r="T441" s="19">
        <f>IF(Database!BM441="","",IFERROR(BDP(LEFT(Database!BM441,FIND(".",Database!BM441)-1)&amp;" CH Equity","CUR_MKT_CAP"),""))</f>
        <v/>
      </c>
    </row>
    <row r="442">
      <c r="A442" s="17">
        <f>Database!A442&amp;"  "&amp;Database!B442</f>
        <v/>
      </c>
      <c r="B442" s="10">
        <f>IFERROR(INDEX(BDS(Database!$A442&amp;" HK Equity","EQUITY_OFFERINGS","array=t","endcol=1"),MATCH("IPO",BDS(Database!$A442&amp;" HK Equity","EQUITY_OFFERINGS","array=t","startcol=2","endcol=2"),0)),"")</f>
        <v/>
      </c>
      <c r="C442" s="186">
        <f>IF($B442="","",IFERROR(BDP($B442&amp;" Action","CP036"),""))</f>
        <v/>
      </c>
      <c r="D442" s="187">
        <f>Database!S442</f>
        <v/>
      </c>
      <c r="E442" s="186">
        <f>IF($B442="","",IFERROR(BDP($B442&amp;" Action","CP037"),""))</f>
        <v/>
      </c>
      <c r="F442" s="187">
        <f>Database!T442</f>
        <v/>
      </c>
      <c r="G442" s="186">
        <f>IF($B442="","",IFERROR(BDP($B442&amp;" Action","GREENSHOE_FACILITY"),""))</f>
        <v/>
      </c>
      <c r="H442" s="186">
        <f>IF($B442="","",IFERROR(BDP($B442&amp;" Action","OFFERING_GREENSHOE_SHARES_EX"),""))</f>
        <v/>
      </c>
      <c r="I442" s="17">
        <f>Database!AE442</f>
        <v/>
      </c>
      <c r="J442" s="24">
        <f>IFERROR(BDP(Database!$A442&amp;" HK Equity","PE_RATIO"),"")</f>
        <v/>
      </c>
      <c r="K442" s="10">
        <f>IFERROR(BDP(Database!$A442&amp;" HK Equity","A/H_SHARE_CONVERSION"),"")</f>
        <v/>
      </c>
      <c r="L442" s="17">
        <f>IF(Database!BM442="","(none found)",Database!BM442)</f>
        <v/>
      </c>
      <c r="M442" s="19">
        <f>IFERROR(BDH(Database!$A442&amp;" HK Equity","CUR_MKT_CAP",Database!$H442,Database!$H442),"")</f>
        <v/>
      </c>
      <c r="N442" s="180">
        <f>Database!Q442</f>
        <v/>
      </c>
      <c r="O442" s="24">
        <f>IFERROR(BDH(Database!$A442&amp;" HK Equity","PE_RATIO",Database!$H442,Database!$H442),"")</f>
        <v/>
      </c>
      <c r="P442" s="184">
        <f>IF(Database!BG442="","(n/m or not derivable)",Database!BG442)</f>
        <v/>
      </c>
      <c r="Q442" s="24">
        <f>IF(Database!BM442="","",IFERROR(BDH(LEFT(Database!BM442,FIND(".",Database!BM442)-1)&amp;" CH Equity","PE_RATIO",Database!$H442,Database!$H442),""))</f>
        <v/>
      </c>
      <c r="R442" s="24">
        <f>IF(Database!BM442="","",IFERROR(BDH("HSAHP Index","PX_LAST",Database!$H442,Database!$H442),""))</f>
        <v/>
      </c>
      <c r="S442" s="24">
        <f>IFERROR(BDP(Database!$A442&amp;" HK Equity","PX_TO_SALES_RATIO"),"")</f>
        <v/>
      </c>
      <c r="T442" s="19">
        <f>IF(Database!BM442="","",IFERROR(BDP(LEFT(Database!BM442,FIND(".",Database!BM442)-1)&amp;" CH Equity","CUR_MKT_CAP"),""))</f>
        <v/>
      </c>
    </row>
    <row r="443">
      <c r="A443" s="17">
        <f>Database!A443&amp;"  "&amp;Database!B443</f>
        <v/>
      </c>
      <c r="B443" s="10">
        <f>IFERROR(INDEX(BDS(Database!$A443&amp;" HK Equity","EQUITY_OFFERINGS","array=t","endcol=1"),MATCH("IPO",BDS(Database!$A443&amp;" HK Equity","EQUITY_OFFERINGS","array=t","startcol=2","endcol=2"),0)),"")</f>
        <v/>
      </c>
      <c r="C443" s="186">
        <f>IF($B443="","",IFERROR(BDP($B443&amp;" Action","CP036"),""))</f>
        <v/>
      </c>
      <c r="D443" s="187">
        <f>Database!S443</f>
        <v/>
      </c>
      <c r="E443" s="186">
        <f>IF($B443="","",IFERROR(BDP($B443&amp;" Action","CP037"),""))</f>
        <v/>
      </c>
      <c r="F443" s="187">
        <f>Database!T443</f>
        <v/>
      </c>
      <c r="G443" s="186">
        <f>IF($B443="","",IFERROR(BDP($B443&amp;" Action","GREENSHOE_FACILITY"),""))</f>
        <v/>
      </c>
      <c r="H443" s="186">
        <f>IF($B443="","",IFERROR(BDP($B443&amp;" Action","OFFERING_GREENSHOE_SHARES_EX"),""))</f>
        <v/>
      </c>
      <c r="I443" s="17">
        <f>Database!AE443</f>
        <v/>
      </c>
      <c r="J443" s="24">
        <f>IFERROR(BDP(Database!$A443&amp;" HK Equity","PE_RATIO"),"")</f>
        <v/>
      </c>
      <c r="K443" s="10">
        <f>IFERROR(BDP(Database!$A443&amp;" HK Equity","A/H_SHARE_CONVERSION"),"")</f>
        <v/>
      </c>
      <c r="L443" s="17">
        <f>IF(Database!BM443="","(none found)",Database!BM443)</f>
        <v/>
      </c>
      <c r="M443" s="19">
        <f>IFERROR(BDH(Database!$A443&amp;" HK Equity","CUR_MKT_CAP",Database!$H443,Database!$H443),"")</f>
        <v/>
      </c>
      <c r="N443" s="180">
        <f>Database!Q443</f>
        <v/>
      </c>
      <c r="O443" s="24">
        <f>IFERROR(BDH(Database!$A443&amp;" HK Equity","PE_RATIO",Database!$H443,Database!$H443),"")</f>
        <v/>
      </c>
      <c r="P443" s="184">
        <f>IF(Database!BG443="","(n/m or not derivable)",Database!BG443)</f>
        <v/>
      </c>
      <c r="Q443" s="24">
        <f>IF(Database!BM443="","",IFERROR(BDH(LEFT(Database!BM443,FIND(".",Database!BM443)-1)&amp;" CH Equity","PE_RATIO",Database!$H443,Database!$H443),""))</f>
        <v/>
      </c>
      <c r="R443" s="24">
        <f>IF(Database!BM443="","",IFERROR(BDH("HSAHP Index","PX_LAST",Database!$H443,Database!$H443),""))</f>
        <v/>
      </c>
      <c r="S443" s="24">
        <f>IFERROR(BDP(Database!$A443&amp;" HK Equity","PX_TO_SALES_RATIO"),"")</f>
        <v/>
      </c>
      <c r="T443" s="19">
        <f>IF(Database!BM443="","",IFERROR(BDP(LEFT(Database!BM443,FIND(".",Database!BM443)-1)&amp;" CH Equity","CUR_MKT_CAP"),""))</f>
        <v/>
      </c>
    </row>
    <row r="444">
      <c r="A444" s="17">
        <f>Database!A444&amp;"  "&amp;Database!B444</f>
        <v/>
      </c>
      <c r="B444" s="10">
        <f>IFERROR(INDEX(BDS(Database!$A444&amp;" HK Equity","EQUITY_OFFERINGS","array=t","endcol=1"),MATCH("IPO",BDS(Database!$A444&amp;" HK Equity","EQUITY_OFFERINGS","array=t","startcol=2","endcol=2"),0)),"")</f>
        <v/>
      </c>
      <c r="C444" s="186">
        <f>IF($B444="","",IFERROR(BDP($B444&amp;" Action","CP036"),""))</f>
        <v/>
      </c>
      <c r="D444" s="187">
        <f>Database!S444</f>
        <v/>
      </c>
      <c r="E444" s="186">
        <f>IF($B444="","",IFERROR(BDP($B444&amp;" Action","CP037"),""))</f>
        <v/>
      </c>
      <c r="F444" s="187">
        <f>Database!T444</f>
        <v/>
      </c>
      <c r="G444" s="186">
        <f>IF($B444="","",IFERROR(BDP($B444&amp;" Action","GREENSHOE_FACILITY"),""))</f>
        <v/>
      </c>
      <c r="H444" s="186">
        <f>IF($B444="","",IFERROR(BDP($B444&amp;" Action","OFFERING_GREENSHOE_SHARES_EX"),""))</f>
        <v/>
      </c>
      <c r="I444" s="17">
        <f>Database!AE444</f>
        <v/>
      </c>
      <c r="J444" s="24">
        <f>IFERROR(BDP(Database!$A444&amp;" HK Equity","PE_RATIO"),"")</f>
        <v/>
      </c>
      <c r="K444" s="10">
        <f>IFERROR(BDP(Database!$A444&amp;" HK Equity","A/H_SHARE_CONVERSION"),"")</f>
        <v/>
      </c>
      <c r="L444" s="17">
        <f>IF(Database!BM444="","(none found)",Database!BM444)</f>
        <v/>
      </c>
      <c r="M444" s="19">
        <f>IFERROR(BDH(Database!$A444&amp;" HK Equity","CUR_MKT_CAP",Database!$H444,Database!$H444),"")</f>
        <v/>
      </c>
      <c r="N444" s="180">
        <f>Database!Q444</f>
        <v/>
      </c>
      <c r="O444" s="24">
        <f>IFERROR(BDH(Database!$A444&amp;" HK Equity","PE_RATIO",Database!$H444,Database!$H444),"")</f>
        <v/>
      </c>
      <c r="P444" s="184">
        <f>IF(Database!BG444="","(n/m or not derivable)",Database!BG444)</f>
        <v/>
      </c>
      <c r="Q444" s="24">
        <f>IF(Database!BM444="","",IFERROR(BDH(LEFT(Database!BM444,FIND(".",Database!BM444)-1)&amp;" CH Equity","PE_RATIO",Database!$H444,Database!$H444),""))</f>
        <v/>
      </c>
      <c r="R444" s="24">
        <f>IF(Database!BM444="","",IFERROR(BDH("HSAHP Index","PX_LAST",Database!$H444,Database!$H444),""))</f>
        <v/>
      </c>
      <c r="S444" s="24">
        <f>IFERROR(BDP(Database!$A444&amp;" HK Equity","PX_TO_SALES_RATIO"),"")</f>
        <v/>
      </c>
      <c r="T444" s="19">
        <f>IF(Database!BM444="","",IFERROR(BDP(LEFT(Database!BM444,FIND(".",Database!BM444)-1)&amp;" CH Equity","CUR_MKT_CAP"),""))</f>
        <v/>
      </c>
    </row>
    <row r="445">
      <c r="A445" s="17">
        <f>Database!A445&amp;"  "&amp;Database!B445</f>
        <v/>
      </c>
      <c r="B445" s="10">
        <f>IFERROR(INDEX(BDS(Database!$A445&amp;" HK Equity","EQUITY_OFFERINGS","array=t","endcol=1"),MATCH("IPO",BDS(Database!$A445&amp;" HK Equity","EQUITY_OFFERINGS","array=t","startcol=2","endcol=2"),0)),"")</f>
        <v/>
      </c>
      <c r="C445" s="186">
        <f>IF($B445="","",IFERROR(BDP($B445&amp;" Action","CP036"),""))</f>
        <v/>
      </c>
      <c r="D445" s="187">
        <f>Database!S445</f>
        <v/>
      </c>
      <c r="E445" s="186">
        <f>IF($B445="","",IFERROR(BDP($B445&amp;" Action","CP037"),""))</f>
        <v/>
      </c>
      <c r="F445" s="187">
        <f>Database!T445</f>
        <v/>
      </c>
      <c r="G445" s="186">
        <f>IF($B445="","",IFERROR(BDP($B445&amp;" Action","GREENSHOE_FACILITY"),""))</f>
        <v/>
      </c>
      <c r="H445" s="186">
        <f>IF($B445="","",IFERROR(BDP($B445&amp;" Action","OFFERING_GREENSHOE_SHARES_EX"),""))</f>
        <v/>
      </c>
      <c r="I445" s="17">
        <f>Database!AE445</f>
        <v/>
      </c>
      <c r="J445" s="24">
        <f>IFERROR(BDP(Database!$A445&amp;" HK Equity","PE_RATIO"),"")</f>
        <v/>
      </c>
      <c r="K445" s="10">
        <f>IFERROR(BDP(Database!$A445&amp;" HK Equity","A/H_SHARE_CONVERSION"),"")</f>
        <v/>
      </c>
      <c r="L445" s="17">
        <f>IF(Database!BM445="","(none found)",Database!BM445)</f>
        <v/>
      </c>
      <c r="M445" s="19">
        <f>IFERROR(BDH(Database!$A445&amp;" HK Equity","CUR_MKT_CAP",Database!$H445,Database!$H445),"")</f>
        <v/>
      </c>
      <c r="N445" s="180">
        <f>Database!Q445</f>
        <v/>
      </c>
      <c r="O445" s="24">
        <f>IFERROR(BDH(Database!$A445&amp;" HK Equity","PE_RATIO",Database!$H445,Database!$H445),"")</f>
        <v/>
      </c>
      <c r="P445" s="184">
        <f>IF(Database!BG445="","(n/m or not derivable)",Database!BG445)</f>
        <v/>
      </c>
      <c r="Q445" s="24">
        <f>IF(Database!BM445="","",IFERROR(BDH(LEFT(Database!BM445,FIND(".",Database!BM445)-1)&amp;" CH Equity","PE_RATIO",Database!$H445,Database!$H445),""))</f>
        <v/>
      </c>
      <c r="R445" s="24">
        <f>IF(Database!BM445="","",IFERROR(BDH("HSAHP Index","PX_LAST",Database!$H445,Database!$H445),""))</f>
        <v/>
      </c>
      <c r="S445" s="24">
        <f>IFERROR(BDP(Database!$A445&amp;" HK Equity","PX_TO_SALES_RATIO"),"")</f>
        <v/>
      </c>
      <c r="T445" s="19">
        <f>IF(Database!BM445="","",IFERROR(BDP(LEFT(Database!BM445,FIND(".",Database!BM445)-1)&amp;" CH Equity","CUR_MKT_CAP"),""))</f>
        <v/>
      </c>
    </row>
    <row r="446">
      <c r="A446" s="17">
        <f>Database!A446&amp;"  "&amp;Database!B446</f>
        <v/>
      </c>
      <c r="B446" s="10">
        <f>IFERROR(INDEX(BDS(Database!$A446&amp;" HK Equity","EQUITY_OFFERINGS","array=t","endcol=1"),MATCH("IPO",BDS(Database!$A446&amp;" HK Equity","EQUITY_OFFERINGS","array=t","startcol=2","endcol=2"),0)),"")</f>
        <v/>
      </c>
      <c r="C446" s="186">
        <f>IF($B446="","",IFERROR(BDP($B446&amp;" Action","CP036"),""))</f>
        <v/>
      </c>
      <c r="D446" s="187">
        <f>Database!S446</f>
        <v/>
      </c>
      <c r="E446" s="186">
        <f>IF($B446="","",IFERROR(BDP($B446&amp;" Action","CP037"),""))</f>
        <v/>
      </c>
      <c r="F446" s="187">
        <f>Database!T446</f>
        <v/>
      </c>
      <c r="G446" s="186">
        <f>IF($B446="","",IFERROR(BDP($B446&amp;" Action","GREENSHOE_FACILITY"),""))</f>
        <v/>
      </c>
      <c r="H446" s="186">
        <f>IF($B446="","",IFERROR(BDP($B446&amp;" Action","OFFERING_GREENSHOE_SHARES_EX"),""))</f>
        <v/>
      </c>
      <c r="I446" s="17">
        <f>Database!AE446</f>
        <v/>
      </c>
      <c r="J446" s="24">
        <f>IFERROR(BDP(Database!$A446&amp;" HK Equity","PE_RATIO"),"")</f>
        <v/>
      </c>
      <c r="K446" s="10">
        <f>IFERROR(BDP(Database!$A446&amp;" HK Equity","A/H_SHARE_CONVERSION"),"")</f>
        <v/>
      </c>
      <c r="L446" s="17">
        <f>IF(Database!BM446="","(none found)",Database!BM446)</f>
        <v/>
      </c>
      <c r="M446" s="19">
        <f>IFERROR(BDH(Database!$A446&amp;" HK Equity","CUR_MKT_CAP",Database!$H446,Database!$H446),"")</f>
        <v/>
      </c>
      <c r="N446" s="180">
        <f>Database!Q446</f>
        <v/>
      </c>
      <c r="O446" s="24">
        <f>IFERROR(BDH(Database!$A446&amp;" HK Equity","PE_RATIO",Database!$H446,Database!$H446),"")</f>
        <v/>
      </c>
      <c r="P446" s="184">
        <f>IF(Database!BG446="","(n/m or not derivable)",Database!BG446)</f>
        <v/>
      </c>
      <c r="Q446" s="24">
        <f>IF(Database!BM446="","",IFERROR(BDH(LEFT(Database!BM446,FIND(".",Database!BM446)-1)&amp;" CH Equity","PE_RATIO",Database!$H446,Database!$H446),""))</f>
        <v/>
      </c>
      <c r="R446" s="24">
        <f>IF(Database!BM446="","",IFERROR(BDH("HSAHP Index","PX_LAST",Database!$H446,Database!$H446),""))</f>
        <v/>
      </c>
      <c r="S446" s="24">
        <f>IFERROR(BDP(Database!$A446&amp;" HK Equity","PX_TO_SALES_RATIO"),"")</f>
        <v/>
      </c>
      <c r="T446" s="19">
        <f>IF(Database!BM446="","",IFERROR(BDP(LEFT(Database!BM446,FIND(".",Database!BM446)-1)&amp;" CH Equity","CUR_MKT_CAP"),""))</f>
        <v/>
      </c>
    </row>
    <row r="447">
      <c r="A447" s="17">
        <f>Database!A447&amp;"  "&amp;Database!B447</f>
        <v/>
      </c>
      <c r="B447" s="10">
        <f>IFERROR(INDEX(BDS(Database!$A447&amp;" HK Equity","EQUITY_OFFERINGS","array=t","endcol=1"),MATCH("IPO",BDS(Database!$A447&amp;" HK Equity","EQUITY_OFFERINGS","array=t","startcol=2","endcol=2"),0)),"")</f>
        <v/>
      </c>
      <c r="C447" s="186">
        <f>IF($B447="","",IFERROR(BDP($B447&amp;" Action","CP036"),""))</f>
        <v/>
      </c>
      <c r="D447" s="187">
        <f>Database!S447</f>
        <v/>
      </c>
      <c r="E447" s="186">
        <f>IF($B447="","",IFERROR(BDP($B447&amp;" Action","CP037"),""))</f>
        <v/>
      </c>
      <c r="F447" s="187">
        <f>Database!T447</f>
        <v/>
      </c>
      <c r="G447" s="186">
        <f>IF($B447="","",IFERROR(BDP($B447&amp;" Action","GREENSHOE_FACILITY"),""))</f>
        <v/>
      </c>
      <c r="H447" s="186">
        <f>IF($B447="","",IFERROR(BDP($B447&amp;" Action","OFFERING_GREENSHOE_SHARES_EX"),""))</f>
        <v/>
      </c>
      <c r="I447" s="17">
        <f>Database!AE447</f>
        <v/>
      </c>
      <c r="J447" s="24">
        <f>IFERROR(BDP(Database!$A447&amp;" HK Equity","PE_RATIO"),"")</f>
        <v/>
      </c>
      <c r="K447" s="10">
        <f>IFERROR(BDP(Database!$A447&amp;" HK Equity","A/H_SHARE_CONVERSION"),"")</f>
        <v/>
      </c>
      <c r="L447" s="17">
        <f>IF(Database!BM447="","(none found)",Database!BM447)</f>
        <v/>
      </c>
      <c r="M447" s="19">
        <f>IFERROR(BDH(Database!$A447&amp;" HK Equity","CUR_MKT_CAP",Database!$H447,Database!$H447),"")</f>
        <v/>
      </c>
      <c r="N447" s="180">
        <f>Database!Q447</f>
        <v/>
      </c>
      <c r="O447" s="24">
        <f>IFERROR(BDH(Database!$A447&amp;" HK Equity","PE_RATIO",Database!$H447,Database!$H447),"")</f>
        <v/>
      </c>
      <c r="P447" s="184">
        <f>IF(Database!BG447="","(n/m or not derivable)",Database!BG447)</f>
        <v/>
      </c>
      <c r="Q447" s="24">
        <f>IF(Database!BM447="","",IFERROR(BDH(LEFT(Database!BM447,FIND(".",Database!BM447)-1)&amp;" CH Equity","PE_RATIO",Database!$H447,Database!$H447),""))</f>
        <v/>
      </c>
      <c r="R447" s="24">
        <f>IF(Database!BM447="","",IFERROR(BDH("HSAHP Index","PX_LAST",Database!$H447,Database!$H447),""))</f>
        <v/>
      </c>
      <c r="S447" s="24">
        <f>IFERROR(BDP(Database!$A447&amp;" HK Equity","PX_TO_SALES_RATIO"),"")</f>
        <v/>
      </c>
      <c r="T447" s="19">
        <f>IF(Database!BM447="","",IFERROR(BDP(LEFT(Database!BM447,FIND(".",Database!BM447)-1)&amp;" CH Equity","CUR_MKT_CAP"),""))</f>
        <v/>
      </c>
    </row>
    <row r="448">
      <c r="A448" s="17">
        <f>Database!A448&amp;"  "&amp;Database!B448</f>
        <v/>
      </c>
      <c r="B448" s="10">
        <f>IFERROR(INDEX(BDS(Database!$A448&amp;" HK Equity","EQUITY_OFFERINGS","array=t","endcol=1"),MATCH("IPO",BDS(Database!$A448&amp;" HK Equity","EQUITY_OFFERINGS","array=t","startcol=2","endcol=2"),0)),"")</f>
        <v/>
      </c>
      <c r="C448" s="186">
        <f>IF($B448="","",IFERROR(BDP($B448&amp;" Action","CP036"),""))</f>
        <v/>
      </c>
      <c r="D448" s="187">
        <f>Database!S448</f>
        <v/>
      </c>
      <c r="E448" s="186">
        <f>IF($B448="","",IFERROR(BDP($B448&amp;" Action","CP037"),""))</f>
        <v/>
      </c>
      <c r="F448" s="187">
        <f>Database!T448</f>
        <v/>
      </c>
      <c r="G448" s="186">
        <f>IF($B448="","",IFERROR(BDP($B448&amp;" Action","GREENSHOE_FACILITY"),""))</f>
        <v/>
      </c>
      <c r="H448" s="186">
        <f>IF($B448="","",IFERROR(BDP($B448&amp;" Action","OFFERING_GREENSHOE_SHARES_EX"),""))</f>
        <v/>
      </c>
      <c r="I448" s="17">
        <f>Database!AE448</f>
        <v/>
      </c>
      <c r="J448" s="24">
        <f>IFERROR(BDP(Database!$A448&amp;" HK Equity","PE_RATIO"),"")</f>
        <v/>
      </c>
      <c r="K448" s="10">
        <f>IFERROR(BDP(Database!$A448&amp;" HK Equity","A/H_SHARE_CONVERSION"),"")</f>
        <v/>
      </c>
      <c r="L448" s="17">
        <f>IF(Database!BM448="","(none found)",Database!BM448)</f>
        <v/>
      </c>
      <c r="M448" s="19">
        <f>IFERROR(BDH(Database!$A448&amp;" HK Equity","CUR_MKT_CAP",Database!$H448,Database!$H448),"")</f>
        <v/>
      </c>
      <c r="N448" s="180">
        <f>Database!Q448</f>
        <v/>
      </c>
      <c r="O448" s="24">
        <f>IFERROR(BDH(Database!$A448&amp;" HK Equity","PE_RATIO",Database!$H448,Database!$H448),"")</f>
        <v/>
      </c>
      <c r="P448" s="184">
        <f>IF(Database!BG448="","(n/m or not derivable)",Database!BG448)</f>
        <v/>
      </c>
      <c r="Q448" s="24">
        <f>IF(Database!BM448="","",IFERROR(BDH(LEFT(Database!BM448,FIND(".",Database!BM448)-1)&amp;" CH Equity","PE_RATIO",Database!$H448,Database!$H448),""))</f>
        <v/>
      </c>
      <c r="R448" s="24">
        <f>IF(Database!BM448="","",IFERROR(BDH("HSAHP Index","PX_LAST",Database!$H448,Database!$H448),""))</f>
        <v/>
      </c>
      <c r="S448" s="24">
        <f>IFERROR(BDP(Database!$A448&amp;" HK Equity","PX_TO_SALES_RATIO"),"")</f>
        <v/>
      </c>
      <c r="T448" s="19">
        <f>IF(Database!BM448="","",IFERROR(BDP(LEFT(Database!BM448,FIND(".",Database!BM448)-1)&amp;" CH Equity","CUR_MKT_CAP"),""))</f>
        <v/>
      </c>
    </row>
    <row r="449">
      <c r="A449" s="17">
        <f>Database!A449&amp;"  "&amp;Database!B449</f>
        <v/>
      </c>
      <c r="B449" s="10">
        <f>IFERROR(INDEX(BDS(Database!$A449&amp;" HK Equity","EQUITY_OFFERINGS","array=t","endcol=1"),MATCH("IPO",BDS(Database!$A449&amp;" HK Equity","EQUITY_OFFERINGS","array=t","startcol=2","endcol=2"),0)),"")</f>
        <v/>
      </c>
      <c r="C449" s="186">
        <f>IF($B449="","",IFERROR(BDP($B449&amp;" Action","CP036"),""))</f>
        <v/>
      </c>
      <c r="D449" s="187">
        <f>Database!S449</f>
        <v/>
      </c>
      <c r="E449" s="186">
        <f>IF($B449="","",IFERROR(BDP($B449&amp;" Action","CP037"),""))</f>
        <v/>
      </c>
      <c r="F449" s="187">
        <f>Database!T449</f>
        <v/>
      </c>
      <c r="G449" s="186">
        <f>IF($B449="","",IFERROR(BDP($B449&amp;" Action","GREENSHOE_FACILITY"),""))</f>
        <v/>
      </c>
      <c r="H449" s="186">
        <f>IF($B449="","",IFERROR(BDP($B449&amp;" Action","OFFERING_GREENSHOE_SHARES_EX"),""))</f>
        <v/>
      </c>
      <c r="I449" s="17">
        <f>Database!AE449</f>
        <v/>
      </c>
      <c r="J449" s="24">
        <f>IFERROR(BDP(Database!$A449&amp;" HK Equity","PE_RATIO"),"")</f>
        <v/>
      </c>
      <c r="K449" s="10">
        <f>IFERROR(BDP(Database!$A449&amp;" HK Equity","A/H_SHARE_CONVERSION"),"")</f>
        <v/>
      </c>
      <c r="L449" s="17">
        <f>IF(Database!BM449="","(none found)",Database!BM449)</f>
        <v/>
      </c>
      <c r="M449" s="19">
        <f>IFERROR(BDH(Database!$A449&amp;" HK Equity","CUR_MKT_CAP",Database!$H449,Database!$H449),"")</f>
        <v/>
      </c>
      <c r="N449" s="180">
        <f>Database!Q449</f>
        <v/>
      </c>
      <c r="O449" s="24">
        <f>IFERROR(BDH(Database!$A449&amp;" HK Equity","PE_RATIO",Database!$H449,Database!$H449),"")</f>
        <v/>
      </c>
      <c r="P449" s="184">
        <f>IF(Database!BG449="","(n/m or not derivable)",Database!BG449)</f>
        <v/>
      </c>
      <c r="Q449" s="24">
        <f>IF(Database!BM449="","",IFERROR(BDH(LEFT(Database!BM449,FIND(".",Database!BM449)-1)&amp;" CH Equity","PE_RATIO",Database!$H449,Database!$H449),""))</f>
        <v/>
      </c>
      <c r="R449" s="24">
        <f>IF(Database!BM449="","",IFERROR(BDH("HSAHP Index","PX_LAST",Database!$H449,Database!$H449),""))</f>
        <v/>
      </c>
      <c r="S449" s="24">
        <f>IFERROR(BDP(Database!$A449&amp;" HK Equity","PX_TO_SALES_RATIO"),"")</f>
        <v/>
      </c>
      <c r="T449" s="19">
        <f>IF(Database!BM449="","",IFERROR(BDP(LEFT(Database!BM449,FIND(".",Database!BM449)-1)&amp;" CH Equity","CUR_MKT_CAP"),""))</f>
        <v/>
      </c>
    </row>
    <row r="450">
      <c r="A450" s="17">
        <f>Database!A450&amp;"  "&amp;Database!B450</f>
        <v/>
      </c>
      <c r="B450" s="10">
        <f>IFERROR(INDEX(BDS(Database!$A450&amp;" HK Equity","EQUITY_OFFERINGS","array=t","endcol=1"),MATCH("IPO",BDS(Database!$A450&amp;" HK Equity","EQUITY_OFFERINGS","array=t","startcol=2","endcol=2"),0)),"")</f>
        <v/>
      </c>
      <c r="C450" s="186">
        <f>IF($B450="","",IFERROR(BDP($B450&amp;" Action","CP036"),""))</f>
        <v/>
      </c>
      <c r="D450" s="187">
        <f>Database!S450</f>
        <v/>
      </c>
      <c r="E450" s="186">
        <f>IF($B450="","",IFERROR(BDP($B450&amp;" Action","CP037"),""))</f>
        <v/>
      </c>
      <c r="F450" s="187">
        <f>Database!T450</f>
        <v/>
      </c>
      <c r="G450" s="186">
        <f>IF($B450="","",IFERROR(BDP($B450&amp;" Action","GREENSHOE_FACILITY"),""))</f>
        <v/>
      </c>
      <c r="H450" s="186">
        <f>IF($B450="","",IFERROR(BDP($B450&amp;" Action","OFFERING_GREENSHOE_SHARES_EX"),""))</f>
        <v/>
      </c>
      <c r="I450" s="17">
        <f>Database!AE450</f>
        <v/>
      </c>
      <c r="J450" s="24">
        <f>IFERROR(BDP(Database!$A450&amp;" HK Equity","PE_RATIO"),"")</f>
        <v/>
      </c>
      <c r="K450" s="10">
        <f>IFERROR(BDP(Database!$A450&amp;" HK Equity","A/H_SHARE_CONVERSION"),"")</f>
        <v/>
      </c>
      <c r="L450" s="17">
        <f>IF(Database!BM450="","(none found)",Database!BM450)</f>
        <v/>
      </c>
      <c r="M450" s="19">
        <f>IFERROR(BDH(Database!$A450&amp;" HK Equity","CUR_MKT_CAP",Database!$H450,Database!$H450),"")</f>
        <v/>
      </c>
      <c r="N450" s="180">
        <f>Database!Q450</f>
        <v/>
      </c>
      <c r="O450" s="24">
        <f>IFERROR(BDH(Database!$A450&amp;" HK Equity","PE_RATIO",Database!$H450,Database!$H450),"")</f>
        <v/>
      </c>
      <c r="P450" s="184">
        <f>IF(Database!BG450="","(n/m or not derivable)",Database!BG450)</f>
        <v/>
      </c>
      <c r="Q450" s="24">
        <f>IF(Database!BM450="","",IFERROR(BDH(LEFT(Database!BM450,FIND(".",Database!BM450)-1)&amp;" CH Equity","PE_RATIO",Database!$H450,Database!$H450),""))</f>
        <v/>
      </c>
      <c r="R450" s="24">
        <f>IF(Database!BM450="","",IFERROR(BDH("HSAHP Index","PX_LAST",Database!$H450,Database!$H450),""))</f>
        <v/>
      </c>
      <c r="S450" s="24">
        <f>IFERROR(BDP(Database!$A450&amp;" HK Equity","PX_TO_SALES_RATIO"),"")</f>
        <v/>
      </c>
      <c r="T450" s="19">
        <f>IF(Database!BM450="","",IFERROR(BDP(LEFT(Database!BM450,FIND(".",Database!BM450)-1)&amp;" CH Equity","CUR_MKT_CAP"),""))</f>
        <v/>
      </c>
    </row>
    <row r="451">
      <c r="A451" s="17">
        <f>Database!A451&amp;"  "&amp;Database!B451</f>
        <v/>
      </c>
      <c r="B451" s="10">
        <f>IFERROR(INDEX(BDS(Database!$A451&amp;" HK Equity","EQUITY_OFFERINGS","array=t","endcol=1"),MATCH("IPO",BDS(Database!$A451&amp;" HK Equity","EQUITY_OFFERINGS","array=t","startcol=2","endcol=2"),0)),"")</f>
        <v/>
      </c>
      <c r="C451" s="186">
        <f>IF($B451="","",IFERROR(BDP($B451&amp;" Action","CP036"),""))</f>
        <v/>
      </c>
      <c r="D451" s="187">
        <f>Database!S451</f>
        <v/>
      </c>
      <c r="E451" s="186">
        <f>IF($B451="","",IFERROR(BDP($B451&amp;" Action","CP037"),""))</f>
        <v/>
      </c>
      <c r="F451" s="187">
        <f>Database!T451</f>
        <v/>
      </c>
      <c r="G451" s="186">
        <f>IF($B451="","",IFERROR(BDP($B451&amp;" Action","GREENSHOE_FACILITY"),""))</f>
        <v/>
      </c>
      <c r="H451" s="186">
        <f>IF($B451="","",IFERROR(BDP($B451&amp;" Action","OFFERING_GREENSHOE_SHARES_EX"),""))</f>
        <v/>
      </c>
      <c r="I451" s="17">
        <f>Database!AE451</f>
        <v/>
      </c>
      <c r="J451" s="24">
        <f>IFERROR(BDP(Database!$A451&amp;" HK Equity","PE_RATIO"),"")</f>
        <v/>
      </c>
      <c r="K451" s="10">
        <f>IFERROR(BDP(Database!$A451&amp;" HK Equity","A/H_SHARE_CONVERSION"),"")</f>
        <v/>
      </c>
      <c r="L451" s="17">
        <f>IF(Database!BM451="","(none found)",Database!BM451)</f>
        <v/>
      </c>
      <c r="M451" s="19">
        <f>IFERROR(BDH(Database!$A451&amp;" HK Equity","CUR_MKT_CAP",Database!$H451,Database!$H451),"")</f>
        <v/>
      </c>
      <c r="N451" s="180">
        <f>Database!Q451</f>
        <v/>
      </c>
      <c r="O451" s="24">
        <f>IFERROR(BDH(Database!$A451&amp;" HK Equity","PE_RATIO",Database!$H451,Database!$H451),"")</f>
        <v/>
      </c>
      <c r="P451" s="184">
        <f>IF(Database!BG451="","(n/m or not derivable)",Database!BG451)</f>
        <v/>
      </c>
      <c r="Q451" s="24">
        <f>IF(Database!BM451="","",IFERROR(BDH(LEFT(Database!BM451,FIND(".",Database!BM451)-1)&amp;" CH Equity","PE_RATIO",Database!$H451,Database!$H451),""))</f>
        <v/>
      </c>
      <c r="R451" s="24">
        <f>IF(Database!BM451="","",IFERROR(BDH("HSAHP Index","PX_LAST",Database!$H451,Database!$H451),""))</f>
        <v/>
      </c>
      <c r="S451" s="24">
        <f>IFERROR(BDP(Database!$A451&amp;" HK Equity","PX_TO_SALES_RATIO"),"")</f>
        <v/>
      </c>
      <c r="T451" s="19">
        <f>IF(Database!BM451="","",IFERROR(BDP(LEFT(Database!BM451,FIND(".",Database!BM451)-1)&amp;" CH Equity","CUR_MKT_CAP"),""))</f>
        <v/>
      </c>
    </row>
    <row r="452">
      <c r="A452" s="17">
        <f>Database!A452&amp;"  "&amp;Database!B452</f>
        <v/>
      </c>
      <c r="B452" s="10">
        <f>IFERROR(INDEX(BDS(Database!$A452&amp;" HK Equity","EQUITY_OFFERINGS","array=t","endcol=1"),MATCH("IPO",BDS(Database!$A452&amp;" HK Equity","EQUITY_OFFERINGS","array=t","startcol=2","endcol=2"),0)),"")</f>
        <v/>
      </c>
      <c r="C452" s="186">
        <f>IF($B452="","",IFERROR(BDP($B452&amp;" Action","CP036"),""))</f>
        <v/>
      </c>
      <c r="D452" s="187">
        <f>Database!S452</f>
        <v/>
      </c>
      <c r="E452" s="186">
        <f>IF($B452="","",IFERROR(BDP($B452&amp;" Action","CP037"),""))</f>
        <v/>
      </c>
      <c r="F452" s="187">
        <f>Database!T452</f>
        <v/>
      </c>
      <c r="G452" s="186">
        <f>IF($B452="","",IFERROR(BDP($B452&amp;" Action","GREENSHOE_FACILITY"),""))</f>
        <v/>
      </c>
      <c r="H452" s="186">
        <f>IF($B452="","",IFERROR(BDP($B452&amp;" Action","OFFERING_GREENSHOE_SHARES_EX"),""))</f>
        <v/>
      </c>
      <c r="I452" s="17">
        <f>Database!AE452</f>
        <v/>
      </c>
      <c r="J452" s="24">
        <f>IFERROR(BDP(Database!$A452&amp;" HK Equity","PE_RATIO"),"")</f>
        <v/>
      </c>
      <c r="K452" s="10">
        <f>IFERROR(BDP(Database!$A452&amp;" HK Equity","A/H_SHARE_CONVERSION"),"")</f>
        <v/>
      </c>
      <c r="L452" s="17">
        <f>IF(Database!BM452="","(none found)",Database!BM452)</f>
        <v/>
      </c>
      <c r="M452" s="19">
        <f>IFERROR(BDH(Database!$A452&amp;" HK Equity","CUR_MKT_CAP",Database!$H452,Database!$H452),"")</f>
        <v/>
      </c>
      <c r="N452" s="180">
        <f>Database!Q452</f>
        <v/>
      </c>
      <c r="O452" s="24">
        <f>IFERROR(BDH(Database!$A452&amp;" HK Equity","PE_RATIO",Database!$H452,Database!$H452),"")</f>
        <v/>
      </c>
      <c r="P452" s="184">
        <f>IF(Database!BG452="","(n/m or not derivable)",Database!BG452)</f>
        <v/>
      </c>
      <c r="Q452" s="24">
        <f>IF(Database!BM452="","",IFERROR(BDH(LEFT(Database!BM452,FIND(".",Database!BM452)-1)&amp;" CH Equity","PE_RATIO",Database!$H452,Database!$H452),""))</f>
        <v/>
      </c>
      <c r="R452" s="24">
        <f>IF(Database!BM452="","",IFERROR(BDH("HSAHP Index","PX_LAST",Database!$H452,Database!$H452),""))</f>
        <v/>
      </c>
      <c r="S452" s="24">
        <f>IFERROR(BDP(Database!$A452&amp;" HK Equity","PX_TO_SALES_RATIO"),"")</f>
        <v/>
      </c>
      <c r="T452" s="19">
        <f>IF(Database!BM452="","",IFERROR(BDP(LEFT(Database!BM452,FIND(".",Database!BM452)-1)&amp;" CH Equity","CUR_MKT_CAP"),""))</f>
        <v/>
      </c>
    </row>
    <row r="453">
      <c r="A453" s="17">
        <f>Database!A453&amp;"  "&amp;Database!B453</f>
        <v/>
      </c>
      <c r="B453" s="10">
        <f>IFERROR(INDEX(BDS(Database!$A453&amp;" HK Equity","EQUITY_OFFERINGS","array=t","endcol=1"),MATCH("IPO",BDS(Database!$A453&amp;" HK Equity","EQUITY_OFFERINGS","array=t","startcol=2","endcol=2"),0)),"")</f>
        <v/>
      </c>
      <c r="C453" s="186">
        <f>IF($B453="","",IFERROR(BDP($B453&amp;" Action","CP036"),""))</f>
        <v/>
      </c>
      <c r="D453" s="187">
        <f>Database!S453</f>
        <v/>
      </c>
      <c r="E453" s="186">
        <f>IF($B453="","",IFERROR(BDP($B453&amp;" Action","CP037"),""))</f>
        <v/>
      </c>
      <c r="F453" s="187">
        <f>Database!T453</f>
        <v/>
      </c>
      <c r="G453" s="186">
        <f>IF($B453="","",IFERROR(BDP($B453&amp;" Action","GREENSHOE_FACILITY"),""))</f>
        <v/>
      </c>
      <c r="H453" s="186">
        <f>IF($B453="","",IFERROR(BDP($B453&amp;" Action","OFFERING_GREENSHOE_SHARES_EX"),""))</f>
        <v/>
      </c>
      <c r="I453" s="17">
        <f>Database!AE453</f>
        <v/>
      </c>
      <c r="J453" s="24">
        <f>IFERROR(BDP(Database!$A453&amp;" HK Equity","PE_RATIO"),"")</f>
        <v/>
      </c>
      <c r="K453" s="10">
        <f>IFERROR(BDP(Database!$A453&amp;" HK Equity","A/H_SHARE_CONVERSION"),"")</f>
        <v/>
      </c>
      <c r="L453" s="17">
        <f>IF(Database!BM453="","(none found)",Database!BM453)</f>
        <v/>
      </c>
      <c r="M453" s="19">
        <f>IFERROR(BDH(Database!$A453&amp;" HK Equity","CUR_MKT_CAP",Database!$H453,Database!$H453),"")</f>
        <v/>
      </c>
      <c r="N453" s="180">
        <f>Database!Q453</f>
        <v/>
      </c>
      <c r="O453" s="24">
        <f>IFERROR(BDH(Database!$A453&amp;" HK Equity","PE_RATIO",Database!$H453,Database!$H453),"")</f>
        <v/>
      </c>
      <c r="P453" s="184">
        <f>IF(Database!BG453="","(n/m or not derivable)",Database!BG453)</f>
        <v/>
      </c>
      <c r="Q453" s="24">
        <f>IF(Database!BM453="","",IFERROR(BDH(LEFT(Database!BM453,FIND(".",Database!BM453)-1)&amp;" CH Equity","PE_RATIO",Database!$H453,Database!$H453),""))</f>
        <v/>
      </c>
      <c r="R453" s="24">
        <f>IF(Database!BM453="","",IFERROR(BDH("HSAHP Index","PX_LAST",Database!$H453,Database!$H453),""))</f>
        <v/>
      </c>
      <c r="S453" s="24">
        <f>IFERROR(BDP(Database!$A453&amp;" HK Equity","PX_TO_SALES_RATIO"),"")</f>
        <v/>
      </c>
      <c r="T453" s="19">
        <f>IF(Database!BM453="","",IFERROR(BDP(LEFT(Database!BM453,FIND(".",Database!BM453)-1)&amp;" CH Equity","CUR_MKT_CAP"),""))</f>
        <v/>
      </c>
    </row>
    <row r="454">
      <c r="A454" s="17">
        <f>Database!A454&amp;"  "&amp;Database!B454</f>
        <v/>
      </c>
      <c r="B454" s="10">
        <f>IFERROR(INDEX(BDS(Database!$A454&amp;" HK Equity","EQUITY_OFFERINGS","array=t","endcol=1"),MATCH("IPO",BDS(Database!$A454&amp;" HK Equity","EQUITY_OFFERINGS","array=t","startcol=2","endcol=2"),0)),"")</f>
        <v/>
      </c>
      <c r="C454" s="186">
        <f>IF($B454="","",IFERROR(BDP($B454&amp;" Action","CP036"),""))</f>
        <v/>
      </c>
      <c r="D454" s="187">
        <f>Database!S454</f>
        <v/>
      </c>
      <c r="E454" s="186">
        <f>IF($B454="","",IFERROR(BDP($B454&amp;" Action","CP037"),""))</f>
        <v/>
      </c>
      <c r="F454" s="187">
        <f>Database!T454</f>
        <v/>
      </c>
      <c r="G454" s="186">
        <f>IF($B454="","",IFERROR(BDP($B454&amp;" Action","GREENSHOE_FACILITY"),""))</f>
        <v/>
      </c>
      <c r="H454" s="186">
        <f>IF($B454="","",IFERROR(BDP($B454&amp;" Action","OFFERING_GREENSHOE_SHARES_EX"),""))</f>
        <v/>
      </c>
      <c r="I454" s="17">
        <f>Database!AE454</f>
        <v/>
      </c>
      <c r="J454" s="24">
        <f>IFERROR(BDP(Database!$A454&amp;" HK Equity","PE_RATIO"),"")</f>
        <v/>
      </c>
      <c r="K454" s="10">
        <f>IFERROR(BDP(Database!$A454&amp;" HK Equity","A/H_SHARE_CONVERSION"),"")</f>
        <v/>
      </c>
      <c r="L454" s="17">
        <f>IF(Database!BM454="","(none found)",Database!BM454)</f>
        <v/>
      </c>
      <c r="M454" s="19">
        <f>IFERROR(BDH(Database!$A454&amp;" HK Equity","CUR_MKT_CAP",Database!$H454,Database!$H454),"")</f>
        <v/>
      </c>
      <c r="N454" s="180">
        <f>Database!Q454</f>
        <v/>
      </c>
      <c r="O454" s="24">
        <f>IFERROR(BDH(Database!$A454&amp;" HK Equity","PE_RATIO",Database!$H454,Database!$H454),"")</f>
        <v/>
      </c>
      <c r="P454" s="184">
        <f>IF(Database!BG454="","(n/m or not derivable)",Database!BG454)</f>
        <v/>
      </c>
      <c r="Q454" s="24">
        <f>IF(Database!BM454="","",IFERROR(BDH(LEFT(Database!BM454,FIND(".",Database!BM454)-1)&amp;" CH Equity","PE_RATIO",Database!$H454,Database!$H454),""))</f>
        <v/>
      </c>
      <c r="R454" s="24">
        <f>IF(Database!BM454="","",IFERROR(BDH("HSAHP Index","PX_LAST",Database!$H454,Database!$H454),""))</f>
        <v/>
      </c>
      <c r="S454" s="24">
        <f>IFERROR(BDP(Database!$A454&amp;" HK Equity","PX_TO_SALES_RATIO"),"")</f>
        <v/>
      </c>
      <c r="T454" s="19">
        <f>IF(Database!BM454="","",IFERROR(BDP(LEFT(Database!BM454,FIND(".",Database!BM454)-1)&amp;" CH Equity","CUR_MKT_CAP"),""))</f>
        <v/>
      </c>
    </row>
    <row r="455">
      <c r="A455" s="17">
        <f>Database!A455&amp;"  "&amp;Database!B455</f>
        <v/>
      </c>
      <c r="B455" s="10">
        <f>IFERROR(INDEX(BDS(Database!$A455&amp;" HK Equity","EQUITY_OFFERINGS","array=t","endcol=1"),MATCH("IPO",BDS(Database!$A455&amp;" HK Equity","EQUITY_OFFERINGS","array=t","startcol=2","endcol=2"),0)),"")</f>
        <v/>
      </c>
      <c r="C455" s="186">
        <f>IF($B455="","",IFERROR(BDP($B455&amp;" Action","CP036"),""))</f>
        <v/>
      </c>
      <c r="D455" s="187">
        <f>Database!S455</f>
        <v/>
      </c>
      <c r="E455" s="186">
        <f>IF($B455="","",IFERROR(BDP($B455&amp;" Action","CP037"),""))</f>
        <v/>
      </c>
      <c r="F455" s="187">
        <f>Database!T455</f>
        <v/>
      </c>
      <c r="G455" s="186">
        <f>IF($B455="","",IFERROR(BDP($B455&amp;" Action","GREENSHOE_FACILITY"),""))</f>
        <v/>
      </c>
      <c r="H455" s="186">
        <f>IF($B455="","",IFERROR(BDP($B455&amp;" Action","OFFERING_GREENSHOE_SHARES_EX"),""))</f>
        <v/>
      </c>
      <c r="I455" s="17">
        <f>Database!AE455</f>
        <v/>
      </c>
      <c r="J455" s="24">
        <f>IFERROR(BDP(Database!$A455&amp;" HK Equity","PE_RATIO"),"")</f>
        <v/>
      </c>
      <c r="K455" s="10">
        <f>IFERROR(BDP(Database!$A455&amp;" HK Equity","A/H_SHARE_CONVERSION"),"")</f>
        <v/>
      </c>
      <c r="L455" s="17">
        <f>IF(Database!BM455="","(none found)",Database!BM455)</f>
        <v/>
      </c>
      <c r="M455" s="19">
        <f>IFERROR(BDH(Database!$A455&amp;" HK Equity","CUR_MKT_CAP",Database!$H455,Database!$H455),"")</f>
        <v/>
      </c>
      <c r="N455" s="180">
        <f>Database!Q455</f>
        <v/>
      </c>
      <c r="O455" s="24">
        <f>IFERROR(BDH(Database!$A455&amp;" HK Equity","PE_RATIO",Database!$H455,Database!$H455),"")</f>
        <v/>
      </c>
      <c r="P455" s="184">
        <f>IF(Database!BG455="","(n/m or not derivable)",Database!BG455)</f>
        <v/>
      </c>
      <c r="Q455" s="24">
        <f>IF(Database!BM455="","",IFERROR(BDH(LEFT(Database!BM455,FIND(".",Database!BM455)-1)&amp;" CH Equity","PE_RATIO",Database!$H455,Database!$H455),""))</f>
        <v/>
      </c>
      <c r="R455" s="24">
        <f>IF(Database!BM455="","",IFERROR(BDH("HSAHP Index","PX_LAST",Database!$H455,Database!$H455),""))</f>
        <v/>
      </c>
      <c r="S455" s="24">
        <f>IFERROR(BDP(Database!$A455&amp;" HK Equity","PX_TO_SALES_RATIO"),"")</f>
        <v/>
      </c>
      <c r="T455" s="19">
        <f>IF(Database!BM455="","",IFERROR(BDP(LEFT(Database!BM455,FIND(".",Database!BM455)-1)&amp;" CH Equity","CUR_MKT_CAP"),""))</f>
        <v/>
      </c>
    </row>
    <row r="456">
      <c r="A456" s="17">
        <f>Database!A456&amp;"  "&amp;Database!B456</f>
        <v/>
      </c>
      <c r="B456" s="10">
        <f>IFERROR(INDEX(BDS(Database!$A456&amp;" HK Equity","EQUITY_OFFERINGS","array=t","endcol=1"),MATCH("IPO",BDS(Database!$A456&amp;" HK Equity","EQUITY_OFFERINGS","array=t","startcol=2","endcol=2"),0)),"")</f>
        <v/>
      </c>
      <c r="C456" s="186">
        <f>IF($B456="","",IFERROR(BDP($B456&amp;" Action","CP036"),""))</f>
        <v/>
      </c>
      <c r="D456" s="187">
        <f>Database!S456</f>
        <v/>
      </c>
      <c r="E456" s="186">
        <f>IF($B456="","",IFERROR(BDP($B456&amp;" Action","CP037"),""))</f>
        <v/>
      </c>
      <c r="F456" s="187">
        <f>Database!T456</f>
        <v/>
      </c>
      <c r="G456" s="186">
        <f>IF($B456="","",IFERROR(BDP($B456&amp;" Action","GREENSHOE_FACILITY"),""))</f>
        <v/>
      </c>
      <c r="H456" s="186">
        <f>IF($B456="","",IFERROR(BDP($B456&amp;" Action","OFFERING_GREENSHOE_SHARES_EX"),""))</f>
        <v/>
      </c>
      <c r="I456" s="17">
        <f>Database!AE456</f>
        <v/>
      </c>
      <c r="J456" s="24">
        <f>IFERROR(BDP(Database!$A456&amp;" HK Equity","PE_RATIO"),"")</f>
        <v/>
      </c>
      <c r="K456" s="10">
        <f>IFERROR(BDP(Database!$A456&amp;" HK Equity","A/H_SHARE_CONVERSION"),"")</f>
        <v/>
      </c>
      <c r="L456" s="17">
        <f>IF(Database!BM456="","(none found)",Database!BM456)</f>
        <v/>
      </c>
      <c r="M456" s="19">
        <f>IFERROR(BDH(Database!$A456&amp;" HK Equity","CUR_MKT_CAP",Database!$H456,Database!$H456),"")</f>
        <v/>
      </c>
      <c r="N456" s="180">
        <f>Database!Q456</f>
        <v/>
      </c>
      <c r="O456" s="24">
        <f>IFERROR(BDH(Database!$A456&amp;" HK Equity","PE_RATIO",Database!$H456,Database!$H456),"")</f>
        <v/>
      </c>
      <c r="P456" s="184">
        <f>IF(Database!BG456="","(n/m or not derivable)",Database!BG456)</f>
        <v/>
      </c>
      <c r="Q456" s="24">
        <f>IF(Database!BM456="","",IFERROR(BDH(LEFT(Database!BM456,FIND(".",Database!BM456)-1)&amp;" CH Equity","PE_RATIO",Database!$H456,Database!$H456),""))</f>
        <v/>
      </c>
      <c r="R456" s="24">
        <f>IF(Database!BM456="","",IFERROR(BDH("HSAHP Index","PX_LAST",Database!$H456,Database!$H456),""))</f>
        <v/>
      </c>
      <c r="S456" s="24">
        <f>IFERROR(BDP(Database!$A456&amp;" HK Equity","PX_TO_SALES_RATIO"),"")</f>
        <v/>
      </c>
      <c r="T456" s="19">
        <f>IF(Database!BM456="","",IFERROR(BDP(LEFT(Database!BM456,FIND(".",Database!BM456)-1)&amp;" CH Equity","CUR_MKT_CAP"),""))</f>
        <v/>
      </c>
    </row>
    <row r="457">
      <c r="A457" s="17">
        <f>Database!A457&amp;"  "&amp;Database!B457</f>
        <v/>
      </c>
      <c r="B457" s="10">
        <f>IFERROR(INDEX(BDS(Database!$A457&amp;" HK Equity","EQUITY_OFFERINGS","array=t","endcol=1"),MATCH("IPO",BDS(Database!$A457&amp;" HK Equity","EQUITY_OFFERINGS","array=t","startcol=2","endcol=2"),0)),"")</f>
        <v/>
      </c>
      <c r="C457" s="186">
        <f>IF($B457="","",IFERROR(BDP($B457&amp;" Action","CP036"),""))</f>
        <v/>
      </c>
      <c r="D457" s="187">
        <f>Database!S457</f>
        <v/>
      </c>
      <c r="E457" s="186">
        <f>IF($B457="","",IFERROR(BDP($B457&amp;" Action","CP037"),""))</f>
        <v/>
      </c>
      <c r="F457" s="187">
        <f>Database!T457</f>
        <v/>
      </c>
      <c r="G457" s="186">
        <f>IF($B457="","",IFERROR(BDP($B457&amp;" Action","GREENSHOE_FACILITY"),""))</f>
        <v/>
      </c>
      <c r="H457" s="186">
        <f>IF($B457="","",IFERROR(BDP($B457&amp;" Action","OFFERING_GREENSHOE_SHARES_EX"),""))</f>
        <v/>
      </c>
      <c r="I457" s="17">
        <f>Database!AE457</f>
        <v/>
      </c>
      <c r="J457" s="24">
        <f>IFERROR(BDP(Database!$A457&amp;" HK Equity","PE_RATIO"),"")</f>
        <v/>
      </c>
      <c r="K457" s="10">
        <f>IFERROR(BDP(Database!$A457&amp;" HK Equity","A/H_SHARE_CONVERSION"),"")</f>
        <v/>
      </c>
      <c r="L457" s="17">
        <f>IF(Database!BM457="","(none found)",Database!BM457)</f>
        <v/>
      </c>
      <c r="M457" s="19">
        <f>IFERROR(BDH(Database!$A457&amp;" HK Equity","CUR_MKT_CAP",Database!$H457,Database!$H457),"")</f>
        <v/>
      </c>
      <c r="N457" s="180">
        <f>Database!Q457</f>
        <v/>
      </c>
      <c r="O457" s="24">
        <f>IFERROR(BDH(Database!$A457&amp;" HK Equity","PE_RATIO",Database!$H457,Database!$H457),"")</f>
        <v/>
      </c>
      <c r="P457" s="184">
        <f>IF(Database!BG457="","(n/m or not derivable)",Database!BG457)</f>
        <v/>
      </c>
      <c r="Q457" s="24">
        <f>IF(Database!BM457="","",IFERROR(BDH(LEFT(Database!BM457,FIND(".",Database!BM457)-1)&amp;" CH Equity","PE_RATIO",Database!$H457,Database!$H457),""))</f>
        <v/>
      </c>
      <c r="R457" s="24">
        <f>IF(Database!BM457="","",IFERROR(BDH("HSAHP Index","PX_LAST",Database!$H457,Database!$H457),""))</f>
        <v/>
      </c>
      <c r="S457" s="24">
        <f>IFERROR(BDP(Database!$A457&amp;" HK Equity","PX_TO_SALES_RATIO"),"")</f>
        <v/>
      </c>
      <c r="T457" s="19">
        <f>IF(Database!BM457="","",IFERROR(BDP(LEFT(Database!BM457,FIND(".",Database!BM457)-1)&amp;" CH Equity","CUR_MKT_CAP"),""))</f>
        <v/>
      </c>
    </row>
    <row r="458">
      <c r="A458" s="17">
        <f>Database!A458&amp;"  "&amp;Database!B458</f>
        <v/>
      </c>
      <c r="B458" s="10">
        <f>IFERROR(INDEX(BDS(Database!$A458&amp;" HK Equity","EQUITY_OFFERINGS","array=t","endcol=1"),MATCH("IPO",BDS(Database!$A458&amp;" HK Equity","EQUITY_OFFERINGS","array=t","startcol=2","endcol=2"),0)),"")</f>
        <v/>
      </c>
      <c r="C458" s="186">
        <f>IF($B458="","",IFERROR(BDP($B458&amp;" Action","CP036"),""))</f>
        <v/>
      </c>
      <c r="D458" s="187">
        <f>Database!S458</f>
        <v/>
      </c>
      <c r="E458" s="186">
        <f>IF($B458="","",IFERROR(BDP($B458&amp;" Action","CP037"),""))</f>
        <v/>
      </c>
      <c r="F458" s="187">
        <f>Database!T458</f>
        <v/>
      </c>
      <c r="G458" s="186">
        <f>IF($B458="","",IFERROR(BDP($B458&amp;" Action","GREENSHOE_FACILITY"),""))</f>
        <v/>
      </c>
      <c r="H458" s="186">
        <f>IF($B458="","",IFERROR(BDP($B458&amp;" Action","OFFERING_GREENSHOE_SHARES_EX"),""))</f>
        <v/>
      </c>
      <c r="I458" s="17">
        <f>Database!AE458</f>
        <v/>
      </c>
      <c r="J458" s="24">
        <f>IFERROR(BDP(Database!$A458&amp;" HK Equity","PE_RATIO"),"")</f>
        <v/>
      </c>
      <c r="K458" s="10">
        <f>IFERROR(BDP(Database!$A458&amp;" HK Equity","A/H_SHARE_CONVERSION"),"")</f>
        <v/>
      </c>
      <c r="L458" s="17">
        <f>IF(Database!BM458="","(none found)",Database!BM458)</f>
        <v/>
      </c>
      <c r="M458" s="19">
        <f>IFERROR(BDH(Database!$A458&amp;" HK Equity","CUR_MKT_CAP",Database!$H458,Database!$H458),"")</f>
        <v/>
      </c>
      <c r="N458" s="180">
        <f>Database!Q458</f>
        <v/>
      </c>
      <c r="O458" s="24">
        <f>IFERROR(BDH(Database!$A458&amp;" HK Equity","PE_RATIO",Database!$H458,Database!$H458),"")</f>
        <v/>
      </c>
      <c r="P458" s="184">
        <f>IF(Database!BG458="","(n/m or not derivable)",Database!BG458)</f>
        <v/>
      </c>
      <c r="Q458" s="24">
        <f>IF(Database!BM458="","",IFERROR(BDH(LEFT(Database!BM458,FIND(".",Database!BM458)-1)&amp;" CH Equity","PE_RATIO",Database!$H458,Database!$H458),""))</f>
        <v/>
      </c>
      <c r="R458" s="24">
        <f>IF(Database!BM458="","",IFERROR(BDH("HSAHP Index","PX_LAST",Database!$H458,Database!$H458),""))</f>
        <v/>
      </c>
      <c r="S458" s="24">
        <f>IFERROR(BDP(Database!$A458&amp;" HK Equity","PX_TO_SALES_RATIO"),"")</f>
        <v/>
      </c>
      <c r="T458" s="19">
        <f>IF(Database!BM458="","",IFERROR(BDP(LEFT(Database!BM458,FIND(".",Database!BM458)-1)&amp;" CH Equity","CUR_MKT_CAP"),""))</f>
        <v/>
      </c>
    </row>
    <row r="459">
      <c r="A459" s="17">
        <f>Database!A459&amp;"  "&amp;Database!B459</f>
        <v/>
      </c>
      <c r="B459" s="10">
        <f>IFERROR(INDEX(BDS(Database!$A459&amp;" HK Equity","EQUITY_OFFERINGS","array=t","endcol=1"),MATCH("IPO",BDS(Database!$A459&amp;" HK Equity","EQUITY_OFFERINGS","array=t","startcol=2","endcol=2"),0)),"")</f>
        <v/>
      </c>
      <c r="C459" s="186">
        <f>IF($B459="","",IFERROR(BDP($B459&amp;" Action","CP036"),""))</f>
        <v/>
      </c>
      <c r="D459" s="187">
        <f>Database!S459</f>
        <v/>
      </c>
      <c r="E459" s="186">
        <f>IF($B459="","",IFERROR(BDP($B459&amp;" Action","CP037"),""))</f>
        <v/>
      </c>
      <c r="F459" s="187">
        <f>Database!T459</f>
        <v/>
      </c>
      <c r="G459" s="186">
        <f>IF($B459="","",IFERROR(BDP($B459&amp;" Action","GREENSHOE_FACILITY"),""))</f>
        <v/>
      </c>
      <c r="H459" s="186">
        <f>IF($B459="","",IFERROR(BDP($B459&amp;" Action","OFFERING_GREENSHOE_SHARES_EX"),""))</f>
        <v/>
      </c>
      <c r="I459" s="17">
        <f>Database!AE459</f>
        <v/>
      </c>
      <c r="J459" s="24">
        <f>IFERROR(BDP(Database!$A459&amp;" HK Equity","PE_RATIO"),"")</f>
        <v/>
      </c>
      <c r="K459" s="10">
        <f>IFERROR(BDP(Database!$A459&amp;" HK Equity","A/H_SHARE_CONVERSION"),"")</f>
        <v/>
      </c>
      <c r="L459" s="17">
        <f>IF(Database!BM459="","(none found)",Database!BM459)</f>
        <v/>
      </c>
      <c r="M459" s="19">
        <f>IFERROR(BDH(Database!$A459&amp;" HK Equity","CUR_MKT_CAP",Database!$H459,Database!$H459),"")</f>
        <v/>
      </c>
      <c r="N459" s="180">
        <f>Database!Q459</f>
        <v/>
      </c>
      <c r="O459" s="24">
        <f>IFERROR(BDH(Database!$A459&amp;" HK Equity","PE_RATIO",Database!$H459,Database!$H459),"")</f>
        <v/>
      </c>
      <c r="P459" s="184">
        <f>IF(Database!BG459="","(n/m or not derivable)",Database!BG459)</f>
        <v/>
      </c>
      <c r="Q459" s="24">
        <f>IF(Database!BM459="","",IFERROR(BDH(LEFT(Database!BM459,FIND(".",Database!BM459)-1)&amp;" CH Equity","PE_RATIO",Database!$H459,Database!$H459),""))</f>
        <v/>
      </c>
      <c r="R459" s="24">
        <f>IF(Database!BM459="","",IFERROR(BDH("HSAHP Index","PX_LAST",Database!$H459,Database!$H459),""))</f>
        <v/>
      </c>
      <c r="S459" s="24">
        <f>IFERROR(BDP(Database!$A459&amp;" HK Equity","PX_TO_SALES_RATIO"),"")</f>
        <v/>
      </c>
      <c r="T459" s="19">
        <f>IF(Database!BM459="","",IFERROR(BDP(LEFT(Database!BM459,FIND(".",Database!BM459)-1)&amp;" CH Equity","CUR_MKT_CAP"),""))</f>
        <v/>
      </c>
    </row>
    <row r="460">
      <c r="A460" s="17">
        <f>Database!A460&amp;"  "&amp;Database!B460</f>
        <v/>
      </c>
      <c r="B460" s="10">
        <f>IFERROR(INDEX(BDS(Database!$A460&amp;" HK Equity","EQUITY_OFFERINGS","array=t","endcol=1"),MATCH("IPO",BDS(Database!$A460&amp;" HK Equity","EQUITY_OFFERINGS","array=t","startcol=2","endcol=2"),0)),"")</f>
        <v/>
      </c>
      <c r="C460" s="186">
        <f>IF($B460="","",IFERROR(BDP($B460&amp;" Action","CP036"),""))</f>
        <v/>
      </c>
      <c r="D460" s="187">
        <f>Database!S460</f>
        <v/>
      </c>
      <c r="E460" s="186">
        <f>IF($B460="","",IFERROR(BDP($B460&amp;" Action","CP037"),""))</f>
        <v/>
      </c>
      <c r="F460" s="187">
        <f>Database!T460</f>
        <v/>
      </c>
      <c r="G460" s="186">
        <f>IF($B460="","",IFERROR(BDP($B460&amp;" Action","GREENSHOE_FACILITY"),""))</f>
        <v/>
      </c>
      <c r="H460" s="186">
        <f>IF($B460="","",IFERROR(BDP($B460&amp;" Action","OFFERING_GREENSHOE_SHARES_EX"),""))</f>
        <v/>
      </c>
      <c r="I460" s="17">
        <f>Database!AE460</f>
        <v/>
      </c>
      <c r="J460" s="24">
        <f>IFERROR(BDP(Database!$A460&amp;" HK Equity","PE_RATIO"),"")</f>
        <v/>
      </c>
      <c r="K460" s="10">
        <f>IFERROR(BDP(Database!$A460&amp;" HK Equity","A/H_SHARE_CONVERSION"),"")</f>
        <v/>
      </c>
      <c r="L460" s="17">
        <f>IF(Database!BM460="","(none found)",Database!BM460)</f>
        <v/>
      </c>
      <c r="M460" s="19">
        <f>IFERROR(BDH(Database!$A460&amp;" HK Equity","CUR_MKT_CAP",Database!$H460,Database!$H460),"")</f>
        <v/>
      </c>
      <c r="N460" s="180">
        <f>Database!Q460</f>
        <v/>
      </c>
      <c r="O460" s="24">
        <f>IFERROR(BDH(Database!$A460&amp;" HK Equity","PE_RATIO",Database!$H460,Database!$H460),"")</f>
        <v/>
      </c>
      <c r="P460" s="184">
        <f>IF(Database!BG460="","(n/m or not derivable)",Database!BG460)</f>
        <v/>
      </c>
      <c r="Q460" s="24">
        <f>IF(Database!BM460="","",IFERROR(BDH(LEFT(Database!BM460,FIND(".",Database!BM460)-1)&amp;" CH Equity","PE_RATIO",Database!$H460,Database!$H460),""))</f>
        <v/>
      </c>
      <c r="R460" s="24">
        <f>IF(Database!BM460="","",IFERROR(BDH("HSAHP Index","PX_LAST",Database!$H460,Database!$H460),""))</f>
        <v/>
      </c>
      <c r="S460" s="24">
        <f>IFERROR(BDP(Database!$A460&amp;" HK Equity","PX_TO_SALES_RATIO"),"")</f>
        <v/>
      </c>
      <c r="T460" s="19">
        <f>IF(Database!BM460="","",IFERROR(BDP(LEFT(Database!BM460,FIND(".",Database!BM460)-1)&amp;" CH Equity","CUR_MKT_CAP"),""))</f>
        <v/>
      </c>
    </row>
    <row r="461">
      <c r="A461" s="17">
        <f>Database!A461&amp;"  "&amp;Database!B461</f>
        <v/>
      </c>
      <c r="B461" s="10">
        <f>IFERROR(INDEX(BDS(Database!$A461&amp;" HK Equity","EQUITY_OFFERINGS","array=t","endcol=1"),MATCH("IPO",BDS(Database!$A461&amp;" HK Equity","EQUITY_OFFERINGS","array=t","startcol=2","endcol=2"),0)),"")</f>
        <v/>
      </c>
      <c r="C461" s="186">
        <f>IF($B461="","",IFERROR(BDP($B461&amp;" Action","CP036"),""))</f>
        <v/>
      </c>
      <c r="D461" s="187">
        <f>Database!S461</f>
        <v/>
      </c>
      <c r="E461" s="186">
        <f>IF($B461="","",IFERROR(BDP($B461&amp;" Action","CP037"),""))</f>
        <v/>
      </c>
      <c r="F461" s="187">
        <f>Database!T461</f>
        <v/>
      </c>
      <c r="G461" s="186">
        <f>IF($B461="","",IFERROR(BDP($B461&amp;" Action","GREENSHOE_FACILITY"),""))</f>
        <v/>
      </c>
      <c r="H461" s="186">
        <f>IF($B461="","",IFERROR(BDP($B461&amp;" Action","OFFERING_GREENSHOE_SHARES_EX"),""))</f>
        <v/>
      </c>
      <c r="I461" s="17">
        <f>Database!AE461</f>
        <v/>
      </c>
      <c r="J461" s="24">
        <f>IFERROR(BDP(Database!$A461&amp;" HK Equity","PE_RATIO"),"")</f>
        <v/>
      </c>
      <c r="K461" s="10">
        <f>IFERROR(BDP(Database!$A461&amp;" HK Equity","A/H_SHARE_CONVERSION"),"")</f>
        <v/>
      </c>
      <c r="L461" s="17">
        <f>IF(Database!BM461="","(none found)",Database!BM461)</f>
        <v/>
      </c>
      <c r="M461" s="19">
        <f>IFERROR(BDH(Database!$A461&amp;" HK Equity","CUR_MKT_CAP",Database!$H461,Database!$H461),"")</f>
        <v/>
      </c>
      <c r="N461" s="180">
        <f>Database!Q461</f>
        <v/>
      </c>
      <c r="O461" s="24">
        <f>IFERROR(BDH(Database!$A461&amp;" HK Equity","PE_RATIO",Database!$H461,Database!$H461),"")</f>
        <v/>
      </c>
      <c r="P461" s="184">
        <f>IF(Database!BG461="","(n/m or not derivable)",Database!BG461)</f>
        <v/>
      </c>
      <c r="Q461" s="24">
        <f>IF(Database!BM461="","",IFERROR(BDH(LEFT(Database!BM461,FIND(".",Database!BM461)-1)&amp;" CH Equity","PE_RATIO",Database!$H461,Database!$H461),""))</f>
        <v/>
      </c>
      <c r="R461" s="24">
        <f>IF(Database!BM461="","",IFERROR(BDH("HSAHP Index","PX_LAST",Database!$H461,Database!$H461),""))</f>
        <v/>
      </c>
      <c r="S461" s="24">
        <f>IFERROR(BDP(Database!$A461&amp;" HK Equity","PX_TO_SALES_RATIO"),"")</f>
        <v/>
      </c>
      <c r="T461" s="19">
        <f>IF(Database!BM461="","",IFERROR(BDP(LEFT(Database!BM461,FIND(".",Database!BM461)-1)&amp;" CH Equity","CUR_MKT_CAP"),""))</f>
        <v/>
      </c>
    </row>
    <row r="462">
      <c r="A462" s="17">
        <f>Database!A462&amp;"  "&amp;Database!B462</f>
        <v/>
      </c>
      <c r="B462" s="10">
        <f>IFERROR(INDEX(BDS(Database!$A462&amp;" HK Equity","EQUITY_OFFERINGS","array=t","endcol=1"),MATCH("IPO",BDS(Database!$A462&amp;" HK Equity","EQUITY_OFFERINGS","array=t","startcol=2","endcol=2"),0)),"")</f>
        <v/>
      </c>
      <c r="C462" s="186">
        <f>IF($B462="","",IFERROR(BDP($B462&amp;" Action","CP036"),""))</f>
        <v/>
      </c>
      <c r="D462" s="187">
        <f>Database!S462</f>
        <v/>
      </c>
      <c r="E462" s="186">
        <f>IF($B462="","",IFERROR(BDP($B462&amp;" Action","CP037"),""))</f>
        <v/>
      </c>
      <c r="F462" s="187">
        <f>Database!T462</f>
        <v/>
      </c>
      <c r="G462" s="186">
        <f>IF($B462="","",IFERROR(BDP($B462&amp;" Action","GREENSHOE_FACILITY"),""))</f>
        <v/>
      </c>
      <c r="H462" s="186">
        <f>IF($B462="","",IFERROR(BDP($B462&amp;" Action","OFFERING_GREENSHOE_SHARES_EX"),""))</f>
        <v/>
      </c>
      <c r="I462" s="17">
        <f>Database!AE462</f>
        <v/>
      </c>
      <c r="J462" s="24">
        <f>IFERROR(BDP(Database!$A462&amp;" HK Equity","PE_RATIO"),"")</f>
        <v/>
      </c>
      <c r="K462" s="10">
        <f>IFERROR(BDP(Database!$A462&amp;" HK Equity","A/H_SHARE_CONVERSION"),"")</f>
        <v/>
      </c>
      <c r="L462" s="17">
        <f>IF(Database!BM462="","(none found)",Database!BM462)</f>
        <v/>
      </c>
      <c r="M462" s="19">
        <f>IFERROR(BDH(Database!$A462&amp;" HK Equity","CUR_MKT_CAP",Database!$H462,Database!$H462),"")</f>
        <v/>
      </c>
      <c r="N462" s="180">
        <f>Database!Q462</f>
        <v/>
      </c>
      <c r="O462" s="24">
        <f>IFERROR(BDH(Database!$A462&amp;" HK Equity","PE_RATIO",Database!$H462,Database!$H462),"")</f>
        <v/>
      </c>
      <c r="P462" s="184">
        <f>IF(Database!BG462="","(n/m or not derivable)",Database!BG462)</f>
        <v/>
      </c>
      <c r="Q462" s="24">
        <f>IF(Database!BM462="","",IFERROR(BDH(LEFT(Database!BM462,FIND(".",Database!BM462)-1)&amp;" CH Equity","PE_RATIO",Database!$H462,Database!$H462),""))</f>
        <v/>
      </c>
      <c r="R462" s="24">
        <f>IF(Database!BM462="","",IFERROR(BDH("HSAHP Index","PX_LAST",Database!$H462,Database!$H462),""))</f>
        <v/>
      </c>
      <c r="S462" s="24">
        <f>IFERROR(BDP(Database!$A462&amp;" HK Equity","PX_TO_SALES_RATIO"),"")</f>
        <v/>
      </c>
      <c r="T462" s="19">
        <f>IF(Database!BM462="","",IFERROR(BDP(LEFT(Database!BM462,FIND(".",Database!BM462)-1)&amp;" CH Equity","CUR_MKT_CAP"),""))</f>
        <v/>
      </c>
    </row>
    <row r="463">
      <c r="A463" s="17">
        <f>Database!A463&amp;"  "&amp;Database!B463</f>
        <v/>
      </c>
      <c r="B463" s="10">
        <f>IFERROR(INDEX(BDS(Database!$A463&amp;" HK Equity","EQUITY_OFFERINGS","array=t","endcol=1"),MATCH("IPO",BDS(Database!$A463&amp;" HK Equity","EQUITY_OFFERINGS","array=t","startcol=2","endcol=2"),0)),"")</f>
        <v/>
      </c>
      <c r="C463" s="186">
        <f>IF($B463="","",IFERROR(BDP($B463&amp;" Action","CP036"),""))</f>
        <v/>
      </c>
      <c r="D463" s="187">
        <f>Database!S463</f>
        <v/>
      </c>
      <c r="E463" s="186">
        <f>IF($B463="","",IFERROR(BDP($B463&amp;" Action","CP037"),""))</f>
        <v/>
      </c>
      <c r="F463" s="187">
        <f>Database!T463</f>
        <v/>
      </c>
      <c r="G463" s="186">
        <f>IF($B463="","",IFERROR(BDP($B463&amp;" Action","GREENSHOE_FACILITY"),""))</f>
        <v/>
      </c>
      <c r="H463" s="186">
        <f>IF($B463="","",IFERROR(BDP($B463&amp;" Action","OFFERING_GREENSHOE_SHARES_EX"),""))</f>
        <v/>
      </c>
      <c r="I463" s="17">
        <f>Database!AE463</f>
        <v/>
      </c>
      <c r="J463" s="24">
        <f>IFERROR(BDP(Database!$A463&amp;" HK Equity","PE_RATIO"),"")</f>
        <v/>
      </c>
      <c r="K463" s="10">
        <f>IFERROR(BDP(Database!$A463&amp;" HK Equity","A/H_SHARE_CONVERSION"),"")</f>
        <v/>
      </c>
      <c r="L463" s="17">
        <f>IF(Database!BM463="","(none found)",Database!BM463)</f>
        <v/>
      </c>
      <c r="M463" s="19">
        <f>IFERROR(BDH(Database!$A463&amp;" HK Equity","CUR_MKT_CAP",Database!$H463,Database!$H463),"")</f>
        <v/>
      </c>
      <c r="N463" s="180">
        <f>Database!Q463</f>
        <v/>
      </c>
      <c r="O463" s="24">
        <f>IFERROR(BDH(Database!$A463&amp;" HK Equity","PE_RATIO",Database!$H463,Database!$H463),"")</f>
        <v/>
      </c>
      <c r="P463" s="184">
        <f>IF(Database!BG463="","(n/m or not derivable)",Database!BG463)</f>
        <v/>
      </c>
      <c r="Q463" s="24">
        <f>IF(Database!BM463="","",IFERROR(BDH(LEFT(Database!BM463,FIND(".",Database!BM463)-1)&amp;" CH Equity","PE_RATIO",Database!$H463,Database!$H463),""))</f>
        <v/>
      </c>
      <c r="R463" s="24">
        <f>IF(Database!BM463="","",IFERROR(BDH("HSAHP Index","PX_LAST",Database!$H463,Database!$H463),""))</f>
        <v/>
      </c>
      <c r="S463" s="24">
        <f>IFERROR(BDP(Database!$A463&amp;" HK Equity","PX_TO_SALES_RATIO"),"")</f>
        <v/>
      </c>
      <c r="T463" s="19">
        <f>IF(Database!BM463="","",IFERROR(BDP(LEFT(Database!BM463,FIND(".",Database!BM463)-1)&amp;" CH Equity","CUR_MKT_CAP"),""))</f>
        <v/>
      </c>
    </row>
    <row r="464">
      <c r="A464" s="17">
        <f>Database!A464&amp;"  "&amp;Database!B464</f>
        <v/>
      </c>
      <c r="B464" s="10">
        <f>IFERROR(INDEX(BDS(Database!$A464&amp;" HK Equity","EQUITY_OFFERINGS","array=t","endcol=1"),MATCH("IPO",BDS(Database!$A464&amp;" HK Equity","EQUITY_OFFERINGS","array=t","startcol=2","endcol=2"),0)),"")</f>
        <v/>
      </c>
      <c r="C464" s="186">
        <f>IF($B464="","",IFERROR(BDP($B464&amp;" Action","CP036"),""))</f>
        <v/>
      </c>
      <c r="D464" s="187">
        <f>Database!S464</f>
        <v/>
      </c>
      <c r="E464" s="186">
        <f>IF($B464="","",IFERROR(BDP($B464&amp;" Action","CP037"),""))</f>
        <v/>
      </c>
      <c r="F464" s="187">
        <f>Database!T464</f>
        <v/>
      </c>
      <c r="G464" s="186">
        <f>IF($B464="","",IFERROR(BDP($B464&amp;" Action","GREENSHOE_FACILITY"),""))</f>
        <v/>
      </c>
      <c r="H464" s="186">
        <f>IF($B464="","",IFERROR(BDP($B464&amp;" Action","OFFERING_GREENSHOE_SHARES_EX"),""))</f>
        <v/>
      </c>
      <c r="I464" s="17">
        <f>Database!AE464</f>
        <v/>
      </c>
      <c r="J464" s="24">
        <f>IFERROR(BDP(Database!$A464&amp;" HK Equity","PE_RATIO"),"")</f>
        <v/>
      </c>
      <c r="K464" s="10">
        <f>IFERROR(BDP(Database!$A464&amp;" HK Equity","A/H_SHARE_CONVERSION"),"")</f>
        <v/>
      </c>
      <c r="L464" s="17">
        <f>IF(Database!BM464="","(none found)",Database!BM464)</f>
        <v/>
      </c>
      <c r="M464" s="19">
        <f>IFERROR(BDH(Database!$A464&amp;" HK Equity","CUR_MKT_CAP",Database!$H464,Database!$H464),"")</f>
        <v/>
      </c>
      <c r="N464" s="180">
        <f>Database!Q464</f>
        <v/>
      </c>
      <c r="O464" s="24">
        <f>IFERROR(BDH(Database!$A464&amp;" HK Equity","PE_RATIO",Database!$H464,Database!$H464),"")</f>
        <v/>
      </c>
      <c r="P464" s="184">
        <f>IF(Database!BG464="","(n/m or not derivable)",Database!BG464)</f>
        <v/>
      </c>
      <c r="Q464" s="24">
        <f>IF(Database!BM464="","",IFERROR(BDH(LEFT(Database!BM464,FIND(".",Database!BM464)-1)&amp;" CH Equity","PE_RATIO",Database!$H464,Database!$H464),""))</f>
        <v/>
      </c>
      <c r="R464" s="24">
        <f>IF(Database!BM464="","",IFERROR(BDH("HSAHP Index","PX_LAST",Database!$H464,Database!$H464),""))</f>
        <v/>
      </c>
      <c r="S464" s="24">
        <f>IFERROR(BDP(Database!$A464&amp;" HK Equity","PX_TO_SALES_RATIO"),"")</f>
        <v/>
      </c>
      <c r="T464" s="19">
        <f>IF(Database!BM464="","",IFERROR(BDP(LEFT(Database!BM464,FIND(".",Database!BM464)-1)&amp;" CH Equity","CUR_MKT_CAP"),""))</f>
        <v/>
      </c>
    </row>
    <row r="465">
      <c r="A465" s="17">
        <f>Database!A465&amp;"  "&amp;Database!B465</f>
        <v/>
      </c>
      <c r="B465" s="10">
        <f>IFERROR(INDEX(BDS(Database!$A465&amp;" HK Equity","EQUITY_OFFERINGS","array=t","endcol=1"),MATCH("IPO",BDS(Database!$A465&amp;" HK Equity","EQUITY_OFFERINGS","array=t","startcol=2","endcol=2"),0)),"")</f>
        <v/>
      </c>
      <c r="C465" s="186">
        <f>IF($B465="","",IFERROR(BDP($B465&amp;" Action","CP036"),""))</f>
        <v/>
      </c>
      <c r="D465" s="187">
        <f>Database!S465</f>
        <v/>
      </c>
      <c r="E465" s="186">
        <f>IF($B465="","",IFERROR(BDP($B465&amp;" Action","CP037"),""))</f>
        <v/>
      </c>
      <c r="F465" s="187">
        <f>Database!T465</f>
        <v/>
      </c>
      <c r="G465" s="186">
        <f>IF($B465="","",IFERROR(BDP($B465&amp;" Action","GREENSHOE_FACILITY"),""))</f>
        <v/>
      </c>
      <c r="H465" s="186">
        <f>IF($B465="","",IFERROR(BDP($B465&amp;" Action","OFFERING_GREENSHOE_SHARES_EX"),""))</f>
        <v/>
      </c>
      <c r="I465" s="17">
        <f>Database!AE465</f>
        <v/>
      </c>
      <c r="J465" s="24">
        <f>IFERROR(BDP(Database!$A465&amp;" HK Equity","PE_RATIO"),"")</f>
        <v/>
      </c>
      <c r="K465" s="10">
        <f>IFERROR(BDP(Database!$A465&amp;" HK Equity","A/H_SHARE_CONVERSION"),"")</f>
        <v/>
      </c>
      <c r="L465" s="17">
        <f>IF(Database!BM465="","(none found)",Database!BM465)</f>
        <v/>
      </c>
      <c r="M465" s="19">
        <f>IFERROR(BDH(Database!$A465&amp;" HK Equity","CUR_MKT_CAP",Database!$H465,Database!$H465),"")</f>
        <v/>
      </c>
      <c r="N465" s="180">
        <f>Database!Q465</f>
        <v/>
      </c>
      <c r="O465" s="24">
        <f>IFERROR(BDH(Database!$A465&amp;" HK Equity","PE_RATIO",Database!$H465,Database!$H465),"")</f>
        <v/>
      </c>
      <c r="P465" s="184">
        <f>IF(Database!BG465="","(n/m or not derivable)",Database!BG465)</f>
        <v/>
      </c>
      <c r="Q465" s="24">
        <f>IF(Database!BM465="","",IFERROR(BDH(LEFT(Database!BM465,FIND(".",Database!BM465)-1)&amp;" CH Equity","PE_RATIO",Database!$H465,Database!$H465),""))</f>
        <v/>
      </c>
      <c r="R465" s="24">
        <f>IF(Database!BM465="","",IFERROR(BDH("HSAHP Index","PX_LAST",Database!$H465,Database!$H465),""))</f>
        <v/>
      </c>
      <c r="S465" s="24">
        <f>IFERROR(BDP(Database!$A465&amp;" HK Equity","PX_TO_SALES_RATIO"),"")</f>
        <v/>
      </c>
      <c r="T465" s="19">
        <f>IF(Database!BM465="","",IFERROR(BDP(LEFT(Database!BM465,FIND(".",Database!BM465)-1)&amp;" CH Equity","CUR_MKT_CAP"),""))</f>
        <v/>
      </c>
    </row>
    <row r="466">
      <c r="A466" s="17">
        <f>Database!A466&amp;"  "&amp;Database!B466</f>
        <v/>
      </c>
      <c r="B466" s="10">
        <f>IFERROR(INDEX(BDS(Database!$A466&amp;" HK Equity","EQUITY_OFFERINGS","array=t","endcol=1"),MATCH("IPO",BDS(Database!$A466&amp;" HK Equity","EQUITY_OFFERINGS","array=t","startcol=2","endcol=2"),0)),"")</f>
        <v/>
      </c>
      <c r="C466" s="186">
        <f>IF($B466="","",IFERROR(BDP($B466&amp;" Action","CP036"),""))</f>
        <v/>
      </c>
      <c r="D466" s="187">
        <f>Database!S466</f>
        <v/>
      </c>
      <c r="E466" s="186">
        <f>IF($B466="","",IFERROR(BDP($B466&amp;" Action","CP037"),""))</f>
        <v/>
      </c>
      <c r="F466" s="187">
        <f>Database!T466</f>
        <v/>
      </c>
      <c r="G466" s="186">
        <f>IF($B466="","",IFERROR(BDP($B466&amp;" Action","GREENSHOE_FACILITY"),""))</f>
        <v/>
      </c>
      <c r="H466" s="186">
        <f>IF($B466="","",IFERROR(BDP($B466&amp;" Action","OFFERING_GREENSHOE_SHARES_EX"),""))</f>
        <v/>
      </c>
      <c r="I466" s="17">
        <f>Database!AE466</f>
        <v/>
      </c>
      <c r="J466" s="24">
        <f>IFERROR(BDP(Database!$A466&amp;" HK Equity","PE_RATIO"),"")</f>
        <v/>
      </c>
      <c r="K466" s="10">
        <f>IFERROR(BDP(Database!$A466&amp;" HK Equity","A/H_SHARE_CONVERSION"),"")</f>
        <v/>
      </c>
      <c r="L466" s="17">
        <f>IF(Database!BM466="","(none found)",Database!BM466)</f>
        <v/>
      </c>
      <c r="M466" s="19">
        <f>IFERROR(BDH(Database!$A466&amp;" HK Equity","CUR_MKT_CAP",Database!$H466,Database!$H466),"")</f>
        <v/>
      </c>
      <c r="N466" s="180">
        <f>Database!Q466</f>
        <v/>
      </c>
      <c r="O466" s="24">
        <f>IFERROR(BDH(Database!$A466&amp;" HK Equity","PE_RATIO",Database!$H466,Database!$H466),"")</f>
        <v/>
      </c>
      <c r="P466" s="184">
        <f>IF(Database!BG466="","(n/m or not derivable)",Database!BG466)</f>
        <v/>
      </c>
      <c r="Q466" s="24">
        <f>IF(Database!BM466="","",IFERROR(BDH(LEFT(Database!BM466,FIND(".",Database!BM466)-1)&amp;" CH Equity","PE_RATIO",Database!$H466,Database!$H466),""))</f>
        <v/>
      </c>
      <c r="R466" s="24">
        <f>IF(Database!BM466="","",IFERROR(BDH("HSAHP Index","PX_LAST",Database!$H466,Database!$H466),""))</f>
        <v/>
      </c>
      <c r="S466" s="24">
        <f>IFERROR(BDP(Database!$A466&amp;" HK Equity","PX_TO_SALES_RATIO"),"")</f>
        <v/>
      </c>
      <c r="T466" s="19">
        <f>IF(Database!BM466="","",IFERROR(BDP(LEFT(Database!BM466,FIND(".",Database!BM466)-1)&amp;" CH Equity","CUR_MKT_CAP"),""))</f>
        <v/>
      </c>
    </row>
    <row r="467">
      <c r="A467" s="17">
        <f>Database!A467&amp;"  "&amp;Database!B467</f>
        <v/>
      </c>
      <c r="B467" s="10">
        <f>IFERROR(INDEX(BDS(Database!$A467&amp;" HK Equity","EQUITY_OFFERINGS","array=t","endcol=1"),MATCH("IPO",BDS(Database!$A467&amp;" HK Equity","EQUITY_OFFERINGS","array=t","startcol=2","endcol=2"),0)),"")</f>
        <v/>
      </c>
      <c r="C467" s="186">
        <f>IF($B467="","",IFERROR(BDP($B467&amp;" Action","CP036"),""))</f>
        <v/>
      </c>
      <c r="D467" s="187">
        <f>Database!S467</f>
        <v/>
      </c>
      <c r="E467" s="186">
        <f>IF($B467="","",IFERROR(BDP($B467&amp;" Action","CP037"),""))</f>
        <v/>
      </c>
      <c r="F467" s="187">
        <f>Database!T467</f>
        <v/>
      </c>
      <c r="G467" s="186">
        <f>IF($B467="","",IFERROR(BDP($B467&amp;" Action","GREENSHOE_FACILITY"),""))</f>
        <v/>
      </c>
      <c r="H467" s="186">
        <f>IF($B467="","",IFERROR(BDP($B467&amp;" Action","OFFERING_GREENSHOE_SHARES_EX"),""))</f>
        <v/>
      </c>
      <c r="I467" s="17">
        <f>Database!AE467</f>
        <v/>
      </c>
      <c r="J467" s="24">
        <f>IFERROR(BDP(Database!$A467&amp;" HK Equity","PE_RATIO"),"")</f>
        <v/>
      </c>
      <c r="K467" s="10">
        <f>IFERROR(BDP(Database!$A467&amp;" HK Equity","A/H_SHARE_CONVERSION"),"")</f>
        <v/>
      </c>
      <c r="L467" s="17">
        <f>IF(Database!BM467="","(none found)",Database!BM467)</f>
        <v/>
      </c>
      <c r="M467" s="19">
        <f>IFERROR(BDH(Database!$A467&amp;" HK Equity","CUR_MKT_CAP",Database!$H467,Database!$H467),"")</f>
        <v/>
      </c>
      <c r="N467" s="180">
        <f>Database!Q467</f>
        <v/>
      </c>
      <c r="O467" s="24">
        <f>IFERROR(BDH(Database!$A467&amp;" HK Equity","PE_RATIO",Database!$H467,Database!$H467),"")</f>
        <v/>
      </c>
      <c r="P467" s="184">
        <f>IF(Database!BG467="","(n/m or not derivable)",Database!BG467)</f>
        <v/>
      </c>
      <c r="Q467" s="24">
        <f>IF(Database!BM467="","",IFERROR(BDH(LEFT(Database!BM467,FIND(".",Database!BM467)-1)&amp;" CH Equity","PE_RATIO",Database!$H467,Database!$H467),""))</f>
        <v/>
      </c>
      <c r="R467" s="24">
        <f>IF(Database!BM467="","",IFERROR(BDH("HSAHP Index","PX_LAST",Database!$H467,Database!$H467),""))</f>
        <v/>
      </c>
      <c r="S467" s="24">
        <f>IFERROR(BDP(Database!$A467&amp;" HK Equity","PX_TO_SALES_RATIO"),"")</f>
        <v/>
      </c>
      <c r="T467" s="19">
        <f>IF(Database!BM467="","",IFERROR(BDP(LEFT(Database!BM467,FIND(".",Database!BM467)-1)&amp;" CH Equity","CUR_MKT_CAP"),""))</f>
        <v/>
      </c>
    </row>
    <row r="468">
      <c r="A468" s="17">
        <f>Database!A468&amp;"  "&amp;Database!B468</f>
        <v/>
      </c>
      <c r="B468" s="10">
        <f>IFERROR(INDEX(BDS(Database!$A468&amp;" HK Equity","EQUITY_OFFERINGS","array=t","endcol=1"),MATCH("IPO",BDS(Database!$A468&amp;" HK Equity","EQUITY_OFFERINGS","array=t","startcol=2","endcol=2"),0)),"")</f>
        <v/>
      </c>
      <c r="C468" s="186">
        <f>IF($B468="","",IFERROR(BDP($B468&amp;" Action","CP036"),""))</f>
        <v/>
      </c>
      <c r="D468" s="187">
        <f>Database!S468</f>
        <v/>
      </c>
      <c r="E468" s="186">
        <f>IF($B468="","",IFERROR(BDP($B468&amp;" Action","CP037"),""))</f>
        <v/>
      </c>
      <c r="F468" s="187">
        <f>Database!T468</f>
        <v/>
      </c>
      <c r="G468" s="186">
        <f>IF($B468="","",IFERROR(BDP($B468&amp;" Action","GREENSHOE_FACILITY"),""))</f>
        <v/>
      </c>
      <c r="H468" s="186">
        <f>IF($B468="","",IFERROR(BDP($B468&amp;" Action","OFFERING_GREENSHOE_SHARES_EX"),""))</f>
        <v/>
      </c>
      <c r="I468" s="17">
        <f>Database!AE468</f>
        <v/>
      </c>
      <c r="J468" s="24">
        <f>IFERROR(BDP(Database!$A468&amp;" HK Equity","PE_RATIO"),"")</f>
        <v/>
      </c>
      <c r="K468" s="10">
        <f>IFERROR(BDP(Database!$A468&amp;" HK Equity","A/H_SHARE_CONVERSION"),"")</f>
        <v/>
      </c>
      <c r="L468" s="17">
        <f>IF(Database!BM468="","(none found)",Database!BM468)</f>
        <v/>
      </c>
      <c r="M468" s="19">
        <f>IFERROR(BDH(Database!$A468&amp;" HK Equity","CUR_MKT_CAP",Database!$H468,Database!$H468),"")</f>
        <v/>
      </c>
      <c r="N468" s="180">
        <f>Database!Q468</f>
        <v/>
      </c>
      <c r="O468" s="24">
        <f>IFERROR(BDH(Database!$A468&amp;" HK Equity","PE_RATIO",Database!$H468,Database!$H468),"")</f>
        <v/>
      </c>
      <c r="P468" s="184">
        <f>IF(Database!BG468="","(n/m or not derivable)",Database!BG468)</f>
        <v/>
      </c>
      <c r="Q468" s="24">
        <f>IF(Database!BM468="","",IFERROR(BDH(LEFT(Database!BM468,FIND(".",Database!BM468)-1)&amp;" CH Equity","PE_RATIO",Database!$H468,Database!$H468),""))</f>
        <v/>
      </c>
      <c r="R468" s="24">
        <f>IF(Database!BM468="","",IFERROR(BDH("HSAHP Index","PX_LAST",Database!$H468,Database!$H468),""))</f>
        <v/>
      </c>
      <c r="S468" s="24">
        <f>IFERROR(BDP(Database!$A468&amp;" HK Equity","PX_TO_SALES_RATIO"),"")</f>
        <v/>
      </c>
      <c r="T468" s="19">
        <f>IF(Database!BM468="","",IFERROR(BDP(LEFT(Database!BM468,FIND(".",Database!BM468)-1)&amp;" CH Equity","CUR_MKT_CAP"),""))</f>
        <v/>
      </c>
    </row>
    <row r="469">
      <c r="A469" s="17">
        <f>Database!A469&amp;"  "&amp;Database!B469</f>
        <v/>
      </c>
      <c r="B469" s="10">
        <f>IFERROR(INDEX(BDS(Database!$A469&amp;" HK Equity","EQUITY_OFFERINGS","array=t","endcol=1"),MATCH("IPO",BDS(Database!$A469&amp;" HK Equity","EQUITY_OFFERINGS","array=t","startcol=2","endcol=2"),0)),"")</f>
        <v/>
      </c>
      <c r="C469" s="186">
        <f>IF($B469="","",IFERROR(BDP($B469&amp;" Action","CP036"),""))</f>
        <v/>
      </c>
      <c r="D469" s="187">
        <f>Database!S469</f>
        <v/>
      </c>
      <c r="E469" s="186">
        <f>IF($B469="","",IFERROR(BDP($B469&amp;" Action","CP037"),""))</f>
        <v/>
      </c>
      <c r="F469" s="187">
        <f>Database!T469</f>
        <v/>
      </c>
      <c r="G469" s="186">
        <f>IF($B469="","",IFERROR(BDP($B469&amp;" Action","GREENSHOE_FACILITY"),""))</f>
        <v/>
      </c>
      <c r="H469" s="186">
        <f>IF($B469="","",IFERROR(BDP($B469&amp;" Action","OFFERING_GREENSHOE_SHARES_EX"),""))</f>
        <v/>
      </c>
      <c r="I469" s="17">
        <f>Database!AE469</f>
        <v/>
      </c>
      <c r="J469" s="24">
        <f>IFERROR(BDP(Database!$A469&amp;" HK Equity","PE_RATIO"),"")</f>
        <v/>
      </c>
      <c r="K469" s="10">
        <f>IFERROR(BDP(Database!$A469&amp;" HK Equity","A/H_SHARE_CONVERSION"),"")</f>
        <v/>
      </c>
      <c r="L469" s="17">
        <f>IF(Database!BM469="","(none found)",Database!BM469)</f>
        <v/>
      </c>
      <c r="M469" s="19">
        <f>IFERROR(BDH(Database!$A469&amp;" HK Equity","CUR_MKT_CAP",Database!$H469,Database!$H469),"")</f>
        <v/>
      </c>
      <c r="N469" s="180">
        <f>Database!Q469</f>
        <v/>
      </c>
      <c r="O469" s="24">
        <f>IFERROR(BDH(Database!$A469&amp;" HK Equity","PE_RATIO",Database!$H469,Database!$H469),"")</f>
        <v/>
      </c>
      <c r="P469" s="184">
        <f>IF(Database!BG469="","(n/m or not derivable)",Database!BG469)</f>
        <v/>
      </c>
      <c r="Q469" s="24">
        <f>IF(Database!BM469="","",IFERROR(BDH(LEFT(Database!BM469,FIND(".",Database!BM469)-1)&amp;" CH Equity","PE_RATIO",Database!$H469,Database!$H469),""))</f>
        <v/>
      </c>
      <c r="R469" s="24">
        <f>IF(Database!BM469="","",IFERROR(BDH("HSAHP Index","PX_LAST",Database!$H469,Database!$H469),""))</f>
        <v/>
      </c>
      <c r="S469" s="24">
        <f>IFERROR(BDP(Database!$A469&amp;" HK Equity","PX_TO_SALES_RATIO"),"")</f>
        <v/>
      </c>
      <c r="T469" s="19">
        <f>IF(Database!BM469="","",IFERROR(BDP(LEFT(Database!BM469,FIND(".",Database!BM469)-1)&amp;" CH Equity","CUR_MKT_CAP"),""))</f>
        <v/>
      </c>
    </row>
    <row r="470">
      <c r="A470" s="17">
        <f>Database!A470&amp;"  "&amp;Database!B470</f>
        <v/>
      </c>
      <c r="B470" s="10">
        <f>IFERROR(INDEX(BDS(Database!$A470&amp;" HK Equity","EQUITY_OFFERINGS","array=t","endcol=1"),MATCH("IPO",BDS(Database!$A470&amp;" HK Equity","EQUITY_OFFERINGS","array=t","startcol=2","endcol=2"),0)),"")</f>
        <v/>
      </c>
      <c r="C470" s="186">
        <f>IF($B470="","",IFERROR(BDP($B470&amp;" Action","CP036"),""))</f>
        <v/>
      </c>
      <c r="D470" s="187">
        <f>Database!S470</f>
        <v/>
      </c>
      <c r="E470" s="186">
        <f>IF($B470="","",IFERROR(BDP($B470&amp;" Action","CP037"),""))</f>
        <v/>
      </c>
      <c r="F470" s="187">
        <f>Database!T470</f>
        <v/>
      </c>
      <c r="G470" s="186">
        <f>IF($B470="","",IFERROR(BDP($B470&amp;" Action","GREENSHOE_FACILITY"),""))</f>
        <v/>
      </c>
      <c r="H470" s="186">
        <f>IF($B470="","",IFERROR(BDP($B470&amp;" Action","OFFERING_GREENSHOE_SHARES_EX"),""))</f>
        <v/>
      </c>
      <c r="I470" s="17">
        <f>Database!AE470</f>
        <v/>
      </c>
      <c r="J470" s="24">
        <f>IFERROR(BDP(Database!$A470&amp;" HK Equity","PE_RATIO"),"")</f>
        <v/>
      </c>
      <c r="K470" s="10">
        <f>IFERROR(BDP(Database!$A470&amp;" HK Equity","A/H_SHARE_CONVERSION"),"")</f>
        <v/>
      </c>
      <c r="L470" s="17">
        <f>IF(Database!BM470="","(none found)",Database!BM470)</f>
        <v/>
      </c>
      <c r="M470" s="19">
        <f>IFERROR(BDH(Database!$A470&amp;" HK Equity","CUR_MKT_CAP",Database!$H470,Database!$H470),"")</f>
        <v/>
      </c>
      <c r="N470" s="180">
        <f>Database!Q470</f>
        <v/>
      </c>
      <c r="O470" s="24">
        <f>IFERROR(BDH(Database!$A470&amp;" HK Equity","PE_RATIO",Database!$H470,Database!$H470),"")</f>
        <v/>
      </c>
      <c r="P470" s="184">
        <f>IF(Database!BG470="","(n/m or not derivable)",Database!BG470)</f>
        <v/>
      </c>
      <c r="Q470" s="24">
        <f>IF(Database!BM470="","",IFERROR(BDH(LEFT(Database!BM470,FIND(".",Database!BM470)-1)&amp;" CH Equity","PE_RATIO",Database!$H470,Database!$H470),""))</f>
        <v/>
      </c>
      <c r="R470" s="24">
        <f>IF(Database!BM470="","",IFERROR(BDH("HSAHP Index","PX_LAST",Database!$H470,Database!$H470),""))</f>
        <v/>
      </c>
      <c r="S470" s="24">
        <f>IFERROR(BDP(Database!$A470&amp;" HK Equity","PX_TO_SALES_RATIO"),"")</f>
        <v/>
      </c>
      <c r="T470" s="19">
        <f>IF(Database!BM470="","",IFERROR(BDP(LEFT(Database!BM470,FIND(".",Database!BM470)-1)&amp;" CH Equity","CUR_MKT_CAP"),""))</f>
        <v/>
      </c>
    </row>
    <row r="471">
      <c r="A471" s="17">
        <f>Database!A471&amp;"  "&amp;Database!B471</f>
        <v/>
      </c>
      <c r="B471" s="10">
        <f>IFERROR(INDEX(BDS(Database!$A471&amp;" HK Equity","EQUITY_OFFERINGS","array=t","endcol=1"),MATCH("IPO",BDS(Database!$A471&amp;" HK Equity","EQUITY_OFFERINGS","array=t","startcol=2","endcol=2"),0)),"")</f>
        <v/>
      </c>
      <c r="C471" s="186">
        <f>IF($B471="","",IFERROR(BDP($B471&amp;" Action","CP036"),""))</f>
        <v/>
      </c>
      <c r="D471" s="187">
        <f>Database!S471</f>
        <v/>
      </c>
      <c r="E471" s="186">
        <f>IF($B471="","",IFERROR(BDP($B471&amp;" Action","CP037"),""))</f>
        <v/>
      </c>
      <c r="F471" s="187">
        <f>Database!T471</f>
        <v/>
      </c>
      <c r="G471" s="186">
        <f>IF($B471="","",IFERROR(BDP($B471&amp;" Action","GREENSHOE_FACILITY"),""))</f>
        <v/>
      </c>
      <c r="H471" s="186">
        <f>IF($B471="","",IFERROR(BDP($B471&amp;" Action","OFFERING_GREENSHOE_SHARES_EX"),""))</f>
        <v/>
      </c>
      <c r="I471" s="17">
        <f>Database!AE471</f>
        <v/>
      </c>
      <c r="J471" s="24">
        <f>IFERROR(BDP(Database!$A471&amp;" HK Equity","PE_RATIO"),"")</f>
        <v/>
      </c>
      <c r="K471" s="10">
        <f>IFERROR(BDP(Database!$A471&amp;" HK Equity","A/H_SHARE_CONVERSION"),"")</f>
        <v/>
      </c>
      <c r="L471" s="17">
        <f>IF(Database!BM471="","(none found)",Database!BM471)</f>
        <v/>
      </c>
      <c r="M471" s="19">
        <f>IFERROR(BDH(Database!$A471&amp;" HK Equity","CUR_MKT_CAP",Database!$H471,Database!$H471),"")</f>
        <v/>
      </c>
      <c r="N471" s="180">
        <f>Database!Q471</f>
        <v/>
      </c>
      <c r="O471" s="24">
        <f>IFERROR(BDH(Database!$A471&amp;" HK Equity","PE_RATIO",Database!$H471,Database!$H471),"")</f>
        <v/>
      </c>
      <c r="P471" s="184">
        <f>IF(Database!BG471="","(n/m or not derivable)",Database!BG471)</f>
        <v/>
      </c>
      <c r="Q471" s="24">
        <f>IF(Database!BM471="","",IFERROR(BDH(LEFT(Database!BM471,FIND(".",Database!BM471)-1)&amp;" CH Equity","PE_RATIO",Database!$H471,Database!$H471),""))</f>
        <v/>
      </c>
      <c r="R471" s="24">
        <f>IF(Database!BM471="","",IFERROR(BDH("HSAHP Index","PX_LAST",Database!$H471,Database!$H471),""))</f>
        <v/>
      </c>
      <c r="S471" s="24">
        <f>IFERROR(BDP(Database!$A471&amp;" HK Equity","PX_TO_SALES_RATIO"),"")</f>
        <v/>
      </c>
      <c r="T471" s="19">
        <f>IF(Database!BM471="","",IFERROR(BDP(LEFT(Database!BM471,FIND(".",Database!BM471)-1)&amp;" CH Equity","CUR_MKT_CAP"),""))</f>
        <v/>
      </c>
    </row>
    <row r="472">
      <c r="A472" s="17">
        <f>Database!A472&amp;"  "&amp;Database!B472</f>
        <v/>
      </c>
      <c r="B472" s="10">
        <f>IFERROR(INDEX(BDS(Database!$A472&amp;" HK Equity","EQUITY_OFFERINGS","array=t","endcol=1"),MATCH("IPO",BDS(Database!$A472&amp;" HK Equity","EQUITY_OFFERINGS","array=t","startcol=2","endcol=2"),0)),"")</f>
        <v/>
      </c>
      <c r="C472" s="186">
        <f>IF($B472="","",IFERROR(BDP($B472&amp;" Action","CP036"),""))</f>
        <v/>
      </c>
      <c r="D472" s="187">
        <f>Database!S472</f>
        <v/>
      </c>
      <c r="E472" s="186">
        <f>IF($B472="","",IFERROR(BDP($B472&amp;" Action","CP037"),""))</f>
        <v/>
      </c>
      <c r="F472" s="187">
        <f>Database!T472</f>
        <v/>
      </c>
      <c r="G472" s="186">
        <f>IF($B472="","",IFERROR(BDP($B472&amp;" Action","GREENSHOE_FACILITY"),""))</f>
        <v/>
      </c>
      <c r="H472" s="186">
        <f>IF($B472="","",IFERROR(BDP($B472&amp;" Action","OFFERING_GREENSHOE_SHARES_EX"),""))</f>
        <v/>
      </c>
      <c r="I472" s="17">
        <f>Database!AE472</f>
        <v/>
      </c>
      <c r="J472" s="24">
        <f>IFERROR(BDP(Database!$A472&amp;" HK Equity","PE_RATIO"),"")</f>
        <v/>
      </c>
      <c r="K472" s="10">
        <f>IFERROR(BDP(Database!$A472&amp;" HK Equity","A/H_SHARE_CONVERSION"),"")</f>
        <v/>
      </c>
      <c r="L472" s="17">
        <f>IF(Database!BM472="","(none found)",Database!BM472)</f>
        <v/>
      </c>
      <c r="M472" s="19">
        <f>IFERROR(BDH(Database!$A472&amp;" HK Equity","CUR_MKT_CAP",Database!$H472,Database!$H472),"")</f>
        <v/>
      </c>
      <c r="N472" s="180">
        <f>Database!Q472</f>
        <v/>
      </c>
      <c r="O472" s="24">
        <f>IFERROR(BDH(Database!$A472&amp;" HK Equity","PE_RATIO",Database!$H472,Database!$H472),"")</f>
        <v/>
      </c>
      <c r="P472" s="184">
        <f>IF(Database!BG472="","(n/m or not derivable)",Database!BG472)</f>
        <v/>
      </c>
      <c r="Q472" s="24">
        <f>IF(Database!BM472="","",IFERROR(BDH(LEFT(Database!BM472,FIND(".",Database!BM472)-1)&amp;" CH Equity","PE_RATIO",Database!$H472,Database!$H472),""))</f>
        <v/>
      </c>
      <c r="R472" s="24">
        <f>IF(Database!BM472="","",IFERROR(BDH("HSAHP Index","PX_LAST",Database!$H472,Database!$H472),""))</f>
        <v/>
      </c>
      <c r="S472" s="24">
        <f>IFERROR(BDP(Database!$A472&amp;" HK Equity","PX_TO_SALES_RATIO"),"")</f>
        <v/>
      </c>
      <c r="T472" s="19">
        <f>IF(Database!BM472="","",IFERROR(BDP(LEFT(Database!BM472,FIND(".",Database!BM472)-1)&amp;" CH Equity","CUR_MKT_CAP"),""))</f>
        <v/>
      </c>
    </row>
    <row r="473">
      <c r="A473" s="17">
        <f>Database!A473&amp;"  "&amp;Database!B473</f>
        <v/>
      </c>
      <c r="B473" s="10">
        <f>IFERROR(INDEX(BDS(Database!$A473&amp;" HK Equity","EQUITY_OFFERINGS","array=t","endcol=1"),MATCH("IPO",BDS(Database!$A473&amp;" HK Equity","EQUITY_OFFERINGS","array=t","startcol=2","endcol=2"),0)),"")</f>
        <v/>
      </c>
      <c r="C473" s="186">
        <f>IF($B473="","",IFERROR(BDP($B473&amp;" Action","CP036"),""))</f>
        <v/>
      </c>
      <c r="D473" s="187">
        <f>Database!S473</f>
        <v/>
      </c>
      <c r="E473" s="186">
        <f>IF($B473="","",IFERROR(BDP($B473&amp;" Action","CP037"),""))</f>
        <v/>
      </c>
      <c r="F473" s="187">
        <f>Database!T473</f>
        <v/>
      </c>
      <c r="G473" s="186">
        <f>IF($B473="","",IFERROR(BDP($B473&amp;" Action","GREENSHOE_FACILITY"),""))</f>
        <v/>
      </c>
      <c r="H473" s="186">
        <f>IF($B473="","",IFERROR(BDP($B473&amp;" Action","OFFERING_GREENSHOE_SHARES_EX"),""))</f>
        <v/>
      </c>
      <c r="I473" s="17">
        <f>Database!AE473</f>
        <v/>
      </c>
      <c r="J473" s="24">
        <f>IFERROR(BDP(Database!$A473&amp;" HK Equity","PE_RATIO"),"")</f>
        <v/>
      </c>
      <c r="K473" s="10">
        <f>IFERROR(BDP(Database!$A473&amp;" HK Equity","A/H_SHARE_CONVERSION"),"")</f>
        <v/>
      </c>
      <c r="L473" s="17">
        <f>IF(Database!BM473="","(none found)",Database!BM473)</f>
        <v/>
      </c>
      <c r="M473" s="19">
        <f>IFERROR(BDH(Database!$A473&amp;" HK Equity","CUR_MKT_CAP",Database!$H473,Database!$H473),"")</f>
        <v/>
      </c>
      <c r="N473" s="180">
        <f>Database!Q473</f>
        <v/>
      </c>
      <c r="O473" s="24">
        <f>IFERROR(BDH(Database!$A473&amp;" HK Equity","PE_RATIO",Database!$H473,Database!$H473),"")</f>
        <v/>
      </c>
      <c r="P473" s="184">
        <f>IF(Database!BG473="","(n/m or not derivable)",Database!BG473)</f>
        <v/>
      </c>
      <c r="Q473" s="24">
        <f>IF(Database!BM473="","",IFERROR(BDH(LEFT(Database!BM473,FIND(".",Database!BM473)-1)&amp;" CH Equity","PE_RATIO",Database!$H473,Database!$H473),""))</f>
        <v/>
      </c>
      <c r="R473" s="24">
        <f>IF(Database!BM473="","",IFERROR(BDH("HSAHP Index","PX_LAST",Database!$H473,Database!$H473),""))</f>
        <v/>
      </c>
      <c r="S473" s="24">
        <f>IFERROR(BDP(Database!$A473&amp;" HK Equity","PX_TO_SALES_RATIO"),"")</f>
        <v/>
      </c>
      <c r="T473" s="19">
        <f>IF(Database!BM473="","",IFERROR(BDP(LEFT(Database!BM473,FIND(".",Database!BM473)-1)&amp;" CH Equity","CUR_MKT_CAP"),""))</f>
        <v/>
      </c>
    </row>
    <row r="474">
      <c r="A474" s="17">
        <f>Database!A474&amp;"  "&amp;Database!B474</f>
        <v/>
      </c>
      <c r="B474" s="10">
        <f>IFERROR(INDEX(BDS(Database!$A474&amp;" HK Equity","EQUITY_OFFERINGS","array=t","endcol=1"),MATCH("IPO",BDS(Database!$A474&amp;" HK Equity","EQUITY_OFFERINGS","array=t","startcol=2","endcol=2"),0)),"")</f>
        <v/>
      </c>
      <c r="C474" s="186">
        <f>IF($B474="","",IFERROR(BDP($B474&amp;" Action","CP036"),""))</f>
        <v/>
      </c>
      <c r="D474" s="187">
        <f>Database!S474</f>
        <v/>
      </c>
      <c r="E474" s="186">
        <f>IF($B474="","",IFERROR(BDP($B474&amp;" Action","CP037"),""))</f>
        <v/>
      </c>
      <c r="F474" s="187">
        <f>Database!T474</f>
        <v/>
      </c>
      <c r="G474" s="186">
        <f>IF($B474="","",IFERROR(BDP($B474&amp;" Action","GREENSHOE_FACILITY"),""))</f>
        <v/>
      </c>
      <c r="H474" s="186">
        <f>IF($B474="","",IFERROR(BDP($B474&amp;" Action","OFFERING_GREENSHOE_SHARES_EX"),""))</f>
        <v/>
      </c>
      <c r="I474" s="17">
        <f>Database!AE474</f>
        <v/>
      </c>
      <c r="J474" s="24">
        <f>IFERROR(BDP(Database!$A474&amp;" HK Equity","PE_RATIO"),"")</f>
        <v/>
      </c>
      <c r="K474" s="10">
        <f>IFERROR(BDP(Database!$A474&amp;" HK Equity","A/H_SHARE_CONVERSION"),"")</f>
        <v/>
      </c>
      <c r="L474" s="17">
        <f>IF(Database!BM474="","(none found)",Database!BM474)</f>
        <v/>
      </c>
      <c r="M474" s="19">
        <f>IFERROR(BDH(Database!$A474&amp;" HK Equity","CUR_MKT_CAP",Database!$H474,Database!$H474),"")</f>
        <v/>
      </c>
      <c r="N474" s="180">
        <f>Database!Q474</f>
        <v/>
      </c>
      <c r="O474" s="24">
        <f>IFERROR(BDH(Database!$A474&amp;" HK Equity","PE_RATIO",Database!$H474,Database!$H474),"")</f>
        <v/>
      </c>
      <c r="P474" s="184">
        <f>IF(Database!BG474="","(n/m or not derivable)",Database!BG474)</f>
        <v/>
      </c>
      <c r="Q474" s="24">
        <f>IF(Database!BM474="","",IFERROR(BDH(LEFT(Database!BM474,FIND(".",Database!BM474)-1)&amp;" CH Equity","PE_RATIO",Database!$H474,Database!$H474),""))</f>
        <v/>
      </c>
      <c r="R474" s="24">
        <f>IF(Database!BM474="","",IFERROR(BDH("HSAHP Index","PX_LAST",Database!$H474,Database!$H474),""))</f>
        <v/>
      </c>
      <c r="S474" s="24">
        <f>IFERROR(BDP(Database!$A474&amp;" HK Equity","PX_TO_SALES_RATIO"),"")</f>
        <v/>
      </c>
      <c r="T474" s="19">
        <f>IF(Database!BM474="","",IFERROR(BDP(LEFT(Database!BM474,FIND(".",Database!BM474)-1)&amp;" CH Equity","CUR_MKT_CAP"),""))</f>
        <v/>
      </c>
    </row>
    <row r="475">
      <c r="A475" s="17">
        <f>Database!A475&amp;"  "&amp;Database!B475</f>
        <v/>
      </c>
      <c r="B475" s="10">
        <f>IFERROR(INDEX(BDS(Database!$A475&amp;" HK Equity","EQUITY_OFFERINGS","array=t","endcol=1"),MATCH("IPO",BDS(Database!$A475&amp;" HK Equity","EQUITY_OFFERINGS","array=t","startcol=2","endcol=2"),0)),"")</f>
        <v/>
      </c>
      <c r="C475" s="186">
        <f>IF($B475="","",IFERROR(BDP($B475&amp;" Action","CP036"),""))</f>
        <v/>
      </c>
      <c r="D475" s="187">
        <f>Database!S475</f>
        <v/>
      </c>
      <c r="E475" s="186">
        <f>IF($B475="","",IFERROR(BDP($B475&amp;" Action","CP037"),""))</f>
        <v/>
      </c>
      <c r="F475" s="187">
        <f>Database!T475</f>
        <v/>
      </c>
      <c r="G475" s="186">
        <f>IF($B475="","",IFERROR(BDP($B475&amp;" Action","GREENSHOE_FACILITY"),""))</f>
        <v/>
      </c>
      <c r="H475" s="186">
        <f>IF($B475="","",IFERROR(BDP($B475&amp;" Action","OFFERING_GREENSHOE_SHARES_EX"),""))</f>
        <v/>
      </c>
      <c r="I475" s="17">
        <f>Database!AE475</f>
        <v/>
      </c>
      <c r="J475" s="24">
        <f>IFERROR(BDP(Database!$A475&amp;" HK Equity","PE_RATIO"),"")</f>
        <v/>
      </c>
      <c r="K475" s="10">
        <f>IFERROR(BDP(Database!$A475&amp;" HK Equity","A/H_SHARE_CONVERSION"),"")</f>
        <v/>
      </c>
      <c r="L475" s="17">
        <f>IF(Database!BM475="","(none found)",Database!BM475)</f>
        <v/>
      </c>
      <c r="M475" s="19">
        <f>IFERROR(BDH(Database!$A475&amp;" HK Equity","CUR_MKT_CAP",Database!$H475,Database!$H475),"")</f>
        <v/>
      </c>
      <c r="N475" s="180">
        <f>Database!Q475</f>
        <v/>
      </c>
      <c r="O475" s="24">
        <f>IFERROR(BDH(Database!$A475&amp;" HK Equity","PE_RATIO",Database!$H475,Database!$H475),"")</f>
        <v/>
      </c>
      <c r="P475" s="184">
        <f>IF(Database!BG475="","(n/m or not derivable)",Database!BG475)</f>
        <v/>
      </c>
      <c r="Q475" s="24">
        <f>IF(Database!BM475="","",IFERROR(BDH(LEFT(Database!BM475,FIND(".",Database!BM475)-1)&amp;" CH Equity","PE_RATIO",Database!$H475,Database!$H475),""))</f>
        <v/>
      </c>
      <c r="R475" s="24">
        <f>IF(Database!BM475="","",IFERROR(BDH("HSAHP Index","PX_LAST",Database!$H475,Database!$H475),""))</f>
        <v/>
      </c>
      <c r="S475" s="24">
        <f>IFERROR(BDP(Database!$A475&amp;" HK Equity","PX_TO_SALES_RATIO"),"")</f>
        <v/>
      </c>
      <c r="T475" s="19">
        <f>IF(Database!BM475="","",IFERROR(BDP(LEFT(Database!BM475,FIND(".",Database!BM475)-1)&amp;" CH Equity","CUR_MKT_CAP"),""))</f>
        <v/>
      </c>
    </row>
    <row r="476">
      <c r="A476" s="17">
        <f>Database!A476&amp;"  "&amp;Database!B476</f>
        <v/>
      </c>
      <c r="B476" s="10">
        <f>IFERROR(INDEX(BDS(Database!$A476&amp;" HK Equity","EQUITY_OFFERINGS","array=t","endcol=1"),MATCH("IPO",BDS(Database!$A476&amp;" HK Equity","EQUITY_OFFERINGS","array=t","startcol=2","endcol=2"),0)),"")</f>
        <v/>
      </c>
      <c r="C476" s="186">
        <f>IF($B476="","",IFERROR(BDP($B476&amp;" Action","CP036"),""))</f>
        <v/>
      </c>
      <c r="D476" s="187">
        <f>Database!S476</f>
        <v/>
      </c>
      <c r="E476" s="186">
        <f>IF($B476="","",IFERROR(BDP($B476&amp;" Action","CP037"),""))</f>
        <v/>
      </c>
      <c r="F476" s="187">
        <f>Database!T476</f>
        <v/>
      </c>
      <c r="G476" s="186">
        <f>IF($B476="","",IFERROR(BDP($B476&amp;" Action","GREENSHOE_FACILITY"),""))</f>
        <v/>
      </c>
      <c r="H476" s="186">
        <f>IF($B476="","",IFERROR(BDP($B476&amp;" Action","OFFERING_GREENSHOE_SHARES_EX"),""))</f>
        <v/>
      </c>
      <c r="I476" s="17">
        <f>Database!AE476</f>
        <v/>
      </c>
      <c r="J476" s="24">
        <f>IFERROR(BDP(Database!$A476&amp;" HK Equity","PE_RATIO"),"")</f>
        <v/>
      </c>
      <c r="K476" s="10">
        <f>IFERROR(BDP(Database!$A476&amp;" HK Equity","A/H_SHARE_CONVERSION"),"")</f>
        <v/>
      </c>
      <c r="L476" s="17">
        <f>IF(Database!BM476="","(none found)",Database!BM476)</f>
        <v/>
      </c>
      <c r="M476" s="19">
        <f>IFERROR(BDH(Database!$A476&amp;" HK Equity","CUR_MKT_CAP",Database!$H476,Database!$H476),"")</f>
        <v/>
      </c>
      <c r="N476" s="180">
        <f>Database!Q476</f>
        <v/>
      </c>
      <c r="O476" s="24">
        <f>IFERROR(BDH(Database!$A476&amp;" HK Equity","PE_RATIO",Database!$H476,Database!$H476),"")</f>
        <v/>
      </c>
      <c r="P476" s="184">
        <f>IF(Database!BG476="","(n/m or not derivable)",Database!BG476)</f>
        <v/>
      </c>
      <c r="Q476" s="24">
        <f>IF(Database!BM476="","",IFERROR(BDH(LEFT(Database!BM476,FIND(".",Database!BM476)-1)&amp;" CH Equity","PE_RATIO",Database!$H476,Database!$H476),""))</f>
        <v/>
      </c>
      <c r="R476" s="24">
        <f>IF(Database!BM476="","",IFERROR(BDH("HSAHP Index","PX_LAST",Database!$H476,Database!$H476),""))</f>
        <v/>
      </c>
      <c r="S476" s="24">
        <f>IFERROR(BDP(Database!$A476&amp;" HK Equity","PX_TO_SALES_RATIO"),"")</f>
        <v/>
      </c>
      <c r="T476" s="19">
        <f>IF(Database!BM476="","",IFERROR(BDP(LEFT(Database!BM476,FIND(".",Database!BM476)-1)&amp;" CH Equity","CUR_MKT_CAP"),""))</f>
        <v/>
      </c>
    </row>
    <row r="477">
      <c r="A477" s="17">
        <f>Database!A477&amp;"  "&amp;Database!B477</f>
        <v/>
      </c>
      <c r="B477" s="10">
        <f>IFERROR(INDEX(BDS(Database!$A477&amp;" HK Equity","EQUITY_OFFERINGS","array=t","endcol=1"),MATCH("IPO",BDS(Database!$A477&amp;" HK Equity","EQUITY_OFFERINGS","array=t","startcol=2","endcol=2"),0)),"")</f>
        <v/>
      </c>
      <c r="C477" s="186">
        <f>IF($B477="","",IFERROR(BDP($B477&amp;" Action","CP036"),""))</f>
        <v/>
      </c>
      <c r="D477" s="187">
        <f>Database!S477</f>
        <v/>
      </c>
      <c r="E477" s="186">
        <f>IF($B477="","",IFERROR(BDP($B477&amp;" Action","CP037"),""))</f>
        <v/>
      </c>
      <c r="F477" s="187">
        <f>Database!T477</f>
        <v/>
      </c>
      <c r="G477" s="186">
        <f>IF($B477="","",IFERROR(BDP($B477&amp;" Action","GREENSHOE_FACILITY"),""))</f>
        <v/>
      </c>
      <c r="H477" s="186">
        <f>IF($B477="","",IFERROR(BDP($B477&amp;" Action","OFFERING_GREENSHOE_SHARES_EX"),""))</f>
        <v/>
      </c>
      <c r="I477" s="17">
        <f>Database!AE477</f>
        <v/>
      </c>
      <c r="J477" s="24">
        <f>IFERROR(BDP(Database!$A477&amp;" HK Equity","PE_RATIO"),"")</f>
        <v/>
      </c>
      <c r="K477" s="10">
        <f>IFERROR(BDP(Database!$A477&amp;" HK Equity","A/H_SHARE_CONVERSION"),"")</f>
        <v/>
      </c>
      <c r="L477" s="17">
        <f>IF(Database!BM477="","(none found)",Database!BM477)</f>
        <v/>
      </c>
      <c r="M477" s="19">
        <f>IFERROR(BDH(Database!$A477&amp;" HK Equity","CUR_MKT_CAP",Database!$H477,Database!$H477),"")</f>
        <v/>
      </c>
      <c r="N477" s="180">
        <f>Database!Q477</f>
        <v/>
      </c>
      <c r="O477" s="24">
        <f>IFERROR(BDH(Database!$A477&amp;" HK Equity","PE_RATIO",Database!$H477,Database!$H477),"")</f>
        <v/>
      </c>
      <c r="P477" s="184">
        <f>IF(Database!BG477="","(n/m or not derivable)",Database!BG477)</f>
        <v/>
      </c>
      <c r="Q477" s="24">
        <f>IF(Database!BM477="","",IFERROR(BDH(LEFT(Database!BM477,FIND(".",Database!BM477)-1)&amp;" CH Equity","PE_RATIO",Database!$H477,Database!$H477),""))</f>
        <v/>
      </c>
      <c r="R477" s="24">
        <f>IF(Database!BM477="","",IFERROR(BDH("HSAHP Index","PX_LAST",Database!$H477,Database!$H477),""))</f>
        <v/>
      </c>
      <c r="S477" s="24">
        <f>IFERROR(BDP(Database!$A477&amp;" HK Equity","PX_TO_SALES_RATIO"),"")</f>
        <v/>
      </c>
      <c r="T477" s="19">
        <f>IF(Database!BM477="","",IFERROR(BDP(LEFT(Database!BM477,FIND(".",Database!BM477)-1)&amp;" CH Equity","CUR_MKT_CAP"),""))</f>
        <v/>
      </c>
    </row>
    <row r="478">
      <c r="A478" s="17">
        <f>Database!A478&amp;"  "&amp;Database!B478</f>
        <v/>
      </c>
      <c r="B478" s="10">
        <f>IFERROR(INDEX(BDS(Database!$A478&amp;" HK Equity","EQUITY_OFFERINGS","array=t","endcol=1"),MATCH("IPO",BDS(Database!$A478&amp;" HK Equity","EQUITY_OFFERINGS","array=t","startcol=2","endcol=2"),0)),"")</f>
        <v/>
      </c>
      <c r="C478" s="186">
        <f>IF($B478="","",IFERROR(BDP($B478&amp;" Action","CP036"),""))</f>
        <v/>
      </c>
      <c r="D478" s="187">
        <f>Database!S478</f>
        <v/>
      </c>
      <c r="E478" s="186">
        <f>IF($B478="","",IFERROR(BDP($B478&amp;" Action","CP037"),""))</f>
        <v/>
      </c>
      <c r="F478" s="187">
        <f>Database!T478</f>
        <v/>
      </c>
      <c r="G478" s="186">
        <f>IF($B478="","",IFERROR(BDP($B478&amp;" Action","GREENSHOE_FACILITY"),""))</f>
        <v/>
      </c>
      <c r="H478" s="186">
        <f>IF($B478="","",IFERROR(BDP($B478&amp;" Action","OFFERING_GREENSHOE_SHARES_EX"),""))</f>
        <v/>
      </c>
      <c r="I478" s="17">
        <f>Database!AE478</f>
        <v/>
      </c>
      <c r="J478" s="24">
        <f>IFERROR(BDP(Database!$A478&amp;" HK Equity","PE_RATIO"),"")</f>
        <v/>
      </c>
      <c r="K478" s="10">
        <f>IFERROR(BDP(Database!$A478&amp;" HK Equity","A/H_SHARE_CONVERSION"),"")</f>
        <v/>
      </c>
      <c r="L478" s="17">
        <f>IF(Database!BM478="","(none found)",Database!BM478)</f>
        <v/>
      </c>
      <c r="M478" s="19">
        <f>IFERROR(BDH(Database!$A478&amp;" HK Equity","CUR_MKT_CAP",Database!$H478,Database!$H478),"")</f>
        <v/>
      </c>
      <c r="N478" s="180">
        <f>Database!Q478</f>
        <v/>
      </c>
      <c r="O478" s="24">
        <f>IFERROR(BDH(Database!$A478&amp;" HK Equity","PE_RATIO",Database!$H478,Database!$H478),"")</f>
        <v/>
      </c>
      <c r="P478" s="184">
        <f>IF(Database!BG478="","(n/m or not derivable)",Database!BG478)</f>
        <v/>
      </c>
      <c r="Q478" s="24">
        <f>IF(Database!BM478="","",IFERROR(BDH(LEFT(Database!BM478,FIND(".",Database!BM478)-1)&amp;" CH Equity","PE_RATIO",Database!$H478,Database!$H478),""))</f>
        <v/>
      </c>
      <c r="R478" s="24">
        <f>IF(Database!BM478="","",IFERROR(BDH("HSAHP Index","PX_LAST",Database!$H478,Database!$H478),""))</f>
        <v/>
      </c>
      <c r="S478" s="24">
        <f>IFERROR(BDP(Database!$A478&amp;" HK Equity","PX_TO_SALES_RATIO"),"")</f>
        <v/>
      </c>
      <c r="T478" s="19">
        <f>IF(Database!BM478="","",IFERROR(BDP(LEFT(Database!BM478,FIND(".",Database!BM478)-1)&amp;" CH Equity","CUR_MKT_CAP"),""))</f>
        <v/>
      </c>
    </row>
    <row r="479">
      <c r="A479" s="17">
        <f>Database!A479&amp;"  "&amp;Database!B479</f>
        <v/>
      </c>
      <c r="B479" s="10">
        <f>IFERROR(INDEX(BDS(Database!$A479&amp;" HK Equity","EQUITY_OFFERINGS","array=t","endcol=1"),MATCH("IPO",BDS(Database!$A479&amp;" HK Equity","EQUITY_OFFERINGS","array=t","startcol=2","endcol=2"),0)),"")</f>
        <v/>
      </c>
      <c r="C479" s="186">
        <f>IF($B479="","",IFERROR(BDP($B479&amp;" Action","CP036"),""))</f>
        <v/>
      </c>
      <c r="D479" s="187">
        <f>Database!S479</f>
        <v/>
      </c>
      <c r="E479" s="186">
        <f>IF($B479="","",IFERROR(BDP($B479&amp;" Action","CP037"),""))</f>
        <v/>
      </c>
      <c r="F479" s="187">
        <f>Database!T479</f>
        <v/>
      </c>
      <c r="G479" s="186">
        <f>IF($B479="","",IFERROR(BDP($B479&amp;" Action","GREENSHOE_FACILITY"),""))</f>
        <v/>
      </c>
      <c r="H479" s="186">
        <f>IF($B479="","",IFERROR(BDP($B479&amp;" Action","OFFERING_GREENSHOE_SHARES_EX"),""))</f>
        <v/>
      </c>
      <c r="I479" s="17">
        <f>Database!AE479</f>
        <v/>
      </c>
      <c r="J479" s="24">
        <f>IFERROR(BDP(Database!$A479&amp;" HK Equity","PE_RATIO"),"")</f>
        <v/>
      </c>
      <c r="K479" s="10">
        <f>IFERROR(BDP(Database!$A479&amp;" HK Equity","A/H_SHARE_CONVERSION"),"")</f>
        <v/>
      </c>
      <c r="L479" s="17">
        <f>IF(Database!BM479="","(none found)",Database!BM479)</f>
        <v/>
      </c>
      <c r="M479" s="19">
        <f>IFERROR(BDH(Database!$A479&amp;" HK Equity","CUR_MKT_CAP",Database!$H479,Database!$H479),"")</f>
        <v/>
      </c>
      <c r="N479" s="180">
        <f>Database!Q479</f>
        <v/>
      </c>
      <c r="O479" s="24">
        <f>IFERROR(BDH(Database!$A479&amp;" HK Equity","PE_RATIO",Database!$H479,Database!$H479),"")</f>
        <v/>
      </c>
      <c r="P479" s="184">
        <f>IF(Database!BG479="","(n/m or not derivable)",Database!BG479)</f>
        <v/>
      </c>
      <c r="Q479" s="24">
        <f>IF(Database!BM479="","",IFERROR(BDH(LEFT(Database!BM479,FIND(".",Database!BM479)-1)&amp;" CH Equity","PE_RATIO",Database!$H479,Database!$H479),""))</f>
        <v/>
      </c>
      <c r="R479" s="24">
        <f>IF(Database!BM479="","",IFERROR(BDH("HSAHP Index","PX_LAST",Database!$H479,Database!$H479),""))</f>
        <v/>
      </c>
      <c r="S479" s="24">
        <f>IFERROR(BDP(Database!$A479&amp;" HK Equity","PX_TO_SALES_RATIO"),"")</f>
        <v/>
      </c>
      <c r="T479" s="19">
        <f>IF(Database!BM479="","",IFERROR(BDP(LEFT(Database!BM479,FIND(".",Database!BM479)-1)&amp;" CH Equity","CUR_MKT_CAP"),""))</f>
        <v/>
      </c>
    </row>
    <row r="480">
      <c r="A480" s="17">
        <f>Database!A480&amp;"  "&amp;Database!B480</f>
        <v/>
      </c>
      <c r="B480" s="10">
        <f>IFERROR(INDEX(BDS(Database!$A480&amp;" HK Equity","EQUITY_OFFERINGS","array=t","endcol=1"),MATCH("IPO",BDS(Database!$A480&amp;" HK Equity","EQUITY_OFFERINGS","array=t","startcol=2","endcol=2"),0)),"")</f>
        <v/>
      </c>
      <c r="C480" s="186">
        <f>IF($B480="","",IFERROR(BDP($B480&amp;" Action","CP036"),""))</f>
        <v/>
      </c>
      <c r="D480" s="187">
        <f>Database!S480</f>
        <v/>
      </c>
      <c r="E480" s="186">
        <f>IF($B480="","",IFERROR(BDP($B480&amp;" Action","CP037"),""))</f>
        <v/>
      </c>
      <c r="F480" s="187">
        <f>Database!T480</f>
        <v/>
      </c>
      <c r="G480" s="186">
        <f>IF($B480="","",IFERROR(BDP($B480&amp;" Action","GREENSHOE_FACILITY"),""))</f>
        <v/>
      </c>
      <c r="H480" s="186">
        <f>IF($B480="","",IFERROR(BDP($B480&amp;" Action","OFFERING_GREENSHOE_SHARES_EX"),""))</f>
        <v/>
      </c>
      <c r="I480" s="17">
        <f>Database!AE480</f>
        <v/>
      </c>
      <c r="J480" s="24">
        <f>IFERROR(BDP(Database!$A480&amp;" HK Equity","PE_RATIO"),"")</f>
        <v/>
      </c>
      <c r="K480" s="10">
        <f>IFERROR(BDP(Database!$A480&amp;" HK Equity","A/H_SHARE_CONVERSION"),"")</f>
        <v/>
      </c>
      <c r="L480" s="17">
        <f>IF(Database!BM480="","(none found)",Database!BM480)</f>
        <v/>
      </c>
      <c r="M480" s="19">
        <f>IFERROR(BDH(Database!$A480&amp;" HK Equity","CUR_MKT_CAP",Database!$H480,Database!$H480),"")</f>
        <v/>
      </c>
      <c r="N480" s="180">
        <f>Database!Q480</f>
        <v/>
      </c>
      <c r="O480" s="24">
        <f>IFERROR(BDH(Database!$A480&amp;" HK Equity","PE_RATIO",Database!$H480,Database!$H480),"")</f>
        <v/>
      </c>
      <c r="P480" s="184">
        <f>IF(Database!BG480="","(n/m or not derivable)",Database!BG480)</f>
        <v/>
      </c>
      <c r="Q480" s="24">
        <f>IF(Database!BM480="","",IFERROR(BDH(LEFT(Database!BM480,FIND(".",Database!BM480)-1)&amp;" CH Equity","PE_RATIO",Database!$H480,Database!$H480),""))</f>
        <v/>
      </c>
      <c r="R480" s="24">
        <f>IF(Database!BM480="","",IFERROR(BDH("HSAHP Index","PX_LAST",Database!$H480,Database!$H480),""))</f>
        <v/>
      </c>
      <c r="S480" s="24">
        <f>IFERROR(BDP(Database!$A480&amp;" HK Equity","PX_TO_SALES_RATIO"),"")</f>
        <v/>
      </c>
      <c r="T480" s="19">
        <f>IF(Database!BM480="","",IFERROR(BDP(LEFT(Database!BM480,FIND(".",Database!BM480)-1)&amp;" CH Equity","CUR_MKT_CAP"),""))</f>
        <v/>
      </c>
    </row>
    <row r="481">
      <c r="A481" s="17">
        <f>Database!A481&amp;"  "&amp;Database!B481</f>
        <v/>
      </c>
      <c r="B481" s="10">
        <f>IFERROR(INDEX(BDS(Database!$A481&amp;" HK Equity","EQUITY_OFFERINGS","array=t","endcol=1"),MATCH("IPO",BDS(Database!$A481&amp;" HK Equity","EQUITY_OFFERINGS","array=t","startcol=2","endcol=2"),0)),"")</f>
        <v/>
      </c>
      <c r="C481" s="186">
        <f>IF($B481="","",IFERROR(BDP($B481&amp;" Action","CP036"),""))</f>
        <v/>
      </c>
      <c r="D481" s="187">
        <f>Database!S481</f>
        <v/>
      </c>
      <c r="E481" s="186">
        <f>IF($B481="","",IFERROR(BDP($B481&amp;" Action","CP037"),""))</f>
        <v/>
      </c>
      <c r="F481" s="187">
        <f>Database!T481</f>
        <v/>
      </c>
      <c r="G481" s="186">
        <f>IF($B481="","",IFERROR(BDP($B481&amp;" Action","GREENSHOE_FACILITY"),""))</f>
        <v/>
      </c>
      <c r="H481" s="186">
        <f>IF($B481="","",IFERROR(BDP($B481&amp;" Action","OFFERING_GREENSHOE_SHARES_EX"),""))</f>
        <v/>
      </c>
      <c r="I481" s="17">
        <f>Database!AE481</f>
        <v/>
      </c>
      <c r="J481" s="24">
        <f>IFERROR(BDP(Database!$A481&amp;" HK Equity","PE_RATIO"),"")</f>
        <v/>
      </c>
      <c r="K481" s="10">
        <f>IFERROR(BDP(Database!$A481&amp;" HK Equity","A/H_SHARE_CONVERSION"),"")</f>
        <v/>
      </c>
      <c r="L481" s="17">
        <f>IF(Database!BM481="","(none found)",Database!BM481)</f>
        <v/>
      </c>
      <c r="M481" s="19">
        <f>IFERROR(BDH(Database!$A481&amp;" HK Equity","CUR_MKT_CAP",Database!$H481,Database!$H481),"")</f>
        <v/>
      </c>
      <c r="N481" s="180">
        <f>Database!Q481</f>
        <v/>
      </c>
      <c r="O481" s="24">
        <f>IFERROR(BDH(Database!$A481&amp;" HK Equity","PE_RATIO",Database!$H481,Database!$H481),"")</f>
        <v/>
      </c>
      <c r="P481" s="184">
        <f>IF(Database!BG481="","(n/m or not derivable)",Database!BG481)</f>
        <v/>
      </c>
      <c r="Q481" s="24">
        <f>IF(Database!BM481="","",IFERROR(BDH(LEFT(Database!BM481,FIND(".",Database!BM481)-1)&amp;" CH Equity","PE_RATIO",Database!$H481,Database!$H481),""))</f>
        <v/>
      </c>
      <c r="R481" s="24">
        <f>IF(Database!BM481="","",IFERROR(BDH("HSAHP Index","PX_LAST",Database!$H481,Database!$H481),""))</f>
        <v/>
      </c>
      <c r="S481" s="24">
        <f>IFERROR(BDP(Database!$A481&amp;" HK Equity","PX_TO_SALES_RATIO"),"")</f>
        <v/>
      </c>
      <c r="T481" s="19">
        <f>IF(Database!BM481="","",IFERROR(BDP(LEFT(Database!BM481,FIND(".",Database!BM481)-1)&amp;" CH Equity","CUR_MKT_CAP"),""))</f>
        <v/>
      </c>
    </row>
    <row r="482">
      <c r="A482" s="17">
        <f>Database!A482&amp;"  "&amp;Database!B482</f>
        <v/>
      </c>
      <c r="B482" s="10">
        <f>IFERROR(INDEX(BDS(Database!$A482&amp;" HK Equity","EQUITY_OFFERINGS","array=t","endcol=1"),MATCH("IPO",BDS(Database!$A482&amp;" HK Equity","EQUITY_OFFERINGS","array=t","startcol=2","endcol=2"),0)),"")</f>
        <v/>
      </c>
      <c r="C482" s="186">
        <f>IF($B482="","",IFERROR(BDP($B482&amp;" Action","CP036"),""))</f>
        <v/>
      </c>
      <c r="D482" s="187">
        <f>Database!S482</f>
        <v/>
      </c>
      <c r="E482" s="186">
        <f>IF($B482="","",IFERROR(BDP($B482&amp;" Action","CP037"),""))</f>
        <v/>
      </c>
      <c r="F482" s="187">
        <f>Database!T482</f>
        <v/>
      </c>
      <c r="G482" s="186">
        <f>IF($B482="","",IFERROR(BDP($B482&amp;" Action","GREENSHOE_FACILITY"),""))</f>
        <v/>
      </c>
      <c r="H482" s="186">
        <f>IF($B482="","",IFERROR(BDP($B482&amp;" Action","OFFERING_GREENSHOE_SHARES_EX"),""))</f>
        <v/>
      </c>
      <c r="I482" s="17">
        <f>Database!AE482</f>
        <v/>
      </c>
      <c r="J482" s="24">
        <f>IFERROR(BDP(Database!$A482&amp;" HK Equity","PE_RATIO"),"")</f>
        <v/>
      </c>
      <c r="K482" s="10">
        <f>IFERROR(BDP(Database!$A482&amp;" HK Equity","A/H_SHARE_CONVERSION"),"")</f>
        <v/>
      </c>
      <c r="L482" s="17">
        <f>IF(Database!BM482="","(none found)",Database!BM482)</f>
        <v/>
      </c>
      <c r="M482" s="19">
        <f>IFERROR(BDH(Database!$A482&amp;" HK Equity","CUR_MKT_CAP",Database!$H482,Database!$H482),"")</f>
        <v/>
      </c>
      <c r="N482" s="180">
        <f>Database!Q482</f>
        <v/>
      </c>
      <c r="O482" s="24">
        <f>IFERROR(BDH(Database!$A482&amp;" HK Equity","PE_RATIO",Database!$H482,Database!$H482),"")</f>
        <v/>
      </c>
      <c r="P482" s="184">
        <f>IF(Database!BG482="","(n/m or not derivable)",Database!BG482)</f>
        <v/>
      </c>
      <c r="Q482" s="24">
        <f>IF(Database!BM482="","",IFERROR(BDH(LEFT(Database!BM482,FIND(".",Database!BM482)-1)&amp;" CH Equity","PE_RATIO",Database!$H482,Database!$H482),""))</f>
        <v/>
      </c>
      <c r="R482" s="24">
        <f>IF(Database!BM482="","",IFERROR(BDH("HSAHP Index","PX_LAST",Database!$H482,Database!$H482),""))</f>
        <v/>
      </c>
      <c r="S482" s="24">
        <f>IFERROR(BDP(Database!$A482&amp;" HK Equity","PX_TO_SALES_RATIO"),"")</f>
        <v/>
      </c>
      <c r="T482" s="19">
        <f>IF(Database!BM482="","",IFERROR(BDP(LEFT(Database!BM482,FIND(".",Database!BM482)-1)&amp;" CH Equity","CUR_MKT_CAP"),""))</f>
        <v/>
      </c>
    </row>
    <row r="483">
      <c r="A483" s="17">
        <f>Database!A483&amp;"  "&amp;Database!B483</f>
        <v/>
      </c>
      <c r="B483" s="10">
        <f>IFERROR(INDEX(BDS(Database!$A483&amp;" HK Equity","EQUITY_OFFERINGS","array=t","endcol=1"),MATCH("IPO",BDS(Database!$A483&amp;" HK Equity","EQUITY_OFFERINGS","array=t","startcol=2","endcol=2"),0)),"")</f>
        <v/>
      </c>
      <c r="C483" s="186">
        <f>IF($B483="","",IFERROR(BDP($B483&amp;" Action","CP036"),""))</f>
        <v/>
      </c>
      <c r="D483" s="187">
        <f>Database!S483</f>
        <v/>
      </c>
      <c r="E483" s="186">
        <f>IF($B483="","",IFERROR(BDP($B483&amp;" Action","CP037"),""))</f>
        <v/>
      </c>
      <c r="F483" s="187">
        <f>Database!T483</f>
        <v/>
      </c>
      <c r="G483" s="186">
        <f>IF($B483="","",IFERROR(BDP($B483&amp;" Action","GREENSHOE_FACILITY"),""))</f>
        <v/>
      </c>
      <c r="H483" s="186">
        <f>IF($B483="","",IFERROR(BDP($B483&amp;" Action","OFFERING_GREENSHOE_SHARES_EX"),""))</f>
        <v/>
      </c>
      <c r="I483" s="17">
        <f>Database!AE483</f>
        <v/>
      </c>
      <c r="J483" s="24">
        <f>IFERROR(BDP(Database!$A483&amp;" HK Equity","PE_RATIO"),"")</f>
        <v/>
      </c>
      <c r="K483" s="10">
        <f>IFERROR(BDP(Database!$A483&amp;" HK Equity","A/H_SHARE_CONVERSION"),"")</f>
        <v/>
      </c>
      <c r="L483" s="17">
        <f>IF(Database!BM483="","(none found)",Database!BM483)</f>
        <v/>
      </c>
      <c r="M483" s="19">
        <f>IFERROR(BDH(Database!$A483&amp;" HK Equity","CUR_MKT_CAP",Database!$H483,Database!$H483),"")</f>
        <v/>
      </c>
      <c r="N483" s="180">
        <f>Database!Q483</f>
        <v/>
      </c>
      <c r="O483" s="24">
        <f>IFERROR(BDH(Database!$A483&amp;" HK Equity","PE_RATIO",Database!$H483,Database!$H483),"")</f>
        <v/>
      </c>
      <c r="P483" s="184">
        <f>IF(Database!BG483="","(n/m or not derivable)",Database!BG483)</f>
        <v/>
      </c>
      <c r="Q483" s="24">
        <f>IF(Database!BM483="","",IFERROR(BDH(LEFT(Database!BM483,FIND(".",Database!BM483)-1)&amp;" CH Equity","PE_RATIO",Database!$H483,Database!$H483),""))</f>
        <v/>
      </c>
      <c r="R483" s="24">
        <f>IF(Database!BM483="","",IFERROR(BDH("HSAHP Index","PX_LAST",Database!$H483,Database!$H483),""))</f>
        <v/>
      </c>
      <c r="S483" s="24">
        <f>IFERROR(BDP(Database!$A483&amp;" HK Equity","PX_TO_SALES_RATIO"),"")</f>
        <v/>
      </c>
      <c r="T483" s="19">
        <f>IF(Database!BM483="","",IFERROR(BDP(LEFT(Database!BM483,FIND(".",Database!BM483)-1)&amp;" CH Equity","CUR_MKT_CAP"),""))</f>
        <v/>
      </c>
    </row>
    <row r="484">
      <c r="A484" s="17">
        <f>Database!A484&amp;"  "&amp;Database!B484</f>
        <v/>
      </c>
      <c r="B484" s="10">
        <f>IFERROR(INDEX(BDS(Database!$A484&amp;" HK Equity","EQUITY_OFFERINGS","array=t","endcol=1"),MATCH("IPO",BDS(Database!$A484&amp;" HK Equity","EQUITY_OFFERINGS","array=t","startcol=2","endcol=2"),0)),"")</f>
        <v/>
      </c>
      <c r="C484" s="186">
        <f>IF($B484="","",IFERROR(BDP($B484&amp;" Action","CP036"),""))</f>
        <v/>
      </c>
      <c r="D484" s="187">
        <f>Database!S484</f>
        <v/>
      </c>
      <c r="E484" s="186">
        <f>IF($B484="","",IFERROR(BDP($B484&amp;" Action","CP037"),""))</f>
        <v/>
      </c>
      <c r="F484" s="187">
        <f>Database!T484</f>
        <v/>
      </c>
      <c r="G484" s="186">
        <f>IF($B484="","",IFERROR(BDP($B484&amp;" Action","GREENSHOE_FACILITY"),""))</f>
        <v/>
      </c>
      <c r="H484" s="186">
        <f>IF($B484="","",IFERROR(BDP($B484&amp;" Action","OFFERING_GREENSHOE_SHARES_EX"),""))</f>
        <v/>
      </c>
      <c r="I484" s="17">
        <f>Database!AE484</f>
        <v/>
      </c>
      <c r="J484" s="24">
        <f>IFERROR(BDP(Database!$A484&amp;" HK Equity","PE_RATIO"),"")</f>
        <v/>
      </c>
      <c r="K484" s="10">
        <f>IFERROR(BDP(Database!$A484&amp;" HK Equity","A/H_SHARE_CONVERSION"),"")</f>
        <v/>
      </c>
      <c r="L484" s="17">
        <f>IF(Database!BM484="","(none found)",Database!BM484)</f>
        <v/>
      </c>
      <c r="M484" s="19">
        <f>IFERROR(BDH(Database!$A484&amp;" HK Equity","CUR_MKT_CAP",Database!$H484,Database!$H484),"")</f>
        <v/>
      </c>
      <c r="N484" s="180">
        <f>Database!Q484</f>
        <v/>
      </c>
      <c r="O484" s="24">
        <f>IFERROR(BDH(Database!$A484&amp;" HK Equity","PE_RATIO",Database!$H484,Database!$H484),"")</f>
        <v/>
      </c>
      <c r="P484" s="184">
        <f>IF(Database!BG484="","(n/m or not derivable)",Database!BG484)</f>
        <v/>
      </c>
      <c r="Q484" s="24">
        <f>IF(Database!BM484="","",IFERROR(BDH(LEFT(Database!BM484,FIND(".",Database!BM484)-1)&amp;" CH Equity","PE_RATIO",Database!$H484,Database!$H484),""))</f>
        <v/>
      </c>
      <c r="R484" s="24">
        <f>IF(Database!BM484="","",IFERROR(BDH("HSAHP Index","PX_LAST",Database!$H484,Database!$H484),""))</f>
        <v/>
      </c>
      <c r="S484" s="24">
        <f>IFERROR(BDP(Database!$A484&amp;" HK Equity","PX_TO_SALES_RATIO"),"")</f>
        <v/>
      </c>
      <c r="T484" s="19">
        <f>IF(Database!BM484="","",IFERROR(BDP(LEFT(Database!BM484,FIND(".",Database!BM484)-1)&amp;" CH Equity","CUR_MKT_CAP"),""))</f>
        <v/>
      </c>
    </row>
    <row r="485">
      <c r="A485" s="17">
        <f>Database!A485&amp;"  "&amp;Database!B485</f>
        <v/>
      </c>
      <c r="B485" s="10">
        <f>IFERROR(INDEX(BDS(Database!$A485&amp;" HK Equity","EQUITY_OFFERINGS","array=t","endcol=1"),MATCH("IPO",BDS(Database!$A485&amp;" HK Equity","EQUITY_OFFERINGS","array=t","startcol=2","endcol=2"),0)),"")</f>
        <v/>
      </c>
      <c r="C485" s="186">
        <f>IF($B485="","",IFERROR(BDP($B485&amp;" Action","CP036"),""))</f>
        <v/>
      </c>
      <c r="D485" s="187">
        <f>Database!S485</f>
        <v/>
      </c>
      <c r="E485" s="186">
        <f>IF($B485="","",IFERROR(BDP($B485&amp;" Action","CP037"),""))</f>
        <v/>
      </c>
      <c r="F485" s="187">
        <f>Database!T485</f>
        <v/>
      </c>
      <c r="G485" s="186">
        <f>IF($B485="","",IFERROR(BDP($B485&amp;" Action","GREENSHOE_FACILITY"),""))</f>
        <v/>
      </c>
      <c r="H485" s="186">
        <f>IF($B485="","",IFERROR(BDP($B485&amp;" Action","OFFERING_GREENSHOE_SHARES_EX"),""))</f>
        <v/>
      </c>
      <c r="I485" s="17">
        <f>Database!AE485</f>
        <v/>
      </c>
      <c r="J485" s="24">
        <f>IFERROR(BDP(Database!$A485&amp;" HK Equity","PE_RATIO"),"")</f>
        <v/>
      </c>
      <c r="K485" s="10">
        <f>IFERROR(BDP(Database!$A485&amp;" HK Equity","A/H_SHARE_CONVERSION"),"")</f>
        <v/>
      </c>
      <c r="L485" s="17">
        <f>IF(Database!BM485="","(none found)",Database!BM485)</f>
        <v/>
      </c>
      <c r="M485" s="19">
        <f>IFERROR(BDH(Database!$A485&amp;" HK Equity","CUR_MKT_CAP",Database!$H485,Database!$H485),"")</f>
        <v/>
      </c>
      <c r="N485" s="180">
        <f>Database!Q485</f>
        <v/>
      </c>
      <c r="O485" s="24">
        <f>IFERROR(BDH(Database!$A485&amp;" HK Equity","PE_RATIO",Database!$H485,Database!$H485),"")</f>
        <v/>
      </c>
      <c r="P485" s="184">
        <f>IF(Database!BG485="","(n/m or not derivable)",Database!BG485)</f>
        <v/>
      </c>
      <c r="Q485" s="24">
        <f>IF(Database!BM485="","",IFERROR(BDH(LEFT(Database!BM485,FIND(".",Database!BM485)-1)&amp;" CH Equity","PE_RATIO",Database!$H485,Database!$H485),""))</f>
        <v/>
      </c>
      <c r="R485" s="24">
        <f>IF(Database!BM485="","",IFERROR(BDH("HSAHP Index","PX_LAST",Database!$H485,Database!$H485),""))</f>
        <v/>
      </c>
      <c r="S485" s="24">
        <f>IFERROR(BDP(Database!$A485&amp;" HK Equity","PX_TO_SALES_RATIO"),"")</f>
        <v/>
      </c>
      <c r="T485" s="19">
        <f>IF(Database!BM485="","",IFERROR(BDP(LEFT(Database!BM485,FIND(".",Database!BM485)-1)&amp;" CH Equity","CUR_MKT_CAP"),""))</f>
        <v/>
      </c>
    </row>
    <row r="486">
      <c r="A486" s="17">
        <f>Database!A486&amp;"  "&amp;Database!B486</f>
        <v/>
      </c>
      <c r="B486" s="10">
        <f>IFERROR(INDEX(BDS(Database!$A486&amp;" HK Equity","EQUITY_OFFERINGS","array=t","endcol=1"),MATCH("IPO",BDS(Database!$A486&amp;" HK Equity","EQUITY_OFFERINGS","array=t","startcol=2","endcol=2"),0)),"")</f>
        <v/>
      </c>
      <c r="C486" s="186">
        <f>IF($B486="","",IFERROR(BDP($B486&amp;" Action","CP036"),""))</f>
        <v/>
      </c>
      <c r="D486" s="187">
        <f>Database!S486</f>
        <v/>
      </c>
      <c r="E486" s="186">
        <f>IF($B486="","",IFERROR(BDP($B486&amp;" Action","CP037"),""))</f>
        <v/>
      </c>
      <c r="F486" s="187">
        <f>Database!T486</f>
        <v/>
      </c>
      <c r="G486" s="186">
        <f>IF($B486="","",IFERROR(BDP($B486&amp;" Action","GREENSHOE_FACILITY"),""))</f>
        <v/>
      </c>
      <c r="H486" s="186">
        <f>IF($B486="","",IFERROR(BDP($B486&amp;" Action","OFFERING_GREENSHOE_SHARES_EX"),""))</f>
        <v/>
      </c>
      <c r="I486" s="17">
        <f>Database!AE486</f>
        <v/>
      </c>
      <c r="J486" s="24">
        <f>IFERROR(BDP(Database!$A486&amp;" HK Equity","PE_RATIO"),"")</f>
        <v/>
      </c>
      <c r="K486" s="10">
        <f>IFERROR(BDP(Database!$A486&amp;" HK Equity","A/H_SHARE_CONVERSION"),"")</f>
        <v/>
      </c>
      <c r="L486" s="17">
        <f>IF(Database!BM486="","(none found)",Database!BM486)</f>
        <v/>
      </c>
      <c r="M486" s="19">
        <f>IFERROR(BDH(Database!$A486&amp;" HK Equity","CUR_MKT_CAP",Database!$H486,Database!$H486),"")</f>
        <v/>
      </c>
      <c r="N486" s="180">
        <f>Database!Q486</f>
        <v/>
      </c>
      <c r="O486" s="24">
        <f>IFERROR(BDH(Database!$A486&amp;" HK Equity","PE_RATIO",Database!$H486,Database!$H486),"")</f>
        <v/>
      </c>
      <c r="P486" s="184">
        <f>IF(Database!BG486="","(n/m or not derivable)",Database!BG486)</f>
        <v/>
      </c>
      <c r="Q486" s="24">
        <f>IF(Database!BM486="","",IFERROR(BDH(LEFT(Database!BM486,FIND(".",Database!BM486)-1)&amp;" CH Equity","PE_RATIO",Database!$H486,Database!$H486),""))</f>
        <v/>
      </c>
      <c r="R486" s="24">
        <f>IF(Database!BM486="","",IFERROR(BDH("HSAHP Index","PX_LAST",Database!$H486,Database!$H486),""))</f>
        <v/>
      </c>
      <c r="S486" s="24">
        <f>IFERROR(BDP(Database!$A486&amp;" HK Equity","PX_TO_SALES_RATIO"),"")</f>
        <v/>
      </c>
      <c r="T486" s="19">
        <f>IF(Database!BM486="","",IFERROR(BDP(LEFT(Database!BM486,FIND(".",Database!BM486)-1)&amp;" CH Equity","CUR_MKT_CAP"),""))</f>
        <v/>
      </c>
    </row>
    <row r="487">
      <c r="A487" s="17">
        <f>Database!A487&amp;"  "&amp;Database!B487</f>
        <v/>
      </c>
      <c r="B487" s="10">
        <f>IFERROR(INDEX(BDS(Database!$A487&amp;" HK Equity","EQUITY_OFFERINGS","array=t","endcol=1"),MATCH("IPO",BDS(Database!$A487&amp;" HK Equity","EQUITY_OFFERINGS","array=t","startcol=2","endcol=2"),0)),"")</f>
        <v/>
      </c>
      <c r="C487" s="186">
        <f>IF($B487="","",IFERROR(BDP($B487&amp;" Action","CP036"),""))</f>
        <v/>
      </c>
      <c r="D487" s="187">
        <f>Database!S487</f>
        <v/>
      </c>
      <c r="E487" s="186">
        <f>IF($B487="","",IFERROR(BDP($B487&amp;" Action","CP037"),""))</f>
        <v/>
      </c>
      <c r="F487" s="187">
        <f>Database!T487</f>
        <v/>
      </c>
      <c r="G487" s="186">
        <f>IF($B487="","",IFERROR(BDP($B487&amp;" Action","GREENSHOE_FACILITY"),""))</f>
        <v/>
      </c>
      <c r="H487" s="186">
        <f>IF($B487="","",IFERROR(BDP($B487&amp;" Action","OFFERING_GREENSHOE_SHARES_EX"),""))</f>
        <v/>
      </c>
      <c r="I487" s="17">
        <f>Database!AE487</f>
        <v/>
      </c>
      <c r="J487" s="24">
        <f>IFERROR(BDP(Database!$A487&amp;" HK Equity","PE_RATIO"),"")</f>
        <v/>
      </c>
      <c r="K487" s="10">
        <f>IFERROR(BDP(Database!$A487&amp;" HK Equity","A/H_SHARE_CONVERSION"),"")</f>
        <v/>
      </c>
      <c r="L487" s="17">
        <f>IF(Database!BM487="","(none found)",Database!BM487)</f>
        <v/>
      </c>
      <c r="M487" s="19">
        <f>IFERROR(BDH(Database!$A487&amp;" HK Equity","CUR_MKT_CAP",Database!$H487,Database!$H487),"")</f>
        <v/>
      </c>
      <c r="N487" s="180">
        <f>Database!Q487</f>
        <v/>
      </c>
      <c r="O487" s="24">
        <f>IFERROR(BDH(Database!$A487&amp;" HK Equity","PE_RATIO",Database!$H487,Database!$H487),"")</f>
        <v/>
      </c>
      <c r="P487" s="184">
        <f>IF(Database!BG487="","(n/m or not derivable)",Database!BG487)</f>
        <v/>
      </c>
      <c r="Q487" s="24">
        <f>IF(Database!BM487="","",IFERROR(BDH(LEFT(Database!BM487,FIND(".",Database!BM487)-1)&amp;" CH Equity","PE_RATIO",Database!$H487,Database!$H487),""))</f>
        <v/>
      </c>
      <c r="R487" s="24">
        <f>IF(Database!BM487="","",IFERROR(BDH("HSAHP Index","PX_LAST",Database!$H487,Database!$H487),""))</f>
        <v/>
      </c>
      <c r="S487" s="24">
        <f>IFERROR(BDP(Database!$A487&amp;" HK Equity","PX_TO_SALES_RATIO"),"")</f>
        <v/>
      </c>
      <c r="T487" s="19">
        <f>IF(Database!BM487="","",IFERROR(BDP(LEFT(Database!BM487,FIND(".",Database!BM487)-1)&amp;" CH Equity","CUR_MKT_CAP"),""))</f>
        <v/>
      </c>
    </row>
    <row r="488">
      <c r="A488" s="17">
        <f>Database!A488&amp;"  "&amp;Database!B488</f>
        <v/>
      </c>
      <c r="B488" s="10">
        <f>IFERROR(INDEX(BDS(Database!$A488&amp;" HK Equity","EQUITY_OFFERINGS","array=t","endcol=1"),MATCH("IPO",BDS(Database!$A488&amp;" HK Equity","EQUITY_OFFERINGS","array=t","startcol=2","endcol=2"),0)),"")</f>
        <v/>
      </c>
      <c r="C488" s="186">
        <f>IF($B488="","",IFERROR(BDP($B488&amp;" Action","CP036"),""))</f>
        <v/>
      </c>
      <c r="D488" s="187">
        <f>Database!S488</f>
        <v/>
      </c>
      <c r="E488" s="186">
        <f>IF($B488="","",IFERROR(BDP($B488&amp;" Action","CP037"),""))</f>
        <v/>
      </c>
      <c r="F488" s="187">
        <f>Database!T488</f>
        <v/>
      </c>
      <c r="G488" s="186">
        <f>IF($B488="","",IFERROR(BDP($B488&amp;" Action","GREENSHOE_FACILITY"),""))</f>
        <v/>
      </c>
      <c r="H488" s="186">
        <f>IF($B488="","",IFERROR(BDP($B488&amp;" Action","OFFERING_GREENSHOE_SHARES_EX"),""))</f>
        <v/>
      </c>
      <c r="I488" s="17">
        <f>Database!AE488</f>
        <v/>
      </c>
      <c r="J488" s="24">
        <f>IFERROR(BDP(Database!$A488&amp;" HK Equity","PE_RATIO"),"")</f>
        <v/>
      </c>
      <c r="K488" s="10">
        <f>IFERROR(BDP(Database!$A488&amp;" HK Equity","A/H_SHARE_CONVERSION"),"")</f>
        <v/>
      </c>
      <c r="L488" s="17">
        <f>IF(Database!BM488="","(none found)",Database!BM488)</f>
        <v/>
      </c>
      <c r="M488" s="19">
        <f>IFERROR(BDH(Database!$A488&amp;" HK Equity","CUR_MKT_CAP",Database!$H488,Database!$H488),"")</f>
        <v/>
      </c>
      <c r="N488" s="180">
        <f>Database!Q488</f>
        <v/>
      </c>
      <c r="O488" s="24">
        <f>IFERROR(BDH(Database!$A488&amp;" HK Equity","PE_RATIO",Database!$H488,Database!$H488),"")</f>
        <v/>
      </c>
      <c r="P488" s="184">
        <f>IF(Database!BG488="","(n/m or not derivable)",Database!BG488)</f>
        <v/>
      </c>
      <c r="Q488" s="24">
        <f>IF(Database!BM488="","",IFERROR(BDH(LEFT(Database!BM488,FIND(".",Database!BM488)-1)&amp;" CH Equity","PE_RATIO",Database!$H488,Database!$H488),""))</f>
        <v/>
      </c>
      <c r="R488" s="24">
        <f>IF(Database!BM488="","",IFERROR(BDH("HSAHP Index","PX_LAST",Database!$H488,Database!$H488),""))</f>
        <v/>
      </c>
      <c r="S488" s="24">
        <f>IFERROR(BDP(Database!$A488&amp;" HK Equity","PX_TO_SALES_RATIO"),"")</f>
        <v/>
      </c>
      <c r="T488" s="19">
        <f>IF(Database!BM488="","",IFERROR(BDP(LEFT(Database!BM488,FIND(".",Database!BM488)-1)&amp;" CH Equity","CUR_MKT_CAP"),""))</f>
        <v/>
      </c>
    </row>
    <row r="489">
      <c r="A489" s="17">
        <f>Database!A489&amp;"  "&amp;Database!B489</f>
        <v/>
      </c>
      <c r="B489" s="10">
        <f>IFERROR(INDEX(BDS(Database!$A489&amp;" HK Equity","EQUITY_OFFERINGS","array=t","endcol=1"),MATCH("IPO",BDS(Database!$A489&amp;" HK Equity","EQUITY_OFFERINGS","array=t","startcol=2","endcol=2"),0)),"")</f>
        <v/>
      </c>
      <c r="C489" s="186">
        <f>IF($B489="","",IFERROR(BDP($B489&amp;" Action","CP036"),""))</f>
        <v/>
      </c>
      <c r="D489" s="187">
        <f>Database!S489</f>
        <v/>
      </c>
      <c r="E489" s="186">
        <f>IF($B489="","",IFERROR(BDP($B489&amp;" Action","CP037"),""))</f>
        <v/>
      </c>
      <c r="F489" s="187">
        <f>Database!T489</f>
        <v/>
      </c>
      <c r="G489" s="186">
        <f>IF($B489="","",IFERROR(BDP($B489&amp;" Action","GREENSHOE_FACILITY"),""))</f>
        <v/>
      </c>
      <c r="H489" s="186">
        <f>IF($B489="","",IFERROR(BDP($B489&amp;" Action","OFFERING_GREENSHOE_SHARES_EX"),""))</f>
        <v/>
      </c>
      <c r="I489" s="17">
        <f>Database!AE489</f>
        <v/>
      </c>
      <c r="J489" s="24">
        <f>IFERROR(BDP(Database!$A489&amp;" HK Equity","PE_RATIO"),"")</f>
        <v/>
      </c>
      <c r="K489" s="10">
        <f>IFERROR(BDP(Database!$A489&amp;" HK Equity","A/H_SHARE_CONVERSION"),"")</f>
        <v/>
      </c>
      <c r="L489" s="17">
        <f>IF(Database!BM489="","(none found)",Database!BM489)</f>
        <v/>
      </c>
      <c r="M489" s="19">
        <f>IFERROR(BDH(Database!$A489&amp;" HK Equity","CUR_MKT_CAP",Database!$H489,Database!$H489),"")</f>
        <v/>
      </c>
      <c r="N489" s="180">
        <f>Database!Q489</f>
        <v/>
      </c>
      <c r="O489" s="24">
        <f>IFERROR(BDH(Database!$A489&amp;" HK Equity","PE_RATIO",Database!$H489,Database!$H489),"")</f>
        <v/>
      </c>
      <c r="P489" s="184">
        <f>IF(Database!BG489="","(n/m or not derivable)",Database!BG489)</f>
        <v/>
      </c>
      <c r="Q489" s="24">
        <f>IF(Database!BM489="","",IFERROR(BDH(LEFT(Database!BM489,FIND(".",Database!BM489)-1)&amp;" CH Equity","PE_RATIO",Database!$H489,Database!$H489),""))</f>
        <v/>
      </c>
      <c r="R489" s="24">
        <f>IF(Database!BM489="","",IFERROR(BDH("HSAHP Index","PX_LAST",Database!$H489,Database!$H489),""))</f>
        <v/>
      </c>
      <c r="S489" s="24">
        <f>IFERROR(BDP(Database!$A489&amp;" HK Equity","PX_TO_SALES_RATIO"),"")</f>
        <v/>
      </c>
      <c r="T489" s="19">
        <f>IF(Database!BM489="","",IFERROR(BDP(LEFT(Database!BM489,FIND(".",Database!BM489)-1)&amp;" CH Equity","CUR_MKT_CAP"),""))</f>
        <v/>
      </c>
    </row>
    <row r="490">
      <c r="A490" s="17">
        <f>Database!A490&amp;"  "&amp;Database!B490</f>
        <v/>
      </c>
      <c r="B490" s="10">
        <f>IFERROR(INDEX(BDS(Database!$A490&amp;" HK Equity","EQUITY_OFFERINGS","array=t","endcol=1"),MATCH("IPO",BDS(Database!$A490&amp;" HK Equity","EQUITY_OFFERINGS","array=t","startcol=2","endcol=2"),0)),"")</f>
        <v/>
      </c>
      <c r="C490" s="186">
        <f>IF($B490="","",IFERROR(BDP($B490&amp;" Action","CP036"),""))</f>
        <v/>
      </c>
      <c r="D490" s="187">
        <f>Database!S490</f>
        <v/>
      </c>
      <c r="E490" s="186">
        <f>IF($B490="","",IFERROR(BDP($B490&amp;" Action","CP037"),""))</f>
        <v/>
      </c>
      <c r="F490" s="187">
        <f>Database!T490</f>
        <v/>
      </c>
      <c r="G490" s="186">
        <f>IF($B490="","",IFERROR(BDP($B490&amp;" Action","GREENSHOE_FACILITY"),""))</f>
        <v/>
      </c>
      <c r="H490" s="186">
        <f>IF($B490="","",IFERROR(BDP($B490&amp;" Action","OFFERING_GREENSHOE_SHARES_EX"),""))</f>
        <v/>
      </c>
      <c r="I490" s="17">
        <f>Database!AE490</f>
        <v/>
      </c>
      <c r="J490" s="24">
        <f>IFERROR(BDP(Database!$A490&amp;" HK Equity","PE_RATIO"),"")</f>
        <v/>
      </c>
      <c r="K490" s="10">
        <f>IFERROR(BDP(Database!$A490&amp;" HK Equity","A/H_SHARE_CONVERSION"),"")</f>
        <v/>
      </c>
      <c r="L490" s="17">
        <f>IF(Database!BM490="","(none found)",Database!BM490)</f>
        <v/>
      </c>
      <c r="M490" s="19">
        <f>IFERROR(BDH(Database!$A490&amp;" HK Equity","CUR_MKT_CAP",Database!$H490,Database!$H490),"")</f>
        <v/>
      </c>
      <c r="N490" s="180">
        <f>Database!Q490</f>
        <v/>
      </c>
      <c r="O490" s="24">
        <f>IFERROR(BDH(Database!$A490&amp;" HK Equity","PE_RATIO",Database!$H490,Database!$H490),"")</f>
        <v/>
      </c>
      <c r="P490" s="184">
        <f>IF(Database!BG490="","(n/m or not derivable)",Database!BG490)</f>
        <v/>
      </c>
      <c r="Q490" s="24">
        <f>IF(Database!BM490="","",IFERROR(BDH(LEFT(Database!BM490,FIND(".",Database!BM490)-1)&amp;" CH Equity","PE_RATIO",Database!$H490,Database!$H490),""))</f>
        <v/>
      </c>
      <c r="R490" s="24">
        <f>IF(Database!BM490="","",IFERROR(BDH("HSAHP Index","PX_LAST",Database!$H490,Database!$H490),""))</f>
        <v/>
      </c>
      <c r="S490" s="24">
        <f>IFERROR(BDP(Database!$A490&amp;" HK Equity","PX_TO_SALES_RATIO"),"")</f>
        <v/>
      </c>
      <c r="T490" s="19">
        <f>IF(Database!BM490="","",IFERROR(BDP(LEFT(Database!BM490,FIND(".",Database!BM490)-1)&amp;" CH Equity","CUR_MKT_CAP"),""))</f>
        <v/>
      </c>
    </row>
    <row r="491">
      <c r="A491" s="17">
        <f>Database!A491&amp;"  "&amp;Database!B491</f>
        <v/>
      </c>
      <c r="B491" s="10">
        <f>IFERROR(INDEX(BDS(Database!$A491&amp;" HK Equity","EQUITY_OFFERINGS","array=t","endcol=1"),MATCH("IPO",BDS(Database!$A491&amp;" HK Equity","EQUITY_OFFERINGS","array=t","startcol=2","endcol=2"),0)),"")</f>
        <v/>
      </c>
      <c r="C491" s="186">
        <f>IF($B491="","",IFERROR(BDP($B491&amp;" Action","CP036"),""))</f>
        <v/>
      </c>
      <c r="D491" s="187">
        <f>Database!S491</f>
        <v/>
      </c>
      <c r="E491" s="186">
        <f>IF($B491="","",IFERROR(BDP($B491&amp;" Action","CP037"),""))</f>
        <v/>
      </c>
      <c r="F491" s="187">
        <f>Database!T491</f>
        <v/>
      </c>
      <c r="G491" s="186">
        <f>IF($B491="","",IFERROR(BDP($B491&amp;" Action","GREENSHOE_FACILITY"),""))</f>
        <v/>
      </c>
      <c r="H491" s="186">
        <f>IF($B491="","",IFERROR(BDP($B491&amp;" Action","OFFERING_GREENSHOE_SHARES_EX"),""))</f>
        <v/>
      </c>
      <c r="I491" s="17">
        <f>Database!AE491</f>
        <v/>
      </c>
      <c r="J491" s="24">
        <f>IFERROR(BDP(Database!$A491&amp;" HK Equity","PE_RATIO"),"")</f>
        <v/>
      </c>
      <c r="K491" s="10">
        <f>IFERROR(BDP(Database!$A491&amp;" HK Equity","A/H_SHARE_CONVERSION"),"")</f>
        <v/>
      </c>
      <c r="L491" s="17">
        <f>IF(Database!BM491="","(none found)",Database!BM491)</f>
        <v/>
      </c>
      <c r="M491" s="19">
        <f>IFERROR(BDH(Database!$A491&amp;" HK Equity","CUR_MKT_CAP",Database!$H491,Database!$H491),"")</f>
        <v/>
      </c>
      <c r="N491" s="180">
        <f>Database!Q491</f>
        <v/>
      </c>
      <c r="O491" s="24">
        <f>IFERROR(BDH(Database!$A491&amp;" HK Equity","PE_RATIO",Database!$H491,Database!$H491),"")</f>
        <v/>
      </c>
      <c r="P491" s="184">
        <f>IF(Database!BG491="","(n/m or not derivable)",Database!BG491)</f>
        <v/>
      </c>
      <c r="Q491" s="24">
        <f>IF(Database!BM491="","",IFERROR(BDH(LEFT(Database!BM491,FIND(".",Database!BM491)-1)&amp;" CH Equity","PE_RATIO",Database!$H491,Database!$H491),""))</f>
        <v/>
      </c>
      <c r="R491" s="24">
        <f>IF(Database!BM491="","",IFERROR(BDH("HSAHP Index","PX_LAST",Database!$H491,Database!$H491),""))</f>
        <v/>
      </c>
      <c r="S491" s="24">
        <f>IFERROR(BDP(Database!$A491&amp;" HK Equity","PX_TO_SALES_RATIO"),"")</f>
        <v/>
      </c>
      <c r="T491" s="19">
        <f>IF(Database!BM491="","",IFERROR(BDP(LEFT(Database!BM491,FIND(".",Database!BM491)-1)&amp;" CH Equity","CUR_MKT_CAP"),""))</f>
        <v/>
      </c>
    </row>
    <row r="492">
      <c r="A492" s="17">
        <f>Database!A492&amp;"  "&amp;Database!B492</f>
        <v/>
      </c>
      <c r="B492" s="10">
        <f>IFERROR(INDEX(BDS(Database!$A492&amp;" HK Equity","EQUITY_OFFERINGS","array=t","endcol=1"),MATCH("IPO",BDS(Database!$A492&amp;" HK Equity","EQUITY_OFFERINGS","array=t","startcol=2","endcol=2"),0)),"")</f>
        <v/>
      </c>
      <c r="C492" s="186">
        <f>IF($B492="","",IFERROR(BDP($B492&amp;" Action","CP036"),""))</f>
        <v/>
      </c>
      <c r="D492" s="187">
        <f>Database!S492</f>
        <v/>
      </c>
      <c r="E492" s="186">
        <f>IF($B492="","",IFERROR(BDP($B492&amp;" Action","CP037"),""))</f>
        <v/>
      </c>
      <c r="F492" s="187">
        <f>Database!T492</f>
        <v/>
      </c>
      <c r="G492" s="186">
        <f>IF($B492="","",IFERROR(BDP($B492&amp;" Action","GREENSHOE_FACILITY"),""))</f>
        <v/>
      </c>
      <c r="H492" s="186">
        <f>IF($B492="","",IFERROR(BDP($B492&amp;" Action","OFFERING_GREENSHOE_SHARES_EX"),""))</f>
        <v/>
      </c>
      <c r="I492" s="17">
        <f>Database!AE492</f>
        <v/>
      </c>
      <c r="J492" s="24">
        <f>IFERROR(BDP(Database!$A492&amp;" HK Equity","PE_RATIO"),"")</f>
        <v/>
      </c>
      <c r="K492" s="10">
        <f>IFERROR(BDP(Database!$A492&amp;" HK Equity","A/H_SHARE_CONVERSION"),"")</f>
        <v/>
      </c>
      <c r="L492" s="17">
        <f>IF(Database!BM492="","(none found)",Database!BM492)</f>
        <v/>
      </c>
      <c r="M492" s="19">
        <f>IFERROR(BDH(Database!$A492&amp;" HK Equity","CUR_MKT_CAP",Database!$H492,Database!$H492),"")</f>
        <v/>
      </c>
      <c r="N492" s="180">
        <f>Database!Q492</f>
        <v/>
      </c>
      <c r="O492" s="24">
        <f>IFERROR(BDH(Database!$A492&amp;" HK Equity","PE_RATIO",Database!$H492,Database!$H492),"")</f>
        <v/>
      </c>
      <c r="P492" s="184">
        <f>IF(Database!BG492="","(n/m or not derivable)",Database!BG492)</f>
        <v/>
      </c>
      <c r="Q492" s="24">
        <f>IF(Database!BM492="","",IFERROR(BDH(LEFT(Database!BM492,FIND(".",Database!BM492)-1)&amp;" CH Equity","PE_RATIO",Database!$H492,Database!$H492),""))</f>
        <v/>
      </c>
      <c r="R492" s="24">
        <f>IF(Database!BM492="","",IFERROR(BDH("HSAHP Index","PX_LAST",Database!$H492,Database!$H492),""))</f>
        <v/>
      </c>
      <c r="S492" s="24">
        <f>IFERROR(BDP(Database!$A492&amp;" HK Equity","PX_TO_SALES_RATIO"),"")</f>
        <v/>
      </c>
      <c r="T492" s="19">
        <f>IF(Database!BM492="","",IFERROR(BDP(LEFT(Database!BM492,FIND(".",Database!BM492)-1)&amp;" CH Equity","CUR_MKT_CAP"),""))</f>
        <v/>
      </c>
    </row>
    <row r="493">
      <c r="A493" s="17">
        <f>Database!A493&amp;"  "&amp;Database!B493</f>
        <v/>
      </c>
      <c r="B493" s="10">
        <f>IFERROR(INDEX(BDS(Database!$A493&amp;" HK Equity","EQUITY_OFFERINGS","array=t","endcol=1"),MATCH("IPO",BDS(Database!$A493&amp;" HK Equity","EQUITY_OFFERINGS","array=t","startcol=2","endcol=2"),0)),"")</f>
        <v/>
      </c>
      <c r="C493" s="186">
        <f>IF($B493="","",IFERROR(BDP($B493&amp;" Action","CP036"),""))</f>
        <v/>
      </c>
      <c r="D493" s="187">
        <f>Database!S493</f>
        <v/>
      </c>
      <c r="E493" s="186">
        <f>IF($B493="","",IFERROR(BDP($B493&amp;" Action","CP037"),""))</f>
        <v/>
      </c>
      <c r="F493" s="187">
        <f>Database!T493</f>
        <v/>
      </c>
      <c r="G493" s="186">
        <f>IF($B493="","",IFERROR(BDP($B493&amp;" Action","GREENSHOE_FACILITY"),""))</f>
        <v/>
      </c>
      <c r="H493" s="186">
        <f>IF($B493="","",IFERROR(BDP($B493&amp;" Action","OFFERING_GREENSHOE_SHARES_EX"),""))</f>
        <v/>
      </c>
      <c r="I493" s="17">
        <f>Database!AE493</f>
        <v/>
      </c>
      <c r="J493" s="24">
        <f>IFERROR(BDP(Database!$A493&amp;" HK Equity","PE_RATIO"),"")</f>
        <v/>
      </c>
      <c r="K493" s="10">
        <f>IFERROR(BDP(Database!$A493&amp;" HK Equity","A/H_SHARE_CONVERSION"),"")</f>
        <v/>
      </c>
      <c r="L493" s="17">
        <f>IF(Database!BM493="","(none found)",Database!BM493)</f>
        <v/>
      </c>
      <c r="M493" s="19">
        <f>IFERROR(BDH(Database!$A493&amp;" HK Equity","CUR_MKT_CAP",Database!$H493,Database!$H493),"")</f>
        <v/>
      </c>
      <c r="N493" s="180">
        <f>Database!Q493</f>
        <v/>
      </c>
      <c r="O493" s="24">
        <f>IFERROR(BDH(Database!$A493&amp;" HK Equity","PE_RATIO",Database!$H493,Database!$H493),"")</f>
        <v/>
      </c>
      <c r="P493" s="184">
        <f>IF(Database!BG493="","(n/m or not derivable)",Database!BG493)</f>
        <v/>
      </c>
      <c r="Q493" s="24">
        <f>IF(Database!BM493="","",IFERROR(BDH(LEFT(Database!BM493,FIND(".",Database!BM493)-1)&amp;" CH Equity","PE_RATIO",Database!$H493,Database!$H493),""))</f>
        <v/>
      </c>
      <c r="R493" s="24">
        <f>IF(Database!BM493="","",IFERROR(BDH("HSAHP Index","PX_LAST",Database!$H493,Database!$H493),""))</f>
        <v/>
      </c>
      <c r="S493" s="24">
        <f>IFERROR(BDP(Database!$A493&amp;" HK Equity","PX_TO_SALES_RATIO"),"")</f>
        <v/>
      </c>
      <c r="T493" s="19">
        <f>IF(Database!BM493="","",IFERROR(BDP(LEFT(Database!BM493,FIND(".",Database!BM493)-1)&amp;" CH Equity","CUR_MKT_CAP"),""))</f>
        <v/>
      </c>
    </row>
    <row r="494">
      <c r="A494" s="17">
        <f>Database!A494&amp;"  "&amp;Database!B494</f>
        <v/>
      </c>
      <c r="B494" s="10">
        <f>IFERROR(INDEX(BDS(Database!$A494&amp;" HK Equity","EQUITY_OFFERINGS","array=t","endcol=1"),MATCH("IPO",BDS(Database!$A494&amp;" HK Equity","EQUITY_OFFERINGS","array=t","startcol=2","endcol=2"),0)),"")</f>
        <v/>
      </c>
      <c r="C494" s="186">
        <f>IF($B494="","",IFERROR(BDP($B494&amp;" Action","CP036"),""))</f>
        <v/>
      </c>
      <c r="D494" s="187">
        <f>Database!S494</f>
        <v/>
      </c>
      <c r="E494" s="186">
        <f>IF($B494="","",IFERROR(BDP($B494&amp;" Action","CP037"),""))</f>
        <v/>
      </c>
      <c r="F494" s="187">
        <f>Database!T494</f>
        <v/>
      </c>
      <c r="G494" s="186">
        <f>IF($B494="","",IFERROR(BDP($B494&amp;" Action","GREENSHOE_FACILITY"),""))</f>
        <v/>
      </c>
      <c r="H494" s="186">
        <f>IF($B494="","",IFERROR(BDP($B494&amp;" Action","OFFERING_GREENSHOE_SHARES_EX"),""))</f>
        <v/>
      </c>
      <c r="I494" s="17">
        <f>Database!AE494</f>
        <v/>
      </c>
      <c r="J494" s="24">
        <f>IFERROR(BDP(Database!$A494&amp;" HK Equity","PE_RATIO"),"")</f>
        <v/>
      </c>
      <c r="K494" s="10">
        <f>IFERROR(BDP(Database!$A494&amp;" HK Equity","A/H_SHARE_CONVERSION"),"")</f>
        <v/>
      </c>
      <c r="L494" s="17">
        <f>IF(Database!BM494="","(none found)",Database!BM494)</f>
        <v/>
      </c>
      <c r="M494" s="19">
        <f>IFERROR(BDH(Database!$A494&amp;" HK Equity","CUR_MKT_CAP",Database!$H494,Database!$H494),"")</f>
        <v/>
      </c>
      <c r="N494" s="180">
        <f>Database!Q494</f>
        <v/>
      </c>
      <c r="O494" s="24">
        <f>IFERROR(BDH(Database!$A494&amp;" HK Equity","PE_RATIO",Database!$H494,Database!$H494),"")</f>
        <v/>
      </c>
      <c r="P494" s="184">
        <f>IF(Database!BG494="","(n/m or not derivable)",Database!BG494)</f>
        <v/>
      </c>
      <c r="Q494" s="24">
        <f>IF(Database!BM494="","",IFERROR(BDH(LEFT(Database!BM494,FIND(".",Database!BM494)-1)&amp;" CH Equity","PE_RATIO",Database!$H494,Database!$H494),""))</f>
        <v/>
      </c>
      <c r="R494" s="24">
        <f>IF(Database!BM494="","",IFERROR(BDH("HSAHP Index","PX_LAST",Database!$H494,Database!$H494),""))</f>
        <v/>
      </c>
      <c r="S494" s="24">
        <f>IFERROR(BDP(Database!$A494&amp;" HK Equity","PX_TO_SALES_RATIO"),"")</f>
        <v/>
      </c>
      <c r="T494" s="19">
        <f>IF(Database!BM494="","",IFERROR(BDP(LEFT(Database!BM494,FIND(".",Database!BM494)-1)&amp;" CH Equity","CUR_MKT_CAP"),""))</f>
        <v/>
      </c>
    </row>
    <row r="495">
      <c r="A495" s="17">
        <f>Database!A495&amp;"  "&amp;Database!B495</f>
        <v/>
      </c>
      <c r="B495" s="10">
        <f>IFERROR(INDEX(BDS(Database!$A495&amp;" HK Equity","EQUITY_OFFERINGS","array=t","endcol=1"),MATCH("IPO",BDS(Database!$A495&amp;" HK Equity","EQUITY_OFFERINGS","array=t","startcol=2","endcol=2"),0)),"")</f>
        <v/>
      </c>
      <c r="C495" s="186">
        <f>IF($B495="","",IFERROR(BDP($B495&amp;" Action","CP036"),""))</f>
        <v/>
      </c>
      <c r="D495" s="187">
        <f>Database!S495</f>
        <v/>
      </c>
      <c r="E495" s="186">
        <f>IF($B495="","",IFERROR(BDP($B495&amp;" Action","CP037"),""))</f>
        <v/>
      </c>
      <c r="F495" s="187">
        <f>Database!T495</f>
        <v/>
      </c>
      <c r="G495" s="186">
        <f>IF($B495="","",IFERROR(BDP($B495&amp;" Action","GREENSHOE_FACILITY"),""))</f>
        <v/>
      </c>
      <c r="H495" s="186">
        <f>IF($B495="","",IFERROR(BDP($B495&amp;" Action","OFFERING_GREENSHOE_SHARES_EX"),""))</f>
        <v/>
      </c>
      <c r="I495" s="17">
        <f>Database!AE495</f>
        <v/>
      </c>
      <c r="J495" s="24">
        <f>IFERROR(BDP(Database!$A495&amp;" HK Equity","PE_RATIO"),"")</f>
        <v/>
      </c>
      <c r="K495" s="10">
        <f>IFERROR(BDP(Database!$A495&amp;" HK Equity","A/H_SHARE_CONVERSION"),"")</f>
        <v/>
      </c>
      <c r="L495" s="17">
        <f>IF(Database!BM495="","(none found)",Database!BM495)</f>
        <v/>
      </c>
      <c r="M495" s="19">
        <f>IFERROR(BDH(Database!$A495&amp;" HK Equity","CUR_MKT_CAP",Database!$H495,Database!$H495),"")</f>
        <v/>
      </c>
      <c r="N495" s="180">
        <f>Database!Q495</f>
        <v/>
      </c>
      <c r="O495" s="24">
        <f>IFERROR(BDH(Database!$A495&amp;" HK Equity","PE_RATIO",Database!$H495,Database!$H495),"")</f>
        <v/>
      </c>
      <c r="P495" s="184">
        <f>IF(Database!BG495="","(n/m or not derivable)",Database!BG495)</f>
        <v/>
      </c>
      <c r="Q495" s="24">
        <f>IF(Database!BM495="","",IFERROR(BDH(LEFT(Database!BM495,FIND(".",Database!BM495)-1)&amp;" CH Equity","PE_RATIO",Database!$H495,Database!$H495),""))</f>
        <v/>
      </c>
      <c r="R495" s="24">
        <f>IF(Database!BM495="","",IFERROR(BDH("HSAHP Index","PX_LAST",Database!$H495,Database!$H495),""))</f>
        <v/>
      </c>
      <c r="S495" s="24">
        <f>IFERROR(BDP(Database!$A495&amp;" HK Equity","PX_TO_SALES_RATIO"),"")</f>
        <v/>
      </c>
      <c r="T495" s="19">
        <f>IF(Database!BM495="","",IFERROR(BDP(LEFT(Database!BM495,FIND(".",Database!BM495)-1)&amp;" CH Equity","CUR_MKT_CAP"),""))</f>
        <v/>
      </c>
    </row>
    <row r="496">
      <c r="A496" s="17">
        <f>Database!A496&amp;"  "&amp;Database!B496</f>
        <v/>
      </c>
      <c r="B496" s="10">
        <f>IFERROR(INDEX(BDS(Database!$A496&amp;" HK Equity","EQUITY_OFFERINGS","array=t","endcol=1"),MATCH("IPO",BDS(Database!$A496&amp;" HK Equity","EQUITY_OFFERINGS","array=t","startcol=2","endcol=2"),0)),"")</f>
        <v/>
      </c>
      <c r="C496" s="186">
        <f>IF($B496="","",IFERROR(BDP($B496&amp;" Action","CP036"),""))</f>
        <v/>
      </c>
      <c r="D496" s="187">
        <f>Database!S496</f>
        <v/>
      </c>
      <c r="E496" s="186">
        <f>IF($B496="","",IFERROR(BDP($B496&amp;" Action","CP037"),""))</f>
        <v/>
      </c>
      <c r="F496" s="187">
        <f>Database!T496</f>
        <v/>
      </c>
      <c r="G496" s="186">
        <f>IF($B496="","",IFERROR(BDP($B496&amp;" Action","GREENSHOE_FACILITY"),""))</f>
        <v/>
      </c>
      <c r="H496" s="186">
        <f>IF($B496="","",IFERROR(BDP($B496&amp;" Action","OFFERING_GREENSHOE_SHARES_EX"),""))</f>
        <v/>
      </c>
      <c r="I496" s="17">
        <f>Database!AE496</f>
        <v/>
      </c>
      <c r="J496" s="24">
        <f>IFERROR(BDP(Database!$A496&amp;" HK Equity","PE_RATIO"),"")</f>
        <v/>
      </c>
      <c r="K496" s="10">
        <f>IFERROR(BDP(Database!$A496&amp;" HK Equity","A/H_SHARE_CONVERSION"),"")</f>
        <v/>
      </c>
      <c r="L496" s="17">
        <f>IF(Database!BM496="","(none found)",Database!BM496)</f>
        <v/>
      </c>
      <c r="M496" s="19">
        <f>IFERROR(BDH(Database!$A496&amp;" HK Equity","CUR_MKT_CAP",Database!$H496,Database!$H496),"")</f>
        <v/>
      </c>
      <c r="N496" s="180">
        <f>Database!Q496</f>
        <v/>
      </c>
      <c r="O496" s="24">
        <f>IFERROR(BDH(Database!$A496&amp;" HK Equity","PE_RATIO",Database!$H496,Database!$H496),"")</f>
        <v/>
      </c>
      <c r="P496" s="184">
        <f>IF(Database!BG496="","(n/m or not derivable)",Database!BG496)</f>
        <v/>
      </c>
      <c r="Q496" s="24">
        <f>IF(Database!BM496="","",IFERROR(BDH(LEFT(Database!BM496,FIND(".",Database!BM496)-1)&amp;" CH Equity","PE_RATIO",Database!$H496,Database!$H496),""))</f>
        <v/>
      </c>
      <c r="R496" s="24">
        <f>IF(Database!BM496="","",IFERROR(BDH("HSAHP Index","PX_LAST",Database!$H496,Database!$H496),""))</f>
        <v/>
      </c>
      <c r="S496" s="24">
        <f>IFERROR(BDP(Database!$A496&amp;" HK Equity","PX_TO_SALES_RATIO"),"")</f>
        <v/>
      </c>
      <c r="T496" s="19">
        <f>IF(Database!BM496="","",IFERROR(BDP(LEFT(Database!BM496,FIND(".",Database!BM496)-1)&amp;" CH Equity","CUR_MKT_CAP"),""))</f>
        <v/>
      </c>
    </row>
    <row r="497">
      <c r="A497" s="17">
        <f>Database!A497&amp;"  "&amp;Database!B497</f>
        <v/>
      </c>
      <c r="B497" s="10">
        <f>IFERROR(INDEX(BDS(Database!$A497&amp;" HK Equity","EQUITY_OFFERINGS","array=t","endcol=1"),MATCH("IPO",BDS(Database!$A497&amp;" HK Equity","EQUITY_OFFERINGS","array=t","startcol=2","endcol=2"),0)),"")</f>
        <v/>
      </c>
      <c r="C497" s="186">
        <f>IF($B497="","",IFERROR(BDP($B497&amp;" Action","CP036"),""))</f>
        <v/>
      </c>
      <c r="D497" s="187">
        <f>Database!S497</f>
        <v/>
      </c>
      <c r="E497" s="186">
        <f>IF($B497="","",IFERROR(BDP($B497&amp;" Action","CP037"),""))</f>
        <v/>
      </c>
      <c r="F497" s="187">
        <f>Database!T497</f>
        <v/>
      </c>
      <c r="G497" s="186">
        <f>IF($B497="","",IFERROR(BDP($B497&amp;" Action","GREENSHOE_FACILITY"),""))</f>
        <v/>
      </c>
      <c r="H497" s="186">
        <f>IF($B497="","",IFERROR(BDP($B497&amp;" Action","OFFERING_GREENSHOE_SHARES_EX"),""))</f>
        <v/>
      </c>
      <c r="I497" s="17">
        <f>Database!AE497</f>
        <v/>
      </c>
      <c r="J497" s="24">
        <f>IFERROR(BDP(Database!$A497&amp;" HK Equity","PE_RATIO"),"")</f>
        <v/>
      </c>
      <c r="K497" s="10">
        <f>IFERROR(BDP(Database!$A497&amp;" HK Equity","A/H_SHARE_CONVERSION"),"")</f>
        <v/>
      </c>
      <c r="L497" s="17">
        <f>IF(Database!BM497="","(none found)",Database!BM497)</f>
        <v/>
      </c>
      <c r="M497" s="19">
        <f>IFERROR(BDH(Database!$A497&amp;" HK Equity","CUR_MKT_CAP",Database!$H497,Database!$H497),"")</f>
        <v/>
      </c>
      <c r="N497" s="180">
        <f>Database!Q497</f>
        <v/>
      </c>
      <c r="O497" s="24">
        <f>IFERROR(BDH(Database!$A497&amp;" HK Equity","PE_RATIO",Database!$H497,Database!$H497),"")</f>
        <v/>
      </c>
      <c r="P497" s="184">
        <f>IF(Database!BG497="","(n/m or not derivable)",Database!BG497)</f>
        <v/>
      </c>
      <c r="Q497" s="24">
        <f>IF(Database!BM497="","",IFERROR(BDH(LEFT(Database!BM497,FIND(".",Database!BM497)-1)&amp;" CH Equity","PE_RATIO",Database!$H497,Database!$H497),""))</f>
        <v/>
      </c>
      <c r="R497" s="24">
        <f>IF(Database!BM497="","",IFERROR(BDH("HSAHP Index","PX_LAST",Database!$H497,Database!$H497),""))</f>
        <v/>
      </c>
      <c r="S497" s="24">
        <f>IFERROR(BDP(Database!$A497&amp;" HK Equity","PX_TO_SALES_RATIO"),"")</f>
        <v/>
      </c>
      <c r="T497" s="19">
        <f>IF(Database!BM497="","",IFERROR(BDP(LEFT(Database!BM497,FIND(".",Database!BM497)-1)&amp;" CH Equity","CUR_MKT_CAP"),""))</f>
        <v/>
      </c>
    </row>
    <row r="498">
      <c r="A498" s="17">
        <f>Database!A498&amp;"  "&amp;Database!B498</f>
        <v/>
      </c>
      <c r="B498" s="10">
        <f>IFERROR(INDEX(BDS(Database!$A498&amp;" HK Equity","EQUITY_OFFERINGS","array=t","endcol=1"),MATCH("IPO",BDS(Database!$A498&amp;" HK Equity","EQUITY_OFFERINGS","array=t","startcol=2","endcol=2"),0)),"")</f>
        <v/>
      </c>
      <c r="C498" s="186">
        <f>IF($B498="","",IFERROR(BDP($B498&amp;" Action","CP036"),""))</f>
        <v/>
      </c>
      <c r="D498" s="187">
        <f>Database!S498</f>
        <v/>
      </c>
      <c r="E498" s="186">
        <f>IF($B498="","",IFERROR(BDP($B498&amp;" Action","CP037"),""))</f>
        <v/>
      </c>
      <c r="F498" s="187">
        <f>Database!T498</f>
        <v/>
      </c>
      <c r="G498" s="186">
        <f>IF($B498="","",IFERROR(BDP($B498&amp;" Action","GREENSHOE_FACILITY"),""))</f>
        <v/>
      </c>
      <c r="H498" s="186">
        <f>IF($B498="","",IFERROR(BDP($B498&amp;" Action","OFFERING_GREENSHOE_SHARES_EX"),""))</f>
        <v/>
      </c>
      <c r="I498" s="17">
        <f>Database!AE498</f>
        <v/>
      </c>
      <c r="J498" s="24">
        <f>IFERROR(BDP(Database!$A498&amp;" HK Equity","PE_RATIO"),"")</f>
        <v/>
      </c>
      <c r="K498" s="10">
        <f>IFERROR(BDP(Database!$A498&amp;" HK Equity","A/H_SHARE_CONVERSION"),"")</f>
        <v/>
      </c>
      <c r="L498" s="17">
        <f>IF(Database!BM498="","(none found)",Database!BM498)</f>
        <v/>
      </c>
      <c r="M498" s="19">
        <f>IFERROR(BDH(Database!$A498&amp;" HK Equity","CUR_MKT_CAP",Database!$H498,Database!$H498),"")</f>
        <v/>
      </c>
      <c r="N498" s="180">
        <f>Database!Q498</f>
        <v/>
      </c>
      <c r="O498" s="24">
        <f>IFERROR(BDH(Database!$A498&amp;" HK Equity","PE_RATIO",Database!$H498,Database!$H498),"")</f>
        <v/>
      </c>
      <c r="P498" s="184">
        <f>IF(Database!BG498="","(n/m or not derivable)",Database!BG498)</f>
        <v/>
      </c>
      <c r="Q498" s="24">
        <f>IF(Database!BM498="","",IFERROR(BDH(LEFT(Database!BM498,FIND(".",Database!BM498)-1)&amp;" CH Equity","PE_RATIO",Database!$H498,Database!$H498),""))</f>
        <v/>
      </c>
      <c r="R498" s="24">
        <f>IF(Database!BM498="","",IFERROR(BDH("HSAHP Index","PX_LAST",Database!$H498,Database!$H498),""))</f>
        <v/>
      </c>
      <c r="S498" s="24">
        <f>IFERROR(BDP(Database!$A498&amp;" HK Equity","PX_TO_SALES_RATIO"),"")</f>
        <v/>
      </c>
      <c r="T498" s="19">
        <f>IF(Database!BM498="","",IFERROR(BDP(LEFT(Database!BM498,FIND(".",Database!BM498)-1)&amp;" CH Equity","CUR_MKT_CAP"),""))</f>
        <v/>
      </c>
    </row>
    <row r="499">
      <c r="A499" s="17">
        <f>Database!A499&amp;"  "&amp;Database!B499</f>
        <v/>
      </c>
      <c r="B499" s="10">
        <f>IFERROR(INDEX(BDS(Database!$A499&amp;" HK Equity","EQUITY_OFFERINGS","array=t","endcol=1"),MATCH("IPO",BDS(Database!$A499&amp;" HK Equity","EQUITY_OFFERINGS","array=t","startcol=2","endcol=2"),0)),"")</f>
        <v/>
      </c>
      <c r="C499" s="186">
        <f>IF($B499="","",IFERROR(BDP($B499&amp;" Action","CP036"),""))</f>
        <v/>
      </c>
      <c r="D499" s="187">
        <f>Database!S499</f>
        <v/>
      </c>
      <c r="E499" s="186">
        <f>IF($B499="","",IFERROR(BDP($B499&amp;" Action","CP037"),""))</f>
        <v/>
      </c>
      <c r="F499" s="187">
        <f>Database!T499</f>
        <v/>
      </c>
      <c r="G499" s="186">
        <f>IF($B499="","",IFERROR(BDP($B499&amp;" Action","GREENSHOE_FACILITY"),""))</f>
        <v/>
      </c>
      <c r="H499" s="186">
        <f>IF($B499="","",IFERROR(BDP($B499&amp;" Action","OFFERING_GREENSHOE_SHARES_EX"),""))</f>
        <v/>
      </c>
      <c r="I499" s="17">
        <f>Database!AE499</f>
        <v/>
      </c>
      <c r="J499" s="24">
        <f>IFERROR(BDP(Database!$A499&amp;" HK Equity","PE_RATIO"),"")</f>
        <v/>
      </c>
      <c r="K499" s="10">
        <f>IFERROR(BDP(Database!$A499&amp;" HK Equity","A/H_SHARE_CONVERSION"),"")</f>
        <v/>
      </c>
      <c r="L499" s="17">
        <f>IF(Database!BM499="","(none found)",Database!BM499)</f>
        <v/>
      </c>
      <c r="M499" s="19">
        <f>IFERROR(BDH(Database!$A499&amp;" HK Equity","CUR_MKT_CAP",Database!$H499,Database!$H499),"")</f>
        <v/>
      </c>
      <c r="N499" s="180">
        <f>Database!Q499</f>
        <v/>
      </c>
      <c r="O499" s="24">
        <f>IFERROR(BDH(Database!$A499&amp;" HK Equity","PE_RATIO",Database!$H499,Database!$H499),"")</f>
        <v/>
      </c>
      <c r="P499" s="184">
        <f>IF(Database!BG499="","(n/m or not derivable)",Database!BG499)</f>
        <v/>
      </c>
      <c r="Q499" s="24">
        <f>IF(Database!BM499="","",IFERROR(BDH(LEFT(Database!BM499,FIND(".",Database!BM499)-1)&amp;" CH Equity","PE_RATIO",Database!$H499,Database!$H499),""))</f>
        <v/>
      </c>
      <c r="R499" s="24">
        <f>IF(Database!BM499="","",IFERROR(BDH("HSAHP Index","PX_LAST",Database!$H499,Database!$H499),""))</f>
        <v/>
      </c>
      <c r="S499" s="24">
        <f>IFERROR(BDP(Database!$A499&amp;" HK Equity","PX_TO_SALES_RATIO"),"")</f>
        <v/>
      </c>
      <c r="T499" s="19">
        <f>IF(Database!BM499="","",IFERROR(BDP(LEFT(Database!BM499,FIND(".",Database!BM499)-1)&amp;" CH Equity","CUR_MKT_CAP"),""))</f>
        <v/>
      </c>
    </row>
    <row r="500">
      <c r="A500" s="17">
        <f>Database!A500&amp;"  "&amp;Database!B500</f>
        <v/>
      </c>
      <c r="B500" s="10">
        <f>IFERROR(INDEX(BDS(Database!$A500&amp;" HK Equity","EQUITY_OFFERINGS","array=t","endcol=1"),MATCH("IPO",BDS(Database!$A500&amp;" HK Equity","EQUITY_OFFERINGS","array=t","startcol=2","endcol=2"),0)),"")</f>
        <v/>
      </c>
      <c r="C500" s="186">
        <f>IF($B500="","",IFERROR(BDP($B500&amp;" Action","CP036"),""))</f>
        <v/>
      </c>
      <c r="D500" s="187">
        <f>Database!S500</f>
        <v/>
      </c>
      <c r="E500" s="186">
        <f>IF($B500="","",IFERROR(BDP($B500&amp;" Action","CP037"),""))</f>
        <v/>
      </c>
      <c r="F500" s="187">
        <f>Database!T500</f>
        <v/>
      </c>
      <c r="G500" s="186">
        <f>IF($B500="","",IFERROR(BDP($B500&amp;" Action","GREENSHOE_FACILITY"),""))</f>
        <v/>
      </c>
      <c r="H500" s="186">
        <f>IF($B500="","",IFERROR(BDP($B500&amp;" Action","OFFERING_GREENSHOE_SHARES_EX"),""))</f>
        <v/>
      </c>
      <c r="I500" s="17">
        <f>Database!AE500</f>
        <v/>
      </c>
      <c r="J500" s="24">
        <f>IFERROR(BDP(Database!$A500&amp;" HK Equity","PE_RATIO"),"")</f>
        <v/>
      </c>
      <c r="K500" s="10">
        <f>IFERROR(BDP(Database!$A500&amp;" HK Equity","A/H_SHARE_CONVERSION"),"")</f>
        <v/>
      </c>
      <c r="L500" s="17">
        <f>IF(Database!BM500="","(none found)",Database!BM500)</f>
        <v/>
      </c>
      <c r="M500" s="19">
        <f>IFERROR(BDH(Database!$A500&amp;" HK Equity","CUR_MKT_CAP",Database!$H500,Database!$H500),"")</f>
        <v/>
      </c>
      <c r="N500" s="180">
        <f>Database!Q500</f>
        <v/>
      </c>
      <c r="O500" s="24">
        <f>IFERROR(BDH(Database!$A500&amp;" HK Equity","PE_RATIO",Database!$H500,Database!$H500),"")</f>
        <v/>
      </c>
      <c r="P500" s="184">
        <f>IF(Database!BG500="","(n/m or not derivable)",Database!BG500)</f>
        <v/>
      </c>
      <c r="Q500" s="24">
        <f>IF(Database!BM500="","",IFERROR(BDH(LEFT(Database!BM500,FIND(".",Database!BM500)-1)&amp;" CH Equity","PE_RATIO",Database!$H500,Database!$H500),""))</f>
        <v/>
      </c>
      <c r="R500" s="24">
        <f>IF(Database!BM500="","",IFERROR(BDH("HSAHP Index","PX_LAST",Database!$H500,Database!$H500),""))</f>
        <v/>
      </c>
      <c r="S500" s="24">
        <f>IFERROR(BDP(Database!$A500&amp;" HK Equity","PX_TO_SALES_RATIO"),"")</f>
        <v/>
      </c>
      <c r="T500" s="19">
        <f>IF(Database!BM500="","",IFERROR(BDP(LEFT(Database!BM500,FIND(".",Database!BM500)-1)&amp;" CH Equity","CUR_MKT_CAP"),""))</f>
        <v/>
      </c>
    </row>
    <row r="501">
      <c r="A501" s="17">
        <f>Database!A501&amp;"  "&amp;Database!B501</f>
        <v/>
      </c>
      <c r="B501" s="10">
        <f>IFERROR(INDEX(BDS(Database!$A501&amp;" HK Equity","EQUITY_OFFERINGS","array=t","endcol=1"),MATCH("IPO",BDS(Database!$A501&amp;" HK Equity","EQUITY_OFFERINGS","array=t","startcol=2","endcol=2"),0)),"")</f>
        <v/>
      </c>
      <c r="C501" s="186">
        <f>IF($B501="","",IFERROR(BDP($B501&amp;" Action","CP036"),""))</f>
        <v/>
      </c>
      <c r="D501" s="187">
        <f>Database!S501</f>
        <v/>
      </c>
      <c r="E501" s="186">
        <f>IF($B501="","",IFERROR(BDP($B501&amp;" Action","CP037"),""))</f>
        <v/>
      </c>
      <c r="F501" s="187">
        <f>Database!T501</f>
        <v/>
      </c>
      <c r="G501" s="186">
        <f>IF($B501="","",IFERROR(BDP($B501&amp;" Action","GREENSHOE_FACILITY"),""))</f>
        <v/>
      </c>
      <c r="H501" s="186">
        <f>IF($B501="","",IFERROR(BDP($B501&amp;" Action","OFFERING_GREENSHOE_SHARES_EX"),""))</f>
        <v/>
      </c>
      <c r="I501" s="17">
        <f>Database!AE501</f>
        <v/>
      </c>
      <c r="J501" s="24">
        <f>IFERROR(BDP(Database!$A501&amp;" HK Equity","PE_RATIO"),"")</f>
        <v/>
      </c>
      <c r="K501" s="10">
        <f>IFERROR(BDP(Database!$A501&amp;" HK Equity","A/H_SHARE_CONVERSION"),"")</f>
        <v/>
      </c>
      <c r="L501" s="17">
        <f>IF(Database!BM501="","(none found)",Database!BM501)</f>
        <v/>
      </c>
      <c r="M501" s="19">
        <f>IFERROR(BDH(Database!$A501&amp;" HK Equity","CUR_MKT_CAP",Database!$H501,Database!$H501),"")</f>
        <v/>
      </c>
      <c r="N501" s="180">
        <f>Database!Q501</f>
        <v/>
      </c>
      <c r="O501" s="24">
        <f>IFERROR(BDH(Database!$A501&amp;" HK Equity","PE_RATIO",Database!$H501,Database!$H501),"")</f>
        <v/>
      </c>
      <c r="P501" s="184">
        <f>IF(Database!BG501="","(n/m or not derivable)",Database!BG501)</f>
        <v/>
      </c>
      <c r="Q501" s="24">
        <f>IF(Database!BM501="","",IFERROR(BDH(LEFT(Database!BM501,FIND(".",Database!BM501)-1)&amp;" CH Equity","PE_RATIO",Database!$H501,Database!$H501),""))</f>
        <v/>
      </c>
      <c r="R501" s="24">
        <f>IF(Database!BM501="","",IFERROR(BDH("HSAHP Index","PX_LAST",Database!$H501,Database!$H501),""))</f>
        <v/>
      </c>
      <c r="S501" s="24">
        <f>IFERROR(BDP(Database!$A501&amp;" HK Equity","PX_TO_SALES_RATIO"),"")</f>
        <v/>
      </c>
      <c r="T501" s="19">
        <f>IF(Database!BM501="","",IFERROR(BDP(LEFT(Database!BM501,FIND(".",Database!BM501)-1)&amp;" CH Equity","CUR_MKT_CAP"),""))</f>
        <v/>
      </c>
    </row>
    <row r="502">
      <c r="A502" s="17">
        <f>Database!A502&amp;"  "&amp;Database!B502</f>
        <v/>
      </c>
      <c r="B502" s="10">
        <f>IFERROR(INDEX(BDS(Database!$A502&amp;" HK Equity","EQUITY_OFFERINGS","array=t","endcol=1"),MATCH("IPO",BDS(Database!$A502&amp;" HK Equity","EQUITY_OFFERINGS","array=t","startcol=2","endcol=2"),0)),"")</f>
        <v/>
      </c>
      <c r="C502" s="186">
        <f>IF($B502="","",IFERROR(BDP($B502&amp;" Action","CP036"),""))</f>
        <v/>
      </c>
      <c r="D502" s="187">
        <f>Database!S502</f>
        <v/>
      </c>
      <c r="E502" s="186">
        <f>IF($B502="","",IFERROR(BDP($B502&amp;" Action","CP037"),""))</f>
        <v/>
      </c>
      <c r="F502" s="187">
        <f>Database!T502</f>
        <v/>
      </c>
      <c r="G502" s="186">
        <f>IF($B502="","",IFERROR(BDP($B502&amp;" Action","GREENSHOE_FACILITY"),""))</f>
        <v/>
      </c>
      <c r="H502" s="186">
        <f>IF($B502="","",IFERROR(BDP($B502&amp;" Action","OFFERING_GREENSHOE_SHARES_EX"),""))</f>
        <v/>
      </c>
      <c r="I502" s="17">
        <f>Database!AE502</f>
        <v/>
      </c>
      <c r="J502" s="24">
        <f>IFERROR(BDP(Database!$A502&amp;" HK Equity","PE_RATIO"),"")</f>
        <v/>
      </c>
      <c r="K502" s="10">
        <f>IFERROR(BDP(Database!$A502&amp;" HK Equity","A/H_SHARE_CONVERSION"),"")</f>
        <v/>
      </c>
      <c r="L502" s="17">
        <f>IF(Database!BM502="","(none found)",Database!BM502)</f>
        <v/>
      </c>
      <c r="M502" s="19">
        <f>IFERROR(BDH(Database!$A502&amp;" HK Equity","CUR_MKT_CAP",Database!$H502,Database!$H502),"")</f>
        <v/>
      </c>
      <c r="N502" s="180">
        <f>Database!Q502</f>
        <v/>
      </c>
      <c r="O502" s="24">
        <f>IFERROR(BDH(Database!$A502&amp;" HK Equity","PE_RATIO",Database!$H502,Database!$H502),"")</f>
        <v/>
      </c>
      <c r="P502" s="184">
        <f>IF(Database!BG502="","(n/m or not derivable)",Database!BG502)</f>
        <v/>
      </c>
      <c r="Q502" s="24">
        <f>IF(Database!BM502="","",IFERROR(BDH(LEFT(Database!BM502,FIND(".",Database!BM502)-1)&amp;" CH Equity","PE_RATIO",Database!$H502,Database!$H502),""))</f>
        <v/>
      </c>
      <c r="R502" s="24">
        <f>IF(Database!BM502="","",IFERROR(BDH("HSAHP Index","PX_LAST",Database!$H502,Database!$H502),""))</f>
        <v/>
      </c>
      <c r="S502" s="24">
        <f>IFERROR(BDP(Database!$A502&amp;" HK Equity","PX_TO_SALES_RATIO"),"")</f>
        <v/>
      </c>
      <c r="T502" s="19">
        <f>IF(Database!BM502="","",IFERROR(BDP(LEFT(Database!BM502,FIND(".",Database!BM502)-1)&amp;" CH Equity","CUR_MKT_CAP"),""))</f>
        <v/>
      </c>
    </row>
    <row r="503">
      <c r="A503" s="17">
        <f>Database!A503&amp;"  "&amp;Database!B503</f>
        <v/>
      </c>
      <c r="B503" s="10">
        <f>IFERROR(INDEX(BDS(Database!$A503&amp;" HK Equity","EQUITY_OFFERINGS","array=t","endcol=1"),MATCH("IPO",BDS(Database!$A503&amp;" HK Equity","EQUITY_OFFERINGS","array=t","startcol=2","endcol=2"),0)),"")</f>
        <v/>
      </c>
      <c r="C503" s="186">
        <f>IF($B503="","",IFERROR(BDP($B503&amp;" Action","CP036"),""))</f>
        <v/>
      </c>
      <c r="D503" s="187">
        <f>Database!S503</f>
        <v/>
      </c>
      <c r="E503" s="186">
        <f>IF($B503="","",IFERROR(BDP($B503&amp;" Action","CP037"),""))</f>
        <v/>
      </c>
      <c r="F503" s="187">
        <f>Database!T503</f>
        <v/>
      </c>
      <c r="G503" s="186">
        <f>IF($B503="","",IFERROR(BDP($B503&amp;" Action","GREENSHOE_FACILITY"),""))</f>
        <v/>
      </c>
      <c r="H503" s="186">
        <f>IF($B503="","",IFERROR(BDP($B503&amp;" Action","OFFERING_GREENSHOE_SHARES_EX"),""))</f>
        <v/>
      </c>
      <c r="I503" s="17">
        <f>Database!AE503</f>
        <v/>
      </c>
      <c r="J503" s="24">
        <f>IFERROR(BDP(Database!$A503&amp;" HK Equity","PE_RATIO"),"")</f>
        <v/>
      </c>
      <c r="K503" s="10">
        <f>IFERROR(BDP(Database!$A503&amp;" HK Equity","A/H_SHARE_CONVERSION"),"")</f>
        <v/>
      </c>
      <c r="L503" s="17">
        <f>IF(Database!BM503="","(none found)",Database!BM503)</f>
        <v/>
      </c>
      <c r="M503" s="19">
        <f>IFERROR(BDH(Database!$A503&amp;" HK Equity","CUR_MKT_CAP",Database!$H503,Database!$H503),"")</f>
        <v/>
      </c>
      <c r="N503" s="180">
        <f>Database!Q503</f>
        <v/>
      </c>
      <c r="O503" s="24">
        <f>IFERROR(BDH(Database!$A503&amp;" HK Equity","PE_RATIO",Database!$H503,Database!$H503),"")</f>
        <v/>
      </c>
      <c r="P503" s="184">
        <f>IF(Database!BG503="","(n/m or not derivable)",Database!BG503)</f>
        <v/>
      </c>
      <c r="Q503" s="24">
        <f>IF(Database!BM503="","",IFERROR(BDH(LEFT(Database!BM503,FIND(".",Database!BM503)-1)&amp;" CH Equity","PE_RATIO",Database!$H503,Database!$H503),""))</f>
        <v/>
      </c>
      <c r="R503" s="24">
        <f>IF(Database!BM503="","",IFERROR(BDH("HSAHP Index","PX_LAST",Database!$H503,Database!$H503),""))</f>
        <v/>
      </c>
      <c r="S503" s="24">
        <f>IFERROR(BDP(Database!$A503&amp;" HK Equity","PX_TO_SALES_RATIO"),"")</f>
        <v/>
      </c>
      <c r="T503" s="19">
        <f>IF(Database!BM503="","",IFERROR(BDP(LEFT(Database!BM503,FIND(".",Database!BM503)-1)&amp;" CH Equity","CUR_MKT_CAP"),""))</f>
        <v/>
      </c>
    </row>
    <row r="504">
      <c r="A504" s="17">
        <f>Database!A504&amp;"  "&amp;Database!B504</f>
        <v/>
      </c>
      <c r="B504" s="10">
        <f>IFERROR(INDEX(BDS(Database!$A504&amp;" HK Equity","EQUITY_OFFERINGS","array=t","endcol=1"),MATCH("IPO",BDS(Database!$A504&amp;" HK Equity","EQUITY_OFFERINGS","array=t","startcol=2","endcol=2"),0)),"")</f>
        <v/>
      </c>
      <c r="C504" s="186">
        <f>IF($B504="","",IFERROR(BDP($B504&amp;" Action","CP036"),""))</f>
        <v/>
      </c>
      <c r="D504" s="187">
        <f>Database!S504</f>
        <v/>
      </c>
      <c r="E504" s="186">
        <f>IF($B504="","",IFERROR(BDP($B504&amp;" Action","CP037"),""))</f>
        <v/>
      </c>
      <c r="F504" s="187">
        <f>Database!T504</f>
        <v/>
      </c>
      <c r="G504" s="186">
        <f>IF($B504="","",IFERROR(BDP($B504&amp;" Action","GREENSHOE_FACILITY"),""))</f>
        <v/>
      </c>
      <c r="H504" s="186">
        <f>IF($B504="","",IFERROR(BDP($B504&amp;" Action","OFFERING_GREENSHOE_SHARES_EX"),""))</f>
        <v/>
      </c>
      <c r="I504" s="17">
        <f>Database!AE504</f>
        <v/>
      </c>
      <c r="J504" s="24">
        <f>IFERROR(BDP(Database!$A504&amp;" HK Equity","PE_RATIO"),"")</f>
        <v/>
      </c>
      <c r="K504" s="10">
        <f>IFERROR(BDP(Database!$A504&amp;" HK Equity","A/H_SHARE_CONVERSION"),"")</f>
        <v/>
      </c>
      <c r="L504" s="17">
        <f>IF(Database!BM504="","(none found)",Database!BM504)</f>
        <v/>
      </c>
      <c r="M504" s="19">
        <f>IFERROR(BDH(Database!$A504&amp;" HK Equity","CUR_MKT_CAP",Database!$H504,Database!$H504),"")</f>
        <v/>
      </c>
      <c r="N504" s="180">
        <f>Database!Q504</f>
        <v/>
      </c>
      <c r="O504" s="24">
        <f>IFERROR(BDH(Database!$A504&amp;" HK Equity","PE_RATIO",Database!$H504,Database!$H504),"")</f>
        <v/>
      </c>
      <c r="P504" s="184">
        <f>IF(Database!BG504="","(n/m or not derivable)",Database!BG504)</f>
        <v/>
      </c>
      <c r="Q504" s="24">
        <f>IF(Database!BM504="","",IFERROR(BDH(LEFT(Database!BM504,FIND(".",Database!BM504)-1)&amp;" CH Equity","PE_RATIO",Database!$H504,Database!$H504),""))</f>
        <v/>
      </c>
      <c r="R504" s="24">
        <f>IF(Database!BM504="","",IFERROR(BDH("HSAHP Index","PX_LAST",Database!$H504,Database!$H504),""))</f>
        <v/>
      </c>
      <c r="S504" s="24">
        <f>IFERROR(BDP(Database!$A504&amp;" HK Equity","PX_TO_SALES_RATIO"),"")</f>
        <v/>
      </c>
      <c r="T504" s="19">
        <f>IF(Database!BM504="","",IFERROR(BDP(LEFT(Database!BM504,FIND(".",Database!BM504)-1)&amp;" CH Equity","CUR_MKT_CAP"),""))</f>
        <v/>
      </c>
    </row>
    <row r="505">
      <c r="A505" s="17">
        <f>Database!A505&amp;"  "&amp;Database!B505</f>
        <v/>
      </c>
      <c r="B505" s="10">
        <f>IFERROR(INDEX(BDS(Database!$A505&amp;" HK Equity","EQUITY_OFFERINGS","array=t","endcol=1"),MATCH("IPO",BDS(Database!$A505&amp;" HK Equity","EQUITY_OFFERINGS","array=t","startcol=2","endcol=2"),0)),"")</f>
        <v/>
      </c>
      <c r="C505" s="186">
        <f>IF($B505="","",IFERROR(BDP($B505&amp;" Action","CP036"),""))</f>
        <v/>
      </c>
      <c r="D505" s="187">
        <f>Database!S505</f>
        <v/>
      </c>
      <c r="E505" s="186">
        <f>IF($B505="","",IFERROR(BDP($B505&amp;" Action","CP037"),""))</f>
        <v/>
      </c>
      <c r="F505" s="187">
        <f>Database!T505</f>
        <v/>
      </c>
      <c r="G505" s="186">
        <f>IF($B505="","",IFERROR(BDP($B505&amp;" Action","GREENSHOE_FACILITY"),""))</f>
        <v/>
      </c>
      <c r="H505" s="186">
        <f>IF($B505="","",IFERROR(BDP($B505&amp;" Action","OFFERING_GREENSHOE_SHARES_EX"),""))</f>
        <v/>
      </c>
      <c r="I505" s="17">
        <f>Database!AE505</f>
        <v/>
      </c>
      <c r="J505" s="24">
        <f>IFERROR(BDP(Database!$A505&amp;" HK Equity","PE_RATIO"),"")</f>
        <v/>
      </c>
      <c r="K505" s="10">
        <f>IFERROR(BDP(Database!$A505&amp;" HK Equity","A/H_SHARE_CONVERSION"),"")</f>
        <v/>
      </c>
      <c r="L505" s="17">
        <f>IF(Database!BM505="","(none found)",Database!BM505)</f>
        <v/>
      </c>
      <c r="M505" s="19">
        <f>IFERROR(BDH(Database!$A505&amp;" HK Equity","CUR_MKT_CAP",Database!$H505,Database!$H505),"")</f>
        <v/>
      </c>
      <c r="N505" s="180">
        <f>Database!Q505</f>
        <v/>
      </c>
      <c r="O505" s="24">
        <f>IFERROR(BDH(Database!$A505&amp;" HK Equity","PE_RATIO",Database!$H505,Database!$H505),"")</f>
        <v/>
      </c>
      <c r="P505" s="184">
        <f>IF(Database!BG505="","(n/m or not derivable)",Database!BG505)</f>
        <v/>
      </c>
      <c r="Q505" s="24">
        <f>IF(Database!BM505="","",IFERROR(BDH(LEFT(Database!BM505,FIND(".",Database!BM505)-1)&amp;" CH Equity","PE_RATIO",Database!$H505,Database!$H505),""))</f>
        <v/>
      </c>
      <c r="R505" s="24">
        <f>IF(Database!BM505="","",IFERROR(BDH("HSAHP Index","PX_LAST",Database!$H505,Database!$H505),""))</f>
        <v/>
      </c>
      <c r="S505" s="24">
        <f>IFERROR(BDP(Database!$A505&amp;" HK Equity","PX_TO_SALES_RATIO"),"")</f>
        <v/>
      </c>
      <c r="T505" s="19">
        <f>IF(Database!BM505="","",IFERROR(BDP(LEFT(Database!BM505,FIND(".",Database!BM505)-1)&amp;" CH Equity","CUR_MKT_CAP"),""))</f>
        <v/>
      </c>
    </row>
    <row r="506">
      <c r="A506" s="17">
        <f>Database!A506&amp;"  "&amp;Database!B506</f>
        <v/>
      </c>
      <c r="B506" s="10">
        <f>IFERROR(INDEX(BDS(Database!$A506&amp;" HK Equity","EQUITY_OFFERINGS","array=t","endcol=1"),MATCH("IPO",BDS(Database!$A506&amp;" HK Equity","EQUITY_OFFERINGS","array=t","startcol=2","endcol=2"),0)),"")</f>
        <v/>
      </c>
      <c r="C506" s="186">
        <f>IF($B506="","",IFERROR(BDP($B506&amp;" Action","CP036"),""))</f>
        <v/>
      </c>
      <c r="D506" s="187">
        <f>Database!S506</f>
        <v/>
      </c>
      <c r="E506" s="186">
        <f>IF($B506="","",IFERROR(BDP($B506&amp;" Action","CP037"),""))</f>
        <v/>
      </c>
      <c r="F506" s="187">
        <f>Database!T506</f>
        <v/>
      </c>
      <c r="G506" s="186">
        <f>IF($B506="","",IFERROR(BDP($B506&amp;" Action","GREENSHOE_FACILITY"),""))</f>
        <v/>
      </c>
      <c r="H506" s="186">
        <f>IF($B506="","",IFERROR(BDP($B506&amp;" Action","OFFERING_GREENSHOE_SHARES_EX"),""))</f>
        <v/>
      </c>
      <c r="I506" s="17">
        <f>Database!AE506</f>
        <v/>
      </c>
      <c r="J506" s="24">
        <f>IFERROR(BDP(Database!$A506&amp;" HK Equity","PE_RATIO"),"")</f>
        <v/>
      </c>
      <c r="K506" s="10">
        <f>IFERROR(BDP(Database!$A506&amp;" HK Equity","A/H_SHARE_CONVERSION"),"")</f>
        <v/>
      </c>
      <c r="L506" s="17">
        <f>IF(Database!BM506="","(none found)",Database!BM506)</f>
        <v/>
      </c>
      <c r="M506" s="19">
        <f>IFERROR(BDH(Database!$A506&amp;" HK Equity","CUR_MKT_CAP",Database!$H506,Database!$H506),"")</f>
        <v/>
      </c>
      <c r="N506" s="180">
        <f>Database!Q506</f>
        <v/>
      </c>
      <c r="O506" s="24">
        <f>IFERROR(BDH(Database!$A506&amp;" HK Equity","PE_RATIO",Database!$H506,Database!$H506),"")</f>
        <v/>
      </c>
      <c r="P506" s="184">
        <f>IF(Database!BG506="","(n/m or not derivable)",Database!BG506)</f>
        <v/>
      </c>
      <c r="Q506" s="24">
        <f>IF(Database!BM506="","",IFERROR(BDH(LEFT(Database!BM506,FIND(".",Database!BM506)-1)&amp;" CH Equity","PE_RATIO",Database!$H506,Database!$H506),""))</f>
        <v/>
      </c>
      <c r="R506" s="24">
        <f>IF(Database!BM506="","",IFERROR(BDH("HSAHP Index","PX_LAST",Database!$H506,Database!$H506),""))</f>
        <v/>
      </c>
      <c r="S506" s="24">
        <f>IFERROR(BDP(Database!$A506&amp;" HK Equity","PX_TO_SALES_RATIO"),"")</f>
        <v/>
      </c>
      <c r="T506" s="19">
        <f>IF(Database!BM506="","",IFERROR(BDP(LEFT(Database!BM506,FIND(".",Database!BM506)-1)&amp;" CH Equity","CUR_MKT_CAP"),""))</f>
        <v/>
      </c>
    </row>
    <row r="507">
      <c r="A507" s="17">
        <f>Database!A507&amp;"  "&amp;Database!B507</f>
        <v/>
      </c>
      <c r="B507" s="10">
        <f>IFERROR(INDEX(BDS(Database!$A507&amp;" HK Equity","EQUITY_OFFERINGS","array=t","endcol=1"),MATCH("IPO",BDS(Database!$A507&amp;" HK Equity","EQUITY_OFFERINGS","array=t","startcol=2","endcol=2"),0)),"")</f>
        <v/>
      </c>
      <c r="C507" s="186">
        <f>IF($B507="","",IFERROR(BDP($B507&amp;" Action","CP036"),""))</f>
        <v/>
      </c>
      <c r="D507" s="187">
        <f>Database!S507</f>
        <v/>
      </c>
      <c r="E507" s="186">
        <f>IF($B507="","",IFERROR(BDP($B507&amp;" Action","CP037"),""))</f>
        <v/>
      </c>
      <c r="F507" s="187">
        <f>Database!T507</f>
        <v/>
      </c>
      <c r="G507" s="186">
        <f>IF($B507="","",IFERROR(BDP($B507&amp;" Action","GREENSHOE_FACILITY"),""))</f>
        <v/>
      </c>
      <c r="H507" s="186">
        <f>IF($B507="","",IFERROR(BDP($B507&amp;" Action","OFFERING_GREENSHOE_SHARES_EX"),""))</f>
        <v/>
      </c>
      <c r="I507" s="17">
        <f>Database!AE507</f>
        <v/>
      </c>
      <c r="J507" s="24">
        <f>IFERROR(BDP(Database!$A507&amp;" HK Equity","PE_RATIO"),"")</f>
        <v/>
      </c>
      <c r="K507" s="10">
        <f>IFERROR(BDP(Database!$A507&amp;" HK Equity","A/H_SHARE_CONVERSION"),"")</f>
        <v/>
      </c>
      <c r="L507" s="17">
        <f>IF(Database!BM507="","(none found)",Database!BM507)</f>
        <v/>
      </c>
      <c r="M507" s="19">
        <f>IFERROR(BDH(Database!$A507&amp;" HK Equity","CUR_MKT_CAP",Database!$H507,Database!$H507),"")</f>
        <v/>
      </c>
      <c r="N507" s="180">
        <f>Database!Q507</f>
        <v/>
      </c>
      <c r="O507" s="24">
        <f>IFERROR(BDH(Database!$A507&amp;" HK Equity","PE_RATIO",Database!$H507,Database!$H507),"")</f>
        <v/>
      </c>
      <c r="P507" s="184">
        <f>IF(Database!BG507="","(n/m or not derivable)",Database!BG507)</f>
        <v/>
      </c>
      <c r="Q507" s="24">
        <f>IF(Database!BM507="","",IFERROR(BDH(LEFT(Database!BM507,FIND(".",Database!BM507)-1)&amp;" CH Equity","PE_RATIO",Database!$H507,Database!$H507),""))</f>
        <v/>
      </c>
      <c r="R507" s="24">
        <f>IF(Database!BM507="","",IFERROR(BDH("HSAHP Index","PX_LAST",Database!$H507,Database!$H507),""))</f>
        <v/>
      </c>
      <c r="S507" s="24">
        <f>IFERROR(BDP(Database!$A507&amp;" HK Equity","PX_TO_SALES_RATIO"),"")</f>
        <v/>
      </c>
      <c r="T507" s="19">
        <f>IF(Database!BM507="","",IFERROR(BDP(LEFT(Database!BM507,FIND(".",Database!BM507)-1)&amp;" CH Equity","CUR_MKT_CAP"),""))</f>
        <v/>
      </c>
    </row>
    <row r="508">
      <c r="A508" s="17">
        <f>Database!A508&amp;"  "&amp;Database!B508</f>
        <v/>
      </c>
      <c r="B508" s="10">
        <f>IFERROR(INDEX(BDS(Database!$A508&amp;" HK Equity","EQUITY_OFFERINGS","array=t","endcol=1"),MATCH("IPO",BDS(Database!$A508&amp;" HK Equity","EQUITY_OFFERINGS","array=t","startcol=2","endcol=2"),0)),"")</f>
        <v/>
      </c>
      <c r="C508" s="186">
        <f>IF($B508="","",IFERROR(BDP($B508&amp;" Action","CP036"),""))</f>
        <v/>
      </c>
      <c r="D508" s="187">
        <f>Database!S508</f>
        <v/>
      </c>
      <c r="E508" s="186">
        <f>IF($B508="","",IFERROR(BDP($B508&amp;" Action","CP037"),""))</f>
        <v/>
      </c>
      <c r="F508" s="187">
        <f>Database!T508</f>
        <v/>
      </c>
      <c r="G508" s="186">
        <f>IF($B508="","",IFERROR(BDP($B508&amp;" Action","GREENSHOE_FACILITY"),""))</f>
        <v/>
      </c>
      <c r="H508" s="186">
        <f>IF($B508="","",IFERROR(BDP($B508&amp;" Action","OFFERING_GREENSHOE_SHARES_EX"),""))</f>
        <v/>
      </c>
      <c r="I508" s="17">
        <f>Database!AE508</f>
        <v/>
      </c>
      <c r="J508" s="24">
        <f>IFERROR(BDP(Database!$A508&amp;" HK Equity","PE_RATIO"),"")</f>
        <v/>
      </c>
      <c r="K508" s="10">
        <f>IFERROR(BDP(Database!$A508&amp;" HK Equity","A/H_SHARE_CONVERSION"),"")</f>
        <v/>
      </c>
      <c r="L508" s="17">
        <f>IF(Database!BM508="","(none found)",Database!BM508)</f>
        <v/>
      </c>
      <c r="M508" s="19">
        <f>IFERROR(BDH(Database!$A508&amp;" HK Equity","CUR_MKT_CAP",Database!$H508,Database!$H508),"")</f>
        <v/>
      </c>
      <c r="N508" s="180">
        <f>Database!Q508</f>
        <v/>
      </c>
      <c r="O508" s="24">
        <f>IFERROR(BDH(Database!$A508&amp;" HK Equity","PE_RATIO",Database!$H508,Database!$H508),"")</f>
        <v/>
      </c>
      <c r="P508" s="184">
        <f>IF(Database!BG508="","(n/m or not derivable)",Database!BG508)</f>
        <v/>
      </c>
      <c r="Q508" s="24">
        <f>IF(Database!BM508="","",IFERROR(BDH(LEFT(Database!BM508,FIND(".",Database!BM508)-1)&amp;" CH Equity","PE_RATIO",Database!$H508,Database!$H508),""))</f>
        <v/>
      </c>
      <c r="R508" s="24">
        <f>IF(Database!BM508="","",IFERROR(BDH("HSAHP Index","PX_LAST",Database!$H508,Database!$H508),""))</f>
        <v/>
      </c>
      <c r="S508" s="24">
        <f>IFERROR(BDP(Database!$A508&amp;" HK Equity","PX_TO_SALES_RATIO"),"")</f>
        <v/>
      </c>
      <c r="T508" s="19">
        <f>IF(Database!BM508="","",IFERROR(BDP(LEFT(Database!BM508,FIND(".",Database!BM508)-1)&amp;" CH Equity","CUR_MKT_CAP"),""))</f>
        <v/>
      </c>
    </row>
    <row r="509">
      <c r="A509" s="17">
        <f>Database!A509&amp;"  "&amp;Database!B509</f>
        <v/>
      </c>
      <c r="B509" s="10">
        <f>IFERROR(INDEX(BDS(Database!$A509&amp;" HK Equity","EQUITY_OFFERINGS","array=t","endcol=1"),MATCH("IPO",BDS(Database!$A509&amp;" HK Equity","EQUITY_OFFERINGS","array=t","startcol=2","endcol=2"),0)),"")</f>
        <v/>
      </c>
      <c r="C509" s="186">
        <f>IF($B509="","",IFERROR(BDP($B509&amp;" Action","CP036"),""))</f>
        <v/>
      </c>
      <c r="D509" s="187">
        <f>Database!S509</f>
        <v/>
      </c>
      <c r="E509" s="186">
        <f>IF($B509="","",IFERROR(BDP($B509&amp;" Action","CP037"),""))</f>
        <v/>
      </c>
      <c r="F509" s="187">
        <f>Database!T509</f>
        <v/>
      </c>
      <c r="G509" s="186">
        <f>IF($B509="","",IFERROR(BDP($B509&amp;" Action","GREENSHOE_FACILITY"),""))</f>
        <v/>
      </c>
      <c r="H509" s="186">
        <f>IF($B509="","",IFERROR(BDP($B509&amp;" Action","OFFERING_GREENSHOE_SHARES_EX"),""))</f>
        <v/>
      </c>
      <c r="I509" s="17">
        <f>Database!AE509</f>
        <v/>
      </c>
      <c r="J509" s="24">
        <f>IFERROR(BDP(Database!$A509&amp;" HK Equity","PE_RATIO"),"")</f>
        <v/>
      </c>
      <c r="K509" s="10">
        <f>IFERROR(BDP(Database!$A509&amp;" HK Equity","A/H_SHARE_CONVERSION"),"")</f>
        <v/>
      </c>
      <c r="L509" s="17">
        <f>IF(Database!BM509="","(none found)",Database!BM509)</f>
        <v/>
      </c>
      <c r="M509" s="19">
        <f>IFERROR(BDH(Database!$A509&amp;" HK Equity","CUR_MKT_CAP",Database!$H509,Database!$H509),"")</f>
        <v/>
      </c>
      <c r="N509" s="180">
        <f>Database!Q509</f>
        <v/>
      </c>
      <c r="O509" s="24">
        <f>IFERROR(BDH(Database!$A509&amp;" HK Equity","PE_RATIO",Database!$H509,Database!$H509),"")</f>
        <v/>
      </c>
      <c r="P509" s="184">
        <f>IF(Database!BG509="","(n/m or not derivable)",Database!BG509)</f>
        <v/>
      </c>
      <c r="Q509" s="24">
        <f>IF(Database!BM509="","",IFERROR(BDH(LEFT(Database!BM509,FIND(".",Database!BM509)-1)&amp;" CH Equity","PE_RATIO",Database!$H509,Database!$H509),""))</f>
        <v/>
      </c>
      <c r="R509" s="24">
        <f>IF(Database!BM509="","",IFERROR(BDH("HSAHP Index","PX_LAST",Database!$H509,Database!$H509),""))</f>
        <v/>
      </c>
      <c r="S509" s="24">
        <f>IFERROR(BDP(Database!$A509&amp;" HK Equity","PX_TO_SALES_RATIO"),"")</f>
        <v/>
      </c>
      <c r="T509" s="19">
        <f>IF(Database!BM509="","",IFERROR(BDP(LEFT(Database!BM509,FIND(".",Database!BM509)-1)&amp;" CH Equity","CUR_MKT_CAP"),""))</f>
        <v/>
      </c>
    </row>
    <row r="510">
      <c r="A510" s="17">
        <f>Database!A510&amp;"  "&amp;Database!B510</f>
        <v/>
      </c>
      <c r="B510" s="10">
        <f>IFERROR(INDEX(BDS(Database!$A510&amp;" HK Equity","EQUITY_OFFERINGS","array=t","endcol=1"),MATCH("IPO",BDS(Database!$A510&amp;" HK Equity","EQUITY_OFFERINGS","array=t","startcol=2","endcol=2"),0)),"")</f>
        <v/>
      </c>
      <c r="C510" s="186">
        <f>IF($B510="","",IFERROR(BDP($B510&amp;" Action","CP036"),""))</f>
        <v/>
      </c>
      <c r="D510" s="187">
        <f>Database!S510</f>
        <v/>
      </c>
      <c r="E510" s="186">
        <f>IF($B510="","",IFERROR(BDP($B510&amp;" Action","CP037"),""))</f>
        <v/>
      </c>
      <c r="F510" s="187">
        <f>Database!T510</f>
        <v/>
      </c>
      <c r="G510" s="186">
        <f>IF($B510="","",IFERROR(BDP($B510&amp;" Action","GREENSHOE_FACILITY"),""))</f>
        <v/>
      </c>
      <c r="H510" s="186">
        <f>IF($B510="","",IFERROR(BDP($B510&amp;" Action","OFFERING_GREENSHOE_SHARES_EX"),""))</f>
        <v/>
      </c>
      <c r="I510" s="17">
        <f>Database!AE510</f>
        <v/>
      </c>
      <c r="J510" s="24">
        <f>IFERROR(BDP(Database!$A510&amp;" HK Equity","PE_RATIO"),"")</f>
        <v/>
      </c>
      <c r="K510" s="10">
        <f>IFERROR(BDP(Database!$A510&amp;" HK Equity","A/H_SHARE_CONVERSION"),"")</f>
        <v/>
      </c>
      <c r="L510" s="17">
        <f>IF(Database!BM510="","(none found)",Database!BM510)</f>
        <v/>
      </c>
      <c r="M510" s="19">
        <f>IFERROR(BDH(Database!$A510&amp;" HK Equity","CUR_MKT_CAP",Database!$H510,Database!$H510),"")</f>
        <v/>
      </c>
      <c r="N510" s="180">
        <f>Database!Q510</f>
        <v/>
      </c>
      <c r="O510" s="24">
        <f>IFERROR(BDH(Database!$A510&amp;" HK Equity","PE_RATIO",Database!$H510,Database!$H510),"")</f>
        <v/>
      </c>
      <c r="P510" s="184">
        <f>IF(Database!BG510="","(n/m or not derivable)",Database!BG510)</f>
        <v/>
      </c>
      <c r="Q510" s="24">
        <f>IF(Database!BM510="","",IFERROR(BDH(LEFT(Database!BM510,FIND(".",Database!BM510)-1)&amp;" CH Equity","PE_RATIO",Database!$H510,Database!$H510),""))</f>
        <v/>
      </c>
      <c r="R510" s="24">
        <f>IF(Database!BM510="","",IFERROR(BDH("HSAHP Index","PX_LAST",Database!$H510,Database!$H510),""))</f>
        <v/>
      </c>
      <c r="S510" s="24">
        <f>IFERROR(BDP(Database!$A510&amp;" HK Equity","PX_TO_SALES_RATIO"),"")</f>
        <v/>
      </c>
      <c r="T510" s="19">
        <f>IF(Database!BM510="","",IFERROR(BDP(LEFT(Database!BM510,FIND(".",Database!BM510)-1)&amp;" CH Equity","CUR_MKT_CAP"),""))</f>
        <v/>
      </c>
    </row>
    <row r="511">
      <c r="A511" s="17">
        <f>Database!A511&amp;"  "&amp;Database!B511</f>
        <v/>
      </c>
      <c r="B511" s="10">
        <f>IFERROR(INDEX(BDS(Database!$A511&amp;" HK Equity","EQUITY_OFFERINGS","array=t","endcol=1"),MATCH("IPO",BDS(Database!$A511&amp;" HK Equity","EQUITY_OFFERINGS","array=t","startcol=2","endcol=2"),0)),"")</f>
        <v/>
      </c>
      <c r="C511" s="186">
        <f>IF($B511="","",IFERROR(BDP($B511&amp;" Action","CP036"),""))</f>
        <v/>
      </c>
      <c r="D511" s="187">
        <f>Database!S511</f>
        <v/>
      </c>
      <c r="E511" s="186">
        <f>IF($B511="","",IFERROR(BDP($B511&amp;" Action","CP037"),""))</f>
        <v/>
      </c>
      <c r="F511" s="187">
        <f>Database!T511</f>
        <v/>
      </c>
      <c r="G511" s="186">
        <f>IF($B511="","",IFERROR(BDP($B511&amp;" Action","GREENSHOE_FACILITY"),""))</f>
        <v/>
      </c>
      <c r="H511" s="186">
        <f>IF($B511="","",IFERROR(BDP($B511&amp;" Action","OFFERING_GREENSHOE_SHARES_EX"),""))</f>
        <v/>
      </c>
      <c r="I511" s="17">
        <f>Database!AE511</f>
        <v/>
      </c>
      <c r="J511" s="24">
        <f>IFERROR(BDP(Database!$A511&amp;" HK Equity","PE_RATIO"),"")</f>
        <v/>
      </c>
      <c r="K511" s="10">
        <f>IFERROR(BDP(Database!$A511&amp;" HK Equity","A/H_SHARE_CONVERSION"),"")</f>
        <v/>
      </c>
      <c r="L511" s="17">
        <f>IF(Database!BM511="","(none found)",Database!BM511)</f>
        <v/>
      </c>
      <c r="M511" s="19">
        <f>IFERROR(BDH(Database!$A511&amp;" HK Equity","CUR_MKT_CAP",Database!$H511,Database!$H511),"")</f>
        <v/>
      </c>
      <c r="N511" s="180">
        <f>Database!Q511</f>
        <v/>
      </c>
      <c r="O511" s="24">
        <f>IFERROR(BDH(Database!$A511&amp;" HK Equity","PE_RATIO",Database!$H511,Database!$H511),"")</f>
        <v/>
      </c>
      <c r="P511" s="184">
        <f>IF(Database!BG511="","(n/m or not derivable)",Database!BG511)</f>
        <v/>
      </c>
      <c r="Q511" s="24">
        <f>IF(Database!BM511="","",IFERROR(BDH(LEFT(Database!BM511,FIND(".",Database!BM511)-1)&amp;" CH Equity","PE_RATIO",Database!$H511,Database!$H511),""))</f>
        <v/>
      </c>
      <c r="R511" s="24">
        <f>IF(Database!BM511="","",IFERROR(BDH("HSAHP Index","PX_LAST",Database!$H511,Database!$H511),""))</f>
        <v/>
      </c>
      <c r="S511" s="24">
        <f>IFERROR(BDP(Database!$A511&amp;" HK Equity","PX_TO_SALES_RATIO"),"")</f>
        <v/>
      </c>
      <c r="T511" s="19">
        <f>IF(Database!BM511="","",IFERROR(BDP(LEFT(Database!BM511,FIND(".",Database!BM511)-1)&amp;" CH Equity","CUR_MKT_CAP"),""))</f>
        <v/>
      </c>
    </row>
    <row r="512">
      <c r="A512" s="17">
        <f>Database!A512&amp;"  "&amp;Database!B512</f>
        <v/>
      </c>
      <c r="B512" s="10">
        <f>IFERROR(INDEX(BDS(Database!$A512&amp;" HK Equity","EQUITY_OFFERINGS","array=t","endcol=1"),MATCH("IPO",BDS(Database!$A512&amp;" HK Equity","EQUITY_OFFERINGS","array=t","startcol=2","endcol=2"),0)),"")</f>
        <v/>
      </c>
      <c r="C512" s="186">
        <f>IF($B512="","",IFERROR(BDP($B512&amp;" Action","CP036"),""))</f>
        <v/>
      </c>
      <c r="D512" s="187">
        <f>Database!S512</f>
        <v/>
      </c>
      <c r="E512" s="186">
        <f>IF($B512="","",IFERROR(BDP($B512&amp;" Action","CP037"),""))</f>
        <v/>
      </c>
      <c r="F512" s="187">
        <f>Database!T512</f>
        <v/>
      </c>
      <c r="G512" s="186">
        <f>IF($B512="","",IFERROR(BDP($B512&amp;" Action","GREENSHOE_FACILITY"),""))</f>
        <v/>
      </c>
      <c r="H512" s="186">
        <f>IF($B512="","",IFERROR(BDP($B512&amp;" Action","OFFERING_GREENSHOE_SHARES_EX"),""))</f>
        <v/>
      </c>
      <c r="I512" s="17">
        <f>Database!AE512</f>
        <v/>
      </c>
      <c r="J512" s="24">
        <f>IFERROR(BDP(Database!$A512&amp;" HK Equity","PE_RATIO"),"")</f>
        <v/>
      </c>
      <c r="K512" s="10">
        <f>IFERROR(BDP(Database!$A512&amp;" HK Equity","A/H_SHARE_CONVERSION"),"")</f>
        <v/>
      </c>
      <c r="L512" s="17">
        <f>IF(Database!BM512="","(none found)",Database!BM512)</f>
        <v/>
      </c>
      <c r="M512" s="19">
        <f>IFERROR(BDH(Database!$A512&amp;" HK Equity","CUR_MKT_CAP",Database!$H512,Database!$H512),"")</f>
        <v/>
      </c>
      <c r="N512" s="180">
        <f>Database!Q512</f>
        <v/>
      </c>
      <c r="O512" s="24">
        <f>IFERROR(BDH(Database!$A512&amp;" HK Equity","PE_RATIO",Database!$H512,Database!$H512),"")</f>
        <v/>
      </c>
      <c r="P512" s="184">
        <f>IF(Database!BG512="","(n/m or not derivable)",Database!BG512)</f>
        <v/>
      </c>
      <c r="Q512" s="24">
        <f>IF(Database!BM512="","",IFERROR(BDH(LEFT(Database!BM512,FIND(".",Database!BM512)-1)&amp;" CH Equity","PE_RATIO",Database!$H512,Database!$H512),""))</f>
        <v/>
      </c>
      <c r="R512" s="24">
        <f>IF(Database!BM512="","",IFERROR(BDH("HSAHP Index","PX_LAST",Database!$H512,Database!$H512),""))</f>
        <v/>
      </c>
      <c r="S512" s="24">
        <f>IFERROR(BDP(Database!$A512&amp;" HK Equity","PX_TO_SALES_RATIO"),"")</f>
        <v/>
      </c>
      <c r="T512" s="19">
        <f>IF(Database!BM512="","",IFERROR(BDP(LEFT(Database!BM512,FIND(".",Database!BM512)-1)&amp;" CH Equity","CUR_MKT_CAP"),""))</f>
        <v/>
      </c>
    </row>
    <row r="513">
      <c r="A513" s="17">
        <f>Database!A513&amp;"  "&amp;Database!B513</f>
        <v/>
      </c>
      <c r="B513" s="10">
        <f>IFERROR(INDEX(BDS(Database!$A513&amp;" HK Equity","EQUITY_OFFERINGS","array=t","endcol=1"),MATCH("IPO",BDS(Database!$A513&amp;" HK Equity","EQUITY_OFFERINGS","array=t","startcol=2","endcol=2"),0)),"")</f>
        <v/>
      </c>
      <c r="C513" s="186">
        <f>IF($B513="","",IFERROR(BDP($B513&amp;" Action","CP036"),""))</f>
        <v/>
      </c>
      <c r="D513" s="187">
        <f>Database!S513</f>
        <v/>
      </c>
      <c r="E513" s="186">
        <f>IF($B513="","",IFERROR(BDP($B513&amp;" Action","CP037"),""))</f>
        <v/>
      </c>
      <c r="F513" s="187">
        <f>Database!T513</f>
        <v/>
      </c>
      <c r="G513" s="186">
        <f>IF($B513="","",IFERROR(BDP($B513&amp;" Action","GREENSHOE_FACILITY"),""))</f>
        <v/>
      </c>
      <c r="H513" s="186">
        <f>IF($B513="","",IFERROR(BDP($B513&amp;" Action","OFFERING_GREENSHOE_SHARES_EX"),""))</f>
        <v/>
      </c>
      <c r="I513" s="17">
        <f>Database!AE513</f>
        <v/>
      </c>
      <c r="J513" s="24">
        <f>IFERROR(BDP(Database!$A513&amp;" HK Equity","PE_RATIO"),"")</f>
        <v/>
      </c>
      <c r="K513" s="10">
        <f>IFERROR(BDP(Database!$A513&amp;" HK Equity","A/H_SHARE_CONVERSION"),"")</f>
        <v/>
      </c>
      <c r="L513" s="17">
        <f>IF(Database!BM513="","(none found)",Database!BM513)</f>
        <v/>
      </c>
      <c r="M513" s="19">
        <f>IFERROR(BDH(Database!$A513&amp;" HK Equity","CUR_MKT_CAP",Database!$H513,Database!$H513),"")</f>
        <v/>
      </c>
      <c r="N513" s="180">
        <f>Database!Q513</f>
        <v/>
      </c>
      <c r="O513" s="24">
        <f>IFERROR(BDH(Database!$A513&amp;" HK Equity","PE_RATIO",Database!$H513,Database!$H513),"")</f>
        <v/>
      </c>
      <c r="P513" s="184">
        <f>IF(Database!BG513="","(n/m or not derivable)",Database!BG513)</f>
        <v/>
      </c>
      <c r="Q513" s="24">
        <f>IF(Database!BM513="","",IFERROR(BDH(LEFT(Database!BM513,FIND(".",Database!BM513)-1)&amp;" CH Equity","PE_RATIO",Database!$H513,Database!$H513),""))</f>
        <v/>
      </c>
      <c r="R513" s="24">
        <f>IF(Database!BM513="","",IFERROR(BDH("HSAHP Index","PX_LAST",Database!$H513,Database!$H513),""))</f>
        <v/>
      </c>
      <c r="S513" s="24">
        <f>IFERROR(BDP(Database!$A513&amp;" HK Equity","PX_TO_SALES_RATIO"),"")</f>
        <v/>
      </c>
      <c r="T513" s="19">
        <f>IF(Database!BM513="","",IFERROR(BDP(LEFT(Database!BM513,FIND(".",Database!BM513)-1)&amp;" CH Equity","CUR_MKT_CAP"),""))</f>
        <v/>
      </c>
    </row>
    <row r="514">
      <c r="A514" s="17">
        <f>Database!A514&amp;"  "&amp;Database!B514</f>
        <v/>
      </c>
      <c r="B514" s="10">
        <f>IFERROR(INDEX(BDS(Database!$A514&amp;" HK Equity","EQUITY_OFFERINGS","array=t","endcol=1"),MATCH("IPO",BDS(Database!$A514&amp;" HK Equity","EQUITY_OFFERINGS","array=t","startcol=2","endcol=2"),0)),"")</f>
        <v/>
      </c>
      <c r="C514" s="186">
        <f>IF($B514="","",IFERROR(BDP($B514&amp;" Action","CP036"),""))</f>
        <v/>
      </c>
      <c r="D514" s="187">
        <f>Database!S514</f>
        <v/>
      </c>
      <c r="E514" s="186">
        <f>IF($B514="","",IFERROR(BDP($B514&amp;" Action","CP037"),""))</f>
        <v/>
      </c>
      <c r="F514" s="187">
        <f>Database!T514</f>
        <v/>
      </c>
      <c r="G514" s="186">
        <f>IF($B514="","",IFERROR(BDP($B514&amp;" Action","GREENSHOE_FACILITY"),""))</f>
        <v/>
      </c>
      <c r="H514" s="186">
        <f>IF($B514="","",IFERROR(BDP($B514&amp;" Action","OFFERING_GREENSHOE_SHARES_EX"),""))</f>
        <v/>
      </c>
      <c r="I514" s="17">
        <f>Database!AE514</f>
        <v/>
      </c>
      <c r="J514" s="24">
        <f>IFERROR(BDP(Database!$A514&amp;" HK Equity","PE_RATIO"),"")</f>
        <v/>
      </c>
      <c r="K514" s="10">
        <f>IFERROR(BDP(Database!$A514&amp;" HK Equity","A/H_SHARE_CONVERSION"),"")</f>
        <v/>
      </c>
      <c r="L514" s="17">
        <f>IF(Database!BM514="","(none found)",Database!BM514)</f>
        <v/>
      </c>
      <c r="M514" s="19">
        <f>IFERROR(BDH(Database!$A514&amp;" HK Equity","CUR_MKT_CAP",Database!$H514,Database!$H514),"")</f>
        <v/>
      </c>
      <c r="N514" s="180">
        <f>Database!Q514</f>
        <v/>
      </c>
      <c r="O514" s="24">
        <f>IFERROR(BDH(Database!$A514&amp;" HK Equity","PE_RATIO",Database!$H514,Database!$H514),"")</f>
        <v/>
      </c>
      <c r="P514" s="184">
        <f>IF(Database!BG514="","(n/m or not derivable)",Database!BG514)</f>
        <v/>
      </c>
      <c r="Q514" s="24">
        <f>IF(Database!BM514="","",IFERROR(BDH(LEFT(Database!BM514,FIND(".",Database!BM514)-1)&amp;" CH Equity","PE_RATIO",Database!$H514,Database!$H514),""))</f>
        <v/>
      </c>
      <c r="R514" s="24">
        <f>IF(Database!BM514="","",IFERROR(BDH("HSAHP Index","PX_LAST",Database!$H514,Database!$H514),""))</f>
        <v/>
      </c>
      <c r="S514" s="24">
        <f>IFERROR(BDP(Database!$A514&amp;" HK Equity","PX_TO_SALES_RATIO"),"")</f>
        <v/>
      </c>
      <c r="T514" s="19">
        <f>IF(Database!BM514="","",IFERROR(BDP(LEFT(Database!BM514,FIND(".",Database!BM514)-1)&amp;" CH Equity","CUR_MKT_CAP"),""))</f>
        <v/>
      </c>
    </row>
    <row r="515">
      <c r="A515" s="17">
        <f>Database!A515&amp;"  "&amp;Database!B515</f>
        <v/>
      </c>
      <c r="B515" s="10">
        <f>IFERROR(INDEX(BDS(Database!$A515&amp;" HK Equity","EQUITY_OFFERINGS","array=t","endcol=1"),MATCH("IPO",BDS(Database!$A515&amp;" HK Equity","EQUITY_OFFERINGS","array=t","startcol=2","endcol=2"),0)),"")</f>
        <v/>
      </c>
      <c r="C515" s="186">
        <f>IF($B515="","",IFERROR(BDP($B515&amp;" Action","CP036"),""))</f>
        <v/>
      </c>
      <c r="D515" s="187">
        <f>Database!S515</f>
        <v/>
      </c>
      <c r="E515" s="186">
        <f>IF($B515="","",IFERROR(BDP($B515&amp;" Action","CP037"),""))</f>
        <v/>
      </c>
      <c r="F515" s="187">
        <f>Database!T515</f>
        <v/>
      </c>
      <c r="G515" s="186">
        <f>IF($B515="","",IFERROR(BDP($B515&amp;" Action","GREENSHOE_FACILITY"),""))</f>
        <v/>
      </c>
      <c r="H515" s="186">
        <f>IF($B515="","",IFERROR(BDP($B515&amp;" Action","OFFERING_GREENSHOE_SHARES_EX"),""))</f>
        <v/>
      </c>
      <c r="I515" s="17">
        <f>Database!AE515</f>
        <v/>
      </c>
      <c r="J515" s="24">
        <f>IFERROR(BDP(Database!$A515&amp;" HK Equity","PE_RATIO"),"")</f>
        <v/>
      </c>
      <c r="K515" s="10">
        <f>IFERROR(BDP(Database!$A515&amp;" HK Equity","A/H_SHARE_CONVERSION"),"")</f>
        <v/>
      </c>
      <c r="L515" s="17">
        <f>IF(Database!BM515="","(none found)",Database!BM515)</f>
        <v/>
      </c>
      <c r="M515" s="19">
        <f>IFERROR(BDH(Database!$A515&amp;" HK Equity","CUR_MKT_CAP",Database!$H515,Database!$H515),"")</f>
        <v/>
      </c>
      <c r="N515" s="180">
        <f>Database!Q515</f>
        <v/>
      </c>
      <c r="O515" s="24">
        <f>IFERROR(BDH(Database!$A515&amp;" HK Equity","PE_RATIO",Database!$H515,Database!$H515),"")</f>
        <v/>
      </c>
      <c r="P515" s="184">
        <f>IF(Database!BG515="","(n/m or not derivable)",Database!BG515)</f>
        <v/>
      </c>
      <c r="Q515" s="24">
        <f>IF(Database!BM515="","",IFERROR(BDH(LEFT(Database!BM515,FIND(".",Database!BM515)-1)&amp;" CH Equity","PE_RATIO",Database!$H515,Database!$H515),""))</f>
        <v/>
      </c>
      <c r="R515" s="24">
        <f>IF(Database!BM515="","",IFERROR(BDH("HSAHP Index","PX_LAST",Database!$H515,Database!$H515),""))</f>
        <v/>
      </c>
      <c r="S515" s="24">
        <f>IFERROR(BDP(Database!$A515&amp;" HK Equity","PX_TO_SALES_RATIO"),"")</f>
        <v/>
      </c>
      <c r="T515" s="19">
        <f>IF(Database!BM515="","",IFERROR(BDP(LEFT(Database!BM515,FIND(".",Database!BM515)-1)&amp;" CH Equity","CUR_MKT_CAP"),""))</f>
        <v/>
      </c>
    </row>
    <row r="516">
      <c r="A516" s="17">
        <f>Database!A516&amp;"  "&amp;Database!B516</f>
        <v/>
      </c>
      <c r="B516" s="10">
        <f>IFERROR(INDEX(BDS(Database!$A516&amp;" HK Equity","EQUITY_OFFERINGS","array=t","endcol=1"),MATCH("IPO",BDS(Database!$A516&amp;" HK Equity","EQUITY_OFFERINGS","array=t","startcol=2","endcol=2"),0)),"")</f>
        <v/>
      </c>
      <c r="C516" s="186">
        <f>IF($B516="","",IFERROR(BDP($B516&amp;" Action","CP036"),""))</f>
        <v/>
      </c>
      <c r="D516" s="187">
        <f>Database!S516</f>
        <v/>
      </c>
      <c r="E516" s="186">
        <f>IF($B516="","",IFERROR(BDP($B516&amp;" Action","CP037"),""))</f>
        <v/>
      </c>
      <c r="F516" s="187">
        <f>Database!T516</f>
        <v/>
      </c>
      <c r="G516" s="186">
        <f>IF($B516="","",IFERROR(BDP($B516&amp;" Action","GREENSHOE_FACILITY"),""))</f>
        <v/>
      </c>
      <c r="H516" s="186">
        <f>IF($B516="","",IFERROR(BDP($B516&amp;" Action","OFFERING_GREENSHOE_SHARES_EX"),""))</f>
        <v/>
      </c>
      <c r="I516" s="17">
        <f>Database!AE516</f>
        <v/>
      </c>
      <c r="J516" s="24">
        <f>IFERROR(BDP(Database!$A516&amp;" HK Equity","PE_RATIO"),"")</f>
        <v/>
      </c>
      <c r="K516" s="10">
        <f>IFERROR(BDP(Database!$A516&amp;" HK Equity","A/H_SHARE_CONVERSION"),"")</f>
        <v/>
      </c>
      <c r="L516" s="17">
        <f>IF(Database!BM516="","(none found)",Database!BM516)</f>
        <v/>
      </c>
      <c r="M516" s="19">
        <f>IFERROR(BDH(Database!$A516&amp;" HK Equity","CUR_MKT_CAP",Database!$H516,Database!$H516),"")</f>
        <v/>
      </c>
      <c r="N516" s="180">
        <f>Database!Q516</f>
        <v/>
      </c>
      <c r="O516" s="24">
        <f>IFERROR(BDH(Database!$A516&amp;" HK Equity","PE_RATIO",Database!$H516,Database!$H516),"")</f>
        <v/>
      </c>
      <c r="P516" s="184">
        <f>IF(Database!BG516="","(n/m or not derivable)",Database!BG516)</f>
        <v/>
      </c>
      <c r="Q516" s="24">
        <f>IF(Database!BM516="","",IFERROR(BDH(LEFT(Database!BM516,FIND(".",Database!BM516)-1)&amp;" CH Equity","PE_RATIO",Database!$H516,Database!$H516),""))</f>
        <v/>
      </c>
      <c r="R516" s="24">
        <f>IF(Database!BM516="","",IFERROR(BDH("HSAHP Index","PX_LAST",Database!$H516,Database!$H516),""))</f>
        <v/>
      </c>
      <c r="S516" s="24">
        <f>IFERROR(BDP(Database!$A516&amp;" HK Equity","PX_TO_SALES_RATIO"),"")</f>
        <v/>
      </c>
      <c r="T516" s="19">
        <f>IF(Database!BM516="","",IFERROR(BDP(LEFT(Database!BM516,FIND(".",Database!BM516)-1)&amp;" CH Equity","CUR_MKT_CAP"),""))</f>
        <v/>
      </c>
    </row>
    <row r="517">
      <c r="A517" s="17">
        <f>Database!A517&amp;"  "&amp;Database!B517</f>
        <v/>
      </c>
      <c r="B517" s="10">
        <f>IFERROR(INDEX(BDS(Database!$A517&amp;" HK Equity","EQUITY_OFFERINGS","array=t","endcol=1"),MATCH("IPO",BDS(Database!$A517&amp;" HK Equity","EQUITY_OFFERINGS","array=t","startcol=2","endcol=2"),0)),"")</f>
        <v/>
      </c>
      <c r="C517" s="186">
        <f>IF($B517="","",IFERROR(BDP($B517&amp;" Action","CP036"),""))</f>
        <v/>
      </c>
      <c r="D517" s="187">
        <f>Database!S517</f>
        <v/>
      </c>
      <c r="E517" s="186">
        <f>IF($B517="","",IFERROR(BDP($B517&amp;" Action","CP037"),""))</f>
        <v/>
      </c>
      <c r="F517" s="187">
        <f>Database!T517</f>
        <v/>
      </c>
      <c r="G517" s="186">
        <f>IF($B517="","",IFERROR(BDP($B517&amp;" Action","GREENSHOE_FACILITY"),""))</f>
        <v/>
      </c>
      <c r="H517" s="186">
        <f>IF($B517="","",IFERROR(BDP($B517&amp;" Action","OFFERING_GREENSHOE_SHARES_EX"),""))</f>
        <v/>
      </c>
      <c r="I517" s="17">
        <f>Database!AE517</f>
        <v/>
      </c>
      <c r="J517" s="24">
        <f>IFERROR(BDP(Database!$A517&amp;" HK Equity","PE_RATIO"),"")</f>
        <v/>
      </c>
      <c r="K517" s="10">
        <f>IFERROR(BDP(Database!$A517&amp;" HK Equity","A/H_SHARE_CONVERSION"),"")</f>
        <v/>
      </c>
      <c r="L517" s="17">
        <f>IF(Database!BM517="","(none found)",Database!BM517)</f>
        <v/>
      </c>
      <c r="M517" s="19">
        <f>IFERROR(BDH(Database!$A517&amp;" HK Equity","CUR_MKT_CAP",Database!$H517,Database!$H517),"")</f>
        <v/>
      </c>
      <c r="N517" s="180">
        <f>Database!Q517</f>
        <v/>
      </c>
      <c r="O517" s="24">
        <f>IFERROR(BDH(Database!$A517&amp;" HK Equity","PE_RATIO",Database!$H517,Database!$H517),"")</f>
        <v/>
      </c>
      <c r="P517" s="184">
        <f>IF(Database!BG517="","(n/m or not derivable)",Database!BG517)</f>
        <v/>
      </c>
      <c r="Q517" s="24">
        <f>IF(Database!BM517="","",IFERROR(BDH(LEFT(Database!BM517,FIND(".",Database!BM517)-1)&amp;" CH Equity","PE_RATIO",Database!$H517,Database!$H517),""))</f>
        <v/>
      </c>
      <c r="R517" s="24">
        <f>IF(Database!BM517="","",IFERROR(BDH("HSAHP Index","PX_LAST",Database!$H517,Database!$H517),""))</f>
        <v/>
      </c>
      <c r="S517" s="24">
        <f>IFERROR(BDP(Database!$A517&amp;" HK Equity","PX_TO_SALES_RATIO"),"")</f>
        <v/>
      </c>
      <c r="T517" s="19">
        <f>IF(Database!BM517="","",IFERROR(BDP(LEFT(Database!BM517,FIND(".",Database!BM517)-1)&amp;" CH Equity","CUR_MKT_CAP"),""))</f>
        <v/>
      </c>
    </row>
    <row r="518">
      <c r="A518" s="17">
        <f>Database!A518&amp;"  "&amp;Database!B518</f>
        <v/>
      </c>
      <c r="B518" s="10">
        <f>IFERROR(INDEX(BDS(Database!$A518&amp;" HK Equity","EQUITY_OFFERINGS","array=t","endcol=1"),MATCH("IPO",BDS(Database!$A518&amp;" HK Equity","EQUITY_OFFERINGS","array=t","startcol=2","endcol=2"),0)),"")</f>
        <v/>
      </c>
      <c r="C518" s="186">
        <f>IF($B518="","",IFERROR(BDP($B518&amp;" Action","CP036"),""))</f>
        <v/>
      </c>
      <c r="D518" s="187">
        <f>Database!S518</f>
        <v/>
      </c>
      <c r="E518" s="186">
        <f>IF($B518="","",IFERROR(BDP($B518&amp;" Action","CP037"),""))</f>
        <v/>
      </c>
      <c r="F518" s="187">
        <f>Database!T518</f>
        <v/>
      </c>
      <c r="G518" s="186">
        <f>IF($B518="","",IFERROR(BDP($B518&amp;" Action","GREENSHOE_FACILITY"),""))</f>
        <v/>
      </c>
      <c r="H518" s="186">
        <f>IF($B518="","",IFERROR(BDP($B518&amp;" Action","OFFERING_GREENSHOE_SHARES_EX"),""))</f>
        <v/>
      </c>
      <c r="I518" s="17">
        <f>Database!AE518</f>
        <v/>
      </c>
      <c r="J518" s="24">
        <f>IFERROR(BDP(Database!$A518&amp;" HK Equity","PE_RATIO"),"")</f>
        <v/>
      </c>
      <c r="K518" s="10">
        <f>IFERROR(BDP(Database!$A518&amp;" HK Equity","A/H_SHARE_CONVERSION"),"")</f>
        <v/>
      </c>
      <c r="L518" s="17">
        <f>IF(Database!BM518="","(none found)",Database!BM518)</f>
        <v/>
      </c>
      <c r="M518" s="19">
        <f>IFERROR(BDH(Database!$A518&amp;" HK Equity","CUR_MKT_CAP",Database!$H518,Database!$H518),"")</f>
        <v/>
      </c>
      <c r="N518" s="180">
        <f>Database!Q518</f>
        <v/>
      </c>
      <c r="O518" s="24">
        <f>IFERROR(BDH(Database!$A518&amp;" HK Equity","PE_RATIO",Database!$H518,Database!$H518),"")</f>
        <v/>
      </c>
      <c r="P518" s="184">
        <f>IF(Database!BG518="","(n/m or not derivable)",Database!BG518)</f>
        <v/>
      </c>
      <c r="Q518" s="24">
        <f>IF(Database!BM518="","",IFERROR(BDH(LEFT(Database!BM518,FIND(".",Database!BM518)-1)&amp;" CH Equity","PE_RATIO",Database!$H518,Database!$H518),""))</f>
        <v/>
      </c>
      <c r="R518" s="24">
        <f>IF(Database!BM518="","",IFERROR(BDH("HSAHP Index","PX_LAST",Database!$H518,Database!$H518),""))</f>
        <v/>
      </c>
      <c r="S518" s="24">
        <f>IFERROR(BDP(Database!$A518&amp;" HK Equity","PX_TO_SALES_RATIO"),"")</f>
        <v/>
      </c>
      <c r="T518" s="19">
        <f>IF(Database!BM518="","",IFERROR(BDP(LEFT(Database!BM518,FIND(".",Database!BM518)-1)&amp;" CH Equity","CUR_MKT_CAP"),""))</f>
        <v/>
      </c>
    </row>
    <row r="519">
      <c r="A519" s="17">
        <f>Database!A519&amp;"  "&amp;Database!B519</f>
        <v/>
      </c>
      <c r="B519" s="10">
        <f>IFERROR(INDEX(BDS(Database!$A519&amp;" HK Equity","EQUITY_OFFERINGS","array=t","endcol=1"),MATCH("IPO",BDS(Database!$A519&amp;" HK Equity","EQUITY_OFFERINGS","array=t","startcol=2","endcol=2"),0)),"")</f>
        <v/>
      </c>
      <c r="C519" s="186">
        <f>IF($B519="","",IFERROR(BDP($B519&amp;" Action","CP036"),""))</f>
        <v/>
      </c>
      <c r="D519" s="187">
        <f>Database!S519</f>
        <v/>
      </c>
      <c r="E519" s="186">
        <f>IF($B519="","",IFERROR(BDP($B519&amp;" Action","CP037"),""))</f>
        <v/>
      </c>
      <c r="F519" s="187">
        <f>Database!T519</f>
        <v/>
      </c>
      <c r="G519" s="186">
        <f>IF($B519="","",IFERROR(BDP($B519&amp;" Action","GREENSHOE_FACILITY"),""))</f>
        <v/>
      </c>
      <c r="H519" s="186">
        <f>IF($B519="","",IFERROR(BDP($B519&amp;" Action","OFFERING_GREENSHOE_SHARES_EX"),""))</f>
        <v/>
      </c>
      <c r="I519" s="17">
        <f>Database!AE519</f>
        <v/>
      </c>
      <c r="J519" s="24">
        <f>IFERROR(BDP(Database!$A519&amp;" HK Equity","PE_RATIO"),"")</f>
        <v/>
      </c>
      <c r="K519" s="10">
        <f>IFERROR(BDP(Database!$A519&amp;" HK Equity","A/H_SHARE_CONVERSION"),"")</f>
        <v/>
      </c>
      <c r="L519" s="17">
        <f>IF(Database!BM519="","(none found)",Database!BM519)</f>
        <v/>
      </c>
      <c r="M519" s="19">
        <f>IFERROR(BDH(Database!$A519&amp;" HK Equity","CUR_MKT_CAP",Database!$H519,Database!$H519),"")</f>
        <v/>
      </c>
      <c r="N519" s="180">
        <f>Database!Q519</f>
        <v/>
      </c>
      <c r="O519" s="24">
        <f>IFERROR(BDH(Database!$A519&amp;" HK Equity","PE_RATIO",Database!$H519,Database!$H519),"")</f>
        <v/>
      </c>
      <c r="P519" s="184">
        <f>IF(Database!BG519="","(n/m or not derivable)",Database!BG519)</f>
        <v/>
      </c>
      <c r="Q519" s="24">
        <f>IF(Database!BM519="","",IFERROR(BDH(LEFT(Database!BM519,FIND(".",Database!BM519)-1)&amp;" CH Equity","PE_RATIO",Database!$H519,Database!$H519),""))</f>
        <v/>
      </c>
      <c r="R519" s="24">
        <f>IF(Database!BM519="","",IFERROR(BDH("HSAHP Index","PX_LAST",Database!$H519,Database!$H519),""))</f>
        <v/>
      </c>
      <c r="S519" s="24">
        <f>IFERROR(BDP(Database!$A519&amp;" HK Equity","PX_TO_SALES_RATIO"),"")</f>
        <v/>
      </c>
      <c r="T519" s="19">
        <f>IF(Database!BM519="","",IFERROR(BDP(LEFT(Database!BM519,FIND(".",Database!BM519)-1)&amp;" CH Equity","CUR_MKT_CAP"),""))</f>
        <v/>
      </c>
    </row>
    <row r="520">
      <c r="A520" s="17">
        <f>Database!A520&amp;"  "&amp;Database!B520</f>
        <v/>
      </c>
      <c r="B520" s="10">
        <f>IFERROR(INDEX(BDS(Database!$A520&amp;" HK Equity","EQUITY_OFFERINGS","array=t","endcol=1"),MATCH("IPO",BDS(Database!$A520&amp;" HK Equity","EQUITY_OFFERINGS","array=t","startcol=2","endcol=2"),0)),"")</f>
        <v/>
      </c>
      <c r="C520" s="186">
        <f>IF($B520="","",IFERROR(BDP($B520&amp;" Action","CP036"),""))</f>
        <v/>
      </c>
      <c r="D520" s="187">
        <f>Database!S520</f>
        <v/>
      </c>
      <c r="E520" s="186">
        <f>IF($B520="","",IFERROR(BDP($B520&amp;" Action","CP037"),""))</f>
        <v/>
      </c>
      <c r="F520" s="187">
        <f>Database!T520</f>
        <v/>
      </c>
      <c r="G520" s="186">
        <f>IF($B520="","",IFERROR(BDP($B520&amp;" Action","GREENSHOE_FACILITY"),""))</f>
        <v/>
      </c>
      <c r="H520" s="186">
        <f>IF($B520="","",IFERROR(BDP($B520&amp;" Action","OFFERING_GREENSHOE_SHARES_EX"),""))</f>
        <v/>
      </c>
      <c r="I520" s="17">
        <f>Database!AE520</f>
        <v/>
      </c>
      <c r="J520" s="24">
        <f>IFERROR(BDP(Database!$A520&amp;" HK Equity","PE_RATIO"),"")</f>
        <v/>
      </c>
      <c r="K520" s="10">
        <f>IFERROR(BDP(Database!$A520&amp;" HK Equity","A/H_SHARE_CONVERSION"),"")</f>
        <v/>
      </c>
      <c r="L520" s="17">
        <f>IF(Database!BM520="","(none found)",Database!BM520)</f>
        <v/>
      </c>
      <c r="M520" s="19">
        <f>IFERROR(BDH(Database!$A520&amp;" HK Equity","CUR_MKT_CAP",Database!$H520,Database!$H520),"")</f>
        <v/>
      </c>
      <c r="N520" s="180">
        <f>Database!Q520</f>
        <v/>
      </c>
      <c r="O520" s="24">
        <f>IFERROR(BDH(Database!$A520&amp;" HK Equity","PE_RATIO",Database!$H520,Database!$H520),"")</f>
        <v/>
      </c>
      <c r="P520" s="184">
        <f>IF(Database!BG520="","(n/m or not derivable)",Database!BG520)</f>
        <v/>
      </c>
      <c r="Q520" s="24">
        <f>IF(Database!BM520="","",IFERROR(BDH(LEFT(Database!BM520,FIND(".",Database!BM520)-1)&amp;" CH Equity","PE_RATIO",Database!$H520,Database!$H520),""))</f>
        <v/>
      </c>
      <c r="R520" s="24">
        <f>IF(Database!BM520="","",IFERROR(BDH("HSAHP Index","PX_LAST",Database!$H520,Database!$H520),""))</f>
        <v/>
      </c>
      <c r="S520" s="24">
        <f>IFERROR(BDP(Database!$A520&amp;" HK Equity","PX_TO_SALES_RATIO"),"")</f>
        <v/>
      </c>
      <c r="T520" s="19">
        <f>IF(Database!BM520="","",IFERROR(BDP(LEFT(Database!BM520,FIND(".",Database!BM520)-1)&amp;" CH Equity","CUR_MKT_CAP"),""))</f>
        <v/>
      </c>
    </row>
    <row r="521">
      <c r="A521" s="17">
        <f>Database!A521&amp;"  "&amp;Database!B521</f>
        <v/>
      </c>
      <c r="B521" s="10">
        <f>IFERROR(INDEX(BDS(Database!$A521&amp;" HK Equity","EQUITY_OFFERINGS","array=t","endcol=1"),MATCH("IPO",BDS(Database!$A521&amp;" HK Equity","EQUITY_OFFERINGS","array=t","startcol=2","endcol=2"),0)),"")</f>
        <v/>
      </c>
      <c r="C521" s="186">
        <f>IF($B521="","",IFERROR(BDP($B521&amp;" Action","CP036"),""))</f>
        <v/>
      </c>
      <c r="D521" s="187">
        <f>Database!S521</f>
        <v/>
      </c>
      <c r="E521" s="186">
        <f>IF($B521="","",IFERROR(BDP($B521&amp;" Action","CP037"),""))</f>
        <v/>
      </c>
      <c r="F521" s="187">
        <f>Database!T521</f>
        <v/>
      </c>
      <c r="G521" s="186">
        <f>IF($B521="","",IFERROR(BDP($B521&amp;" Action","GREENSHOE_FACILITY"),""))</f>
        <v/>
      </c>
      <c r="H521" s="186">
        <f>IF($B521="","",IFERROR(BDP($B521&amp;" Action","OFFERING_GREENSHOE_SHARES_EX"),""))</f>
        <v/>
      </c>
      <c r="I521" s="17">
        <f>Database!AE521</f>
        <v/>
      </c>
      <c r="J521" s="24">
        <f>IFERROR(BDP(Database!$A521&amp;" HK Equity","PE_RATIO"),"")</f>
        <v/>
      </c>
      <c r="K521" s="10">
        <f>IFERROR(BDP(Database!$A521&amp;" HK Equity","A/H_SHARE_CONVERSION"),"")</f>
        <v/>
      </c>
      <c r="L521" s="17">
        <f>IF(Database!BM521="","(none found)",Database!BM521)</f>
        <v/>
      </c>
      <c r="M521" s="19">
        <f>IFERROR(BDH(Database!$A521&amp;" HK Equity","CUR_MKT_CAP",Database!$H521,Database!$H521),"")</f>
        <v/>
      </c>
      <c r="N521" s="180">
        <f>Database!Q521</f>
        <v/>
      </c>
      <c r="O521" s="24">
        <f>IFERROR(BDH(Database!$A521&amp;" HK Equity","PE_RATIO",Database!$H521,Database!$H521),"")</f>
        <v/>
      </c>
      <c r="P521" s="184">
        <f>IF(Database!BG521="","(n/m or not derivable)",Database!BG521)</f>
        <v/>
      </c>
      <c r="Q521" s="24">
        <f>IF(Database!BM521="","",IFERROR(BDH(LEFT(Database!BM521,FIND(".",Database!BM521)-1)&amp;" CH Equity","PE_RATIO",Database!$H521,Database!$H521),""))</f>
        <v/>
      </c>
      <c r="R521" s="24">
        <f>IF(Database!BM521="","",IFERROR(BDH("HSAHP Index","PX_LAST",Database!$H521,Database!$H521),""))</f>
        <v/>
      </c>
      <c r="S521" s="24">
        <f>IFERROR(BDP(Database!$A521&amp;" HK Equity","PX_TO_SALES_RATIO"),"")</f>
        <v/>
      </c>
      <c r="T521" s="19">
        <f>IF(Database!BM521="","",IFERROR(BDP(LEFT(Database!BM521,FIND(".",Database!BM521)-1)&amp;" CH Equity","CUR_MKT_CAP"),""))</f>
        <v/>
      </c>
    </row>
    <row r="522">
      <c r="A522" s="17">
        <f>Database!A522&amp;"  "&amp;Database!B522</f>
        <v/>
      </c>
      <c r="B522" s="10">
        <f>IFERROR(INDEX(BDS(Database!$A522&amp;" HK Equity","EQUITY_OFFERINGS","array=t","endcol=1"),MATCH("IPO",BDS(Database!$A522&amp;" HK Equity","EQUITY_OFFERINGS","array=t","startcol=2","endcol=2"),0)),"")</f>
        <v/>
      </c>
      <c r="C522" s="186">
        <f>IF($B522="","",IFERROR(BDP($B522&amp;" Action","CP036"),""))</f>
        <v/>
      </c>
      <c r="D522" s="187">
        <f>Database!S522</f>
        <v/>
      </c>
      <c r="E522" s="186">
        <f>IF($B522="","",IFERROR(BDP($B522&amp;" Action","CP037"),""))</f>
        <v/>
      </c>
      <c r="F522" s="187">
        <f>Database!T522</f>
        <v/>
      </c>
      <c r="G522" s="186">
        <f>IF($B522="","",IFERROR(BDP($B522&amp;" Action","GREENSHOE_FACILITY"),""))</f>
        <v/>
      </c>
      <c r="H522" s="186">
        <f>IF($B522="","",IFERROR(BDP($B522&amp;" Action","OFFERING_GREENSHOE_SHARES_EX"),""))</f>
        <v/>
      </c>
      <c r="I522" s="17">
        <f>Database!AE522</f>
        <v/>
      </c>
      <c r="J522" s="24">
        <f>IFERROR(BDP(Database!$A522&amp;" HK Equity","PE_RATIO"),"")</f>
        <v/>
      </c>
      <c r="K522" s="10">
        <f>IFERROR(BDP(Database!$A522&amp;" HK Equity","A/H_SHARE_CONVERSION"),"")</f>
        <v/>
      </c>
      <c r="L522" s="17">
        <f>IF(Database!BM522="","(none found)",Database!BM522)</f>
        <v/>
      </c>
      <c r="M522" s="19">
        <f>IFERROR(BDH(Database!$A522&amp;" HK Equity","CUR_MKT_CAP",Database!$H522,Database!$H522),"")</f>
        <v/>
      </c>
      <c r="N522" s="180">
        <f>Database!Q522</f>
        <v/>
      </c>
      <c r="O522" s="24">
        <f>IFERROR(BDH(Database!$A522&amp;" HK Equity","PE_RATIO",Database!$H522,Database!$H522),"")</f>
        <v/>
      </c>
      <c r="P522" s="184">
        <f>IF(Database!BG522="","(n/m or not derivable)",Database!BG522)</f>
        <v/>
      </c>
      <c r="Q522" s="24">
        <f>IF(Database!BM522="","",IFERROR(BDH(LEFT(Database!BM522,FIND(".",Database!BM522)-1)&amp;" CH Equity","PE_RATIO",Database!$H522,Database!$H522),""))</f>
        <v/>
      </c>
      <c r="R522" s="24">
        <f>IF(Database!BM522="","",IFERROR(BDH("HSAHP Index","PX_LAST",Database!$H522,Database!$H522),""))</f>
        <v/>
      </c>
      <c r="S522" s="24">
        <f>IFERROR(BDP(Database!$A522&amp;" HK Equity","PX_TO_SALES_RATIO"),"")</f>
        <v/>
      </c>
      <c r="T522" s="19">
        <f>IF(Database!BM522="","",IFERROR(BDP(LEFT(Database!BM522,FIND(".",Database!BM522)-1)&amp;" CH Equity","CUR_MKT_CAP"),""))</f>
        <v/>
      </c>
    </row>
    <row r="523">
      <c r="A523" s="17">
        <f>Database!A523&amp;"  "&amp;Database!B523</f>
        <v/>
      </c>
      <c r="B523" s="10">
        <f>IFERROR(INDEX(BDS(Database!$A523&amp;" HK Equity","EQUITY_OFFERINGS","array=t","endcol=1"),MATCH("IPO",BDS(Database!$A523&amp;" HK Equity","EQUITY_OFFERINGS","array=t","startcol=2","endcol=2"),0)),"")</f>
        <v/>
      </c>
      <c r="C523" s="186">
        <f>IF($B523="","",IFERROR(BDP($B523&amp;" Action","CP036"),""))</f>
        <v/>
      </c>
      <c r="D523" s="187">
        <f>Database!S523</f>
        <v/>
      </c>
      <c r="E523" s="186">
        <f>IF($B523="","",IFERROR(BDP($B523&amp;" Action","CP037"),""))</f>
        <v/>
      </c>
      <c r="F523" s="187">
        <f>Database!T523</f>
        <v/>
      </c>
      <c r="G523" s="186">
        <f>IF($B523="","",IFERROR(BDP($B523&amp;" Action","GREENSHOE_FACILITY"),""))</f>
        <v/>
      </c>
      <c r="H523" s="186">
        <f>IF($B523="","",IFERROR(BDP($B523&amp;" Action","OFFERING_GREENSHOE_SHARES_EX"),""))</f>
        <v/>
      </c>
      <c r="I523" s="17">
        <f>Database!AE523</f>
        <v/>
      </c>
      <c r="J523" s="24">
        <f>IFERROR(BDP(Database!$A523&amp;" HK Equity","PE_RATIO"),"")</f>
        <v/>
      </c>
      <c r="K523" s="10">
        <f>IFERROR(BDP(Database!$A523&amp;" HK Equity","A/H_SHARE_CONVERSION"),"")</f>
        <v/>
      </c>
      <c r="L523" s="17">
        <f>IF(Database!BM523="","(none found)",Database!BM523)</f>
        <v/>
      </c>
      <c r="M523" s="19">
        <f>IFERROR(BDH(Database!$A523&amp;" HK Equity","CUR_MKT_CAP",Database!$H523,Database!$H523),"")</f>
        <v/>
      </c>
      <c r="N523" s="180">
        <f>Database!Q523</f>
        <v/>
      </c>
      <c r="O523" s="24">
        <f>IFERROR(BDH(Database!$A523&amp;" HK Equity","PE_RATIO",Database!$H523,Database!$H523),"")</f>
        <v/>
      </c>
      <c r="P523" s="184">
        <f>IF(Database!BG523="","(n/m or not derivable)",Database!BG523)</f>
        <v/>
      </c>
      <c r="Q523" s="24">
        <f>IF(Database!BM523="","",IFERROR(BDH(LEFT(Database!BM523,FIND(".",Database!BM523)-1)&amp;" CH Equity","PE_RATIO",Database!$H523,Database!$H523),""))</f>
        <v/>
      </c>
      <c r="R523" s="24">
        <f>IF(Database!BM523="","",IFERROR(BDH("HSAHP Index","PX_LAST",Database!$H523,Database!$H523),""))</f>
        <v/>
      </c>
      <c r="S523" s="24">
        <f>IFERROR(BDP(Database!$A523&amp;" HK Equity","PX_TO_SALES_RATIO"),"")</f>
        <v/>
      </c>
      <c r="T523" s="19">
        <f>IF(Database!BM523="","",IFERROR(BDP(LEFT(Database!BM523,FIND(".",Database!BM523)-1)&amp;" CH Equity","CUR_MKT_CAP"),""))</f>
        <v/>
      </c>
    </row>
    <row r="524"/>
    <row r="525">
      <c r="A525" s="2" t="inlineStr">
        <is>
          <t>Orange = Bloomberg and the scraped value differ by more than 25%.</t>
        </is>
      </c>
    </row>
  </sheetData>
  <conditionalFormatting sqref="C5:C523">
    <cfRule type="expression" priority="1" dxfId="3">
      <formula>AND(ISNUMBER(C5),ISNUMBER(D5),ABS(C5-D5)&gt;0.25*ABS(D5))</formula>
    </cfRule>
  </conditionalFormatting>
  <conditionalFormatting sqref="E5:E523">
    <cfRule type="expression" priority="2" dxfId="3">
      <formula>AND(ISNUMBER(E5),ISNUMBER(F5),ABS(E5-F5)&gt;0.25*ABS(F5))</formula>
    </cfRule>
  </conditionalFormatting>
  <conditionalFormatting sqref="M5:M523">
    <cfRule type="expression" priority="3" dxfId="3">
      <formula>AND(ISNUMBER(M5),ISNUMBER(N5),ABS(M5-N5)&gt;0.25*ABS(N5))</formula>
    </cfRule>
  </conditionalFormatting>
  <conditionalFormatting sqref="O5:O523">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8" t="inlineStr">
        <is>
          <t>Tech/AI</t>
        </is>
      </c>
      <c r="D4" s="86" t="inlineStr">
        <is>
          <t>3033.HK (HSTECH (Hang Seng TECH ETF))</t>
        </is>
      </c>
      <c r="E4" s="2" t="inlineStr">
        <is>
          <t>LLM / foundation model</t>
        </is>
      </c>
    </row>
    <row r="5">
      <c r="B5" s="71" t="inlineStr">
        <is>
          <t>LLM / foundation model</t>
        </is>
      </c>
      <c r="C5" s="2" t="inlineStr">
        <is>
          <t>Model-layer cos (MiniMax-type). NOT data-center, NOT AI application.</t>
        </is>
      </c>
      <c r="E5" s="2" t="inlineStr">
        <is>
          <t>AI application / agent software</t>
        </is>
      </c>
    </row>
    <row r="6">
      <c r="B6" s="71" t="inlineStr">
        <is>
          <t>AI application / agent software</t>
        </is>
      </c>
      <c r="C6" s="2" t="inlineStr">
        <is>
          <t>AI-native software &amp; agents monetising models; not the model layer itself.</t>
        </is>
      </c>
      <c r="E6" s="2" t="inlineStr">
        <is>
          <t>AI chips &amp; semis</t>
        </is>
      </c>
    </row>
    <row r="7">
      <c r="B7" s="71" t="inlineStr">
        <is>
          <t>AI chips &amp; semis</t>
        </is>
      </c>
      <c r="C7" s="2" t="inlineStr">
        <is>
          <t>GPU/ASIC/accelerator designers and semi supply chain.</t>
        </is>
      </c>
      <c r="E7" s="2" t="inlineStr">
        <is>
          <t>Data center / cloud infra</t>
        </is>
      </c>
    </row>
    <row r="8">
      <c r="B8" s="71" t="inlineStr">
        <is>
          <t>Data center / cloud infra</t>
        </is>
      </c>
      <c r="C8" s="2" t="inlineStr">
        <is>
          <t>IDC, cloud capacity, AI infra landlords. Distinct from model layer.</t>
        </is>
      </c>
      <c r="E8" s="2" t="inlineStr">
        <is>
          <t>Robotics &amp; autonomous driving</t>
        </is>
      </c>
    </row>
    <row r="9">
      <c r="B9" s="71" t="inlineStr">
        <is>
          <t>Robotics &amp; autonomous driving</t>
        </is>
      </c>
      <c r="C9" s="2" t="inlineStr">
        <is>
          <t>Embodied AI, ADAS/AD stacks, robotaxi, humanoid.</t>
        </is>
      </c>
      <c r="E9" s="2" t="inlineStr">
        <is>
          <t>Smart hardware / consumer electronics</t>
        </is>
      </c>
    </row>
    <row r="10">
      <c r="B10" s="71" t="inlineStr">
        <is>
          <t>Smart hardware / consumer electronics</t>
        </is>
      </c>
      <c r="C10" s="2" t="inlineStr">
        <is>
          <t>Devices, IoT, components ex-semis.</t>
        </is>
      </c>
      <c r="E10" s="2" t="inlineStr">
        <is>
          <t>SaaS / enterprise software</t>
        </is>
      </c>
    </row>
    <row r="11">
      <c r="B11" s="71" t="inlineStr">
        <is>
          <t>SaaS / enterprise software</t>
        </is>
      </c>
      <c r="C11" s="2" t="inlineStr">
        <is>
          <t>Recurring-revenue software without AI-native positioning.</t>
        </is>
      </c>
      <c r="E11" s="2" t="inlineStr">
        <is>
          <t>Internet platform / e-commerce</t>
        </is>
      </c>
    </row>
    <row r="12">
      <c r="B12" s="71" t="inlineStr">
        <is>
          <t>Internet platform / e-commerce</t>
        </is>
      </c>
      <c r="C12" s="2" t="inlineStr">
        <is>
          <t>Marketplaces, local services, content platforms.</t>
        </is>
      </c>
      <c r="E12" s="2" t="inlineStr">
        <is>
          <t>Fintech platform</t>
        </is>
      </c>
    </row>
    <row r="13">
      <c r="B13" s="71" t="inlineStr">
        <is>
          <t>Fintech platform</t>
        </is>
      </c>
      <c r="C13" s="2" t="inlineStr">
        <is>
          <t>Payments, lending, wealth platforms (tech-first).</t>
        </is>
      </c>
      <c r="E13" s="2" t="inlineStr">
        <is>
          <t>Biotech pre-revenue (18A)</t>
        </is>
      </c>
    </row>
    <row r="14">
      <c r="A14" s="188" t="inlineStr">
        <is>
          <t>Healthcare</t>
        </is>
      </c>
      <c r="D14" s="86" t="inlineStr">
        <is>
          <t>2820.HK (China Biotech ETF (HS biotech proxy))</t>
        </is>
      </c>
      <c r="E14" s="2" t="inlineStr">
        <is>
          <t>Biopharma commercial</t>
        </is>
      </c>
    </row>
    <row r="15">
      <c r="B15" s="71" t="inlineStr">
        <is>
          <t>Biotech pre-revenue (18A)</t>
        </is>
      </c>
      <c r="C15" s="2" t="inlineStr">
        <is>
          <t>Loss-making 18A; comp on pipeline/P-S-if-any, never P/E.</t>
        </is>
      </c>
      <c r="E15" s="2" t="inlineStr">
        <is>
          <t>Medical devices</t>
        </is>
      </c>
    </row>
    <row r="16">
      <c r="B16" s="71" t="inlineStr">
        <is>
          <t>Biopharma commercial</t>
        </is>
      </c>
      <c r="C16" s="2" t="inlineStr">
        <is>
          <t>Revenue-generating pharma/biotech.</t>
        </is>
      </c>
      <c r="E16" s="2" t="inlineStr">
        <is>
          <t>CXO / pharma services</t>
        </is>
      </c>
    </row>
    <row r="17">
      <c r="B17" s="71" t="inlineStr">
        <is>
          <t>Medical devices</t>
        </is>
      </c>
      <c r="C17" s="2" t="inlineStr">
        <is>
          <t>Devices incl. 18A device names.</t>
        </is>
      </c>
      <c r="E17" s="2" t="inlineStr">
        <is>
          <t>Digital health</t>
        </is>
      </c>
    </row>
    <row r="18">
      <c r="B18" s="71" t="inlineStr">
        <is>
          <t>CXO / pharma services</t>
        </is>
      </c>
      <c r="C18" s="2" t="inlineStr">
        <is>
          <t>CRO/CDMO/CMO.</t>
        </is>
      </c>
      <c r="E18" s="2" t="inlineStr">
        <is>
          <t>Hospitals / clinics</t>
        </is>
      </c>
    </row>
    <row r="19">
      <c r="B19" s="71" t="inlineStr">
        <is>
          <t>Digital health</t>
        </is>
      </c>
      <c r="C19" s="2" t="inlineStr">
        <is>
          <t>Online healthcare platforms.</t>
        </is>
      </c>
      <c r="E19" s="2" t="inlineStr">
        <is>
          <t>TCM</t>
        </is>
      </c>
    </row>
    <row r="20">
      <c r="B20" s="71" t="inlineStr">
        <is>
          <t>Hospitals / clinics</t>
        </is>
      </c>
      <c r="C20" s="2" t="inlineStr">
        <is>
          <t>Service providers.</t>
        </is>
      </c>
      <c r="E20" s="2" t="inlineStr">
        <is>
          <t>F&amp;B chains / restaurants</t>
        </is>
      </c>
    </row>
    <row r="21">
      <c r="B21" s="71" t="inlineStr">
        <is>
          <t>TCM</t>
        </is>
      </c>
      <c r="C21" s="2" t="inlineStr">
        <is>
          <t>Traditional Chinese medicine.</t>
        </is>
      </c>
      <c r="E21" s="2" t="inlineStr">
        <is>
          <t>Beverages / packaged food</t>
        </is>
      </c>
    </row>
    <row r="22">
      <c r="A22" s="188" t="inlineStr">
        <is>
          <t>Consumer</t>
        </is>
      </c>
      <c r="D22" s="86" t="inlineStr">
        <is>
          <t>^HSNC (Hang Seng Commerce &amp; Industry sub-index)</t>
        </is>
      </c>
      <c r="E22" s="2" t="inlineStr">
        <is>
          <t>Apparel / luxury</t>
        </is>
      </c>
    </row>
    <row r="23">
      <c r="B23" s="71" t="inlineStr">
        <is>
          <t>F&amp;B chains / restaurants</t>
        </is>
      </c>
      <c r="C23" s="2" t="inlineStr">
        <is>
          <t>Mixue-type store-count stories.</t>
        </is>
      </c>
      <c r="E23" s="2" t="inlineStr">
        <is>
          <t>Beauty / personal care</t>
        </is>
      </c>
    </row>
    <row r="24">
      <c r="B24" s="71" t="inlineStr">
        <is>
          <t>Beverages / packaged food</t>
        </is>
      </c>
      <c r="C24" s="2" t="inlineStr">
        <is>
          <t>Brands, not chains.</t>
        </is>
      </c>
      <c r="E24" s="2" t="inlineStr">
        <is>
          <t>Consumer services / education</t>
        </is>
      </c>
    </row>
    <row r="25">
      <c r="B25" s="71" t="inlineStr">
        <is>
          <t>Apparel / luxury</t>
        </is>
      </c>
      <c r="C25" s="2" t="inlineStr"/>
      <c r="E25" s="2" t="inlineStr">
        <is>
          <t>Autos (NEV OEM)</t>
        </is>
      </c>
    </row>
    <row r="26">
      <c r="B26" s="71" t="inlineStr">
        <is>
          <t>Beauty / personal care</t>
        </is>
      </c>
      <c r="C26" s="2" t="inlineStr"/>
      <c r="E26" s="2" t="inlineStr">
        <is>
          <t>Auto parts / supply chain</t>
        </is>
      </c>
    </row>
    <row r="27">
      <c r="B27" s="71" t="inlineStr">
        <is>
          <t>Consumer services / education</t>
        </is>
      </c>
      <c r="C27" s="2" t="inlineStr"/>
      <c r="E27" s="2" t="inlineStr">
        <is>
          <t>Retail / distribution</t>
        </is>
      </c>
    </row>
    <row r="28">
      <c r="B28" s="71" t="inlineStr">
        <is>
          <t>Autos (NEV OEM)</t>
        </is>
      </c>
      <c r="C28" s="2" t="inlineStr">
        <is>
          <t>Vehicle OEMs; loss-making OEMs comp on P/S.</t>
        </is>
      </c>
      <c r="E28" s="2" t="inlineStr">
        <is>
          <t>Banks</t>
        </is>
      </c>
    </row>
    <row r="29">
      <c r="B29" s="71" t="inlineStr">
        <is>
          <t>Auto parts / supply chain</t>
        </is>
      </c>
      <c r="C29" s="2" t="inlineStr"/>
      <c r="E29" s="2" t="inlineStr">
        <is>
          <t>Insurance</t>
        </is>
      </c>
    </row>
    <row r="30">
      <c r="B30" s="71" t="inlineStr">
        <is>
          <t>Retail / distribution</t>
        </is>
      </c>
      <c r="C30" s="2" t="inlineStr"/>
      <c r="E30" s="2" t="inlineStr">
        <is>
          <t>Brokers / asset management</t>
        </is>
      </c>
    </row>
    <row r="31">
      <c r="A31" s="188" t="inlineStr">
        <is>
          <t>Financials</t>
        </is>
      </c>
      <c r="D31" s="86" t="inlineStr">
        <is>
          <t>^HSNF (Hang Seng Finance sub-index)</t>
        </is>
      </c>
      <c r="E31" s="2" t="inlineStr">
        <is>
          <t>Capital goods / machinery</t>
        </is>
      </c>
    </row>
    <row r="32">
      <c r="B32" s="71" t="inlineStr">
        <is>
          <t>Banks</t>
        </is>
      </c>
      <c r="C32" s="2" t="inlineStr"/>
      <c r="E32" s="2" t="inlineStr">
        <is>
          <t>Batteries / energy storage</t>
        </is>
      </c>
    </row>
    <row r="33">
      <c r="B33" s="71" t="inlineStr">
        <is>
          <t>Insurance</t>
        </is>
      </c>
      <c r="C33" s="2" t="inlineStr"/>
      <c r="E33" s="2" t="inlineStr">
        <is>
          <t>Solar / wind supply chain</t>
        </is>
      </c>
    </row>
    <row r="34">
      <c r="B34" s="71" t="inlineStr">
        <is>
          <t>Brokers / asset management</t>
        </is>
      </c>
      <c r="C34" s="2" t="inlineStr"/>
      <c r="E34" s="2" t="inlineStr">
        <is>
          <t>Logistics</t>
        </is>
      </c>
    </row>
    <row r="35">
      <c r="A35" s="188" t="inlineStr">
        <is>
          <t>Industrials</t>
        </is>
      </c>
      <c r="D35" s="86" t="inlineStr">
        <is>
          <t>^HSNC (Hang Seng Commerce &amp; Industry sub-index)</t>
        </is>
      </c>
      <c r="E35" s="2" t="inlineStr">
        <is>
          <t>Construction / engineering</t>
        </is>
      </c>
    </row>
    <row r="36">
      <c r="B36" s="71" t="inlineStr">
        <is>
          <t>Capital goods / machinery</t>
        </is>
      </c>
      <c r="C36" s="2" t="inlineStr"/>
      <c r="E36" s="2" t="inlineStr">
        <is>
          <t>Mining / metals</t>
        </is>
      </c>
    </row>
    <row r="37">
      <c r="B37" s="71" t="inlineStr">
        <is>
          <t>Batteries / energy storage</t>
        </is>
      </c>
      <c r="C37" s="2" t="inlineStr">
        <is>
          <t>CATL bucket: cells, materials, ESS.</t>
        </is>
      </c>
      <c r="E37" s="2" t="inlineStr">
        <is>
          <t>Chemicals</t>
        </is>
      </c>
    </row>
    <row r="38">
      <c r="B38" s="71" t="inlineStr">
        <is>
          <t>Solar / wind supply chain</t>
        </is>
      </c>
      <c r="C38" s="2" t="inlineStr"/>
      <c r="E38" s="2" t="inlineStr">
        <is>
          <t>Oil &amp; gas / utilities</t>
        </is>
      </c>
    </row>
    <row r="39">
      <c r="B39" s="71" t="inlineStr">
        <is>
          <t>Logistics</t>
        </is>
      </c>
      <c r="C39" s="2" t="inlineStr"/>
      <c r="E39" s="2" t="inlineStr">
        <is>
          <t>Developers</t>
        </is>
      </c>
    </row>
    <row r="40">
      <c r="B40" s="71" t="inlineStr">
        <is>
          <t>Construction / engineering</t>
        </is>
      </c>
      <c r="C40" s="2" t="inlineStr"/>
      <c r="E40" s="2" t="inlineStr">
        <is>
          <t>Property management</t>
        </is>
      </c>
    </row>
    <row r="41">
      <c r="A41" s="188" t="inlineStr">
        <is>
          <t>Materials/Energy</t>
        </is>
      </c>
      <c r="D41" s="86" t="inlineStr">
        <is>
          <t>^HSNC (Hang Seng Commerce &amp; Industry sub-index)</t>
        </is>
      </c>
      <c r="E41" s="2" t="inlineStr">
        <is>
          <t>REITs / asset-light</t>
        </is>
      </c>
    </row>
    <row r="42">
      <c r="B42" s="71" t="inlineStr">
        <is>
          <t>Mining / metals</t>
        </is>
      </c>
      <c r="C42" s="2" t="inlineStr"/>
      <c r="E42" s="2" t="inlineStr">
        <is>
          <t>Telecom</t>
        </is>
      </c>
    </row>
    <row r="43">
      <c r="B43" s="71" t="inlineStr">
        <is>
          <t>Chemicals</t>
        </is>
      </c>
      <c r="C43" s="2" t="inlineStr"/>
      <c r="E43" s="2" t="inlineStr">
        <is>
          <t>Media / advertising</t>
        </is>
      </c>
    </row>
    <row r="44">
      <c r="B44" s="71" t="inlineStr">
        <is>
          <t>Oil &amp; gas / utilities</t>
        </is>
      </c>
      <c r="C44" s="2" t="inlineStr"/>
      <c r="E44" s="2" t="inlineStr">
        <is>
          <t>Other / unclassified</t>
        </is>
      </c>
    </row>
    <row r="45">
      <c r="A45" s="188" t="inlineStr">
        <is>
          <t>Real Estate</t>
        </is>
      </c>
      <c r="D45" s="86" t="inlineStr">
        <is>
          <t>^HSNP (Hang Seng Properties sub-index)</t>
        </is>
      </c>
    </row>
    <row r="46">
      <c r="B46" s="71" t="inlineStr">
        <is>
          <t>Developers</t>
        </is>
      </c>
      <c r="C46" s="2" t="inlineStr"/>
    </row>
    <row r="47">
      <c r="B47" s="71" t="inlineStr">
        <is>
          <t>Property management</t>
        </is>
      </c>
      <c r="C47" s="2" t="inlineStr"/>
    </row>
    <row r="48">
      <c r="B48" s="71" t="inlineStr">
        <is>
          <t>REITs / asset-light</t>
        </is>
      </c>
      <c r="C48" s="2" t="inlineStr"/>
    </row>
    <row r="49">
      <c r="A49" s="188" t="inlineStr">
        <is>
          <t>TMT-other</t>
        </is>
      </c>
      <c r="D49" s="86" t="inlineStr">
        <is>
          <t>^HSI (Hang Seng Index)</t>
        </is>
      </c>
    </row>
    <row r="50">
      <c r="B50" s="71" t="inlineStr">
        <is>
          <t>Telecom</t>
        </is>
      </c>
      <c r="C50" s="2" t="inlineStr"/>
    </row>
    <row r="51">
      <c r="B51" s="71" t="inlineStr">
        <is>
          <t>Media / advertising</t>
        </is>
      </c>
      <c r="C51" s="2" t="inlineStr"/>
    </row>
    <row r="52">
      <c r="A52" s="188" t="inlineStr">
        <is>
          <t>Other</t>
        </is>
      </c>
      <c r="D52" s="86" t="inlineStr">
        <is>
          <t>^HSI (Hang Seng Index)</t>
        </is>
      </c>
    </row>
    <row r="53">
      <c r="B53" s="71"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5" t="inlineStr">
        <is>
          <t>2021</t>
        </is>
      </c>
      <c r="B5" s="53">
        <f>COUNTIFS(Database!$H$5:$H$523,"&gt;="&amp;DATE(2021,1,1),Database!$H$5:$H$523,"&lt;="&amp;DATE(2021,12,31))</f>
        <v/>
      </c>
      <c r="C5" s="171" t="n"/>
      <c r="D5" s="53">
        <f>IF(C5="","n/a",C5-B5)</f>
        <v/>
      </c>
      <c r="E5" s="26">
        <f>SUMIFS(Database!$I$5:$I$523,Database!$H$5:$H$523,"&gt;="&amp;DATE(2021,1,1),Database!$H$5:$H$523,"&lt;="&amp;DATE(2021,12,31))/1000</f>
        <v/>
      </c>
      <c r="F5" s="189" t="n">
        <v>331.3</v>
      </c>
      <c r="G5" s="54">
        <f>IF(OR(F5="",E5=0),"n/a",F5/E5-1)</f>
        <v/>
      </c>
    </row>
    <row r="6">
      <c r="A6" s="185" t="inlineStr">
        <is>
          <t>2022</t>
        </is>
      </c>
      <c r="B6" s="53">
        <f>COUNTIFS(Database!$H$5:$H$523,"&gt;="&amp;DATE(2022,1,1),Database!$H$5:$H$523,"&lt;="&amp;DATE(2022,12,31))</f>
        <v/>
      </c>
      <c r="C6" s="171" t="n">
        <v>90</v>
      </c>
      <c r="D6" s="53">
        <f>IF(C6="","n/a",C6-B6)</f>
        <v/>
      </c>
      <c r="E6" s="26">
        <f>SUMIFS(Database!$I$5:$I$523,Database!$H$5:$H$523,"&gt;="&amp;DATE(2022,1,1),Database!$H$5:$H$523,"&lt;="&amp;DATE(2022,12,31))/1000</f>
        <v/>
      </c>
      <c r="F6" s="189" t="n">
        <v>104.6</v>
      </c>
      <c r="G6" s="54">
        <f>IF(OR(F6="",E6=0),"n/a",F6/E6-1)</f>
        <v/>
      </c>
    </row>
    <row r="7">
      <c r="A7" s="185" t="inlineStr">
        <is>
          <t>2023</t>
        </is>
      </c>
      <c r="B7" s="53">
        <f>COUNTIFS(Database!$H$5:$H$523,"&gt;="&amp;DATE(2023,1,1),Database!$H$5:$H$523,"&lt;="&amp;DATE(2023,12,31))</f>
        <v/>
      </c>
      <c r="C7" s="171" t="n">
        <v>73</v>
      </c>
      <c r="D7" s="53">
        <f>IF(C7="","n/a",C7-B7)</f>
        <v/>
      </c>
      <c r="E7" s="26">
        <f>SUMIFS(Database!$I$5:$I$523,Database!$H$5:$H$523,"&gt;="&amp;DATE(2023,1,1),Database!$H$5:$H$523,"&lt;="&amp;DATE(2023,12,31))/1000</f>
        <v/>
      </c>
      <c r="F7" s="189" t="n">
        <v>46.3</v>
      </c>
      <c r="G7" s="54">
        <f>IF(OR(F7="",E7=0),"n/a",F7/E7-1)</f>
        <v/>
      </c>
    </row>
    <row r="8">
      <c r="A8" s="185" t="inlineStr">
        <is>
          <t>2024</t>
        </is>
      </c>
      <c r="B8" s="53">
        <f>COUNTIFS(Database!$H$5:$H$523,"&gt;="&amp;DATE(2024,1,1),Database!$H$5:$H$523,"&lt;="&amp;DATE(2024,12,31))</f>
        <v/>
      </c>
      <c r="C8" s="171" t="n">
        <v>71</v>
      </c>
      <c r="D8" s="53">
        <f>IF(C8="","n/a",C8-B8)</f>
        <v/>
      </c>
      <c r="E8" s="26">
        <f>SUMIFS(Database!$I$5:$I$523,Database!$H$5:$H$523,"&gt;="&amp;DATE(2024,1,1),Database!$H$5:$H$523,"&lt;="&amp;DATE(2024,12,31))/1000</f>
        <v/>
      </c>
      <c r="F8" s="189" t="n">
        <v>87.5</v>
      </c>
      <c r="G8" s="54">
        <f>IF(OR(F8="",E8=0),"n/a",F8/E8-1)</f>
        <v/>
      </c>
    </row>
    <row r="9">
      <c r="A9" s="185" t="inlineStr">
        <is>
          <t>2025</t>
        </is>
      </c>
      <c r="B9" s="53">
        <f>COUNTIFS(Database!$H$5:$H$523,"&gt;="&amp;DATE(2025,1,1),Database!$H$5:$H$523,"&lt;="&amp;DATE(2025,12,31))</f>
        <v/>
      </c>
      <c r="C9" s="171" t="n"/>
      <c r="D9" s="53">
        <f>IF(C9="","n/a",C9-B9)</f>
        <v/>
      </c>
      <c r="E9" s="26">
        <f>SUMIFS(Database!$I$5:$I$523,Database!$H$5:$H$523,"&gt;="&amp;DATE(2025,1,1),Database!$H$5:$H$523,"&lt;="&amp;DATE(2025,12,31))/1000</f>
        <v/>
      </c>
      <c r="F9" s="189" t="n"/>
      <c r="G9" s="54">
        <f>IF(OR(F9="",E9=0),"n/a",F9/E9-1)</f>
        <v/>
      </c>
    </row>
    <row r="10">
      <c r="A10" s="185" t="inlineStr">
        <is>
          <t>2026</t>
        </is>
      </c>
      <c r="B10" s="53">
        <f>COUNTIFS(Database!$H$5:$H$523,"&gt;="&amp;DATE(2026,1,1),Database!$H$5:$H$523,"&lt;="&amp;DATE(2026,12,31))</f>
        <v/>
      </c>
      <c r="C10" s="171" t="n"/>
      <c r="D10" s="53">
        <f>IF(C10="","n/a",C10-B10)</f>
        <v/>
      </c>
      <c r="E10" s="26">
        <f>SUMIFS(Database!$I$5:$I$523,Database!$H$5:$H$523,"&gt;="&amp;DATE(2026,1,1),Database!$H$5:$H$523,"&lt;="&amp;DATE(2026,12,31))/1000</f>
        <v/>
      </c>
      <c r="F10" s="189" t="n"/>
      <c r="G10" s="54">
        <f>IF(OR(F10="",E10=0),"n/a",F10/E10-1)</f>
        <v/>
      </c>
    </row>
    <row r="11"/>
    <row r="12">
      <c r="A12" s="169"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74" t="inlineStr">
        <is>
          <t>1024</t>
        </is>
      </c>
      <c r="B14" s="17" t="inlineStr">
        <is>
          <t>Kuaishou</t>
        </is>
      </c>
      <c r="C14" s="17" t="inlineStr">
        <is>
          <t>final_price</t>
        </is>
      </c>
      <c r="D14" s="182" t="n">
        <v>115</v>
      </c>
      <c r="E14" s="50">
        <f>INDEX(Database!$M$5:$M$523,MATCH("1024",Database!$A$5:$A$523,0))</f>
        <v/>
      </c>
      <c r="F14" s="10">
        <f>IF(E14="","MISSING",IF(ABS(E14-D14)/D14&lt;0.02,"OK","CHECK"))</f>
        <v/>
      </c>
    </row>
    <row r="15">
      <c r="A15" s="174" t="inlineStr">
        <is>
          <t>3750</t>
        </is>
      </c>
      <c r="B15" s="17" t="inlineStr">
        <is>
          <t>CATL (H)</t>
        </is>
      </c>
      <c r="C15" s="17" t="inlineStr">
        <is>
          <t>final_price</t>
        </is>
      </c>
      <c r="D15" s="182" t="n">
        <v>263</v>
      </c>
      <c r="E15" s="50">
        <f>INDEX(Database!$M$5:$M$523,MATCH("3750",Database!$A$5:$A$523,0))</f>
        <v/>
      </c>
      <c r="F15" s="10">
        <f>IF(E15="","MISSING",IF(ABS(E15-D15)/D15&lt;0.02,"OK","CHECK"))</f>
        <v/>
      </c>
    </row>
    <row r="16">
      <c r="A16" s="174" t="inlineStr">
        <is>
          <t>0300</t>
        </is>
      </c>
      <c r="B16" s="17" t="inlineStr">
        <is>
          <t>Midea Group (H)</t>
        </is>
      </c>
      <c r="C16" s="17" t="inlineStr">
        <is>
          <t>final_price</t>
        </is>
      </c>
      <c r="D16" s="182" t="n">
        <v>54.8</v>
      </c>
      <c r="E16" s="50">
        <f>INDEX(Database!$M$5:$M$523,MATCH("0300",Database!$A$5:$A$523,0))</f>
        <v/>
      </c>
      <c r="F16" s="10">
        <f>IF(E16="","MISSING",IF(ABS(E16-D16)/D16&lt;0.02,"OK","CHECK"))</f>
        <v/>
      </c>
    </row>
    <row r="17">
      <c r="A17" s="174" t="inlineStr">
        <is>
          <t>9660</t>
        </is>
      </c>
      <c r="B17" s="17" t="inlineStr">
        <is>
          <t>Horizon Robotics</t>
        </is>
      </c>
      <c r="C17" s="17" t="inlineStr">
        <is>
          <t>final_price</t>
        </is>
      </c>
      <c r="D17" s="182" t="n">
        <v>3.99</v>
      </c>
      <c r="E17" s="50">
        <f>INDEX(Database!$M$5:$M$523,MATCH("9660",Database!$A$5:$A$523,0))</f>
        <v/>
      </c>
      <c r="F17" s="10">
        <f>IF(E17="","MISSING",IF(ABS(E17-D17)/D17&lt;0.02,"OK","CHECK"))</f>
        <v/>
      </c>
    </row>
    <row r="18">
      <c r="A18" s="174" t="inlineStr">
        <is>
          <t>2097</t>
        </is>
      </c>
      <c r="B18" s="17" t="inlineStr">
        <is>
          <t>Mixue Group</t>
        </is>
      </c>
      <c r="C18" s="17" t="inlineStr">
        <is>
          <t>final_price</t>
        </is>
      </c>
      <c r="D18" s="182" t="n">
        <v>202.5</v>
      </c>
      <c r="E18" s="50">
        <f>INDEX(Database!$M$5:$M$523,MATCH("2097",Database!$A$5:$A$523,0))</f>
        <v/>
      </c>
      <c r="F18" s="10">
        <f>IF(E18="","MISSING",IF(ABS(E18-D18)/D18&lt;0.02,"OK","CHECK"))</f>
        <v/>
      </c>
    </row>
    <row r="19">
      <c r="A19" s="174" t="inlineStr">
        <is>
          <t>9696</t>
        </is>
      </c>
      <c r="B19" s="17" t="inlineStr">
        <is>
          <t>Tianqi Lithium (H)</t>
        </is>
      </c>
      <c r="C19" s="17" t="inlineStr">
        <is>
          <t>final_price</t>
        </is>
      </c>
      <c r="D19" s="182" t="n">
        <v>82</v>
      </c>
      <c r="E19" s="50">
        <f>INDEX(Database!$M$5:$M$523,MATCH("9696",Database!$A$5:$A$523,0))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5"/>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IFERROR(INDEX(Database!$AC$5:$AC$523,MATCH(Screener!$B$5,Database!$B$5:$B$523,0))&amp;"","")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IF(OR(Database!$BF5="",Screener!$D$10=""),0,IF(Database!$BF5=Screener!$D$10,1,0))</f>
        <v/>
      </c>
      <c r="F5">
        <f>IF(OR(Database!$BL5="",Screener!$D$11=""),0,IF(Database!$BL5=Screener!$D$11,1,0))</f>
        <v/>
      </c>
      <c r="G5">
        <f>IF(OR(Database!$H5="",N(Screener!$D$12)&lt;=0),0,MAX(0,1-(N(Screener!$D$12)-Database!$H5)/W_RECD))</f>
        <v/>
      </c>
      <c r="H5">
        <f>IF($U$1="",0,N(ISNUMBER(SEARCH($U$1,Database!$AC5&amp;""))))+IF($V$1="",0,N(ISNUMBER(SEARCH($V$1,Database!$AC5&amp;""))))+IF($W$1="",0,N(ISNUMBER(SEARCH($W$1,Database!$AC5&amp;""))))+IF($X$1="",0,N(ISNUMBER(SEARCH($X$1,Database!$AC5&amp;""))))+IF($Y$1="",0,N(ISNUMBER(SEARCH($Y$1,Database!$AC5&amp;""))))+IF(Screener!$B$17="",0,N(ISNUMBER(SEARCH(LOWER(Screener!$B$17),Database!$AC5&amp;""))))</f>
        <v/>
      </c>
      <c r="I5">
        <f>IF(OR(N(Database!$BG5)&lt;=0,N(Screener!$D$13)&lt;=0),0,MAX(0,1-ABS(LOG10(N(Database!$BG5)/Screener!$D$13))/W_PEHW))</f>
        <v/>
      </c>
      <c r="J5">
        <f>IF(OR(N(Database!$S5)&lt;=0,N(Screener!$D$14)&lt;=0),0,MAX(0,1-ABS(LOG10(Database!$S5/Screener!$D$14))/0.6))</f>
        <v/>
      </c>
      <c r="K5">
        <f>IF(Database!$B5=Screener!$B$5,-999999,IF(ISNUMBER(SEARCH(","&amp;Database!$A5&amp;",",","&amp;SUBSTITUTE(Screener!$D$17," ","")&amp;",")),2000000,IF(IF(OR(Screener!$B$18="All",AND(Screener!$B$18="With A-share",(Database!$BL5="Y")),AND(Screener!$B$18="Without A-share",NOT((Database!$BL5="Y")))),1,0)=0,-999999,IF(Screener!$B$16="cornerstone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IF(OR(Database!$BF6="",Screener!$D$10=""),0,IF(Database!$BF6=Screener!$D$10,1,0))</f>
        <v/>
      </c>
      <c r="F6">
        <f>IF(OR(Database!$BL6="",Screener!$D$11=""),0,IF(Database!$BL6=Screener!$D$11,1,0))</f>
        <v/>
      </c>
      <c r="G6">
        <f>IF(OR(Database!$H6="",N(Screener!$D$12)&lt;=0),0,MAX(0,1-(N(Screener!$D$12)-Database!$H6)/W_RECD))</f>
        <v/>
      </c>
      <c r="H6">
        <f>IF($U$1="",0,N(ISNUMBER(SEARCH($U$1,Database!$AC6&amp;""))))+IF($V$1="",0,N(ISNUMBER(SEARCH($V$1,Database!$AC6&amp;""))))+IF($W$1="",0,N(ISNUMBER(SEARCH($W$1,Database!$AC6&amp;""))))+IF($X$1="",0,N(ISNUMBER(SEARCH($X$1,Database!$AC6&amp;""))))+IF($Y$1="",0,N(ISNUMBER(SEARCH($Y$1,Database!$AC6&amp;""))))+IF(Screener!$B$17="",0,N(ISNUMBER(SEARCH(LOWER(Screener!$B$17),Database!$AC6&amp;""))))</f>
        <v/>
      </c>
      <c r="I6">
        <f>IF(OR(N(Database!$BG6)&lt;=0,N(Screener!$D$13)&lt;=0),0,MAX(0,1-ABS(LOG10(N(Database!$BG6)/Screener!$D$13))/W_PEHW))</f>
        <v/>
      </c>
      <c r="J6">
        <f>IF(OR(N(Database!$S6)&lt;=0,N(Screener!$D$14)&lt;=0),0,MAX(0,1-ABS(LOG10(Database!$S6/Screener!$D$14))/0.6))</f>
        <v/>
      </c>
      <c r="K6">
        <f>IF(Database!$B6=Screener!$B$5,-999999,IF(ISNUMBER(SEARCH(","&amp;Database!$A6&amp;",",","&amp;SUBSTITUTE(Screener!$D$17," ","")&amp;",")),2000000,IF(IF(OR(Screener!$B$18="All",AND(Screener!$B$18="With A-share",(Database!$BL6="Y")),AND(Screener!$B$18="Without A-share",NOT((Database!$BL6="Y")))),1,0)=0,-999999,IF(Screener!$B$16="cornerstone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IF(OR(Database!$BF7="",Screener!$D$10=""),0,IF(Database!$BF7=Screener!$D$10,1,0))</f>
        <v/>
      </c>
      <c r="F7">
        <f>IF(OR(Database!$BL7="",Screener!$D$11=""),0,IF(Database!$BL7=Screener!$D$11,1,0))</f>
        <v/>
      </c>
      <c r="G7">
        <f>IF(OR(Database!$H7="",N(Screener!$D$12)&lt;=0),0,MAX(0,1-(N(Screener!$D$12)-Database!$H7)/W_RECD))</f>
        <v/>
      </c>
      <c r="H7">
        <f>IF($U$1="",0,N(ISNUMBER(SEARCH($U$1,Database!$AC7&amp;""))))+IF($V$1="",0,N(ISNUMBER(SEARCH($V$1,Database!$AC7&amp;""))))+IF($W$1="",0,N(ISNUMBER(SEARCH($W$1,Database!$AC7&amp;""))))+IF($X$1="",0,N(ISNUMBER(SEARCH($X$1,Database!$AC7&amp;""))))+IF($Y$1="",0,N(ISNUMBER(SEARCH($Y$1,Database!$AC7&amp;""))))+IF(Screener!$B$17="",0,N(ISNUMBER(SEARCH(LOWER(Screener!$B$17),Database!$AC7&amp;""))))</f>
        <v/>
      </c>
      <c r="I7">
        <f>IF(OR(N(Database!$BG7)&lt;=0,N(Screener!$D$13)&lt;=0),0,MAX(0,1-ABS(LOG10(N(Database!$BG7)/Screener!$D$13))/W_PEHW))</f>
        <v/>
      </c>
      <c r="J7">
        <f>IF(OR(N(Database!$S7)&lt;=0,N(Screener!$D$14)&lt;=0),0,MAX(0,1-ABS(LOG10(Database!$S7/Screener!$D$14))/0.6))</f>
        <v/>
      </c>
      <c r="K7">
        <f>IF(Database!$B7=Screener!$B$5,-999999,IF(ISNUMBER(SEARCH(","&amp;Database!$A7&amp;",",","&amp;SUBSTITUTE(Screener!$D$17," ","")&amp;",")),2000000,IF(IF(OR(Screener!$B$18="All",AND(Screener!$B$18="With A-share",(Database!$BL7="Y")),AND(Screener!$B$18="Without A-share",NOT((Database!$BL7="Y")))),1,0)=0,-999999,IF(Screener!$B$16="cornerstone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IF(OR(Database!$BF8="",Screener!$D$10=""),0,IF(Database!$BF8=Screener!$D$10,1,0))</f>
        <v/>
      </c>
      <c r="F8">
        <f>IF(OR(Database!$BL8="",Screener!$D$11=""),0,IF(Database!$BL8=Screener!$D$11,1,0))</f>
        <v/>
      </c>
      <c r="G8">
        <f>IF(OR(Database!$H8="",N(Screener!$D$12)&lt;=0),0,MAX(0,1-(N(Screener!$D$12)-Database!$H8)/W_RECD))</f>
        <v/>
      </c>
      <c r="H8">
        <f>IF($U$1="",0,N(ISNUMBER(SEARCH($U$1,Database!$AC8&amp;""))))+IF($V$1="",0,N(ISNUMBER(SEARCH($V$1,Database!$AC8&amp;""))))+IF($W$1="",0,N(ISNUMBER(SEARCH($W$1,Database!$AC8&amp;""))))+IF($X$1="",0,N(ISNUMBER(SEARCH($X$1,Database!$AC8&amp;""))))+IF($Y$1="",0,N(ISNUMBER(SEARCH($Y$1,Database!$AC8&amp;""))))+IF(Screener!$B$17="",0,N(ISNUMBER(SEARCH(LOWER(Screener!$B$17),Database!$AC8&amp;""))))</f>
        <v/>
      </c>
      <c r="I8">
        <f>IF(OR(N(Database!$BG8)&lt;=0,N(Screener!$D$13)&lt;=0),0,MAX(0,1-ABS(LOG10(N(Database!$BG8)/Screener!$D$13))/W_PEHW))</f>
        <v/>
      </c>
      <c r="J8">
        <f>IF(OR(N(Database!$S8)&lt;=0,N(Screener!$D$14)&lt;=0),0,MAX(0,1-ABS(LOG10(Database!$S8/Screener!$D$14))/0.6))</f>
        <v/>
      </c>
      <c r="K8">
        <f>IF(Database!$B8=Screener!$B$5,-999999,IF(ISNUMBER(SEARCH(","&amp;Database!$A8&amp;",",","&amp;SUBSTITUTE(Screener!$D$17," ","")&amp;",")),2000000,IF(IF(OR(Screener!$B$18="All",AND(Screener!$B$18="With A-share",(Database!$BL8="Y")),AND(Screener!$B$18="Without A-share",NOT((Database!$BL8="Y")))),1,0)=0,-999999,IF(Screener!$B$16="cornerstone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IF(OR(Database!$BF9="",Screener!$D$10=""),0,IF(Database!$BF9=Screener!$D$10,1,0))</f>
        <v/>
      </c>
      <c r="F9">
        <f>IF(OR(Database!$BL9="",Screener!$D$11=""),0,IF(Database!$BL9=Screener!$D$11,1,0))</f>
        <v/>
      </c>
      <c r="G9">
        <f>IF(OR(Database!$H9="",N(Screener!$D$12)&lt;=0),0,MAX(0,1-(N(Screener!$D$12)-Database!$H9)/W_RECD))</f>
        <v/>
      </c>
      <c r="H9">
        <f>IF($U$1="",0,N(ISNUMBER(SEARCH($U$1,Database!$AC9&amp;""))))+IF($V$1="",0,N(ISNUMBER(SEARCH($V$1,Database!$AC9&amp;""))))+IF($W$1="",0,N(ISNUMBER(SEARCH($W$1,Database!$AC9&amp;""))))+IF($X$1="",0,N(ISNUMBER(SEARCH($X$1,Database!$AC9&amp;""))))+IF($Y$1="",0,N(ISNUMBER(SEARCH($Y$1,Database!$AC9&amp;""))))+IF(Screener!$B$17="",0,N(ISNUMBER(SEARCH(LOWER(Screener!$B$17),Database!$AC9&amp;""))))</f>
        <v/>
      </c>
      <c r="I9">
        <f>IF(OR(N(Database!$BG9)&lt;=0,N(Screener!$D$13)&lt;=0),0,MAX(0,1-ABS(LOG10(N(Database!$BG9)/Screener!$D$13))/W_PEHW))</f>
        <v/>
      </c>
      <c r="J9">
        <f>IF(OR(N(Database!$S9)&lt;=0,N(Screener!$D$14)&lt;=0),0,MAX(0,1-ABS(LOG10(Database!$S9/Screener!$D$14))/0.6))</f>
        <v/>
      </c>
      <c r="K9">
        <f>IF(Database!$B9=Screener!$B$5,-999999,IF(ISNUMBER(SEARCH(","&amp;Database!$A9&amp;",",","&amp;SUBSTITUTE(Screener!$D$17," ","")&amp;",")),2000000,IF(IF(OR(Screener!$B$18="All",AND(Screener!$B$18="With A-share",(Database!$BL9="Y")),AND(Screener!$B$18="Without A-share",NOT((Database!$BL9="Y")))),1,0)=0,-999999,IF(Screener!$B$16="cornerstone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IF(OR(Database!$BF10="",Screener!$D$10=""),0,IF(Database!$BF10=Screener!$D$10,1,0))</f>
        <v/>
      </c>
      <c r="F10">
        <f>IF(OR(Database!$BL10="",Screener!$D$11=""),0,IF(Database!$BL10=Screener!$D$11,1,0))</f>
        <v/>
      </c>
      <c r="G10">
        <f>IF(OR(Database!$H10="",N(Screener!$D$12)&lt;=0),0,MAX(0,1-(N(Screener!$D$12)-Database!$H10)/W_RECD))</f>
        <v/>
      </c>
      <c r="H10">
        <f>IF($U$1="",0,N(ISNUMBER(SEARCH($U$1,Database!$AC10&amp;""))))+IF($V$1="",0,N(ISNUMBER(SEARCH($V$1,Database!$AC10&amp;""))))+IF($W$1="",0,N(ISNUMBER(SEARCH($W$1,Database!$AC10&amp;""))))+IF($X$1="",0,N(ISNUMBER(SEARCH($X$1,Database!$AC10&amp;""))))+IF($Y$1="",0,N(ISNUMBER(SEARCH($Y$1,Database!$AC10&amp;""))))+IF(Screener!$B$17="",0,N(ISNUMBER(SEARCH(LOWER(Screener!$B$17),Database!$AC10&amp;""))))</f>
        <v/>
      </c>
      <c r="I10">
        <f>IF(OR(N(Database!$BG10)&lt;=0,N(Screener!$D$13)&lt;=0),0,MAX(0,1-ABS(LOG10(N(Database!$BG10)/Screener!$D$13))/W_PEHW))</f>
        <v/>
      </c>
      <c r="J10">
        <f>IF(OR(N(Database!$S10)&lt;=0,N(Screener!$D$14)&lt;=0),0,MAX(0,1-ABS(LOG10(Database!$S10/Screener!$D$14))/0.6))</f>
        <v/>
      </c>
      <c r="K10">
        <f>IF(Database!$B10=Screener!$B$5,-999999,IF(ISNUMBER(SEARCH(","&amp;Database!$A10&amp;",",","&amp;SUBSTITUTE(Screener!$D$17," ","")&amp;",")),2000000,IF(IF(OR(Screener!$B$18="All",AND(Screener!$B$18="With A-share",(Database!$BL10="Y")),AND(Screener!$B$18="Without A-share",NOT((Database!$BL10="Y")))),1,0)=0,-999999,IF(Screener!$B$16="cornerstone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IF(OR(Database!$BF11="",Screener!$D$10=""),0,IF(Database!$BF11=Screener!$D$10,1,0))</f>
        <v/>
      </c>
      <c r="F11">
        <f>IF(OR(Database!$BL11="",Screener!$D$11=""),0,IF(Database!$BL11=Screener!$D$11,1,0))</f>
        <v/>
      </c>
      <c r="G11">
        <f>IF(OR(Database!$H11="",N(Screener!$D$12)&lt;=0),0,MAX(0,1-(N(Screener!$D$12)-Database!$H11)/W_RECD))</f>
        <v/>
      </c>
      <c r="H11">
        <f>IF($U$1="",0,N(ISNUMBER(SEARCH($U$1,Database!$AC11&amp;""))))+IF($V$1="",0,N(ISNUMBER(SEARCH($V$1,Database!$AC11&amp;""))))+IF($W$1="",0,N(ISNUMBER(SEARCH($W$1,Database!$AC11&amp;""))))+IF($X$1="",0,N(ISNUMBER(SEARCH($X$1,Database!$AC11&amp;""))))+IF($Y$1="",0,N(ISNUMBER(SEARCH($Y$1,Database!$AC11&amp;""))))+IF(Screener!$B$17="",0,N(ISNUMBER(SEARCH(LOWER(Screener!$B$17),Database!$AC11&amp;""))))</f>
        <v/>
      </c>
      <c r="I11">
        <f>IF(OR(N(Database!$BG11)&lt;=0,N(Screener!$D$13)&lt;=0),0,MAX(0,1-ABS(LOG10(N(Database!$BG11)/Screener!$D$13))/W_PEHW))</f>
        <v/>
      </c>
      <c r="J11">
        <f>IF(OR(N(Database!$S11)&lt;=0,N(Screener!$D$14)&lt;=0),0,MAX(0,1-ABS(LOG10(Database!$S11/Screener!$D$14))/0.6))</f>
        <v/>
      </c>
      <c r="K11">
        <f>IF(Database!$B11=Screener!$B$5,-999999,IF(ISNUMBER(SEARCH(","&amp;Database!$A11&amp;",",","&amp;SUBSTITUTE(Screener!$D$17," ","")&amp;",")),2000000,IF(IF(OR(Screener!$B$18="All",AND(Screener!$B$18="With A-share",(Database!$BL11="Y")),AND(Screener!$B$18="Without A-share",NOT((Database!$BL11="Y")))),1,0)=0,-999999,IF(Screener!$B$16="cornerstone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IF(OR(Database!$BF12="",Screener!$D$10=""),0,IF(Database!$BF12=Screener!$D$10,1,0))</f>
        <v/>
      </c>
      <c r="F12">
        <f>IF(OR(Database!$BL12="",Screener!$D$11=""),0,IF(Database!$BL12=Screener!$D$11,1,0))</f>
        <v/>
      </c>
      <c r="G12">
        <f>IF(OR(Database!$H12="",N(Screener!$D$12)&lt;=0),0,MAX(0,1-(N(Screener!$D$12)-Database!$H12)/W_RECD))</f>
        <v/>
      </c>
      <c r="H12">
        <f>IF($U$1="",0,N(ISNUMBER(SEARCH($U$1,Database!$AC12&amp;""))))+IF($V$1="",0,N(ISNUMBER(SEARCH($V$1,Database!$AC12&amp;""))))+IF($W$1="",0,N(ISNUMBER(SEARCH($W$1,Database!$AC12&amp;""))))+IF($X$1="",0,N(ISNUMBER(SEARCH($X$1,Database!$AC12&amp;""))))+IF($Y$1="",0,N(ISNUMBER(SEARCH($Y$1,Database!$AC12&amp;""))))+IF(Screener!$B$17="",0,N(ISNUMBER(SEARCH(LOWER(Screener!$B$17),Database!$AC12&amp;""))))</f>
        <v/>
      </c>
      <c r="I12">
        <f>IF(OR(N(Database!$BG12)&lt;=0,N(Screener!$D$13)&lt;=0),0,MAX(0,1-ABS(LOG10(N(Database!$BG12)/Screener!$D$13))/W_PEHW))</f>
        <v/>
      </c>
      <c r="J12">
        <f>IF(OR(N(Database!$S12)&lt;=0,N(Screener!$D$14)&lt;=0),0,MAX(0,1-ABS(LOG10(Database!$S12/Screener!$D$14))/0.6))</f>
        <v/>
      </c>
      <c r="K12">
        <f>IF(Database!$B12=Screener!$B$5,-999999,IF(ISNUMBER(SEARCH(","&amp;Database!$A12&amp;",",","&amp;SUBSTITUTE(Screener!$D$17," ","")&amp;",")),2000000,IF(IF(OR(Screener!$B$18="All",AND(Screener!$B$18="With A-share",(Database!$BL12="Y")),AND(Screener!$B$18="Without A-share",NOT((Database!$BL12="Y")))),1,0)=0,-999999,IF(Screener!$B$16="cornerstone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IF(OR(Database!$BF13="",Screener!$D$10=""),0,IF(Database!$BF13=Screener!$D$10,1,0))</f>
        <v/>
      </c>
      <c r="F13">
        <f>IF(OR(Database!$BL13="",Screener!$D$11=""),0,IF(Database!$BL13=Screener!$D$11,1,0))</f>
        <v/>
      </c>
      <c r="G13">
        <f>IF(OR(Database!$H13="",N(Screener!$D$12)&lt;=0),0,MAX(0,1-(N(Screener!$D$12)-Database!$H13)/W_RECD))</f>
        <v/>
      </c>
      <c r="H13">
        <f>IF($U$1="",0,N(ISNUMBER(SEARCH($U$1,Database!$AC13&amp;""))))+IF($V$1="",0,N(ISNUMBER(SEARCH($V$1,Database!$AC13&amp;""))))+IF($W$1="",0,N(ISNUMBER(SEARCH($W$1,Database!$AC13&amp;""))))+IF($X$1="",0,N(ISNUMBER(SEARCH($X$1,Database!$AC13&amp;""))))+IF($Y$1="",0,N(ISNUMBER(SEARCH($Y$1,Database!$AC13&amp;""))))+IF(Screener!$B$17="",0,N(ISNUMBER(SEARCH(LOWER(Screener!$B$17),Database!$AC13&amp;""))))</f>
        <v/>
      </c>
      <c r="I13">
        <f>IF(OR(N(Database!$BG13)&lt;=0,N(Screener!$D$13)&lt;=0),0,MAX(0,1-ABS(LOG10(N(Database!$BG13)/Screener!$D$13))/W_PEHW))</f>
        <v/>
      </c>
      <c r="J13">
        <f>IF(OR(N(Database!$S13)&lt;=0,N(Screener!$D$14)&lt;=0),0,MAX(0,1-ABS(LOG10(Database!$S13/Screener!$D$14))/0.6))</f>
        <v/>
      </c>
      <c r="K13">
        <f>IF(Database!$B13=Screener!$B$5,-999999,IF(ISNUMBER(SEARCH(","&amp;Database!$A13&amp;",",","&amp;SUBSTITUTE(Screener!$D$17," ","")&amp;",")),2000000,IF(IF(OR(Screener!$B$18="All",AND(Screener!$B$18="With A-share",(Database!$BL13="Y")),AND(Screener!$B$18="Without A-share",NOT((Database!$BL13="Y")))),1,0)=0,-999999,IF(Screener!$B$16="cornerstone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IF(OR(Database!$BF14="",Screener!$D$10=""),0,IF(Database!$BF14=Screener!$D$10,1,0))</f>
        <v/>
      </c>
      <c r="F14">
        <f>IF(OR(Database!$BL14="",Screener!$D$11=""),0,IF(Database!$BL14=Screener!$D$11,1,0))</f>
        <v/>
      </c>
      <c r="G14">
        <f>IF(OR(Database!$H14="",N(Screener!$D$12)&lt;=0),0,MAX(0,1-(N(Screener!$D$12)-Database!$H14)/W_RECD))</f>
        <v/>
      </c>
      <c r="H14">
        <f>IF($U$1="",0,N(ISNUMBER(SEARCH($U$1,Database!$AC14&amp;""))))+IF($V$1="",0,N(ISNUMBER(SEARCH($V$1,Database!$AC14&amp;""))))+IF($W$1="",0,N(ISNUMBER(SEARCH($W$1,Database!$AC14&amp;""))))+IF($X$1="",0,N(ISNUMBER(SEARCH($X$1,Database!$AC14&amp;""))))+IF($Y$1="",0,N(ISNUMBER(SEARCH($Y$1,Database!$AC14&amp;""))))+IF(Screener!$B$17="",0,N(ISNUMBER(SEARCH(LOWER(Screener!$B$17),Database!$AC14&amp;""))))</f>
        <v/>
      </c>
      <c r="I14">
        <f>IF(OR(N(Database!$BG14)&lt;=0,N(Screener!$D$13)&lt;=0),0,MAX(0,1-ABS(LOG10(N(Database!$BG14)/Screener!$D$13))/W_PEHW))</f>
        <v/>
      </c>
      <c r="J14">
        <f>IF(OR(N(Database!$S14)&lt;=0,N(Screener!$D$14)&lt;=0),0,MAX(0,1-ABS(LOG10(Database!$S14/Screener!$D$14))/0.6))</f>
        <v/>
      </c>
      <c r="K14">
        <f>IF(Database!$B14=Screener!$B$5,-999999,IF(ISNUMBER(SEARCH(","&amp;Database!$A14&amp;",",","&amp;SUBSTITUTE(Screener!$D$17," ","")&amp;",")),2000000,IF(IF(OR(Screener!$B$18="All",AND(Screener!$B$18="With A-share",(Database!$BL14="Y")),AND(Screener!$B$18="Without A-share",NOT((Database!$BL14="Y")))),1,0)=0,-999999,IF(Screener!$B$16="cornerstone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IF(OR(Database!$BF15="",Screener!$D$10=""),0,IF(Database!$BF15=Screener!$D$10,1,0))</f>
        <v/>
      </c>
      <c r="F15">
        <f>IF(OR(Database!$BL15="",Screener!$D$11=""),0,IF(Database!$BL15=Screener!$D$11,1,0))</f>
        <v/>
      </c>
      <c r="G15">
        <f>IF(OR(Database!$H15="",N(Screener!$D$12)&lt;=0),0,MAX(0,1-(N(Screener!$D$12)-Database!$H15)/W_RECD))</f>
        <v/>
      </c>
      <c r="H15">
        <f>IF($U$1="",0,N(ISNUMBER(SEARCH($U$1,Database!$AC15&amp;""))))+IF($V$1="",0,N(ISNUMBER(SEARCH($V$1,Database!$AC15&amp;""))))+IF($W$1="",0,N(ISNUMBER(SEARCH($W$1,Database!$AC15&amp;""))))+IF($X$1="",0,N(ISNUMBER(SEARCH($X$1,Database!$AC15&amp;""))))+IF($Y$1="",0,N(ISNUMBER(SEARCH($Y$1,Database!$AC15&amp;""))))+IF(Screener!$B$17="",0,N(ISNUMBER(SEARCH(LOWER(Screener!$B$17),Database!$AC15&amp;""))))</f>
        <v/>
      </c>
      <c r="I15">
        <f>IF(OR(N(Database!$BG15)&lt;=0,N(Screener!$D$13)&lt;=0),0,MAX(0,1-ABS(LOG10(N(Database!$BG15)/Screener!$D$13))/W_PEHW))</f>
        <v/>
      </c>
      <c r="J15">
        <f>IF(OR(N(Database!$S15)&lt;=0,N(Screener!$D$14)&lt;=0),0,MAX(0,1-ABS(LOG10(Database!$S15/Screener!$D$14))/0.6))</f>
        <v/>
      </c>
      <c r="K15">
        <f>IF(Database!$B15=Screener!$B$5,-999999,IF(ISNUMBER(SEARCH(","&amp;Database!$A15&amp;",",","&amp;SUBSTITUTE(Screener!$D$17," ","")&amp;",")),2000000,IF(IF(OR(Screener!$B$18="All",AND(Screener!$B$18="With A-share",(Database!$BL15="Y")),AND(Screener!$B$18="Without A-share",NOT((Database!$BL15="Y")))),1,0)=0,-999999,IF(Screener!$B$16="cornerstone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Pipeline!P18</f>
        <v/>
      </c>
      <c r="AF15">
        <f>Pipeline!Q18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IF(OR(Database!$BF16="",Screener!$D$10=""),0,IF(Database!$BF16=Screener!$D$10,1,0))</f>
        <v/>
      </c>
      <c r="F16">
        <f>IF(OR(Database!$BL16="",Screener!$D$11=""),0,IF(Database!$BL16=Screener!$D$11,1,0))</f>
        <v/>
      </c>
      <c r="G16">
        <f>IF(OR(Database!$H16="",N(Screener!$D$12)&lt;=0),0,MAX(0,1-(N(Screener!$D$12)-Database!$H16)/W_RECD))</f>
        <v/>
      </c>
      <c r="H16">
        <f>IF($U$1="",0,N(ISNUMBER(SEARCH($U$1,Database!$AC16&amp;""))))+IF($V$1="",0,N(ISNUMBER(SEARCH($V$1,Database!$AC16&amp;""))))+IF($W$1="",0,N(ISNUMBER(SEARCH($W$1,Database!$AC16&amp;""))))+IF($X$1="",0,N(ISNUMBER(SEARCH($X$1,Database!$AC16&amp;""))))+IF($Y$1="",0,N(ISNUMBER(SEARCH($Y$1,Database!$AC16&amp;""))))+IF(Screener!$B$17="",0,N(ISNUMBER(SEARCH(LOWER(Screener!$B$17),Database!$AC16&amp;""))))</f>
        <v/>
      </c>
      <c r="I16">
        <f>IF(OR(N(Database!$BG16)&lt;=0,N(Screener!$D$13)&lt;=0),0,MAX(0,1-ABS(LOG10(N(Database!$BG16)/Screener!$D$13))/W_PEHW))</f>
        <v/>
      </c>
      <c r="J16">
        <f>IF(OR(N(Database!$S16)&lt;=0,N(Screener!$D$14)&lt;=0),0,MAX(0,1-ABS(LOG10(Database!$S16/Screener!$D$14))/0.6))</f>
        <v/>
      </c>
      <c r="K16">
        <f>IF(Database!$B16=Screener!$B$5,-999999,IF(ISNUMBER(SEARCH(","&amp;Database!$A16&amp;",",","&amp;SUBSTITUTE(Screener!$D$17," ","")&amp;",")),2000000,IF(IF(OR(Screener!$B$18="All",AND(Screener!$B$18="With A-share",(Database!$BL16="Y")),AND(Screener!$B$18="Without A-share",NOT((Database!$BL16="Y")))),1,0)=0,-999999,IF(Screener!$B$16="cornerstone overlap first",H16*100000,IF(Screener!$B$16="demand-similar first",J16*100000,0))+W_SUB*B16+W_SEC*C16*(1-B16)+W_SIZE*D16+W_PROF*E16+W_AH*F16+W_REC*G16+W_CS*H16+W_PE*I16)))+ROW()/1000000</f>
        <v/>
      </c>
      <c r="AA16">
        <f>Pipeline!B19</f>
        <v/>
      </c>
      <c r="AB16">
        <f>Pipeline!F19</f>
        <v/>
      </c>
      <c r="AC16">
        <f>Pipeline!G19</f>
        <v/>
      </c>
      <c r="AD16">
        <f>Pipeline!H19</f>
        <v/>
      </c>
      <c r="AE16">
        <f>Pipeline!P19</f>
        <v/>
      </c>
      <c r="AF16">
        <f>Pipeline!Q19</f>
        <v/>
      </c>
      <c r="AG16">
        <f>Pipeline!E19</f>
        <v/>
      </c>
      <c r="AH16">
        <f>Pipeline!M19</f>
        <v/>
      </c>
    </row>
    <row r="17">
      <c r="A17">
        <f>Database!B17</f>
        <v/>
      </c>
      <c r="B17">
        <f>IF(AND(Screener!$D$8&lt;&gt;"",Database!$E17=Screener!$D$8),1,0)</f>
        <v/>
      </c>
      <c r="C17">
        <f>IF(AND(Screener!$D$7&lt;&gt;"",Database!$D17=Screener!$D$7),1,0)</f>
        <v/>
      </c>
      <c r="D17">
        <f>IF(OR(N(Database!$I17)&lt;=0,N(Screener!$D$9)&lt;=0),0,MAX(0,1-ABS(LOG10(N(Database!$I17)/Screener!$D$9))/W_SIZEHW))</f>
        <v/>
      </c>
      <c r="E17">
        <f>IF(OR(Database!$BF17="",Screener!$D$10=""),0,IF(Database!$BF17=Screener!$D$10,1,0))</f>
        <v/>
      </c>
      <c r="F17">
        <f>IF(OR(Database!$BL17="",Screener!$D$11=""),0,IF(Database!$BL17=Screener!$D$11,1,0))</f>
        <v/>
      </c>
      <c r="G17">
        <f>IF(OR(Database!$H17="",N(Screener!$D$12)&lt;=0),0,MAX(0,1-(N(Screener!$D$12)-Database!$H17)/W_RECD))</f>
        <v/>
      </c>
      <c r="H17">
        <f>IF($U$1="",0,N(ISNUMBER(SEARCH($U$1,Database!$AC17&amp;""))))+IF($V$1="",0,N(ISNUMBER(SEARCH($V$1,Database!$AC17&amp;""))))+IF($W$1="",0,N(ISNUMBER(SEARCH($W$1,Database!$AC17&amp;""))))+IF($X$1="",0,N(ISNUMBER(SEARCH($X$1,Database!$AC17&amp;""))))+IF($Y$1="",0,N(ISNUMBER(SEARCH($Y$1,Database!$AC17&amp;""))))+IF(Screener!$B$17="",0,N(ISNUMBER(SEARCH(LOWER(Screener!$B$17),Database!$AC17&amp;""))))</f>
        <v/>
      </c>
      <c r="I17">
        <f>IF(OR(N(Database!$BG17)&lt;=0,N(Screener!$D$13)&lt;=0),0,MAX(0,1-ABS(LOG10(N(Database!$BG17)/Screener!$D$13))/W_PEHW))</f>
        <v/>
      </c>
      <c r="J17">
        <f>IF(OR(N(Database!$S17)&lt;=0,N(Screener!$D$14)&lt;=0),0,MAX(0,1-ABS(LOG10(Database!$S17/Screener!$D$14))/0.6))</f>
        <v/>
      </c>
      <c r="K17">
        <f>IF(Database!$B17=Screener!$B$5,-999999,IF(ISNUMBER(SEARCH(","&amp;Database!$A17&amp;",",","&amp;SUBSTITUTE(Screener!$D$17," ","")&amp;",")),2000000,IF(IF(OR(Screener!$B$18="All",AND(Screener!$B$18="With A-share",(Database!$BL17="Y")),AND(Screener!$B$18="Without A-share",NOT((Database!$BL17="Y")))),1,0)=0,-999999,IF(Screener!$B$16="cornerstone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Database!BF5</f>
        <v/>
      </c>
      <c r="AF17">
        <f>Database!BL5</f>
        <v/>
      </c>
      <c r="AG17">
        <f>Database!H5</f>
        <v/>
      </c>
      <c r="AH17">
        <f>Database!BG5</f>
        <v/>
      </c>
    </row>
    <row r="18">
      <c r="A18">
        <f>Database!B18</f>
        <v/>
      </c>
      <c r="B18">
        <f>IF(AND(Screener!$D$8&lt;&gt;"",Database!$E18=Screener!$D$8),1,0)</f>
        <v/>
      </c>
      <c r="C18">
        <f>IF(AND(Screener!$D$7&lt;&gt;"",Database!$D18=Screener!$D$7),1,0)</f>
        <v/>
      </c>
      <c r="D18">
        <f>IF(OR(N(Database!$I18)&lt;=0,N(Screener!$D$9)&lt;=0),0,MAX(0,1-ABS(LOG10(N(Database!$I18)/Screener!$D$9))/W_SIZEHW))</f>
        <v/>
      </c>
      <c r="E18">
        <f>IF(OR(Database!$BF18="",Screener!$D$10=""),0,IF(Database!$BF18=Screener!$D$10,1,0))</f>
        <v/>
      </c>
      <c r="F18">
        <f>IF(OR(Database!$BL18="",Screener!$D$11=""),0,IF(Database!$BL18=Screener!$D$11,1,0))</f>
        <v/>
      </c>
      <c r="G18">
        <f>IF(OR(Database!$H18="",N(Screener!$D$12)&lt;=0),0,MAX(0,1-(N(Screener!$D$12)-Database!$H18)/W_RECD))</f>
        <v/>
      </c>
      <c r="H18">
        <f>IF($U$1="",0,N(ISNUMBER(SEARCH($U$1,Database!$AC18&amp;""))))+IF($V$1="",0,N(ISNUMBER(SEARCH($V$1,Database!$AC18&amp;""))))+IF($W$1="",0,N(ISNUMBER(SEARCH($W$1,Database!$AC18&amp;""))))+IF($X$1="",0,N(ISNUMBER(SEARCH($X$1,Database!$AC18&amp;""))))+IF($Y$1="",0,N(ISNUMBER(SEARCH($Y$1,Database!$AC18&amp;""))))+IF(Screener!$B$17="",0,N(ISNUMBER(SEARCH(LOWER(Screener!$B$17),Database!$AC18&amp;""))))</f>
        <v/>
      </c>
      <c r="I18">
        <f>IF(OR(N(Database!$BG18)&lt;=0,N(Screener!$D$13)&lt;=0),0,MAX(0,1-ABS(LOG10(N(Database!$BG18)/Screener!$D$13))/W_PEHW))</f>
        <v/>
      </c>
      <c r="J18">
        <f>IF(OR(N(Database!$S18)&lt;=0,N(Screener!$D$14)&lt;=0),0,MAX(0,1-ABS(LOG10(Database!$S18/Screener!$D$14))/0.6))</f>
        <v/>
      </c>
      <c r="K18">
        <f>IF(Database!$B18=Screener!$B$5,-999999,IF(ISNUMBER(SEARCH(","&amp;Database!$A18&amp;",",","&amp;SUBSTITUTE(Screener!$D$17," ","")&amp;",")),2000000,IF(IF(OR(Screener!$B$18="All",AND(Screener!$B$18="With A-share",(Database!$BL18="Y")),AND(Screener!$B$18="Without A-share",NOT((Database!$BL18="Y")))),1,0)=0,-999999,IF(Screener!$B$16="cornerstone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Database!BF6</f>
        <v/>
      </c>
      <c r="AF18">
        <f>Database!BL6</f>
        <v/>
      </c>
      <c r="AG18">
        <f>Database!H6</f>
        <v/>
      </c>
      <c r="AH18">
        <f>Database!BG6</f>
        <v/>
      </c>
    </row>
    <row r="19">
      <c r="A19">
        <f>Database!B19</f>
        <v/>
      </c>
      <c r="B19">
        <f>IF(AND(Screener!$D$8&lt;&gt;"",Database!$E19=Screener!$D$8),1,0)</f>
        <v/>
      </c>
      <c r="C19">
        <f>IF(AND(Screener!$D$7&lt;&gt;"",Database!$D19=Screener!$D$7),1,0)</f>
        <v/>
      </c>
      <c r="D19">
        <f>IF(OR(N(Database!$I19)&lt;=0,N(Screener!$D$9)&lt;=0),0,MAX(0,1-ABS(LOG10(N(Database!$I19)/Screener!$D$9))/W_SIZEHW))</f>
        <v/>
      </c>
      <c r="E19">
        <f>IF(OR(Database!$BF19="",Screener!$D$10=""),0,IF(Database!$BF19=Screener!$D$10,1,0))</f>
        <v/>
      </c>
      <c r="F19">
        <f>IF(OR(Database!$BL19="",Screener!$D$11=""),0,IF(Database!$BL19=Screener!$D$11,1,0))</f>
        <v/>
      </c>
      <c r="G19">
        <f>IF(OR(Database!$H19="",N(Screener!$D$12)&lt;=0),0,MAX(0,1-(N(Screener!$D$12)-Database!$H19)/W_RECD))</f>
        <v/>
      </c>
      <c r="H19">
        <f>IF($U$1="",0,N(ISNUMBER(SEARCH($U$1,Database!$AC19&amp;""))))+IF($V$1="",0,N(ISNUMBER(SEARCH($V$1,Database!$AC19&amp;""))))+IF($W$1="",0,N(ISNUMBER(SEARCH($W$1,Database!$AC19&amp;""))))+IF($X$1="",0,N(ISNUMBER(SEARCH($X$1,Database!$AC19&amp;""))))+IF($Y$1="",0,N(ISNUMBER(SEARCH($Y$1,Database!$AC19&amp;""))))+IF(Screener!$B$17="",0,N(ISNUMBER(SEARCH(LOWER(Screener!$B$17),Database!$AC19&amp;""))))</f>
        <v/>
      </c>
      <c r="I19">
        <f>IF(OR(N(Database!$BG19)&lt;=0,N(Screener!$D$13)&lt;=0),0,MAX(0,1-ABS(LOG10(N(Database!$BG19)/Screener!$D$13))/W_PEHW))</f>
        <v/>
      </c>
      <c r="J19">
        <f>IF(OR(N(Database!$S19)&lt;=0,N(Screener!$D$14)&lt;=0),0,MAX(0,1-ABS(LOG10(Database!$S19/Screener!$D$14))/0.6))</f>
        <v/>
      </c>
      <c r="K19">
        <f>IF(Database!$B19=Screener!$B$5,-999999,IF(ISNUMBER(SEARCH(","&amp;Database!$A19&amp;",",","&amp;SUBSTITUTE(Screener!$D$17," ","")&amp;",")),2000000,IF(IF(OR(Screener!$B$18="All",AND(Screener!$B$18="With A-share",(Database!$BL19="Y")),AND(Screener!$B$18="Without A-share",NOT((Database!$BL19="Y")))),1,0)=0,-999999,IF(Screener!$B$16="cornerstone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Database!BF7</f>
        <v/>
      </c>
      <c r="AF19">
        <f>Database!BL7</f>
        <v/>
      </c>
      <c r="AG19">
        <f>Database!H7</f>
        <v/>
      </c>
      <c r="AH19">
        <f>Database!BG7</f>
        <v/>
      </c>
    </row>
    <row r="20">
      <c r="A20">
        <f>Database!B20</f>
        <v/>
      </c>
      <c r="B20">
        <f>IF(AND(Screener!$D$8&lt;&gt;"",Database!$E20=Screener!$D$8),1,0)</f>
        <v/>
      </c>
      <c r="C20">
        <f>IF(AND(Screener!$D$7&lt;&gt;"",Database!$D20=Screener!$D$7),1,0)</f>
        <v/>
      </c>
      <c r="D20">
        <f>IF(OR(N(Database!$I20)&lt;=0,N(Screener!$D$9)&lt;=0),0,MAX(0,1-ABS(LOG10(N(Database!$I20)/Screener!$D$9))/W_SIZEHW))</f>
        <v/>
      </c>
      <c r="E20">
        <f>IF(OR(Database!$BF20="",Screener!$D$10=""),0,IF(Database!$BF20=Screener!$D$10,1,0))</f>
        <v/>
      </c>
      <c r="F20">
        <f>IF(OR(Database!$BL20="",Screener!$D$11=""),0,IF(Database!$BL20=Screener!$D$11,1,0))</f>
        <v/>
      </c>
      <c r="G20">
        <f>IF(OR(Database!$H20="",N(Screener!$D$12)&lt;=0),0,MAX(0,1-(N(Screener!$D$12)-Database!$H20)/W_RECD))</f>
        <v/>
      </c>
      <c r="H20">
        <f>IF($U$1="",0,N(ISNUMBER(SEARCH($U$1,Database!$AC20&amp;""))))+IF($V$1="",0,N(ISNUMBER(SEARCH($V$1,Database!$AC20&amp;""))))+IF($W$1="",0,N(ISNUMBER(SEARCH($W$1,Database!$AC20&amp;""))))+IF($X$1="",0,N(ISNUMBER(SEARCH($X$1,Database!$AC20&amp;""))))+IF($Y$1="",0,N(ISNUMBER(SEARCH($Y$1,Database!$AC20&amp;""))))+IF(Screener!$B$17="",0,N(ISNUMBER(SEARCH(LOWER(Screener!$B$17),Database!$AC20&amp;""))))</f>
        <v/>
      </c>
      <c r="I20">
        <f>IF(OR(N(Database!$BG20)&lt;=0,N(Screener!$D$13)&lt;=0),0,MAX(0,1-ABS(LOG10(N(Database!$BG20)/Screener!$D$13))/W_PEHW))</f>
        <v/>
      </c>
      <c r="J20">
        <f>IF(OR(N(Database!$S20)&lt;=0,N(Screener!$D$14)&lt;=0),0,MAX(0,1-ABS(LOG10(Database!$S20/Screener!$D$14))/0.6))</f>
        <v/>
      </c>
      <c r="K20">
        <f>IF(Database!$B20=Screener!$B$5,-999999,IF(ISNUMBER(SEARCH(","&amp;Database!$A20&amp;",",","&amp;SUBSTITUTE(Screener!$D$17," ","")&amp;",")),2000000,IF(IF(OR(Screener!$B$18="All",AND(Screener!$B$18="With A-share",(Database!$BL20="Y")),AND(Screener!$B$18="Without A-share",NOT((Database!$BL20="Y")))),1,0)=0,-999999,IF(Screener!$B$16="cornerstone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Database!BF8</f>
        <v/>
      </c>
      <c r="AF20">
        <f>Database!BL8</f>
        <v/>
      </c>
      <c r="AG20">
        <f>Database!H8</f>
        <v/>
      </c>
      <c r="AH20">
        <f>Database!BG8</f>
        <v/>
      </c>
    </row>
    <row r="21">
      <c r="A21">
        <f>Database!B21</f>
        <v/>
      </c>
      <c r="B21">
        <f>IF(AND(Screener!$D$8&lt;&gt;"",Database!$E21=Screener!$D$8),1,0)</f>
        <v/>
      </c>
      <c r="C21">
        <f>IF(AND(Screener!$D$7&lt;&gt;"",Database!$D21=Screener!$D$7),1,0)</f>
        <v/>
      </c>
      <c r="D21">
        <f>IF(OR(N(Database!$I21)&lt;=0,N(Screener!$D$9)&lt;=0),0,MAX(0,1-ABS(LOG10(N(Database!$I21)/Screener!$D$9))/W_SIZEHW))</f>
        <v/>
      </c>
      <c r="E21">
        <f>IF(OR(Database!$BF21="",Screener!$D$10=""),0,IF(Database!$BF21=Screener!$D$10,1,0))</f>
        <v/>
      </c>
      <c r="F21">
        <f>IF(OR(Database!$BL21="",Screener!$D$11=""),0,IF(Database!$BL21=Screener!$D$11,1,0))</f>
        <v/>
      </c>
      <c r="G21">
        <f>IF(OR(Database!$H21="",N(Screener!$D$12)&lt;=0),0,MAX(0,1-(N(Screener!$D$12)-Database!$H21)/W_RECD))</f>
        <v/>
      </c>
      <c r="H21">
        <f>IF($U$1="",0,N(ISNUMBER(SEARCH($U$1,Database!$AC21&amp;""))))+IF($V$1="",0,N(ISNUMBER(SEARCH($V$1,Database!$AC21&amp;""))))+IF($W$1="",0,N(ISNUMBER(SEARCH($W$1,Database!$AC21&amp;""))))+IF($X$1="",0,N(ISNUMBER(SEARCH($X$1,Database!$AC21&amp;""))))+IF($Y$1="",0,N(ISNUMBER(SEARCH($Y$1,Database!$AC21&amp;""))))+IF(Screener!$B$17="",0,N(ISNUMBER(SEARCH(LOWER(Screener!$B$17),Database!$AC21&amp;""))))</f>
        <v/>
      </c>
      <c r="I21">
        <f>IF(OR(N(Database!$BG21)&lt;=0,N(Screener!$D$13)&lt;=0),0,MAX(0,1-ABS(LOG10(N(Database!$BG21)/Screener!$D$13))/W_PEHW))</f>
        <v/>
      </c>
      <c r="J21">
        <f>IF(OR(N(Database!$S21)&lt;=0,N(Screener!$D$14)&lt;=0),0,MAX(0,1-ABS(LOG10(Database!$S21/Screener!$D$14))/0.6))</f>
        <v/>
      </c>
      <c r="K21">
        <f>IF(Database!$B21=Screener!$B$5,-999999,IF(ISNUMBER(SEARCH(","&amp;Database!$A21&amp;",",","&amp;SUBSTITUTE(Screener!$D$17," ","")&amp;",")),2000000,IF(IF(OR(Screener!$B$18="All",AND(Screener!$B$18="With A-share",(Database!$BL21="Y")),AND(Screener!$B$18="Without A-share",NOT((Database!$BL21="Y")))),1,0)=0,-999999,IF(Screener!$B$16="cornerstone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Database!BF9</f>
        <v/>
      </c>
      <c r="AF21">
        <f>Database!BL9</f>
        <v/>
      </c>
      <c r="AG21">
        <f>Database!H9</f>
        <v/>
      </c>
      <c r="AH21">
        <f>Database!BG9</f>
        <v/>
      </c>
    </row>
    <row r="22">
      <c r="A22">
        <f>Database!B22</f>
        <v/>
      </c>
      <c r="B22">
        <f>IF(AND(Screener!$D$8&lt;&gt;"",Database!$E22=Screener!$D$8),1,0)</f>
        <v/>
      </c>
      <c r="C22">
        <f>IF(AND(Screener!$D$7&lt;&gt;"",Database!$D22=Screener!$D$7),1,0)</f>
        <v/>
      </c>
      <c r="D22">
        <f>IF(OR(N(Database!$I22)&lt;=0,N(Screener!$D$9)&lt;=0),0,MAX(0,1-ABS(LOG10(N(Database!$I22)/Screener!$D$9))/W_SIZEHW))</f>
        <v/>
      </c>
      <c r="E22">
        <f>IF(OR(Database!$BF22="",Screener!$D$10=""),0,IF(Database!$BF22=Screener!$D$10,1,0))</f>
        <v/>
      </c>
      <c r="F22">
        <f>IF(OR(Database!$BL22="",Screener!$D$11=""),0,IF(Database!$BL22=Screener!$D$11,1,0))</f>
        <v/>
      </c>
      <c r="G22">
        <f>IF(OR(Database!$H22="",N(Screener!$D$12)&lt;=0),0,MAX(0,1-(N(Screener!$D$12)-Database!$H22)/W_RECD))</f>
        <v/>
      </c>
      <c r="H22">
        <f>IF($U$1="",0,N(ISNUMBER(SEARCH($U$1,Database!$AC22&amp;""))))+IF($V$1="",0,N(ISNUMBER(SEARCH($V$1,Database!$AC22&amp;""))))+IF($W$1="",0,N(ISNUMBER(SEARCH($W$1,Database!$AC22&amp;""))))+IF($X$1="",0,N(ISNUMBER(SEARCH($X$1,Database!$AC22&amp;""))))+IF($Y$1="",0,N(ISNUMBER(SEARCH($Y$1,Database!$AC22&amp;""))))+IF(Screener!$B$17="",0,N(ISNUMBER(SEARCH(LOWER(Screener!$B$17),Database!$AC22&amp;""))))</f>
        <v/>
      </c>
      <c r="I22">
        <f>IF(OR(N(Database!$BG22)&lt;=0,N(Screener!$D$13)&lt;=0),0,MAX(0,1-ABS(LOG10(N(Database!$BG22)/Screener!$D$13))/W_PEHW))</f>
        <v/>
      </c>
      <c r="J22">
        <f>IF(OR(N(Database!$S22)&lt;=0,N(Screener!$D$14)&lt;=0),0,MAX(0,1-ABS(LOG10(Database!$S22/Screener!$D$14))/0.6))</f>
        <v/>
      </c>
      <c r="K22">
        <f>IF(Database!$B22=Screener!$B$5,-999999,IF(ISNUMBER(SEARCH(","&amp;Database!$A22&amp;",",","&amp;SUBSTITUTE(Screener!$D$17," ","")&amp;",")),2000000,IF(IF(OR(Screener!$B$18="All",AND(Screener!$B$18="With A-share",(Database!$BL22="Y")),AND(Screener!$B$18="Without A-share",NOT((Database!$BL22="Y")))),1,0)=0,-999999,IF(Screener!$B$16="cornerstone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Database!BF10</f>
        <v/>
      </c>
      <c r="AF22">
        <f>Database!BL10</f>
        <v/>
      </c>
      <c r="AG22">
        <f>Database!H10</f>
        <v/>
      </c>
      <c r="AH22">
        <f>Database!BG10</f>
        <v/>
      </c>
    </row>
    <row r="23">
      <c r="A23">
        <f>Database!B23</f>
        <v/>
      </c>
      <c r="B23">
        <f>IF(AND(Screener!$D$8&lt;&gt;"",Database!$E23=Screener!$D$8),1,0)</f>
        <v/>
      </c>
      <c r="C23">
        <f>IF(AND(Screener!$D$7&lt;&gt;"",Database!$D23=Screener!$D$7),1,0)</f>
        <v/>
      </c>
      <c r="D23">
        <f>IF(OR(N(Database!$I23)&lt;=0,N(Screener!$D$9)&lt;=0),0,MAX(0,1-ABS(LOG10(N(Database!$I23)/Screener!$D$9))/W_SIZEHW))</f>
        <v/>
      </c>
      <c r="E23">
        <f>IF(OR(Database!$BF23="",Screener!$D$10=""),0,IF(Database!$BF23=Screener!$D$10,1,0))</f>
        <v/>
      </c>
      <c r="F23">
        <f>IF(OR(Database!$BL23="",Screener!$D$11=""),0,IF(Database!$BL23=Screener!$D$11,1,0))</f>
        <v/>
      </c>
      <c r="G23">
        <f>IF(OR(Database!$H23="",N(Screener!$D$12)&lt;=0),0,MAX(0,1-(N(Screener!$D$12)-Database!$H23)/W_RECD))</f>
        <v/>
      </c>
      <c r="H23">
        <f>IF($U$1="",0,N(ISNUMBER(SEARCH($U$1,Database!$AC23&amp;""))))+IF($V$1="",0,N(ISNUMBER(SEARCH($V$1,Database!$AC23&amp;""))))+IF($W$1="",0,N(ISNUMBER(SEARCH($W$1,Database!$AC23&amp;""))))+IF($X$1="",0,N(ISNUMBER(SEARCH($X$1,Database!$AC23&amp;""))))+IF($Y$1="",0,N(ISNUMBER(SEARCH($Y$1,Database!$AC23&amp;""))))+IF(Screener!$B$17="",0,N(ISNUMBER(SEARCH(LOWER(Screener!$B$17),Database!$AC23&amp;""))))</f>
        <v/>
      </c>
      <c r="I23">
        <f>IF(OR(N(Database!$BG23)&lt;=0,N(Screener!$D$13)&lt;=0),0,MAX(0,1-ABS(LOG10(N(Database!$BG23)/Screener!$D$13))/W_PEHW))</f>
        <v/>
      </c>
      <c r="J23">
        <f>IF(OR(N(Database!$S23)&lt;=0,N(Screener!$D$14)&lt;=0),0,MAX(0,1-ABS(LOG10(Database!$S23/Screener!$D$14))/0.6))</f>
        <v/>
      </c>
      <c r="K23">
        <f>IF(Database!$B23=Screener!$B$5,-999999,IF(ISNUMBER(SEARCH(","&amp;Database!$A23&amp;",",","&amp;SUBSTITUTE(Screener!$D$17," ","")&amp;",")),2000000,IF(IF(OR(Screener!$B$18="All",AND(Screener!$B$18="With A-share",(Database!$BL23="Y")),AND(Screener!$B$18="Without A-share",NOT((Database!$BL23="Y")))),1,0)=0,-999999,IF(Screener!$B$16="cornerstone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Database!BF11</f>
        <v/>
      </c>
      <c r="AF23">
        <f>Database!BL11</f>
        <v/>
      </c>
      <c r="AG23">
        <f>Database!H11</f>
        <v/>
      </c>
      <c r="AH23">
        <f>Database!BG11</f>
        <v/>
      </c>
    </row>
    <row r="24">
      <c r="A24">
        <f>Database!B24</f>
        <v/>
      </c>
      <c r="B24">
        <f>IF(AND(Screener!$D$8&lt;&gt;"",Database!$E24=Screener!$D$8),1,0)</f>
        <v/>
      </c>
      <c r="C24">
        <f>IF(AND(Screener!$D$7&lt;&gt;"",Database!$D24=Screener!$D$7),1,0)</f>
        <v/>
      </c>
      <c r="D24">
        <f>IF(OR(N(Database!$I24)&lt;=0,N(Screener!$D$9)&lt;=0),0,MAX(0,1-ABS(LOG10(N(Database!$I24)/Screener!$D$9))/W_SIZEHW))</f>
        <v/>
      </c>
      <c r="E24">
        <f>IF(OR(Database!$BF24="",Screener!$D$10=""),0,IF(Database!$BF24=Screener!$D$10,1,0))</f>
        <v/>
      </c>
      <c r="F24">
        <f>IF(OR(Database!$BL24="",Screener!$D$11=""),0,IF(Database!$BL24=Screener!$D$11,1,0))</f>
        <v/>
      </c>
      <c r="G24">
        <f>IF(OR(Database!$H24="",N(Screener!$D$12)&lt;=0),0,MAX(0,1-(N(Screener!$D$12)-Database!$H24)/W_RECD))</f>
        <v/>
      </c>
      <c r="H24">
        <f>IF($U$1="",0,N(ISNUMBER(SEARCH($U$1,Database!$AC24&amp;""))))+IF($V$1="",0,N(ISNUMBER(SEARCH($V$1,Database!$AC24&amp;""))))+IF($W$1="",0,N(ISNUMBER(SEARCH($W$1,Database!$AC24&amp;""))))+IF($X$1="",0,N(ISNUMBER(SEARCH($X$1,Database!$AC24&amp;""))))+IF($Y$1="",0,N(ISNUMBER(SEARCH($Y$1,Database!$AC24&amp;""))))+IF(Screener!$B$17="",0,N(ISNUMBER(SEARCH(LOWER(Screener!$B$17),Database!$AC24&amp;""))))</f>
        <v/>
      </c>
      <c r="I24">
        <f>IF(OR(N(Database!$BG24)&lt;=0,N(Screener!$D$13)&lt;=0),0,MAX(0,1-ABS(LOG10(N(Database!$BG24)/Screener!$D$13))/W_PEHW))</f>
        <v/>
      </c>
      <c r="J24">
        <f>IF(OR(N(Database!$S24)&lt;=0,N(Screener!$D$14)&lt;=0),0,MAX(0,1-ABS(LOG10(Database!$S24/Screener!$D$14))/0.6))</f>
        <v/>
      </c>
      <c r="K24">
        <f>IF(Database!$B24=Screener!$B$5,-999999,IF(ISNUMBER(SEARCH(","&amp;Database!$A24&amp;",",","&amp;SUBSTITUTE(Screener!$D$17," ","")&amp;",")),2000000,IF(IF(OR(Screener!$B$18="All",AND(Screener!$B$18="With A-share",(Database!$BL24="Y")),AND(Screener!$B$18="Without A-share",NOT((Database!$BL24="Y")))),1,0)=0,-999999,IF(Screener!$B$16="cornerstone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Database!BF12</f>
        <v/>
      </c>
      <c r="AF24">
        <f>Database!BL12</f>
        <v/>
      </c>
      <c r="AG24">
        <f>Database!H12</f>
        <v/>
      </c>
      <c r="AH24">
        <f>Database!BG12</f>
        <v/>
      </c>
    </row>
    <row r="25">
      <c r="A25">
        <f>Database!B25</f>
        <v/>
      </c>
      <c r="B25">
        <f>IF(AND(Screener!$D$8&lt;&gt;"",Database!$E25=Screener!$D$8),1,0)</f>
        <v/>
      </c>
      <c r="C25">
        <f>IF(AND(Screener!$D$7&lt;&gt;"",Database!$D25=Screener!$D$7),1,0)</f>
        <v/>
      </c>
      <c r="D25">
        <f>IF(OR(N(Database!$I25)&lt;=0,N(Screener!$D$9)&lt;=0),0,MAX(0,1-ABS(LOG10(N(Database!$I25)/Screener!$D$9))/W_SIZEHW))</f>
        <v/>
      </c>
      <c r="E25">
        <f>IF(OR(Database!$BF25="",Screener!$D$10=""),0,IF(Database!$BF25=Screener!$D$10,1,0))</f>
        <v/>
      </c>
      <c r="F25">
        <f>IF(OR(Database!$BL25="",Screener!$D$11=""),0,IF(Database!$BL25=Screener!$D$11,1,0))</f>
        <v/>
      </c>
      <c r="G25">
        <f>IF(OR(Database!$H25="",N(Screener!$D$12)&lt;=0),0,MAX(0,1-(N(Screener!$D$12)-Database!$H25)/W_RECD))</f>
        <v/>
      </c>
      <c r="H25">
        <f>IF($U$1="",0,N(ISNUMBER(SEARCH($U$1,Database!$AC25&amp;""))))+IF($V$1="",0,N(ISNUMBER(SEARCH($V$1,Database!$AC25&amp;""))))+IF($W$1="",0,N(ISNUMBER(SEARCH($W$1,Database!$AC25&amp;""))))+IF($X$1="",0,N(ISNUMBER(SEARCH($X$1,Database!$AC25&amp;""))))+IF($Y$1="",0,N(ISNUMBER(SEARCH($Y$1,Database!$AC25&amp;""))))+IF(Screener!$B$17="",0,N(ISNUMBER(SEARCH(LOWER(Screener!$B$17),Database!$AC25&amp;""))))</f>
        <v/>
      </c>
      <c r="I25">
        <f>IF(OR(N(Database!$BG25)&lt;=0,N(Screener!$D$13)&lt;=0),0,MAX(0,1-ABS(LOG10(N(Database!$BG25)/Screener!$D$13))/W_PEHW))</f>
        <v/>
      </c>
      <c r="J25">
        <f>IF(OR(N(Database!$S25)&lt;=0,N(Screener!$D$14)&lt;=0),0,MAX(0,1-ABS(LOG10(Database!$S25/Screener!$D$14))/0.6))</f>
        <v/>
      </c>
      <c r="K25">
        <f>IF(Database!$B25=Screener!$B$5,-999999,IF(ISNUMBER(SEARCH(","&amp;Database!$A25&amp;",",","&amp;SUBSTITUTE(Screener!$D$17," ","")&amp;",")),2000000,IF(IF(OR(Screener!$B$18="All",AND(Screener!$B$18="With A-share",(Database!$BL25="Y")),AND(Screener!$B$18="Without A-share",NOT((Database!$BL25="Y")))),1,0)=0,-999999,IF(Screener!$B$16="cornerstone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Database!BF13</f>
        <v/>
      </c>
      <c r="AF25">
        <f>Database!BL13</f>
        <v/>
      </c>
      <c r="AG25">
        <f>Database!H13</f>
        <v/>
      </c>
      <c r="AH25">
        <f>Database!BG13</f>
        <v/>
      </c>
    </row>
    <row r="26">
      <c r="A26">
        <f>Database!B26</f>
        <v/>
      </c>
      <c r="B26">
        <f>IF(AND(Screener!$D$8&lt;&gt;"",Database!$E26=Screener!$D$8),1,0)</f>
        <v/>
      </c>
      <c r="C26">
        <f>IF(AND(Screener!$D$7&lt;&gt;"",Database!$D26=Screener!$D$7),1,0)</f>
        <v/>
      </c>
      <c r="D26">
        <f>IF(OR(N(Database!$I26)&lt;=0,N(Screener!$D$9)&lt;=0),0,MAX(0,1-ABS(LOG10(N(Database!$I26)/Screener!$D$9))/W_SIZEHW))</f>
        <v/>
      </c>
      <c r="E26">
        <f>IF(OR(Database!$BF26="",Screener!$D$10=""),0,IF(Database!$BF26=Screener!$D$10,1,0))</f>
        <v/>
      </c>
      <c r="F26">
        <f>IF(OR(Database!$BL26="",Screener!$D$11=""),0,IF(Database!$BL26=Screener!$D$11,1,0))</f>
        <v/>
      </c>
      <c r="G26">
        <f>IF(OR(Database!$H26="",N(Screener!$D$12)&lt;=0),0,MAX(0,1-(N(Screener!$D$12)-Database!$H26)/W_RECD))</f>
        <v/>
      </c>
      <c r="H26">
        <f>IF($U$1="",0,N(ISNUMBER(SEARCH($U$1,Database!$AC26&amp;""))))+IF($V$1="",0,N(ISNUMBER(SEARCH($V$1,Database!$AC26&amp;""))))+IF($W$1="",0,N(ISNUMBER(SEARCH($W$1,Database!$AC26&amp;""))))+IF($X$1="",0,N(ISNUMBER(SEARCH($X$1,Database!$AC26&amp;""))))+IF($Y$1="",0,N(ISNUMBER(SEARCH($Y$1,Database!$AC26&amp;""))))+IF(Screener!$B$17="",0,N(ISNUMBER(SEARCH(LOWER(Screener!$B$17),Database!$AC26&amp;""))))</f>
        <v/>
      </c>
      <c r="I26">
        <f>IF(OR(N(Database!$BG26)&lt;=0,N(Screener!$D$13)&lt;=0),0,MAX(0,1-ABS(LOG10(N(Database!$BG26)/Screener!$D$13))/W_PEHW))</f>
        <v/>
      </c>
      <c r="J26">
        <f>IF(OR(N(Database!$S26)&lt;=0,N(Screener!$D$14)&lt;=0),0,MAX(0,1-ABS(LOG10(Database!$S26/Screener!$D$14))/0.6))</f>
        <v/>
      </c>
      <c r="K26">
        <f>IF(Database!$B26=Screener!$B$5,-999999,IF(ISNUMBER(SEARCH(","&amp;Database!$A26&amp;",",","&amp;SUBSTITUTE(Screener!$D$17," ","")&amp;",")),2000000,IF(IF(OR(Screener!$B$18="All",AND(Screener!$B$18="With A-share",(Database!$BL26="Y")),AND(Screener!$B$18="Without A-share",NOT((Database!$BL26="Y")))),1,0)=0,-999999,IF(Screener!$B$16="cornerstone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Database!BF14</f>
        <v/>
      </c>
      <c r="AF26">
        <f>Database!BL14</f>
        <v/>
      </c>
      <c r="AG26">
        <f>Database!H14</f>
        <v/>
      </c>
      <c r="AH26">
        <f>Database!BG14</f>
        <v/>
      </c>
    </row>
    <row r="27">
      <c r="A27">
        <f>Database!B27</f>
        <v/>
      </c>
      <c r="B27">
        <f>IF(AND(Screener!$D$8&lt;&gt;"",Database!$E27=Screener!$D$8),1,0)</f>
        <v/>
      </c>
      <c r="C27">
        <f>IF(AND(Screener!$D$7&lt;&gt;"",Database!$D27=Screener!$D$7),1,0)</f>
        <v/>
      </c>
      <c r="D27">
        <f>IF(OR(N(Database!$I27)&lt;=0,N(Screener!$D$9)&lt;=0),0,MAX(0,1-ABS(LOG10(N(Database!$I27)/Screener!$D$9))/W_SIZEHW))</f>
        <v/>
      </c>
      <c r="E27">
        <f>IF(OR(Database!$BF27="",Screener!$D$10=""),0,IF(Database!$BF27=Screener!$D$10,1,0))</f>
        <v/>
      </c>
      <c r="F27">
        <f>IF(OR(Database!$BL27="",Screener!$D$11=""),0,IF(Database!$BL27=Screener!$D$11,1,0))</f>
        <v/>
      </c>
      <c r="G27">
        <f>IF(OR(Database!$H27="",N(Screener!$D$12)&lt;=0),0,MAX(0,1-(N(Screener!$D$12)-Database!$H27)/W_RECD))</f>
        <v/>
      </c>
      <c r="H27">
        <f>IF($U$1="",0,N(ISNUMBER(SEARCH($U$1,Database!$AC27&amp;""))))+IF($V$1="",0,N(ISNUMBER(SEARCH($V$1,Database!$AC27&amp;""))))+IF($W$1="",0,N(ISNUMBER(SEARCH($W$1,Database!$AC27&amp;""))))+IF($X$1="",0,N(ISNUMBER(SEARCH($X$1,Database!$AC27&amp;""))))+IF($Y$1="",0,N(ISNUMBER(SEARCH($Y$1,Database!$AC27&amp;""))))+IF(Screener!$B$17="",0,N(ISNUMBER(SEARCH(LOWER(Screener!$B$17),Database!$AC27&amp;""))))</f>
        <v/>
      </c>
      <c r="I27">
        <f>IF(OR(N(Database!$BG27)&lt;=0,N(Screener!$D$13)&lt;=0),0,MAX(0,1-ABS(LOG10(N(Database!$BG27)/Screener!$D$13))/W_PEHW))</f>
        <v/>
      </c>
      <c r="J27">
        <f>IF(OR(N(Database!$S27)&lt;=0,N(Screener!$D$14)&lt;=0),0,MAX(0,1-ABS(LOG10(Database!$S27/Screener!$D$14))/0.6))</f>
        <v/>
      </c>
      <c r="K27">
        <f>IF(Database!$B27=Screener!$B$5,-999999,IF(ISNUMBER(SEARCH(","&amp;Database!$A27&amp;",",","&amp;SUBSTITUTE(Screener!$D$17," ","")&amp;",")),2000000,IF(IF(OR(Screener!$B$18="All",AND(Screener!$B$18="With A-share",(Database!$BL27="Y")),AND(Screener!$B$18="Without A-share",NOT((Database!$BL27="Y")))),1,0)=0,-999999,IF(Screener!$B$16="cornerstone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Database!BF15</f>
        <v/>
      </c>
      <c r="AF27">
        <f>Database!BL15</f>
        <v/>
      </c>
      <c r="AG27">
        <f>Database!H15</f>
        <v/>
      </c>
      <c r="AH27">
        <f>Database!BG15</f>
        <v/>
      </c>
    </row>
    <row r="28">
      <c r="A28">
        <f>Database!B28</f>
        <v/>
      </c>
      <c r="B28">
        <f>IF(AND(Screener!$D$8&lt;&gt;"",Database!$E28=Screener!$D$8),1,0)</f>
        <v/>
      </c>
      <c r="C28">
        <f>IF(AND(Screener!$D$7&lt;&gt;"",Database!$D28=Screener!$D$7),1,0)</f>
        <v/>
      </c>
      <c r="D28">
        <f>IF(OR(N(Database!$I28)&lt;=0,N(Screener!$D$9)&lt;=0),0,MAX(0,1-ABS(LOG10(N(Database!$I28)/Screener!$D$9))/W_SIZEHW))</f>
        <v/>
      </c>
      <c r="E28">
        <f>IF(OR(Database!$BF28="",Screener!$D$10=""),0,IF(Database!$BF28=Screener!$D$10,1,0))</f>
        <v/>
      </c>
      <c r="F28">
        <f>IF(OR(Database!$BL28="",Screener!$D$11=""),0,IF(Database!$BL28=Screener!$D$11,1,0))</f>
        <v/>
      </c>
      <c r="G28">
        <f>IF(OR(Database!$H28="",N(Screener!$D$12)&lt;=0),0,MAX(0,1-(N(Screener!$D$12)-Database!$H28)/W_RECD))</f>
        <v/>
      </c>
      <c r="H28">
        <f>IF($U$1="",0,N(ISNUMBER(SEARCH($U$1,Database!$AC28&amp;""))))+IF($V$1="",0,N(ISNUMBER(SEARCH($V$1,Database!$AC28&amp;""))))+IF($W$1="",0,N(ISNUMBER(SEARCH($W$1,Database!$AC28&amp;""))))+IF($X$1="",0,N(ISNUMBER(SEARCH($X$1,Database!$AC28&amp;""))))+IF($Y$1="",0,N(ISNUMBER(SEARCH($Y$1,Database!$AC28&amp;""))))+IF(Screener!$B$17="",0,N(ISNUMBER(SEARCH(LOWER(Screener!$B$17),Database!$AC28&amp;""))))</f>
        <v/>
      </c>
      <c r="I28">
        <f>IF(OR(N(Database!$BG28)&lt;=0,N(Screener!$D$13)&lt;=0),0,MAX(0,1-ABS(LOG10(N(Database!$BG28)/Screener!$D$13))/W_PEHW))</f>
        <v/>
      </c>
      <c r="J28">
        <f>IF(OR(N(Database!$S28)&lt;=0,N(Screener!$D$14)&lt;=0),0,MAX(0,1-ABS(LOG10(Database!$S28/Screener!$D$14))/0.6))</f>
        <v/>
      </c>
      <c r="K28">
        <f>IF(Database!$B28=Screener!$B$5,-999999,IF(ISNUMBER(SEARCH(","&amp;Database!$A28&amp;",",","&amp;SUBSTITUTE(Screener!$D$17," ","")&amp;",")),2000000,IF(IF(OR(Screener!$B$18="All",AND(Screener!$B$18="With A-share",(Database!$BL28="Y")),AND(Screener!$B$18="Without A-share",NOT((Database!$BL28="Y")))),1,0)=0,-999999,IF(Screener!$B$16="cornerstone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Database!BF16</f>
        <v/>
      </c>
      <c r="AF28">
        <f>Database!BL16</f>
        <v/>
      </c>
      <c r="AG28">
        <f>Database!H16</f>
        <v/>
      </c>
      <c r="AH28">
        <f>Database!BG16</f>
        <v/>
      </c>
    </row>
    <row r="29">
      <c r="A29">
        <f>Database!B29</f>
        <v/>
      </c>
      <c r="B29">
        <f>IF(AND(Screener!$D$8&lt;&gt;"",Database!$E29=Screener!$D$8),1,0)</f>
        <v/>
      </c>
      <c r="C29">
        <f>IF(AND(Screener!$D$7&lt;&gt;"",Database!$D29=Screener!$D$7),1,0)</f>
        <v/>
      </c>
      <c r="D29">
        <f>IF(OR(N(Database!$I29)&lt;=0,N(Screener!$D$9)&lt;=0),0,MAX(0,1-ABS(LOG10(N(Database!$I29)/Screener!$D$9))/W_SIZEHW))</f>
        <v/>
      </c>
      <c r="E29">
        <f>IF(OR(Database!$BF29="",Screener!$D$10=""),0,IF(Database!$BF29=Screener!$D$10,1,0))</f>
        <v/>
      </c>
      <c r="F29">
        <f>IF(OR(Database!$BL29="",Screener!$D$11=""),0,IF(Database!$BL29=Screener!$D$11,1,0))</f>
        <v/>
      </c>
      <c r="G29">
        <f>IF(OR(Database!$H29="",N(Screener!$D$12)&lt;=0),0,MAX(0,1-(N(Screener!$D$12)-Database!$H29)/W_RECD))</f>
        <v/>
      </c>
      <c r="H29">
        <f>IF($U$1="",0,N(ISNUMBER(SEARCH($U$1,Database!$AC29&amp;""))))+IF($V$1="",0,N(ISNUMBER(SEARCH($V$1,Database!$AC29&amp;""))))+IF($W$1="",0,N(ISNUMBER(SEARCH($W$1,Database!$AC29&amp;""))))+IF($X$1="",0,N(ISNUMBER(SEARCH($X$1,Database!$AC29&amp;""))))+IF($Y$1="",0,N(ISNUMBER(SEARCH($Y$1,Database!$AC29&amp;""))))+IF(Screener!$B$17="",0,N(ISNUMBER(SEARCH(LOWER(Screener!$B$17),Database!$AC29&amp;""))))</f>
        <v/>
      </c>
      <c r="I29">
        <f>IF(OR(N(Database!$BG29)&lt;=0,N(Screener!$D$13)&lt;=0),0,MAX(0,1-ABS(LOG10(N(Database!$BG29)/Screener!$D$13))/W_PEHW))</f>
        <v/>
      </c>
      <c r="J29">
        <f>IF(OR(N(Database!$S29)&lt;=0,N(Screener!$D$14)&lt;=0),0,MAX(0,1-ABS(LOG10(Database!$S29/Screener!$D$14))/0.6))</f>
        <v/>
      </c>
      <c r="K29">
        <f>IF(Database!$B29=Screener!$B$5,-999999,IF(ISNUMBER(SEARCH(","&amp;Database!$A29&amp;",",","&amp;SUBSTITUTE(Screener!$D$17," ","")&amp;",")),2000000,IF(IF(OR(Screener!$B$18="All",AND(Screener!$B$18="With A-share",(Database!$BL29="Y")),AND(Screener!$B$18="Without A-share",NOT((Database!$BL29="Y")))),1,0)=0,-999999,IF(Screener!$B$16="cornerstone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Database!BF17</f>
        <v/>
      </c>
      <c r="AF29">
        <f>Database!BL17</f>
        <v/>
      </c>
      <c r="AG29">
        <f>Database!H17</f>
        <v/>
      </c>
      <c r="AH29">
        <f>Database!BG17</f>
        <v/>
      </c>
    </row>
    <row r="30">
      <c r="A30">
        <f>Database!B30</f>
        <v/>
      </c>
      <c r="B30">
        <f>IF(AND(Screener!$D$8&lt;&gt;"",Database!$E30=Screener!$D$8),1,0)</f>
        <v/>
      </c>
      <c r="C30">
        <f>IF(AND(Screener!$D$7&lt;&gt;"",Database!$D30=Screener!$D$7),1,0)</f>
        <v/>
      </c>
      <c r="D30">
        <f>IF(OR(N(Database!$I30)&lt;=0,N(Screener!$D$9)&lt;=0),0,MAX(0,1-ABS(LOG10(N(Database!$I30)/Screener!$D$9))/W_SIZEHW))</f>
        <v/>
      </c>
      <c r="E30">
        <f>IF(OR(Database!$BF30="",Screener!$D$10=""),0,IF(Database!$BF30=Screener!$D$10,1,0))</f>
        <v/>
      </c>
      <c r="F30">
        <f>IF(OR(Database!$BL30="",Screener!$D$11=""),0,IF(Database!$BL30=Screener!$D$11,1,0))</f>
        <v/>
      </c>
      <c r="G30">
        <f>IF(OR(Database!$H30="",N(Screener!$D$12)&lt;=0),0,MAX(0,1-(N(Screener!$D$12)-Database!$H30)/W_RECD))</f>
        <v/>
      </c>
      <c r="H30">
        <f>IF($U$1="",0,N(ISNUMBER(SEARCH($U$1,Database!$AC30&amp;""))))+IF($V$1="",0,N(ISNUMBER(SEARCH($V$1,Database!$AC30&amp;""))))+IF($W$1="",0,N(ISNUMBER(SEARCH($W$1,Database!$AC30&amp;""))))+IF($X$1="",0,N(ISNUMBER(SEARCH($X$1,Database!$AC30&amp;""))))+IF($Y$1="",0,N(ISNUMBER(SEARCH($Y$1,Database!$AC30&amp;""))))+IF(Screener!$B$17="",0,N(ISNUMBER(SEARCH(LOWER(Screener!$B$17),Database!$AC30&amp;""))))</f>
        <v/>
      </c>
      <c r="I30">
        <f>IF(OR(N(Database!$BG30)&lt;=0,N(Screener!$D$13)&lt;=0),0,MAX(0,1-ABS(LOG10(N(Database!$BG30)/Screener!$D$13))/W_PEHW))</f>
        <v/>
      </c>
      <c r="J30">
        <f>IF(OR(N(Database!$S30)&lt;=0,N(Screener!$D$14)&lt;=0),0,MAX(0,1-ABS(LOG10(Database!$S30/Screener!$D$14))/0.6))</f>
        <v/>
      </c>
      <c r="K30">
        <f>IF(Database!$B30=Screener!$B$5,-999999,IF(ISNUMBER(SEARCH(","&amp;Database!$A30&amp;",",","&amp;SUBSTITUTE(Screener!$D$17," ","")&amp;",")),2000000,IF(IF(OR(Screener!$B$18="All",AND(Screener!$B$18="With A-share",(Database!$BL30="Y")),AND(Screener!$B$18="Without A-share",NOT((Database!$BL30="Y")))),1,0)=0,-999999,IF(Screener!$B$16="cornerstone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Database!BF18</f>
        <v/>
      </c>
      <c r="AF30">
        <f>Database!BL18</f>
        <v/>
      </c>
      <c r="AG30">
        <f>Database!H18</f>
        <v/>
      </c>
      <c r="AH30">
        <f>Database!BG18</f>
        <v/>
      </c>
    </row>
    <row r="31">
      <c r="A31">
        <f>Database!B31</f>
        <v/>
      </c>
      <c r="B31">
        <f>IF(AND(Screener!$D$8&lt;&gt;"",Database!$E31=Screener!$D$8),1,0)</f>
        <v/>
      </c>
      <c r="C31">
        <f>IF(AND(Screener!$D$7&lt;&gt;"",Database!$D31=Screener!$D$7),1,0)</f>
        <v/>
      </c>
      <c r="D31">
        <f>IF(OR(N(Database!$I31)&lt;=0,N(Screener!$D$9)&lt;=0),0,MAX(0,1-ABS(LOG10(N(Database!$I31)/Screener!$D$9))/W_SIZEHW))</f>
        <v/>
      </c>
      <c r="E31">
        <f>IF(OR(Database!$BF31="",Screener!$D$10=""),0,IF(Database!$BF31=Screener!$D$10,1,0))</f>
        <v/>
      </c>
      <c r="F31">
        <f>IF(OR(Database!$BL31="",Screener!$D$11=""),0,IF(Database!$BL31=Screener!$D$11,1,0))</f>
        <v/>
      </c>
      <c r="G31">
        <f>IF(OR(Database!$H31="",N(Screener!$D$12)&lt;=0),0,MAX(0,1-(N(Screener!$D$12)-Database!$H31)/W_RECD))</f>
        <v/>
      </c>
      <c r="H31">
        <f>IF($U$1="",0,N(ISNUMBER(SEARCH($U$1,Database!$AC31&amp;""))))+IF($V$1="",0,N(ISNUMBER(SEARCH($V$1,Database!$AC31&amp;""))))+IF($W$1="",0,N(ISNUMBER(SEARCH($W$1,Database!$AC31&amp;""))))+IF($X$1="",0,N(ISNUMBER(SEARCH($X$1,Database!$AC31&amp;""))))+IF($Y$1="",0,N(ISNUMBER(SEARCH($Y$1,Database!$AC31&amp;""))))+IF(Screener!$B$17="",0,N(ISNUMBER(SEARCH(LOWER(Screener!$B$17),Database!$AC31&amp;""))))</f>
        <v/>
      </c>
      <c r="I31">
        <f>IF(OR(N(Database!$BG31)&lt;=0,N(Screener!$D$13)&lt;=0),0,MAX(0,1-ABS(LOG10(N(Database!$BG31)/Screener!$D$13))/W_PEHW))</f>
        <v/>
      </c>
      <c r="J31">
        <f>IF(OR(N(Database!$S31)&lt;=0,N(Screener!$D$14)&lt;=0),0,MAX(0,1-ABS(LOG10(Database!$S31/Screener!$D$14))/0.6))</f>
        <v/>
      </c>
      <c r="K31">
        <f>IF(Database!$B31=Screener!$B$5,-999999,IF(ISNUMBER(SEARCH(","&amp;Database!$A31&amp;",",","&amp;SUBSTITUTE(Screener!$D$17," ","")&amp;",")),2000000,IF(IF(OR(Screener!$B$18="All",AND(Screener!$B$18="With A-share",(Database!$BL31="Y")),AND(Screener!$B$18="Without A-share",NOT((Database!$BL31="Y")))),1,0)=0,-999999,IF(Screener!$B$16="cornerstone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Database!BF19</f>
        <v/>
      </c>
      <c r="AF31">
        <f>Database!BL19</f>
        <v/>
      </c>
      <c r="AG31">
        <f>Database!H19</f>
        <v/>
      </c>
      <c r="AH31">
        <f>Database!BG19</f>
        <v/>
      </c>
    </row>
    <row r="32">
      <c r="A32">
        <f>Database!B32</f>
        <v/>
      </c>
      <c r="B32">
        <f>IF(AND(Screener!$D$8&lt;&gt;"",Database!$E32=Screener!$D$8),1,0)</f>
        <v/>
      </c>
      <c r="C32">
        <f>IF(AND(Screener!$D$7&lt;&gt;"",Database!$D32=Screener!$D$7),1,0)</f>
        <v/>
      </c>
      <c r="D32">
        <f>IF(OR(N(Database!$I32)&lt;=0,N(Screener!$D$9)&lt;=0),0,MAX(0,1-ABS(LOG10(N(Database!$I32)/Screener!$D$9))/W_SIZEHW))</f>
        <v/>
      </c>
      <c r="E32">
        <f>IF(OR(Database!$BF32="",Screener!$D$10=""),0,IF(Database!$BF32=Screener!$D$10,1,0))</f>
        <v/>
      </c>
      <c r="F32">
        <f>IF(OR(Database!$BL32="",Screener!$D$11=""),0,IF(Database!$BL32=Screener!$D$11,1,0))</f>
        <v/>
      </c>
      <c r="G32">
        <f>IF(OR(Database!$H32="",N(Screener!$D$12)&lt;=0),0,MAX(0,1-(N(Screener!$D$12)-Database!$H32)/W_RECD))</f>
        <v/>
      </c>
      <c r="H32">
        <f>IF($U$1="",0,N(ISNUMBER(SEARCH($U$1,Database!$AC32&amp;""))))+IF($V$1="",0,N(ISNUMBER(SEARCH($V$1,Database!$AC32&amp;""))))+IF($W$1="",0,N(ISNUMBER(SEARCH($W$1,Database!$AC32&amp;""))))+IF($X$1="",0,N(ISNUMBER(SEARCH($X$1,Database!$AC32&amp;""))))+IF($Y$1="",0,N(ISNUMBER(SEARCH($Y$1,Database!$AC32&amp;""))))+IF(Screener!$B$17="",0,N(ISNUMBER(SEARCH(LOWER(Screener!$B$17),Database!$AC32&amp;""))))</f>
        <v/>
      </c>
      <c r="I32">
        <f>IF(OR(N(Database!$BG32)&lt;=0,N(Screener!$D$13)&lt;=0),0,MAX(0,1-ABS(LOG10(N(Database!$BG32)/Screener!$D$13))/W_PEHW))</f>
        <v/>
      </c>
      <c r="J32">
        <f>IF(OR(N(Database!$S32)&lt;=0,N(Screener!$D$14)&lt;=0),0,MAX(0,1-ABS(LOG10(Database!$S32/Screener!$D$14))/0.6))</f>
        <v/>
      </c>
      <c r="K32">
        <f>IF(Database!$B32=Screener!$B$5,-999999,IF(ISNUMBER(SEARCH(","&amp;Database!$A32&amp;",",","&amp;SUBSTITUTE(Screener!$D$17," ","")&amp;",")),2000000,IF(IF(OR(Screener!$B$18="All",AND(Screener!$B$18="With A-share",(Database!$BL32="Y")),AND(Screener!$B$18="Without A-share",NOT((Database!$BL32="Y")))),1,0)=0,-999999,IF(Screener!$B$16="cornerstone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Database!BF20</f>
        <v/>
      </c>
      <c r="AF32">
        <f>Database!BL20</f>
        <v/>
      </c>
      <c r="AG32">
        <f>Database!H20</f>
        <v/>
      </c>
      <c r="AH32">
        <f>Database!BG20</f>
        <v/>
      </c>
    </row>
    <row r="33">
      <c r="A33">
        <f>Database!B33</f>
        <v/>
      </c>
      <c r="B33">
        <f>IF(AND(Screener!$D$8&lt;&gt;"",Database!$E33=Screener!$D$8),1,0)</f>
        <v/>
      </c>
      <c r="C33">
        <f>IF(AND(Screener!$D$7&lt;&gt;"",Database!$D33=Screener!$D$7),1,0)</f>
        <v/>
      </c>
      <c r="D33">
        <f>IF(OR(N(Database!$I33)&lt;=0,N(Screener!$D$9)&lt;=0),0,MAX(0,1-ABS(LOG10(N(Database!$I33)/Screener!$D$9))/W_SIZEHW))</f>
        <v/>
      </c>
      <c r="E33">
        <f>IF(OR(Database!$BF33="",Screener!$D$10=""),0,IF(Database!$BF33=Screener!$D$10,1,0))</f>
        <v/>
      </c>
      <c r="F33">
        <f>IF(OR(Database!$BL33="",Screener!$D$11=""),0,IF(Database!$BL33=Screener!$D$11,1,0))</f>
        <v/>
      </c>
      <c r="G33">
        <f>IF(OR(Database!$H33="",N(Screener!$D$12)&lt;=0),0,MAX(0,1-(N(Screener!$D$12)-Database!$H33)/W_RECD))</f>
        <v/>
      </c>
      <c r="H33">
        <f>IF($U$1="",0,N(ISNUMBER(SEARCH($U$1,Database!$AC33&amp;""))))+IF($V$1="",0,N(ISNUMBER(SEARCH($V$1,Database!$AC33&amp;""))))+IF($W$1="",0,N(ISNUMBER(SEARCH($W$1,Database!$AC33&amp;""))))+IF($X$1="",0,N(ISNUMBER(SEARCH($X$1,Database!$AC33&amp;""))))+IF($Y$1="",0,N(ISNUMBER(SEARCH($Y$1,Database!$AC33&amp;""))))+IF(Screener!$B$17="",0,N(ISNUMBER(SEARCH(LOWER(Screener!$B$17),Database!$AC33&amp;""))))</f>
        <v/>
      </c>
      <c r="I33">
        <f>IF(OR(N(Database!$BG33)&lt;=0,N(Screener!$D$13)&lt;=0),0,MAX(0,1-ABS(LOG10(N(Database!$BG33)/Screener!$D$13))/W_PEHW))</f>
        <v/>
      </c>
      <c r="J33">
        <f>IF(OR(N(Database!$S33)&lt;=0,N(Screener!$D$14)&lt;=0),0,MAX(0,1-ABS(LOG10(Database!$S33/Screener!$D$14))/0.6))</f>
        <v/>
      </c>
      <c r="K33">
        <f>IF(Database!$B33=Screener!$B$5,-999999,IF(ISNUMBER(SEARCH(","&amp;Database!$A33&amp;",",","&amp;SUBSTITUTE(Screener!$D$17," ","")&amp;",")),2000000,IF(IF(OR(Screener!$B$18="All",AND(Screener!$B$18="With A-share",(Database!$BL33="Y")),AND(Screener!$B$18="Without A-share",NOT((Database!$BL33="Y")))),1,0)=0,-999999,IF(Screener!$B$16="cornerstone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Database!BF21</f>
        <v/>
      </c>
      <c r="AF33">
        <f>Database!BL21</f>
        <v/>
      </c>
      <c r="AG33">
        <f>Database!H21</f>
        <v/>
      </c>
      <c r="AH33">
        <f>Database!BG21</f>
        <v/>
      </c>
    </row>
    <row r="34">
      <c r="A34">
        <f>Database!B34</f>
        <v/>
      </c>
      <c r="B34">
        <f>IF(AND(Screener!$D$8&lt;&gt;"",Database!$E34=Screener!$D$8),1,0)</f>
        <v/>
      </c>
      <c r="C34">
        <f>IF(AND(Screener!$D$7&lt;&gt;"",Database!$D34=Screener!$D$7),1,0)</f>
        <v/>
      </c>
      <c r="D34">
        <f>IF(OR(N(Database!$I34)&lt;=0,N(Screener!$D$9)&lt;=0),0,MAX(0,1-ABS(LOG10(N(Database!$I34)/Screener!$D$9))/W_SIZEHW))</f>
        <v/>
      </c>
      <c r="E34">
        <f>IF(OR(Database!$BF34="",Screener!$D$10=""),0,IF(Database!$BF34=Screener!$D$10,1,0))</f>
        <v/>
      </c>
      <c r="F34">
        <f>IF(OR(Database!$BL34="",Screener!$D$11=""),0,IF(Database!$BL34=Screener!$D$11,1,0))</f>
        <v/>
      </c>
      <c r="G34">
        <f>IF(OR(Database!$H34="",N(Screener!$D$12)&lt;=0),0,MAX(0,1-(N(Screener!$D$12)-Database!$H34)/W_RECD))</f>
        <v/>
      </c>
      <c r="H34">
        <f>IF($U$1="",0,N(ISNUMBER(SEARCH($U$1,Database!$AC34&amp;""))))+IF($V$1="",0,N(ISNUMBER(SEARCH($V$1,Database!$AC34&amp;""))))+IF($W$1="",0,N(ISNUMBER(SEARCH($W$1,Database!$AC34&amp;""))))+IF($X$1="",0,N(ISNUMBER(SEARCH($X$1,Database!$AC34&amp;""))))+IF($Y$1="",0,N(ISNUMBER(SEARCH($Y$1,Database!$AC34&amp;""))))+IF(Screener!$B$17="",0,N(ISNUMBER(SEARCH(LOWER(Screener!$B$17),Database!$AC34&amp;""))))</f>
        <v/>
      </c>
      <c r="I34">
        <f>IF(OR(N(Database!$BG34)&lt;=0,N(Screener!$D$13)&lt;=0),0,MAX(0,1-ABS(LOG10(N(Database!$BG34)/Screener!$D$13))/W_PEHW))</f>
        <v/>
      </c>
      <c r="J34">
        <f>IF(OR(N(Database!$S34)&lt;=0,N(Screener!$D$14)&lt;=0),0,MAX(0,1-ABS(LOG10(Database!$S34/Screener!$D$14))/0.6))</f>
        <v/>
      </c>
      <c r="K34">
        <f>IF(Database!$B34=Screener!$B$5,-999999,IF(ISNUMBER(SEARCH(","&amp;Database!$A34&amp;",",","&amp;SUBSTITUTE(Screener!$D$17," ","")&amp;",")),2000000,IF(IF(OR(Screener!$B$18="All",AND(Screener!$B$18="With A-share",(Database!$BL34="Y")),AND(Screener!$B$18="Without A-share",NOT((Database!$BL34="Y")))),1,0)=0,-999999,IF(Screener!$B$16="cornerstone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Database!BF22</f>
        <v/>
      </c>
      <c r="AF34">
        <f>Database!BL22</f>
        <v/>
      </c>
      <c r="AG34">
        <f>Database!H22</f>
        <v/>
      </c>
      <c r="AH34">
        <f>Database!BG22</f>
        <v/>
      </c>
    </row>
    <row r="35">
      <c r="A35">
        <f>Database!B35</f>
        <v/>
      </c>
      <c r="B35">
        <f>IF(AND(Screener!$D$8&lt;&gt;"",Database!$E35=Screener!$D$8),1,0)</f>
        <v/>
      </c>
      <c r="C35">
        <f>IF(AND(Screener!$D$7&lt;&gt;"",Database!$D35=Screener!$D$7),1,0)</f>
        <v/>
      </c>
      <c r="D35">
        <f>IF(OR(N(Database!$I35)&lt;=0,N(Screener!$D$9)&lt;=0),0,MAX(0,1-ABS(LOG10(N(Database!$I35)/Screener!$D$9))/W_SIZEHW))</f>
        <v/>
      </c>
      <c r="E35">
        <f>IF(OR(Database!$BF35="",Screener!$D$10=""),0,IF(Database!$BF35=Screener!$D$10,1,0))</f>
        <v/>
      </c>
      <c r="F35">
        <f>IF(OR(Database!$BL35="",Screener!$D$11=""),0,IF(Database!$BL35=Screener!$D$11,1,0))</f>
        <v/>
      </c>
      <c r="G35">
        <f>IF(OR(Database!$H35="",N(Screener!$D$12)&lt;=0),0,MAX(0,1-(N(Screener!$D$12)-Database!$H35)/W_RECD))</f>
        <v/>
      </c>
      <c r="H35">
        <f>IF($U$1="",0,N(ISNUMBER(SEARCH($U$1,Database!$AC35&amp;""))))+IF($V$1="",0,N(ISNUMBER(SEARCH($V$1,Database!$AC35&amp;""))))+IF($W$1="",0,N(ISNUMBER(SEARCH($W$1,Database!$AC35&amp;""))))+IF($X$1="",0,N(ISNUMBER(SEARCH($X$1,Database!$AC35&amp;""))))+IF($Y$1="",0,N(ISNUMBER(SEARCH($Y$1,Database!$AC35&amp;""))))+IF(Screener!$B$17="",0,N(ISNUMBER(SEARCH(LOWER(Screener!$B$17),Database!$AC35&amp;""))))</f>
        <v/>
      </c>
      <c r="I35">
        <f>IF(OR(N(Database!$BG35)&lt;=0,N(Screener!$D$13)&lt;=0),0,MAX(0,1-ABS(LOG10(N(Database!$BG35)/Screener!$D$13))/W_PEHW))</f>
        <v/>
      </c>
      <c r="J35">
        <f>IF(OR(N(Database!$S35)&lt;=0,N(Screener!$D$14)&lt;=0),0,MAX(0,1-ABS(LOG10(Database!$S35/Screener!$D$14))/0.6))</f>
        <v/>
      </c>
      <c r="K35">
        <f>IF(Database!$B35=Screener!$B$5,-999999,IF(ISNUMBER(SEARCH(","&amp;Database!$A35&amp;",",","&amp;SUBSTITUTE(Screener!$D$17," ","")&amp;",")),2000000,IF(IF(OR(Screener!$B$18="All",AND(Screener!$B$18="With A-share",(Database!$BL35="Y")),AND(Screener!$B$18="Without A-share",NOT((Database!$BL35="Y")))),1,0)=0,-999999,IF(Screener!$B$16="cornerstone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Database!BF23</f>
        <v/>
      </c>
      <c r="AF35">
        <f>Database!BL23</f>
        <v/>
      </c>
      <c r="AG35">
        <f>Database!H23</f>
        <v/>
      </c>
      <c r="AH35">
        <f>Database!BG23</f>
        <v/>
      </c>
    </row>
    <row r="36">
      <c r="A36">
        <f>Database!B36</f>
        <v/>
      </c>
      <c r="B36">
        <f>IF(AND(Screener!$D$8&lt;&gt;"",Database!$E36=Screener!$D$8),1,0)</f>
        <v/>
      </c>
      <c r="C36">
        <f>IF(AND(Screener!$D$7&lt;&gt;"",Database!$D36=Screener!$D$7),1,0)</f>
        <v/>
      </c>
      <c r="D36">
        <f>IF(OR(N(Database!$I36)&lt;=0,N(Screener!$D$9)&lt;=0),0,MAX(0,1-ABS(LOG10(N(Database!$I36)/Screener!$D$9))/W_SIZEHW))</f>
        <v/>
      </c>
      <c r="E36">
        <f>IF(OR(Database!$BF36="",Screener!$D$10=""),0,IF(Database!$BF36=Screener!$D$10,1,0))</f>
        <v/>
      </c>
      <c r="F36">
        <f>IF(OR(Database!$BL36="",Screener!$D$11=""),0,IF(Database!$BL36=Screener!$D$11,1,0))</f>
        <v/>
      </c>
      <c r="G36">
        <f>IF(OR(Database!$H36="",N(Screener!$D$12)&lt;=0),0,MAX(0,1-(N(Screener!$D$12)-Database!$H36)/W_RECD))</f>
        <v/>
      </c>
      <c r="H36">
        <f>IF($U$1="",0,N(ISNUMBER(SEARCH($U$1,Database!$AC36&amp;""))))+IF($V$1="",0,N(ISNUMBER(SEARCH($V$1,Database!$AC36&amp;""))))+IF($W$1="",0,N(ISNUMBER(SEARCH($W$1,Database!$AC36&amp;""))))+IF($X$1="",0,N(ISNUMBER(SEARCH($X$1,Database!$AC36&amp;""))))+IF($Y$1="",0,N(ISNUMBER(SEARCH($Y$1,Database!$AC36&amp;""))))+IF(Screener!$B$17="",0,N(ISNUMBER(SEARCH(LOWER(Screener!$B$17),Database!$AC36&amp;""))))</f>
        <v/>
      </c>
      <c r="I36">
        <f>IF(OR(N(Database!$BG36)&lt;=0,N(Screener!$D$13)&lt;=0),0,MAX(0,1-ABS(LOG10(N(Database!$BG36)/Screener!$D$13))/W_PEHW))</f>
        <v/>
      </c>
      <c r="J36">
        <f>IF(OR(N(Database!$S36)&lt;=0,N(Screener!$D$14)&lt;=0),0,MAX(0,1-ABS(LOG10(Database!$S36/Screener!$D$14))/0.6))</f>
        <v/>
      </c>
      <c r="K36">
        <f>IF(Database!$B36=Screener!$B$5,-999999,IF(ISNUMBER(SEARCH(","&amp;Database!$A36&amp;",",","&amp;SUBSTITUTE(Screener!$D$17," ","")&amp;",")),2000000,IF(IF(OR(Screener!$B$18="All",AND(Screener!$B$18="With A-share",(Database!$BL36="Y")),AND(Screener!$B$18="Without A-share",NOT((Database!$BL36="Y")))),1,0)=0,-999999,IF(Screener!$B$16="cornerstone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Database!BF24</f>
        <v/>
      </c>
      <c r="AF36">
        <f>Database!BL24</f>
        <v/>
      </c>
      <c r="AG36">
        <f>Database!H24</f>
        <v/>
      </c>
      <c r="AH36">
        <f>Database!BG24</f>
        <v/>
      </c>
    </row>
    <row r="37">
      <c r="A37">
        <f>Database!B37</f>
        <v/>
      </c>
      <c r="B37">
        <f>IF(AND(Screener!$D$8&lt;&gt;"",Database!$E37=Screener!$D$8),1,0)</f>
        <v/>
      </c>
      <c r="C37">
        <f>IF(AND(Screener!$D$7&lt;&gt;"",Database!$D37=Screener!$D$7),1,0)</f>
        <v/>
      </c>
      <c r="D37">
        <f>IF(OR(N(Database!$I37)&lt;=0,N(Screener!$D$9)&lt;=0),0,MAX(0,1-ABS(LOG10(N(Database!$I37)/Screener!$D$9))/W_SIZEHW))</f>
        <v/>
      </c>
      <c r="E37">
        <f>IF(OR(Database!$BF37="",Screener!$D$10=""),0,IF(Database!$BF37=Screener!$D$10,1,0))</f>
        <v/>
      </c>
      <c r="F37">
        <f>IF(OR(Database!$BL37="",Screener!$D$11=""),0,IF(Database!$BL37=Screener!$D$11,1,0))</f>
        <v/>
      </c>
      <c r="G37">
        <f>IF(OR(Database!$H37="",N(Screener!$D$12)&lt;=0),0,MAX(0,1-(N(Screener!$D$12)-Database!$H37)/W_RECD))</f>
        <v/>
      </c>
      <c r="H37">
        <f>IF($U$1="",0,N(ISNUMBER(SEARCH($U$1,Database!$AC37&amp;""))))+IF($V$1="",0,N(ISNUMBER(SEARCH($V$1,Database!$AC37&amp;""))))+IF($W$1="",0,N(ISNUMBER(SEARCH($W$1,Database!$AC37&amp;""))))+IF($X$1="",0,N(ISNUMBER(SEARCH($X$1,Database!$AC37&amp;""))))+IF($Y$1="",0,N(ISNUMBER(SEARCH($Y$1,Database!$AC37&amp;""))))+IF(Screener!$B$17="",0,N(ISNUMBER(SEARCH(LOWER(Screener!$B$17),Database!$AC37&amp;""))))</f>
        <v/>
      </c>
      <c r="I37">
        <f>IF(OR(N(Database!$BG37)&lt;=0,N(Screener!$D$13)&lt;=0),0,MAX(0,1-ABS(LOG10(N(Database!$BG37)/Screener!$D$13))/W_PEHW))</f>
        <v/>
      </c>
      <c r="J37">
        <f>IF(OR(N(Database!$S37)&lt;=0,N(Screener!$D$14)&lt;=0),0,MAX(0,1-ABS(LOG10(Database!$S37/Screener!$D$14))/0.6))</f>
        <v/>
      </c>
      <c r="K37">
        <f>IF(Database!$B37=Screener!$B$5,-999999,IF(ISNUMBER(SEARCH(","&amp;Database!$A37&amp;",",","&amp;SUBSTITUTE(Screener!$D$17," ","")&amp;",")),2000000,IF(IF(OR(Screener!$B$18="All",AND(Screener!$B$18="With A-share",(Database!$BL37="Y")),AND(Screener!$B$18="Without A-share",NOT((Database!$BL37="Y")))),1,0)=0,-999999,IF(Screener!$B$16="cornerstone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Database!BF25</f>
        <v/>
      </c>
      <c r="AF37">
        <f>Database!BL25</f>
        <v/>
      </c>
      <c r="AG37">
        <f>Database!H25</f>
        <v/>
      </c>
      <c r="AH37">
        <f>Database!BG25</f>
        <v/>
      </c>
    </row>
    <row r="38">
      <c r="A38">
        <f>Database!B38</f>
        <v/>
      </c>
      <c r="B38">
        <f>IF(AND(Screener!$D$8&lt;&gt;"",Database!$E38=Screener!$D$8),1,0)</f>
        <v/>
      </c>
      <c r="C38">
        <f>IF(AND(Screener!$D$7&lt;&gt;"",Database!$D38=Screener!$D$7),1,0)</f>
        <v/>
      </c>
      <c r="D38">
        <f>IF(OR(N(Database!$I38)&lt;=0,N(Screener!$D$9)&lt;=0),0,MAX(0,1-ABS(LOG10(N(Database!$I38)/Screener!$D$9))/W_SIZEHW))</f>
        <v/>
      </c>
      <c r="E38">
        <f>IF(OR(Database!$BF38="",Screener!$D$10=""),0,IF(Database!$BF38=Screener!$D$10,1,0))</f>
        <v/>
      </c>
      <c r="F38">
        <f>IF(OR(Database!$BL38="",Screener!$D$11=""),0,IF(Database!$BL38=Screener!$D$11,1,0))</f>
        <v/>
      </c>
      <c r="G38">
        <f>IF(OR(Database!$H38="",N(Screener!$D$12)&lt;=0),0,MAX(0,1-(N(Screener!$D$12)-Database!$H38)/W_RECD))</f>
        <v/>
      </c>
      <c r="H38">
        <f>IF($U$1="",0,N(ISNUMBER(SEARCH($U$1,Database!$AC38&amp;""))))+IF($V$1="",0,N(ISNUMBER(SEARCH($V$1,Database!$AC38&amp;""))))+IF($W$1="",0,N(ISNUMBER(SEARCH($W$1,Database!$AC38&amp;""))))+IF($X$1="",0,N(ISNUMBER(SEARCH($X$1,Database!$AC38&amp;""))))+IF($Y$1="",0,N(ISNUMBER(SEARCH($Y$1,Database!$AC38&amp;""))))+IF(Screener!$B$17="",0,N(ISNUMBER(SEARCH(LOWER(Screener!$B$17),Database!$AC38&amp;""))))</f>
        <v/>
      </c>
      <c r="I38">
        <f>IF(OR(N(Database!$BG38)&lt;=0,N(Screener!$D$13)&lt;=0),0,MAX(0,1-ABS(LOG10(N(Database!$BG38)/Screener!$D$13))/W_PEHW))</f>
        <v/>
      </c>
      <c r="J38">
        <f>IF(OR(N(Database!$S38)&lt;=0,N(Screener!$D$14)&lt;=0),0,MAX(0,1-ABS(LOG10(Database!$S38/Screener!$D$14))/0.6))</f>
        <v/>
      </c>
      <c r="K38">
        <f>IF(Database!$B38=Screener!$B$5,-999999,IF(ISNUMBER(SEARCH(","&amp;Database!$A38&amp;",",","&amp;SUBSTITUTE(Screener!$D$17," ","")&amp;",")),2000000,IF(IF(OR(Screener!$B$18="All",AND(Screener!$B$18="With A-share",(Database!$BL38="Y")),AND(Screener!$B$18="Without A-share",NOT((Database!$BL38="Y")))),1,0)=0,-999999,IF(Screener!$B$16="cornerstone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Database!BF26</f>
        <v/>
      </c>
      <c r="AF38">
        <f>Database!BL26</f>
        <v/>
      </c>
      <c r="AG38">
        <f>Database!H26</f>
        <v/>
      </c>
      <c r="AH38">
        <f>Database!BG26</f>
        <v/>
      </c>
    </row>
    <row r="39">
      <c r="A39">
        <f>Database!B39</f>
        <v/>
      </c>
      <c r="B39">
        <f>IF(AND(Screener!$D$8&lt;&gt;"",Database!$E39=Screener!$D$8),1,0)</f>
        <v/>
      </c>
      <c r="C39">
        <f>IF(AND(Screener!$D$7&lt;&gt;"",Database!$D39=Screener!$D$7),1,0)</f>
        <v/>
      </c>
      <c r="D39">
        <f>IF(OR(N(Database!$I39)&lt;=0,N(Screener!$D$9)&lt;=0),0,MAX(0,1-ABS(LOG10(N(Database!$I39)/Screener!$D$9))/W_SIZEHW))</f>
        <v/>
      </c>
      <c r="E39">
        <f>IF(OR(Database!$BF39="",Screener!$D$10=""),0,IF(Database!$BF39=Screener!$D$10,1,0))</f>
        <v/>
      </c>
      <c r="F39">
        <f>IF(OR(Database!$BL39="",Screener!$D$11=""),0,IF(Database!$BL39=Screener!$D$11,1,0))</f>
        <v/>
      </c>
      <c r="G39">
        <f>IF(OR(Database!$H39="",N(Screener!$D$12)&lt;=0),0,MAX(0,1-(N(Screener!$D$12)-Database!$H39)/W_RECD))</f>
        <v/>
      </c>
      <c r="H39">
        <f>IF($U$1="",0,N(ISNUMBER(SEARCH($U$1,Database!$AC39&amp;""))))+IF($V$1="",0,N(ISNUMBER(SEARCH($V$1,Database!$AC39&amp;""))))+IF($W$1="",0,N(ISNUMBER(SEARCH($W$1,Database!$AC39&amp;""))))+IF($X$1="",0,N(ISNUMBER(SEARCH($X$1,Database!$AC39&amp;""))))+IF($Y$1="",0,N(ISNUMBER(SEARCH($Y$1,Database!$AC39&amp;""))))+IF(Screener!$B$17="",0,N(ISNUMBER(SEARCH(LOWER(Screener!$B$17),Database!$AC39&amp;""))))</f>
        <v/>
      </c>
      <c r="I39">
        <f>IF(OR(N(Database!$BG39)&lt;=0,N(Screener!$D$13)&lt;=0),0,MAX(0,1-ABS(LOG10(N(Database!$BG39)/Screener!$D$13))/W_PEHW))</f>
        <v/>
      </c>
      <c r="J39">
        <f>IF(OR(N(Database!$S39)&lt;=0,N(Screener!$D$14)&lt;=0),0,MAX(0,1-ABS(LOG10(Database!$S39/Screener!$D$14))/0.6))</f>
        <v/>
      </c>
      <c r="K39">
        <f>IF(Database!$B39=Screener!$B$5,-999999,IF(ISNUMBER(SEARCH(","&amp;Database!$A39&amp;",",","&amp;SUBSTITUTE(Screener!$D$17," ","")&amp;",")),2000000,IF(IF(OR(Screener!$B$18="All",AND(Screener!$B$18="With A-share",(Database!$BL39="Y")),AND(Screener!$B$18="Without A-share",NOT((Database!$BL39="Y")))),1,0)=0,-999999,IF(Screener!$B$16="cornerstone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Database!BF27</f>
        <v/>
      </c>
      <c r="AF39">
        <f>Database!BL27</f>
        <v/>
      </c>
      <c r="AG39">
        <f>Database!H27</f>
        <v/>
      </c>
      <c r="AH39">
        <f>Database!BG27</f>
        <v/>
      </c>
    </row>
    <row r="40">
      <c r="A40">
        <f>Database!B40</f>
        <v/>
      </c>
      <c r="B40">
        <f>IF(AND(Screener!$D$8&lt;&gt;"",Database!$E40=Screener!$D$8),1,0)</f>
        <v/>
      </c>
      <c r="C40">
        <f>IF(AND(Screener!$D$7&lt;&gt;"",Database!$D40=Screener!$D$7),1,0)</f>
        <v/>
      </c>
      <c r="D40">
        <f>IF(OR(N(Database!$I40)&lt;=0,N(Screener!$D$9)&lt;=0),0,MAX(0,1-ABS(LOG10(N(Database!$I40)/Screener!$D$9))/W_SIZEHW))</f>
        <v/>
      </c>
      <c r="E40">
        <f>IF(OR(Database!$BF40="",Screener!$D$10=""),0,IF(Database!$BF40=Screener!$D$10,1,0))</f>
        <v/>
      </c>
      <c r="F40">
        <f>IF(OR(Database!$BL40="",Screener!$D$11=""),0,IF(Database!$BL40=Screener!$D$11,1,0))</f>
        <v/>
      </c>
      <c r="G40">
        <f>IF(OR(Database!$H40="",N(Screener!$D$12)&lt;=0),0,MAX(0,1-(N(Screener!$D$12)-Database!$H40)/W_RECD))</f>
        <v/>
      </c>
      <c r="H40">
        <f>IF($U$1="",0,N(ISNUMBER(SEARCH($U$1,Database!$AC40&amp;""))))+IF($V$1="",0,N(ISNUMBER(SEARCH($V$1,Database!$AC40&amp;""))))+IF($W$1="",0,N(ISNUMBER(SEARCH($W$1,Database!$AC40&amp;""))))+IF($X$1="",0,N(ISNUMBER(SEARCH($X$1,Database!$AC40&amp;""))))+IF($Y$1="",0,N(ISNUMBER(SEARCH($Y$1,Database!$AC40&amp;""))))+IF(Screener!$B$17="",0,N(ISNUMBER(SEARCH(LOWER(Screener!$B$17),Database!$AC40&amp;""))))</f>
        <v/>
      </c>
      <c r="I40">
        <f>IF(OR(N(Database!$BG40)&lt;=0,N(Screener!$D$13)&lt;=0),0,MAX(0,1-ABS(LOG10(N(Database!$BG40)/Screener!$D$13))/W_PEHW))</f>
        <v/>
      </c>
      <c r="J40">
        <f>IF(OR(N(Database!$S40)&lt;=0,N(Screener!$D$14)&lt;=0),0,MAX(0,1-ABS(LOG10(Database!$S40/Screener!$D$14))/0.6))</f>
        <v/>
      </c>
      <c r="K40">
        <f>IF(Database!$B40=Screener!$B$5,-999999,IF(ISNUMBER(SEARCH(","&amp;Database!$A40&amp;",",","&amp;SUBSTITUTE(Screener!$D$17," ","")&amp;",")),2000000,IF(IF(OR(Screener!$B$18="All",AND(Screener!$B$18="With A-share",(Database!$BL40="Y")),AND(Screener!$B$18="Without A-share",NOT((Database!$BL40="Y")))),1,0)=0,-999999,IF(Screener!$B$16="cornerstone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Database!BF28</f>
        <v/>
      </c>
      <c r="AF40">
        <f>Database!BL28</f>
        <v/>
      </c>
      <c r="AG40">
        <f>Database!H28</f>
        <v/>
      </c>
      <c r="AH40">
        <f>Database!BG28</f>
        <v/>
      </c>
    </row>
    <row r="41">
      <c r="A41">
        <f>Database!B41</f>
        <v/>
      </c>
      <c r="B41">
        <f>IF(AND(Screener!$D$8&lt;&gt;"",Database!$E41=Screener!$D$8),1,0)</f>
        <v/>
      </c>
      <c r="C41">
        <f>IF(AND(Screener!$D$7&lt;&gt;"",Database!$D41=Screener!$D$7),1,0)</f>
        <v/>
      </c>
      <c r="D41">
        <f>IF(OR(N(Database!$I41)&lt;=0,N(Screener!$D$9)&lt;=0),0,MAX(0,1-ABS(LOG10(N(Database!$I41)/Screener!$D$9))/W_SIZEHW))</f>
        <v/>
      </c>
      <c r="E41">
        <f>IF(OR(Database!$BF41="",Screener!$D$10=""),0,IF(Database!$BF41=Screener!$D$10,1,0))</f>
        <v/>
      </c>
      <c r="F41">
        <f>IF(OR(Database!$BL41="",Screener!$D$11=""),0,IF(Database!$BL41=Screener!$D$11,1,0))</f>
        <v/>
      </c>
      <c r="G41">
        <f>IF(OR(Database!$H41="",N(Screener!$D$12)&lt;=0),0,MAX(0,1-(N(Screener!$D$12)-Database!$H41)/W_RECD))</f>
        <v/>
      </c>
      <c r="H41">
        <f>IF($U$1="",0,N(ISNUMBER(SEARCH($U$1,Database!$AC41&amp;""))))+IF($V$1="",0,N(ISNUMBER(SEARCH($V$1,Database!$AC41&amp;""))))+IF($W$1="",0,N(ISNUMBER(SEARCH($W$1,Database!$AC41&amp;""))))+IF($X$1="",0,N(ISNUMBER(SEARCH($X$1,Database!$AC41&amp;""))))+IF($Y$1="",0,N(ISNUMBER(SEARCH($Y$1,Database!$AC41&amp;""))))+IF(Screener!$B$17="",0,N(ISNUMBER(SEARCH(LOWER(Screener!$B$17),Database!$AC41&amp;""))))</f>
        <v/>
      </c>
      <c r="I41">
        <f>IF(OR(N(Database!$BG41)&lt;=0,N(Screener!$D$13)&lt;=0),0,MAX(0,1-ABS(LOG10(N(Database!$BG41)/Screener!$D$13))/W_PEHW))</f>
        <v/>
      </c>
      <c r="J41">
        <f>IF(OR(N(Database!$S41)&lt;=0,N(Screener!$D$14)&lt;=0),0,MAX(0,1-ABS(LOG10(Database!$S41/Screener!$D$14))/0.6))</f>
        <v/>
      </c>
      <c r="K41">
        <f>IF(Database!$B41=Screener!$B$5,-999999,IF(ISNUMBER(SEARCH(","&amp;Database!$A41&amp;",",","&amp;SUBSTITUTE(Screener!$D$17," ","")&amp;",")),2000000,IF(IF(OR(Screener!$B$18="All",AND(Screener!$B$18="With A-share",(Database!$BL41="Y")),AND(Screener!$B$18="Without A-share",NOT((Database!$BL41="Y")))),1,0)=0,-999999,IF(Screener!$B$16="cornerstone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Database!BF29</f>
        <v/>
      </c>
      <c r="AF41">
        <f>Database!BL29</f>
        <v/>
      </c>
      <c r="AG41">
        <f>Database!H29</f>
        <v/>
      </c>
      <c r="AH41">
        <f>Database!BG29</f>
        <v/>
      </c>
    </row>
    <row r="42">
      <c r="A42">
        <f>Database!B42</f>
        <v/>
      </c>
      <c r="B42">
        <f>IF(AND(Screener!$D$8&lt;&gt;"",Database!$E42=Screener!$D$8),1,0)</f>
        <v/>
      </c>
      <c r="C42">
        <f>IF(AND(Screener!$D$7&lt;&gt;"",Database!$D42=Screener!$D$7),1,0)</f>
        <v/>
      </c>
      <c r="D42">
        <f>IF(OR(N(Database!$I42)&lt;=0,N(Screener!$D$9)&lt;=0),0,MAX(0,1-ABS(LOG10(N(Database!$I42)/Screener!$D$9))/W_SIZEHW))</f>
        <v/>
      </c>
      <c r="E42">
        <f>IF(OR(Database!$BF42="",Screener!$D$10=""),0,IF(Database!$BF42=Screener!$D$10,1,0))</f>
        <v/>
      </c>
      <c r="F42">
        <f>IF(OR(Database!$BL42="",Screener!$D$11=""),0,IF(Database!$BL42=Screener!$D$11,1,0))</f>
        <v/>
      </c>
      <c r="G42">
        <f>IF(OR(Database!$H42="",N(Screener!$D$12)&lt;=0),0,MAX(0,1-(N(Screener!$D$12)-Database!$H42)/W_RECD))</f>
        <v/>
      </c>
      <c r="H42">
        <f>IF($U$1="",0,N(ISNUMBER(SEARCH($U$1,Database!$AC42&amp;""))))+IF($V$1="",0,N(ISNUMBER(SEARCH($V$1,Database!$AC42&amp;""))))+IF($W$1="",0,N(ISNUMBER(SEARCH($W$1,Database!$AC42&amp;""))))+IF($X$1="",0,N(ISNUMBER(SEARCH($X$1,Database!$AC42&amp;""))))+IF($Y$1="",0,N(ISNUMBER(SEARCH($Y$1,Database!$AC42&amp;""))))+IF(Screener!$B$17="",0,N(ISNUMBER(SEARCH(LOWER(Screener!$B$17),Database!$AC42&amp;""))))</f>
        <v/>
      </c>
      <c r="I42">
        <f>IF(OR(N(Database!$BG42)&lt;=0,N(Screener!$D$13)&lt;=0),0,MAX(0,1-ABS(LOG10(N(Database!$BG42)/Screener!$D$13))/W_PEHW))</f>
        <v/>
      </c>
      <c r="J42">
        <f>IF(OR(N(Database!$S42)&lt;=0,N(Screener!$D$14)&lt;=0),0,MAX(0,1-ABS(LOG10(Database!$S42/Screener!$D$14))/0.6))</f>
        <v/>
      </c>
      <c r="K42">
        <f>IF(Database!$B42=Screener!$B$5,-999999,IF(ISNUMBER(SEARCH(","&amp;Database!$A42&amp;",",","&amp;SUBSTITUTE(Screener!$D$17," ","")&amp;",")),2000000,IF(IF(OR(Screener!$B$18="All",AND(Screener!$B$18="With A-share",(Database!$BL42="Y")),AND(Screener!$B$18="Without A-share",NOT((Database!$BL42="Y")))),1,0)=0,-999999,IF(Screener!$B$16="cornerstone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Database!BF30</f>
        <v/>
      </c>
      <c r="AF42">
        <f>Database!BL30</f>
        <v/>
      </c>
      <c r="AG42">
        <f>Database!H30</f>
        <v/>
      </c>
      <c r="AH42">
        <f>Database!BG30</f>
        <v/>
      </c>
    </row>
    <row r="43">
      <c r="A43">
        <f>Database!B43</f>
        <v/>
      </c>
      <c r="B43">
        <f>IF(AND(Screener!$D$8&lt;&gt;"",Database!$E43=Screener!$D$8),1,0)</f>
        <v/>
      </c>
      <c r="C43">
        <f>IF(AND(Screener!$D$7&lt;&gt;"",Database!$D43=Screener!$D$7),1,0)</f>
        <v/>
      </c>
      <c r="D43">
        <f>IF(OR(N(Database!$I43)&lt;=0,N(Screener!$D$9)&lt;=0),0,MAX(0,1-ABS(LOG10(N(Database!$I43)/Screener!$D$9))/W_SIZEHW))</f>
        <v/>
      </c>
      <c r="E43">
        <f>IF(OR(Database!$BF43="",Screener!$D$10=""),0,IF(Database!$BF43=Screener!$D$10,1,0))</f>
        <v/>
      </c>
      <c r="F43">
        <f>IF(OR(Database!$BL43="",Screener!$D$11=""),0,IF(Database!$BL43=Screener!$D$11,1,0))</f>
        <v/>
      </c>
      <c r="G43">
        <f>IF(OR(Database!$H43="",N(Screener!$D$12)&lt;=0),0,MAX(0,1-(N(Screener!$D$12)-Database!$H43)/W_RECD))</f>
        <v/>
      </c>
      <c r="H43">
        <f>IF($U$1="",0,N(ISNUMBER(SEARCH($U$1,Database!$AC43&amp;""))))+IF($V$1="",0,N(ISNUMBER(SEARCH($V$1,Database!$AC43&amp;""))))+IF($W$1="",0,N(ISNUMBER(SEARCH($W$1,Database!$AC43&amp;""))))+IF($X$1="",0,N(ISNUMBER(SEARCH($X$1,Database!$AC43&amp;""))))+IF($Y$1="",0,N(ISNUMBER(SEARCH($Y$1,Database!$AC43&amp;""))))+IF(Screener!$B$17="",0,N(ISNUMBER(SEARCH(LOWER(Screener!$B$17),Database!$AC43&amp;""))))</f>
        <v/>
      </c>
      <c r="I43">
        <f>IF(OR(N(Database!$BG43)&lt;=0,N(Screener!$D$13)&lt;=0),0,MAX(0,1-ABS(LOG10(N(Database!$BG43)/Screener!$D$13))/W_PEHW))</f>
        <v/>
      </c>
      <c r="J43">
        <f>IF(OR(N(Database!$S43)&lt;=0,N(Screener!$D$14)&lt;=0),0,MAX(0,1-ABS(LOG10(Database!$S43/Screener!$D$14))/0.6))</f>
        <v/>
      </c>
      <c r="K43">
        <f>IF(Database!$B43=Screener!$B$5,-999999,IF(ISNUMBER(SEARCH(","&amp;Database!$A43&amp;",",","&amp;SUBSTITUTE(Screener!$D$17," ","")&amp;",")),2000000,IF(IF(OR(Screener!$B$18="All",AND(Screener!$B$18="With A-share",(Database!$BL43="Y")),AND(Screener!$B$18="Without A-share",NOT((Database!$BL43="Y")))),1,0)=0,-999999,IF(Screener!$B$16="cornerstone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Database!BF31</f>
        <v/>
      </c>
      <c r="AF43">
        <f>Database!BL31</f>
        <v/>
      </c>
      <c r="AG43">
        <f>Database!H31</f>
        <v/>
      </c>
      <c r="AH43">
        <f>Database!BG31</f>
        <v/>
      </c>
    </row>
    <row r="44">
      <c r="A44">
        <f>Database!B44</f>
        <v/>
      </c>
      <c r="B44">
        <f>IF(AND(Screener!$D$8&lt;&gt;"",Database!$E44=Screener!$D$8),1,0)</f>
        <v/>
      </c>
      <c r="C44">
        <f>IF(AND(Screener!$D$7&lt;&gt;"",Database!$D44=Screener!$D$7),1,0)</f>
        <v/>
      </c>
      <c r="D44">
        <f>IF(OR(N(Database!$I44)&lt;=0,N(Screener!$D$9)&lt;=0),0,MAX(0,1-ABS(LOG10(N(Database!$I44)/Screener!$D$9))/W_SIZEHW))</f>
        <v/>
      </c>
      <c r="E44">
        <f>IF(OR(Database!$BF44="",Screener!$D$10=""),0,IF(Database!$BF44=Screener!$D$10,1,0))</f>
        <v/>
      </c>
      <c r="F44">
        <f>IF(OR(Database!$BL44="",Screener!$D$11=""),0,IF(Database!$BL44=Screener!$D$11,1,0))</f>
        <v/>
      </c>
      <c r="G44">
        <f>IF(OR(Database!$H44="",N(Screener!$D$12)&lt;=0),0,MAX(0,1-(N(Screener!$D$12)-Database!$H44)/W_RECD))</f>
        <v/>
      </c>
      <c r="H44">
        <f>IF($U$1="",0,N(ISNUMBER(SEARCH($U$1,Database!$AC44&amp;""))))+IF($V$1="",0,N(ISNUMBER(SEARCH($V$1,Database!$AC44&amp;""))))+IF($W$1="",0,N(ISNUMBER(SEARCH($W$1,Database!$AC44&amp;""))))+IF($X$1="",0,N(ISNUMBER(SEARCH($X$1,Database!$AC44&amp;""))))+IF($Y$1="",0,N(ISNUMBER(SEARCH($Y$1,Database!$AC44&amp;""))))+IF(Screener!$B$17="",0,N(ISNUMBER(SEARCH(LOWER(Screener!$B$17),Database!$AC44&amp;""))))</f>
        <v/>
      </c>
      <c r="I44">
        <f>IF(OR(N(Database!$BG44)&lt;=0,N(Screener!$D$13)&lt;=0),0,MAX(0,1-ABS(LOG10(N(Database!$BG44)/Screener!$D$13))/W_PEHW))</f>
        <v/>
      </c>
      <c r="J44">
        <f>IF(OR(N(Database!$S44)&lt;=0,N(Screener!$D$14)&lt;=0),0,MAX(0,1-ABS(LOG10(Database!$S44/Screener!$D$14))/0.6))</f>
        <v/>
      </c>
      <c r="K44">
        <f>IF(Database!$B44=Screener!$B$5,-999999,IF(ISNUMBER(SEARCH(","&amp;Database!$A44&amp;",",","&amp;SUBSTITUTE(Screener!$D$17," ","")&amp;",")),2000000,IF(IF(OR(Screener!$B$18="All",AND(Screener!$B$18="With A-share",(Database!$BL44="Y")),AND(Screener!$B$18="Without A-share",NOT((Database!$BL44="Y")))),1,0)=0,-999999,IF(Screener!$B$16="cornerstone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Database!BF32</f>
        <v/>
      </c>
      <c r="AF44">
        <f>Database!BL32</f>
        <v/>
      </c>
      <c r="AG44">
        <f>Database!H32</f>
        <v/>
      </c>
      <c r="AH44">
        <f>Database!BG32</f>
        <v/>
      </c>
    </row>
    <row r="45">
      <c r="A45">
        <f>Database!B45</f>
        <v/>
      </c>
      <c r="B45">
        <f>IF(AND(Screener!$D$8&lt;&gt;"",Database!$E45=Screener!$D$8),1,0)</f>
        <v/>
      </c>
      <c r="C45">
        <f>IF(AND(Screener!$D$7&lt;&gt;"",Database!$D45=Screener!$D$7),1,0)</f>
        <v/>
      </c>
      <c r="D45">
        <f>IF(OR(N(Database!$I45)&lt;=0,N(Screener!$D$9)&lt;=0),0,MAX(0,1-ABS(LOG10(N(Database!$I45)/Screener!$D$9))/W_SIZEHW))</f>
        <v/>
      </c>
      <c r="E45">
        <f>IF(OR(Database!$BF45="",Screener!$D$10=""),0,IF(Database!$BF45=Screener!$D$10,1,0))</f>
        <v/>
      </c>
      <c r="F45">
        <f>IF(OR(Database!$BL45="",Screener!$D$11=""),0,IF(Database!$BL45=Screener!$D$11,1,0))</f>
        <v/>
      </c>
      <c r="G45">
        <f>IF(OR(Database!$H45="",N(Screener!$D$12)&lt;=0),0,MAX(0,1-(N(Screener!$D$12)-Database!$H45)/W_RECD))</f>
        <v/>
      </c>
      <c r="H45">
        <f>IF($U$1="",0,N(ISNUMBER(SEARCH($U$1,Database!$AC45&amp;""))))+IF($V$1="",0,N(ISNUMBER(SEARCH($V$1,Database!$AC45&amp;""))))+IF($W$1="",0,N(ISNUMBER(SEARCH($W$1,Database!$AC45&amp;""))))+IF($X$1="",0,N(ISNUMBER(SEARCH($X$1,Database!$AC45&amp;""))))+IF($Y$1="",0,N(ISNUMBER(SEARCH($Y$1,Database!$AC45&amp;""))))+IF(Screener!$B$17="",0,N(ISNUMBER(SEARCH(LOWER(Screener!$B$17),Database!$AC45&amp;""))))</f>
        <v/>
      </c>
      <c r="I45">
        <f>IF(OR(N(Database!$BG45)&lt;=0,N(Screener!$D$13)&lt;=0),0,MAX(0,1-ABS(LOG10(N(Database!$BG45)/Screener!$D$13))/W_PEHW))</f>
        <v/>
      </c>
      <c r="J45">
        <f>IF(OR(N(Database!$S45)&lt;=0,N(Screener!$D$14)&lt;=0),0,MAX(0,1-ABS(LOG10(Database!$S45/Screener!$D$14))/0.6))</f>
        <v/>
      </c>
      <c r="K45">
        <f>IF(Database!$B45=Screener!$B$5,-999999,IF(ISNUMBER(SEARCH(","&amp;Database!$A45&amp;",",","&amp;SUBSTITUTE(Screener!$D$17," ","")&amp;",")),2000000,IF(IF(OR(Screener!$B$18="All",AND(Screener!$B$18="With A-share",(Database!$BL45="Y")),AND(Screener!$B$18="Without A-share",NOT((Database!$BL45="Y")))),1,0)=0,-999999,IF(Screener!$B$16="cornerstone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Database!BF33</f>
        <v/>
      </c>
      <c r="AF45">
        <f>Database!BL33</f>
        <v/>
      </c>
      <c r="AG45">
        <f>Database!H33</f>
        <v/>
      </c>
      <c r="AH45">
        <f>Database!BG33</f>
        <v/>
      </c>
    </row>
    <row r="46">
      <c r="A46">
        <f>Database!B46</f>
        <v/>
      </c>
      <c r="B46">
        <f>IF(AND(Screener!$D$8&lt;&gt;"",Database!$E46=Screener!$D$8),1,0)</f>
        <v/>
      </c>
      <c r="C46">
        <f>IF(AND(Screener!$D$7&lt;&gt;"",Database!$D46=Screener!$D$7),1,0)</f>
        <v/>
      </c>
      <c r="D46">
        <f>IF(OR(N(Database!$I46)&lt;=0,N(Screener!$D$9)&lt;=0),0,MAX(0,1-ABS(LOG10(N(Database!$I46)/Screener!$D$9))/W_SIZEHW))</f>
        <v/>
      </c>
      <c r="E46">
        <f>IF(OR(Database!$BF46="",Screener!$D$10=""),0,IF(Database!$BF46=Screener!$D$10,1,0))</f>
        <v/>
      </c>
      <c r="F46">
        <f>IF(OR(Database!$BL46="",Screener!$D$11=""),0,IF(Database!$BL46=Screener!$D$11,1,0))</f>
        <v/>
      </c>
      <c r="G46">
        <f>IF(OR(Database!$H46="",N(Screener!$D$12)&lt;=0),0,MAX(0,1-(N(Screener!$D$12)-Database!$H46)/W_RECD))</f>
        <v/>
      </c>
      <c r="H46">
        <f>IF($U$1="",0,N(ISNUMBER(SEARCH($U$1,Database!$AC46&amp;""))))+IF($V$1="",0,N(ISNUMBER(SEARCH($V$1,Database!$AC46&amp;""))))+IF($W$1="",0,N(ISNUMBER(SEARCH($W$1,Database!$AC46&amp;""))))+IF($X$1="",0,N(ISNUMBER(SEARCH($X$1,Database!$AC46&amp;""))))+IF($Y$1="",0,N(ISNUMBER(SEARCH($Y$1,Database!$AC46&amp;""))))+IF(Screener!$B$17="",0,N(ISNUMBER(SEARCH(LOWER(Screener!$B$17),Database!$AC46&amp;""))))</f>
        <v/>
      </c>
      <c r="I46">
        <f>IF(OR(N(Database!$BG46)&lt;=0,N(Screener!$D$13)&lt;=0),0,MAX(0,1-ABS(LOG10(N(Database!$BG46)/Screener!$D$13))/W_PEHW))</f>
        <v/>
      </c>
      <c r="J46">
        <f>IF(OR(N(Database!$S46)&lt;=0,N(Screener!$D$14)&lt;=0),0,MAX(0,1-ABS(LOG10(Database!$S46/Screener!$D$14))/0.6))</f>
        <v/>
      </c>
      <c r="K46">
        <f>IF(Database!$B46=Screener!$B$5,-999999,IF(ISNUMBER(SEARCH(","&amp;Database!$A46&amp;",",","&amp;SUBSTITUTE(Screener!$D$17," ","")&amp;",")),2000000,IF(IF(OR(Screener!$B$18="All",AND(Screener!$B$18="With A-share",(Database!$BL46="Y")),AND(Screener!$B$18="Without A-share",NOT((Database!$BL46="Y")))),1,0)=0,-999999,IF(Screener!$B$16="cornerstone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Database!BF34</f>
        <v/>
      </c>
      <c r="AF46">
        <f>Database!BL34</f>
        <v/>
      </c>
      <c r="AG46">
        <f>Database!H34</f>
        <v/>
      </c>
      <c r="AH46">
        <f>Database!BG34</f>
        <v/>
      </c>
    </row>
    <row r="47">
      <c r="A47">
        <f>Database!B47</f>
        <v/>
      </c>
      <c r="B47">
        <f>IF(AND(Screener!$D$8&lt;&gt;"",Database!$E47=Screener!$D$8),1,0)</f>
        <v/>
      </c>
      <c r="C47">
        <f>IF(AND(Screener!$D$7&lt;&gt;"",Database!$D47=Screener!$D$7),1,0)</f>
        <v/>
      </c>
      <c r="D47">
        <f>IF(OR(N(Database!$I47)&lt;=0,N(Screener!$D$9)&lt;=0),0,MAX(0,1-ABS(LOG10(N(Database!$I47)/Screener!$D$9))/W_SIZEHW))</f>
        <v/>
      </c>
      <c r="E47">
        <f>IF(OR(Database!$BF47="",Screener!$D$10=""),0,IF(Database!$BF47=Screener!$D$10,1,0))</f>
        <v/>
      </c>
      <c r="F47">
        <f>IF(OR(Database!$BL47="",Screener!$D$11=""),0,IF(Database!$BL47=Screener!$D$11,1,0))</f>
        <v/>
      </c>
      <c r="G47">
        <f>IF(OR(Database!$H47="",N(Screener!$D$12)&lt;=0),0,MAX(0,1-(N(Screener!$D$12)-Database!$H47)/W_RECD))</f>
        <v/>
      </c>
      <c r="H47">
        <f>IF($U$1="",0,N(ISNUMBER(SEARCH($U$1,Database!$AC47&amp;""))))+IF($V$1="",0,N(ISNUMBER(SEARCH($V$1,Database!$AC47&amp;""))))+IF($W$1="",0,N(ISNUMBER(SEARCH($W$1,Database!$AC47&amp;""))))+IF($X$1="",0,N(ISNUMBER(SEARCH($X$1,Database!$AC47&amp;""))))+IF($Y$1="",0,N(ISNUMBER(SEARCH($Y$1,Database!$AC47&amp;""))))+IF(Screener!$B$17="",0,N(ISNUMBER(SEARCH(LOWER(Screener!$B$17),Database!$AC47&amp;""))))</f>
        <v/>
      </c>
      <c r="I47">
        <f>IF(OR(N(Database!$BG47)&lt;=0,N(Screener!$D$13)&lt;=0),0,MAX(0,1-ABS(LOG10(N(Database!$BG47)/Screener!$D$13))/W_PEHW))</f>
        <v/>
      </c>
      <c r="J47">
        <f>IF(OR(N(Database!$S47)&lt;=0,N(Screener!$D$14)&lt;=0),0,MAX(0,1-ABS(LOG10(Database!$S47/Screener!$D$14))/0.6))</f>
        <v/>
      </c>
      <c r="K47">
        <f>IF(Database!$B47=Screener!$B$5,-999999,IF(ISNUMBER(SEARCH(","&amp;Database!$A47&amp;",",","&amp;SUBSTITUTE(Screener!$D$17," ","")&amp;",")),2000000,IF(IF(OR(Screener!$B$18="All",AND(Screener!$B$18="With A-share",(Database!$BL47="Y")),AND(Screener!$B$18="Without A-share",NOT((Database!$BL47="Y")))),1,0)=0,-999999,IF(Screener!$B$16="cornerstone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Database!BF35</f>
        <v/>
      </c>
      <c r="AF47">
        <f>Database!BL35</f>
        <v/>
      </c>
      <c r="AG47">
        <f>Database!H35</f>
        <v/>
      </c>
      <c r="AH47">
        <f>Database!BG35</f>
        <v/>
      </c>
    </row>
    <row r="48">
      <c r="A48">
        <f>Database!B48</f>
        <v/>
      </c>
      <c r="B48">
        <f>IF(AND(Screener!$D$8&lt;&gt;"",Database!$E48=Screener!$D$8),1,0)</f>
        <v/>
      </c>
      <c r="C48">
        <f>IF(AND(Screener!$D$7&lt;&gt;"",Database!$D48=Screener!$D$7),1,0)</f>
        <v/>
      </c>
      <c r="D48">
        <f>IF(OR(N(Database!$I48)&lt;=0,N(Screener!$D$9)&lt;=0),0,MAX(0,1-ABS(LOG10(N(Database!$I48)/Screener!$D$9))/W_SIZEHW))</f>
        <v/>
      </c>
      <c r="E48">
        <f>IF(OR(Database!$BF48="",Screener!$D$10=""),0,IF(Database!$BF48=Screener!$D$10,1,0))</f>
        <v/>
      </c>
      <c r="F48">
        <f>IF(OR(Database!$BL48="",Screener!$D$11=""),0,IF(Database!$BL48=Screener!$D$11,1,0))</f>
        <v/>
      </c>
      <c r="G48">
        <f>IF(OR(Database!$H48="",N(Screener!$D$12)&lt;=0),0,MAX(0,1-(N(Screener!$D$12)-Database!$H48)/W_RECD))</f>
        <v/>
      </c>
      <c r="H48">
        <f>IF($U$1="",0,N(ISNUMBER(SEARCH($U$1,Database!$AC48&amp;""))))+IF($V$1="",0,N(ISNUMBER(SEARCH($V$1,Database!$AC48&amp;""))))+IF($W$1="",0,N(ISNUMBER(SEARCH($W$1,Database!$AC48&amp;""))))+IF($X$1="",0,N(ISNUMBER(SEARCH($X$1,Database!$AC48&amp;""))))+IF($Y$1="",0,N(ISNUMBER(SEARCH($Y$1,Database!$AC48&amp;""))))+IF(Screener!$B$17="",0,N(ISNUMBER(SEARCH(LOWER(Screener!$B$17),Database!$AC48&amp;""))))</f>
        <v/>
      </c>
      <c r="I48">
        <f>IF(OR(N(Database!$BG48)&lt;=0,N(Screener!$D$13)&lt;=0),0,MAX(0,1-ABS(LOG10(N(Database!$BG48)/Screener!$D$13))/W_PEHW))</f>
        <v/>
      </c>
      <c r="J48">
        <f>IF(OR(N(Database!$S48)&lt;=0,N(Screener!$D$14)&lt;=0),0,MAX(0,1-ABS(LOG10(Database!$S48/Screener!$D$14))/0.6))</f>
        <v/>
      </c>
      <c r="K48">
        <f>IF(Database!$B48=Screener!$B$5,-999999,IF(ISNUMBER(SEARCH(","&amp;Database!$A48&amp;",",","&amp;SUBSTITUTE(Screener!$D$17," ","")&amp;",")),2000000,IF(IF(OR(Screener!$B$18="All",AND(Screener!$B$18="With A-share",(Database!$BL48="Y")),AND(Screener!$B$18="Without A-share",NOT((Database!$BL48="Y")))),1,0)=0,-999999,IF(Screener!$B$16="cornerstone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Database!BF36</f>
        <v/>
      </c>
      <c r="AF48">
        <f>Database!BL36</f>
        <v/>
      </c>
      <c r="AG48">
        <f>Database!H36</f>
        <v/>
      </c>
      <c r="AH48">
        <f>Database!BG36</f>
        <v/>
      </c>
    </row>
    <row r="49">
      <c r="A49">
        <f>Database!B49</f>
        <v/>
      </c>
      <c r="B49">
        <f>IF(AND(Screener!$D$8&lt;&gt;"",Database!$E49=Screener!$D$8),1,0)</f>
        <v/>
      </c>
      <c r="C49">
        <f>IF(AND(Screener!$D$7&lt;&gt;"",Database!$D49=Screener!$D$7),1,0)</f>
        <v/>
      </c>
      <c r="D49">
        <f>IF(OR(N(Database!$I49)&lt;=0,N(Screener!$D$9)&lt;=0),0,MAX(0,1-ABS(LOG10(N(Database!$I49)/Screener!$D$9))/W_SIZEHW))</f>
        <v/>
      </c>
      <c r="E49">
        <f>IF(OR(Database!$BF49="",Screener!$D$10=""),0,IF(Database!$BF49=Screener!$D$10,1,0))</f>
        <v/>
      </c>
      <c r="F49">
        <f>IF(OR(Database!$BL49="",Screener!$D$11=""),0,IF(Database!$BL49=Screener!$D$11,1,0))</f>
        <v/>
      </c>
      <c r="G49">
        <f>IF(OR(Database!$H49="",N(Screener!$D$12)&lt;=0),0,MAX(0,1-(N(Screener!$D$12)-Database!$H49)/W_RECD))</f>
        <v/>
      </c>
      <c r="H49">
        <f>IF($U$1="",0,N(ISNUMBER(SEARCH($U$1,Database!$AC49&amp;""))))+IF($V$1="",0,N(ISNUMBER(SEARCH($V$1,Database!$AC49&amp;""))))+IF($W$1="",0,N(ISNUMBER(SEARCH($W$1,Database!$AC49&amp;""))))+IF($X$1="",0,N(ISNUMBER(SEARCH($X$1,Database!$AC49&amp;""))))+IF($Y$1="",0,N(ISNUMBER(SEARCH($Y$1,Database!$AC49&amp;""))))+IF(Screener!$B$17="",0,N(ISNUMBER(SEARCH(LOWER(Screener!$B$17),Database!$AC49&amp;""))))</f>
        <v/>
      </c>
      <c r="I49">
        <f>IF(OR(N(Database!$BG49)&lt;=0,N(Screener!$D$13)&lt;=0),0,MAX(0,1-ABS(LOG10(N(Database!$BG49)/Screener!$D$13))/W_PEHW))</f>
        <v/>
      </c>
      <c r="J49">
        <f>IF(OR(N(Database!$S49)&lt;=0,N(Screener!$D$14)&lt;=0),0,MAX(0,1-ABS(LOG10(Database!$S49/Screener!$D$14))/0.6))</f>
        <v/>
      </c>
      <c r="K49">
        <f>IF(Database!$B49=Screener!$B$5,-999999,IF(ISNUMBER(SEARCH(","&amp;Database!$A49&amp;",",","&amp;SUBSTITUTE(Screener!$D$17," ","")&amp;",")),2000000,IF(IF(OR(Screener!$B$18="All",AND(Screener!$B$18="With A-share",(Database!$BL49="Y")),AND(Screener!$B$18="Without A-share",NOT((Database!$BL49="Y")))),1,0)=0,-999999,IF(Screener!$B$16="cornerstone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Database!BF37</f>
        <v/>
      </c>
      <c r="AF49">
        <f>Database!BL37</f>
        <v/>
      </c>
      <c r="AG49">
        <f>Database!H37</f>
        <v/>
      </c>
      <c r="AH49">
        <f>Database!BG37</f>
        <v/>
      </c>
    </row>
    <row r="50">
      <c r="A50">
        <f>Database!B50</f>
        <v/>
      </c>
      <c r="B50">
        <f>IF(AND(Screener!$D$8&lt;&gt;"",Database!$E50=Screener!$D$8),1,0)</f>
        <v/>
      </c>
      <c r="C50">
        <f>IF(AND(Screener!$D$7&lt;&gt;"",Database!$D50=Screener!$D$7),1,0)</f>
        <v/>
      </c>
      <c r="D50">
        <f>IF(OR(N(Database!$I50)&lt;=0,N(Screener!$D$9)&lt;=0),0,MAX(0,1-ABS(LOG10(N(Database!$I50)/Screener!$D$9))/W_SIZEHW))</f>
        <v/>
      </c>
      <c r="E50">
        <f>IF(OR(Database!$BF50="",Screener!$D$10=""),0,IF(Database!$BF50=Screener!$D$10,1,0))</f>
        <v/>
      </c>
      <c r="F50">
        <f>IF(OR(Database!$BL50="",Screener!$D$11=""),0,IF(Database!$BL50=Screener!$D$11,1,0))</f>
        <v/>
      </c>
      <c r="G50">
        <f>IF(OR(Database!$H50="",N(Screener!$D$12)&lt;=0),0,MAX(0,1-(N(Screener!$D$12)-Database!$H50)/W_RECD))</f>
        <v/>
      </c>
      <c r="H50">
        <f>IF($U$1="",0,N(ISNUMBER(SEARCH($U$1,Database!$AC50&amp;""))))+IF($V$1="",0,N(ISNUMBER(SEARCH($V$1,Database!$AC50&amp;""))))+IF($W$1="",0,N(ISNUMBER(SEARCH($W$1,Database!$AC50&amp;""))))+IF($X$1="",0,N(ISNUMBER(SEARCH($X$1,Database!$AC50&amp;""))))+IF($Y$1="",0,N(ISNUMBER(SEARCH($Y$1,Database!$AC50&amp;""))))+IF(Screener!$B$17="",0,N(ISNUMBER(SEARCH(LOWER(Screener!$B$17),Database!$AC50&amp;""))))</f>
        <v/>
      </c>
      <c r="I50">
        <f>IF(OR(N(Database!$BG50)&lt;=0,N(Screener!$D$13)&lt;=0),0,MAX(0,1-ABS(LOG10(N(Database!$BG50)/Screener!$D$13))/W_PEHW))</f>
        <v/>
      </c>
      <c r="J50">
        <f>IF(OR(N(Database!$S50)&lt;=0,N(Screener!$D$14)&lt;=0),0,MAX(0,1-ABS(LOG10(Database!$S50/Screener!$D$14))/0.6))</f>
        <v/>
      </c>
      <c r="K50">
        <f>IF(Database!$B50=Screener!$B$5,-999999,IF(ISNUMBER(SEARCH(","&amp;Database!$A50&amp;",",","&amp;SUBSTITUTE(Screener!$D$17," ","")&amp;",")),2000000,IF(IF(OR(Screener!$B$18="All",AND(Screener!$B$18="With A-share",(Database!$BL50="Y")),AND(Screener!$B$18="Without A-share",NOT((Database!$BL50="Y")))),1,0)=0,-999999,IF(Screener!$B$16="cornerstone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Database!BF38</f>
        <v/>
      </c>
      <c r="AF50">
        <f>Database!BL38</f>
        <v/>
      </c>
      <c r="AG50">
        <f>Database!H38</f>
        <v/>
      </c>
      <c r="AH50">
        <f>Database!BG38</f>
        <v/>
      </c>
    </row>
    <row r="51">
      <c r="A51">
        <f>Database!B51</f>
        <v/>
      </c>
      <c r="B51">
        <f>IF(AND(Screener!$D$8&lt;&gt;"",Database!$E51=Screener!$D$8),1,0)</f>
        <v/>
      </c>
      <c r="C51">
        <f>IF(AND(Screener!$D$7&lt;&gt;"",Database!$D51=Screener!$D$7),1,0)</f>
        <v/>
      </c>
      <c r="D51">
        <f>IF(OR(N(Database!$I51)&lt;=0,N(Screener!$D$9)&lt;=0),0,MAX(0,1-ABS(LOG10(N(Database!$I51)/Screener!$D$9))/W_SIZEHW))</f>
        <v/>
      </c>
      <c r="E51">
        <f>IF(OR(Database!$BF51="",Screener!$D$10=""),0,IF(Database!$BF51=Screener!$D$10,1,0))</f>
        <v/>
      </c>
      <c r="F51">
        <f>IF(OR(Database!$BL51="",Screener!$D$11=""),0,IF(Database!$BL51=Screener!$D$11,1,0))</f>
        <v/>
      </c>
      <c r="G51">
        <f>IF(OR(Database!$H51="",N(Screener!$D$12)&lt;=0),0,MAX(0,1-(N(Screener!$D$12)-Database!$H51)/W_RECD))</f>
        <v/>
      </c>
      <c r="H51">
        <f>IF($U$1="",0,N(ISNUMBER(SEARCH($U$1,Database!$AC51&amp;""))))+IF($V$1="",0,N(ISNUMBER(SEARCH($V$1,Database!$AC51&amp;""))))+IF($W$1="",0,N(ISNUMBER(SEARCH($W$1,Database!$AC51&amp;""))))+IF($X$1="",0,N(ISNUMBER(SEARCH($X$1,Database!$AC51&amp;""))))+IF($Y$1="",0,N(ISNUMBER(SEARCH($Y$1,Database!$AC51&amp;""))))+IF(Screener!$B$17="",0,N(ISNUMBER(SEARCH(LOWER(Screener!$B$17),Database!$AC51&amp;""))))</f>
        <v/>
      </c>
      <c r="I51">
        <f>IF(OR(N(Database!$BG51)&lt;=0,N(Screener!$D$13)&lt;=0),0,MAX(0,1-ABS(LOG10(N(Database!$BG51)/Screener!$D$13))/W_PEHW))</f>
        <v/>
      </c>
      <c r="J51">
        <f>IF(OR(N(Database!$S51)&lt;=0,N(Screener!$D$14)&lt;=0),0,MAX(0,1-ABS(LOG10(Database!$S51/Screener!$D$14))/0.6))</f>
        <v/>
      </c>
      <c r="K51">
        <f>IF(Database!$B51=Screener!$B$5,-999999,IF(ISNUMBER(SEARCH(","&amp;Database!$A51&amp;",",","&amp;SUBSTITUTE(Screener!$D$17," ","")&amp;",")),2000000,IF(IF(OR(Screener!$B$18="All",AND(Screener!$B$18="With A-share",(Database!$BL51="Y")),AND(Screener!$B$18="Without A-share",NOT((Database!$BL51="Y")))),1,0)=0,-999999,IF(Screener!$B$16="cornerstone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Database!BF39</f>
        <v/>
      </c>
      <c r="AF51">
        <f>Database!BL39</f>
        <v/>
      </c>
      <c r="AG51">
        <f>Database!H39</f>
        <v/>
      </c>
      <c r="AH51">
        <f>Database!BG39</f>
        <v/>
      </c>
    </row>
    <row r="52">
      <c r="A52">
        <f>Database!B52</f>
        <v/>
      </c>
      <c r="B52">
        <f>IF(AND(Screener!$D$8&lt;&gt;"",Database!$E52=Screener!$D$8),1,0)</f>
        <v/>
      </c>
      <c r="C52">
        <f>IF(AND(Screener!$D$7&lt;&gt;"",Database!$D52=Screener!$D$7),1,0)</f>
        <v/>
      </c>
      <c r="D52">
        <f>IF(OR(N(Database!$I52)&lt;=0,N(Screener!$D$9)&lt;=0),0,MAX(0,1-ABS(LOG10(N(Database!$I52)/Screener!$D$9))/W_SIZEHW))</f>
        <v/>
      </c>
      <c r="E52">
        <f>IF(OR(Database!$BF52="",Screener!$D$10=""),0,IF(Database!$BF52=Screener!$D$10,1,0))</f>
        <v/>
      </c>
      <c r="F52">
        <f>IF(OR(Database!$BL52="",Screener!$D$11=""),0,IF(Database!$BL52=Screener!$D$11,1,0))</f>
        <v/>
      </c>
      <c r="G52">
        <f>IF(OR(Database!$H52="",N(Screener!$D$12)&lt;=0),0,MAX(0,1-(N(Screener!$D$12)-Database!$H52)/W_RECD))</f>
        <v/>
      </c>
      <c r="H52">
        <f>IF($U$1="",0,N(ISNUMBER(SEARCH($U$1,Database!$AC52&amp;""))))+IF($V$1="",0,N(ISNUMBER(SEARCH($V$1,Database!$AC52&amp;""))))+IF($W$1="",0,N(ISNUMBER(SEARCH($W$1,Database!$AC52&amp;""))))+IF($X$1="",0,N(ISNUMBER(SEARCH($X$1,Database!$AC52&amp;""))))+IF($Y$1="",0,N(ISNUMBER(SEARCH($Y$1,Database!$AC52&amp;""))))+IF(Screener!$B$17="",0,N(ISNUMBER(SEARCH(LOWER(Screener!$B$17),Database!$AC52&amp;""))))</f>
        <v/>
      </c>
      <c r="I52">
        <f>IF(OR(N(Database!$BG52)&lt;=0,N(Screener!$D$13)&lt;=0),0,MAX(0,1-ABS(LOG10(N(Database!$BG52)/Screener!$D$13))/W_PEHW))</f>
        <v/>
      </c>
      <c r="J52">
        <f>IF(OR(N(Database!$S52)&lt;=0,N(Screener!$D$14)&lt;=0),0,MAX(0,1-ABS(LOG10(Database!$S52/Screener!$D$14))/0.6))</f>
        <v/>
      </c>
      <c r="K52">
        <f>IF(Database!$B52=Screener!$B$5,-999999,IF(ISNUMBER(SEARCH(","&amp;Database!$A52&amp;",",","&amp;SUBSTITUTE(Screener!$D$17," ","")&amp;",")),2000000,IF(IF(OR(Screener!$B$18="All",AND(Screener!$B$18="With A-share",(Database!$BL52="Y")),AND(Screener!$B$18="Without A-share",NOT((Database!$BL52="Y")))),1,0)=0,-999999,IF(Screener!$B$16="cornerstone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Database!BF40</f>
        <v/>
      </c>
      <c r="AF52">
        <f>Database!BL40</f>
        <v/>
      </c>
      <c r="AG52">
        <f>Database!H40</f>
        <v/>
      </c>
      <c r="AH52">
        <f>Database!BG40</f>
        <v/>
      </c>
    </row>
    <row r="53">
      <c r="A53">
        <f>Database!B53</f>
        <v/>
      </c>
      <c r="B53">
        <f>IF(AND(Screener!$D$8&lt;&gt;"",Database!$E53=Screener!$D$8),1,0)</f>
        <v/>
      </c>
      <c r="C53">
        <f>IF(AND(Screener!$D$7&lt;&gt;"",Database!$D53=Screener!$D$7),1,0)</f>
        <v/>
      </c>
      <c r="D53">
        <f>IF(OR(N(Database!$I53)&lt;=0,N(Screener!$D$9)&lt;=0),0,MAX(0,1-ABS(LOG10(N(Database!$I53)/Screener!$D$9))/W_SIZEHW))</f>
        <v/>
      </c>
      <c r="E53">
        <f>IF(OR(Database!$BF53="",Screener!$D$10=""),0,IF(Database!$BF53=Screener!$D$10,1,0))</f>
        <v/>
      </c>
      <c r="F53">
        <f>IF(OR(Database!$BL53="",Screener!$D$11=""),0,IF(Database!$BL53=Screener!$D$11,1,0))</f>
        <v/>
      </c>
      <c r="G53">
        <f>IF(OR(Database!$H53="",N(Screener!$D$12)&lt;=0),0,MAX(0,1-(N(Screener!$D$12)-Database!$H53)/W_RECD))</f>
        <v/>
      </c>
      <c r="H53">
        <f>IF($U$1="",0,N(ISNUMBER(SEARCH($U$1,Database!$AC53&amp;""))))+IF($V$1="",0,N(ISNUMBER(SEARCH($V$1,Database!$AC53&amp;""))))+IF($W$1="",0,N(ISNUMBER(SEARCH($W$1,Database!$AC53&amp;""))))+IF($X$1="",0,N(ISNUMBER(SEARCH($X$1,Database!$AC53&amp;""))))+IF($Y$1="",0,N(ISNUMBER(SEARCH($Y$1,Database!$AC53&amp;""))))+IF(Screener!$B$17="",0,N(ISNUMBER(SEARCH(LOWER(Screener!$B$17),Database!$AC53&amp;""))))</f>
        <v/>
      </c>
      <c r="I53">
        <f>IF(OR(N(Database!$BG53)&lt;=0,N(Screener!$D$13)&lt;=0),0,MAX(0,1-ABS(LOG10(N(Database!$BG53)/Screener!$D$13))/W_PEHW))</f>
        <v/>
      </c>
      <c r="J53">
        <f>IF(OR(N(Database!$S53)&lt;=0,N(Screener!$D$14)&lt;=0),0,MAX(0,1-ABS(LOG10(Database!$S53/Screener!$D$14))/0.6))</f>
        <v/>
      </c>
      <c r="K53">
        <f>IF(Database!$B53=Screener!$B$5,-999999,IF(ISNUMBER(SEARCH(","&amp;Database!$A53&amp;",",","&amp;SUBSTITUTE(Screener!$D$17," ","")&amp;",")),2000000,IF(IF(OR(Screener!$B$18="All",AND(Screener!$B$18="With A-share",(Database!$BL53="Y")),AND(Screener!$B$18="Without A-share",NOT((Database!$BL53="Y")))),1,0)=0,-999999,IF(Screener!$B$16="cornerstone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Database!BF41</f>
        <v/>
      </c>
      <c r="AF53">
        <f>Database!BL41</f>
        <v/>
      </c>
      <c r="AG53">
        <f>Database!H41</f>
        <v/>
      </c>
      <c r="AH53">
        <f>Database!BG41</f>
        <v/>
      </c>
    </row>
    <row r="54">
      <c r="A54">
        <f>Database!B54</f>
        <v/>
      </c>
      <c r="B54">
        <f>IF(AND(Screener!$D$8&lt;&gt;"",Database!$E54=Screener!$D$8),1,0)</f>
        <v/>
      </c>
      <c r="C54">
        <f>IF(AND(Screener!$D$7&lt;&gt;"",Database!$D54=Screener!$D$7),1,0)</f>
        <v/>
      </c>
      <c r="D54">
        <f>IF(OR(N(Database!$I54)&lt;=0,N(Screener!$D$9)&lt;=0),0,MAX(0,1-ABS(LOG10(N(Database!$I54)/Screener!$D$9))/W_SIZEHW))</f>
        <v/>
      </c>
      <c r="E54">
        <f>IF(OR(Database!$BF54="",Screener!$D$10=""),0,IF(Database!$BF54=Screener!$D$10,1,0))</f>
        <v/>
      </c>
      <c r="F54">
        <f>IF(OR(Database!$BL54="",Screener!$D$11=""),0,IF(Database!$BL54=Screener!$D$11,1,0))</f>
        <v/>
      </c>
      <c r="G54">
        <f>IF(OR(Database!$H54="",N(Screener!$D$12)&lt;=0),0,MAX(0,1-(N(Screener!$D$12)-Database!$H54)/W_RECD))</f>
        <v/>
      </c>
      <c r="H54">
        <f>IF($U$1="",0,N(ISNUMBER(SEARCH($U$1,Database!$AC54&amp;""))))+IF($V$1="",0,N(ISNUMBER(SEARCH($V$1,Database!$AC54&amp;""))))+IF($W$1="",0,N(ISNUMBER(SEARCH($W$1,Database!$AC54&amp;""))))+IF($X$1="",0,N(ISNUMBER(SEARCH($X$1,Database!$AC54&amp;""))))+IF($Y$1="",0,N(ISNUMBER(SEARCH($Y$1,Database!$AC54&amp;""))))+IF(Screener!$B$17="",0,N(ISNUMBER(SEARCH(LOWER(Screener!$B$17),Database!$AC54&amp;""))))</f>
        <v/>
      </c>
      <c r="I54">
        <f>IF(OR(N(Database!$BG54)&lt;=0,N(Screener!$D$13)&lt;=0),0,MAX(0,1-ABS(LOG10(N(Database!$BG54)/Screener!$D$13))/W_PEHW))</f>
        <v/>
      </c>
      <c r="J54">
        <f>IF(OR(N(Database!$S54)&lt;=0,N(Screener!$D$14)&lt;=0),0,MAX(0,1-ABS(LOG10(Database!$S54/Screener!$D$14))/0.6))</f>
        <v/>
      </c>
      <c r="K54">
        <f>IF(Database!$B54=Screener!$B$5,-999999,IF(ISNUMBER(SEARCH(","&amp;Database!$A54&amp;",",","&amp;SUBSTITUTE(Screener!$D$17," ","")&amp;",")),2000000,IF(IF(OR(Screener!$B$18="All",AND(Screener!$B$18="With A-share",(Database!$BL54="Y")),AND(Screener!$B$18="Without A-share",NOT((Database!$BL54="Y")))),1,0)=0,-999999,IF(Screener!$B$16="cornerstone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Database!BF42</f>
        <v/>
      </c>
      <c r="AF54">
        <f>Database!BL42</f>
        <v/>
      </c>
      <c r="AG54">
        <f>Database!H42</f>
        <v/>
      </c>
      <c r="AH54">
        <f>Database!BG42</f>
        <v/>
      </c>
    </row>
    <row r="55">
      <c r="A55">
        <f>Database!B55</f>
        <v/>
      </c>
      <c r="B55">
        <f>IF(AND(Screener!$D$8&lt;&gt;"",Database!$E55=Screener!$D$8),1,0)</f>
        <v/>
      </c>
      <c r="C55">
        <f>IF(AND(Screener!$D$7&lt;&gt;"",Database!$D55=Screener!$D$7),1,0)</f>
        <v/>
      </c>
      <c r="D55">
        <f>IF(OR(N(Database!$I55)&lt;=0,N(Screener!$D$9)&lt;=0),0,MAX(0,1-ABS(LOG10(N(Database!$I55)/Screener!$D$9))/W_SIZEHW))</f>
        <v/>
      </c>
      <c r="E55">
        <f>IF(OR(Database!$BF55="",Screener!$D$10=""),0,IF(Database!$BF55=Screener!$D$10,1,0))</f>
        <v/>
      </c>
      <c r="F55">
        <f>IF(OR(Database!$BL55="",Screener!$D$11=""),0,IF(Database!$BL55=Screener!$D$11,1,0))</f>
        <v/>
      </c>
      <c r="G55">
        <f>IF(OR(Database!$H55="",N(Screener!$D$12)&lt;=0),0,MAX(0,1-(N(Screener!$D$12)-Database!$H55)/W_RECD))</f>
        <v/>
      </c>
      <c r="H55">
        <f>IF($U$1="",0,N(ISNUMBER(SEARCH($U$1,Database!$AC55&amp;""))))+IF($V$1="",0,N(ISNUMBER(SEARCH($V$1,Database!$AC55&amp;""))))+IF($W$1="",0,N(ISNUMBER(SEARCH($W$1,Database!$AC55&amp;""))))+IF($X$1="",0,N(ISNUMBER(SEARCH($X$1,Database!$AC55&amp;""))))+IF($Y$1="",0,N(ISNUMBER(SEARCH($Y$1,Database!$AC55&amp;""))))+IF(Screener!$B$17="",0,N(ISNUMBER(SEARCH(LOWER(Screener!$B$17),Database!$AC55&amp;""))))</f>
        <v/>
      </c>
      <c r="I55">
        <f>IF(OR(N(Database!$BG55)&lt;=0,N(Screener!$D$13)&lt;=0),0,MAX(0,1-ABS(LOG10(N(Database!$BG55)/Screener!$D$13))/W_PEHW))</f>
        <v/>
      </c>
      <c r="J55">
        <f>IF(OR(N(Database!$S55)&lt;=0,N(Screener!$D$14)&lt;=0),0,MAX(0,1-ABS(LOG10(Database!$S55/Screener!$D$14))/0.6))</f>
        <v/>
      </c>
      <c r="K55">
        <f>IF(Database!$B55=Screener!$B$5,-999999,IF(ISNUMBER(SEARCH(","&amp;Database!$A55&amp;",",","&amp;SUBSTITUTE(Screener!$D$17," ","")&amp;",")),2000000,IF(IF(OR(Screener!$B$18="All",AND(Screener!$B$18="With A-share",(Database!$BL55="Y")),AND(Screener!$B$18="Without A-share",NOT((Database!$BL55="Y")))),1,0)=0,-999999,IF(Screener!$B$16="cornerstone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Database!BF43</f>
        <v/>
      </c>
      <c r="AF55">
        <f>Database!BL43</f>
        <v/>
      </c>
      <c r="AG55">
        <f>Database!H43</f>
        <v/>
      </c>
      <c r="AH55">
        <f>Database!BG43</f>
        <v/>
      </c>
    </row>
    <row r="56">
      <c r="A56">
        <f>Database!B56</f>
        <v/>
      </c>
      <c r="B56">
        <f>IF(AND(Screener!$D$8&lt;&gt;"",Database!$E56=Screener!$D$8),1,0)</f>
        <v/>
      </c>
      <c r="C56">
        <f>IF(AND(Screener!$D$7&lt;&gt;"",Database!$D56=Screener!$D$7),1,0)</f>
        <v/>
      </c>
      <c r="D56">
        <f>IF(OR(N(Database!$I56)&lt;=0,N(Screener!$D$9)&lt;=0),0,MAX(0,1-ABS(LOG10(N(Database!$I56)/Screener!$D$9))/W_SIZEHW))</f>
        <v/>
      </c>
      <c r="E56">
        <f>IF(OR(Database!$BF56="",Screener!$D$10=""),0,IF(Database!$BF56=Screener!$D$10,1,0))</f>
        <v/>
      </c>
      <c r="F56">
        <f>IF(OR(Database!$BL56="",Screener!$D$11=""),0,IF(Database!$BL56=Screener!$D$11,1,0))</f>
        <v/>
      </c>
      <c r="G56">
        <f>IF(OR(Database!$H56="",N(Screener!$D$12)&lt;=0),0,MAX(0,1-(N(Screener!$D$12)-Database!$H56)/W_RECD))</f>
        <v/>
      </c>
      <c r="H56">
        <f>IF($U$1="",0,N(ISNUMBER(SEARCH($U$1,Database!$AC56&amp;""))))+IF($V$1="",0,N(ISNUMBER(SEARCH($V$1,Database!$AC56&amp;""))))+IF($W$1="",0,N(ISNUMBER(SEARCH($W$1,Database!$AC56&amp;""))))+IF($X$1="",0,N(ISNUMBER(SEARCH($X$1,Database!$AC56&amp;""))))+IF($Y$1="",0,N(ISNUMBER(SEARCH($Y$1,Database!$AC56&amp;""))))+IF(Screener!$B$17="",0,N(ISNUMBER(SEARCH(LOWER(Screener!$B$17),Database!$AC56&amp;""))))</f>
        <v/>
      </c>
      <c r="I56">
        <f>IF(OR(N(Database!$BG56)&lt;=0,N(Screener!$D$13)&lt;=0),0,MAX(0,1-ABS(LOG10(N(Database!$BG56)/Screener!$D$13))/W_PEHW))</f>
        <v/>
      </c>
      <c r="J56">
        <f>IF(OR(N(Database!$S56)&lt;=0,N(Screener!$D$14)&lt;=0),0,MAX(0,1-ABS(LOG10(Database!$S56/Screener!$D$14))/0.6))</f>
        <v/>
      </c>
      <c r="K56">
        <f>IF(Database!$B56=Screener!$B$5,-999999,IF(ISNUMBER(SEARCH(","&amp;Database!$A56&amp;",",","&amp;SUBSTITUTE(Screener!$D$17," ","")&amp;",")),2000000,IF(IF(OR(Screener!$B$18="All",AND(Screener!$B$18="With A-share",(Database!$BL56="Y")),AND(Screener!$B$18="Without A-share",NOT((Database!$BL56="Y")))),1,0)=0,-999999,IF(Screener!$B$16="cornerstone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Database!BF44</f>
        <v/>
      </c>
      <c r="AF56">
        <f>Database!BL44</f>
        <v/>
      </c>
      <c r="AG56">
        <f>Database!H44</f>
        <v/>
      </c>
      <c r="AH56">
        <f>Database!BG44</f>
        <v/>
      </c>
    </row>
    <row r="57">
      <c r="A57">
        <f>Database!B57</f>
        <v/>
      </c>
      <c r="B57">
        <f>IF(AND(Screener!$D$8&lt;&gt;"",Database!$E57=Screener!$D$8),1,0)</f>
        <v/>
      </c>
      <c r="C57">
        <f>IF(AND(Screener!$D$7&lt;&gt;"",Database!$D57=Screener!$D$7),1,0)</f>
        <v/>
      </c>
      <c r="D57">
        <f>IF(OR(N(Database!$I57)&lt;=0,N(Screener!$D$9)&lt;=0),0,MAX(0,1-ABS(LOG10(N(Database!$I57)/Screener!$D$9))/W_SIZEHW))</f>
        <v/>
      </c>
      <c r="E57">
        <f>IF(OR(Database!$BF57="",Screener!$D$10=""),0,IF(Database!$BF57=Screener!$D$10,1,0))</f>
        <v/>
      </c>
      <c r="F57">
        <f>IF(OR(Database!$BL57="",Screener!$D$11=""),0,IF(Database!$BL57=Screener!$D$11,1,0))</f>
        <v/>
      </c>
      <c r="G57">
        <f>IF(OR(Database!$H57="",N(Screener!$D$12)&lt;=0),0,MAX(0,1-(N(Screener!$D$12)-Database!$H57)/W_RECD))</f>
        <v/>
      </c>
      <c r="H57">
        <f>IF($U$1="",0,N(ISNUMBER(SEARCH($U$1,Database!$AC57&amp;""))))+IF($V$1="",0,N(ISNUMBER(SEARCH($V$1,Database!$AC57&amp;""))))+IF($W$1="",0,N(ISNUMBER(SEARCH($W$1,Database!$AC57&amp;""))))+IF($X$1="",0,N(ISNUMBER(SEARCH($X$1,Database!$AC57&amp;""))))+IF($Y$1="",0,N(ISNUMBER(SEARCH($Y$1,Database!$AC57&amp;""))))+IF(Screener!$B$17="",0,N(ISNUMBER(SEARCH(LOWER(Screener!$B$17),Database!$AC57&amp;""))))</f>
        <v/>
      </c>
      <c r="I57">
        <f>IF(OR(N(Database!$BG57)&lt;=0,N(Screener!$D$13)&lt;=0),0,MAX(0,1-ABS(LOG10(N(Database!$BG57)/Screener!$D$13))/W_PEHW))</f>
        <v/>
      </c>
      <c r="J57">
        <f>IF(OR(N(Database!$S57)&lt;=0,N(Screener!$D$14)&lt;=0),0,MAX(0,1-ABS(LOG10(Database!$S57/Screener!$D$14))/0.6))</f>
        <v/>
      </c>
      <c r="K57">
        <f>IF(Database!$B57=Screener!$B$5,-999999,IF(ISNUMBER(SEARCH(","&amp;Database!$A57&amp;",",","&amp;SUBSTITUTE(Screener!$D$17," ","")&amp;",")),2000000,IF(IF(OR(Screener!$B$18="All",AND(Screener!$B$18="With A-share",(Database!$BL57="Y")),AND(Screener!$B$18="Without A-share",NOT((Database!$BL57="Y")))),1,0)=0,-999999,IF(Screener!$B$16="cornerstone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Database!BF45</f>
        <v/>
      </c>
      <c r="AF57">
        <f>Database!BL45</f>
        <v/>
      </c>
      <c r="AG57">
        <f>Database!H45</f>
        <v/>
      </c>
      <c r="AH57">
        <f>Database!BG45</f>
        <v/>
      </c>
    </row>
    <row r="58">
      <c r="A58">
        <f>Database!B58</f>
        <v/>
      </c>
      <c r="B58">
        <f>IF(AND(Screener!$D$8&lt;&gt;"",Database!$E58=Screener!$D$8),1,0)</f>
        <v/>
      </c>
      <c r="C58">
        <f>IF(AND(Screener!$D$7&lt;&gt;"",Database!$D58=Screener!$D$7),1,0)</f>
        <v/>
      </c>
      <c r="D58">
        <f>IF(OR(N(Database!$I58)&lt;=0,N(Screener!$D$9)&lt;=0),0,MAX(0,1-ABS(LOG10(N(Database!$I58)/Screener!$D$9))/W_SIZEHW))</f>
        <v/>
      </c>
      <c r="E58">
        <f>IF(OR(Database!$BF58="",Screener!$D$10=""),0,IF(Database!$BF58=Screener!$D$10,1,0))</f>
        <v/>
      </c>
      <c r="F58">
        <f>IF(OR(Database!$BL58="",Screener!$D$11=""),0,IF(Database!$BL58=Screener!$D$11,1,0))</f>
        <v/>
      </c>
      <c r="G58">
        <f>IF(OR(Database!$H58="",N(Screener!$D$12)&lt;=0),0,MAX(0,1-(N(Screener!$D$12)-Database!$H58)/W_RECD))</f>
        <v/>
      </c>
      <c r="H58">
        <f>IF($U$1="",0,N(ISNUMBER(SEARCH($U$1,Database!$AC58&amp;""))))+IF($V$1="",0,N(ISNUMBER(SEARCH($V$1,Database!$AC58&amp;""))))+IF($W$1="",0,N(ISNUMBER(SEARCH($W$1,Database!$AC58&amp;""))))+IF($X$1="",0,N(ISNUMBER(SEARCH($X$1,Database!$AC58&amp;""))))+IF($Y$1="",0,N(ISNUMBER(SEARCH($Y$1,Database!$AC58&amp;""))))+IF(Screener!$B$17="",0,N(ISNUMBER(SEARCH(LOWER(Screener!$B$17),Database!$AC58&amp;""))))</f>
        <v/>
      </c>
      <c r="I58">
        <f>IF(OR(N(Database!$BG58)&lt;=0,N(Screener!$D$13)&lt;=0),0,MAX(0,1-ABS(LOG10(N(Database!$BG58)/Screener!$D$13))/W_PEHW))</f>
        <v/>
      </c>
      <c r="J58">
        <f>IF(OR(N(Database!$S58)&lt;=0,N(Screener!$D$14)&lt;=0),0,MAX(0,1-ABS(LOG10(Database!$S58/Screener!$D$14))/0.6))</f>
        <v/>
      </c>
      <c r="K58">
        <f>IF(Database!$B58=Screener!$B$5,-999999,IF(ISNUMBER(SEARCH(","&amp;Database!$A58&amp;",",","&amp;SUBSTITUTE(Screener!$D$17," ","")&amp;",")),2000000,IF(IF(OR(Screener!$B$18="All",AND(Screener!$B$18="With A-share",(Database!$BL58="Y")),AND(Screener!$B$18="Without A-share",NOT((Database!$BL58="Y")))),1,0)=0,-999999,IF(Screener!$B$16="cornerstone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Database!BF46</f>
        <v/>
      </c>
      <c r="AF58">
        <f>Database!BL46</f>
        <v/>
      </c>
      <c r="AG58">
        <f>Database!H46</f>
        <v/>
      </c>
      <c r="AH58">
        <f>Database!BG46</f>
        <v/>
      </c>
    </row>
    <row r="59">
      <c r="A59">
        <f>Database!B59</f>
        <v/>
      </c>
      <c r="B59">
        <f>IF(AND(Screener!$D$8&lt;&gt;"",Database!$E59=Screener!$D$8),1,0)</f>
        <v/>
      </c>
      <c r="C59">
        <f>IF(AND(Screener!$D$7&lt;&gt;"",Database!$D59=Screener!$D$7),1,0)</f>
        <v/>
      </c>
      <c r="D59">
        <f>IF(OR(N(Database!$I59)&lt;=0,N(Screener!$D$9)&lt;=0),0,MAX(0,1-ABS(LOG10(N(Database!$I59)/Screener!$D$9))/W_SIZEHW))</f>
        <v/>
      </c>
      <c r="E59">
        <f>IF(OR(Database!$BF59="",Screener!$D$10=""),0,IF(Database!$BF59=Screener!$D$10,1,0))</f>
        <v/>
      </c>
      <c r="F59">
        <f>IF(OR(Database!$BL59="",Screener!$D$11=""),0,IF(Database!$BL59=Screener!$D$11,1,0))</f>
        <v/>
      </c>
      <c r="G59">
        <f>IF(OR(Database!$H59="",N(Screener!$D$12)&lt;=0),0,MAX(0,1-(N(Screener!$D$12)-Database!$H59)/W_RECD))</f>
        <v/>
      </c>
      <c r="H59">
        <f>IF($U$1="",0,N(ISNUMBER(SEARCH($U$1,Database!$AC59&amp;""))))+IF($V$1="",0,N(ISNUMBER(SEARCH($V$1,Database!$AC59&amp;""))))+IF($W$1="",0,N(ISNUMBER(SEARCH($W$1,Database!$AC59&amp;""))))+IF($X$1="",0,N(ISNUMBER(SEARCH($X$1,Database!$AC59&amp;""))))+IF($Y$1="",0,N(ISNUMBER(SEARCH($Y$1,Database!$AC59&amp;""))))+IF(Screener!$B$17="",0,N(ISNUMBER(SEARCH(LOWER(Screener!$B$17),Database!$AC59&amp;""))))</f>
        <v/>
      </c>
      <c r="I59">
        <f>IF(OR(N(Database!$BG59)&lt;=0,N(Screener!$D$13)&lt;=0),0,MAX(0,1-ABS(LOG10(N(Database!$BG59)/Screener!$D$13))/W_PEHW))</f>
        <v/>
      </c>
      <c r="J59">
        <f>IF(OR(N(Database!$S59)&lt;=0,N(Screener!$D$14)&lt;=0),0,MAX(0,1-ABS(LOG10(Database!$S59/Screener!$D$14))/0.6))</f>
        <v/>
      </c>
      <c r="K59">
        <f>IF(Database!$B59=Screener!$B$5,-999999,IF(ISNUMBER(SEARCH(","&amp;Database!$A59&amp;",",","&amp;SUBSTITUTE(Screener!$D$17," ","")&amp;",")),2000000,IF(IF(OR(Screener!$B$18="All",AND(Screener!$B$18="With A-share",(Database!$BL59="Y")),AND(Screener!$B$18="Without A-share",NOT((Database!$BL59="Y")))),1,0)=0,-999999,IF(Screener!$B$16="cornerstone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Database!BF47</f>
        <v/>
      </c>
      <c r="AF59">
        <f>Database!BL47</f>
        <v/>
      </c>
      <c r="AG59">
        <f>Database!H47</f>
        <v/>
      </c>
      <c r="AH59">
        <f>Database!BG47</f>
        <v/>
      </c>
    </row>
    <row r="60">
      <c r="A60">
        <f>Database!B60</f>
        <v/>
      </c>
      <c r="B60">
        <f>IF(AND(Screener!$D$8&lt;&gt;"",Database!$E60=Screener!$D$8),1,0)</f>
        <v/>
      </c>
      <c r="C60">
        <f>IF(AND(Screener!$D$7&lt;&gt;"",Database!$D60=Screener!$D$7),1,0)</f>
        <v/>
      </c>
      <c r="D60">
        <f>IF(OR(N(Database!$I60)&lt;=0,N(Screener!$D$9)&lt;=0),0,MAX(0,1-ABS(LOG10(N(Database!$I60)/Screener!$D$9))/W_SIZEHW))</f>
        <v/>
      </c>
      <c r="E60">
        <f>IF(OR(Database!$BF60="",Screener!$D$10=""),0,IF(Database!$BF60=Screener!$D$10,1,0))</f>
        <v/>
      </c>
      <c r="F60">
        <f>IF(OR(Database!$BL60="",Screener!$D$11=""),0,IF(Database!$BL60=Screener!$D$11,1,0))</f>
        <v/>
      </c>
      <c r="G60">
        <f>IF(OR(Database!$H60="",N(Screener!$D$12)&lt;=0),0,MAX(0,1-(N(Screener!$D$12)-Database!$H60)/W_RECD))</f>
        <v/>
      </c>
      <c r="H60">
        <f>IF($U$1="",0,N(ISNUMBER(SEARCH($U$1,Database!$AC60&amp;""))))+IF($V$1="",0,N(ISNUMBER(SEARCH($V$1,Database!$AC60&amp;""))))+IF($W$1="",0,N(ISNUMBER(SEARCH($W$1,Database!$AC60&amp;""))))+IF($X$1="",0,N(ISNUMBER(SEARCH($X$1,Database!$AC60&amp;""))))+IF($Y$1="",0,N(ISNUMBER(SEARCH($Y$1,Database!$AC60&amp;""))))+IF(Screener!$B$17="",0,N(ISNUMBER(SEARCH(LOWER(Screener!$B$17),Database!$AC60&amp;""))))</f>
        <v/>
      </c>
      <c r="I60">
        <f>IF(OR(N(Database!$BG60)&lt;=0,N(Screener!$D$13)&lt;=0),0,MAX(0,1-ABS(LOG10(N(Database!$BG60)/Screener!$D$13))/W_PEHW))</f>
        <v/>
      </c>
      <c r="J60">
        <f>IF(OR(N(Database!$S60)&lt;=0,N(Screener!$D$14)&lt;=0),0,MAX(0,1-ABS(LOG10(Database!$S60/Screener!$D$14))/0.6))</f>
        <v/>
      </c>
      <c r="K60">
        <f>IF(Database!$B60=Screener!$B$5,-999999,IF(ISNUMBER(SEARCH(","&amp;Database!$A60&amp;",",","&amp;SUBSTITUTE(Screener!$D$17," ","")&amp;",")),2000000,IF(IF(OR(Screener!$B$18="All",AND(Screener!$B$18="With A-share",(Database!$BL60="Y")),AND(Screener!$B$18="Without A-share",NOT((Database!$BL60="Y")))),1,0)=0,-999999,IF(Screener!$B$16="cornerstone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Database!BF48</f>
        <v/>
      </c>
      <c r="AF60">
        <f>Database!BL48</f>
        <v/>
      </c>
      <c r="AG60">
        <f>Database!H48</f>
        <v/>
      </c>
      <c r="AH60">
        <f>Database!BG48</f>
        <v/>
      </c>
    </row>
    <row r="61">
      <c r="A61">
        <f>Database!B61</f>
        <v/>
      </c>
      <c r="B61">
        <f>IF(AND(Screener!$D$8&lt;&gt;"",Database!$E61=Screener!$D$8),1,0)</f>
        <v/>
      </c>
      <c r="C61">
        <f>IF(AND(Screener!$D$7&lt;&gt;"",Database!$D61=Screener!$D$7),1,0)</f>
        <v/>
      </c>
      <c r="D61">
        <f>IF(OR(N(Database!$I61)&lt;=0,N(Screener!$D$9)&lt;=0),0,MAX(0,1-ABS(LOG10(N(Database!$I61)/Screener!$D$9))/W_SIZEHW))</f>
        <v/>
      </c>
      <c r="E61">
        <f>IF(OR(Database!$BF61="",Screener!$D$10=""),0,IF(Database!$BF61=Screener!$D$10,1,0))</f>
        <v/>
      </c>
      <c r="F61">
        <f>IF(OR(Database!$BL61="",Screener!$D$11=""),0,IF(Database!$BL61=Screener!$D$11,1,0))</f>
        <v/>
      </c>
      <c r="G61">
        <f>IF(OR(Database!$H61="",N(Screener!$D$12)&lt;=0),0,MAX(0,1-(N(Screener!$D$12)-Database!$H61)/W_RECD))</f>
        <v/>
      </c>
      <c r="H61">
        <f>IF($U$1="",0,N(ISNUMBER(SEARCH($U$1,Database!$AC61&amp;""))))+IF($V$1="",0,N(ISNUMBER(SEARCH($V$1,Database!$AC61&amp;""))))+IF($W$1="",0,N(ISNUMBER(SEARCH($W$1,Database!$AC61&amp;""))))+IF($X$1="",0,N(ISNUMBER(SEARCH($X$1,Database!$AC61&amp;""))))+IF($Y$1="",0,N(ISNUMBER(SEARCH($Y$1,Database!$AC61&amp;""))))+IF(Screener!$B$17="",0,N(ISNUMBER(SEARCH(LOWER(Screener!$B$17),Database!$AC61&amp;""))))</f>
        <v/>
      </c>
      <c r="I61">
        <f>IF(OR(N(Database!$BG61)&lt;=0,N(Screener!$D$13)&lt;=0),0,MAX(0,1-ABS(LOG10(N(Database!$BG61)/Screener!$D$13))/W_PEHW))</f>
        <v/>
      </c>
      <c r="J61">
        <f>IF(OR(N(Database!$S61)&lt;=0,N(Screener!$D$14)&lt;=0),0,MAX(0,1-ABS(LOG10(Database!$S61/Screener!$D$14))/0.6))</f>
        <v/>
      </c>
      <c r="K61">
        <f>IF(Database!$B61=Screener!$B$5,-999999,IF(ISNUMBER(SEARCH(","&amp;Database!$A61&amp;",",","&amp;SUBSTITUTE(Screener!$D$17," ","")&amp;",")),2000000,IF(IF(OR(Screener!$B$18="All",AND(Screener!$B$18="With A-share",(Database!$BL61="Y")),AND(Screener!$B$18="Without A-share",NOT((Database!$BL61="Y")))),1,0)=0,-999999,IF(Screener!$B$16="cornerstone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Database!BF49</f>
        <v/>
      </c>
      <c r="AF61">
        <f>Database!BL49</f>
        <v/>
      </c>
      <c r="AG61">
        <f>Database!H49</f>
        <v/>
      </c>
      <c r="AH61">
        <f>Database!BG49</f>
        <v/>
      </c>
    </row>
    <row r="62">
      <c r="A62">
        <f>Database!B62</f>
        <v/>
      </c>
      <c r="B62">
        <f>IF(AND(Screener!$D$8&lt;&gt;"",Database!$E62=Screener!$D$8),1,0)</f>
        <v/>
      </c>
      <c r="C62">
        <f>IF(AND(Screener!$D$7&lt;&gt;"",Database!$D62=Screener!$D$7),1,0)</f>
        <v/>
      </c>
      <c r="D62">
        <f>IF(OR(N(Database!$I62)&lt;=0,N(Screener!$D$9)&lt;=0),0,MAX(0,1-ABS(LOG10(N(Database!$I62)/Screener!$D$9))/W_SIZEHW))</f>
        <v/>
      </c>
      <c r="E62">
        <f>IF(OR(Database!$BF62="",Screener!$D$10=""),0,IF(Database!$BF62=Screener!$D$10,1,0))</f>
        <v/>
      </c>
      <c r="F62">
        <f>IF(OR(Database!$BL62="",Screener!$D$11=""),0,IF(Database!$BL62=Screener!$D$11,1,0))</f>
        <v/>
      </c>
      <c r="G62">
        <f>IF(OR(Database!$H62="",N(Screener!$D$12)&lt;=0),0,MAX(0,1-(N(Screener!$D$12)-Database!$H62)/W_RECD))</f>
        <v/>
      </c>
      <c r="H62">
        <f>IF($U$1="",0,N(ISNUMBER(SEARCH($U$1,Database!$AC62&amp;""))))+IF($V$1="",0,N(ISNUMBER(SEARCH($V$1,Database!$AC62&amp;""))))+IF($W$1="",0,N(ISNUMBER(SEARCH($W$1,Database!$AC62&amp;""))))+IF($X$1="",0,N(ISNUMBER(SEARCH($X$1,Database!$AC62&amp;""))))+IF($Y$1="",0,N(ISNUMBER(SEARCH($Y$1,Database!$AC62&amp;""))))+IF(Screener!$B$17="",0,N(ISNUMBER(SEARCH(LOWER(Screener!$B$17),Database!$AC62&amp;""))))</f>
        <v/>
      </c>
      <c r="I62">
        <f>IF(OR(N(Database!$BG62)&lt;=0,N(Screener!$D$13)&lt;=0),0,MAX(0,1-ABS(LOG10(N(Database!$BG62)/Screener!$D$13))/W_PEHW))</f>
        <v/>
      </c>
      <c r="J62">
        <f>IF(OR(N(Database!$S62)&lt;=0,N(Screener!$D$14)&lt;=0),0,MAX(0,1-ABS(LOG10(Database!$S62/Screener!$D$14))/0.6))</f>
        <v/>
      </c>
      <c r="K62">
        <f>IF(Database!$B62=Screener!$B$5,-999999,IF(ISNUMBER(SEARCH(","&amp;Database!$A62&amp;",",","&amp;SUBSTITUTE(Screener!$D$17," ","")&amp;",")),2000000,IF(IF(OR(Screener!$B$18="All",AND(Screener!$B$18="With A-share",(Database!$BL62="Y")),AND(Screener!$B$18="Without A-share",NOT((Database!$BL62="Y")))),1,0)=0,-999999,IF(Screener!$B$16="cornerstone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Database!BF50</f>
        <v/>
      </c>
      <c r="AF62">
        <f>Database!BL50</f>
        <v/>
      </c>
      <c r="AG62">
        <f>Database!H50</f>
        <v/>
      </c>
      <c r="AH62">
        <f>Database!BG50</f>
        <v/>
      </c>
    </row>
    <row r="63">
      <c r="A63">
        <f>Database!B63</f>
        <v/>
      </c>
      <c r="B63">
        <f>IF(AND(Screener!$D$8&lt;&gt;"",Database!$E63=Screener!$D$8),1,0)</f>
        <v/>
      </c>
      <c r="C63">
        <f>IF(AND(Screener!$D$7&lt;&gt;"",Database!$D63=Screener!$D$7),1,0)</f>
        <v/>
      </c>
      <c r="D63">
        <f>IF(OR(N(Database!$I63)&lt;=0,N(Screener!$D$9)&lt;=0),0,MAX(0,1-ABS(LOG10(N(Database!$I63)/Screener!$D$9))/W_SIZEHW))</f>
        <v/>
      </c>
      <c r="E63">
        <f>IF(OR(Database!$BF63="",Screener!$D$10=""),0,IF(Database!$BF63=Screener!$D$10,1,0))</f>
        <v/>
      </c>
      <c r="F63">
        <f>IF(OR(Database!$BL63="",Screener!$D$11=""),0,IF(Database!$BL63=Screener!$D$11,1,0))</f>
        <v/>
      </c>
      <c r="G63">
        <f>IF(OR(Database!$H63="",N(Screener!$D$12)&lt;=0),0,MAX(0,1-(N(Screener!$D$12)-Database!$H63)/W_RECD))</f>
        <v/>
      </c>
      <c r="H63">
        <f>IF($U$1="",0,N(ISNUMBER(SEARCH($U$1,Database!$AC63&amp;""))))+IF($V$1="",0,N(ISNUMBER(SEARCH($V$1,Database!$AC63&amp;""))))+IF($W$1="",0,N(ISNUMBER(SEARCH($W$1,Database!$AC63&amp;""))))+IF($X$1="",0,N(ISNUMBER(SEARCH($X$1,Database!$AC63&amp;""))))+IF($Y$1="",0,N(ISNUMBER(SEARCH($Y$1,Database!$AC63&amp;""))))+IF(Screener!$B$17="",0,N(ISNUMBER(SEARCH(LOWER(Screener!$B$17),Database!$AC63&amp;""))))</f>
        <v/>
      </c>
      <c r="I63">
        <f>IF(OR(N(Database!$BG63)&lt;=0,N(Screener!$D$13)&lt;=0),0,MAX(0,1-ABS(LOG10(N(Database!$BG63)/Screener!$D$13))/W_PEHW))</f>
        <v/>
      </c>
      <c r="J63">
        <f>IF(OR(N(Database!$S63)&lt;=0,N(Screener!$D$14)&lt;=0),0,MAX(0,1-ABS(LOG10(Database!$S63/Screener!$D$14))/0.6))</f>
        <v/>
      </c>
      <c r="K63">
        <f>IF(Database!$B63=Screener!$B$5,-999999,IF(ISNUMBER(SEARCH(","&amp;Database!$A63&amp;",",","&amp;SUBSTITUTE(Screener!$D$17," ","")&amp;",")),2000000,IF(IF(OR(Screener!$B$18="All",AND(Screener!$B$18="With A-share",(Database!$BL63="Y")),AND(Screener!$B$18="Without A-share",NOT((Database!$BL63="Y")))),1,0)=0,-999999,IF(Screener!$B$16="cornerstone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Database!BF51</f>
        <v/>
      </c>
      <c r="AF63">
        <f>Database!BL51</f>
        <v/>
      </c>
      <c r="AG63">
        <f>Database!H51</f>
        <v/>
      </c>
      <c r="AH63">
        <f>Database!BG51</f>
        <v/>
      </c>
    </row>
    <row r="64">
      <c r="A64">
        <f>Database!B64</f>
        <v/>
      </c>
      <c r="B64">
        <f>IF(AND(Screener!$D$8&lt;&gt;"",Database!$E64=Screener!$D$8),1,0)</f>
        <v/>
      </c>
      <c r="C64">
        <f>IF(AND(Screener!$D$7&lt;&gt;"",Database!$D64=Screener!$D$7),1,0)</f>
        <v/>
      </c>
      <c r="D64">
        <f>IF(OR(N(Database!$I64)&lt;=0,N(Screener!$D$9)&lt;=0),0,MAX(0,1-ABS(LOG10(N(Database!$I64)/Screener!$D$9))/W_SIZEHW))</f>
        <v/>
      </c>
      <c r="E64">
        <f>IF(OR(Database!$BF64="",Screener!$D$10=""),0,IF(Database!$BF64=Screener!$D$10,1,0))</f>
        <v/>
      </c>
      <c r="F64">
        <f>IF(OR(Database!$BL64="",Screener!$D$11=""),0,IF(Database!$BL64=Screener!$D$11,1,0))</f>
        <v/>
      </c>
      <c r="G64">
        <f>IF(OR(Database!$H64="",N(Screener!$D$12)&lt;=0),0,MAX(0,1-(N(Screener!$D$12)-Database!$H64)/W_RECD))</f>
        <v/>
      </c>
      <c r="H64">
        <f>IF($U$1="",0,N(ISNUMBER(SEARCH($U$1,Database!$AC64&amp;""))))+IF($V$1="",0,N(ISNUMBER(SEARCH($V$1,Database!$AC64&amp;""))))+IF($W$1="",0,N(ISNUMBER(SEARCH($W$1,Database!$AC64&amp;""))))+IF($X$1="",0,N(ISNUMBER(SEARCH($X$1,Database!$AC64&amp;""))))+IF($Y$1="",0,N(ISNUMBER(SEARCH($Y$1,Database!$AC64&amp;""))))+IF(Screener!$B$17="",0,N(ISNUMBER(SEARCH(LOWER(Screener!$B$17),Database!$AC64&amp;""))))</f>
        <v/>
      </c>
      <c r="I64">
        <f>IF(OR(N(Database!$BG64)&lt;=0,N(Screener!$D$13)&lt;=0),0,MAX(0,1-ABS(LOG10(N(Database!$BG64)/Screener!$D$13))/W_PEHW))</f>
        <v/>
      </c>
      <c r="J64">
        <f>IF(OR(N(Database!$S64)&lt;=0,N(Screener!$D$14)&lt;=0),0,MAX(0,1-ABS(LOG10(Database!$S64/Screener!$D$14))/0.6))</f>
        <v/>
      </c>
      <c r="K64">
        <f>IF(Database!$B64=Screener!$B$5,-999999,IF(ISNUMBER(SEARCH(","&amp;Database!$A64&amp;",",","&amp;SUBSTITUTE(Screener!$D$17," ","")&amp;",")),2000000,IF(IF(OR(Screener!$B$18="All",AND(Screener!$B$18="With A-share",(Database!$BL64="Y")),AND(Screener!$B$18="Without A-share",NOT((Database!$BL64="Y")))),1,0)=0,-999999,IF(Screener!$B$16="cornerstone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Database!BF52</f>
        <v/>
      </c>
      <c r="AF64">
        <f>Database!BL52</f>
        <v/>
      </c>
      <c r="AG64">
        <f>Database!H52</f>
        <v/>
      </c>
      <c r="AH64">
        <f>Database!BG52</f>
        <v/>
      </c>
    </row>
    <row r="65">
      <c r="A65">
        <f>Database!B65</f>
        <v/>
      </c>
      <c r="B65">
        <f>IF(AND(Screener!$D$8&lt;&gt;"",Database!$E65=Screener!$D$8),1,0)</f>
        <v/>
      </c>
      <c r="C65">
        <f>IF(AND(Screener!$D$7&lt;&gt;"",Database!$D65=Screener!$D$7),1,0)</f>
        <v/>
      </c>
      <c r="D65">
        <f>IF(OR(N(Database!$I65)&lt;=0,N(Screener!$D$9)&lt;=0),0,MAX(0,1-ABS(LOG10(N(Database!$I65)/Screener!$D$9))/W_SIZEHW))</f>
        <v/>
      </c>
      <c r="E65">
        <f>IF(OR(Database!$BF65="",Screener!$D$10=""),0,IF(Database!$BF65=Screener!$D$10,1,0))</f>
        <v/>
      </c>
      <c r="F65">
        <f>IF(OR(Database!$BL65="",Screener!$D$11=""),0,IF(Database!$BL65=Screener!$D$11,1,0))</f>
        <v/>
      </c>
      <c r="G65">
        <f>IF(OR(Database!$H65="",N(Screener!$D$12)&lt;=0),0,MAX(0,1-(N(Screener!$D$12)-Database!$H65)/W_RECD))</f>
        <v/>
      </c>
      <c r="H65">
        <f>IF($U$1="",0,N(ISNUMBER(SEARCH($U$1,Database!$AC65&amp;""))))+IF($V$1="",0,N(ISNUMBER(SEARCH($V$1,Database!$AC65&amp;""))))+IF($W$1="",0,N(ISNUMBER(SEARCH($W$1,Database!$AC65&amp;""))))+IF($X$1="",0,N(ISNUMBER(SEARCH($X$1,Database!$AC65&amp;""))))+IF($Y$1="",0,N(ISNUMBER(SEARCH($Y$1,Database!$AC65&amp;""))))+IF(Screener!$B$17="",0,N(ISNUMBER(SEARCH(LOWER(Screener!$B$17),Database!$AC65&amp;""))))</f>
        <v/>
      </c>
      <c r="I65">
        <f>IF(OR(N(Database!$BG65)&lt;=0,N(Screener!$D$13)&lt;=0),0,MAX(0,1-ABS(LOG10(N(Database!$BG65)/Screener!$D$13))/W_PEHW))</f>
        <v/>
      </c>
      <c r="J65">
        <f>IF(OR(N(Database!$S65)&lt;=0,N(Screener!$D$14)&lt;=0),0,MAX(0,1-ABS(LOG10(Database!$S65/Screener!$D$14))/0.6))</f>
        <v/>
      </c>
      <c r="K65">
        <f>IF(Database!$B65=Screener!$B$5,-999999,IF(ISNUMBER(SEARCH(","&amp;Database!$A65&amp;",",","&amp;SUBSTITUTE(Screener!$D$17," ","")&amp;",")),2000000,IF(IF(OR(Screener!$B$18="All",AND(Screener!$B$18="With A-share",(Database!$BL65="Y")),AND(Screener!$B$18="Without A-share",NOT((Database!$BL65="Y")))),1,0)=0,-999999,IF(Screener!$B$16="cornerstone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Database!BF53</f>
        <v/>
      </c>
      <c r="AF65">
        <f>Database!BL53</f>
        <v/>
      </c>
      <c r="AG65">
        <f>Database!H53</f>
        <v/>
      </c>
      <c r="AH65">
        <f>Database!BG53</f>
        <v/>
      </c>
    </row>
    <row r="66">
      <c r="A66">
        <f>Database!B66</f>
        <v/>
      </c>
      <c r="B66">
        <f>IF(AND(Screener!$D$8&lt;&gt;"",Database!$E66=Screener!$D$8),1,0)</f>
        <v/>
      </c>
      <c r="C66">
        <f>IF(AND(Screener!$D$7&lt;&gt;"",Database!$D66=Screener!$D$7),1,0)</f>
        <v/>
      </c>
      <c r="D66">
        <f>IF(OR(N(Database!$I66)&lt;=0,N(Screener!$D$9)&lt;=0),0,MAX(0,1-ABS(LOG10(N(Database!$I66)/Screener!$D$9))/W_SIZEHW))</f>
        <v/>
      </c>
      <c r="E66">
        <f>IF(OR(Database!$BF66="",Screener!$D$10=""),0,IF(Database!$BF66=Screener!$D$10,1,0))</f>
        <v/>
      </c>
      <c r="F66">
        <f>IF(OR(Database!$BL66="",Screener!$D$11=""),0,IF(Database!$BL66=Screener!$D$11,1,0))</f>
        <v/>
      </c>
      <c r="G66">
        <f>IF(OR(Database!$H66="",N(Screener!$D$12)&lt;=0),0,MAX(0,1-(N(Screener!$D$12)-Database!$H66)/W_RECD))</f>
        <v/>
      </c>
      <c r="H66">
        <f>IF($U$1="",0,N(ISNUMBER(SEARCH($U$1,Database!$AC66&amp;""))))+IF($V$1="",0,N(ISNUMBER(SEARCH($V$1,Database!$AC66&amp;""))))+IF($W$1="",0,N(ISNUMBER(SEARCH($W$1,Database!$AC66&amp;""))))+IF($X$1="",0,N(ISNUMBER(SEARCH($X$1,Database!$AC66&amp;""))))+IF($Y$1="",0,N(ISNUMBER(SEARCH($Y$1,Database!$AC66&amp;""))))+IF(Screener!$B$17="",0,N(ISNUMBER(SEARCH(LOWER(Screener!$B$17),Database!$AC66&amp;""))))</f>
        <v/>
      </c>
      <c r="I66">
        <f>IF(OR(N(Database!$BG66)&lt;=0,N(Screener!$D$13)&lt;=0),0,MAX(0,1-ABS(LOG10(N(Database!$BG66)/Screener!$D$13))/W_PEHW))</f>
        <v/>
      </c>
      <c r="J66">
        <f>IF(OR(N(Database!$S66)&lt;=0,N(Screener!$D$14)&lt;=0),0,MAX(0,1-ABS(LOG10(Database!$S66/Screener!$D$14))/0.6))</f>
        <v/>
      </c>
      <c r="K66">
        <f>IF(Database!$B66=Screener!$B$5,-999999,IF(ISNUMBER(SEARCH(","&amp;Database!$A66&amp;",",","&amp;SUBSTITUTE(Screener!$D$17," ","")&amp;",")),2000000,IF(IF(OR(Screener!$B$18="All",AND(Screener!$B$18="With A-share",(Database!$BL66="Y")),AND(Screener!$B$18="Without A-share",NOT((Database!$BL66="Y")))),1,0)=0,-999999,IF(Screener!$B$16="cornerstone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Database!BF54</f>
        <v/>
      </c>
      <c r="AF66">
        <f>Database!BL54</f>
        <v/>
      </c>
      <c r="AG66">
        <f>Database!H54</f>
        <v/>
      </c>
      <c r="AH66">
        <f>Database!BG54</f>
        <v/>
      </c>
    </row>
    <row r="67">
      <c r="A67">
        <f>Database!B67</f>
        <v/>
      </c>
      <c r="B67">
        <f>IF(AND(Screener!$D$8&lt;&gt;"",Database!$E67=Screener!$D$8),1,0)</f>
        <v/>
      </c>
      <c r="C67">
        <f>IF(AND(Screener!$D$7&lt;&gt;"",Database!$D67=Screener!$D$7),1,0)</f>
        <v/>
      </c>
      <c r="D67">
        <f>IF(OR(N(Database!$I67)&lt;=0,N(Screener!$D$9)&lt;=0),0,MAX(0,1-ABS(LOG10(N(Database!$I67)/Screener!$D$9))/W_SIZEHW))</f>
        <v/>
      </c>
      <c r="E67">
        <f>IF(OR(Database!$BF67="",Screener!$D$10=""),0,IF(Database!$BF67=Screener!$D$10,1,0))</f>
        <v/>
      </c>
      <c r="F67">
        <f>IF(OR(Database!$BL67="",Screener!$D$11=""),0,IF(Database!$BL67=Screener!$D$11,1,0))</f>
        <v/>
      </c>
      <c r="G67">
        <f>IF(OR(Database!$H67="",N(Screener!$D$12)&lt;=0),0,MAX(0,1-(N(Screener!$D$12)-Database!$H67)/W_RECD))</f>
        <v/>
      </c>
      <c r="H67">
        <f>IF($U$1="",0,N(ISNUMBER(SEARCH($U$1,Database!$AC67&amp;""))))+IF($V$1="",0,N(ISNUMBER(SEARCH($V$1,Database!$AC67&amp;""))))+IF($W$1="",0,N(ISNUMBER(SEARCH($W$1,Database!$AC67&amp;""))))+IF($X$1="",0,N(ISNUMBER(SEARCH($X$1,Database!$AC67&amp;""))))+IF($Y$1="",0,N(ISNUMBER(SEARCH($Y$1,Database!$AC67&amp;""))))+IF(Screener!$B$17="",0,N(ISNUMBER(SEARCH(LOWER(Screener!$B$17),Database!$AC67&amp;""))))</f>
        <v/>
      </c>
      <c r="I67">
        <f>IF(OR(N(Database!$BG67)&lt;=0,N(Screener!$D$13)&lt;=0),0,MAX(0,1-ABS(LOG10(N(Database!$BG67)/Screener!$D$13))/W_PEHW))</f>
        <v/>
      </c>
      <c r="J67">
        <f>IF(OR(N(Database!$S67)&lt;=0,N(Screener!$D$14)&lt;=0),0,MAX(0,1-ABS(LOG10(Database!$S67/Screener!$D$14))/0.6))</f>
        <v/>
      </c>
      <c r="K67">
        <f>IF(Database!$B67=Screener!$B$5,-999999,IF(ISNUMBER(SEARCH(","&amp;Database!$A67&amp;",",","&amp;SUBSTITUTE(Screener!$D$17," ","")&amp;",")),2000000,IF(IF(OR(Screener!$B$18="All",AND(Screener!$B$18="With A-share",(Database!$BL67="Y")),AND(Screener!$B$18="Without A-share",NOT((Database!$BL67="Y")))),1,0)=0,-999999,IF(Screener!$B$16="cornerstone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Database!BF55</f>
        <v/>
      </c>
      <c r="AF67">
        <f>Database!BL55</f>
        <v/>
      </c>
      <c r="AG67">
        <f>Database!H55</f>
        <v/>
      </c>
      <c r="AH67">
        <f>Database!BG55</f>
        <v/>
      </c>
    </row>
    <row r="68">
      <c r="A68">
        <f>Database!B68</f>
        <v/>
      </c>
      <c r="B68">
        <f>IF(AND(Screener!$D$8&lt;&gt;"",Database!$E68=Screener!$D$8),1,0)</f>
        <v/>
      </c>
      <c r="C68">
        <f>IF(AND(Screener!$D$7&lt;&gt;"",Database!$D68=Screener!$D$7),1,0)</f>
        <v/>
      </c>
      <c r="D68">
        <f>IF(OR(N(Database!$I68)&lt;=0,N(Screener!$D$9)&lt;=0),0,MAX(0,1-ABS(LOG10(N(Database!$I68)/Screener!$D$9))/W_SIZEHW))</f>
        <v/>
      </c>
      <c r="E68">
        <f>IF(OR(Database!$BF68="",Screener!$D$10=""),0,IF(Database!$BF68=Screener!$D$10,1,0))</f>
        <v/>
      </c>
      <c r="F68">
        <f>IF(OR(Database!$BL68="",Screener!$D$11=""),0,IF(Database!$BL68=Screener!$D$11,1,0))</f>
        <v/>
      </c>
      <c r="G68">
        <f>IF(OR(Database!$H68="",N(Screener!$D$12)&lt;=0),0,MAX(0,1-(N(Screener!$D$12)-Database!$H68)/W_RECD))</f>
        <v/>
      </c>
      <c r="H68">
        <f>IF($U$1="",0,N(ISNUMBER(SEARCH($U$1,Database!$AC68&amp;""))))+IF($V$1="",0,N(ISNUMBER(SEARCH($V$1,Database!$AC68&amp;""))))+IF($W$1="",0,N(ISNUMBER(SEARCH($W$1,Database!$AC68&amp;""))))+IF($X$1="",0,N(ISNUMBER(SEARCH($X$1,Database!$AC68&amp;""))))+IF($Y$1="",0,N(ISNUMBER(SEARCH($Y$1,Database!$AC68&amp;""))))+IF(Screener!$B$17="",0,N(ISNUMBER(SEARCH(LOWER(Screener!$B$17),Database!$AC68&amp;""))))</f>
        <v/>
      </c>
      <c r="I68">
        <f>IF(OR(N(Database!$BG68)&lt;=0,N(Screener!$D$13)&lt;=0),0,MAX(0,1-ABS(LOG10(N(Database!$BG68)/Screener!$D$13))/W_PEHW))</f>
        <v/>
      </c>
      <c r="J68">
        <f>IF(OR(N(Database!$S68)&lt;=0,N(Screener!$D$14)&lt;=0),0,MAX(0,1-ABS(LOG10(Database!$S68/Screener!$D$14))/0.6))</f>
        <v/>
      </c>
      <c r="K68">
        <f>IF(Database!$B68=Screener!$B$5,-999999,IF(ISNUMBER(SEARCH(","&amp;Database!$A68&amp;",",","&amp;SUBSTITUTE(Screener!$D$17," ","")&amp;",")),2000000,IF(IF(OR(Screener!$B$18="All",AND(Screener!$B$18="With A-share",(Database!$BL68="Y")),AND(Screener!$B$18="Without A-share",NOT((Database!$BL68="Y")))),1,0)=0,-999999,IF(Screener!$B$16="cornerstone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Database!BF56</f>
        <v/>
      </c>
      <c r="AF68">
        <f>Database!BL56</f>
        <v/>
      </c>
      <c r="AG68">
        <f>Database!H56</f>
        <v/>
      </c>
      <c r="AH68">
        <f>Database!BG56</f>
        <v/>
      </c>
    </row>
    <row r="69">
      <c r="A69">
        <f>Database!B69</f>
        <v/>
      </c>
      <c r="B69">
        <f>IF(AND(Screener!$D$8&lt;&gt;"",Database!$E69=Screener!$D$8),1,0)</f>
        <v/>
      </c>
      <c r="C69">
        <f>IF(AND(Screener!$D$7&lt;&gt;"",Database!$D69=Screener!$D$7),1,0)</f>
        <v/>
      </c>
      <c r="D69">
        <f>IF(OR(N(Database!$I69)&lt;=0,N(Screener!$D$9)&lt;=0),0,MAX(0,1-ABS(LOG10(N(Database!$I69)/Screener!$D$9))/W_SIZEHW))</f>
        <v/>
      </c>
      <c r="E69">
        <f>IF(OR(Database!$BF69="",Screener!$D$10=""),0,IF(Database!$BF69=Screener!$D$10,1,0))</f>
        <v/>
      </c>
      <c r="F69">
        <f>IF(OR(Database!$BL69="",Screener!$D$11=""),0,IF(Database!$BL69=Screener!$D$11,1,0))</f>
        <v/>
      </c>
      <c r="G69">
        <f>IF(OR(Database!$H69="",N(Screener!$D$12)&lt;=0),0,MAX(0,1-(N(Screener!$D$12)-Database!$H69)/W_RECD))</f>
        <v/>
      </c>
      <c r="H69">
        <f>IF($U$1="",0,N(ISNUMBER(SEARCH($U$1,Database!$AC69&amp;""))))+IF($V$1="",0,N(ISNUMBER(SEARCH($V$1,Database!$AC69&amp;""))))+IF($W$1="",0,N(ISNUMBER(SEARCH($W$1,Database!$AC69&amp;""))))+IF($X$1="",0,N(ISNUMBER(SEARCH($X$1,Database!$AC69&amp;""))))+IF($Y$1="",0,N(ISNUMBER(SEARCH($Y$1,Database!$AC69&amp;""))))+IF(Screener!$B$17="",0,N(ISNUMBER(SEARCH(LOWER(Screener!$B$17),Database!$AC69&amp;""))))</f>
        <v/>
      </c>
      <c r="I69">
        <f>IF(OR(N(Database!$BG69)&lt;=0,N(Screener!$D$13)&lt;=0),0,MAX(0,1-ABS(LOG10(N(Database!$BG69)/Screener!$D$13))/W_PEHW))</f>
        <v/>
      </c>
      <c r="J69">
        <f>IF(OR(N(Database!$S69)&lt;=0,N(Screener!$D$14)&lt;=0),0,MAX(0,1-ABS(LOG10(Database!$S69/Screener!$D$14))/0.6))</f>
        <v/>
      </c>
      <c r="K69">
        <f>IF(Database!$B69=Screener!$B$5,-999999,IF(ISNUMBER(SEARCH(","&amp;Database!$A69&amp;",",","&amp;SUBSTITUTE(Screener!$D$17," ","")&amp;",")),2000000,IF(IF(OR(Screener!$B$18="All",AND(Screener!$B$18="With A-share",(Database!$BL69="Y")),AND(Screener!$B$18="Without A-share",NOT((Database!$BL69="Y")))),1,0)=0,-999999,IF(Screener!$B$16="cornerstone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Database!BF57</f>
        <v/>
      </c>
      <c r="AF69">
        <f>Database!BL57</f>
        <v/>
      </c>
      <c r="AG69">
        <f>Database!H57</f>
        <v/>
      </c>
      <c r="AH69">
        <f>Database!BG57</f>
        <v/>
      </c>
    </row>
    <row r="70">
      <c r="A70">
        <f>Database!B70</f>
        <v/>
      </c>
      <c r="B70">
        <f>IF(AND(Screener!$D$8&lt;&gt;"",Database!$E70=Screener!$D$8),1,0)</f>
        <v/>
      </c>
      <c r="C70">
        <f>IF(AND(Screener!$D$7&lt;&gt;"",Database!$D70=Screener!$D$7),1,0)</f>
        <v/>
      </c>
      <c r="D70">
        <f>IF(OR(N(Database!$I70)&lt;=0,N(Screener!$D$9)&lt;=0),0,MAX(0,1-ABS(LOG10(N(Database!$I70)/Screener!$D$9))/W_SIZEHW))</f>
        <v/>
      </c>
      <c r="E70">
        <f>IF(OR(Database!$BF70="",Screener!$D$10=""),0,IF(Database!$BF70=Screener!$D$10,1,0))</f>
        <v/>
      </c>
      <c r="F70">
        <f>IF(OR(Database!$BL70="",Screener!$D$11=""),0,IF(Database!$BL70=Screener!$D$11,1,0))</f>
        <v/>
      </c>
      <c r="G70">
        <f>IF(OR(Database!$H70="",N(Screener!$D$12)&lt;=0),0,MAX(0,1-(N(Screener!$D$12)-Database!$H70)/W_RECD))</f>
        <v/>
      </c>
      <c r="H70">
        <f>IF($U$1="",0,N(ISNUMBER(SEARCH($U$1,Database!$AC70&amp;""))))+IF($V$1="",0,N(ISNUMBER(SEARCH($V$1,Database!$AC70&amp;""))))+IF($W$1="",0,N(ISNUMBER(SEARCH($W$1,Database!$AC70&amp;""))))+IF($X$1="",0,N(ISNUMBER(SEARCH($X$1,Database!$AC70&amp;""))))+IF($Y$1="",0,N(ISNUMBER(SEARCH($Y$1,Database!$AC70&amp;""))))+IF(Screener!$B$17="",0,N(ISNUMBER(SEARCH(LOWER(Screener!$B$17),Database!$AC70&amp;""))))</f>
        <v/>
      </c>
      <c r="I70">
        <f>IF(OR(N(Database!$BG70)&lt;=0,N(Screener!$D$13)&lt;=0),0,MAX(0,1-ABS(LOG10(N(Database!$BG70)/Screener!$D$13))/W_PEHW))</f>
        <v/>
      </c>
      <c r="J70">
        <f>IF(OR(N(Database!$S70)&lt;=0,N(Screener!$D$14)&lt;=0),0,MAX(0,1-ABS(LOG10(Database!$S70/Screener!$D$14))/0.6))</f>
        <v/>
      </c>
      <c r="K70">
        <f>IF(Database!$B70=Screener!$B$5,-999999,IF(ISNUMBER(SEARCH(","&amp;Database!$A70&amp;",",","&amp;SUBSTITUTE(Screener!$D$17," ","")&amp;",")),2000000,IF(IF(OR(Screener!$B$18="All",AND(Screener!$B$18="With A-share",(Database!$BL70="Y")),AND(Screener!$B$18="Without A-share",NOT((Database!$BL70="Y")))),1,0)=0,-999999,IF(Screener!$B$16="cornerstone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Database!BF58</f>
        <v/>
      </c>
      <c r="AF70">
        <f>Database!BL58</f>
        <v/>
      </c>
      <c r="AG70">
        <f>Database!H58</f>
        <v/>
      </c>
      <c r="AH70">
        <f>Database!BG58</f>
        <v/>
      </c>
    </row>
    <row r="71">
      <c r="A71">
        <f>Database!B71</f>
        <v/>
      </c>
      <c r="B71">
        <f>IF(AND(Screener!$D$8&lt;&gt;"",Database!$E71=Screener!$D$8),1,0)</f>
        <v/>
      </c>
      <c r="C71">
        <f>IF(AND(Screener!$D$7&lt;&gt;"",Database!$D71=Screener!$D$7),1,0)</f>
        <v/>
      </c>
      <c r="D71">
        <f>IF(OR(N(Database!$I71)&lt;=0,N(Screener!$D$9)&lt;=0),0,MAX(0,1-ABS(LOG10(N(Database!$I71)/Screener!$D$9))/W_SIZEHW))</f>
        <v/>
      </c>
      <c r="E71">
        <f>IF(OR(Database!$BF71="",Screener!$D$10=""),0,IF(Database!$BF71=Screener!$D$10,1,0))</f>
        <v/>
      </c>
      <c r="F71">
        <f>IF(OR(Database!$BL71="",Screener!$D$11=""),0,IF(Database!$BL71=Screener!$D$11,1,0))</f>
        <v/>
      </c>
      <c r="G71">
        <f>IF(OR(Database!$H71="",N(Screener!$D$12)&lt;=0),0,MAX(0,1-(N(Screener!$D$12)-Database!$H71)/W_RECD))</f>
        <v/>
      </c>
      <c r="H71">
        <f>IF($U$1="",0,N(ISNUMBER(SEARCH($U$1,Database!$AC71&amp;""))))+IF($V$1="",0,N(ISNUMBER(SEARCH($V$1,Database!$AC71&amp;""))))+IF($W$1="",0,N(ISNUMBER(SEARCH($W$1,Database!$AC71&amp;""))))+IF($X$1="",0,N(ISNUMBER(SEARCH($X$1,Database!$AC71&amp;""))))+IF($Y$1="",0,N(ISNUMBER(SEARCH($Y$1,Database!$AC71&amp;""))))+IF(Screener!$B$17="",0,N(ISNUMBER(SEARCH(LOWER(Screener!$B$17),Database!$AC71&amp;""))))</f>
        <v/>
      </c>
      <c r="I71">
        <f>IF(OR(N(Database!$BG71)&lt;=0,N(Screener!$D$13)&lt;=0),0,MAX(0,1-ABS(LOG10(N(Database!$BG71)/Screener!$D$13))/W_PEHW))</f>
        <v/>
      </c>
      <c r="J71">
        <f>IF(OR(N(Database!$S71)&lt;=0,N(Screener!$D$14)&lt;=0),0,MAX(0,1-ABS(LOG10(Database!$S71/Screener!$D$14))/0.6))</f>
        <v/>
      </c>
      <c r="K71">
        <f>IF(Database!$B71=Screener!$B$5,-999999,IF(ISNUMBER(SEARCH(","&amp;Database!$A71&amp;",",","&amp;SUBSTITUTE(Screener!$D$17," ","")&amp;",")),2000000,IF(IF(OR(Screener!$B$18="All",AND(Screener!$B$18="With A-share",(Database!$BL71="Y")),AND(Screener!$B$18="Without A-share",NOT((Database!$BL71="Y")))),1,0)=0,-999999,IF(Screener!$B$16="cornerstone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Database!BF59</f>
        <v/>
      </c>
      <c r="AF71">
        <f>Database!BL59</f>
        <v/>
      </c>
      <c r="AG71">
        <f>Database!H59</f>
        <v/>
      </c>
      <c r="AH71">
        <f>Database!BG59</f>
        <v/>
      </c>
    </row>
    <row r="72">
      <c r="A72">
        <f>Database!B72</f>
        <v/>
      </c>
      <c r="B72">
        <f>IF(AND(Screener!$D$8&lt;&gt;"",Database!$E72=Screener!$D$8),1,0)</f>
        <v/>
      </c>
      <c r="C72">
        <f>IF(AND(Screener!$D$7&lt;&gt;"",Database!$D72=Screener!$D$7),1,0)</f>
        <v/>
      </c>
      <c r="D72">
        <f>IF(OR(N(Database!$I72)&lt;=0,N(Screener!$D$9)&lt;=0),0,MAX(0,1-ABS(LOG10(N(Database!$I72)/Screener!$D$9))/W_SIZEHW))</f>
        <v/>
      </c>
      <c r="E72">
        <f>IF(OR(Database!$BF72="",Screener!$D$10=""),0,IF(Database!$BF72=Screener!$D$10,1,0))</f>
        <v/>
      </c>
      <c r="F72">
        <f>IF(OR(Database!$BL72="",Screener!$D$11=""),0,IF(Database!$BL72=Screener!$D$11,1,0))</f>
        <v/>
      </c>
      <c r="G72">
        <f>IF(OR(Database!$H72="",N(Screener!$D$12)&lt;=0),0,MAX(0,1-(N(Screener!$D$12)-Database!$H72)/W_RECD))</f>
        <v/>
      </c>
      <c r="H72">
        <f>IF($U$1="",0,N(ISNUMBER(SEARCH($U$1,Database!$AC72&amp;""))))+IF($V$1="",0,N(ISNUMBER(SEARCH($V$1,Database!$AC72&amp;""))))+IF($W$1="",0,N(ISNUMBER(SEARCH($W$1,Database!$AC72&amp;""))))+IF($X$1="",0,N(ISNUMBER(SEARCH($X$1,Database!$AC72&amp;""))))+IF($Y$1="",0,N(ISNUMBER(SEARCH($Y$1,Database!$AC72&amp;""))))+IF(Screener!$B$17="",0,N(ISNUMBER(SEARCH(LOWER(Screener!$B$17),Database!$AC72&amp;""))))</f>
        <v/>
      </c>
      <c r="I72">
        <f>IF(OR(N(Database!$BG72)&lt;=0,N(Screener!$D$13)&lt;=0),0,MAX(0,1-ABS(LOG10(N(Database!$BG72)/Screener!$D$13))/W_PEHW))</f>
        <v/>
      </c>
      <c r="J72">
        <f>IF(OR(N(Database!$S72)&lt;=0,N(Screener!$D$14)&lt;=0),0,MAX(0,1-ABS(LOG10(Database!$S72/Screener!$D$14))/0.6))</f>
        <v/>
      </c>
      <c r="K72">
        <f>IF(Database!$B72=Screener!$B$5,-999999,IF(ISNUMBER(SEARCH(","&amp;Database!$A72&amp;",",","&amp;SUBSTITUTE(Screener!$D$17," ","")&amp;",")),2000000,IF(IF(OR(Screener!$B$18="All",AND(Screener!$B$18="With A-share",(Database!$BL72="Y")),AND(Screener!$B$18="Without A-share",NOT((Database!$BL72="Y")))),1,0)=0,-999999,IF(Screener!$B$16="cornerstone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Database!BF60</f>
        <v/>
      </c>
      <c r="AF72">
        <f>Database!BL60</f>
        <v/>
      </c>
      <c r="AG72">
        <f>Database!H60</f>
        <v/>
      </c>
      <c r="AH72">
        <f>Database!BG60</f>
        <v/>
      </c>
    </row>
    <row r="73">
      <c r="A73">
        <f>Database!B73</f>
        <v/>
      </c>
      <c r="B73">
        <f>IF(AND(Screener!$D$8&lt;&gt;"",Database!$E73=Screener!$D$8),1,0)</f>
        <v/>
      </c>
      <c r="C73">
        <f>IF(AND(Screener!$D$7&lt;&gt;"",Database!$D73=Screener!$D$7),1,0)</f>
        <v/>
      </c>
      <c r="D73">
        <f>IF(OR(N(Database!$I73)&lt;=0,N(Screener!$D$9)&lt;=0),0,MAX(0,1-ABS(LOG10(N(Database!$I73)/Screener!$D$9))/W_SIZEHW))</f>
        <v/>
      </c>
      <c r="E73">
        <f>IF(OR(Database!$BF73="",Screener!$D$10=""),0,IF(Database!$BF73=Screener!$D$10,1,0))</f>
        <v/>
      </c>
      <c r="F73">
        <f>IF(OR(Database!$BL73="",Screener!$D$11=""),0,IF(Database!$BL73=Screener!$D$11,1,0))</f>
        <v/>
      </c>
      <c r="G73">
        <f>IF(OR(Database!$H73="",N(Screener!$D$12)&lt;=0),0,MAX(0,1-(N(Screener!$D$12)-Database!$H73)/W_RECD))</f>
        <v/>
      </c>
      <c r="H73">
        <f>IF($U$1="",0,N(ISNUMBER(SEARCH($U$1,Database!$AC73&amp;""))))+IF($V$1="",0,N(ISNUMBER(SEARCH($V$1,Database!$AC73&amp;""))))+IF($W$1="",0,N(ISNUMBER(SEARCH($W$1,Database!$AC73&amp;""))))+IF($X$1="",0,N(ISNUMBER(SEARCH($X$1,Database!$AC73&amp;""))))+IF($Y$1="",0,N(ISNUMBER(SEARCH($Y$1,Database!$AC73&amp;""))))+IF(Screener!$B$17="",0,N(ISNUMBER(SEARCH(LOWER(Screener!$B$17),Database!$AC73&amp;""))))</f>
        <v/>
      </c>
      <c r="I73">
        <f>IF(OR(N(Database!$BG73)&lt;=0,N(Screener!$D$13)&lt;=0),0,MAX(0,1-ABS(LOG10(N(Database!$BG73)/Screener!$D$13))/W_PEHW))</f>
        <v/>
      </c>
      <c r="J73">
        <f>IF(OR(N(Database!$S73)&lt;=0,N(Screener!$D$14)&lt;=0),0,MAX(0,1-ABS(LOG10(Database!$S73/Screener!$D$14))/0.6))</f>
        <v/>
      </c>
      <c r="K73">
        <f>IF(Database!$B73=Screener!$B$5,-999999,IF(ISNUMBER(SEARCH(","&amp;Database!$A73&amp;",",","&amp;SUBSTITUTE(Screener!$D$17," ","")&amp;",")),2000000,IF(IF(OR(Screener!$B$18="All",AND(Screener!$B$18="With A-share",(Database!$BL73="Y")),AND(Screener!$B$18="Without A-share",NOT((Database!$BL73="Y")))),1,0)=0,-999999,IF(Screener!$B$16="cornerstone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Database!BF61</f>
        <v/>
      </c>
      <c r="AF73">
        <f>Database!BL61</f>
        <v/>
      </c>
      <c r="AG73">
        <f>Database!H61</f>
        <v/>
      </c>
      <c r="AH73">
        <f>Database!BG61</f>
        <v/>
      </c>
    </row>
    <row r="74">
      <c r="A74">
        <f>Database!B74</f>
        <v/>
      </c>
      <c r="B74">
        <f>IF(AND(Screener!$D$8&lt;&gt;"",Database!$E74=Screener!$D$8),1,0)</f>
        <v/>
      </c>
      <c r="C74">
        <f>IF(AND(Screener!$D$7&lt;&gt;"",Database!$D74=Screener!$D$7),1,0)</f>
        <v/>
      </c>
      <c r="D74">
        <f>IF(OR(N(Database!$I74)&lt;=0,N(Screener!$D$9)&lt;=0),0,MAX(0,1-ABS(LOG10(N(Database!$I74)/Screener!$D$9))/W_SIZEHW))</f>
        <v/>
      </c>
      <c r="E74">
        <f>IF(OR(Database!$BF74="",Screener!$D$10=""),0,IF(Database!$BF74=Screener!$D$10,1,0))</f>
        <v/>
      </c>
      <c r="F74">
        <f>IF(OR(Database!$BL74="",Screener!$D$11=""),0,IF(Database!$BL74=Screener!$D$11,1,0))</f>
        <v/>
      </c>
      <c r="G74">
        <f>IF(OR(Database!$H74="",N(Screener!$D$12)&lt;=0),0,MAX(0,1-(N(Screener!$D$12)-Database!$H74)/W_RECD))</f>
        <v/>
      </c>
      <c r="H74">
        <f>IF($U$1="",0,N(ISNUMBER(SEARCH($U$1,Database!$AC74&amp;""))))+IF($V$1="",0,N(ISNUMBER(SEARCH($V$1,Database!$AC74&amp;""))))+IF($W$1="",0,N(ISNUMBER(SEARCH($W$1,Database!$AC74&amp;""))))+IF($X$1="",0,N(ISNUMBER(SEARCH($X$1,Database!$AC74&amp;""))))+IF($Y$1="",0,N(ISNUMBER(SEARCH($Y$1,Database!$AC74&amp;""))))+IF(Screener!$B$17="",0,N(ISNUMBER(SEARCH(LOWER(Screener!$B$17),Database!$AC74&amp;""))))</f>
        <v/>
      </c>
      <c r="I74">
        <f>IF(OR(N(Database!$BG74)&lt;=0,N(Screener!$D$13)&lt;=0),0,MAX(0,1-ABS(LOG10(N(Database!$BG74)/Screener!$D$13))/W_PEHW))</f>
        <v/>
      </c>
      <c r="J74">
        <f>IF(OR(N(Database!$S74)&lt;=0,N(Screener!$D$14)&lt;=0),0,MAX(0,1-ABS(LOG10(Database!$S74/Screener!$D$14))/0.6))</f>
        <v/>
      </c>
      <c r="K74">
        <f>IF(Database!$B74=Screener!$B$5,-999999,IF(ISNUMBER(SEARCH(","&amp;Database!$A74&amp;",",","&amp;SUBSTITUTE(Screener!$D$17," ","")&amp;",")),2000000,IF(IF(OR(Screener!$B$18="All",AND(Screener!$B$18="With A-share",(Database!$BL74="Y")),AND(Screener!$B$18="Without A-share",NOT((Database!$BL74="Y")))),1,0)=0,-999999,IF(Screener!$B$16="cornerstone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Database!BF62</f>
        <v/>
      </c>
      <c r="AF74">
        <f>Database!BL62</f>
        <v/>
      </c>
      <c r="AG74">
        <f>Database!H62</f>
        <v/>
      </c>
      <c r="AH74">
        <f>Database!BG62</f>
        <v/>
      </c>
    </row>
    <row r="75">
      <c r="A75">
        <f>Database!B75</f>
        <v/>
      </c>
      <c r="B75">
        <f>IF(AND(Screener!$D$8&lt;&gt;"",Database!$E75=Screener!$D$8),1,0)</f>
        <v/>
      </c>
      <c r="C75">
        <f>IF(AND(Screener!$D$7&lt;&gt;"",Database!$D75=Screener!$D$7),1,0)</f>
        <v/>
      </c>
      <c r="D75">
        <f>IF(OR(N(Database!$I75)&lt;=0,N(Screener!$D$9)&lt;=0),0,MAX(0,1-ABS(LOG10(N(Database!$I75)/Screener!$D$9))/W_SIZEHW))</f>
        <v/>
      </c>
      <c r="E75">
        <f>IF(OR(Database!$BF75="",Screener!$D$10=""),0,IF(Database!$BF75=Screener!$D$10,1,0))</f>
        <v/>
      </c>
      <c r="F75">
        <f>IF(OR(Database!$BL75="",Screener!$D$11=""),0,IF(Database!$BL75=Screener!$D$11,1,0))</f>
        <v/>
      </c>
      <c r="G75">
        <f>IF(OR(Database!$H75="",N(Screener!$D$12)&lt;=0),0,MAX(0,1-(N(Screener!$D$12)-Database!$H75)/W_RECD))</f>
        <v/>
      </c>
      <c r="H75">
        <f>IF($U$1="",0,N(ISNUMBER(SEARCH($U$1,Database!$AC75&amp;""))))+IF($V$1="",0,N(ISNUMBER(SEARCH($V$1,Database!$AC75&amp;""))))+IF($W$1="",0,N(ISNUMBER(SEARCH($W$1,Database!$AC75&amp;""))))+IF($X$1="",0,N(ISNUMBER(SEARCH($X$1,Database!$AC75&amp;""))))+IF($Y$1="",0,N(ISNUMBER(SEARCH($Y$1,Database!$AC75&amp;""))))+IF(Screener!$B$17="",0,N(ISNUMBER(SEARCH(LOWER(Screener!$B$17),Database!$AC75&amp;""))))</f>
        <v/>
      </c>
      <c r="I75">
        <f>IF(OR(N(Database!$BG75)&lt;=0,N(Screener!$D$13)&lt;=0),0,MAX(0,1-ABS(LOG10(N(Database!$BG75)/Screener!$D$13))/W_PEHW))</f>
        <v/>
      </c>
      <c r="J75">
        <f>IF(OR(N(Database!$S75)&lt;=0,N(Screener!$D$14)&lt;=0),0,MAX(0,1-ABS(LOG10(Database!$S75/Screener!$D$14))/0.6))</f>
        <v/>
      </c>
      <c r="K75">
        <f>IF(Database!$B75=Screener!$B$5,-999999,IF(ISNUMBER(SEARCH(","&amp;Database!$A75&amp;",",","&amp;SUBSTITUTE(Screener!$D$17," ","")&amp;",")),2000000,IF(IF(OR(Screener!$B$18="All",AND(Screener!$B$18="With A-share",(Database!$BL75="Y")),AND(Screener!$B$18="Without A-share",NOT((Database!$BL75="Y")))),1,0)=0,-999999,IF(Screener!$B$16="cornerstone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Database!BF63</f>
        <v/>
      </c>
      <c r="AF75">
        <f>Database!BL63</f>
        <v/>
      </c>
      <c r="AG75">
        <f>Database!H63</f>
        <v/>
      </c>
      <c r="AH75">
        <f>Database!BG63</f>
        <v/>
      </c>
    </row>
    <row r="76">
      <c r="A76">
        <f>Database!B76</f>
        <v/>
      </c>
      <c r="B76">
        <f>IF(AND(Screener!$D$8&lt;&gt;"",Database!$E76=Screener!$D$8),1,0)</f>
        <v/>
      </c>
      <c r="C76">
        <f>IF(AND(Screener!$D$7&lt;&gt;"",Database!$D76=Screener!$D$7),1,0)</f>
        <v/>
      </c>
      <c r="D76">
        <f>IF(OR(N(Database!$I76)&lt;=0,N(Screener!$D$9)&lt;=0),0,MAX(0,1-ABS(LOG10(N(Database!$I76)/Screener!$D$9))/W_SIZEHW))</f>
        <v/>
      </c>
      <c r="E76">
        <f>IF(OR(Database!$BF76="",Screener!$D$10=""),0,IF(Database!$BF76=Screener!$D$10,1,0))</f>
        <v/>
      </c>
      <c r="F76">
        <f>IF(OR(Database!$BL76="",Screener!$D$11=""),0,IF(Database!$BL76=Screener!$D$11,1,0))</f>
        <v/>
      </c>
      <c r="G76">
        <f>IF(OR(Database!$H76="",N(Screener!$D$12)&lt;=0),0,MAX(0,1-(N(Screener!$D$12)-Database!$H76)/W_RECD))</f>
        <v/>
      </c>
      <c r="H76">
        <f>IF($U$1="",0,N(ISNUMBER(SEARCH($U$1,Database!$AC76&amp;""))))+IF($V$1="",0,N(ISNUMBER(SEARCH($V$1,Database!$AC76&amp;""))))+IF($W$1="",0,N(ISNUMBER(SEARCH($W$1,Database!$AC76&amp;""))))+IF($X$1="",0,N(ISNUMBER(SEARCH($X$1,Database!$AC76&amp;""))))+IF($Y$1="",0,N(ISNUMBER(SEARCH($Y$1,Database!$AC76&amp;""))))+IF(Screener!$B$17="",0,N(ISNUMBER(SEARCH(LOWER(Screener!$B$17),Database!$AC76&amp;""))))</f>
        <v/>
      </c>
      <c r="I76">
        <f>IF(OR(N(Database!$BG76)&lt;=0,N(Screener!$D$13)&lt;=0),0,MAX(0,1-ABS(LOG10(N(Database!$BG76)/Screener!$D$13))/W_PEHW))</f>
        <v/>
      </c>
      <c r="J76">
        <f>IF(OR(N(Database!$S76)&lt;=0,N(Screener!$D$14)&lt;=0),0,MAX(0,1-ABS(LOG10(Database!$S76/Screener!$D$14))/0.6))</f>
        <v/>
      </c>
      <c r="K76">
        <f>IF(Database!$B76=Screener!$B$5,-999999,IF(ISNUMBER(SEARCH(","&amp;Database!$A76&amp;",",","&amp;SUBSTITUTE(Screener!$D$17," ","")&amp;",")),2000000,IF(IF(OR(Screener!$B$18="All",AND(Screener!$B$18="With A-share",(Database!$BL76="Y")),AND(Screener!$B$18="Without A-share",NOT((Database!$BL76="Y")))),1,0)=0,-999999,IF(Screener!$B$16="cornerstone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Database!BF64</f>
        <v/>
      </c>
      <c r="AF76">
        <f>Database!BL64</f>
        <v/>
      </c>
      <c r="AG76">
        <f>Database!H64</f>
        <v/>
      </c>
      <c r="AH76">
        <f>Database!BG64</f>
        <v/>
      </c>
    </row>
    <row r="77">
      <c r="A77">
        <f>Database!B77</f>
        <v/>
      </c>
      <c r="B77">
        <f>IF(AND(Screener!$D$8&lt;&gt;"",Database!$E77=Screener!$D$8),1,0)</f>
        <v/>
      </c>
      <c r="C77">
        <f>IF(AND(Screener!$D$7&lt;&gt;"",Database!$D77=Screener!$D$7),1,0)</f>
        <v/>
      </c>
      <c r="D77">
        <f>IF(OR(N(Database!$I77)&lt;=0,N(Screener!$D$9)&lt;=0),0,MAX(0,1-ABS(LOG10(N(Database!$I77)/Screener!$D$9))/W_SIZEHW))</f>
        <v/>
      </c>
      <c r="E77">
        <f>IF(OR(Database!$BF77="",Screener!$D$10=""),0,IF(Database!$BF77=Screener!$D$10,1,0))</f>
        <v/>
      </c>
      <c r="F77">
        <f>IF(OR(Database!$BL77="",Screener!$D$11=""),0,IF(Database!$BL77=Screener!$D$11,1,0))</f>
        <v/>
      </c>
      <c r="G77">
        <f>IF(OR(Database!$H77="",N(Screener!$D$12)&lt;=0),0,MAX(0,1-(N(Screener!$D$12)-Database!$H77)/W_RECD))</f>
        <v/>
      </c>
      <c r="H77">
        <f>IF($U$1="",0,N(ISNUMBER(SEARCH($U$1,Database!$AC77&amp;""))))+IF($V$1="",0,N(ISNUMBER(SEARCH($V$1,Database!$AC77&amp;""))))+IF($W$1="",0,N(ISNUMBER(SEARCH($W$1,Database!$AC77&amp;""))))+IF($X$1="",0,N(ISNUMBER(SEARCH($X$1,Database!$AC77&amp;""))))+IF($Y$1="",0,N(ISNUMBER(SEARCH($Y$1,Database!$AC77&amp;""))))+IF(Screener!$B$17="",0,N(ISNUMBER(SEARCH(LOWER(Screener!$B$17),Database!$AC77&amp;""))))</f>
        <v/>
      </c>
      <c r="I77">
        <f>IF(OR(N(Database!$BG77)&lt;=0,N(Screener!$D$13)&lt;=0),0,MAX(0,1-ABS(LOG10(N(Database!$BG77)/Screener!$D$13))/W_PEHW))</f>
        <v/>
      </c>
      <c r="J77">
        <f>IF(OR(N(Database!$S77)&lt;=0,N(Screener!$D$14)&lt;=0),0,MAX(0,1-ABS(LOG10(Database!$S77/Screener!$D$14))/0.6))</f>
        <v/>
      </c>
      <c r="K77">
        <f>IF(Database!$B77=Screener!$B$5,-999999,IF(ISNUMBER(SEARCH(","&amp;Database!$A77&amp;",",","&amp;SUBSTITUTE(Screener!$D$17," ","")&amp;",")),2000000,IF(IF(OR(Screener!$B$18="All",AND(Screener!$B$18="With A-share",(Database!$BL77="Y")),AND(Screener!$B$18="Without A-share",NOT((Database!$BL77="Y")))),1,0)=0,-999999,IF(Screener!$B$16="cornerstone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Database!BF65</f>
        <v/>
      </c>
      <c r="AF77">
        <f>Database!BL65</f>
        <v/>
      </c>
      <c r="AG77">
        <f>Database!H65</f>
        <v/>
      </c>
      <c r="AH77">
        <f>Database!BG65</f>
        <v/>
      </c>
    </row>
    <row r="78">
      <c r="A78">
        <f>Database!B78</f>
        <v/>
      </c>
      <c r="B78">
        <f>IF(AND(Screener!$D$8&lt;&gt;"",Database!$E78=Screener!$D$8),1,0)</f>
        <v/>
      </c>
      <c r="C78">
        <f>IF(AND(Screener!$D$7&lt;&gt;"",Database!$D78=Screener!$D$7),1,0)</f>
        <v/>
      </c>
      <c r="D78">
        <f>IF(OR(N(Database!$I78)&lt;=0,N(Screener!$D$9)&lt;=0),0,MAX(0,1-ABS(LOG10(N(Database!$I78)/Screener!$D$9))/W_SIZEHW))</f>
        <v/>
      </c>
      <c r="E78">
        <f>IF(OR(Database!$BF78="",Screener!$D$10=""),0,IF(Database!$BF78=Screener!$D$10,1,0))</f>
        <v/>
      </c>
      <c r="F78">
        <f>IF(OR(Database!$BL78="",Screener!$D$11=""),0,IF(Database!$BL78=Screener!$D$11,1,0))</f>
        <v/>
      </c>
      <c r="G78">
        <f>IF(OR(Database!$H78="",N(Screener!$D$12)&lt;=0),0,MAX(0,1-(N(Screener!$D$12)-Database!$H78)/W_RECD))</f>
        <v/>
      </c>
      <c r="H78">
        <f>IF($U$1="",0,N(ISNUMBER(SEARCH($U$1,Database!$AC78&amp;""))))+IF($V$1="",0,N(ISNUMBER(SEARCH($V$1,Database!$AC78&amp;""))))+IF($W$1="",0,N(ISNUMBER(SEARCH($W$1,Database!$AC78&amp;""))))+IF($X$1="",0,N(ISNUMBER(SEARCH($X$1,Database!$AC78&amp;""))))+IF($Y$1="",0,N(ISNUMBER(SEARCH($Y$1,Database!$AC78&amp;""))))+IF(Screener!$B$17="",0,N(ISNUMBER(SEARCH(LOWER(Screener!$B$17),Database!$AC78&amp;""))))</f>
        <v/>
      </c>
      <c r="I78">
        <f>IF(OR(N(Database!$BG78)&lt;=0,N(Screener!$D$13)&lt;=0),0,MAX(0,1-ABS(LOG10(N(Database!$BG78)/Screener!$D$13))/W_PEHW))</f>
        <v/>
      </c>
      <c r="J78">
        <f>IF(OR(N(Database!$S78)&lt;=0,N(Screener!$D$14)&lt;=0),0,MAX(0,1-ABS(LOG10(Database!$S78/Screener!$D$14))/0.6))</f>
        <v/>
      </c>
      <c r="K78">
        <f>IF(Database!$B78=Screener!$B$5,-999999,IF(ISNUMBER(SEARCH(","&amp;Database!$A78&amp;",",","&amp;SUBSTITUTE(Screener!$D$17," ","")&amp;",")),2000000,IF(IF(OR(Screener!$B$18="All",AND(Screener!$B$18="With A-share",(Database!$BL78="Y")),AND(Screener!$B$18="Without A-share",NOT((Database!$BL78="Y")))),1,0)=0,-999999,IF(Screener!$B$16="cornerstone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Database!BF66</f>
        <v/>
      </c>
      <c r="AF78">
        <f>Database!BL66</f>
        <v/>
      </c>
      <c r="AG78">
        <f>Database!H66</f>
        <v/>
      </c>
      <c r="AH78">
        <f>Database!BG66</f>
        <v/>
      </c>
    </row>
    <row r="79">
      <c r="A79">
        <f>Database!B79</f>
        <v/>
      </c>
      <c r="B79">
        <f>IF(AND(Screener!$D$8&lt;&gt;"",Database!$E79=Screener!$D$8),1,0)</f>
        <v/>
      </c>
      <c r="C79">
        <f>IF(AND(Screener!$D$7&lt;&gt;"",Database!$D79=Screener!$D$7),1,0)</f>
        <v/>
      </c>
      <c r="D79">
        <f>IF(OR(N(Database!$I79)&lt;=0,N(Screener!$D$9)&lt;=0),0,MAX(0,1-ABS(LOG10(N(Database!$I79)/Screener!$D$9))/W_SIZEHW))</f>
        <v/>
      </c>
      <c r="E79">
        <f>IF(OR(Database!$BF79="",Screener!$D$10=""),0,IF(Database!$BF79=Screener!$D$10,1,0))</f>
        <v/>
      </c>
      <c r="F79">
        <f>IF(OR(Database!$BL79="",Screener!$D$11=""),0,IF(Database!$BL79=Screener!$D$11,1,0))</f>
        <v/>
      </c>
      <c r="G79">
        <f>IF(OR(Database!$H79="",N(Screener!$D$12)&lt;=0),0,MAX(0,1-(N(Screener!$D$12)-Database!$H79)/W_RECD))</f>
        <v/>
      </c>
      <c r="H79">
        <f>IF($U$1="",0,N(ISNUMBER(SEARCH($U$1,Database!$AC79&amp;""))))+IF($V$1="",0,N(ISNUMBER(SEARCH($V$1,Database!$AC79&amp;""))))+IF($W$1="",0,N(ISNUMBER(SEARCH($W$1,Database!$AC79&amp;""))))+IF($X$1="",0,N(ISNUMBER(SEARCH($X$1,Database!$AC79&amp;""))))+IF($Y$1="",0,N(ISNUMBER(SEARCH($Y$1,Database!$AC79&amp;""))))+IF(Screener!$B$17="",0,N(ISNUMBER(SEARCH(LOWER(Screener!$B$17),Database!$AC79&amp;""))))</f>
        <v/>
      </c>
      <c r="I79">
        <f>IF(OR(N(Database!$BG79)&lt;=0,N(Screener!$D$13)&lt;=0),0,MAX(0,1-ABS(LOG10(N(Database!$BG79)/Screener!$D$13))/W_PEHW))</f>
        <v/>
      </c>
      <c r="J79">
        <f>IF(OR(N(Database!$S79)&lt;=0,N(Screener!$D$14)&lt;=0),0,MAX(0,1-ABS(LOG10(Database!$S79/Screener!$D$14))/0.6))</f>
        <v/>
      </c>
      <c r="K79">
        <f>IF(Database!$B79=Screener!$B$5,-999999,IF(ISNUMBER(SEARCH(","&amp;Database!$A79&amp;",",","&amp;SUBSTITUTE(Screener!$D$17," ","")&amp;",")),2000000,IF(IF(OR(Screener!$B$18="All",AND(Screener!$B$18="With A-share",(Database!$BL79="Y")),AND(Screener!$B$18="Without A-share",NOT((Database!$BL79="Y")))),1,0)=0,-999999,IF(Screener!$B$16="cornerstone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Database!BF67</f>
        <v/>
      </c>
      <c r="AF79">
        <f>Database!BL67</f>
        <v/>
      </c>
      <c r="AG79">
        <f>Database!H67</f>
        <v/>
      </c>
      <c r="AH79">
        <f>Database!BG67</f>
        <v/>
      </c>
    </row>
    <row r="80">
      <c r="A80">
        <f>Database!B80</f>
        <v/>
      </c>
      <c r="B80">
        <f>IF(AND(Screener!$D$8&lt;&gt;"",Database!$E80=Screener!$D$8),1,0)</f>
        <v/>
      </c>
      <c r="C80">
        <f>IF(AND(Screener!$D$7&lt;&gt;"",Database!$D80=Screener!$D$7),1,0)</f>
        <v/>
      </c>
      <c r="D80">
        <f>IF(OR(N(Database!$I80)&lt;=0,N(Screener!$D$9)&lt;=0),0,MAX(0,1-ABS(LOG10(N(Database!$I80)/Screener!$D$9))/W_SIZEHW))</f>
        <v/>
      </c>
      <c r="E80">
        <f>IF(OR(Database!$BF80="",Screener!$D$10=""),0,IF(Database!$BF80=Screener!$D$10,1,0))</f>
        <v/>
      </c>
      <c r="F80">
        <f>IF(OR(Database!$BL80="",Screener!$D$11=""),0,IF(Database!$BL80=Screener!$D$11,1,0))</f>
        <v/>
      </c>
      <c r="G80">
        <f>IF(OR(Database!$H80="",N(Screener!$D$12)&lt;=0),0,MAX(0,1-(N(Screener!$D$12)-Database!$H80)/W_RECD))</f>
        <v/>
      </c>
      <c r="H80">
        <f>IF($U$1="",0,N(ISNUMBER(SEARCH($U$1,Database!$AC80&amp;""))))+IF($V$1="",0,N(ISNUMBER(SEARCH($V$1,Database!$AC80&amp;""))))+IF($W$1="",0,N(ISNUMBER(SEARCH($W$1,Database!$AC80&amp;""))))+IF($X$1="",0,N(ISNUMBER(SEARCH($X$1,Database!$AC80&amp;""))))+IF($Y$1="",0,N(ISNUMBER(SEARCH($Y$1,Database!$AC80&amp;""))))+IF(Screener!$B$17="",0,N(ISNUMBER(SEARCH(LOWER(Screener!$B$17),Database!$AC80&amp;""))))</f>
        <v/>
      </c>
      <c r="I80">
        <f>IF(OR(N(Database!$BG80)&lt;=0,N(Screener!$D$13)&lt;=0),0,MAX(0,1-ABS(LOG10(N(Database!$BG80)/Screener!$D$13))/W_PEHW))</f>
        <v/>
      </c>
      <c r="J80">
        <f>IF(OR(N(Database!$S80)&lt;=0,N(Screener!$D$14)&lt;=0),0,MAX(0,1-ABS(LOG10(Database!$S80/Screener!$D$14))/0.6))</f>
        <v/>
      </c>
      <c r="K80">
        <f>IF(Database!$B80=Screener!$B$5,-999999,IF(ISNUMBER(SEARCH(","&amp;Database!$A80&amp;",",","&amp;SUBSTITUTE(Screener!$D$17," ","")&amp;",")),2000000,IF(IF(OR(Screener!$B$18="All",AND(Screener!$B$18="With A-share",(Database!$BL80="Y")),AND(Screener!$B$18="Without A-share",NOT((Database!$BL80="Y")))),1,0)=0,-999999,IF(Screener!$B$16="cornerstone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Database!BF68</f>
        <v/>
      </c>
      <c r="AF80">
        <f>Database!BL68</f>
        <v/>
      </c>
      <c r="AG80">
        <f>Database!H68</f>
        <v/>
      </c>
      <c r="AH80">
        <f>Database!BG68</f>
        <v/>
      </c>
    </row>
    <row r="81">
      <c r="A81">
        <f>Database!B81</f>
        <v/>
      </c>
      <c r="B81">
        <f>IF(AND(Screener!$D$8&lt;&gt;"",Database!$E81=Screener!$D$8),1,0)</f>
        <v/>
      </c>
      <c r="C81">
        <f>IF(AND(Screener!$D$7&lt;&gt;"",Database!$D81=Screener!$D$7),1,0)</f>
        <v/>
      </c>
      <c r="D81">
        <f>IF(OR(N(Database!$I81)&lt;=0,N(Screener!$D$9)&lt;=0),0,MAX(0,1-ABS(LOG10(N(Database!$I81)/Screener!$D$9))/W_SIZEHW))</f>
        <v/>
      </c>
      <c r="E81">
        <f>IF(OR(Database!$BF81="",Screener!$D$10=""),0,IF(Database!$BF81=Screener!$D$10,1,0))</f>
        <v/>
      </c>
      <c r="F81">
        <f>IF(OR(Database!$BL81="",Screener!$D$11=""),0,IF(Database!$BL81=Screener!$D$11,1,0))</f>
        <v/>
      </c>
      <c r="G81">
        <f>IF(OR(Database!$H81="",N(Screener!$D$12)&lt;=0),0,MAX(0,1-(N(Screener!$D$12)-Database!$H81)/W_RECD))</f>
        <v/>
      </c>
      <c r="H81">
        <f>IF($U$1="",0,N(ISNUMBER(SEARCH($U$1,Database!$AC81&amp;""))))+IF($V$1="",0,N(ISNUMBER(SEARCH($V$1,Database!$AC81&amp;""))))+IF($W$1="",0,N(ISNUMBER(SEARCH($W$1,Database!$AC81&amp;""))))+IF($X$1="",0,N(ISNUMBER(SEARCH($X$1,Database!$AC81&amp;""))))+IF($Y$1="",0,N(ISNUMBER(SEARCH($Y$1,Database!$AC81&amp;""))))+IF(Screener!$B$17="",0,N(ISNUMBER(SEARCH(LOWER(Screener!$B$17),Database!$AC81&amp;""))))</f>
        <v/>
      </c>
      <c r="I81">
        <f>IF(OR(N(Database!$BG81)&lt;=0,N(Screener!$D$13)&lt;=0),0,MAX(0,1-ABS(LOG10(N(Database!$BG81)/Screener!$D$13))/W_PEHW))</f>
        <v/>
      </c>
      <c r="J81">
        <f>IF(OR(N(Database!$S81)&lt;=0,N(Screener!$D$14)&lt;=0),0,MAX(0,1-ABS(LOG10(Database!$S81/Screener!$D$14))/0.6))</f>
        <v/>
      </c>
      <c r="K81">
        <f>IF(Database!$B81=Screener!$B$5,-999999,IF(ISNUMBER(SEARCH(","&amp;Database!$A81&amp;",",","&amp;SUBSTITUTE(Screener!$D$17," ","")&amp;",")),2000000,IF(IF(OR(Screener!$B$18="All",AND(Screener!$B$18="With A-share",(Database!$BL81="Y")),AND(Screener!$B$18="Without A-share",NOT((Database!$BL81="Y")))),1,0)=0,-999999,IF(Screener!$B$16="cornerstone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Database!BF69</f>
        <v/>
      </c>
      <c r="AF81">
        <f>Database!BL69</f>
        <v/>
      </c>
      <c r="AG81">
        <f>Database!H69</f>
        <v/>
      </c>
      <c r="AH81">
        <f>Database!BG69</f>
        <v/>
      </c>
    </row>
    <row r="82">
      <c r="A82">
        <f>Database!B82</f>
        <v/>
      </c>
      <c r="B82">
        <f>IF(AND(Screener!$D$8&lt;&gt;"",Database!$E82=Screener!$D$8),1,0)</f>
        <v/>
      </c>
      <c r="C82">
        <f>IF(AND(Screener!$D$7&lt;&gt;"",Database!$D82=Screener!$D$7),1,0)</f>
        <v/>
      </c>
      <c r="D82">
        <f>IF(OR(N(Database!$I82)&lt;=0,N(Screener!$D$9)&lt;=0),0,MAX(0,1-ABS(LOG10(N(Database!$I82)/Screener!$D$9))/W_SIZEHW))</f>
        <v/>
      </c>
      <c r="E82">
        <f>IF(OR(Database!$BF82="",Screener!$D$10=""),0,IF(Database!$BF82=Screener!$D$10,1,0))</f>
        <v/>
      </c>
      <c r="F82">
        <f>IF(OR(Database!$BL82="",Screener!$D$11=""),0,IF(Database!$BL82=Screener!$D$11,1,0))</f>
        <v/>
      </c>
      <c r="G82">
        <f>IF(OR(Database!$H82="",N(Screener!$D$12)&lt;=0),0,MAX(0,1-(N(Screener!$D$12)-Database!$H82)/W_RECD))</f>
        <v/>
      </c>
      <c r="H82">
        <f>IF($U$1="",0,N(ISNUMBER(SEARCH($U$1,Database!$AC82&amp;""))))+IF($V$1="",0,N(ISNUMBER(SEARCH($V$1,Database!$AC82&amp;""))))+IF($W$1="",0,N(ISNUMBER(SEARCH($W$1,Database!$AC82&amp;""))))+IF($X$1="",0,N(ISNUMBER(SEARCH($X$1,Database!$AC82&amp;""))))+IF($Y$1="",0,N(ISNUMBER(SEARCH($Y$1,Database!$AC82&amp;""))))+IF(Screener!$B$17="",0,N(ISNUMBER(SEARCH(LOWER(Screener!$B$17),Database!$AC82&amp;""))))</f>
        <v/>
      </c>
      <c r="I82">
        <f>IF(OR(N(Database!$BG82)&lt;=0,N(Screener!$D$13)&lt;=0),0,MAX(0,1-ABS(LOG10(N(Database!$BG82)/Screener!$D$13))/W_PEHW))</f>
        <v/>
      </c>
      <c r="J82">
        <f>IF(OR(N(Database!$S82)&lt;=0,N(Screener!$D$14)&lt;=0),0,MAX(0,1-ABS(LOG10(Database!$S82/Screener!$D$14))/0.6))</f>
        <v/>
      </c>
      <c r="K82">
        <f>IF(Database!$B82=Screener!$B$5,-999999,IF(ISNUMBER(SEARCH(","&amp;Database!$A82&amp;",",","&amp;SUBSTITUTE(Screener!$D$17," ","")&amp;",")),2000000,IF(IF(OR(Screener!$B$18="All",AND(Screener!$B$18="With A-share",(Database!$BL82="Y")),AND(Screener!$B$18="Without A-share",NOT((Database!$BL82="Y")))),1,0)=0,-999999,IF(Screener!$B$16="cornerstone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Database!BF70</f>
        <v/>
      </c>
      <c r="AF82">
        <f>Database!BL70</f>
        <v/>
      </c>
      <c r="AG82">
        <f>Database!H70</f>
        <v/>
      </c>
      <c r="AH82">
        <f>Database!BG70</f>
        <v/>
      </c>
    </row>
    <row r="83">
      <c r="A83">
        <f>Database!B83</f>
        <v/>
      </c>
      <c r="B83">
        <f>IF(AND(Screener!$D$8&lt;&gt;"",Database!$E83=Screener!$D$8),1,0)</f>
        <v/>
      </c>
      <c r="C83">
        <f>IF(AND(Screener!$D$7&lt;&gt;"",Database!$D83=Screener!$D$7),1,0)</f>
        <v/>
      </c>
      <c r="D83">
        <f>IF(OR(N(Database!$I83)&lt;=0,N(Screener!$D$9)&lt;=0),0,MAX(0,1-ABS(LOG10(N(Database!$I83)/Screener!$D$9))/W_SIZEHW))</f>
        <v/>
      </c>
      <c r="E83">
        <f>IF(OR(Database!$BF83="",Screener!$D$10=""),0,IF(Database!$BF83=Screener!$D$10,1,0))</f>
        <v/>
      </c>
      <c r="F83">
        <f>IF(OR(Database!$BL83="",Screener!$D$11=""),0,IF(Database!$BL83=Screener!$D$11,1,0))</f>
        <v/>
      </c>
      <c r="G83">
        <f>IF(OR(Database!$H83="",N(Screener!$D$12)&lt;=0),0,MAX(0,1-(N(Screener!$D$12)-Database!$H83)/W_RECD))</f>
        <v/>
      </c>
      <c r="H83">
        <f>IF($U$1="",0,N(ISNUMBER(SEARCH($U$1,Database!$AC83&amp;""))))+IF($V$1="",0,N(ISNUMBER(SEARCH($V$1,Database!$AC83&amp;""))))+IF($W$1="",0,N(ISNUMBER(SEARCH($W$1,Database!$AC83&amp;""))))+IF($X$1="",0,N(ISNUMBER(SEARCH($X$1,Database!$AC83&amp;""))))+IF($Y$1="",0,N(ISNUMBER(SEARCH($Y$1,Database!$AC83&amp;""))))+IF(Screener!$B$17="",0,N(ISNUMBER(SEARCH(LOWER(Screener!$B$17),Database!$AC83&amp;""))))</f>
        <v/>
      </c>
      <c r="I83">
        <f>IF(OR(N(Database!$BG83)&lt;=0,N(Screener!$D$13)&lt;=0),0,MAX(0,1-ABS(LOG10(N(Database!$BG83)/Screener!$D$13))/W_PEHW))</f>
        <v/>
      </c>
      <c r="J83">
        <f>IF(OR(N(Database!$S83)&lt;=0,N(Screener!$D$14)&lt;=0),0,MAX(0,1-ABS(LOG10(Database!$S83/Screener!$D$14))/0.6))</f>
        <v/>
      </c>
      <c r="K83">
        <f>IF(Database!$B83=Screener!$B$5,-999999,IF(ISNUMBER(SEARCH(","&amp;Database!$A83&amp;",",","&amp;SUBSTITUTE(Screener!$D$17," ","")&amp;",")),2000000,IF(IF(OR(Screener!$B$18="All",AND(Screener!$B$18="With A-share",(Database!$BL83="Y")),AND(Screener!$B$18="Without A-share",NOT((Database!$BL83="Y")))),1,0)=0,-999999,IF(Screener!$B$16="cornerstone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Database!BF71</f>
        <v/>
      </c>
      <c r="AF83">
        <f>Database!BL71</f>
        <v/>
      </c>
      <c r="AG83">
        <f>Database!H71</f>
        <v/>
      </c>
      <c r="AH83">
        <f>Database!BG71</f>
        <v/>
      </c>
    </row>
    <row r="84">
      <c r="A84">
        <f>Database!B84</f>
        <v/>
      </c>
      <c r="B84">
        <f>IF(AND(Screener!$D$8&lt;&gt;"",Database!$E84=Screener!$D$8),1,0)</f>
        <v/>
      </c>
      <c r="C84">
        <f>IF(AND(Screener!$D$7&lt;&gt;"",Database!$D84=Screener!$D$7),1,0)</f>
        <v/>
      </c>
      <c r="D84">
        <f>IF(OR(N(Database!$I84)&lt;=0,N(Screener!$D$9)&lt;=0),0,MAX(0,1-ABS(LOG10(N(Database!$I84)/Screener!$D$9))/W_SIZEHW))</f>
        <v/>
      </c>
      <c r="E84">
        <f>IF(OR(Database!$BF84="",Screener!$D$10=""),0,IF(Database!$BF84=Screener!$D$10,1,0))</f>
        <v/>
      </c>
      <c r="F84">
        <f>IF(OR(Database!$BL84="",Screener!$D$11=""),0,IF(Database!$BL84=Screener!$D$11,1,0))</f>
        <v/>
      </c>
      <c r="G84">
        <f>IF(OR(Database!$H84="",N(Screener!$D$12)&lt;=0),0,MAX(0,1-(N(Screener!$D$12)-Database!$H84)/W_RECD))</f>
        <v/>
      </c>
      <c r="H84">
        <f>IF($U$1="",0,N(ISNUMBER(SEARCH($U$1,Database!$AC84&amp;""))))+IF($V$1="",0,N(ISNUMBER(SEARCH($V$1,Database!$AC84&amp;""))))+IF($W$1="",0,N(ISNUMBER(SEARCH($W$1,Database!$AC84&amp;""))))+IF($X$1="",0,N(ISNUMBER(SEARCH($X$1,Database!$AC84&amp;""))))+IF($Y$1="",0,N(ISNUMBER(SEARCH($Y$1,Database!$AC84&amp;""))))+IF(Screener!$B$17="",0,N(ISNUMBER(SEARCH(LOWER(Screener!$B$17),Database!$AC84&amp;""))))</f>
        <v/>
      </c>
      <c r="I84">
        <f>IF(OR(N(Database!$BG84)&lt;=0,N(Screener!$D$13)&lt;=0),0,MAX(0,1-ABS(LOG10(N(Database!$BG84)/Screener!$D$13))/W_PEHW))</f>
        <v/>
      </c>
      <c r="J84">
        <f>IF(OR(N(Database!$S84)&lt;=0,N(Screener!$D$14)&lt;=0),0,MAX(0,1-ABS(LOG10(Database!$S84/Screener!$D$14))/0.6))</f>
        <v/>
      </c>
      <c r="K84">
        <f>IF(Database!$B84=Screener!$B$5,-999999,IF(ISNUMBER(SEARCH(","&amp;Database!$A84&amp;",",","&amp;SUBSTITUTE(Screener!$D$17," ","")&amp;",")),2000000,IF(IF(OR(Screener!$B$18="All",AND(Screener!$B$18="With A-share",(Database!$BL84="Y")),AND(Screener!$B$18="Without A-share",NOT((Database!$BL84="Y")))),1,0)=0,-999999,IF(Screener!$B$16="cornerstone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Database!BF72</f>
        <v/>
      </c>
      <c r="AF84">
        <f>Database!BL72</f>
        <v/>
      </c>
      <c r="AG84">
        <f>Database!H72</f>
        <v/>
      </c>
      <c r="AH84">
        <f>Database!BG72</f>
        <v/>
      </c>
    </row>
    <row r="85">
      <c r="A85">
        <f>Database!B85</f>
        <v/>
      </c>
      <c r="B85">
        <f>IF(AND(Screener!$D$8&lt;&gt;"",Database!$E85=Screener!$D$8),1,0)</f>
        <v/>
      </c>
      <c r="C85">
        <f>IF(AND(Screener!$D$7&lt;&gt;"",Database!$D85=Screener!$D$7),1,0)</f>
        <v/>
      </c>
      <c r="D85">
        <f>IF(OR(N(Database!$I85)&lt;=0,N(Screener!$D$9)&lt;=0),0,MAX(0,1-ABS(LOG10(N(Database!$I85)/Screener!$D$9))/W_SIZEHW))</f>
        <v/>
      </c>
      <c r="E85">
        <f>IF(OR(Database!$BF85="",Screener!$D$10=""),0,IF(Database!$BF85=Screener!$D$10,1,0))</f>
        <v/>
      </c>
      <c r="F85">
        <f>IF(OR(Database!$BL85="",Screener!$D$11=""),0,IF(Database!$BL85=Screener!$D$11,1,0))</f>
        <v/>
      </c>
      <c r="G85">
        <f>IF(OR(Database!$H85="",N(Screener!$D$12)&lt;=0),0,MAX(0,1-(N(Screener!$D$12)-Database!$H85)/W_RECD))</f>
        <v/>
      </c>
      <c r="H85">
        <f>IF($U$1="",0,N(ISNUMBER(SEARCH($U$1,Database!$AC85&amp;""))))+IF($V$1="",0,N(ISNUMBER(SEARCH($V$1,Database!$AC85&amp;""))))+IF($W$1="",0,N(ISNUMBER(SEARCH($W$1,Database!$AC85&amp;""))))+IF($X$1="",0,N(ISNUMBER(SEARCH($X$1,Database!$AC85&amp;""))))+IF($Y$1="",0,N(ISNUMBER(SEARCH($Y$1,Database!$AC85&amp;""))))+IF(Screener!$B$17="",0,N(ISNUMBER(SEARCH(LOWER(Screener!$B$17),Database!$AC85&amp;""))))</f>
        <v/>
      </c>
      <c r="I85">
        <f>IF(OR(N(Database!$BG85)&lt;=0,N(Screener!$D$13)&lt;=0),0,MAX(0,1-ABS(LOG10(N(Database!$BG85)/Screener!$D$13))/W_PEHW))</f>
        <v/>
      </c>
      <c r="J85">
        <f>IF(OR(N(Database!$S85)&lt;=0,N(Screener!$D$14)&lt;=0),0,MAX(0,1-ABS(LOG10(Database!$S85/Screener!$D$14))/0.6))</f>
        <v/>
      </c>
      <c r="K85">
        <f>IF(Database!$B85=Screener!$B$5,-999999,IF(ISNUMBER(SEARCH(","&amp;Database!$A85&amp;",",","&amp;SUBSTITUTE(Screener!$D$17," ","")&amp;",")),2000000,IF(IF(OR(Screener!$B$18="All",AND(Screener!$B$18="With A-share",(Database!$BL85="Y")),AND(Screener!$B$18="Without A-share",NOT((Database!$BL85="Y")))),1,0)=0,-999999,IF(Screener!$B$16="cornerstone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Database!BF73</f>
        <v/>
      </c>
      <c r="AF85">
        <f>Database!BL73</f>
        <v/>
      </c>
      <c r="AG85">
        <f>Database!H73</f>
        <v/>
      </c>
      <c r="AH85">
        <f>Database!BG73</f>
        <v/>
      </c>
    </row>
    <row r="86">
      <c r="A86">
        <f>Database!B86</f>
        <v/>
      </c>
      <c r="B86">
        <f>IF(AND(Screener!$D$8&lt;&gt;"",Database!$E86=Screener!$D$8),1,0)</f>
        <v/>
      </c>
      <c r="C86">
        <f>IF(AND(Screener!$D$7&lt;&gt;"",Database!$D86=Screener!$D$7),1,0)</f>
        <v/>
      </c>
      <c r="D86">
        <f>IF(OR(N(Database!$I86)&lt;=0,N(Screener!$D$9)&lt;=0),0,MAX(0,1-ABS(LOG10(N(Database!$I86)/Screener!$D$9))/W_SIZEHW))</f>
        <v/>
      </c>
      <c r="E86">
        <f>IF(OR(Database!$BF86="",Screener!$D$10=""),0,IF(Database!$BF86=Screener!$D$10,1,0))</f>
        <v/>
      </c>
      <c r="F86">
        <f>IF(OR(Database!$BL86="",Screener!$D$11=""),0,IF(Database!$BL86=Screener!$D$11,1,0))</f>
        <v/>
      </c>
      <c r="G86">
        <f>IF(OR(Database!$H86="",N(Screener!$D$12)&lt;=0),0,MAX(0,1-(N(Screener!$D$12)-Database!$H86)/W_RECD))</f>
        <v/>
      </c>
      <c r="H86">
        <f>IF($U$1="",0,N(ISNUMBER(SEARCH($U$1,Database!$AC86&amp;""))))+IF($V$1="",0,N(ISNUMBER(SEARCH($V$1,Database!$AC86&amp;""))))+IF($W$1="",0,N(ISNUMBER(SEARCH($W$1,Database!$AC86&amp;""))))+IF($X$1="",0,N(ISNUMBER(SEARCH($X$1,Database!$AC86&amp;""))))+IF($Y$1="",0,N(ISNUMBER(SEARCH($Y$1,Database!$AC86&amp;""))))+IF(Screener!$B$17="",0,N(ISNUMBER(SEARCH(LOWER(Screener!$B$17),Database!$AC86&amp;""))))</f>
        <v/>
      </c>
      <c r="I86">
        <f>IF(OR(N(Database!$BG86)&lt;=0,N(Screener!$D$13)&lt;=0),0,MAX(0,1-ABS(LOG10(N(Database!$BG86)/Screener!$D$13))/W_PEHW))</f>
        <v/>
      </c>
      <c r="J86">
        <f>IF(OR(N(Database!$S86)&lt;=0,N(Screener!$D$14)&lt;=0),0,MAX(0,1-ABS(LOG10(Database!$S86/Screener!$D$14))/0.6))</f>
        <v/>
      </c>
      <c r="K86">
        <f>IF(Database!$B86=Screener!$B$5,-999999,IF(ISNUMBER(SEARCH(","&amp;Database!$A86&amp;",",","&amp;SUBSTITUTE(Screener!$D$17," ","")&amp;",")),2000000,IF(IF(OR(Screener!$B$18="All",AND(Screener!$B$18="With A-share",(Database!$BL86="Y")),AND(Screener!$B$18="Without A-share",NOT((Database!$BL86="Y")))),1,0)=0,-999999,IF(Screener!$B$16="cornerstone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Database!BF74</f>
        <v/>
      </c>
      <c r="AF86">
        <f>Database!BL74</f>
        <v/>
      </c>
      <c r="AG86">
        <f>Database!H74</f>
        <v/>
      </c>
      <c r="AH86">
        <f>Database!BG74</f>
        <v/>
      </c>
    </row>
    <row r="87">
      <c r="A87">
        <f>Database!B87</f>
        <v/>
      </c>
      <c r="B87">
        <f>IF(AND(Screener!$D$8&lt;&gt;"",Database!$E87=Screener!$D$8),1,0)</f>
        <v/>
      </c>
      <c r="C87">
        <f>IF(AND(Screener!$D$7&lt;&gt;"",Database!$D87=Screener!$D$7),1,0)</f>
        <v/>
      </c>
      <c r="D87">
        <f>IF(OR(N(Database!$I87)&lt;=0,N(Screener!$D$9)&lt;=0),0,MAX(0,1-ABS(LOG10(N(Database!$I87)/Screener!$D$9))/W_SIZEHW))</f>
        <v/>
      </c>
      <c r="E87">
        <f>IF(OR(Database!$BF87="",Screener!$D$10=""),0,IF(Database!$BF87=Screener!$D$10,1,0))</f>
        <v/>
      </c>
      <c r="F87">
        <f>IF(OR(Database!$BL87="",Screener!$D$11=""),0,IF(Database!$BL87=Screener!$D$11,1,0))</f>
        <v/>
      </c>
      <c r="G87">
        <f>IF(OR(Database!$H87="",N(Screener!$D$12)&lt;=0),0,MAX(0,1-(N(Screener!$D$12)-Database!$H87)/W_RECD))</f>
        <v/>
      </c>
      <c r="H87">
        <f>IF($U$1="",0,N(ISNUMBER(SEARCH($U$1,Database!$AC87&amp;""))))+IF($V$1="",0,N(ISNUMBER(SEARCH($V$1,Database!$AC87&amp;""))))+IF($W$1="",0,N(ISNUMBER(SEARCH($W$1,Database!$AC87&amp;""))))+IF($X$1="",0,N(ISNUMBER(SEARCH($X$1,Database!$AC87&amp;""))))+IF($Y$1="",0,N(ISNUMBER(SEARCH($Y$1,Database!$AC87&amp;""))))+IF(Screener!$B$17="",0,N(ISNUMBER(SEARCH(LOWER(Screener!$B$17),Database!$AC87&amp;""))))</f>
        <v/>
      </c>
      <c r="I87">
        <f>IF(OR(N(Database!$BG87)&lt;=0,N(Screener!$D$13)&lt;=0),0,MAX(0,1-ABS(LOG10(N(Database!$BG87)/Screener!$D$13))/W_PEHW))</f>
        <v/>
      </c>
      <c r="J87">
        <f>IF(OR(N(Database!$S87)&lt;=0,N(Screener!$D$14)&lt;=0),0,MAX(0,1-ABS(LOG10(Database!$S87/Screener!$D$14))/0.6))</f>
        <v/>
      </c>
      <c r="K87">
        <f>IF(Database!$B87=Screener!$B$5,-999999,IF(ISNUMBER(SEARCH(","&amp;Database!$A87&amp;",",","&amp;SUBSTITUTE(Screener!$D$17," ","")&amp;",")),2000000,IF(IF(OR(Screener!$B$18="All",AND(Screener!$B$18="With A-share",(Database!$BL87="Y")),AND(Screener!$B$18="Without A-share",NOT((Database!$BL87="Y")))),1,0)=0,-999999,IF(Screener!$B$16="cornerstone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Database!BF75</f>
        <v/>
      </c>
      <c r="AF87">
        <f>Database!BL75</f>
        <v/>
      </c>
      <c r="AG87">
        <f>Database!H75</f>
        <v/>
      </c>
      <c r="AH87">
        <f>Database!BG75</f>
        <v/>
      </c>
    </row>
    <row r="88">
      <c r="A88">
        <f>Database!B88</f>
        <v/>
      </c>
      <c r="B88">
        <f>IF(AND(Screener!$D$8&lt;&gt;"",Database!$E88=Screener!$D$8),1,0)</f>
        <v/>
      </c>
      <c r="C88">
        <f>IF(AND(Screener!$D$7&lt;&gt;"",Database!$D88=Screener!$D$7),1,0)</f>
        <v/>
      </c>
      <c r="D88">
        <f>IF(OR(N(Database!$I88)&lt;=0,N(Screener!$D$9)&lt;=0),0,MAX(0,1-ABS(LOG10(N(Database!$I88)/Screener!$D$9))/W_SIZEHW))</f>
        <v/>
      </c>
      <c r="E88">
        <f>IF(OR(Database!$BF88="",Screener!$D$10=""),0,IF(Database!$BF88=Screener!$D$10,1,0))</f>
        <v/>
      </c>
      <c r="F88">
        <f>IF(OR(Database!$BL88="",Screener!$D$11=""),0,IF(Database!$BL88=Screener!$D$11,1,0))</f>
        <v/>
      </c>
      <c r="G88">
        <f>IF(OR(Database!$H88="",N(Screener!$D$12)&lt;=0),0,MAX(0,1-(N(Screener!$D$12)-Database!$H88)/W_RECD))</f>
        <v/>
      </c>
      <c r="H88">
        <f>IF($U$1="",0,N(ISNUMBER(SEARCH($U$1,Database!$AC88&amp;""))))+IF($V$1="",0,N(ISNUMBER(SEARCH($V$1,Database!$AC88&amp;""))))+IF($W$1="",0,N(ISNUMBER(SEARCH($W$1,Database!$AC88&amp;""))))+IF($X$1="",0,N(ISNUMBER(SEARCH($X$1,Database!$AC88&amp;""))))+IF($Y$1="",0,N(ISNUMBER(SEARCH($Y$1,Database!$AC88&amp;""))))+IF(Screener!$B$17="",0,N(ISNUMBER(SEARCH(LOWER(Screener!$B$17),Database!$AC88&amp;""))))</f>
        <v/>
      </c>
      <c r="I88">
        <f>IF(OR(N(Database!$BG88)&lt;=0,N(Screener!$D$13)&lt;=0),0,MAX(0,1-ABS(LOG10(N(Database!$BG88)/Screener!$D$13))/W_PEHW))</f>
        <v/>
      </c>
      <c r="J88">
        <f>IF(OR(N(Database!$S88)&lt;=0,N(Screener!$D$14)&lt;=0),0,MAX(0,1-ABS(LOG10(Database!$S88/Screener!$D$14))/0.6))</f>
        <v/>
      </c>
      <c r="K88">
        <f>IF(Database!$B88=Screener!$B$5,-999999,IF(ISNUMBER(SEARCH(","&amp;Database!$A88&amp;",",","&amp;SUBSTITUTE(Screener!$D$17," ","")&amp;",")),2000000,IF(IF(OR(Screener!$B$18="All",AND(Screener!$B$18="With A-share",(Database!$BL88="Y")),AND(Screener!$B$18="Without A-share",NOT((Database!$BL88="Y")))),1,0)=0,-999999,IF(Screener!$B$16="cornerstone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Database!BF76</f>
        <v/>
      </c>
      <c r="AF88">
        <f>Database!BL76</f>
        <v/>
      </c>
      <c r="AG88">
        <f>Database!H76</f>
        <v/>
      </c>
      <c r="AH88">
        <f>Database!BG76</f>
        <v/>
      </c>
    </row>
    <row r="89">
      <c r="A89">
        <f>Database!B89</f>
        <v/>
      </c>
      <c r="B89">
        <f>IF(AND(Screener!$D$8&lt;&gt;"",Database!$E89=Screener!$D$8),1,0)</f>
        <v/>
      </c>
      <c r="C89">
        <f>IF(AND(Screener!$D$7&lt;&gt;"",Database!$D89=Screener!$D$7),1,0)</f>
        <v/>
      </c>
      <c r="D89">
        <f>IF(OR(N(Database!$I89)&lt;=0,N(Screener!$D$9)&lt;=0),0,MAX(0,1-ABS(LOG10(N(Database!$I89)/Screener!$D$9))/W_SIZEHW))</f>
        <v/>
      </c>
      <c r="E89">
        <f>IF(OR(Database!$BF89="",Screener!$D$10=""),0,IF(Database!$BF89=Screener!$D$10,1,0))</f>
        <v/>
      </c>
      <c r="F89">
        <f>IF(OR(Database!$BL89="",Screener!$D$11=""),0,IF(Database!$BL89=Screener!$D$11,1,0))</f>
        <v/>
      </c>
      <c r="G89">
        <f>IF(OR(Database!$H89="",N(Screener!$D$12)&lt;=0),0,MAX(0,1-(N(Screener!$D$12)-Database!$H89)/W_RECD))</f>
        <v/>
      </c>
      <c r="H89">
        <f>IF($U$1="",0,N(ISNUMBER(SEARCH($U$1,Database!$AC89&amp;""))))+IF($V$1="",0,N(ISNUMBER(SEARCH($V$1,Database!$AC89&amp;""))))+IF($W$1="",0,N(ISNUMBER(SEARCH($W$1,Database!$AC89&amp;""))))+IF($X$1="",0,N(ISNUMBER(SEARCH($X$1,Database!$AC89&amp;""))))+IF($Y$1="",0,N(ISNUMBER(SEARCH($Y$1,Database!$AC89&amp;""))))+IF(Screener!$B$17="",0,N(ISNUMBER(SEARCH(LOWER(Screener!$B$17),Database!$AC89&amp;""))))</f>
        <v/>
      </c>
      <c r="I89">
        <f>IF(OR(N(Database!$BG89)&lt;=0,N(Screener!$D$13)&lt;=0),0,MAX(0,1-ABS(LOG10(N(Database!$BG89)/Screener!$D$13))/W_PEHW))</f>
        <v/>
      </c>
      <c r="J89">
        <f>IF(OR(N(Database!$S89)&lt;=0,N(Screener!$D$14)&lt;=0),0,MAX(0,1-ABS(LOG10(Database!$S89/Screener!$D$14))/0.6))</f>
        <v/>
      </c>
      <c r="K89">
        <f>IF(Database!$B89=Screener!$B$5,-999999,IF(ISNUMBER(SEARCH(","&amp;Database!$A89&amp;",",","&amp;SUBSTITUTE(Screener!$D$17," ","")&amp;",")),2000000,IF(IF(OR(Screener!$B$18="All",AND(Screener!$B$18="With A-share",(Database!$BL89="Y")),AND(Screener!$B$18="Without A-share",NOT((Database!$BL89="Y")))),1,0)=0,-999999,IF(Screener!$B$16="cornerstone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Database!BF77</f>
        <v/>
      </c>
      <c r="AF89">
        <f>Database!BL77</f>
        <v/>
      </c>
      <c r="AG89">
        <f>Database!H77</f>
        <v/>
      </c>
      <c r="AH89">
        <f>Database!BG77</f>
        <v/>
      </c>
    </row>
    <row r="90">
      <c r="A90">
        <f>Database!B90</f>
        <v/>
      </c>
      <c r="B90">
        <f>IF(AND(Screener!$D$8&lt;&gt;"",Database!$E90=Screener!$D$8),1,0)</f>
        <v/>
      </c>
      <c r="C90">
        <f>IF(AND(Screener!$D$7&lt;&gt;"",Database!$D90=Screener!$D$7),1,0)</f>
        <v/>
      </c>
      <c r="D90">
        <f>IF(OR(N(Database!$I90)&lt;=0,N(Screener!$D$9)&lt;=0),0,MAX(0,1-ABS(LOG10(N(Database!$I90)/Screener!$D$9))/W_SIZEHW))</f>
        <v/>
      </c>
      <c r="E90">
        <f>IF(OR(Database!$BF90="",Screener!$D$10=""),0,IF(Database!$BF90=Screener!$D$10,1,0))</f>
        <v/>
      </c>
      <c r="F90">
        <f>IF(OR(Database!$BL90="",Screener!$D$11=""),0,IF(Database!$BL90=Screener!$D$11,1,0))</f>
        <v/>
      </c>
      <c r="G90">
        <f>IF(OR(Database!$H90="",N(Screener!$D$12)&lt;=0),0,MAX(0,1-(N(Screener!$D$12)-Database!$H90)/W_RECD))</f>
        <v/>
      </c>
      <c r="H90">
        <f>IF($U$1="",0,N(ISNUMBER(SEARCH($U$1,Database!$AC90&amp;""))))+IF($V$1="",0,N(ISNUMBER(SEARCH($V$1,Database!$AC90&amp;""))))+IF($W$1="",0,N(ISNUMBER(SEARCH($W$1,Database!$AC90&amp;""))))+IF($X$1="",0,N(ISNUMBER(SEARCH($X$1,Database!$AC90&amp;""))))+IF($Y$1="",0,N(ISNUMBER(SEARCH($Y$1,Database!$AC90&amp;""))))+IF(Screener!$B$17="",0,N(ISNUMBER(SEARCH(LOWER(Screener!$B$17),Database!$AC90&amp;""))))</f>
        <v/>
      </c>
      <c r="I90">
        <f>IF(OR(N(Database!$BG90)&lt;=0,N(Screener!$D$13)&lt;=0),0,MAX(0,1-ABS(LOG10(N(Database!$BG90)/Screener!$D$13))/W_PEHW))</f>
        <v/>
      </c>
      <c r="J90">
        <f>IF(OR(N(Database!$S90)&lt;=0,N(Screener!$D$14)&lt;=0),0,MAX(0,1-ABS(LOG10(Database!$S90/Screener!$D$14))/0.6))</f>
        <v/>
      </c>
      <c r="K90">
        <f>IF(Database!$B90=Screener!$B$5,-999999,IF(ISNUMBER(SEARCH(","&amp;Database!$A90&amp;",",","&amp;SUBSTITUTE(Screener!$D$17," ","")&amp;",")),2000000,IF(IF(OR(Screener!$B$18="All",AND(Screener!$B$18="With A-share",(Database!$BL90="Y")),AND(Screener!$B$18="Without A-share",NOT((Database!$BL90="Y")))),1,0)=0,-999999,IF(Screener!$B$16="cornerstone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Database!BF78</f>
        <v/>
      </c>
      <c r="AF90">
        <f>Database!BL78</f>
        <v/>
      </c>
      <c r="AG90">
        <f>Database!H78</f>
        <v/>
      </c>
      <c r="AH90">
        <f>Database!BG78</f>
        <v/>
      </c>
    </row>
    <row r="91">
      <c r="A91">
        <f>Database!B91</f>
        <v/>
      </c>
      <c r="B91">
        <f>IF(AND(Screener!$D$8&lt;&gt;"",Database!$E91=Screener!$D$8),1,0)</f>
        <v/>
      </c>
      <c r="C91">
        <f>IF(AND(Screener!$D$7&lt;&gt;"",Database!$D91=Screener!$D$7),1,0)</f>
        <v/>
      </c>
      <c r="D91">
        <f>IF(OR(N(Database!$I91)&lt;=0,N(Screener!$D$9)&lt;=0),0,MAX(0,1-ABS(LOG10(N(Database!$I91)/Screener!$D$9))/W_SIZEHW))</f>
        <v/>
      </c>
      <c r="E91">
        <f>IF(OR(Database!$BF91="",Screener!$D$10=""),0,IF(Database!$BF91=Screener!$D$10,1,0))</f>
        <v/>
      </c>
      <c r="F91">
        <f>IF(OR(Database!$BL91="",Screener!$D$11=""),0,IF(Database!$BL91=Screener!$D$11,1,0))</f>
        <v/>
      </c>
      <c r="G91">
        <f>IF(OR(Database!$H91="",N(Screener!$D$12)&lt;=0),0,MAX(0,1-(N(Screener!$D$12)-Database!$H91)/W_RECD))</f>
        <v/>
      </c>
      <c r="H91">
        <f>IF($U$1="",0,N(ISNUMBER(SEARCH($U$1,Database!$AC91&amp;""))))+IF($V$1="",0,N(ISNUMBER(SEARCH($V$1,Database!$AC91&amp;""))))+IF($W$1="",0,N(ISNUMBER(SEARCH($W$1,Database!$AC91&amp;""))))+IF($X$1="",0,N(ISNUMBER(SEARCH($X$1,Database!$AC91&amp;""))))+IF($Y$1="",0,N(ISNUMBER(SEARCH($Y$1,Database!$AC91&amp;""))))+IF(Screener!$B$17="",0,N(ISNUMBER(SEARCH(LOWER(Screener!$B$17),Database!$AC91&amp;""))))</f>
        <v/>
      </c>
      <c r="I91">
        <f>IF(OR(N(Database!$BG91)&lt;=0,N(Screener!$D$13)&lt;=0),0,MAX(0,1-ABS(LOG10(N(Database!$BG91)/Screener!$D$13))/W_PEHW))</f>
        <v/>
      </c>
      <c r="J91">
        <f>IF(OR(N(Database!$S91)&lt;=0,N(Screener!$D$14)&lt;=0),0,MAX(0,1-ABS(LOG10(Database!$S91/Screener!$D$14))/0.6))</f>
        <v/>
      </c>
      <c r="K91">
        <f>IF(Database!$B91=Screener!$B$5,-999999,IF(ISNUMBER(SEARCH(","&amp;Database!$A91&amp;",",","&amp;SUBSTITUTE(Screener!$D$17," ","")&amp;",")),2000000,IF(IF(OR(Screener!$B$18="All",AND(Screener!$B$18="With A-share",(Database!$BL91="Y")),AND(Screener!$B$18="Without A-share",NOT((Database!$BL91="Y")))),1,0)=0,-999999,IF(Screener!$B$16="cornerstone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Database!BF79</f>
        <v/>
      </c>
      <c r="AF91">
        <f>Database!BL79</f>
        <v/>
      </c>
      <c r="AG91">
        <f>Database!H79</f>
        <v/>
      </c>
      <c r="AH91">
        <f>Database!BG79</f>
        <v/>
      </c>
    </row>
    <row r="92">
      <c r="A92">
        <f>Database!B92</f>
        <v/>
      </c>
      <c r="B92">
        <f>IF(AND(Screener!$D$8&lt;&gt;"",Database!$E92=Screener!$D$8),1,0)</f>
        <v/>
      </c>
      <c r="C92">
        <f>IF(AND(Screener!$D$7&lt;&gt;"",Database!$D92=Screener!$D$7),1,0)</f>
        <v/>
      </c>
      <c r="D92">
        <f>IF(OR(N(Database!$I92)&lt;=0,N(Screener!$D$9)&lt;=0),0,MAX(0,1-ABS(LOG10(N(Database!$I92)/Screener!$D$9))/W_SIZEHW))</f>
        <v/>
      </c>
      <c r="E92">
        <f>IF(OR(Database!$BF92="",Screener!$D$10=""),0,IF(Database!$BF92=Screener!$D$10,1,0))</f>
        <v/>
      </c>
      <c r="F92">
        <f>IF(OR(Database!$BL92="",Screener!$D$11=""),0,IF(Database!$BL92=Screener!$D$11,1,0))</f>
        <v/>
      </c>
      <c r="G92">
        <f>IF(OR(Database!$H92="",N(Screener!$D$12)&lt;=0),0,MAX(0,1-(N(Screener!$D$12)-Database!$H92)/W_RECD))</f>
        <v/>
      </c>
      <c r="H92">
        <f>IF($U$1="",0,N(ISNUMBER(SEARCH($U$1,Database!$AC92&amp;""))))+IF($V$1="",0,N(ISNUMBER(SEARCH($V$1,Database!$AC92&amp;""))))+IF($W$1="",0,N(ISNUMBER(SEARCH($W$1,Database!$AC92&amp;""))))+IF($X$1="",0,N(ISNUMBER(SEARCH($X$1,Database!$AC92&amp;""))))+IF($Y$1="",0,N(ISNUMBER(SEARCH($Y$1,Database!$AC92&amp;""))))+IF(Screener!$B$17="",0,N(ISNUMBER(SEARCH(LOWER(Screener!$B$17),Database!$AC92&amp;""))))</f>
        <v/>
      </c>
      <c r="I92">
        <f>IF(OR(N(Database!$BG92)&lt;=0,N(Screener!$D$13)&lt;=0),0,MAX(0,1-ABS(LOG10(N(Database!$BG92)/Screener!$D$13))/W_PEHW))</f>
        <v/>
      </c>
      <c r="J92">
        <f>IF(OR(N(Database!$S92)&lt;=0,N(Screener!$D$14)&lt;=0),0,MAX(0,1-ABS(LOG10(Database!$S92/Screener!$D$14))/0.6))</f>
        <v/>
      </c>
      <c r="K92">
        <f>IF(Database!$B92=Screener!$B$5,-999999,IF(ISNUMBER(SEARCH(","&amp;Database!$A92&amp;",",","&amp;SUBSTITUTE(Screener!$D$17," ","")&amp;",")),2000000,IF(IF(OR(Screener!$B$18="All",AND(Screener!$B$18="With A-share",(Database!$BL92="Y")),AND(Screener!$B$18="Without A-share",NOT((Database!$BL92="Y")))),1,0)=0,-999999,IF(Screener!$B$16="cornerstone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Database!BF80</f>
        <v/>
      </c>
      <c r="AF92">
        <f>Database!BL80</f>
        <v/>
      </c>
      <c r="AG92">
        <f>Database!H80</f>
        <v/>
      </c>
      <c r="AH92">
        <f>Database!BG80</f>
        <v/>
      </c>
    </row>
    <row r="93">
      <c r="A93">
        <f>Database!B93</f>
        <v/>
      </c>
      <c r="B93">
        <f>IF(AND(Screener!$D$8&lt;&gt;"",Database!$E93=Screener!$D$8),1,0)</f>
        <v/>
      </c>
      <c r="C93">
        <f>IF(AND(Screener!$D$7&lt;&gt;"",Database!$D93=Screener!$D$7),1,0)</f>
        <v/>
      </c>
      <c r="D93">
        <f>IF(OR(N(Database!$I93)&lt;=0,N(Screener!$D$9)&lt;=0),0,MAX(0,1-ABS(LOG10(N(Database!$I93)/Screener!$D$9))/W_SIZEHW))</f>
        <v/>
      </c>
      <c r="E93">
        <f>IF(OR(Database!$BF93="",Screener!$D$10=""),0,IF(Database!$BF93=Screener!$D$10,1,0))</f>
        <v/>
      </c>
      <c r="F93">
        <f>IF(OR(Database!$BL93="",Screener!$D$11=""),0,IF(Database!$BL93=Screener!$D$11,1,0))</f>
        <v/>
      </c>
      <c r="G93">
        <f>IF(OR(Database!$H93="",N(Screener!$D$12)&lt;=0),0,MAX(0,1-(N(Screener!$D$12)-Database!$H93)/W_RECD))</f>
        <v/>
      </c>
      <c r="H93">
        <f>IF($U$1="",0,N(ISNUMBER(SEARCH($U$1,Database!$AC93&amp;""))))+IF($V$1="",0,N(ISNUMBER(SEARCH($V$1,Database!$AC93&amp;""))))+IF($W$1="",0,N(ISNUMBER(SEARCH($W$1,Database!$AC93&amp;""))))+IF($X$1="",0,N(ISNUMBER(SEARCH($X$1,Database!$AC93&amp;""))))+IF($Y$1="",0,N(ISNUMBER(SEARCH($Y$1,Database!$AC93&amp;""))))+IF(Screener!$B$17="",0,N(ISNUMBER(SEARCH(LOWER(Screener!$B$17),Database!$AC93&amp;""))))</f>
        <v/>
      </c>
      <c r="I93">
        <f>IF(OR(N(Database!$BG93)&lt;=0,N(Screener!$D$13)&lt;=0),0,MAX(0,1-ABS(LOG10(N(Database!$BG93)/Screener!$D$13))/W_PEHW))</f>
        <v/>
      </c>
      <c r="J93">
        <f>IF(OR(N(Database!$S93)&lt;=0,N(Screener!$D$14)&lt;=0),0,MAX(0,1-ABS(LOG10(Database!$S93/Screener!$D$14))/0.6))</f>
        <v/>
      </c>
      <c r="K93">
        <f>IF(Database!$B93=Screener!$B$5,-999999,IF(ISNUMBER(SEARCH(","&amp;Database!$A93&amp;",",","&amp;SUBSTITUTE(Screener!$D$17," ","")&amp;",")),2000000,IF(IF(OR(Screener!$B$18="All",AND(Screener!$B$18="With A-share",(Database!$BL93="Y")),AND(Screener!$B$18="Without A-share",NOT((Database!$BL93="Y")))),1,0)=0,-999999,IF(Screener!$B$16="cornerstone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Database!BF81</f>
        <v/>
      </c>
      <c r="AF93">
        <f>Database!BL81</f>
        <v/>
      </c>
      <c r="AG93">
        <f>Database!H81</f>
        <v/>
      </c>
      <c r="AH93">
        <f>Database!BG81</f>
        <v/>
      </c>
    </row>
    <row r="94">
      <c r="A94">
        <f>Database!B94</f>
        <v/>
      </c>
      <c r="B94">
        <f>IF(AND(Screener!$D$8&lt;&gt;"",Database!$E94=Screener!$D$8),1,0)</f>
        <v/>
      </c>
      <c r="C94">
        <f>IF(AND(Screener!$D$7&lt;&gt;"",Database!$D94=Screener!$D$7),1,0)</f>
        <v/>
      </c>
      <c r="D94">
        <f>IF(OR(N(Database!$I94)&lt;=0,N(Screener!$D$9)&lt;=0),0,MAX(0,1-ABS(LOG10(N(Database!$I94)/Screener!$D$9))/W_SIZEHW))</f>
        <v/>
      </c>
      <c r="E94">
        <f>IF(OR(Database!$BF94="",Screener!$D$10=""),0,IF(Database!$BF94=Screener!$D$10,1,0))</f>
        <v/>
      </c>
      <c r="F94">
        <f>IF(OR(Database!$BL94="",Screener!$D$11=""),0,IF(Database!$BL94=Screener!$D$11,1,0))</f>
        <v/>
      </c>
      <c r="G94">
        <f>IF(OR(Database!$H94="",N(Screener!$D$12)&lt;=0),0,MAX(0,1-(N(Screener!$D$12)-Database!$H94)/W_RECD))</f>
        <v/>
      </c>
      <c r="H94">
        <f>IF($U$1="",0,N(ISNUMBER(SEARCH($U$1,Database!$AC94&amp;""))))+IF($V$1="",0,N(ISNUMBER(SEARCH($V$1,Database!$AC94&amp;""))))+IF($W$1="",0,N(ISNUMBER(SEARCH($W$1,Database!$AC94&amp;""))))+IF($X$1="",0,N(ISNUMBER(SEARCH($X$1,Database!$AC94&amp;""))))+IF($Y$1="",0,N(ISNUMBER(SEARCH($Y$1,Database!$AC94&amp;""))))+IF(Screener!$B$17="",0,N(ISNUMBER(SEARCH(LOWER(Screener!$B$17),Database!$AC94&amp;""))))</f>
        <v/>
      </c>
      <c r="I94">
        <f>IF(OR(N(Database!$BG94)&lt;=0,N(Screener!$D$13)&lt;=0),0,MAX(0,1-ABS(LOG10(N(Database!$BG94)/Screener!$D$13))/W_PEHW))</f>
        <v/>
      </c>
      <c r="J94">
        <f>IF(OR(N(Database!$S94)&lt;=0,N(Screener!$D$14)&lt;=0),0,MAX(0,1-ABS(LOG10(Database!$S94/Screener!$D$14))/0.6))</f>
        <v/>
      </c>
      <c r="K94">
        <f>IF(Database!$B94=Screener!$B$5,-999999,IF(ISNUMBER(SEARCH(","&amp;Database!$A94&amp;",",","&amp;SUBSTITUTE(Screener!$D$17," ","")&amp;",")),2000000,IF(IF(OR(Screener!$B$18="All",AND(Screener!$B$18="With A-share",(Database!$BL94="Y")),AND(Screener!$B$18="Without A-share",NOT((Database!$BL94="Y")))),1,0)=0,-999999,IF(Screener!$B$16="cornerstone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Database!BF82</f>
        <v/>
      </c>
      <c r="AF94">
        <f>Database!BL82</f>
        <v/>
      </c>
      <c r="AG94">
        <f>Database!H82</f>
        <v/>
      </c>
      <c r="AH94">
        <f>Database!BG82</f>
        <v/>
      </c>
    </row>
    <row r="95">
      <c r="A95">
        <f>Database!B95</f>
        <v/>
      </c>
      <c r="B95">
        <f>IF(AND(Screener!$D$8&lt;&gt;"",Database!$E95=Screener!$D$8),1,0)</f>
        <v/>
      </c>
      <c r="C95">
        <f>IF(AND(Screener!$D$7&lt;&gt;"",Database!$D95=Screener!$D$7),1,0)</f>
        <v/>
      </c>
      <c r="D95">
        <f>IF(OR(N(Database!$I95)&lt;=0,N(Screener!$D$9)&lt;=0),0,MAX(0,1-ABS(LOG10(N(Database!$I95)/Screener!$D$9))/W_SIZEHW))</f>
        <v/>
      </c>
      <c r="E95">
        <f>IF(OR(Database!$BF95="",Screener!$D$10=""),0,IF(Database!$BF95=Screener!$D$10,1,0))</f>
        <v/>
      </c>
      <c r="F95">
        <f>IF(OR(Database!$BL95="",Screener!$D$11=""),0,IF(Database!$BL95=Screener!$D$11,1,0))</f>
        <v/>
      </c>
      <c r="G95">
        <f>IF(OR(Database!$H95="",N(Screener!$D$12)&lt;=0),0,MAX(0,1-(N(Screener!$D$12)-Database!$H95)/W_RECD))</f>
        <v/>
      </c>
      <c r="H95">
        <f>IF($U$1="",0,N(ISNUMBER(SEARCH($U$1,Database!$AC95&amp;""))))+IF($V$1="",0,N(ISNUMBER(SEARCH($V$1,Database!$AC95&amp;""))))+IF($W$1="",0,N(ISNUMBER(SEARCH($W$1,Database!$AC95&amp;""))))+IF($X$1="",0,N(ISNUMBER(SEARCH($X$1,Database!$AC95&amp;""))))+IF($Y$1="",0,N(ISNUMBER(SEARCH($Y$1,Database!$AC95&amp;""))))+IF(Screener!$B$17="",0,N(ISNUMBER(SEARCH(LOWER(Screener!$B$17),Database!$AC95&amp;""))))</f>
        <v/>
      </c>
      <c r="I95">
        <f>IF(OR(N(Database!$BG95)&lt;=0,N(Screener!$D$13)&lt;=0),0,MAX(0,1-ABS(LOG10(N(Database!$BG95)/Screener!$D$13))/W_PEHW))</f>
        <v/>
      </c>
      <c r="J95">
        <f>IF(OR(N(Database!$S95)&lt;=0,N(Screener!$D$14)&lt;=0),0,MAX(0,1-ABS(LOG10(Database!$S95/Screener!$D$14))/0.6))</f>
        <v/>
      </c>
      <c r="K95">
        <f>IF(Database!$B95=Screener!$B$5,-999999,IF(ISNUMBER(SEARCH(","&amp;Database!$A95&amp;",",","&amp;SUBSTITUTE(Screener!$D$17," ","")&amp;",")),2000000,IF(IF(OR(Screener!$B$18="All",AND(Screener!$B$18="With A-share",(Database!$BL95="Y")),AND(Screener!$B$18="Without A-share",NOT((Database!$BL95="Y")))),1,0)=0,-999999,IF(Screener!$B$16="cornerstone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Database!BF83</f>
        <v/>
      </c>
      <c r="AF95">
        <f>Database!BL83</f>
        <v/>
      </c>
      <c r="AG95">
        <f>Database!H83</f>
        <v/>
      </c>
      <c r="AH95">
        <f>Database!BG83</f>
        <v/>
      </c>
    </row>
    <row r="96">
      <c r="A96">
        <f>Database!B96</f>
        <v/>
      </c>
      <c r="B96">
        <f>IF(AND(Screener!$D$8&lt;&gt;"",Database!$E96=Screener!$D$8),1,0)</f>
        <v/>
      </c>
      <c r="C96">
        <f>IF(AND(Screener!$D$7&lt;&gt;"",Database!$D96=Screener!$D$7),1,0)</f>
        <v/>
      </c>
      <c r="D96">
        <f>IF(OR(N(Database!$I96)&lt;=0,N(Screener!$D$9)&lt;=0),0,MAX(0,1-ABS(LOG10(N(Database!$I96)/Screener!$D$9))/W_SIZEHW))</f>
        <v/>
      </c>
      <c r="E96">
        <f>IF(OR(Database!$BF96="",Screener!$D$10=""),0,IF(Database!$BF96=Screener!$D$10,1,0))</f>
        <v/>
      </c>
      <c r="F96">
        <f>IF(OR(Database!$BL96="",Screener!$D$11=""),0,IF(Database!$BL96=Screener!$D$11,1,0))</f>
        <v/>
      </c>
      <c r="G96">
        <f>IF(OR(Database!$H96="",N(Screener!$D$12)&lt;=0),0,MAX(0,1-(N(Screener!$D$12)-Database!$H96)/W_RECD))</f>
        <v/>
      </c>
      <c r="H96">
        <f>IF($U$1="",0,N(ISNUMBER(SEARCH($U$1,Database!$AC96&amp;""))))+IF($V$1="",0,N(ISNUMBER(SEARCH($V$1,Database!$AC96&amp;""))))+IF($W$1="",0,N(ISNUMBER(SEARCH($W$1,Database!$AC96&amp;""))))+IF($X$1="",0,N(ISNUMBER(SEARCH($X$1,Database!$AC96&amp;""))))+IF($Y$1="",0,N(ISNUMBER(SEARCH($Y$1,Database!$AC96&amp;""))))+IF(Screener!$B$17="",0,N(ISNUMBER(SEARCH(LOWER(Screener!$B$17),Database!$AC96&amp;""))))</f>
        <v/>
      </c>
      <c r="I96">
        <f>IF(OR(N(Database!$BG96)&lt;=0,N(Screener!$D$13)&lt;=0),0,MAX(0,1-ABS(LOG10(N(Database!$BG96)/Screener!$D$13))/W_PEHW))</f>
        <v/>
      </c>
      <c r="J96">
        <f>IF(OR(N(Database!$S96)&lt;=0,N(Screener!$D$14)&lt;=0),0,MAX(0,1-ABS(LOG10(Database!$S96/Screener!$D$14))/0.6))</f>
        <v/>
      </c>
      <c r="K96">
        <f>IF(Database!$B96=Screener!$B$5,-999999,IF(ISNUMBER(SEARCH(","&amp;Database!$A96&amp;",",","&amp;SUBSTITUTE(Screener!$D$17," ","")&amp;",")),2000000,IF(IF(OR(Screener!$B$18="All",AND(Screener!$B$18="With A-share",(Database!$BL96="Y")),AND(Screener!$B$18="Without A-share",NOT((Database!$BL96="Y")))),1,0)=0,-999999,IF(Screener!$B$16="cornerstone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Database!BF84</f>
        <v/>
      </c>
      <c r="AF96">
        <f>Database!BL84</f>
        <v/>
      </c>
      <c r="AG96">
        <f>Database!H84</f>
        <v/>
      </c>
      <c r="AH96">
        <f>Database!BG84</f>
        <v/>
      </c>
    </row>
    <row r="97">
      <c r="A97">
        <f>Database!B97</f>
        <v/>
      </c>
      <c r="B97">
        <f>IF(AND(Screener!$D$8&lt;&gt;"",Database!$E97=Screener!$D$8),1,0)</f>
        <v/>
      </c>
      <c r="C97">
        <f>IF(AND(Screener!$D$7&lt;&gt;"",Database!$D97=Screener!$D$7),1,0)</f>
        <v/>
      </c>
      <c r="D97">
        <f>IF(OR(N(Database!$I97)&lt;=0,N(Screener!$D$9)&lt;=0),0,MAX(0,1-ABS(LOG10(N(Database!$I97)/Screener!$D$9))/W_SIZEHW))</f>
        <v/>
      </c>
      <c r="E97">
        <f>IF(OR(Database!$BF97="",Screener!$D$10=""),0,IF(Database!$BF97=Screener!$D$10,1,0))</f>
        <v/>
      </c>
      <c r="F97">
        <f>IF(OR(Database!$BL97="",Screener!$D$11=""),0,IF(Database!$BL97=Screener!$D$11,1,0))</f>
        <v/>
      </c>
      <c r="G97">
        <f>IF(OR(Database!$H97="",N(Screener!$D$12)&lt;=0),0,MAX(0,1-(N(Screener!$D$12)-Database!$H97)/W_RECD))</f>
        <v/>
      </c>
      <c r="H97">
        <f>IF($U$1="",0,N(ISNUMBER(SEARCH($U$1,Database!$AC97&amp;""))))+IF($V$1="",0,N(ISNUMBER(SEARCH($V$1,Database!$AC97&amp;""))))+IF($W$1="",0,N(ISNUMBER(SEARCH($W$1,Database!$AC97&amp;""))))+IF($X$1="",0,N(ISNUMBER(SEARCH($X$1,Database!$AC97&amp;""))))+IF($Y$1="",0,N(ISNUMBER(SEARCH($Y$1,Database!$AC97&amp;""))))+IF(Screener!$B$17="",0,N(ISNUMBER(SEARCH(LOWER(Screener!$B$17),Database!$AC97&amp;""))))</f>
        <v/>
      </c>
      <c r="I97">
        <f>IF(OR(N(Database!$BG97)&lt;=0,N(Screener!$D$13)&lt;=0),0,MAX(0,1-ABS(LOG10(N(Database!$BG97)/Screener!$D$13))/W_PEHW))</f>
        <v/>
      </c>
      <c r="J97">
        <f>IF(OR(N(Database!$S97)&lt;=0,N(Screener!$D$14)&lt;=0),0,MAX(0,1-ABS(LOG10(Database!$S97/Screener!$D$14))/0.6))</f>
        <v/>
      </c>
      <c r="K97">
        <f>IF(Database!$B97=Screener!$B$5,-999999,IF(ISNUMBER(SEARCH(","&amp;Database!$A97&amp;",",","&amp;SUBSTITUTE(Screener!$D$17," ","")&amp;",")),2000000,IF(IF(OR(Screener!$B$18="All",AND(Screener!$B$18="With A-share",(Database!$BL97="Y")),AND(Screener!$B$18="Without A-share",NOT((Database!$BL97="Y")))),1,0)=0,-999999,IF(Screener!$B$16="cornerstone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Database!BF85</f>
        <v/>
      </c>
      <c r="AF97">
        <f>Database!BL85</f>
        <v/>
      </c>
      <c r="AG97">
        <f>Database!H85</f>
        <v/>
      </c>
      <c r="AH97">
        <f>Database!BG85</f>
        <v/>
      </c>
    </row>
    <row r="98">
      <c r="A98">
        <f>Database!B98</f>
        <v/>
      </c>
      <c r="B98">
        <f>IF(AND(Screener!$D$8&lt;&gt;"",Database!$E98=Screener!$D$8),1,0)</f>
        <v/>
      </c>
      <c r="C98">
        <f>IF(AND(Screener!$D$7&lt;&gt;"",Database!$D98=Screener!$D$7),1,0)</f>
        <v/>
      </c>
      <c r="D98">
        <f>IF(OR(N(Database!$I98)&lt;=0,N(Screener!$D$9)&lt;=0),0,MAX(0,1-ABS(LOG10(N(Database!$I98)/Screener!$D$9))/W_SIZEHW))</f>
        <v/>
      </c>
      <c r="E98">
        <f>IF(OR(Database!$BF98="",Screener!$D$10=""),0,IF(Database!$BF98=Screener!$D$10,1,0))</f>
        <v/>
      </c>
      <c r="F98">
        <f>IF(OR(Database!$BL98="",Screener!$D$11=""),0,IF(Database!$BL98=Screener!$D$11,1,0))</f>
        <v/>
      </c>
      <c r="G98">
        <f>IF(OR(Database!$H98="",N(Screener!$D$12)&lt;=0),0,MAX(0,1-(N(Screener!$D$12)-Database!$H98)/W_RECD))</f>
        <v/>
      </c>
      <c r="H98">
        <f>IF($U$1="",0,N(ISNUMBER(SEARCH($U$1,Database!$AC98&amp;""))))+IF($V$1="",0,N(ISNUMBER(SEARCH($V$1,Database!$AC98&amp;""))))+IF($W$1="",0,N(ISNUMBER(SEARCH($W$1,Database!$AC98&amp;""))))+IF($X$1="",0,N(ISNUMBER(SEARCH($X$1,Database!$AC98&amp;""))))+IF($Y$1="",0,N(ISNUMBER(SEARCH($Y$1,Database!$AC98&amp;""))))+IF(Screener!$B$17="",0,N(ISNUMBER(SEARCH(LOWER(Screener!$B$17),Database!$AC98&amp;""))))</f>
        <v/>
      </c>
      <c r="I98">
        <f>IF(OR(N(Database!$BG98)&lt;=0,N(Screener!$D$13)&lt;=0),0,MAX(0,1-ABS(LOG10(N(Database!$BG98)/Screener!$D$13))/W_PEHW))</f>
        <v/>
      </c>
      <c r="J98">
        <f>IF(OR(N(Database!$S98)&lt;=0,N(Screener!$D$14)&lt;=0),0,MAX(0,1-ABS(LOG10(Database!$S98/Screener!$D$14))/0.6))</f>
        <v/>
      </c>
      <c r="K98">
        <f>IF(Database!$B98=Screener!$B$5,-999999,IF(ISNUMBER(SEARCH(","&amp;Database!$A98&amp;",",","&amp;SUBSTITUTE(Screener!$D$17," ","")&amp;",")),2000000,IF(IF(OR(Screener!$B$18="All",AND(Screener!$B$18="With A-share",(Database!$BL98="Y")),AND(Screener!$B$18="Without A-share",NOT((Database!$BL98="Y")))),1,0)=0,-999999,IF(Screener!$B$16="cornerstone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Database!BF86</f>
        <v/>
      </c>
      <c r="AF98">
        <f>Database!BL86</f>
        <v/>
      </c>
      <c r="AG98">
        <f>Database!H86</f>
        <v/>
      </c>
      <c r="AH98">
        <f>Database!BG86</f>
        <v/>
      </c>
    </row>
    <row r="99">
      <c r="A99">
        <f>Database!B99</f>
        <v/>
      </c>
      <c r="B99">
        <f>IF(AND(Screener!$D$8&lt;&gt;"",Database!$E99=Screener!$D$8),1,0)</f>
        <v/>
      </c>
      <c r="C99">
        <f>IF(AND(Screener!$D$7&lt;&gt;"",Database!$D99=Screener!$D$7),1,0)</f>
        <v/>
      </c>
      <c r="D99">
        <f>IF(OR(N(Database!$I99)&lt;=0,N(Screener!$D$9)&lt;=0),0,MAX(0,1-ABS(LOG10(N(Database!$I99)/Screener!$D$9))/W_SIZEHW))</f>
        <v/>
      </c>
      <c r="E99">
        <f>IF(OR(Database!$BF99="",Screener!$D$10=""),0,IF(Database!$BF99=Screener!$D$10,1,0))</f>
        <v/>
      </c>
      <c r="F99">
        <f>IF(OR(Database!$BL99="",Screener!$D$11=""),0,IF(Database!$BL99=Screener!$D$11,1,0))</f>
        <v/>
      </c>
      <c r="G99">
        <f>IF(OR(Database!$H99="",N(Screener!$D$12)&lt;=0),0,MAX(0,1-(N(Screener!$D$12)-Database!$H99)/W_RECD))</f>
        <v/>
      </c>
      <c r="H99">
        <f>IF($U$1="",0,N(ISNUMBER(SEARCH($U$1,Database!$AC99&amp;""))))+IF($V$1="",0,N(ISNUMBER(SEARCH($V$1,Database!$AC99&amp;""))))+IF($W$1="",0,N(ISNUMBER(SEARCH($W$1,Database!$AC99&amp;""))))+IF($X$1="",0,N(ISNUMBER(SEARCH($X$1,Database!$AC99&amp;""))))+IF($Y$1="",0,N(ISNUMBER(SEARCH($Y$1,Database!$AC99&amp;""))))+IF(Screener!$B$17="",0,N(ISNUMBER(SEARCH(LOWER(Screener!$B$17),Database!$AC99&amp;""))))</f>
        <v/>
      </c>
      <c r="I99">
        <f>IF(OR(N(Database!$BG99)&lt;=0,N(Screener!$D$13)&lt;=0),0,MAX(0,1-ABS(LOG10(N(Database!$BG99)/Screener!$D$13))/W_PEHW))</f>
        <v/>
      </c>
      <c r="J99">
        <f>IF(OR(N(Database!$S99)&lt;=0,N(Screener!$D$14)&lt;=0),0,MAX(0,1-ABS(LOG10(Database!$S99/Screener!$D$14))/0.6))</f>
        <v/>
      </c>
      <c r="K99">
        <f>IF(Database!$B99=Screener!$B$5,-999999,IF(ISNUMBER(SEARCH(","&amp;Database!$A99&amp;",",","&amp;SUBSTITUTE(Screener!$D$17," ","")&amp;",")),2000000,IF(IF(OR(Screener!$B$18="All",AND(Screener!$B$18="With A-share",(Database!$BL99="Y")),AND(Screener!$B$18="Without A-share",NOT((Database!$BL99="Y")))),1,0)=0,-999999,IF(Screener!$B$16="cornerstone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Database!BF87</f>
        <v/>
      </c>
      <c r="AF99">
        <f>Database!BL87</f>
        <v/>
      </c>
      <c r="AG99">
        <f>Database!H87</f>
        <v/>
      </c>
      <c r="AH99">
        <f>Database!BG87</f>
        <v/>
      </c>
    </row>
    <row r="100">
      <c r="A100">
        <f>Database!B100</f>
        <v/>
      </c>
      <c r="B100">
        <f>IF(AND(Screener!$D$8&lt;&gt;"",Database!$E100=Screener!$D$8),1,0)</f>
        <v/>
      </c>
      <c r="C100">
        <f>IF(AND(Screener!$D$7&lt;&gt;"",Database!$D100=Screener!$D$7),1,0)</f>
        <v/>
      </c>
      <c r="D100">
        <f>IF(OR(N(Database!$I100)&lt;=0,N(Screener!$D$9)&lt;=0),0,MAX(0,1-ABS(LOG10(N(Database!$I100)/Screener!$D$9))/W_SIZEHW))</f>
        <v/>
      </c>
      <c r="E100">
        <f>IF(OR(Database!$BF100="",Screener!$D$10=""),0,IF(Database!$BF100=Screener!$D$10,1,0))</f>
        <v/>
      </c>
      <c r="F100">
        <f>IF(OR(Database!$BL100="",Screener!$D$11=""),0,IF(Database!$BL100=Screener!$D$11,1,0))</f>
        <v/>
      </c>
      <c r="G100">
        <f>IF(OR(Database!$H100="",N(Screener!$D$12)&lt;=0),0,MAX(0,1-(N(Screener!$D$12)-Database!$H100)/W_RECD))</f>
        <v/>
      </c>
      <c r="H100">
        <f>IF($U$1="",0,N(ISNUMBER(SEARCH($U$1,Database!$AC100&amp;""))))+IF($V$1="",0,N(ISNUMBER(SEARCH($V$1,Database!$AC100&amp;""))))+IF($W$1="",0,N(ISNUMBER(SEARCH($W$1,Database!$AC100&amp;""))))+IF($X$1="",0,N(ISNUMBER(SEARCH($X$1,Database!$AC100&amp;""))))+IF($Y$1="",0,N(ISNUMBER(SEARCH($Y$1,Database!$AC100&amp;""))))+IF(Screener!$B$17="",0,N(ISNUMBER(SEARCH(LOWER(Screener!$B$17),Database!$AC100&amp;""))))</f>
        <v/>
      </c>
      <c r="I100">
        <f>IF(OR(N(Database!$BG100)&lt;=0,N(Screener!$D$13)&lt;=0),0,MAX(0,1-ABS(LOG10(N(Database!$BG100)/Screener!$D$13))/W_PEHW))</f>
        <v/>
      </c>
      <c r="J100">
        <f>IF(OR(N(Database!$S100)&lt;=0,N(Screener!$D$14)&lt;=0),0,MAX(0,1-ABS(LOG10(Database!$S100/Screener!$D$14))/0.6))</f>
        <v/>
      </c>
      <c r="K100">
        <f>IF(Database!$B100=Screener!$B$5,-999999,IF(ISNUMBER(SEARCH(","&amp;Database!$A100&amp;",",","&amp;SUBSTITUTE(Screener!$D$17," ","")&amp;",")),2000000,IF(IF(OR(Screener!$B$18="All",AND(Screener!$B$18="With A-share",(Database!$BL100="Y")),AND(Screener!$B$18="Without A-share",NOT((Database!$BL100="Y")))),1,0)=0,-999999,IF(Screener!$B$16="cornerstone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Database!BF88</f>
        <v/>
      </c>
      <c r="AF100">
        <f>Database!BL88</f>
        <v/>
      </c>
      <c r="AG100">
        <f>Database!H88</f>
        <v/>
      </c>
      <c r="AH100">
        <f>Database!BG88</f>
        <v/>
      </c>
    </row>
    <row r="101">
      <c r="A101">
        <f>Database!B101</f>
        <v/>
      </c>
      <c r="B101">
        <f>IF(AND(Screener!$D$8&lt;&gt;"",Database!$E101=Screener!$D$8),1,0)</f>
        <v/>
      </c>
      <c r="C101">
        <f>IF(AND(Screener!$D$7&lt;&gt;"",Database!$D101=Screener!$D$7),1,0)</f>
        <v/>
      </c>
      <c r="D101">
        <f>IF(OR(N(Database!$I101)&lt;=0,N(Screener!$D$9)&lt;=0),0,MAX(0,1-ABS(LOG10(N(Database!$I101)/Screener!$D$9))/W_SIZEHW))</f>
        <v/>
      </c>
      <c r="E101">
        <f>IF(OR(Database!$BF101="",Screener!$D$10=""),0,IF(Database!$BF101=Screener!$D$10,1,0))</f>
        <v/>
      </c>
      <c r="F101">
        <f>IF(OR(Database!$BL101="",Screener!$D$11=""),0,IF(Database!$BL101=Screener!$D$11,1,0))</f>
        <v/>
      </c>
      <c r="G101">
        <f>IF(OR(Database!$H101="",N(Screener!$D$12)&lt;=0),0,MAX(0,1-(N(Screener!$D$12)-Database!$H101)/W_RECD))</f>
        <v/>
      </c>
      <c r="H101">
        <f>IF($U$1="",0,N(ISNUMBER(SEARCH($U$1,Database!$AC101&amp;""))))+IF($V$1="",0,N(ISNUMBER(SEARCH($V$1,Database!$AC101&amp;""))))+IF($W$1="",0,N(ISNUMBER(SEARCH($W$1,Database!$AC101&amp;""))))+IF($X$1="",0,N(ISNUMBER(SEARCH($X$1,Database!$AC101&amp;""))))+IF($Y$1="",0,N(ISNUMBER(SEARCH($Y$1,Database!$AC101&amp;""))))+IF(Screener!$B$17="",0,N(ISNUMBER(SEARCH(LOWER(Screener!$B$17),Database!$AC101&amp;""))))</f>
        <v/>
      </c>
      <c r="I101">
        <f>IF(OR(N(Database!$BG101)&lt;=0,N(Screener!$D$13)&lt;=0),0,MAX(0,1-ABS(LOG10(N(Database!$BG101)/Screener!$D$13))/W_PEHW))</f>
        <v/>
      </c>
      <c r="J101">
        <f>IF(OR(N(Database!$S101)&lt;=0,N(Screener!$D$14)&lt;=0),0,MAX(0,1-ABS(LOG10(Database!$S101/Screener!$D$14))/0.6))</f>
        <v/>
      </c>
      <c r="K101">
        <f>IF(Database!$B101=Screener!$B$5,-999999,IF(ISNUMBER(SEARCH(","&amp;Database!$A101&amp;",",","&amp;SUBSTITUTE(Screener!$D$17," ","")&amp;",")),2000000,IF(IF(OR(Screener!$B$18="All",AND(Screener!$B$18="With A-share",(Database!$BL101="Y")),AND(Screener!$B$18="Without A-share",NOT((Database!$BL101="Y")))),1,0)=0,-999999,IF(Screener!$B$16="cornerstone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Database!BF89</f>
        <v/>
      </c>
      <c r="AF101">
        <f>Database!BL89</f>
        <v/>
      </c>
      <c r="AG101">
        <f>Database!H89</f>
        <v/>
      </c>
      <c r="AH101">
        <f>Database!BG89</f>
        <v/>
      </c>
    </row>
    <row r="102">
      <c r="A102">
        <f>Database!B102</f>
        <v/>
      </c>
      <c r="B102">
        <f>IF(AND(Screener!$D$8&lt;&gt;"",Database!$E102=Screener!$D$8),1,0)</f>
        <v/>
      </c>
      <c r="C102">
        <f>IF(AND(Screener!$D$7&lt;&gt;"",Database!$D102=Screener!$D$7),1,0)</f>
        <v/>
      </c>
      <c r="D102">
        <f>IF(OR(N(Database!$I102)&lt;=0,N(Screener!$D$9)&lt;=0),0,MAX(0,1-ABS(LOG10(N(Database!$I102)/Screener!$D$9))/W_SIZEHW))</f>
        <v/>
      </c>
      <c r="E102">
        <f>IF(OR(Database!$BF102="",Screener!$D$10=""),0,IF(Database!$BF102=Screener!$D$10,1,0))</f>
        <v/>
      </c>
      <c r="F102">
        <f>IF(OR(Database!$BL102="",Screener!$D$11=""),0,IF(Database!$BL102=Screener!$D$11,1,0))</f>
        <v/>
      </c>
      <c r="G102">
        <f>IF(OR(Database!$H102="",N(Screener!$D$12)&lt;=0),0,MAX(0,1-(N(Screener!$D$12)-Database!$H102)/W_RECD))</f>
        <v/>
      </c>
      <c r="H102">
        <f>IF($U$1="",0,N(ISNUMBER(SEARCH($U$1,Database!$AC102&amp;""))))+IF($V$1="",0,N(ISNUMBER(SEARCH($V$1,Database!$AC102&amp;""))))+IF($W$1="",0,N(ISNUMBER(SEARCH($W$1,Database!$AC102&amp;""))))+IF($X$1="",0,N(ISNUMBER(SEARCH($X$1,Database!$AC102&amp;""))))+IF($Y$1="",0,N(ISNUMBER(SEARCH($Y$1,Database!$AC102&amp;""))))+IF(Screener!$B$17="",0,N(ISNUMBER(SEARCH(LOWER(Screener!$B$17),Database!$AC102&amp;""))))</f>
        <v/>
      </c>
      <c r="I102">
        <f>IF(OR(N(Database!$BG102)&lt;=0,N(Screener!$D$13)&lt;=0),0,MAX(0,1-ABS(LOG10(N(Database!$BG102)/Screener!$D$13))/W_PEHW))</f>
        <v/>
      </c>
      <c r="J102">
        <f>IF(OR(N(Database!$S102)&lt;=0,N(Screener!$D$14)&lt;=0),0,MAX(0,1-ABS(LOG10(Database!$S102/Screener!$D$14))/0.6))</f>
        <v/>
      </c>
      <c r="K102">
        <f>IF(Database!$B102=Screener!$B$5,-999999,IF(ISNUMBER(SEARCH(","&amp;Database!$A102&amp;",",","&amp;SUBSTITUTE(Screener!$D$17," ","")&amp;",")),2000000,IF(IF(OR(Screener!$B$18="All",AND(Screener!$B$18="With A-share",(Database!$BL102="Y")),AND(Screener!$B$18="Without A-share",NOT((Database!$BL102="Y")))),1,0)=0,-999999,IF(Screener!$B$16="cornerstone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Database!BF90</f>
        <v/>
      </c>
      <c r="AF102">
        <f>Database!BL90</f>
        <v/>
      </c>
      <c r="AG102">
        <f>Database!H90</f>
        <v/>
      </c>
      <c r="AH102">
        <f>Database!BG90</f>
        <v/>
      </c>
    </row>
    <row r="103">
      <c r="A103">
        <f>Database!B103</f>
        <v/>
      </c>
      <c r="B103">
        <f>IF(AND(Screener!$D$8&lt;&gt;"",Database!$E103=Screener!$D$8),1,0)</f>
        <v/>
      </c>
      <c r="C103">
        <f>IF(AND(Screener!$D$7&lt;&gt;"",Database!$D103=Screener!$D$7),1,0)</f>
        <v/>
      </c>
      <c r="D103">
        <f>IF(OR(N(Database!$I103)&lt;=0,N(Screener!$D$9)&lt;=0),0,MAX(0,1-ABS(LOG10(N(Database!$I103)/Screener!$D$9))/W_SIZEHW))</f>
        <v/>
      </c>
      <c r="E103">
        <f>IF(OR(Database!$BF103="",Screener!$D$10=""),0,IF(Database!$BF103=Screener!$D$10,1,0))</f>
        <v/>
      </c>
      <c r="F103">
        <f>IF(OR(Database!$BL103="",Screener!$D$11=""),0,IF(Database!$BL103=Screener!$D$11,1,0))</f>
        <v/>
      </c>
      <c r="G103">
        <f>IF(OR(Database!$H103="",N(Screener!$D$12)&lt;=0),0,MAX(0,1-(N(Screener!$D$12)-Database!$H103)/W_RECD))</f>
        <v/>
      </c>
      <c r="H103">
        <f>IF($U$1="",0,N(ISNUMBER(SEARCH($U$1,Database!$AC103&amp;""))))+IF($V$1="",0,N(ISNUMBER(SEARCH($V$1,Database!$AC103&amp;""))))+IF($W$1="",0,N(ISNUMBER(SEARCH($W$1,Database!$AC103&amp;""))))+IF($X$1="",0,N(ISNUMBER(SEARCH($X$1,Database!$AC103&amp;""))))+IF($Y$1="",0,N(ISNUMBER(SEARCH($Y$1,Database!$AC103&amp;""))))+IF(Screener!$B$17="",0,N(ISNUMBER(SEARCH(LOWER(Screener!$B$17),Database!$AC103&amp;""))))</f>
        <v/>
      </c>
      <c r="I103">
        <f>IF(OR(N(Database!$BG103)&lt;=0,N(Screener!$D$13)&lt;=0),0,MAX(0,1-ABS(LOG10(N(Database!$BG103)/Screener!$D$13))/W_PEHW))</f>
        <v/>
      </c>
      <c r="J103">
        <f>IF(OR(N(Database!$S103)&lt;=0,N(Screener!$D$14)&lt;=0),0,MAX(0,1-ABS(LOG10(Database!$S103/Screener!$D$14))/0.6))</f>
        <v/>
      </c>
      <c r="K103">
        <f>IF(Database!$B103=Screener!$B$5,-999999,IF(ISNUMBER(SEARCH(","&amp;Database!$A103&amp;",",","&amp;SUBSTITUTE(Screener!$D$17," ","")&amp;",")),2000000,IF(IF(OR(Screener!$B$18="All",AND(Screener!$B$18="With A-share",(Database!$BL103="Y")),AND(Screener!$B$18="Without A-share",NOT((Database!$BL103="Y")))),1,0)=0,-999999,IF(Screener!$B$16="cornerstone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Database!BF91</f>
        <v/>
      </c>
      <c r="AF103">
        <f>Database!BL91</f>
        <v/>
      </c>
      <c r="AG103">
        <f>Database!H91</f>
        <v/>
      </c>
      <c r="AH103">
        <f>Database!BG91</f>
        <v/>
      </c>
    </row>
    <row r="104">
      <c r="A104">
        <f>Database!B104</f>
        <v/>
      </c>
      <c r="B104">
        <f>IF(AND(Screener!$D$8&lt;&gt;"",Database!$E104=Screener!$D$8),1,0)</f>
        <v/>
      </c>
      <c r="C104">
        <f>IF(AND(Screener!$D$7&lt;&gt;"",Database!$D104=Screener!$D$7),1,0)</f>
        <v/>
      </c>
      <c r="D104">
        <f>IF(OR(N(Database!$I104)&lt;=0,N(Screener!$D$9)&lt;=0),0,MAX(0,1-ABS(LOG10(N(Database!$I104)/Screener!$D$9))/W_SIZEHW))</f>
        <v/>
      </c>
      <c r="E104">
        <f>IF(OR(Database!$BF104="",Screener!$D$10=""),0,IF(Database!$BF104=Screener!$D$10,1,0))</f>
        <v/>
      </c>
      <c r="F104">
        <f>IF(OR(Database!$BL104="",Screener!$D$11=""),0,IF(Database!$BL104=Screener!$D$11,1,0))</f>
        <v/>
      </c>
      <c r="G104">
        <f>IF(OR(Database!$H104="",N(Screener!$D$12)&lt;=0),0,MAX(0,1-(N(Screener!$D$12)-Database!$H104)/W_RECD))</f>
        <v/>
      </c>
      <c r="H104">
        <f>IF($U$1="",0,N(ISNUMBER(SEARCH($U$1,Database!$AC104&amp;""))))+IF($V$1="",0,N(ISNUMBER(SEARCH($V$1,Database!$AC104&amp;""))))+IF($W$1="",0,N(ISNUMBER(SEARCH($W$1,Database!$AC104&amp;""))))+IF($X$1="",0,N(ISNUMBER(SEARCH($X$1,Database!$AC104&amp;""))))+IF($Y$1="",0,N(ISNUMBER(SEARCH($Y$1,Database!$AC104&amp;""))))+IF(Screener!$B$17="",0,N(ISNUMBER(SEARCH(LOWER(Screener!$B$17),Database!$AC104&amp;""))))</f>
        <v/>
      </c>
      <c r="I104">
        <f>IF(OR(N(Database!$BG104)&lt;=0,N(Screener!$D$13)&lt;=0),0,MAX(0,1-ABS(LOG10(N(Database!$BG104)/Screener!$D$13))/W_PEHW))</f>
        <v/>
      </c>
      <c r="J104">
        <f>IF(OR(N(Database!$S104)&lt;=0,N(Screener!$D$14)&lt;=0),0,MAX(0,1-ABS(LOG10(Database!$S104/Screener!$D$14))/0.6))</f>
        <v/>
      </c>
      <c r="K104">
        <f>IF(Database!$B104=Screener!$B$5,-999999,IF(ISNUMBER(SEARCH(","&amp;Database!$A104&amp;",",","&amp;SUBSTITUTE(Screener!$D$17," ","")&amp;",")),2000000,IF(IF(OR(Screener!$B$18="All",AND(Screener!$B$18="With A-share",(Database!$BL104="Y")),AND(Screener!$B$18="Without A-share",NOT((Database!$BL104="Y")))),1,0)=0,-999999,IF(Screener!$B$16="cornerstone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Database!BF92</f>
        <v/>
      </c>
      <c r="AF104">
        <f>Database!BL92</f>
        <v/>
      </c>
      <c r="AG104">
        <f>Database!H92</f>
        <v/>
      </c>
      <c r="AH104">
        <f>Database!BG92</f>
        <v/>
      </c>
    </row>
    <row r="105">
      <c r="A105">
        <f>Database!B105</f>
        <v/>
      </c>
      <c r="B105">
        <f>IF(AND(Screener!$D$8&lt;&gt;"",Database!$E105=Screener!$D$8),1,0)</f>
        <v/>
      </c>
      <c r="C105">
        <f>IF(AND(Screener!$D$7&lt;&gt;"",Database!$D105=Screener!$D$7),1,0)</f>
        <v/>
      </c>
      <c r="D105">
        <f>IF(OR(N(Database!$I105)&lt;=0,N(Screener!$D$9)&lt;=0),0,MAX(0,1-ABS(LOG10(N(Database!$I105)/Screener!$D$9))/W_SIZEHW))</f>
        <v/>
      </c>
      <c r="E105">
        <f>IF(OR(Database!$BF105="",Screener!$D$10=""),0,IF(Database!$BF105=Screener!$D$10,1,0))</f>
        <v/>
      </c>
      <c r="F105">
        <f>IF(OR(Database!$BL105="",Screener!$D$11=""),0,IF(Database!$BL105=Screener!$D$11,1,0))</f>
        <v/>
      </c>
      <c r="G105">
        <f>IF(OR(Database!$H105="",N(Screener!$D$12)&lt;=0),0,MAX(0,1-(N(Screener!$D$12)-Database!$H105)/W_RECD))</f>
        <v/>
      </c>
      <c r="H105">
        <f>IF($U$1="",0,N(ISNUMBER(SEARCH($U$1,Database!$AC105&amp;""))))+IF($V$1="",0,N(ISNUMBER(SEARCH($V$1,Database!$AC105&amp;""))))+IF($W$1="",0,N(ISNUMBER(SEARCH($W$1,Database!$AC105&amp;""))))+IF($X$1="",0,N(ISNUMBER(SEARCH($X$1,Database!$AC105&amp;""))))+IF($Y$1="",0,N(ISNUMBER(SEARCH($Y$1,Database!$AC105&amp;""))))+IF(Screener!$B$17="",0,N(ISNUMBER(SEARCH(LOWER(Screener!$B$17),Database!$AC105&amp;""))))</f>
        <v/>
      </c>
      <c r="I105">
        <f>IF(OR(N(Database!$BG105)&lt;=0,N(Screener!$D$13)&lt;=0),0,MAX(0,1-ABS(LOG10(N(Database!$BG105)/Screener!$D$13))/W_PEHW))</f>
        <v/>
      </c>
      <c r="J105">
        <f>IF(OR(N(Database!$S105)&lt;=0,N(Screener!$D$14)&lt;=0),0,MAX(0,1-ABS(LOG10(Database!$S105/Screener!$D$14))/0.6))</f>
        <v/>
      </c>
      <c r="K105">
        <f>IF(Database!$B105=Screener!$B$5,-999999,IF(ISNUMBER(SEARCH(","&amp;Database!$A105&amp;",",","&amp;SUBSTITUTE(Screener!$D$17," ","")&amp;",")),2000000,IF(IF(OR(Screener!$B$18="All",AND(Screener!$B$18="With A-share",(Database!$BL105="Y")),AND(Screener!$B$18="Without A-share",NOT((Database!$BL105="Y")))),1,0)=0,-999999,IF(Screener!$B$16="cornerstone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Database!BF93</f>
        <v/>
      </c>
      <c r="AF105">
        <f>Database!BL93</f>
        <v/>
      </c>
      <c r="AG105">
        <f>Database!H93</f>
        <v/>
      </c>
      <c r="AH105">
        <f>Database!BG93</f>
        <v/>
      </c>
    </row>
    <row r="106">
      <c r="A106">
        <f>Database!B106</f>
        <v/>
      </c>
      <c r="B106">
        <f>IF(AND(Screener!$D$8&lt;&gt;"",Database!$E106=Screener!$D$8),1,0)</f>
        <v/>
      </c>
      <c r="C106">
        <f>IF(AND(Screener!$D$7&lt;&gt;"",Database!$D106=Screener!$D$7),1,0)</f>
        <v/>
      </c>
      <c r="D106">
        <f>IF(OR(N(Database!$I106)&lt;=0,N(Screener!$D$9)&lt;=0),0,MAX(0,1-ABS(LOG10(N(Database!$I106)/Screener!$D$9))/W_SIZEHW))</f>
        <v/>
      </c>
      <c r="E106">
        <f>IF(OR(Database!$BF106="",Screener!$D$10=""),0,IF(Database!$BF106=Screener!$D$10,1,0))</f>
        <v/>
      </c>
      <c r="F106">
        <f>IF(OR(Database!$BL106="",Screener!$D$11=""),0,IF(Database!$BL106=Screener!$D$11,1,0))</f>
        <v/>
      </c>
      <c r="G106">
        <f>IF(OR(Database!$H106="",N(Screener!$D$12)&lt;=0),0,MAX(0,1-(N(Screener!$D$12)-Database!$H106)/W_RECD))</f>
        <v/>
      </c>
      <c r="H106">
        <f>IF($U$1="",0,N(ISNUMBER(SEARCH($U$1,Database!$AC106&amp;""))))+IF($V$1="",0,N(ISNUMBER(SEARCH($V$1,Database!$AC106&amp;""))))+IF($W$1="",0,N(ISNUMBER(SEARCH($W$1,Database!$AC106&amp;""))))+IF($X$1="",0,N(ISNUMBER(SEARCH($X$1,Database!$AC106&amp;""))))+IF($Y$1="",0,N(ISNUMBER(SEARCH($Y$1,Database!$AC106&amp;""))))+IF(Screener!$B$17="",0,N(ISNUMBER(SEARCH(LOWER(Screener!$B$17),Database!$AC106&amp;""))))</f>
        <v/>
      </c>
      <c r="I106">
        <f>IF(OR(N(Database!$BG106)&lt;=0,N(Screener!$D$13)&lt;=0),0,MAX(0,1-ABS(LOG10(N(Database!$BG106)/Screener!$D$13))/W_PEHW))</f>
        <v/>
      </c>
      <c r="J106">
        <f>IF(OR(N(Database!$S106)&lt;=0,N(Screener!$D$14)&lt;=0),0,MAX(0,1-ABS(LOG10(Database!$S106/Screener!$D$14))/0.6))</f>
        <v/>
      </c>
      <c r="K106">
        <f>IF(Database!$B106=Screener!$B$5,-999999,IF(ISNUMBER(SEARCH(","&amp;Database!$A106&amp;",",","&amp;SUBSTITUTE(Screener!$D$17," ","")&amp;",")),2000000,IF(IF(OR(Screener!$B$18="All",AND(Screener!$B$18="With A-share",(Database!$BL106="Y")),AND(Screener!$B$18="Without A-share",NOT((Database!$BL106="Y")))),1,0)=0,-999999,IF(Screener!$B$16="cornerstone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Database!BF94</f>
        <v/>
      </c>
      <c r="AF106">
        <f>Database!BL94</f>
        <v/>
      </c>
      <c r="AG106">
        <f>Database!H94</f>
        <v/>
      </c>
      <c r="AH106">
        <f>Database!BG94</f>
        <v/>
      </c>
    </row>
    <row r="107">
      <c r="A107">
        <f>Database!B107</f>
        <v/>
      </c>
      <c r="B107">
        <f>IF(AND(Screener!$D$8&lt;&gt;"",Database!$E107=Screener!$D$8),1,0)</f>
        <v/>
      </c>
      <c r="C107">
        <f>IF(AND(Screener!$D$7&lt;&gt;"",Database!$D107=Screener!$D$7),1,0)</f>
        <v/>
      </c>
      <c r="D107">
        <f>IF(OR(N(Database!$I107)&lt;=0,N(Screener!$D$9)&lt;=0),0,MAX(0,1-ABS(LOG10(N(Database!$I107)/Screener!$D$9))/W_SIZEHW))</f>
        <v/>
      </c>
      <c r="E107">
        <f>IF(OR(Database!$BF107="",Screener!$D$10=""),0,IF(Database!$BF107=Screener!$D$10,1,0))</f>
        <v/>
      </c>
      <c r="F107">
        <f>IF(OR(Database!$BL107="",Screener!$D$11=""),0,IF(Database!$BL107=Screener!$D$11,1,0))</f>
        <v/>
      </c>
      <c r="G107">
        <f>IF(OR(Database!$H107="",N(Screener!$D$12)&lt;=0),0,MAX(0,1-(N(Screener!$D$12)-Database!$H107)/W_RECD))</f>
        <v/>
      </c>
      <c r="H107">
        <f>IF($U$1="",0,N(ISNUMBER(SEARCH($U$1,Database!$AC107&amp;""))))+IF($V$1="",0,N(ISNUMBER(SEARCH($V$1,Database!$AC107&amp;""))))+IF($W$1="",0,N(ISNUMBER(SEARCH($W$1,Database!$AC107&amp;""))))+IF($X$1="",0,N(ISNUMBER(SEARCH($X$1,Database!$AC107&amp;""))))+IF($Y$1="",0,N(ISNUMBER(SEARCH($Y$1,Database!$AC107&amp;""))))+IF(Screener!$B$17="",0,N(ISNUMBER(SEARCH(LOWER(Screener!$B$17),Database!$AC107&amp;""))))</f>
        <v/>
      </c>
      <c r="I107">
        <f>IF(OR(N(Database!$BG107)&lt;=0,N(Screener!$D$13)&lt;=0),0,MAX(0,1-ABS(LOG10(N(Database!$BG107)/Screener!$D$13))/W_PEHW))</f>
        <v/>
      </c>
      <c r="J107">
        <f>IF(OR(N(Database!$S107)&lt;=0,N(Screener!$D$14)&lt;=0),0,MAX(0,1-ABS(LOG10(Database!$S107/Screener!$D$14))/0.6))</f>
        <v/>
      </c>
      <c r="K107">
        <f>IF(Database!$B107=Screener!$B$5,-999999,IF(ISNUMBER(SEARCH(","&amp;Database!$A107&amp;",",","&amp;SUBSTITUTE(Screener!$D$17," ","")&amp;",")),2000000,IF(IF(OR(Screener!$B$18="All",AND(Screener!$B$18="With A-share",(Database!$BL107="Y")),AND(Screener!$B$18="Without A-share",NOT((Database!$BL107="Y")))),1,0)=0,-999999,IF(Screener!$B$16="cornerstone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Database!BF95</f>
        <v/>
      </c>
      <c r="AF107">
        <f>Database!BL95</f>
        <v/>
      </c>
      <c r="AG107">
        <f>Database!H95</f>
        <v/>
      </c>
      <c r="AH107">
        <f>Database!BG95</f>
        <v/>
      </c>
    </row>
    <row r="108">
      <c r="A108">
        <f>Database!B108</f>
        <v/>
      </c>
      <c r="B108">
        <f>IF(AND(Screener!$D$8&lt;&gt;"",Database!$E108=Screener!$D$8),1,0)</f>
        <v/>
      </c>
      <c r="C108">
        <f>IF(AND(Screener!$D$7&lt;&gt;"",Database!$D108=Screener!$D$7),1,0)</f>
        <v/>
      </c>
      <c r="D108">
        <f>IF(OR(N(Database!$I108)&lt;=0,N(Screener!$D$9)&lt;=0),0,MAX(0,1-ABS(LOG10(N(Database!$I108)/Screener!$D$9))/W_SIZEHW))</f>
        <v/>
      </c>
      <c r="E108">
        <f>IF(OR(Database!$BF108="",Screener!$D$10=""),0,IF(Database!$BF108=Screener!$D$10,1,0))</f>
        <v/>
      </c>
      <c r="F108">
        <f>IF(OR(Database!$BL108="",Screener!$D$11=""),0,IF(Database!$BL108=Screener!$D$11,1,0))</f>
        <v/>
      </c>
      <c r="G108">
        <f>IF(OR(Database!$H108="",N(Screener!$D$12)&lt;=0),0,MAX(0,1-(N(Screener!$D$12)-Database!$H108)/W_RECD))</f>
        <v/>
      </c>
      <c r="H108">
        <f>IF($U$1="",0,N(ISNUMBER(SEARCH($U$1,Database!$AC108&amp;""))))+IF($V$1="",0,N(ISNUMBER(SEARCH($V$1,Database!$AC108&amp;""))))+IF($W$1="",0,N(ISNUMBER(SEARCH($W$1,Database!$AC108&amp;""))))+IF($X$1="",0,N(ISNUMBER(SEARCH($X$1,Database!$AC108&amp;""))))+IF($Y$1="",0,N(ISNUMBER(SEARCH($Y$1,Database!$AC108&amp;""))))+IF(Screener!$B$17="",0,N(ISNUMBER(SEARCH(LOWER(Screener!$B$17),Database!$AC108&amp;""))))</f>
        <v/>
      </c>
      <c r="I108">
        <f>IF(OR(N(Database!$BG108)&lt;=0,N(Screener!$D$13)&lt;=0),0,MAX(0,1-ABS(LOG10(N(Database!$BG108)/Screener!$D$13))/W_PEHW))</f>
        <v/>
      </c>
      <c r="J108">
        <f>IF(OR(N(Database!$S108)&lt;=0,N(Screener!$D$14)&lt;=0),0,MAX(0,1-ABS(LOG10(Database!$S108/Screener!$D$14))/0.6))</f>
        <v/>
      </c>
      <c r="K108">
        <f>IF(Database!$B108=Screener!$B$5,-999999,IF(ISNUMBER(SEARCH(","&amp;Database!$A108&amp;",",","&amp;SUBSTITUTE(Screener!$D$17," ","")&amp;",")),2000000,IF(IF(OR(Screener!$B$18="All",AND(Screener!$B$18="With A-share",(Database!$BL108="Y")),AND(Screener!$B$18="Without A-share",NOT((Database!$BL108="Y")))),1,0)=0,-999999,IF(Screener!$B$16="cornerstone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Database!BF96</f>
        <v/>
      </c>
      <c r="AF108">
        <f>Database!BL96</f>
        <v/>
      </c>
      <c r="AG108">
        <f>Database!H96</f>
        <v/>
      </c>
      <c r="AH108">
        <f>Database!BG96</f>
        <v/>
      </c>
    </row>
    <row r="109">
      <c r="A109">
        <f>Database!B109</f>
        <v/>
      </c>
      <c r="B109">
        <f>IF(AND(Screener!$D$8&lt;&gt;"",Database!$E109=Screener!$D$8),1,0)</f>
        <v/>
      </c>
      <c r="C109">
        <f>IF(AND(Screener!$D$7&lt;&gt;"",Database!$D109=Screener!$D$7),1,0)</f>
        <v/>
      </c>
      <c r="D109">
        <f>IF(OR(N(Database!$I109)&lt;=0,N(Screener!$D$9)&lt;=0),0,MAX(0,1-ABS(LOG10(N(Database!$I109)/Screener!$D$9))/W_SIZEHW))</f>
        <v/>
      </c>
      <c r="E109">
        <f>IF(OR(Database!$BF109="",Screener!$D$10=""),0,IF(Database!$BF109=Screener!$D$10,1,0))</f>
        <v/>
      </c>
      <c r="F109">
        <f>IF(OR(Database!$BL109="",Screener!$D$11=""),0,IF(Database!$BL109=Screener!$D$11,1,0))</f>
        <v/>
      </c>
      <c r="G109">
        <f>IF(OR(Database!$H109="",N(Screener!$D$12)&lt;=0),0,MAX(0,1-(N(Screener!$D$12)-Database!$H109)/W_RECD))</f>
        <v/>
      </c>
      <c r="H109">
        <f>IF($U$1="",0,N(ISNUMBER(SEARCH($U$1,Database!$AC109&amp;""))))+IF($V$1="",0,N(ISNUMBER(SEARCH($V$1,Database!$AC109&amp;""))))+IF($W$1="",0,N(ISNUMBER(SEARCH($W$1,Database!$AC109&amp;""))))+IF($X$1="",0,N(ISNUMBER(SEARCH($X$1,Database!$AC109&amp;""))))+IF($Y$1="",0,N(ISNUMBER(SEARCH($Y$1,Database!$AC109&amp;""))))+IF(Screener!$B$17="",0,N(ISNUMBER(SEARCH(LOWER(Screener!$B$17),Database!$AC109&amp;""))))</f>
        <v/>
      </c>
      <c r="I109">
        <f>IF(OR(N(Database!$BG109)&lt;=0,N(Screener!$D$13)&lt;=0),0,MAX(0,1-ABS(LOG10(N(Database!$BG109)/Screener!$D$13))/W_PEHW))</f>
        <v/>
      </c>
      <c r="J109">
        <f>IF(OR(N(Database!$S109)&lt;=0,N(Screener!$D$14)&lt;=0),0,MAX(0,1-ABS(LOG10(Database!$S109/Screener!$D$14))/0.6))</f>
        <v/>
      </c>
      <c r="K109">
        <f>IF(Database!$B109=Screener!$B$5,-999999,IF(ISNUMBER(SEARCH(","&amp;Database!$A109&amp;",",","&amp;SUBSTITUTE(Screener!$D$17," ","")&amp;",")),2000000,IF(IF(OR(Screener!$B$18="All",AND(Screener!$B$18="With A-share",(Database!$BL109="Y")),AND(Screener!$B$18="Without A-share",NOT((Database!$BL109="Y")))),1,0)=0,-999999,IF(Screener!$B$16="cornerstone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Database!BF97</f>
        <v/>
      </c>
      <c r="AF109">
        <f>Database!BL97</f>
        <v/>
      </c>
      <c r="AG109">
        <f>Database!H97</f>
        <v/>
      </c>
      <c r="AH109">
        <f>Database!BG97</f>
        <v/>
      </c>
    </row>
    <row r="110">
      <c r="A110">
        <f>Database!B110</f>
        <v/>
      </c>
      <c r="B110">
        <f>IF(AND(Screener!$D$8&lt;&gt;"",Database!$E110=Screener!$D$8),1,0)</f>
        <v/>
      </c>
      <c r="C110">
        <f>IF(AND(Screener!$D$7&lt;&gt;"",Database!$D110=Screener!$D$7),1,0)</f>
        <v/>
      </c>
      <c r="D110">
        <f>IF(OR(N(Database!$I110)&lt;=0,N(Screener!$D$9)&lt;=0),0,MAX(0,1-ABS(LOG10(N(Database!$I110)/Screener!$D$9))/W_SIZEHW))</f>
        <v/>
      </c>
      <c r="E110">
        <f>IF(OR(Database!$BF110="",Screener!$D$10=""),0,IF(Database!$BF110=Screener!$D$10,1,0))</f>
        <v/>
      </c>
      <c r="F110">
        <f>IF(OR(Database!$BL110="",Screener!$D$11=""),0,IF(Database!$BL110=Screener!$D$11,1,0))</f>
        <v/>
      </c>
      <c r="G110">
        <f>IF(OR(Database!$H110="",N(Screener!$D$12)&lt;=0),0,MAX(0,1-(N(Screener!$D$12)-Database!$H110)/W_RECD))</f>
        <v/>
      </c>
      <c r="H110">
        <f>IF($U$1="",0,N(ISNUMBER(SEARCH($U$1,Database!$AC110&amp;""))))+IF($V$1="",0,N(ISNUMBER(SEARCH($V$1,Database!$AC110&amp;""))))+IF($W$1="",0,N(ISNUMBER(SEARCH($W$1,Database!$AC110&amp;""))))+IF($X$1="",0,N(ISNUMBER(SEARCH($X$1,Database!$AC110&amp;""))))+IF($Y$1="",0,N(ISNUMBER(SEARCH($Y$1,Database!$AC110&amp;""))))+IF(Screener!$B$17="",0,N(ISNUMBER(SEARCH(LOWER(Screener!$B$17),Database!$AC110&amp;""))))</f>
        <v/>
      </c>
      <c r="I110">
        <f>IF(OR(N(Database!$BG110)&lt;=0,N(Screener!$D$13)&lt;=0),0,MAX(0,1-ABS(LOG10(N(Database!$BG110)/Screener!$D$13))/W_PEHW))</f>
        <v/>
      </c>
      <c r="J110">
        <f>IF(OR(N(Database!$S110)&lt;=0,N(Screener!$D$14)&lt;=0),0,MAX(0,1-ABS(LOG10(Database!$S110/Screener!$D$14))/0.6))</f>
        <v/>
      </c>
      <c r="K110">
        <f>IF(Database!$B110=Screener!$B$5,-999999,IF(ISNUMBER(SEARCH(","&amp;Database!$A110&amp;",",","&amp;SUBSTITUTE(Screener!$D$17," ","")&amp;",")),2000000,IF(IF(OR(Screener!$B$18="All",AND(Screener!$B$18="With A-share",(Database!$BL110="Y")),AND(Screener!$B$18="Without A-share",NOT((Database!$BL110="Y")))),1,0)=0,-999999,IF(Screener!$B$16="cornerstone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Database!BF98</f>
        <v/>
      </c>
      <c r="AF110">
        <f>Database!BL98</f>
        <v/>
      </c>
      <c r="AG110">
        <f>Database!H98</f>
        <v/>
      </c>
      <c r="AH110">
        <f>Database!BG98</f>
        <v/>
      </c>
    </row>
    <row r="111">
      <c r="A111">
        <f>Database!B111</f>
        <v/>
      </c>
      <c r="B111">
        <f>IF(AND(Screener!$D$8&lt;&gt;"",Database!$E111=Screener!$D$8),1,0)</f>
        <v/>
      </c>
      <c r="C111">
        <f>IF(AND(Screener!$D$7&lt;&gt;"",Database!$D111=Screener!$D$7),1,0)</f>
        <v/>
      </c>
      <c r="D111">
        <f>IF(OR(N(Database!$I111)&lt;=0,N(Screener!$D$9)&lt;=0),0,MAX(0,1-ABS(LOG10(N(Database!$I111)/Screener!$D$9))/W_SIZEHW))</f>
        <v/>
      </c>
      <c r="E111">
        <f>IF(OR(Database!$BF111="",Screener!$D$10=""),0,IF(Database!$BF111=Screener!$D$10,1,0))</f>
        <v/>
      </c>
      <c r="F111">
        <f>IF(OR(Database!$BL111="",Screener!$D$11=""),0,IF(Database!$BL111=Screener!$D$11,1,0))</f>
        <v/>
      </c>
      <c r="G111">
        <f>IF(OR(Database!$H111="",N(Screener!$D$12)&lt;=0),0,MAX(0,1-(N(Screener!$D$12)-Database!$H111)/W_RECD))</f>
        <v/>
      </c>
      <c r="H111">
        <f>IF($U$1="",0,N(ISNUMBER(SEARCH($U$1,Database!$AC111&amp;""))))+IF($V$1="",0,N(ISNUMBER(SEARCH($V$1,Database!$AC111&amp;""))))+IF($W$1="",0,N(ISNUMBER(SEARCH($W$1,Database!$AC111&amp;""))))+IF($X$1="",0,N(ISNUMBER(SEARCH($X$1,Database!$AC111&amp;""))))+IF($Y$1="",0,N(ISNUMBER(SEARCH($Y$1,Database!$AC111&amp;""))))+IF(Screener!$B$17="",0,N(ISNUMBER(SEARCH(LOWER(Screener!$B$17),Database!$AC111&amp;""))))</f>
        <v/>
      </c>
      <c r="I111">
        <f>IF(OR(N(Database!$BG111)&lt;=0,N(Screener!$D$13)&lt;=0),0,MAX(0,1-ABS(LOG10(N(Database!$BG111)/Screener!$D$13))/W_PEHW))</f>
        <v/>
      </c>
      <c r="J111">
        <f>IF(OR(N(Database!$S111)&lt;=0,N(Screener!$D$14)&lt;=0),0,MAX(0,1-ABS(LOG10(Database!$S111/Screener!$D$14))/0.6))</f>
        <v/>
      </c>
      <c r="K111">
        <f>IF(Database!$B111=Screener!$B$5,-999999,IF(ISNUMBER(SEARCH(","&amp;Database!$A111&amp;",",","&amp;SUBSTITUTE(Screener!$D$17," ","")&amp;",")),2000000,IF(IF(OR(Screener!$B$18="All",AND(Screener!$B$18="With A-share",(Database!$BL111="Y")),AND(Screener!$B$18="Without A-share",NOT((Database!$BL111="Y")))),1,0)=0,-999999,IF(Screener!$B$16="cornerstone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Database!BF99</f>
        <v/>
      </c>
      <c r="AF111">
        <f>Database!BL99</f>
        <v/>
      </c>
      <c r="AG111">
        <f>Database!H99</f>
        <v/>
      </c>
      <c r="AH111">
        <f>Database!BG99</f>
        <v/>
      </c>
    </row>
    <row r="112">
      <c r="A112">
        <f>Database!B112</f>
        <v/>
      </c>
      <c r="B112">
        <f>IF(AND(Screener!$D$8&lt;&gt;"",Database!$E112=Screener!$D$8),1,0)</f>
        <v/>
      </c>
      <c r="C112">
        <f>IF(AND(Screener!$D$7&lt;&gt;"",Database!$D112=Screener!$D$7),1,0)</f>
        <v/>
      </c>
      <c r="D112">
        <f>IF(OR(N(Database!$I112)&lt;=0,N(Screener!$D$9)&lt;=0),0,MAX(0,1-ABS(LOG10(N(Database!$I112)/Screener!$D$9))/W_SIZEHW))</f>
        <v/>
      </c>
      <c r="E112">
        <f>IF(OR(Database!$BF112="",Screener!$D$10=""),0,IF(Database!$BF112=Screener!$D$10,1,0))</f>
        <v/>
      </c>
      <c r="F112">
        <f>IF(OR(Database!$BL112="",Screener!$D$11=""),0,IF(Database!$BL112=Screener!$D$11,1,0))</f>
        <v/>
      </c>
      <c r="G112">
        <f>IF(OR(Database!$H112="",N(Screener!$D$12)&lt;=0),0,MAX(0,1-(N(Screener!$D$12)-Database!$H112)/W_RECD))</f>
        <v/>
      </c>
      <c r="H112">
        <f>IF($U$1="",0,N(ISNUMBER(SEARCH($U$1,Database!$AC112&amp;""))))+IF($V$1="",0,N(ISNUMBER(SEARCH($V$1,Database!$AC112&amp;""))))+IF($W$1="",0,N(ISNUMBER(SEARCH($W$1,Database!$AC112&amp;""))))+IF($X$1="",0,N(ISNUMBER(SEARCH($X$1,Database!$AC112&amp;""))))+IF($Y$1="",0,N(ISNUMBER(SEARCH($Y$1,Database!$AC112&amp;""))))+IF(Screener!$B$17="",0,N(ISNUMBER(SEARCH(LOWER(Screener!$B$17),Database!$AC112&amp;""))))</f>
        <v/>
      </c>
      <c r="I112">
        <f>IF(OR(N(Database!$BG112)&lt;=0,N(Screener!$D$13)&lt;=0),0,MAX(0,1-ABS(LOG10(N(Database!$BG112)/Screener!$D$13))/W_PEHW))</f>
        <v/>
      </c>
      <c r="J112">
        <f>IF(OR(N(Database!$S112)&lt;=0,N(Screener!$D$14)&lt;=0),0,MAX(0,1-ABS(LOG10(Database!$S112/Screener!$D$14))/0.6))</f>
        <v/>
      </c>
      <c r="K112">
        <f>IF(Database!$B112=Screener!$B$5,-999999,IF(ISNUMBER(SEARCH(","&amp;Database!$A112&amp;",",","&amp;SUBSTITUTE(Screener!$D$17," ","")&amp;",")),2000000,IF(IF(OR(Screener!$B$18="All",AND(Screener!$B$18="With A-share",(Database!$BL112="Y")),AND(Screener!$B$18="Without A-share",NOT((Database!$BL112="Y")))),1,0)=0,-999999,IF(Screener!$B$16="cornerstone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Database!BF100</f>
        <v/>
      </c>
      <c r="AF112">
        <f>Database!BL100</f>
        <v/>
      </c>
      <c r="AG112">
        <f>Database!H100</f>
        <v/>
      </c>
      <c r="AH112">
        <f>Database!BG100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IF(OR(Database!$BF113="",Screener!$D$10=""),0,IF(Database!$BF113=Screener!$D$10,1,0))</f>
        <v/>
      </c>
      <c r="F113">
        <f>IF(OR(Database!$BL113="",Screener!$D$11=""),0,IF(Database!$BL113=Screener!$D$11,1,0))</f>
        <v/>
      </c>
      <c r="G113">
        <f>IF(OR(Database!$H113="",N(Screener!$D$12)&lt;=0),0,MAX(0,1-(N(Screener!$D$12)-Database!$H113)/W_RECD))</f>
        <v/>
      </c>
      <c r="H113">
        <f>IF($U$1="",0,N(ISNUMBER(SEARCH($U$1,Database!$AC113&amp;""))))+IF($V$1="",0,N(ISNUMBER(SEARCH($V$1,Database!$AC113&amp;""))))+IF($W$1="",0,N(ISNUMBER(SEARCH($W$1,Database!$AC113&amp;""))))+IF($X$1="",0,N(ISNUMBER(SEARCH($X$1,Database!$AC113&amp;""))))+IF($Y$1="",0,N(ISNUMBER(SEARCH($Y$1,Database!$AC113&amp;""))))+IF(Screener!$B$17="",0,N(ISNUMBER(SEARCH(LOWER(Screener!$B$17),Database!$AC113&amp;""))))</f>
        <v/>
      </c>
      <c r="I113">
        <f>IF(OR(N(Database!$BG113)&lt;=0,N(Screener!$D$13)&lt;=0),0,MAX(0,1-ABS(LOG10(N(Database!$BG113)/Screener!$D$13))/W_PEHW))</f>
        <v/>
      </c>
      <c r="J113">
        <f>IF(OR(N(Database!$S113)&lt;=0,N(Screener!$D$14)&lt;=0),0,MAX(0,1-ABS(LOG10(Database!$S113/Screener!$D$14))/0.6))</f>
        <v/>
      </c>
      <c r="K113">
        <f>IF(Database!$B113=Screener!$B$5,-999999,IF(ISNUMBER(SEARCH(","&amp;Database!$A113&amp;",",","&amp;SUBSTITUTE(Screener!$D$17," ","")&amp;",")),2000000,IF(IF(OR(Screener!$B$18="All",AND(Screener!$B$18="With A-share",(Database!$BL113="Y")),AND(Screener!$B$18="Without A-share",NOT((Database!$BL113="Y")))),1,0)=0,-999999,IF(Screener!$B$16="cornerstone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Database!BF101</f>
        <v/>
      </c>
      <c r="AF113">
        <f>Database!BL101</f>
        <v/>
      </c>
      <c r="AG113">
        <f>Database!H101</f>
        <v/>
      </c>
      <c r="AH113">
        <f>Database!BG101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IF(OR(Database!$BF114="",Screener!$D$10=""),0,IF(Database!$BF114=Screener!$D$10,1,0))</f>
        <v/>
      </c>
      <c r="F114">
        <f>IF(OR(Database!$BL114="",Screener!$D$11=""),0,IF(Database!$BL114=Screener!$D$11,1,0))</f>
        <v/>
      </c>
      <c r="G114">
        <f>IF(OR(Database!$H114="",N(Screener!$D$12)&lt;=0),0,MAX(0,1-(N(Screener!$D$12)-Database!$H114)/W_RECD))</f>
        <v/>
      </c>
      <c r="H114">
        <f>IF($U$1="",0,N(ISNUMBER(SEARCH($U$1,Database!$AC114&amp;""))))+IF($V$1="",0,N(ISNUMBER(SEARCH($V$1,Database!$AC114&amp;""))))+IF($W$1="",0,N(ISNUMBER(SEARCH($W$1,Database!$AC114&amp;""))))+IF($X$1="",0,N(ISNUMBER(SEARCH($X$1,Database!$AC114&amp;""))))+IF($Y$1="",0,N(ISNUMBER(SEARCH($Y$1,Database!$AC114&amp;""))))+IF(Screener!$B$17="",0,N(ISNUMBER(SEARCH(LOWER(Screener!$B$17),Database!$AC114&amp;""))))</f>
        <v/>
      </c>
      <c r="I114">
        <f>IF(OR(N(Database!$BG114)&lt;=0,N(Screener!$D$13)&lt;=0),0,MAX(0,1-ABS(LOG10(N(Database!$BG114)/Screener!$D$13))/W_PEHW))</f>
        <v/>
      </c>
      <c r="J114">
        <f>IF(OR(N(Database!$S114)&lt;=0,N(Screener!$D$14)&lt;=0),0,MAX(0,1-ABS(LOG10(Database!$S114/Screener!$D$14))/0.6))</f>
        <v/>
      </c>
      <c r="K114">
        <f>IF(Database!$B114=Screener!$B$5,-999999,IF(ISNUMBER(SEARCH(","&amp;Database!$A114&amp;",",","&amp;SUBSTITUTE(Screener!$D$17," ","")&amp;",")),2000000,IF(IF(OR(Screener!$B$18="All",AND(Screener!$B$18="With A-share",(Database!$BL114="Y")),AND(Screener!$B$18="Without A-share",NOT((Database!$BL114="Y")))),1,0)=0,-999999,IF(Screener!$B$16="cornerstone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Database!BF102</f>
        <v/>
      </c>
      <c r="AF114">
        <f>Database!BL102</f>
        <v/>
      </c>
      <c r="AG114">
        <f>Database!H102</f>
        <v/>
      </c>
      <c r="AH114">
        <f>Database!BG102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IF(OR(Database!$BF115="",Screener!$D$10=""),0,IF(Database!$BF115=Screener!$D$10,1,0))</f>
        <v/>
      </c>
      <c r="F115">
        <f>IF(OR(Database!$BL115="",Screener!$D$11=""),0,IF(Database!$BL115=Screener!$D$11,1,0))</f>
        <v/>
      </c>
      <c r="G115">
        <f>IF(OR(Database!$H115="",N(Screener!$D$12)&lt;=0),0,MAX(0,1-(N(Screener!$D$12)-Database!$H115)/W_RECD))</f>
        <v/>
      </c>
      <c r="H115">
        <f>IF($U$1="",0,N(ISNUMBER(SEARCH($U$1,Database!$AC115&amp;""))))+IF($V$1="",0,N(ISNUMBER(SEARCH($V$1,Database!$AC115&amp;""))))+IF($W$1="",0,N(ISNUMBER(SEARCH($W$1,Database!$AC115&amp;""))))+IF($X$1="",0,N(ISNUMBER(SEARCH($X$1,Database!$AC115&amp;""))))+IF($Y$1="",0,N(ISNUMBER(SEARCH($Y$1,Database!$AC115&amp;""))))+IF(Screener!$B$17="",0,N(ISNUMBER(SEARCH(LOWER(Screener!$B$17),Database!$AC115&amp;""))))</f>
        <v/>
      </c>
      <c r="I115">
        <f>IF(OR(N(Database!$BG115)&lt;=0,N(Screener!$D$13)&lt;=0),0,MAX(0,1-ABS(LOG10(N(Database!$BG115)/Screener!$D$13))/W_PEHW))</f>
        <v/>
      </c>
      <c r="J115">
        <f>IF(OR(N(Database!$S115)&lt;=0,N(Screener!$D$14)&lt;=0),0,MAX(0,1-ABS(LOG10(Database!$S115/Screener!$D$14))/0.6))</f>
        <v/>
      </c>
      <c r="K115">
        <f>IF(Database!$B115=Screener!$B$5,-999999,IF(ISNUMBER(SEARCH(","&amp;Database!$A115&amp;",",","&amp;SUBSTITUTE(Screener!$D$17," ","")&amp;",")),2000000,IF(IF(OR(Screener!$B$18="All",AND(Screener!$B$18="With A-share",(Database!$BL115="Y")),AND(Screener!$B$18="Without A-share",NOT((Database!$BL115="Y")))),1,0)=0,-999999,IF(Screener!$B$16="cornerstone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Database!BF103</f>
        <v/>
      </c>
      <c r="AF115">
        <f>Database!BL103</f>
        <v/>
      </c>
      <c r="AG115">
        <f>Database!H103</f>
        <v/>
      </c>
      <c r="AH115">
        <f>Database!BG103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IF(OR(Database!$BF116="",Screener!$D$10=""),0,IF(Database!$BF116=Screener!$D$10,1,0))</f>
        <v/>
      </c>
      <c r="F116">
        <f>IF(OR(Database!$BL116="",Screener!$D$11=""),0,IF(Database!$BL116=Screener!$D$11,1,0))</f>
        <v/>
      </c>
      <c r="G116">
        <f>IF(OR(Database!$H116="",N(Screener!$D$12)&lt;=0),0,MAX(0,1-(N(Screener!$D$12)-Database!$H116)/W_RECD))</f>
        <v/>
      </c>
      <c r="H116">
        <f>IF($U$1="",0,N(ISNUMBER(SEARCH($U$1,Database!$AC116&amp;""))))+IF($V$1="",0,N(ISNUMBER(SEARCH($V$1,Database!$AC116&amp;""))))+IF($W$1="",0,N(ISNUMBER(SEARCH($W$1,Database!$AC116&amp;""))))+IF($X$1="",0,N(ISNUMBER(SEARCH($X$1,Database!$AC116&amp;""))))+IF($Y$1="",0,N(ISNUMBER(SEARCH($Y$1,Database!$AC116&amp;""))))+IF(Screener!$B$17="",0,N(ISNUMBER(SEARCH(LOWER(Screener!$B$17),Database!$AC116&amp;""))))</f>
        <v/>
      </c>
      <c r="I116">
        <f>IF(OR(N(Database!$BG116)&lt;=0,N(Screener!$D$13)&lt;=0),0,MAX(0,1-ABS(LOG10(N(Database!$BG116)/Screener!$D$13))/W_PEHW))</f>
        <v/>
      </c>
      <c r="J116">
        <f>IF(OR(N(Database!$S116)&lt;=0,N(Screener!$D$14)&lt;=0),0,MAX(0,1-ABS(LOG10(Database!$S116/Screener!$D$14))/0.6))</f>
        <v/>
      </c>
      <c r="K116">
        <f>IF(Database!$B116=Screener!$B$5,-999999,IF(ISNUMBER(SEARCH(","&amp;Database!$A116&amp;",",","&amp;SUBSTITUTE(Screener!$D$17," ","")&amp;",")),2000000,IF(IF(OR(Screener!$B$18="All",AND(Screener!$B$18="With A-share",(Database!$BL116="Y")),AND(Screener!$B$18="Without A-share",NOT((Database!$BL116="Y")))),1,0)=0,-999999,IF(Screener!$B$16="cornerstone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Database!BF104</f>
        <v/>
      </c>
      <c r="AF116">
        <f>Database!BL104</f>
        <v/>
      </c>
      <c r="AG116">
        <f>Database!H104</f>
        <v/>
      </c>
      <c r="AH116">
        <f>Database!BG104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IF(OR(Database!$BF117="",Screener!$D$10=""),0,IF(Database!$BF117=Screener!$D$10,1,0))</f>
        <v/>
      </c>
      <c r="F117">
        <f>IF(OR(Database!$BL117="",Screener!$D$11=""),0,IF(Database!$BL117=Screener!$D$11,1,0))</f>
        <v/>
      </c>
      <c r="G117">
        <f>IF(OR(Database!$H117="",N(Screener!$D$12)&lt;=0),0,MAX(0,1-(N(Screener!$D$12)-Database!$H117)/W_RECD))</f>
        <v/>
      </c>
      <c r="H117">
        <f>IF($U$1="",0,N(ISNUMBER(SEARCH($U$1,Database!$AC117&amp;""))))+IF($V$1="",0,N(ISNUMBER(SEARCH($V$1,Database!$AC117&amp;""))))+IF($W$1="",0,N(ISNUMBER(SEARCH($W$1,Database!$AC117&amp;""))))+IF($X$1="",0,N(ISNUMBER(SEARCH($X$1,Database!$AC117&amp;""))))+IF($Y$1="",0,N(ISNUMBER(SEARCH($Y$1,Database!$AC117&amp;""))))+IF(Screener!$B$17="",0,N(ISNUMBER(SEARCH(LOWER(Screener!$B$17),Database!$AC117&amp;""))))</f>
        <v/>
      </c>
      <c r="I117">
        <f>IF(OR(N(Database!$BG117)&lt;=0,N(Screener!$D$13)&lt;=0),0,MAX(0,1-ABS(LOG10(N(Database!$BG117)/Screener!$D$13))/W_PEHW))</f>
        <v/>
      </c>
      <c r="J117">
        <f>IF(OR(N(Database!$S117)&lt;=0,N(Screener!$D$14)&lt;=0),0,MAX(0,1-ABS(LOG10(Database!$S117/Screener!$D$14))/0.6))</f>
        <v/>
      </c>
      <c r="K117">
        <f>IF(Database!$B117=Screener!$B$5,-999999,IF(ISNUMBER(SEARCH(","&amp;Database!$A117&amp;",",","&amp;SUBSTITUTE(Screener!$D$17," ","")&amp;",")),2000000,IF(IF(OR(Screener!$B$18="All",AND(Screener!$B$18="With A-share",(Database!$BL117="Y")),AND(Screener!$B$18="Without A-share",NOT((Database!$BL117="Y")))),1,0)=0,-999999,IF(Screener!$B$16="cornerstone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Database!BF105</f>
        <v/>
      </c>
      <c r="AF117">
        <f>Database!BL105</f>
        <v/>
      </c>
      <c r="AG117">
        <f>Database!H105</f>
        <v/>
      </c>
      <c r="AH117">
        <f>Database!BG105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IF(OR(Database!$BF118="",Screener!$D$10=""),0,IF(Database!$BF118=Screener!$D$10,1,0))</f>
        <v/>
      </c>
      <c r="F118">
        <f>IF(OR(Database!$BL118="",Screener!$D$11=""),0,IF(Database!$BL118=Screener!$D$11,1,0))</f>
        <v/>
      </c>
      <c r="G118">
        <f>IF(OR(Database!$H118="",N(Screener!$D$12)&lt;=0),0,MAX(0,1-(N(Screener!$D$12)-Database!$H118)/W_RECD))</f>
        <v/>
      </c>
      <c r="H118">
        <f>IF($U$1="",0,N(ISNUMBER(SEARCH($U$1,Database!$AC118&amp;""))))+IF($V$1="",0,N(ISNUMBER(SEARCH($V$1,Database!$AC118&amp;""))))+IF($W$1="",0,N(ISNUMBER(SEARCH($W$1,Database!$AC118&amp;""))))+IF($X$1="",0,N(ISNUMBER(SEARCH($X$1,Database!$AC118&amp;""))))+IF($Y$1="",0,N(ISNUMBER(SEARCH($Y$1,Database!$AC118&amp;""))))+IF(Screener!$B$17="",0,N(ISNUMBER(SEARCH(LOWER(Screener!$B$17),Database!$AC118&amp;""))))</f>
        <v/>
      </c>
      <c r="I118">
        <f>IF(OR(N(Database!$BG118)&lt;=0,N(Screener!$D$13)&lt;=0),0,MAX(0,1-ABS(LOG10(N(Database!$BG118)/Screener!$D$13))/W_PEHW))</f>
        <v/>
      </c>
      <c r="J118">
        <f>IF(OR(N(Database!$S118)&lt;=0,N(Screener!$D$14)&lt;=0),0,MAX(0,1-ABS(LOG10(Database!$S118/Screener!$D$14))/0.6))</f>
        <v/>
      </c>
      <c r="K118">
        <f>IF(Database!$B118=Screener!$B$5,-999999,IF(ISNUMBER(SEARCH(","&amp;Database!$A118&amp;",",","&amp;SUBSTITUTE(Screener!$D$17," ","")&amp;",")),2000000,IF(IF(OR(Screener!$B$18="All",AND(Screener!$B$18="With A-share",(Database!$BL118="Y")),AND(Screener!$B$18="Without A-share",NOT((Database!$BL118="Y")))),1,0)=0,-999999,IF(Screener!$B$16="cornerstone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Database!BF106</f>
        <v/>
      </c>
      <c r="AF118">
        <f>Database!BL106</f>
        <v/>
      </c>
      <c r="AG118">
        <f>Database!H106</f>
        <v/>
      </c>
      <c r="AH118">
        <f>Database!BG106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IF(OR(Database!$BF119="",Screener!$D$10=""),0,IF(Database!$BF119=Screener!$D$10,1,0))</f>
        <v/>
      </c>
      <c r="F119">
        <f>IF(OR(Database!$BL119="",Screener!$D$11=""),0,IF(Database!$BL119=Screener!$D$11,1,0))</f>
        <v/>
      </c>
      <c r="G119">
        <f>IF(OR(Database!$H119="",N(Screener!$D$12)&lt;=0),0,MAX(0,1-(N(Screener!$D$12)-Database!$H119)/W_RECD))</f>
        <v/>
      </c>
      <c r="H119">
        <f>IF($U$1="",0,N(ISNUMBER(SEARCH($U$1,Database!$AC119&amp;""))))+IF($V$1="",0,N(ISNUMBER(SEARCH($V$1,Database!$AC119&amp;""))))+IF($W$1="",0,N(ISNUMBER(SEARCH($W$1,Database!$AC119&amp;""))))+IF($X$1="",0,N(ISNUMBER(SEARCH($X$1,Database!$AC119&amp;""))))+IF($Y$1="",0,N(ISNUMBER(SEARCH($Y$1,Database!$AC119&amp;""))))+IF(Screener!$B$17="",0,N(ISNUMBER(SEARCH(LOWER(Screener!$B$17),Database!$AC119&amp;""))))</f>
        <v/>
      </c>
      <c r="I119">
        <f>IF(OR(N(Database!$BG119)&lt;=0,N(Screener!$D$13)&lt;=0),0,MAX(0,1-ABS(LOG10(N(Database!$BG119)/Screener!$D$13))/W_PEHW))</f>
        <v/>
      </c>
      <c r="J119">
        <f>IF(OR(N(Database!$S119)&lt;=0,N(Screener!$D$14)&lt;=0),0,MAX(0,1-ABS(LOG10(Database!$S119/Screener!$D$14))/0.6))</f>
        <v/>
      </c>
      <c r="K119">
        <f>IF(Database!$B119=Screener!$B$5,-999999,IF(ISNUMBER(SEARCH(","&amp;Database!$A119&amp;",",","&amp;SUBSTITUTE(Screener!$D$17," ","")&amp;",")),2000000,IF(IF(OR(Screener!$B$18="All",AND(Screener!$B$18="With A-share",(Database!$BL119="Y")),AND(Screener!$B$18="Without A-share",NOT((Database!$BL119="Y")))),1,0)=0,-999999,IF(Screener!$B$16="cornerstone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Database!BF107</f>
        <v/>
      </c>
      <c r="AF119">
        <f>Database!BL107</f>
        <v/>
      </c>
      <c r="AG119">
        <f>Database!H107</f>
        <v/>
      </c>
      <c r="AH119">
        <f>Database!BG107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IF(OR(Database!$BF120="",Screener!$D$10=""),0,IF(Database!$BF120=Screener!$D$10,1,0))</f>
        <v/>
      </c>
      <c r="F120">
        <f>IF(OR(Database!$BL120="",Screener!$D$11=""),0,IF(Database!$BL120=Screener!$D$11,1,0))</f>
        <v/>
      </c>
      <c r="G120">
        <f>IF(OR(Database!$H120="",N(Screener!$D$12)&lt;=0),0,MAX(0,1-(N(Screener!$D$12)-Database!$H120)/W_RECD))</f>
        <v/>
      </c>
      <c r="H120">
        <f>IF($U$1="",0,N(ISNUMBER(SEARCH($U$1,Database!$AC120&amp;""))))+IF($V$1="",0,N(ISNUMBER(SEARCH($V$1,Database!$AC120&amp;""))))+IF($W$1="",0,N(ISNUMBER(SEARCH($W$1,Database!$AC120&amp;""))))+IF($X$1="",0,N(ISNUMBER(SEARCH($X$1,Database!$AC120&amp;""))))+IF($Y$1="",0,N(ISNUMBER(SEARCH($Y$1,Database!$AC120&amp;""))))+IF(Screener!$B$17="",0,N(ISNUMBER(SEARCH(LOWER(Screener!$B$17),Database!$AC120&amp;""))))</f>
        <v/>
      </c>
      <c r="I120">
        <f>IF(OR(N(Database!$BG120)&lt;=0,N(Screener!$D$13)&lt;=0),0,MAX(0,1-ABS(LOG10(N(Database!$BG120)/Screener!$D$13))/W_PEHW))</f>
        <v/>
      </c>
      <c r="J120">
        <f>IF(OR(N(Database!$S120)&lt;=0,N(Screener!$D$14)&lt;=0),0,MAX(0,1-ABS(LOG10(Database!$S120/Screener!$D$14))/0.6))</f>
        <v/>
      </c>
      <c r="K120">
        <f>IF(Database!$B120=Screener!$B$5,-999999,IF(ISNUMBER(SEARCH(","&amp;Database!$A120&amp;",",","&amp;SUBSTITUTE(Screener!$D$17," ","")&amp;",")),2000000,IF(IF(OR(Screener!$B$18="All",AND(Screener!$B$18="With A-share",(Database!$BL120="Y")),AND(Screener!$B$18="Without A-share",NOT((Database!$BL120="Y")))),1,0)=0,-999999,IF(Screener!$B$16="cornerstone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Database!BF108</f>
        <v/>
      </c>
      <c r="AF120">
        <f>Database!BL108</f>
        <v/>
      </c>
      <c r="AG120">
        <f>Database!H108</f>
        <v/>
      </c>
      <c r="AH120">
        <f>Database!BG108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IF(OR(Database!$BF121="",Screener!$D$10=""),0,IF(Database!$BF121=Screener!$D$10,1,0))</f>
        <v/>
      </c>
      <c r="F121">
        <f>IF(OR(Database!$BL121="",Screener!$D$11=""),0,IF(Database!$BL121=Screener!$D$11,1,0))</f>
        <v/>
      </c>
      <c r="G121">
        <f>IF(OR(Database!$H121="",N(Screener!$D$12)&lt;=0),0,MAX(0,1-(N(Screener!$D$12)-Database!$H121)/W_RECD))</f>
        <v/>
      </c>
      <c r="H121">
        <f>IF($U$1="",0,N(ISNUMBER(SEARCH($U$1,Database!$AC121&amp;""))))+IF($V$1="",0,N(ISNUMBER(SEARCH($V$1,Database!$AC121&amp;""))))+IF($W$1="",0,N(ISNUMBER(SEARCH($W$1,Database!$AC121&amp;""))))+IF($X$1="",0,N(ISNUMBER(SEARCH($X$1,Database!$AC121&amp;""))))+IF($Y$1="",0,N(ISNUMBER(SEARCH($Y$1,Database!$AC121&amp;""))))+IF(Screener!$B$17="",0,N(ISNUMBER(SEARCH(LOWER(Screener!$B$17),Database!$AC121&amp;""))))</f>
        <v/>
      </c>
      <c r="I121">
        <f>IF(OR(N(Database!$BG121)&lt;=0,N(Screener!$D$13)&lt;=0),0,MAX(0,1-ABS(LOG10(N(Database!$BG121)/Screener!$D$13))/W_PEHW))</f>
        <v/>
      </c>
      <c r="J121">
        <f>IF(OR(N(Database!$S121)&lt;=0,N(Screener!$D$14)&lt;=0),0,MAX(0,1-ABS(LOG10(Database!$S121/Screener!$D$14))/0.6))</f>
        <v/>
      </c>
      <c r="K121">
        <f>IF(Database!$B121=Screener!$B$5,-999999,IF(ISNUMBER(SEARCH(","&amp;Database!$A121&amp;",",","&amp;SUBSTITUTE(Screener!$D$17," ","")&amp;",")),2000000,IF(IF(OR(Screener!$B$18="All",AND(Screener!$B$18="With A-share",(Database!$BL121="Y")),AND(Screener!$B$18="Without A-share",NOT((Database!$BL121="Y")))),1,0)=0,-999999,IF(Screener!$B$16="cornerstone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Database!BF109</f>
        <v/>
      </c>
      <c r="AF121">
        <f>Database!BL109</f>
        <v/>
      </c>
      <c r="AG121">
        <f>Database!H109</f>
        <v/>
      </c>
      <c r="AH121">
        <f>Database!BG109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IF(OR(Database!$BF122="",Screener!$D$10=""),0,IF(Database!$BF122=Screener!$D$10,1,0))</f>
        <v/>
      </c>
      <c r="F122">
        <f>IF(OR(Database!$BL122="",Screener!$D$11=""),0,IF(Database!$BL122=Screener!$D$11,1,0))</f>
        <v/>
      </c>
      <c r="G122">
        <f>IF(OR(Database!$H122="",N(Screener!$D$12)&lt;=0),0,MAX(0,1-(N(Screener!$D$12)-Database!$H122)/W_RECD))</f>
        <v/>
      </c>
      <c r="H122">
        <f>IF($U$1="",0,N(ISNUMBER(SEARCH($U$1,Database!$AC122&amp;""))))+IF($V$1="",0,N(ISNUMBER(SEARCH($V$1,Database!$AC122&amp;""))))+IF($W$1="",0,N(ISNUMBER(SEARCH($W$1,Database!$AC122&amp;""))))+IF($X$1="",0,N(ISNUMBER(SEARCH($X$1,Database!$AC122&amp;""))))+IF($Y$1="",0,N(ISNUMBER(SEARCH($Y$1,Database!$AC122&amp;""))))+IF(Screener!$B$17="",0,N(ISNUMBER(SEARCH(LOWER(Screener!$B$17),Database!$AC122&amp;""))))</f>
        <v/>
      </c>
      <c r="I122">
        <f>IF(OR(N(Database!$BG122)&lt;=0,N(Screener!$D$13)&lt;=0),0,MAX(0,1-ABS(LOG10(N(Database!$BG122)/Screener!$D$13))/W_PEHW))</f>
        <v/>
      </c>
      <c r="J122">
        <f>IF(OR(N(Database!$S122)&lt;=0,N(Screener!$D$14)&lt;=0),0,MAX(0,1-ABS(LOG10(Database!$S122/Screener!$D$14))/0.6))</f>
        <v/>
      </c>
      <c r="K122">
        <f>IF(Database!$B122=Screener!$B$5,-999999,IF(ISNUMBER(SEARCH(","&amp;Database!$A122&amp;",",","&amp;SUBSTITUTE(Screener!$D$17," ","")&amp;",")),2000000,IF(IF(OR(Screener!$B$18="All",AND(Screener!$B$18="With A-share",(Database!$BL122="Y")),AND(Screener!$B$18="Without A-share",NOT((Database!$BL122="Y")))),1,0)=0,-999999,IF(Screener!$B$16="cornerstone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Database!BF110</f>
        <v/>
      </c>
      <c r="AF122">
        <f>Database!BL110</f>
        <v/>
      </c>
      <c r="AG122">
        <f>Database!H110</f>
        <v/>
      </c>
      <c r="AH122">
        <f>Database!BG110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IF(OR(Database!$BF123="",Screener!$D$10=""),0,IF(Database!$BF123=Screener!$D$10,1,0))</f>
        <v/>
      </c>
      <c r="F123">
        <f>IF(OR(Database!$BL123="",Screener!$D$11=""),0,IF(Database!$BL123=Screener!$D$11,1,0))</f>
        <v/>
      </c>
      <c r="G123">
        <f>IF(OR(Database!$H123="",N(Screener!$D$12)&lt;=0),0,MAX(0,1-(N(Screener!$D$12)-Database!$H123)/W_RECD))</f>
        <v/>
      </c>
      <c r="H123">
        <f>IF($U$1="",0,N(ISNUMBER(SEARCH($U$1,Database!$AC123&amp;""))))+IF($V$1="",0,N(ISNUMBER(SEARCH($V$1,Database!$AC123&amp;""))))+IF($W$1="",0,N(ISNUMBER(SEARCH($W$1,Database!$AC123&amp;""))))+IF($X$1="",0,N(ISNUMBER(SEARCH($X$1,Database!$AC123&amp;""))))+IF($Y$1="",0,N(ISNUMBER(SEARCH($Y$1,Database!$AC123&amp;""))))+IF(Screener!$B$17="",0,N(ISNUMBER(SEARCH(LOWER(Screener!$B$17),Database!$AC123&amp;""))))</f>
        <v/>
      </c>
      <c r="I123">
        <f>IF(OR(N(Database!$BG123)&lt;=0,N(Screener!$D$13)&lt;=0),0,MAX(0,1-ABS(LOG10(N(Database!$BG123)/Screener!$D$13))/W_PEHW))</f>
        <v/>
      </c>
      <c r="J123">
        <f>IF(OR(N(Database!$S123)&lt;=0,N(Screener!$D$14)&lt;=0),0,MAX(0,1-ABS(LOG10(Database!$S123/Screener!$D$14))/0.6))</f>
        <v/>
      </c>
      <c r="K123">
        <f>IF(Database!$B123=Screener!$B$5,-999999,IF(ISNUMBER(SEARCH(","&amp;Database!$A123&amp;",",","&amp;SUBSTITUTE(Screener!$D$17," ","")&amp;",")),2000000,IF(IF(OR(Screener!$B$18="All",AND(Screener!$B$18="With A-share",(Database!$BL123="Y")),AND(Screener!$B$18="Without A-share",NOT((Database!$BL123="Y")))),1,0)=0,-999999,IF(Screener!$B$16="cornerstone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Database!BF111</f>
        <v/>
      </c>
      <c r="AF123">
        <f>Database!BL111</f>
        <v/>
      </c>
      <c r="AG123">
        <f>Database!H111</f>
        <v/>
      </c>
      <c r="AH123">
        <f>Database!BG111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IF(OR(Database!$BF124="",Screener!$D$10=""),0,IF(Database!$BF124=Screener!$D$10,1,0))</f>
        <v/>
      </c>
      <c r="F124">
        <f>IF(OR(Database!$BL124="",Screener!$D$11=""),0,IF(Database!$BL124=Screener!$D$11,1,0))</f>
        <v/>
      </c>
      <c r="G124">
        <f>IF(OR(Database!$H124="",N(Screener!$D$12)&lt;=0),0,MAX(0,1-(N(Screener!$D$12)-Database!$H124)/W_RECD))</f>
        <v/>
      </c>
      <c r="H124">
        <f>IF($U$1="",0,N(ISNUMBER(SEARCH($U$1,Database!$AC124&amp;""))))+IF($V$1="",0,N(ISNUMBER(SEARCH($V$1,Database!$AC124&amp;""))))+IF($W$1="",0,N(ISNUMBER(SEARCH($W$1,Database!$AC124&amp;""))))+IF($X$1="",0,N(ISNUMBER(SEARCH($X$1,Database!$AC124&amp;""))))+IF($Y$1="",0,N(ISNUMBER(SEARCH($Y$1,Database!$AC124&amp;""))))+IF(Screener!$B$17="",0,N(ISNUMBER(SEARCH(LOWER(Screener!$B$17),Database!$AC124&amp;""))))</f>
        <v/>
      </c>
      <c r="I124">
        <f>IF(OR(N(Database!$BG124)&lt;=0,N(Screener!$D$13)&lt;=0),0,MAX(0,1-ABS(LOG10(N(Database!$BG124)/Screener!$D$13))/W_PEHW))</f>
        <v/>
      </c>
      <c r="J124">
        <f>IF(OR(N(Database!$S124)&lt;=0,N(Screener!$D$14)&lt;=0),0,MAX(0,1-ABS(LOG10(Database!$S124/Screener!$D$14))/0.6))</f>
        <v/>
      </c>
      <c r="K124">
        <f>IF(Database!$B124=Screener!$B$5,-999999,IF(ISNUMBER(SEARCH(","&amp;Database!$A124&amp;",",","&amp;SUBSTITUTE(Screener!$D$17," ","")&amp;",")),2000000,IF(IF(OR(Screener!$B$18="All",AND(Screener!$B$18="With A-share",(Database!$BL124="Y")),AND(Screener!$B$18="Without A-share",NOT((Database!$BL124="Y")))),1,0)=0,-999999,IF(Screener!$B$16="cornerstone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Database!BF112</f>
        <v/>
      </c>
      <c r="AF124">
        <f>Database!BL112</f>
        <v/>
      </c>
      <c r="AG124">
        <f>Database!H112</f>
        <v/>
      </c>
      <c r="AH124">
        <f>Database!BG112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IF(OR(Database!$BF125="",Screener!$D$10=""),0,IF(Database!$BF125=Screener!$D$10,1,0))</f>
        <v/>
      </c>
      <c r="F125">
        <f>IF(OR(Database!$BL125="",Screener!$D$11=""),0,IF(Database!$BL125=Screener!$D$11,1,0))</f>
        <v/>
      </c>
      <c r="G125">
        <f>IF(OR(Database!$H125="",N(Screener!$D$12)&lt;=0),0,MAX(0,1-(N(Screener!$D$12)-Database!$H125)/W_RECD))</f>
        <v/>
      </c>
      <c r="H125">
        <f>IF($U$1="",0,N(ISNUMBER(SEARCH($U$1,Database!$AC125&amp;""))))+IF($V$1="",0,N(ISNUMBER(SEARCH($V$1,Database!$AC125&amp;""))))+IF($W$1="",0,N(ISNUMBER(SEARCH($W$1,Database!$AC125&amp;""))))+IF($X$1="",0,N(ISNUMBER(SEARCH($X$1,Database!$AC125&amp;""))))+IF($Y$1="",0,N(ISNUMBER(SEARCH($Y$1,Database!$AC125&amp;""))))+IF(Screener!$B$17="",0,N(ISNUMBER(SEARCH(LOWER(Screener!$B$17),Database!$AC125&amp;""))))</f>
        <v/>
      </c>
      <c r="I125">
        <f>IF(OR(N(Database!$BG125)&lt;=0,N(Screener!$D$13)&lt;=0),0,MAX(0,1-ABS(LOG10(N(Database!$BG125)/Screener!$D$13))/W_PEHW))</f>
        <v/>
      </c>
      <c r="J125">
        <f>IF(OR(N(Database!$S125)&lt;=0,N(Screener!$D$14)&lt;=0),0,MAX(0,1-ABS(LOG10(Database!$S125/Screener!$D$14))/0.6))</f>
        <v/>
      </c>
      <c r="K125">
        <f>IF(Database!$B125=Screener!$B$5,-999999,IF(ISNUMBER(SEARCH(","&amp;Database!$A125&amp;",",","&amp;SUBSTITUTE(Screener!$D$17," ","")&amp;",")),2000000,IF(IF(OR(Screener!$B$18="All",AND(Screener!$B$18="With A-share",(Database!$BL125="Y")),AND(Screener!$B$18="Without A-share",NOT((Database!$BL125="Y")))),1,0)=0,-999999,IF(Screener!$B$16="cornerstone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Database!BF113</f>
        <v/>
      </c>
      <c r="AF125">
        <f>Database!BL113</f>
        <v/>
      </c>
      <c r="AG125">
        <f>Database!H113</f>
        <v/>
      </c>
      <c r="AH125">
        <f>Database!BG113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IF(OR(Database!$BF126="",Screener!$D$10=""),0,IF(Database!$BF126=Screener!$D$10,1,0))</f>
        <v/>
      </c>
      <c r="F126">
        <f>IF(OR(Database!$BL126="",Screener!$D$11=""),0,IF(Database!$BL126=Screener!$D$11,1,0))</f>
        <v/>
      </c>
      <c r="G126">
        <f>IF(OR(Database!$H126="",N(Screener!$D$12)&lt;=0),0,MAX(0,1-(N(Screener!$D$12)-Database!$H126)/W_RECD))</f>
        <v/>
      </c>
      <c r="H126">
        <f>IF($U$1="",0,N(ISNUMBER(SEARCH($U$1,Database!$AC126&amp;""))))+IF($V$1="",0,N(ISNUMBER(SEARCH($V$1,Database!$AC126&amp;""))))+IF($W$1="",0,N(ISNUMBER(SEARCH($W$1,Database!$AC126&amp;""))))+IF($X$1="",0,N(ISNUMBER(SEARCH($X$1,Database!$AC126&amp;""))))+IF($Y$1="",0,N(ISNUMBER(SEARCH($Y$1,Database!$AC126&amp;""))))+IF(Screener!$B$17="",0,N(ISNUMBER(SEARCH(LOWER(Screener!$B$17),Database!$AC126&amp;""))))</f>
        <v/>
      </c>
      <c r="I126">
        <f>IF(OR(N(Database!$BG126)&lt;=0,N(Screener!$D$13)&lt;=0),0,MAX(0,1-ABS(LOG10(N(Database!$BG126)/Screener!$D$13))/W_PEHW))</f>
        <v/>
      </c>
      <c r="J126">
        <f>IF(OR(N(Database!$S126)&lt;=0,N(Screener!$D$14)&lt;=0),0,MAX(0,1-ABS(LOG10(Database!$S126/Screener!$D$14))/0.6))</f>
        <v/>
      </c>
      <c r="K126">
        <f>IF(Database!$B126=Screener!$B$5,-999999,IF(ISNUMBER(SEARCH(","&amp;Database!$A126&amp;",",","&amp;SUBSTITUTE(Screener!$D$17," ","")&amp;",")),2000000,IF(IF(OR(Screener!$B$18="All",AND(Screener!$B$18="With A-share",(Database!$BL126="Y")),AND(Screener!$B$18="Without A-share",NOT((Database!$BL126="Y")))),1,0)=0,-999999,IF(Screener!$B$16="cornerstone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Database!BF114</f>
        <v/>
      </c>
      <c r="AF126">
        <f>Database!BL114</f>
        <v/>
      </c>
      <c r="AG126">
        <f>Database!H114</f>
        <v/>
      </c>
      <c r="AH126">
        <f>Database!BG114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IF(OR(Database!$BF127="",Screener!$D$10=""),0,IF(Database!$BF127=Screener!$D$10,1,0))</f>
        <v/>
      </c>
      <c r="F127">
        <f>IF(OR(Database!$BL127="",Screener!$D$11=""),0,IF(Database!$BL127=Screener!$D$11,1,0))</f>
        <v/>
      </c>
      <c r="G127">
        <f>IF(OR(Database!$H127="",N(Screener!$D$12)&lt;=0),0,MAX(0,1-(N(Screener!$D$12)-Database!$H127)/W_RECD))</f>
        <v/>
      </c>
      <c r="H127">
        <f>IF($U$1="",0,N(ISNUMBER(SEARCH($U$1,Database!$AC127&amp;""))))+IF($V$1="",0,N(ISNUMBER(SEARCH($V$1,Database!$AC127&amp;""))))+IF($W$1="",0,N(ISNUMBER(SEARCH($W$1,Database!$AC127&amp;""))))+IF($X$1="",0,N(ISNUMBER(SEARCH($X$1,Database!$AC127&amp;""))))+IF($Y$1="",0,N(ISNUMBER(SEARCH($Y$1,Database!$AC127&amp;""))))+IF(Screener!$B$17="",0,N(ISNUMBER(SEARCH(LOWER(Screener!$B$17),Database!$AC127&amp;""))))</f>
        <v/>
      </c>
      <c r="I127">
        <f>IF(OR(N(Database!$BG127)&lt;=0,N(Screener!$D$13)&lt;=0),0,MAX(0,1-ABS(LOG10(N(Database!$BG127)/Screener!$D$13))/W_PEHW))</f>
        <v/>
      </c>
      <c r="J127">
        <f>IF(OR(N(Database!$S127)&lt;=0,N(Screener!$D$14)&lt;=0),0,MAX(0,1-ABS(LOG10(Database!$S127/Screener!$D$14))/0.6))</f>
        <v/>
      </c>
      <c r="K127">
        <f>IF(Database!$B127=Screener!$B$5,-999999,IF(ISNUMBER(SEARCH(","&amp;Database!$A127&amp;",",","&amp;SUBSTITUTE(Screener!$D$17," ","")&amp;",")),2000000,IF(IF(OR(Screener!$B$18="All",AND(Screener!$B$18="With A-share",(Database!$BL127="Y")),AND(Screener!$B$18="Without A-share",NOT((Database!$BL127="Y")))),1,0)=0,-999999,IF(Screener!$B$16="cornerstone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Database!BF115</f>
        <v/>
      </c>
      <c r="AF127">
        <f>Database!BL115</f>
        <v/>
      </c>
      <c r="AG127">
        <f>Database!H115</f>
        <v/>
      </c>
      <c r="AH127">
        <f>Database!BG115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IF(OR(Database!$BF128="",Screener!$D$10=""),0,IF(Database!$BF128=Screener!$D$10,1,0))</f>
        <v/>
      </c>
      <c r="F128">
        <f>IF(OR(Database!$BL128="",Screener!$D$11=""),0,IF(Database!$BL128=Screener!$D$11,1,0))</f>
        <v/>
      </c>
      <c r="G128">
        <f>IF(OR(Database!$H128="",N(Screener!$D$12)&lt;=0),0,MAX(0,1-(N(Screener!$D$12)-Database!$H128)/W_RECD))</f>
        <v/>
      </c>
      <c r="H128">
        <f>IF($U$1="",0,N(ISNUMBER(SEARCH($U$1,Database!$AC128&amp;""))))+IF($V$1="",0,N(ISNUMBER(SEARCH($V$1,Database!$AC128&amp;""))))+IF($W$1="",0,N(ISNUMBER(SEARCH($W$1,Database!$AC128&amp;""))))+IF($X$1="",0,N(ISNUMBER(SEARCH($X$1,Database!$AC128&amp;""))))+IF($Y$1="",0,N(ISNUMBER(SEARCH($Y$1,Database!$AC128&amp;""))))+IF(Screener!$B$17="",0,N(ISNUMBER(SEARCH(LOWER(Screener!$B$17),Database!$AC128&amp;""))))</f>
        <v/>
      </c>
      <c r="I128">
        <f>IF(OR(N(Database!$BG128)&lt;=0,N(Screener!$D$13)&lt;=0),0,MAX(0,1-ABS(LOG10(N(Database!$BG128)/Screener!$D$13))/W_PEHW))</f>
        <v/>
      </c>
      <c r="J128">
        <f>IF(OR(N(Database!$S128)&lt;=0,N(Screener!$D$14)&lt;=0),0,MAX(0,1-ABS(LOG10(Database!$S128/Screener!$D$14))/0.6))</f>
        <v/>
      </c>
      <c r="K128">
        <f>IF(Database!$B128=Screener!$B$5,-999999,IF(ISNUMBER(SEARCH(","&amp;Database!$A128&amp;",",","&amp;SUBSTITUTE(Screener!$D$17," ","")&amp;",")),2000000,IF(IF(OR(Screener!$B$18="All",AND(Screener!$B$18="With A-share",(Database!$BL128="Y")),AND(Screener!$B$18="Without A-share",NOT((Database!$BL128="Y")))),1,0)=0,-999999,IF(Screener!$B$16="cornerstone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Database!BF116</f>
        <v/>
      </c>
      <c r="AF128">
        <f>Database!BL116</f>
        <v/>
      </c>
      <c r="AG128">
        <f>Database!H116</f>
        <v/>
      </c>
      <c r="AH128">
        <f>Database!BG116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IF(OR(Database!$BF129="",Screener!$D$10=""),0,IF(Database!$BF129=Screener!$D$10,1,0))</f>
        <v/>
      </c>
      <c r="F129">
        <f>IF(OR(Database!$BL129="",Screener!$D$11=""),0,IF(Database!$BL129=Screener!$D$11,1,0))</f>
        <v/>
      </c>
      <c r="G129">
        <f>IF(OR(Database!$H129="",N(Screener!$D$12)&lt;=0),0,MAX(0,1-(N(Screener!$D$12)-Database!$H129)/W_RECD))</f>
        <v/>
      </c>
      <c r="H129">
        <f>IF($U$1="",0,N(ISNUMBER(SEARCH($U$1,Database!$AC129&amp;""))))+IF($V$1="",0,N(ISNUMBER(SEARCH($V$1,Database!$AC129&amp;""))))+IF($W$1="",0,N(ISNUMBER(SEARCH($W$1,Database!$AC129&amp;""))))+IF($X$1="",0,N(ISNUMBER(SEARCH($X$1,Database!$AC129&amp;""))))+IF($Y$1="",0,N(ISNUMBER(SEARCH($Y$1,Database!$AC129&amp;""))))+IF(Screener!$B$17="",0,N(ISNUMBER(SEARCH(LOWER(Screener!$B$17),Database!$AC129&amp;""))))</f>
        <v/>
      </c>
      <c r="I129">
        <f>IF(OR(N(Database!$BG129)&lt;=0,N(Screener!$D$13)&lt;=0),0,MAX(0,1-ABS(LOG10(N(Database!$BG129)/Screener!$D$13))/W_PEHW))</f>
        <v/>
      </c>
      <c r="J129">
        <f>IF(OR(N(Database!$S129)&lt;=0,N(Screener!$D$14)&lt;=0),0,MAX(0,1-ABS(LOG10(Database!$S129/Screener!$D$14))/0.6))</f>
        <v/>
      </c>
      <c r="K129">
        <f>IF(Database!$B129=Screener!$B$5,-999999,IF(ISNUMBER(SEARCH(","&amp;Database!$A129&amp;",",","&amp;SUBSTITUTE(Screener!$D$17," ","")&amp;",")),2000000,IF(IF(OR(Screener!$B$18="All",AND(Screener!$B$18="With A-share",(Database!$BL129="Y")),AND(Screener!$B$18="Without A-share",NOT((Database!$BL129="Y")))),1,0)=0,-999999,IF(Screener!$B$16="cornerstone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Database!BF117</f>
        <v/>
      </c>
      <c r="AF129">
        <f>Database!BL117</f>
        <v/>
      </c>
      <c r="AG129">
        <f>Database!H117</f>
        <v/>
      </c>
      <c r="AH129">
        <f>Database!BG117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IF(OR(Database!$BF130="",Screener!$D$10=""),0,IF(Database!$BF130=Screener!$D$10,1,0))</f>
        <v/>
      </c>
      <c r="F130">
        <f>IF(OR(Database!$BL130="",Screener!$D$11=""),0,IF(Database!$BL130=Screener!$D$11,1,0))</f>
        <v/>
      </c>
      <c r="G130">
        <f>IF(OR(Database!$H130="",N(Screener!$D$12)&lt;=0),0,MAX(0,1-(N(Screener!$D$12)-Database!$H130)/W_RECD))</f>
        <v/>
      </c>
      <c r="H130">
        <f>IF($U$1="",0,N(ISNUMBER(SEARCH($U$1,Database!$AC130&amp;""))))+IF($V$1="",0,N(ISNUMBER(SEARCH($V$1,Database!$AC130&amp;""))))+IF($W$1="",0,N(ISNUMBER(SEARCH($W$1,Database!$AC130&amp;""))))+IF($X$1="",0,N(ISNUMBER(SEARCH($X$1,Database!$AC130&amp;""))))+IF($Y$1="",0,N(ISNUMBER(SEARCH($Y$1,Database!$AC130&amp;""))))+IF(Screener!$B$17="",0,N(ISNUMBER(SEARCH(LOWER(Screener!$B$17),Database!$AC130&amp;""))))</f>
        <v/>
      </c>
      <c r="I130">
        <f>IF(OR(N(Database!$BG130)&lt;=0,N(Screener!$D$13)&lt;=0),0,MAX(0,1-ABS(LOG10(N(Database!$BG130)/Screener!$D$13))/W_PEHW))</f>
        <v/>
      </c>
      <c r="J130">
        <f>IF(OR(N(Database!$S130)&lt;=0,N(Screener!$D$14)&lt;=0),0,MAX(0,1-ABS(LOG10(Database!$S130/Screener!$D$14))/0.6))</f>
        <v/>
      </c>
      <c r="K130">
        <f>IF(Database!$B130=Screener!$B$5,-999999,IF(ISNUMBER(SEARCH(","&amp;Database!$A130&amp;",",","&amp;SUBSTITUTE(Screener!$D$17," ","")&amp;",")),2000000,IF(IF(OR(Screener!$B$18="All",AND(Screener!$B$18="With A-share",(Database!$BL130="Y")),AND(Screener!$B$18="Without A-share",NOT((Database!$BL130="Y")))),1,0)=0,-999999,IF(Screener!$B$16="cornerstone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Database!BF118</f>
        <v/>
      </c>
      <c r="AF130">
        <f>Database!BL118</f>
        <v/>
      </c>
      <c r="AG130">
        <f>Database!H118</f>
        <v/>
      </c>
      <c r="AH130">
        <f>Database!BG118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IF(OR(Database!$BF131="",Screener!$D$10=""),0,IF(Database!$BF131=Screener!$D$10,1,0))</f>
        <v/>
      </c>
      <c r="F131">
        <f>IF(OR(Database!$BL131="",Screener!$D$11=""),0,IF(Database!$BL131=Screener!$D$11,1,0))</f>
        <v/>
      </c>
      <c r="G131">
        <f>IF(OR(Database!$H131="",N(Screener!$D$12)&lt;=0),0,MAX(0,1-(N(Screener!$D$12)-Database!$H131)/W_RECD))</f>
        <v/>
      </c>
      <c r="H131">
        <f>IF($U$1="",0,N(ISNUMBER(SEARCH($U$1,Database!$AC131&amp;""))))+IF($V$1="",0,N(ISNUMBER(SEARCH($V$1,Database!$AC131&amp;""))))+IF($W$1="",0,N(ISNUMBER(SEARCH($W$1,Database!$AC131&amp;""))))+IF($X$1="",0,N(ISNUMBER(SEARCH($X$1,Database!$AC131&amp;""))))+IF($Y$1="",0,N(ISNUMBER(SEARCH($Y$1,Database!$AC131&amp;""))))+IF(Screener!$B$17="",0,N(ISNUMBER(SEARCH(LOWER(Screener!$B$17),Database!$AC131&amp;""))))</f>
        <v/>
      </c>
      <c r="I131">
        <f>IF(OR(N(Database!$BG131)&lt;=0,N(Screener!$D$13)&lt;=0),0,MAX(0,1-ABS(LOG10(N(Database!$BG131)/Screener!$D$13))/W_PEHW))</f>
        <v/>
      </c>
      <c r="J131">
        <f>IF(OR(N(Database!$S131)&lt;=0,N(Screener!$D$14)&lt;=0),0,MAX(0,1-ABS(LOG10(Database!$S131/Screener!$D$14))/0.6))</f>
        <v/>
      </c>
      <c r="K131">
        <f>IF(Database!$B131=Screener!$B$5,-999999,IF(ISNUMBER(SEARCH(","&amp;Database!$A131&amp;",",","&amp;SUBSTITUTE(Screener!$D$17," ","")&amp;",")),2000000,IF(IF(OR(Screener!$B$18="All",AND(Screener!$B$18="With A-share",(Database!$BL131="Y")),AND(Screener!$B$18="Without A-share",NOT((Database!$BL131="Y")))),1,0)=0,-999999,IF(Screener!$B$16="cornerstone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Database!BF119</f>
        <v/>
      </c>
      <c r="AF131">
        <f>Database!BL119</f>
        <v/>
      </c>
      <c r="AG131">
        <f>Database!H119</f>
        <v/>
      </c>
      <c r="AH131">
        <f>Database!BG119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IF(OR(Database!$BF132="",Screener!$D$10=""),0,IF(Database!$BF132=Screener!$D$10,1,0))</f>
        <v/>
      </c>
      <c r="F132">
        <f>IF(OR(Database!$BL132="",Screener!$D$11=""),0,IF(Database!$BL132=Screener!$D$11,1,0))</f>
        <v/>
      </c>
      <c r="G132">
        <f>IF(OR(Database!$H132="",N(Screener!$D$12)&lt;=0),0,MAX(0,1-(N(Screener!$D$12)-Database!$H132)/W_RECD))</f>
        <v/>
      </c>
      <c r="H132">
        <f>IF($U$1="",0,N(ISNUMBER(SEARCH($U$1,Database!$AC132&amp;""))))+IF($V$1="",0,N(ISNUMBER(SEARCH($V$1,Database!$AC132&amp;""))))+IF($W$1="",0,N(ISNUMBER(SEARCH($W$1,Database!$AC132&amp;""))))+IF($X$1="",0,N(ISNUMBER(SEARCH($X$1,Database!$AC132&amp;""))))+IF($Y$1="",0,N(ISNUMBER(SEARCH($Y$1,Database!$AC132&amp;""))))+IF(Screener!$B$17="",0,N(ISNUMBER(SEARCH(LOWER(Screener!$B$17),Database!$AC132&amp;""))))</f>
        <v/>
      </c>
      <c r="I132">
        <f>IF(OR(N(Database!$BG132)&lt;=0,N(Screener!$D$13)&lt;=0),0,MAX(0,1-ABS(LOG10(N(Database!$BG132)/Screener!$D$13))/W_PEHW))</f>
        <v/>
      </c>
      <c r="J132">
        <f>IF(OR(N(Database!$S132)&lt;=0,N(Screener!$D$14)&lt;=0),0,MAX(0,1-ABS(LOG10(Database!$S132/Screener!$D$14))/0.6))</f>
        <v/>
      </c>
      <c r="K132">
        <f>IF(Database!$B132=Screener!$B$5,-999999,IF(ISNUMBER(SEARCH(","&amp;Database!$A132&amp;",",","&amp;SUBSTITUTE(Screener!$D$17," ","")&amp;",")),2000000,IF(IF(OR(Screener!$B$18="All",AND(Screener!$B$18="With A-share",(Database!$BL132="Y")),AND(Screener!$B$18="Without A-share",NOT((Database!$BL132="Y")))),1,0)=0,-999999,IF(Screener!$B$16="cornerstone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Database!BF120</f>
        <v/>
      </c>
      <c r="AF132">
        <f>Database!BL120</f>
        <v/>
      </c>
      <c r="AG132">
        <f>Database!H120</f>
        <v/>
      </c>
      <c r="AH132">
        <f>Database!BG120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IF(OR(Database!$BF133="",Screener!$D$10=""),0,IF(Database!$BF133=Screener!$D$10,1,0))</f>
        <v/>
      </c>
      <c r="F133">
        <f>IF(OR(Database!$BL133="",Screener!$D$11=""),0,IF(Database!$BL133=Screener!$D$11,1,0))</f>
        <v/>
      </c>
      <c r="G133">
        <f>IF(OR(Database!$H133="",N(Screener!$D$12)&lt;=0),0,MAX(0,1-(N(Screener!$D$12)-Database!$H133)/W_RECD))</f>
        <v/>
      </c>
      <c r="H133">
        <f>IF($U$1="",0,N(ISNUMBER(SEARCH($U$1,Database!$AC133&amp;""))))+IF($V$1="",0,N(ISNUMBER(SEARCH($V$1,Database!$AC133&amp;""))))+IF($W$1="",0,N(ISNUMBER(SEARCH($W$1,Database!$AC133&amp;""))))+IF($X$1="",0,N(ISNUMBER(SEARCH($X$1,Database!$AC133&amp;""))))+IF($Y$1="",0,N(ISNUMBER(SEARCH($Y$1,Database!$AC133&amp;""))))+IF(Screener!$B$17="",0,N(ISNUMBER(SEARCH(LOWER(Screener!$B$17),Database!$AC133&amp;""))))</f>
        <v/>
      </c>
      <c r="I133">
        <f>IF(OR(N(Database!$BG133)&lt;=0,N(Screener!$D$13)&lt;=0),0,MAX(0,1-ABS(LOG10(N(Database!$BG133)/Screener!$D$13))/W_PEHW))</f>
        <v/>
      </c>
      <c r="J133">
        <f>IF(OR(N(Database!$S133)&lt;=0,N(Screener!$D$14)&lt;=0),0,MAX(0,1-ABS(LOG10(Database!$S133/Screener!$D$14))/0.6))</f>
        <v/>
      </c>
      <c r="K133">
        <f>IF(Database!$B133=Screener!$B$5,-999999,IF(ISNUMBER(SEARCH(","&amp;Database!$A133&amp;",",","&amp;SUBSTITUTE(Screener!$D$17," ","")&amp;",")),2000000,IF(IF(OR(Screener!$B$18="All",AND(Screener!$B$18="With A-share",(Database!$BL133="Y")),AND(Screener!$B$18="Without A-share",NOT((Database!$BL133="Y")))),1,0)=0,-999999,IF(Screener!$B$16="cornerstone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Database!BF121</f>
        <v/>
      </c>
      <c r="AF133">
        <f>Database!BL121</f>
        <v/>
      </c>
      <c r="AG133">
        <f>Database!H121</f>
        <v/>
      </c>
      <c r="AH133">
        <f>Database!BG121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IF(OR(Database!$BF134="",Screener!$D$10=""),0,IF(Database!$BF134=Screener!$D$10,1,0))</f>
        <v/>
      </c>
      <c r="F134">
        <f>IF(OR(Database!$BL134="",Screener!$D$11=""),0,IF(Database!$BL134=Screener!$D$11,1,0))</f>
        <v/>
      </c>
      <c r="G134">
        <f>IF(OR(Database!$H134="",N(Screener!$D$12)&lt;=0),0,MAX(0,1-(N(Screener!$D$12)-Database!$H134)/W_RECD))</f>
        <v/>
      </c>
      <c r="H134">
        <f>IF($U$1="",0,N(ISNUMBER(SEARCH($U$1,Database!$AC134&amp;""))))+IF($V$1="",0,N(ISNUMBER(SEARCH($V$1,Database!$AC134&amp;""))))+IF($W$1="",0,N(ISNUMBER(SEARCH($W$1,Database!$AC134&amp;""))))+IF($X$1="",0,N(ISNUMBER(SEARCH($X$1,Database!$AC134&amp;""))))+IF($Y$1="",0,N(ISNUMBER(SEARCH($Y$1,Database!$AC134&amp;""))))+IF(Screener!$B$17="",0,N(ISNUMBER(SEARCH(LOWER(Screener!$B$17),Database!$AC134&amp;""))))</f>
        <v/>
      </c>
      <c r="I134">
        <f>IF(OR(N(Database!$BG134)&lt;=0,N(Screener!$D$13)&lt;=0),0,MAX(0,1-ABS(LOG10(N(Database!$BG134)/Screener!$D$13))/W_PEHW))</f>
        <v/>
      </c>
      <c r="J134">
        <f>IF(OR(N(Database!$S134)&lt;=0,N(Screener!$D$14)&lt;=0),0,MAX(0,1-ABS(LOG10(Database!$S134/Screener!$D$14))/0.6))</f>
        <v/>
      </c>
      <c r="K134">
        <f>IF(Database!$B134=Screener!$B$5,-999999,IF(ISNUMBER(SEARCH(","&amp;Database!$A134&amp;",",","&amp;SUBSTITUTE(Screener!$D$17," ","")&amp;",")),2000000,IF(IF(OR(Screener!$B$18="All",AND(Screener!$B$18="With A-share",(Database!$BL134="Y")),AND(Screener!$B$18="Without A-share",NOT((Database!$BL134="Y")))),1,0)=0,-999999,IF(Screener!$B$16="cornerstone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Database!BF122</f>
        <v/>
      </c>
      <c r="AF134">
        <f>Database!BL122</f>
        <v/>
      </c>
      <c r="AG134">
        <f>Database!H122</f>
        <v/>
      </c>
      <c r="AH134">
        <f>Database!BG122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IF(OR(Database!$BF135="",Screener!$D$10=""),0,IF(Database!$BF135=Screener!$D$10,1,0))</f>
        <v/>
      </c>
      <c r="F135">
        <f>IF(OR(Database!$BL135="",Screener!$D$11=""),0,IF(Database!$BL135=Screener!$D$11,1,0))</f>
        <v/>
      </c>
      <c r="G135">
        <f>IF(OR(Database!$H135="",N(Screener!$D$12)&lt;=0),0,MAX(0,1-(N(Screener!$D$12)-Database!$H135)/W_RECD))</f>
        <v/>
      </c>
      <c r="H135">
        <f>IF($U$1="",0,N(ISNUMBER(SEARCH($U$1,Database!$AC135&amp;""))))+IF($V$1="",0,N(ISNUMBER(SEARCH($V$1,Database!$AC135&amp;""))))+IF($W$1="",0,N(ISNUMBER(SEARCH($W$1,Database!$AC135&amp;""))))+IF($X$1="",0,N(ISNUMBER(SEARCH($X$1,Database!$AC135&amp;""))))+IF($Y$1="",0,N(ISNUMBER(SEARCH($Y$1,Database!$AC135&amp;""))))+IF(Screener!$B$17="",0,N(ISNUMBER(SEARCH(LOWER(Screener!$B$17),Database!$AC135&amp;""))))</f>
        <v/>
      </c>
      <c r="I135">
        <f>IF(OR(N(Database!$BG135)&lt;=0,N(Screener!$D$13)&lt;=0),0,MAX(0,1-ABS(LOG10(N(Database!$BG135)/Screener!$D$13))/W_PEHW))</f>
        <v/>
      </c>
      <c r="J135">
        <f>IF(OR(N(Database!$S135)&lt;=0,N(Screener!$D$14)&lt;=0),0,MAX(0,1-ABS(LOG10(Database!$S135/Screener!$D$14))/0.6))</f>
        <v/>
      </c>
      <c r="K135">
        <f>IF(Database!$B135=Screener!$B$5,-999999,IF(ISNUMBER(SEARCH(","&amp;Database!$A135&amp;",",","&amp;SUBSTITUTE(Screener!$D$17," ","")&amp;",")),2000000,IF(IF(OR(Screener!$B$18="All",AND(Screener!$B$18="With A-share",(Database!$BL135="Y")),AND(Screener!$B$18="Without A-share",NOT((Database!$BL135="Y")))),1,0)=0,-999999,IF(Screener!$B$16="cornerstone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Database!BF123</f>
        <v/>
      </c>
      <c r="AF135">
        <f>Database!BL123</f>
        <v/>
      </c>
      <c r="AG135">
        <f>Database!H123</f>
        <v/>
      </c>
      <c r="AH135">
        <f>Database!BG123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IF(OR(Database!$BF136="",Screener!$D$10=""),0,IF(Database!$BF136=Screener!$D$10,1,0))</f>
        <v/>
      </c>
      <c r="F136">
        <f>IF(OR(Database!$BL136="",Screener!$D$11=""),0,IF(Database!$BL136=Screener!$D$11,1,0))</f>
        <v/>
      </c>
      <c r="G136">
        <f>IF(OR(Database!$H136="",N(Screener!$D$12)&lt;=0),0,MAX(0,1-(N(Screener!$D$12)-Database!$H136)/W_RECD))</f>
        <v/>
      </c>
      <c r="H136">
        <f>IF($U$1="",0,N(ISNUMBER(SEARCH($U$1,Database!$AC136&amp;""))))+IF($V$1="",0,N(ISNUMBER(SEARCH($V$1,Database!$AC136&amp;""))))+IF($W$1="",0,N(ISNUMBER(SEARCH($W$1,Database!$AC136&amp;""))))+IF($X$1="",0,N(ISNUMBER(SEARCH($X$1,Database!$AC136&amp;""))))+IF($Y$1="",0,N(ISNUMBER(SEARCH($Y$1,Database!$AC136&amp;""))))+IF(Screener!$B$17="",0,N(ISNUMBER(SEARCH(LOWER(Screener!$B$17),Database!$AC136&amp;""))))</f>
        <v/>
      </c>
      <c r="I136">
        <f>IF(OR(N(Database!$BG136)&lt;=0,N(Screener!$D$13)&lt;=0),0,MAX(0,1-ABS(LOG10(N(Database!$BG136)/Screener!$D$13))/W_PEHW))</f>
        <v/>
      </c>
      <c r="J136">
        <f>IF(OR(N(Database!$S136)&lt;=0,N(Screener!$D$14)&lt;=0),0,MAX(0,1-ABS(LOG10(Database!$S136/Screener!$D$14))/0.6))</f>
        <v/>
      </c>
      <c r="K136">
        <f>IF(Database!$B136=Screener!$B$5,-999999,IF(ISNUMBER(SEARCH(","&amp;Database!$A136&amp;",",","&amp;SUBSTITUTE(Screener!$D$17," ","")&amp;",")),2000000,IF(IF(OR(Screener!$B$18="All",AND(Screener!$B$18="With A-share",(Database!$BL136="Y")),AND(Screener!$B$18="Without A-share",NOT((Database!$BL136="Y")))),1,0)=0,-999999,IF(Screener!$B$16="cornerstone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Database!BF124</f>
        <v/>
      </c>
      <c r="AF136">
        <f>Database!BL124</f>
        <v/>
      </c>
      <c r="AG136">
        <f>Database!H124</f>
        <v/>
      </c>
      <c r="AH136">
        <f>Database!BG124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IF(OR(Database!$BF137="",Screener!$D$10=""),0,IF(Database!$BF137=Screener!$D$10,1,0))</f>
        <v/>
      </c>
      <c r="F137">
        <f>IF(OR(Database!$BL137="",Screener!$D$11=""),0,IF(Database!$BL137=Screener!$D$11,1,0))</f>
        <v/>
      </c>
      <c r="G137">
        <f>IF(OR(Database!$H137="",N(Screener!$D$12)&lt;=0),0,MAX(0,1-(N(Screener!$D$12)-Database!$H137)/W_RECD))</f>
        <v/>
      </c>
      <c r="H137">
        <f>IF($U$1="",0,N(ISNUMBER(SEARCH($U$1,Database!$AC137&amp;""))))+IF($V$1="",0,N(ISNUMBER(SEARCH($V$1,Database!$AC137&amp;""))))+IF($W$1="",0,N(ISNUMBER(SEARCH($W$1,Database!$AC137&amp;""))))+IF($X$1="",0,N(ISNUMBER(SEARCH($X$1,Database!$AC137&amp;""))))+IF($Y$1="",0,N(ISNUMBER(SEARCH($Y$1,Database!$AC137&amp;""))))+IF(Screener!$B$17="",0,N(ISNUMBER(SEARCH(LOWER(Screener!$B$17),Database!$AC137&amp;""))))</f>
        <v/>
      </c>
      <c r="I137">
        <f>IF(OR(N(Database!$BG137)&lt;=0,N(Screener!$D$13)&lt;=0),0,MAX(0,1-ABS(LOG10(N(Database!$BG137)/Screener!$D$13))/W_PEHW))</f>
        <v/>
      </c>
      <c r="J137">
        <f>IF(OR(N(Database!$S137)&lt;=0,N(Screener!$D$14)&lt;=0),0,MAX(0,1-ABS(LOG10(Database!$S137/Screener!$D$14))/0.6))</f>
        <v/>
      </c>
      <c r="K137">
        <f>IF(Database!$B137=Screener!$B$5,-999999,IF(ISNUMBER(SEARCH(","&amp;Database!$A137&amp;",",","&amp;SUBSTITUTE(Screener!$D$17," ","")&amp;",")),2000000,IF(IF(OR(Screener!$B$18="All",AND(Screener!$B$18="With A-share",(Database!$BL137="Y")),AND(Screener!$B$18="Without A-share",NOT((Database!$BL137="Y")))),1,0)=0,-999999,IF(Screener!$B$16="cornerstone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Database!BF125</f>
        <v/>
      </c>
      <c r="AF137">
        <f>Database!BL125</f>
        <v/>
      </c>
      <c r="AG137">
        <f>Database!H125</f>
        <v/>
      </c>
      <c r="AH137">
        <f>Database!BG125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IF(OR(Database!$BF138="",Screener!$D$10=""),0,IF(Database!$BF138=Screener!$D$10,1,0))</f>
        <v/>
      </c>
      <c r="F138">
        <f>IF(OR(Database!$BL138="",Screener!$D$11=""),0,IF(Database!$BL138=Screener!$D$11,1,0))</f>
        <v/>
      </c>
      <c r="G138">
        <f>IF(OR(Database!$H138="",N(Screener!$D$12)&lt;=0),0,MAX(0,1-(N(Screener!$D$12)-Database!$H138)/W_RECD))</f>
        <v/>
      </c>
      <c r="H138">
        <f>IF($U$1="",0,N(ISNUMBER(SEARCH($U$1,Database!$AC138&amp;""))))+IF($V$1="",0,N(ISNUMBER(SEARCH($V$1,Database!$AC138&amp;""))))+IF($W$1="",0,N(ISNUMBER(SEARCH($W$1,Database!$AC138&amp;""))))+IF($X$1="",0,N(ISNUMBER(SEARCH($X$1,Database!$AC138&amp;""))))+IF($Y$1="",0,N(ISNUMBER(SEARCH($Y$1,Database!$AC138&amp;""))))+IF(Screener!$B$17="",0,N(ISNUMBER(SEARCH(LOWER(Screener!$B$17),Database!$AC138&amp;""))))</f>
        <v/>
      </c>
      <c r="I138">
        <f>IF(OR(N(Database!$BG138)&lt;=0,N(Screener!$D$13)&lt;=0),0,MAX(0,1-ABS(LOG10(N(Database!$BG138)/Screener!$D$13))/W_PEHW))</f>
        <v/>
      </c>
      <c r="J138">
        <f>IF(OR(N(Database!$S138)&lt;=0,N(Screener!$D$14)&lt;=0),0,MAX(0,1-ABS(LOG10(Database!$S138/Screener!$D$14))/0.6))</f>
        <v/>
      </c>
      <c r="K138">
        <f>IF(Database!$B138=Screener!$B$5,-999999,IF(ISNUMBER(SEARCH(","&amp;Database!$A138&amp;",",","&amp;SUBSTITUTE(Screener!$D$17," ","")&amp;",")),2000000,IF(IF(OR(Screener!$B$18="All",AND(Screener!$B$18="With A-share",(Database!$BL138="Y")),AND(Screener!$B$18="Without A-share",NOT((Database!$BL138="Y")))),1,0)=0,-999999,IF(Screener!$B$16="cornerstone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Database!BF126</f>
        <v/>
      </c>
      <c r="AF138">
        <f>Database!BL126</f>
        <v/>
      </c>
      <c r="AG138">
        <f>Database!H126</f>
        <v/>
      </c>
      <c r="AH138">
        <f>Database!BG126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IF(OR(Database!$BF139="",Screener!$D$10=""),0,IF(Database!$BF139=Screener!$D$10,1,0))</f>
        <v/>
      </c>
      <c r="F139">
        <f>IF(OR(Database!$BL139="",Screener!$D$11=""),0,IF(Database!$BL139=Screener!$D$11,1,0))</f>
        <v/>
      </c>
      <c r="G139">
        <f>IF(OR(Database!$H139="",N(Screener!$D$12)&lt;=0),0,MAX(0,1-(N(Screener!$D$12)-Database!$H139)/W_RECD))</f>
        <v/>
      </c>
      <c r="H139">
        <f>IF($U$1="",0,N(ISNUMBER(SEARCH($U$1,Database!$AC139&amp;""))))+IF($V$1="",0,N(ISNUMBER(SEARCH($V$1,Database!$AC139&amp;""))))+IF($W$1="",0,N(ISNUMBER(SEARCH($W$1,Database!$AC139&amp;""))))+IF($X$1="",0,N(ISNUMBER(SEARCH($X$1,Database!$AC139&amp;""))))+IF($Y$1="",0,N(ISNUMBER(SEARCH($Y$1,Database!$AC139&amp;""))))+IF(Screener!$B$17="",0,N(ISNUMBER(SEARCH(LOWER(Screener!$B$17),Database!$AC139&amp;""))))</f>
        <v/>
      </c>
      <c r="I139">
        <f>IF(OR(N(Database!$BG139)&lt;=0,N(Screener!$D$13)&lt;=0),0,MAX(0,1-ABS(LOG10(N(Database!$BG139)/Screener!$D$13))/W_PEHW))</f>
        <v/>
      </c>
      <c r="J139">
        <f>IF(OR(N(Database!$S139)&lt;=0,N(Screener!$D$14)&lt;=0),0,MAX(0,1-ABS(LOG10(Database!$S139/Screener!$D$14))/0.6))</f>
        <v/>
      </c>
      <c r="K139">
        <f>IF(Database!$B139=Screener!$B$5,-999999,IF(ISNUMBER(SEARCH(","&amp;Database!$A139&amp;",",","&amp;SUBSTITUTE(Screener!$D$17," ","")&amp;",")),2000000,IF(IF(OR(Screener!$B$18="All",AND(Screener!$B$18="With A-share",(Database!$BL139="Y")),AND(Screener!$B$18="Without A-share",NOT((Database!$BL139="Y")))),1,0)=0,-999999,IF(Screener!$B$16="cornerstone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Database!BF127</f>
        <v/>
      </c>
      <c r="AF139">
        <f>Database!BL127</f>
        <v/>
      </c>
      <c r="AG139">
        <f>Database!H127</f>
        <v/>
      </c>
      <c r="AH139">
        <f>Database!BG127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IF(OR(Database!$BF140="",Screener!$D$10=""),0,IF(Database!$BF140=Screener!$D$10,1,0))</f>
        <v/>
      </c>
      <c r="F140">
        <f>IF(OR(Database!$BL140="",Screener!$D$11=""),0,IF(Database!$BL140=Screener!$D$11,1,0))</f>
        <v/>
      </c>
      <c r="G140">
        <f>IF(OR(Database!$H140="",N(Screener!$D$12)&lt;=0),0,MAX(0,1-(N(Screener!$D$12)-Database!$H140)/W_RECD))</f>
        <v/>
      </c>
      <c r="H140">
        <f>IF($U$1="",0,N(ISNUMBER(SEARCH($U$1,Database!$AC140&amp;""))))+IF($V$1="",0,N(ISNUMBER(SEARCH($V$1,Database!$AC140&amp;""))))+IF($W$1="",0,N(ISNUMBER(SEARCH($W$1,Database!$AC140&amp;""))))+IF($X$1="",0,N(ISNUMBER(SEARCH($X$1,Database!$AC140&amp;""))))+IF($Y$1="",0,N(ISNUMBER(SEARCH($Y$1,Database!$AC140&amp;""))))+IF(Screener!$B$17="",0,N(ISNUMBER(SEARCH(LOWER(Screener!$B$17),Database!$AC140&amp;""))))</f>
        <v/>
      </c>
      <c r="I140">
        <f>IF(OR(N(Database!$BG140)&lt;=0,N(Screener!$D$13)&lt;=0),0,MAX(0,1-ABS(LOG10(N(Database!$BG140)/Screener!$D$13))/W_PEHW))</f>
        <v/>
      </c>
      <c r="J140">
        <f>IF(OR(N(Database!$S140)&lt;=0,N(Screener!$D$14)&lt;=0),0,MAX(0,1-ABS(LOG10(Database!$S140/Screener!$D$14))/0.6))</f>
        <v/>
      </c>
      <c r="K140">
        <f>IF(Database!$B140=Screener!$B$5,-999999,IF(ISNUMBER(SEARCH(","&amp;Database!$A140&amp;",",","&amp;SUBSTITUTE(Screener!$D$17," ","")&amp;",")),2000000,IF(IF(OR(Screener!$B$18="All",AND(Screener!$B$18="With A-share",(Database!$BL140="Y")),AND(Screener!$B$18="Without A-share",NOT((Database!$BL140="Y")))),1,0)=0,-999999,IF(Screener!$B$16="cornerstone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Database!BF128</f>
        <v/>
      </c>
      <c r="AF140">
        <f>Database!BL128</f>
        <v/>
      </c>
      <c r="AG140">
        <f>Database!H128</f>
        <v/>
      </c>
      <c r="AH140">
        <f>Database!BG128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IF(OR(Database!$BF141="",Screener!$D$10=""),0,IF(Database!$BF141=Screener!$D$10,1,0))</f>
        <v/>
      </c>
      <c r="F141">
        <f>IF(OR(Database!$BL141="",Screener!$D$11=""),0,IF(Database!$BL141=Screener!$D$11,1,0))</f>
        <v/>
      </c>
      <c r="G141">
        <f>IF(OR(Database!$H141="",N(Screener!$D$12)&lt;=0),0,MAX(0,1-(N(Screener!$D$12)-Database!$H141)/W_RECD))</f>
        <v/>
      </c>
      <c r="H141">
        <f>IF($U$1="",0,N(ISNUMBER(SEARCH($U$1,Database!$AC141&amp;""))))+IF($V$1="",0,N(ISNUMBER(SEARCH($V$1,Database!$AC141&amp;""))))+IF($W$1="",0,N(ISNUMBER(SEARCH($W$1,Database!$AC141&amp;""))))+IF($X$1="",0,N(ISNUMBER(SEARCH($X$1,Database!$AC141&amp;""))))+IF($Y$1="",0,N(ISNUMBER(SEARCH($Y$1,Database!$AC141&amp;""))))+IF(Screener!$B$17="",0,N(ISNUMBER(SEARCH(LOWER(Screener!$B$17),Database!$AC141&amp;""))))</f>
        <v/>
      </c>
      <c r="I141">
        <f>IF(OR(N(Database!$BG141)&lt;=0,N(Screener!$D$13)&lt;=0),0,MAX(0,1-ABS(LOG10(N(Database!$BG141)/Screener!$D$13))/W_PEHW))</f>
        <v/>
      </c>
      <c r="J141">
        <f>IF(OR(N(Database!$S141)&lt;=0,N(Screener!$D$14)&lt;=0),0,MAX(0,1-ABS(LOG10(Database!$S141/Screener!$D$14))/0.6))</f>
        <v/>
      </c>
      <c r="K141">
        <f>IF(Database!$B141=Screener!$B$5,-999999,IF(ISNUMBER(SEARCH(","&amp;Database!$A141&amp;",",","&amp;SUBSTITUTE(Screener!$D$17," ","")&amp;",")),2000000,IF(IF(OR(Screener!$B$18="All",AND(Screener!$B$18="With A-share",(Database!$BL141="Y")),AND(Screener!$B$18="Without A-share",NOT((Database!$BL141="Y")))),1,0)=0,-999999,IF(Screener!$B$16="cornerstone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Database!BF129</f>
        <v/>
      </c>
      <c r="AF141">
        <f>Database!BL129</f>
        <v/>
      </c>
      <c r="AG141">
        <f>Database!H129</f>
        <v/>
      </c>
      <c r="AH141">
        <f>Database!BG129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IF(OR(Database!$BF142="",Screener!$D$10=""),0,IF(Database!$BF142=Screener!$D$10,1,0))</f>
        <v/>
      </c>
      <c r="F142">
        <f>IF(OR(Database!$BL142="",Screener!$D$11=""),0,IF(Database!$BL142=Screener!$D$11,1,0))</f>
        <v/>
      </c>
      <c r="G142">
        <f>IF(OR(Database!$H142="",N(Screener!$D$12)&lt;=0),0,MAX(0,1-(N(Screener!$D$12)-Database!$H142)/W_RECD))</f>
        <v/>
      </c>
      <c r="H142">
        <f>IF($U$1="",0,N(ISNUMBER(SEARCH($U$1,Database!$AC142&amp;""))))+IF($V$1="",0,N(ISNUMBER(SEARCH($V$1,Database!$AC142&amp;""))))+IF($W$1="",0,N(ISNUMBER(SEARCH($W$1,Database!$AC142&amp;""))))+IF($X$1="",0,N(ISNUMBER(SEARCH($X$1,Database!$AC142&amp;""))))+IF($Y$1="",0,N(ISNUMBER(SEARCH($Y$1,Database!$AC142&amp;""))))+IF(Screener!$B$17="",0,N(ISNUMBER(SEARCH(LOWER(Screener!$B$17),Database!$AC142&amp;""))))</f>
        <v/>
      </c>
      <c r="I142">
        <f>IF(OR(N(Database!$BG142)&lt;=0,N(Screener!$D$13)&lt;=0),0,MAX(0,1-ABS(LOG10(N(Database!$BG142)/Screener!$D$13))/W_PEHW))</f>
        <v/>
      </c>
      <c r="J142">
        <f>IF(OR(N(Database!$S142)&lt;=0,N(Screener!$D$14)&lt;=0),0,MAX(0,1-ABS(LOG10(Database!$S142/Screener!$D$14))/0.6))</f>
        <v/>
      </c>
      <c r="K142">
        <f>IF(Database!$B142=Screener!$B$5,-999999,IF(ISNUMBER(SEARCH(","&amp;Database!$A142&amp;",",","&amp;SUBSTITUTE(Screener!$D$17," ","")&amp;",")),2000000,IF(IF(OR(Screener!$B$18="All",AND(Screener!$B$18="With A-share",(Database!$BL142="Y")),AND(Screener!$B$18="Without A-share",NOT((Database!$BL142="Y")))),1,0)=0,-999999,IF(Screener!$B$16="cornerstone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Database!BF130</f>
        <v/>
      </c>
      <c r="AF142">
        <f>Database!BL130</f>
        <v/>
      </c>
      <c r="AG142">
        <f>Database!H130</f>
        <v/>
      </c>
      <c r="AH142">
        <f>Database!BG130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IF(OR(Database!$BF143="",Screener!$D$10=""),0,IF(Database!$BF143=Screener!$D$10,1,0))</f>
        <v/>
      </c>
      <c r="F143">
        <f>IF(OR(Database!$BL143="",Screener!$D$11=""),0,IF(Database!$BL143=Screener!$D$11,1,0))</f>
        <v/>
      </c>
      <c r="G143">
        <f>IF(OR(Database!$H143="",N(Screener!$D$12)&lt;=0),0,MAX(0,1-(N(Screener!$D$12)-Database!$H143)/W_RECD))</f>
        <v/>
      </c>
      <c r="H143">
        <f>IF($U$1="",0,N(ISNUMBER(SEARCH($U$1,Database!$AC143&amp;""))))+IF($V$1="",0,N(ISNUMBER(SEARCH($V$1,Database!$AC143&amp;""))))+IF($W$1="",0,N(ISNUMBER(SEARCH($W$1,Database!$AC143&amp;""))))+IF($X$1="",0,N(ISNUMBER(SEARCH($X$1,Database!$AC143&amp;""))))+IF($Y$1="",0,N(ISNUMBER(SEARCH($Y$1,Database!$AC143&amp;""))))+IF(Screener!$B$17="",0,N(ISNUMBER(SEARCH(LOWER(Screener!$B$17),Database!$AC143&amp;""))))</f>
        <v/>
      </c>
      <c r="I143">
        <f>IF(OR(N(Database!$BG143)&lt;=0,N(Screener!$D$13)&lt;=0),0,MAX(0,1-ABS(LOG10(N(Database!$BG143)/Screener!$D$13))/W_PEHW))</f>
        <v/>
      </c>
      <c r="J143">
        <f>IF(OR(N(Database!$S143)&lt;=0,N(Screener!$D$14)&lt;=0),0,MAX(0,1-ABS(LOG10(Database!$S143/Screener!$D$14))/0.6))</f>
        <v/>
      </c>
      <c r="K143">
        <f>IF(Database!$B143=Screener!$B$5,-999999,IF(ISNUMBER(SEARCH(","&amp;Database!$A143&amp;",",","&amp;SUBSTITUTE(Screener!$D$17," ","")&amp;",")),2000000,IF(IF(OR(Screener!$B$18="All",AND(Screener!$B$18="With A-share",(Database!$BL143="Y")),AND(Screener!$B$18="Without A-share",NOT((Database!$BL143="Y")))),1,0)=0,-999999,IF(Screener!$B$16="cornerstone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Database!BF131</f>
        <v/>
      </c>
      <c r="AF143">
        <f>Database!BL131</f>
        <v/>
      </c>
      <c r="AG143">
        <f>Database!H131</f>
        <v/>
      </c>
      <c r="AH143">
        <f>Database!BG131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IF(OR(Database!$BF144="",Screener!$D$10=""),0,IF(Database!$BF144=Screener!$D$10,1,0))</f>
        <v/>
      </c>
      <c r="F144">
        <f>IF(OR(Database!$BL144="",Screener!$D$11=""),0,IF(Database!$BL144=Screener!$D$11,1,0))</f>
        <v/>
      </c>
      <c r="G144">
        <f>IF(OR(Database!$H144="",N(Screener!$D$12)&lt;=0),0,MAX(0,1-(N(Screener!$D$12)-Database!$H144)/W_RECD))</f>
        <v/>
      </c>
      <c r="H144">
        <f>IF($U$1="",0,N(ISNUMBER(SEARCH($U$1,Database!$AC144&amp;""))))+IF($V$1="",0,N(ISNUMBER(SEARCH($V$1,Database!$AC144&amp;""))))+IF($W$1="",0,N(ISNUMBER(SEARCH($W$1,Database!$AC144&amp;""))))+IF($X$1="",0,N(ISNUMBER(SEARCH($X$1,Database!$AC144&amp;""))))+IF($Y$1="",0,N(ISNUMBER(SEARCH($Y$1,Database!$AC144&amp;""))))+IF(Screener!$B$17="",0,N(ISNUMBER(SEARCH(LOWER(Screener!$B$17),Database!$AC144&amp;""))))</f>
        <v/>
      </c>
      <c r="I144">
        <f>IF(OR(N(Database!$BG144)&lt;=0,N(Screener!$D$13)&lt;=0),0,MAX(0,1-ABS(LOG10(N(Database!$BG144)/Screener!$D$13))/W_PEHW))</f>
        <v/>
      </c>
      <c r="J144">
        <f>IF(OR(N(Database!$S144)&lt;=0,N(Screener!$D$14)&lt;=0),0,MAX(0,1-ABS(LOG10(Database!$S144/Screener!$D$14))/0.6))</f>
        <v/>
      </c>
      <c r="K144">
        <f>IF(Database!$B144=Screener!$B$5,-999999,IF(ISNUMBER(SEARCH(","&amp;Database!$A144&amp;",",","&amp;SUBSTITUTE(Screener!$D$17," ","")&amp;",")),2000000,IF(IF(OR(Screener!$B$18="All",AND(Screener!$B$18="With A-share",(Database!$BL144="Y")),AND(Screener!$B$18="Without A-share",NOT((Database!$BL144="Y")))),1,0)=0,-999999,IF(Screener!$B$16="cornerstone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Database!BF132</f>
        <v/>
      </c>
      <c r="AF144">
        <f>Database!BL132</f>
        <v/>
      </c>
      <c r="AG144">
        <f>Database!H132</f>
        <v/>
      </c>
      <c r="AH144">
        <f>Database!BG132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IF(OR(Database!$BF145="",Screener!$D$10=""),0,IF(Database!$BF145=Screener!$D$10,1,0))</f>
        <v/>
      </c>
      <c r="F145">
        <f>IF(OR(Database!$BL145="",Screener!$D$11=""),0,IF(Database!$BL145=Screener!$D$11,1,0))</f>
        <v/>
      </c>
      <c r="G145">
        <f>IF(OR(Database!$H145="",N(Screener!$D$12)&lt;=0),0,MAX(0,1-(N(Screener!$D$12)-Database!$H145)/W_RECD))</f>
        <v/>
      </c>
      <c r="H145">
        <f>IF($U$1="",0,N(ISNUMBER(SEARCH($U$1,Database!$AC145&amp;""))))+IF($V$1="",0,N(ISNUMBER(SEARCH($V$1,Database!$AC145&amp;""))))+IF($W$1="",0,N(ISNUMBER(SEARCH($W$1,Database!$AC145&amp;""))))+IF($X$1="",0,N(ISNUMBER(SEARCH($X$1,Database!$AC145&amp;""))))+IF($Y$1="",0,N(ISNUMBER(SEARCH($Y$1,Database!$AC145&amp;""))))+IF(Screener!$B$17="",0,N(ISNUMBER(SEARCH(LOWER(Screener!$B$17),Database!$AC145&amp;""))))</f>
        <v/>
      </c>
      <c r="I145">
        <f>IF(OR(N(Database!$BG145)&lt;=0,N(Screener!$D$13)&lt;=0),0,MAX(0,1-ABS(LOG10(N(Database!$BG145)/Screener!$D$13))/W_PEHW))</f>
        <v/>
      </c>
      <c r="J145">
        <f>IF(OR(N(Database!$S145)&lt;=0,N(Screener!$D$14)&lt;=0),0,MAX(0,1-ABS(LOG10(Database!$S145/Screener!$D$14))/0.6))</f>
        <v/>
      </c>
      <c r="K145">
        <f>IF(Database!$B145=Screener!$B$5,-999999,IF(ISNUMBER(SEARCH(","&amp;Database!$A145&amp;",",","&amp;SUBSTITUTE(Screener!$D$17," ","")&amp;",")),2000000,IF(IF(OR(Screener!$B$18="All",AND(Screener!$B$18="With A-share",(Database!$BL145="Y")),AND(Screener!$B$18="Without A-share",NOT((Database!$BL145="Y")))),1,0)=0,-999999,IF(Screener!$B$16="cornerstone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Database!BF133</f>
        <v/>
      </c>
      <c r="AF145">
        <f>Database!BL133</f>
        <v/>
      </c>
      <c r="AG145">
        <f>Database!H133</f>
        <v/>
      </c>
      <c r="AH145">
        <f>Database!BG133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IF(OR(Database!$BF146="",Screener!$D$10=""),0,IF(Database!$BF146=Screener!$D$10,1,0))</f>
        <v/>
      </c>
      <c r="F146">
        <f>IF(OR(Database!$BL146="",Screener!$D$11=""),0,IF(Database!$BL146=Screener!$D$11,1,0))</f>
        <v/>
      </c>
      <c r="G146">
        <f>IF(OR(Database!$H146="",N(Screener!$D$12)&lt;=0),0,MAX(0,1-(N(Screener!$D$12)-Database!$H146)/W_RECD))</f>
        <v/>
      </c>
      <c r="H146">
        <f>IF($U$1="",0,N(ISNUMBER(SEARCH($U$1,Database!$AC146&amp;""))))+IF($V$1="",0,N(ISNUMBER(SEARCH($V$1,Database!$AC146&amp;""))))+IF($W$1="",0,N(ISNUMBER(SEARCH($W$1,Database!$AC146&amp;""))))+IF($X$1="",0,N(ISNUMBER(SEARCH($X$1,Database!$AC146&amp;""))))+IF($Y$1="",0,N(ISNUMBER(SEARCH($Y$1,Database!$AC146&amp;""))))+IF(Screener!$B$17="",0,N(ISNUMBER(SEARCH(LOWER(Screener!$B$17),Database!$AC146&amp;""))))</f>
        <v/>
      </c>
      <c r="I146">
        <f>IF(OR(N(Database!$BG146)&lt;=0,N(Screener!$D$13)&lt;=0),0,MAX(0,1-ABS(LOG10(N(Database!$BG146)/Screener!$D$13))/W_PEHW))</f>
        <v/>
      </c>
      <c r="J146">
        <f>IF(OR(N(Database!$S146)&lt;=0,N(Screener!$D$14)&lt;=0),0,MAX(0,1-ABS(LOG10(Database!$S146/Screener!$D$14))/0.6))</f>
        <v/>
      </c>
      <c r="K146">
        <f>IF(Database!$B146=Screener!$B$5,-999999,IF(ISNUMBER(SEARCH(","&amp;Database!$A146&amp;",",","&amp;SUBSTITUTE(Screener!$D$17," ","")&amp;",")),2000000,IF(IF(OR(Screener!$B$18="All",AND(Screener!$B$18="With A-share",(Database!$BL146="Y")),AND(Screener!$B$18="Without A-share",NOT((Database!$BL146="Y")))),1,0)=0,-999999,IF(Screener!$B$16="cornerstone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Database!BF134</f>
        <v/>
      </c>
      <c r="AF146">
        <f>Database!BL134</f>
        <v/>
      </c>
      <c r="AG146">
        <f>Database!H134</f>
        <v/>
      </c>
      <c r="AH146">
        <f>Database!BG134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IF(OR(Database!$BF147="",Screener!$D$10=""),0,IF(Database!$BF147=Screener!$D$10,1,0))</f>
        <v/>
      </c>
      <c r="F147">
        <f>IF(OR(Database!$BL147="",Screener!$D$11=""),0,IF(Database!$BL147=Screener!$D$11,1,0))</f>
        <v/>
      </c>
      <c r="G147">
        <f>IF(OR(Database!$H147="",N(Screener!$D$12)&lt;=0),0,MAX(0,1-(N(Screener!$D$12)-Database!$H147)/W_RECD))</f>
        <v/>
      </c>
      <c r="H147">
        <f>IF($U$1="",0,N(ISNUMBER(SEARCH($U$1,Database!$AC147&amp;""))))+IF($V$1="",0,N(ISNUMBER(SEARCH($V$1,Database!$AC147&amp;""))))+IF($W$1="",0,N(ISNUMBER(SEARCH($W$1,Database!$AC147&amp;""))))+IF($X$1="",0,N(ISNUMBER(SEARCH($X$1,Database!$AC147&amp;""))))+IF($Y$1="",0,N(ISNUMBER(SEARCH($Y$1,Database!$AC147&amp;""))))+IF(Screener!$B$17="",0,N(ISNUMBER(SEARCH(LOWER(Screener!$B$17),Database!$AC147&amp;""))))</f>
        <v/>
      </c>
      <c r="I147">
        <f>IF(OR(N(Database!$BG147)&lt;=0,N(Screener!$D$13)&lt;=0),0,MAX(0,1-ABS(LOG10(N(Database!$BG147)/Screener!$D$13))/W_PEHW))</f>
        <v/>
      </c>
      <c r="J147">
        <f>IF(OR(N(Database!$S147)&lt;=0,N(Screener!$D$14)&lt;=0),0,MAX(0,1-ABS(LOG10(Database!$S147/Screener!$D$14))/0.6))</f>
        <v/>
      </c>
      <c r="K147">
        <f>IF(Database!$B147=Screener!$B$5,-999999,IF(ISNUMBER(SEARCH(","&amp;Database!$A147&amp;",",","&amp;SUBSTITUTE(Screener!$D$17," ","")&amp;",")),2000000,IF(IF(OR(Screener!$B$18="All",AND(Screener!$B$18="With A-share",(Database!$BL147="Y")),AND(Screener!$B$18="Without A-share",NOT((Database!$BL147="Y")))),1,0)=0,-999999,IF(Screener!$B$16="cornerstone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Database!BF135</f>
        <v/>
      </c>
      <c r="AF147">
        <f>Database!BL135</f>
        <v/>
      </c>
      <c r="AG147">
        <f>Database!H135</f>
        <v/>
      </c>
      <c r="AH147">
        <f>Database!BG135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IF(OR(Database!$BF148="",Screener!$D$10=""),0,IF(Database!$BF148=Screener!$D$10,1,0))</f>
        <v/>
      </c>
      <c r="F148">
        <f>IF(OR(Database!$BL148="",Screener!$D$11=""),0,IF(Database!$BL148=Screener!$D$11,1,0))</f>
        <v/>
      </c>
      <c r="G148">
        <f>IF(OR(Database!$H148="",N(Screener!$D$12)&lt;=0),0,MAX(0,1-(N(Screener!$D$12)-Database!$H148)/W_RECD))</f>
        <v/>
      </c>
      <c r="H148">
        <f>IF($U$1="",0,N(ISNUMBER(SEARCH($U$1,Database!$AC148&amp;""))))+IF($V$1="",0,N(ISNUMBER(SEARCH($V$1,Database!$AC148&amp;""))))+IF($W$1="",0,N(ISNUMBER(SEARCH($W$1,Database!$AC148&amp;""))))+IF($X$1="",0,N(ISNUMBER(SEARCH($X$1,Database!$AC148&amp;""))))+IF($Y$1="",0,N(ISNUMBER(SEARCH($Y$1,Database!$AC148&amp;""))))+IF(Screener!$B$17="",0,N(ISNUMBER(SEARCH(LOWER(Screener!$B$17),Database!$AC148&amp;""))))</f>
        <v/>
      </c>
      <c r="I148">
        <f>IF(OR(N(Database!$BG148)&lt;=0,N(Screener!$D$13)&lt;=0),0,MAX(0,1-ABS(LOG10(N(Database!$BG148)/Screener!$D$13))/W_PEHW))</f>
        <v/>
      </c>
      <c r="J148">
        <f>IF(OR(N(Database!$S148)&lt;=0,N(Screener!$D$14)&lt;=0),0,MAX(0,1-ABS(LOG10(Database!$S148/Screener!$D$14))/0.6))</f>
        <v/>
      </c>
      <c r="K148">
        <f>IF(Database!$B148=Screener!$B$5,-999999,IF(ISNUMBER(SEARCH(","&amp;Database!$A148&amp;",",","&amp;SUBSTITUTE(Screener!$D$17," ","")&amp;",")),2000000,IF(IF(OR(Screener!$B$18="All",AND(Screener!$B$18="With A-share",(Database!$BL148="Y")),AND(Screener!$B$18="Without A-share",NOT((Database!$BL148="Y")))),1,0)=0,-999999,IF(Screener!$B$16="cornerstone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Database!BF136</f>
        <v/>
      </c>
      <c r="AF148">
        <f>Database!BL136</f>
        <v/>
      </c>
      <c r="AG148">
        <f>Database!H136</f>
        <v/>
      </c>
      <c r="AH148">
        <f>Database!BG136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IF(OR(Database!$BF149="",Screener!$D$10=""),0,IF(Database!$BF149=Screener!$D$10,1,0))</f>
        <v/>
      </c>
      <c r="F149">
        <f>IF(OR(Database!$BL149="",Screener!$D$11=""),0,IF(Database!$BL149=Screener!$D$11,1,0))</f>
        <v/>
      </c>
      <c r="G149">
        <f>IF(OR(Database!$H149="",N(Screener!$D$12)&lt;=0),0,MAX(0,1-(N(Screener!$D$12)-Database!$H149)/W_RECD))</f>
        <v/>
      </c>
      <c r="H149">
        <f>IF($U$1="",0,N(ISNUMBER(SEARCH($U$1,Database!$AC149&amp;""))))+IF($V$1="",0,N(ISNUMBER(SEARCH($V$1,Database!$AC149&amp;""))))+IF($W$1="",0,N(ISNUMBER(SEARCH($W$1,Database!$AC149&amp;""))))+IF($X$1="",0,N(ISNUMBER(SEARCH($X$1,Database!$AC149&amp;""))))+IF($Y$1="",0,N(ISNUMBER(SEARCH($Y$1,Database!$AC149&amp;""))))+IF(Screener!$B$17="",0,N(ISNUMBER(SEARCH(LOWER(Screener!$B$17),Database!$AC149&amp;""))))</f>
        <v/>
      </c>
      <c r="I149">
        <f>IF(OR(N(Database!$BG149)&lt;=0,N(Screener!$D$13)&lt;=0),0,MAX(0,1-ABS(LOG10(N(Database!$BG149)/Screener!$D$13))/W_PEHW))</f>
        <v/>
      </c>
      <c r="J149">
        <f>IF(OR(N(Database!$S149)&lt;=0,N(Screener!$D$14)&lt;=0),0,MAX(0,1-ABS(LOG10(Database!$S149/Screener!$D$14))/0.6))</f>
        <v/>
      </c>
      <c r="K149">
        <f>IF(Database!$B149=Screener!$B$5,-999999,IF(ISNUMBER(SEARCH(","&amp;Database!$A149&amp;",",","&amp;SUBSTITUTE(Screener!$D$17," ","")&amp;",")),2000000,IF(IF(OR(Screener!$B$18="All",AND(Screener!$B$18="With A-share",(Database!$BL149="Y")),AND(Screener!$B$18="Without A-share",NOT((Database!$BL149="Y")))),1,0)=0,-999999,IF(Screener!$B$16="cornerstone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Database!BF137</f>
        <v/>
      </c>
      <c r="AF149">
        <f>Database!BL137</f>
        <v/>
      </c>
      <c r="AG149">
        <f>Database!H137</f>
        <v/>
      </c>
      <c r="AH149">
        <f>Database!BG137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IF(OR(Database!$BF150="",Screener!$D$10=""),0,IF(Database!$BF150=Screener!$D$10,1,0))</f>
        <v/>
      </c>
      <c r="F150">
        <f>IF(OR(Database!$BL150="",Screener!$D$11=""),0,IF(Database!$BL150=Screener!$D$11,1,0))</f>
        <v/>
      </c>
      <c r="G150">
        <f>IF(OR(Database!$H150="",N(Screener!$D$12)&lt;=0),0,MAX(0,1-(N(Screener!$D$12)-Database!$H150)/W_RECD))</f>
        <v/>
      </c>
      <c r="H150">
        <f>IF($U$1="",0,N(ISNUMBER(SEARCH($U$1,Database!$AC150&amp;""))))+IF($V$1="",0,N(ISNUMBER(SEARCH($V$1,Database!$AC150&amp;""))))+IF($W$1="",0,N(ISNUMBER(SEARCH($W$1,Database!$AC150&amp;""))))+IF($X$1="",0,N(ISNUMBER(SEARCH($X$1,Database!$AC150&amp;""))))+IF($Y$1="",0,N(ISNUMBER(SEARCH($Y$1,Database!$AC150&amp;""))))+IF(Screener!$B$17="",0,N(ISNUMBER(SEARCH(LOWER(Screener!$B$17),Database!$AC150&amp;""))))</f>
        <v/>
      </c>
      <c r="I150">
        <f>IF(OR(N(Database!$BG150)&lt;=0,N(Screener!$D$13)&lt;=0),0,MAX(0,1-ABS(LOG10(N(Database!$BG150)/Screener!$D$13))/W_PEHW))</f>
        <v/>
      </c>
      <c r="J150">
        <f>IF(OR(N(Database!$S150)&lt;=0,N(Screener!$D$14)&lt;=0),0,MAX(0,1-ABS(LOG10(Database!$S150/Screener!$D$14))/0.6))</f>
        <v/>
      </c>
      <c r="K150">
        <f>IF(Database!$B150=Screener!$B$5,-999999,IF(ISNUMBER(SEARCH(","&amp;Database!$A150&amp;",",","&amp;SUBSTITUTE(Screener!$D$17," ","")&amp;",")),2000000,IF(IF(OR(Screener!$B$18="All",AND(Screener!$B$18="With A-share",(Database!$BL150="Y")),AND(Screener!$B$18="Without A-share",NOT((Database!$BL150="Y")))),1,0)=0,-999999,IF(Screener!$B$16="cornerstone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Database!BF138</f>
        <v/>
      </c>
      <c r="AF150">
        <f>Database!BL138</f>
        <v/>
      </c>
      <c r="AG150">
        <f>Database!H138</f>
        <v/>
      </c>
      <c r="AH150">
        <f>Database!BG138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IF(OR(Database!$BF151="",Screener!$D$10=""),0,IF(Database!$BF151=Screener!$D$10,1,0))</f>
        <v/>
      </c>
      <c r="F151">
        <f>IF(OR(Database!$BL151="",Screener!$D$11=""),0,IF(Database!$BL151=Screener!$D$11,1,0))</f>
        <v/>
      </c>
      <c r="G151">
        <f>IF(OR(Database!$H151="",N(Screener!$D$12)&lt;=0),0,MAX(0,1-(N(Screener!$D$12)-Database!$H151)/W_RECD))</f>
        <v/>
      </c>
      <c r="H151">
        <f>IF($U$1="",0,N(ISNUMBER(SEARCH($U$1,Database!$AC151&amp;""))))+IF($V$1="",0,N(ISNUMBER(SEARCH($V$1,Database!$AC151&amp;""))))+IF($W$1="",0,N(ISNUMBER(SEARCH($W$1,Database!$AC151&amp;""))))+IF($X$1="",0,N(ISNUMBER(SEARCH($X$1,Database!$AC151&amp;""))))+IF($Y$1="",0,N(ISNUMBER(SEARCH($Y$1,Database!$AC151&amp;""))))+IF(Screener!$B$17="",0,N(ISNUMBER(SEARCH(LOWER(Screener!$B$17),Database!$AC151&amp;""))))</f>
        <v/>
      </c>
      <c r="I151">
        <f>IF(OR(N(Database!$BG151)&lt;=0,N(Screener!$D$13)&lt;=0),0,MAX(0,1-ABS(LOG10(N(Database!$BG151)/Screener!$D$13))/W_PEHW))</f>
        <v/>
      </c>
      <c r="J151">
        <f>IF(OR(N(Database!$S151)&lt;=0,N(Screener!$D$14)&lt;=0),0,MAX(0,1-ABS(LOG10(Database!$S151/Screener!$D$14))/0.6))</f>
        <v/>
      </c>
      <c r="K151">
        <f>IF(Database!$B151=Screener!$B$5,-999999,IF(ISNUMBER(SEARCH(","&amp;Database!$A151&amp;",",","&amp;SUBSTITUTE(Screener!$D$17," ","")&amp;",")),2000000,IF(IF(OR(Screener!$B$18="All",AND(Screener!$B$18="With A-share",(Database!$BL151="Y")),AND(Screener!$B$18="Without A-share",NOT((Database!$BL151="Y")))),1,0)=0,-999999,IF(Screener!$B$16="cornerstone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Database!BF139</f>
        <v/>
      </c>
      <c r="AF151">
        <f>Database!BL139</f>
        <v/>
      </c>
      <c r="AG151">
        <f>Database!H139</f>
        <v/>
      </c>
      <c r="AH151">
        <f>Database!BG139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IF(OR(Database!$BF152="",Screener!$D$10=""),0,IF(Database!$BF152=Screener!$D$10,1,0))</f>
        <v/>
      </c>
      <c r="F152">
        <f>IF(OR(Database!$BL152="",Screener!$D$11=""),0,IF(Database!$BL152=Screener!$D$11,1,0))</f>
        <v/>
      </c>
      <c r="G152">
        <f>IF(OR(Database!$H152="",N(Screener!$D$12)&lt;=0),0,MAX(0,1-(N(Screener!$D$12)-Database!$H152)/W_RECD))</f>
        <v/>
      </c>
      <c r="H152">
        <f>IF($U$1="",0,N(ISNUMBER(SEARCH($U$1,Database!$AC152&amp;""))))+IF($V$1="",0,N(ISNUMBER(SEARCH($V$1,Database!$AC152&amp;""))))+IF($W$1="",0,N(ISNUMBER(SEARCH($W$1,Database!$AC152&amp;""))))+IF($X$1="",0,N(ISNUMBER(SEARCH($X$1,Database!$AC152&amp;""))))+IF($Y$1="",0,N(ISNUMBER(SEARCH($Y$1,Database!$AC152&amp;""))))+IF(Screener!$B$17="",0,N(ISNUMBER(SEARCH(LOWER(Screener!$B$17),Database!$AC152&amp;""))))</f>
        <v/>
      </c>
      <c r="I152">
        <f>IF(OR(N(Database!$BG152)&lt;=0,N(Screener!$D$13)&lt;=0),0,MAX(0,1-ABS(LOG10(N(Database!$BG152)/Screener!$D$13))/W_PEHW))</f>
        <v/>
      </c>
      <c r="J152">
        <f>IF(OR(N(Database!$S152)&lt;=0,N(Screener!$D$14)&lt;=0),0,MAX(0,1-ABS(LOG10(Database!$S152/Screener!$D$14))/0.6))</f>
        <v/>
      </c>
      <c r="K152">
        <f>IF(Database!$B152=Screener!$B$5,-999999,IF(ISNUMBER(SEARCH(","&amp;Database!$A152&amp;",",","&amp;SUBSTITUTE(Screener!$D$17," ","")&amp;",")),2000000,IF(IF(OR(Screener!$B$18="All",AND(Screener!$B$18="With A-share",(Database!$BL152="Y")),AND(Screener!$B$18="Without A-share",NOT((Database!$BL152="Y")))),1,0)=0,-999999,IF(Screener!$B$16="cornerstone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Database!BF140</f>
        <v/>
      </c>
      <c r="AF152">
        <f>Database!BL140</f>
        <v/>
      </c>
      <c r="AG152">
        <f>Database!H140</f>
        <v/>
      </c>
      <c r="AH152">
        <f>Database!BG140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IF(OR(Database!$BF153="",Screener!$D$10=""),0,IF(Database!$BF153=Screener!$D$10,1,0))</f>
        <v/>
      </c>
      <c r="F153">
        <f>IF(OR(Database!$BL153="",Screener!$D$11=""),0,IF(Database!$BL153=Screener!$D$11,1,0))</f>
        <v/>
      </c>
      <c r="G153">
        <f>IF(OR(Database!$H153="",N(Screener!$D$12)&lt;=0),0,MAX(0,1-(N(Screener!$D$12)-Database!$H153)/W_RECD))</f>
        <v/>
      </c>
      <c r="H153">
        <f>IF($U$1="",0,N(ISNUMBER(SEARCH($U$1,Database!$AC153&amp;""))))+IF($V$1="",0,N(ISNUMBER(SEARCH($V$1,Database!$AC153&amp;""))))+IF($W$1="",0,N(ISNUMBER(SEARCH($W$1,Database!$AC153&amp;""))))+IF($X$1="",0,N(ISNUMBER(SEARCH($X$1,Database!$AC153&amp;""))))+IF($Y$1="",0,N(ISNUMBER(SEARCH($Y$1,Database!$AC153&amp;""))))+IF(Screener!$B$17="",0,N(ISNUMBER(SEARCH(LOWER(Screener!$B$17),Database!$AC153&amp;""))))</f>
        <v/>
      </c>
      <c r="I153">
        <f>IF(OR(N(Database!$BG153)&lt;=0,N(Screener!$D$13)&lt;=0),0,MAX(0,1-ABS(LOG10(N(Database!$BG153)/Screener!$D$13))/W_PEHW))</f>
        <v/>
      </c>
      <c r="J153">
        <f>IF(OR(N(Database!$S153)&lt;=0,N(Screener!$D$14)&lt;=0),0,MAX(0,1-ABS(LOG10(Database!$S153/Screener!$D$14))/0.6))</f>
        <v/>
      </c>
      <c r="K153">
        <f>IF(Database!$B153=Screener!$B$5,-999999,IF(ISNUMBER(SEARCH(","&amp;Database!$A153&amp;",",","&amp;SUBSTITUTE(Screener!$D$17," ","")&amp;",")),2000000,IF(IF(OR(Screener!$B$18="All",AND(Screener!$B$18="With A-share",(Database!$BL153="Y")),AND(Screener!$B$18="Without A-share",NOT((Database!$BL153="Y")))),1,0)=0,-999999,IF(Screener!$B$16="cornerstone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Database!BF141</f>
        <v/>
      </c>
      <c r="AF153">
        <f>Database!BL141</f>
        <v/>
      </c>
      <c r="AG153">
        <f>Database!H141</f>
        <v/>
      </c>
      <c r="AH153">
        <f>Database!BG141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IF(OR(Database!$BF154="",Screener!$D$10=""),0,IF(Database!$BF154=Screener!$D$10,1,0))</f>
        <v/>
      </c>
      <c r="F154">
        <f>IF(OR(Database!$BL154="",Screener!$D$11=""),0,IF(Database!$BL154=Screener!$D$11,1,0))</f>
        <v/>
      </c>
      <c r="G154">
        <f>IF(OR(Database!$H154="",N(Screener!$D$12)&lt;=0),0,MAX(0,1-(N(Screener!$D$12)-Database!$H154)/W_RECD))</f>
        <v/>
      </c>
      <c r="H154">
        <f>IF($U$1="",0,N(ISNUMBER(SEARCH($U$1,Database!$AC154&amp;""))))+IF($V$1="",0,N(ISNUMBER(SEARCH($V$1,Database!$AC154&amp;""))))+IF($W$1="",0,N(ISNUMBER(SEARCH($W$1,Database!$AC154&amp;""))))+IF($X$1="",0,N(ISNUMBER(SEARCH($X$1,Database!$AC154&amp;""))))+IF($Y$1="",0,N(ISNUMBER(SEARCH($Y$1,Database!$AC154&amp;""))))+IF(Screener!$B$17="",0,N(ISNUMBER(SEARCH(LOWER(Screener!$B$17),Database!$AC154&amp;""))))</f>
        <v/>
      </c>
      <c r="I154">
        <f>IF(OR(N(Database!$BG154)&lt;=0,N(Screener!$D$13)&lt;=0),0,MAX(0,1-ABS(LOG10(N(Database!$BG154)/Screener!$D$13))/W_PEHW))</f>
        <v/>
      </c>
      <c r="J154">
        <f>IF(OR(N(Database!$S154)&lt;=0,N(Screener!$D$14)&lt;=0),0,MAX(0,1-ABS(LOG10(Database!$S154/Screener!$D$14))/0.6))</f>
        <v/>
      </c>
      <c r="K154">
        <f>IF(Database!$B154=Screener!$B$5,-999999,IF(ISNUMBER(SEARCH(","&amp;Database!$A154&amp;",",","&amp;SUBSTITUTE(Screener!$D$17," ","")&amp;",")),2000000,IF(IF(OR(Screener!$B$18="All",AND(Screener!$B$18="With A-share",(Database!$BL154="Y")),AND(Screener!$B$18="Without A-share",NOT((Database!$BL154="Y")))),1,0)=0,-999999,IF(Screener!$B$16="cornerstone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Database!BF142</f>
        <v/>
      </c>
      <c r="AF154">
        <f>Database!BL142</f>
        <v/>
      </c>
      <c r="AG154">
        <f>Database!H142</f>
        <v/>
      </c>
      <c r="AH154">
        <f>Database!BG142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IF(OR(Database!$BF155="",Screener!$D$10=""),0,IF(Database!$BF155=Screener!$D$10,1,0))</f>
        <v/>
      </c>
      <c r="F155">
        <f>IF(OR(Database!$BL155="",Screener!$D$11=""),0,IF(Database!$BL155=Screener!$D$11,1,0))</f>
        <v/>
      </c>
      <c r="G155">
        <f>IF(OR(Database!$H155="",N(Screener!$D$12)&lt;=0),0,MAX(0,1-(N(Screener!$D$12)-Database!$H155)/W_RECD))</f>
        <v/>
      </c>
      <c r="H155">
        <f>IF($U$1="",0,N(ISNUMBER(SEARCH($U$1,Database!$AC155&amp;""))))+IF($V$1="",0,N(ISNUMBER(SEARCH($V$1,Database!$AC155&amp;""))))+IF($W$1="",0,N(ISNUMBER(SEARCH($W$1,Database!$AC155&amp;""))))+IF($X$1="",0,N(ISNUMBER(SEARCH($X$1,Database!$AC155&amp;""))))+IF($Y$1="",0,N(ISNUMBER(SEARCH($Y$1,Database!$AC155&amp;""))))+IF(Screener!$B$17="",0,N(ISNUMBER(SEARCH(LOWER(Screener!$B$17),Database!$AC155&amp;""))))</f>
        <v/>
      </c>
      <c r="I155">
        <f>IF(OR(N(Database!$BG155)&lt;=0,N(Screener!$D$13)&lt;=0),0,MAX(0,1-ABS(LOG10(N(Database!$BG155)/Screener!$D$13))/W_PEHW))</f>
        <v/>
      </c>
      <c r="J155">
        <f>IF(OR(N(Database!$S155)&lt;=0,N(Screener!$D$14)&lt;=0),0,MAX(0,1-ABS(LOG10(Database!$S155/Screener!$D$14))/0.6))</f>
        <v/>
      </c>
      <c r="K155">
        <f>IF(Database!$B155=Screener!$B$5,-999999,IF(ISNUMBER(SEARCH(","&amp;Database!$A155&amp;",",","&amp;SUBSTITUTE(Screener!$D$17," ","")&amp;",")),2000000,IF(IF(OR(Screener!$B$18="All",AND(Screener!$B$18="With A-share",(Database!$BL155="Y")),AND(Screener!$B$18="Without A-share",NOT((Database!$BL155="Y")))),1,0)=0,-999999,IF(Screener!$B$16="cornerstone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Database!BF143</f>
        <v/>
      </c>
      <c r="AF155">
        <f>Database!BL143</f>
        <v/>
      </c>
      <c r="AG155">
        <f>Database!H143</f>
        <v/>
      </c>
      <c r="AH155">
        <f>Database!BG143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IF(OR(Database!$BF156="",Screener!$D$10=""),0,IF(Database!$BF156=Screener!$D$10,1,0))</f>
        <v/>
      </c>
      <c r="F156">
        <f>IF(OR(Database!$BL156="",Screener!$D$11=""),0,IF(Database!$BL156=Screener!$D$11,1,0))</f>
        <v/>
      </c>
      <c r="G156">
        <f>IF(OR(Database!$H156="",N(Screener!$D$12)&lt;=0),0,MAX(0,1-(N(Screener!$D$12)-Database!$H156)/W_RECD))</f>
        <v/>
      </c>
      <c r="H156">
        <f>IF($U$1="",0,N(ISNUMBER(SEARCH($U$1,Database!$AC156&amp;""))))+IF($V$1="",0,N(ISNUMBER(SEARCH($V$1,Database!$AC156&amp;""))))+IF($W$1="",0,N(ISNUMBER(SEARCH($W$1,Database!$AC156&amp;""))))+IF($X$1="",0,N(ISNUMBER(SEARCH($X$1,Database!$AC156&amp;""))))+IF($Y$1="",0,N(ISNUMBER(SEARCH($Y$1,Database!$AC156&amp;""))))+IF(Screener!$B$17="",0,N(ISNUMBER(SEARCH(LOWER(Screener!$B$17),Database!$AC156&amp;""))))</f>
        <v/>
      </c>
      <c r="I156">
        <f>IF(OR(N(Database!$BG156)&lt;=0,N(Screener!$D$13)&lt;=0),0,MAX(0,1-ABS(LOG10(N(Database!$BG156)/Screener!$D$13))/W_PEHW))</f>
        <v/>
      </c>
      <c r="J156">
        <f>IF(OR(N(Database!$S156)&lt;=0,N(Screener!$D$14)&lt;=0),0,MAX(0,1-ABS(LOG10(Database!$S156/Screener!$D$14))/0.6))</f>
        <v/>
      </c>
      <c r="K156">
        <f>IF(Database!$B156=Screener!$B$5,-999999,IF(ISNUMBER(SEARCH(","&amp;Database!$A156&amp;",",","&amp;SUBSTITUTE(Screener!$D$17," ","")&amp;",")),2000000,IF(IF(OR(Screener!$B$18="All",AND(Screener!$B$18="With A-share",(Database!$BL156="Y")),AND(Screener!$B$18="Without A-share",NOT((Database!$BL156="Y")))),1,0)=0,-999999,IF(Screener!$B$16="cornerstone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Database!BF144</f>
        <v/>
      </c>
      <c r="AF156">
        <f>Database!BL144</f>
        <v/>
      </c>
      <c r="AG156">
        <f>Database!H144</f>
        <v/>
      </c>
      <c r="AH156">
        <f>Database!BG144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IF(OR(Database!$BF157="",Screener!$D$10=""),0,IF(Database!$BF157=Screener!$D$10,1,0))</f>
        <v/>
      </c>
      <c r="F157">
        <f>IF(OR(Database!$BL157="",Screener!$D$11=""),0,IF(Database!$BL157=Screener!$D$11,1,0))</f>
        <v/>
      </c>
      <c r="G157">
        <f>IF(OR(Database!$H157="",N(Screener!$D$12)&lt;=0),0,MAX(0,1-(N(Screener!$D$12)-Database!$H157)/W_RECD))</f>
        <v/>
      </c>
      <c r="H157">
        <f>IF($U$1="",0,N(ISNUMBER(SEARCH($U$1,Database!$AC157&amp;""))))+IF($V$1="",0,N(ISNUMBER(SEARCH($V$1,Database!$AC157&amp;""))))+IF($W$1="",0,N(ISNUMBER(SEARCH($W$1,Database!$AC157&amp;""))))+IF($X$1="",0,N(ISNUMBER(SEARCH($X$1,Database!$AC157&amp;""))))+IF($Y$1="",0,N(ISNUMBER(SEARCH($Y$1,Database!$AC157&amp;""))))+IF(Screener!$B$17="",0,N(ISNUMBER(SEARCH(LOWER(Screener!$B$17),Database!$AC157&amp;""))))</f>
        <v/>
      </c>
      <c r="I157">
        <f>IF(OR(N(Database!$BG157)&lt;=0,N(Screener!$D$13)&lt;=0),0,MAX(0,1-ABS(LOG10(N(Database!$BG157)/Screener!$D$13))/W_PEHW))</f>
        <v/>
      </c>
      <c r="J157">
        <f>IF(OR(N(Database!$S157)&lt;=0,N(Screener!$D$14)&lt;=0),0,MAX(0,1-ABS(LOG10(Database!$S157/Screener!$D$14))/0.6))</f>
        <v/>
      </c>
      <c r="K157">
        <f>IF(Database!$B157=Screener!$B$5,-999999,IF(ISNUMBER(SEARCH(","&amp;Database!$A157&amp;",",","&amp;SUBSTITUTE(Screener!$D$17," ","")&amp;",")),2000000,IF(IF(OR(Screener!$B$18="All",AND(Screener!$B$18="With A-share",(Database!$BL157="Y")),AND(Screener!$B$18="Without A-share",NOT((Database!$BL157="Y")))),1,0)=0,-999999,IF(Screener!$B$16="cornerstone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Database!BF145</f>
        <v/>
      </c>
      <c r="AF157">
        <f>Database!BL145</f>
        <v/>
      </c>
      <c r="AG157">
        <f>Database!H145</f>
        <v/>
      </c>
      <c r="AH157">
        <f>Database!BG145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IF(OR(Database!$BF158="",Screener!$D$10=""),0,IF(Database!$BF158=Screener!$D$10,1,0))</f>
        <v/>
      </c>
      <c r="F158">
        <f>IF(OR(Database!$BL158="",Screener!$D$11=""),0,IF(Database!$BL158=Screener!$D$11,1,0))</f>
        <v/>
      </c>
      <c r="G158">
        <f>IF(OR(Database!$H158="",N(Screener!$D$12)&lt;=0),0,MAX(0,1-(N(Screener!$D$12)-Database!$H158)/W_RECD))</f>
        <v/>
      </c>
      <c r="H158">
        <f>IF($U$1="",0,N(ISNUMBER(SEARCH($U$1,Database!$AC158&amp;""))))+IF($V$1="",0,N(ISNUMBER(SEARCH($V$1,Database!$AC158&amp;""))))+IF($W$1="",0,N(ISNUMBER(SEARCH($W$1,Database!$AC158&amp;""))))+IF($X$1="",0,N(ISNUMBER(SEARCH($X$1,Database!$AC158&amp;""))))+IF($Y$1="",0,N(ISNUMBER(SEARCH($Y$1,Database!$AC158&amp;""))))+IF(Screener!$B$17="",0,N(ISNUMBER(SEARCH(LOWER(Screener!$B$17),Database!$AC158&amp;""))))</f>
        <v/>
      </c>
      <c r="I158">
        <f>IF(OR(N(Database!$BG158)&lt;=0,N(Screener!$D$13)&lt;=0),0,MAX(0,1-ABS(LOG10(N(Database!$BG158)/Screener!$D$13))/W_PEHW))</f>
        <v/>
      </c>
      <c r="J158">
        <f>IF(OR(N(Database!$S158)&lt;=0,N(Screener!$D$14)&lt;=0),0,MAX(0,1-ABS(LOG10(Database!$S158/Screener!$D$14))/0.6))</f>
        <v/>
      </c>
      <c r="K158">
        <f>IF(Database!$B158=Screener!$B$5,-999999,IF(ISNUMBER(SEARCH(","&amp;Database!$A158&amp;",",","&amp;SUBSTITUTE(Screener!$D$17," ","")&amp;",")),2000000,IF(IF(OR(Screener!$B$18="All",AND(Screener!$B$18="With A-share",(Database!$BL158="Y")),AND(Screener!$B$18="Without A-share",NOT((Database!$BL158="Y")))),1,0)=0,-999999,IF(Screener!$B$16="cornerstone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Database!BF146</f>
        <v/>
      </c>
      <c r="AF158">
        <f>Database!BL146</f>
        <v/>
      </c>
      <c r="AG158">
        <f>Database!H146</f>
        <v/>
      </c>
      <c r="AH158">
        <f>Database!BG146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IF(OR(Database!$BF159="",Screener!$D$10=""),0,IF(Database!$BF159=Screener!$D$10,1,0))</f>
        <v/>
      </c>
      <c r="F159">
        <f>IF(OR(Database!$BL159="",Screener!$D$11=""),0,IF(Database!$BL159=Screener!$D$11,1,0))</f>
        <v/>
      </c>
      <c r="G159">
        <f>IF(OR(Database!$H159="",N(Screener!$D$12)&lt;=0),0,MAX(0,1-(N(Screener!$D$12)-Database!$H159)/W_RECD))</f>
        <v/>
      </c>
      <c r="H159">
        <f>IF($U$1="",0,N(ISNUMBER(SEARCH($U$1,Database!$AC159&amp;""))))+IF($V$1="",0,N(ISNUMBER(SEARCH($V$1,Database!$AC159&amp;""))))+IF($W$1="",0,N(ISNUMBER(SEARCH($W$1,Database!$AC159&amp;""))))+IF($X$1="",0,N(ISNUMBER(SEARCH($X$1,Database!$AC159&amp;""))))+IF($Y$1="",0,N(ISNUMBER(SEARCH($Y$1,Database!$AC159&amp;""))))+IF(Screener!$B$17="",0,N(ISNUMBER(SEARCH(LOWER(Screener!$B$17),Database!$AC159&amp;""))))</f>
        <v/>
      </c>
      <c r="I159">
        <f>IF(OR(N(Database!$BG159)&lt;=0,N(Screener!$D$13)&lt;=0),0,MAX(0,1-ABS(LOG10(N(Database!$BG159)/Screener!$D$13))/W_PEHW))</f>
        <v/>
      </c>
      <c r="J159">
        <f>IF(OR(N(Database!$S159)&lt;=0,N(Screener!$D$14)&lt;=0),0,MAX(0,1-ABS(LOG10(Database!$S159/Screener!$D$14))/0.6))</f>
        <v/>
      </c>
      <c r="K159">
        <f>IF(Database!$B159=Screener!$B$5,-999999,IF(ISNUMBER(SEARCH(","&amp;Database!$A159&amp;",",","&amp;SUBSTITUTE(Screener!$D$17," ","")&amp;",")),2000000,IF(IF(OR(Screener!$B$18="All",AND(Screener!$B$18="With A-share",(Database!$BL159="Y")),AND(Screener!$B$18="Without A-share",NOT((Database!$BL159="Y")))),1,0)=0,-999999,IF(Screener!$B$16="cornerstone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Database!BF147</f>
        <v/>
      </c>
      <c r="AF159">
        <f>Database!BL147</f>
        <v/>
      </c>
      <c r="AG159">
        <f>Database!H147</f>
        <v/>
      </c>
      <c r="AH159">
        <f>Database!BG147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IF(OR(Database!$BF160="",Screener!$D$10=""),0,IF(Database!$BF160=Screener!$D$10,1,0))</f>
        <v/>
      </c>
      <c r="F160">
        <f>IF(OR(Database!$BL160="",Screener!$D$11=""),0,IF(Database!$BL160=Screener!$D$11,1,0))</f>
        <v/>
      </c>
      <c r="G160">
        <f>IF(OR(Database!$H160="",N(Screener!$D$12)&lt;=0),0,MAX(0,1-(N(Screener!$D$12)-Database!$H160)/W_RECD))</f>
        <v/>
      </c>
      <c r="H160">
        <f>IF($U$1="",0,N(ISNUMBER(SEARCH($U$1,Database!$AC160&amp;""))))+IF($V$1="",0,N(ISNUMBER(SEARCH($V$1,Database!$AC160&amp;""))))+IF($W$1="",0,N(ISNUMBER(SEARCH($W$1,Database!$AC160&amp;""))))+IF($X$1="",0,N(ISNUMBER(SEARCH($X$1,Database!$AC160&amp;""))))+IF($Y$1="",0,N(ISNUMBER(SEARCH($Y$1,Database!$AC160&amp;""))))+IF(Screener!$B$17="",0,N(ISNUMBER(SEARCH(LOWER(Screener!$B$17),Database!$AC160&amp;""))))</f>
        <v/>
      </c>
      <c r="I160">
        <f>IF(OR(N(Database!$BG160)&lt;=0,N(Screener!$D$13)&lt;=0),0,MAX(0,1-ABS(LOG10(N(Database!$BG160)/Screener!$D$13))/W_PEHW))</f>
        <v/>
      </c>
      <c r="J160">
        <f>IF(OR(N(Database!$S160)&lt;=0,N(Screener!$D$14)&lt;=0),0,MAX(0,1-ABS(LOG10(Database!$S160/Screener!$D$14))/0.6))</f>
        <v/>
      </c>
      <c r="K160">
        <f>IF(Database!$B160=Screener!$B$5,-999999,IF(ISNUMBER(SEARCH(","&amp;Database!$A160&amp;",",","&amp;SUBSTITUTE(Screener!$D$17," ","")&amp;",")),2000000,IF(IF(OR(Screener!$B$18="All",AND(Screener!$B$18="With A-share",(Database!$BL160="Y")),AND(Screener!$B$18="Without A-share",NOT((Database!$BL160="Y")))),1,0)=0,-999999,IF(Screener!$B$16="cornerstone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Database!BF148</f>
        <v/>
      </c>
      <c r="AF160">
        <f>Database!BL148</f>
        <v/>
      </c>
      <c r="AG160">
        <f>Database!H148</f>
        <v/>
      </c>
      <c r="AH160">
        <f>Database!BG148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IF(OR(Database!$BF161="",Screener!$D$10=""),0,IF(Database!$BF161=Screener!$D$10,1,0))</f>
        <v/>
      </c>
      <c r="F161">
        <f>IF(OR(Database!$BL161="",Screener!$D$11=""),0,IF(Database!$BL161=Screener!$D$11,1,0))</f>
        <v/>
      </c>
      <c r="G161">
        <f>IF(OR(Database!$H161="",N(Screener!$D$12)&lt;=0),0,MAX(0,1-(N(Screener!$D$12)-Database!$H161)/W_RECD))</f>
        <v/>
      </c>
      <c r="H161">
        <f>IF($U$1="",0,N(ISNUMBER(SEARCH($U$1,Database!$AC161&amp;""))))+IF($V$1="",0,N(ISNUMBER(SEARCH($V$1,Database!$AC161&amp;""))))+IF($W$1="",0,N(ISNUMBER(SEARCH($W$1,Database!$AC161&amp;""))))+IF($X$1="",0,N(ISNUMBER(SEARCH($X$1,Database!$AC161&amp;""))))+IF($Y$1="",0,N(ISNUMBER(SEARCH($Y$1,Database!$AC161&amp;""))))+IF(Screener!$B$17="",0,N(ISNUMBER(SEARCH(LOWER(Screener!$B$17),Database!$AC161&amp;""))))</f>
        <v/>
      </c>
      <c r="I161">
        <f>IF(OR(N(Database!$BG161)&lt;=0,N(Screener!$D$13)&lt;=0),0,MAX(0,1-ABS(LOG10(N(Database!$BG161)/Screener!$D$13))/W_PEHW))</f>
        <v/>
      </c>
      <c r="J161">
        <f>IF(OR(N(Database!$S161)&lt;=0,N(Screener!$D$14)&lt;=0),0,MAX(0,1-ABS(LOG10(Database!$S161/Screener!$D$14))/0.6))</f>
        <v/>
      </c>
      <c r="K161">
        <f>IF(Database!$B161=Screener!$B$5,-999999,IF(ISNUMBER(SEARCH(","&amp;Database!$A161&amp;",",","&amp;SUBSTITUTE(Screener!$D$17," ","")&amp;",")),2000000,IF(IF(OR(Screener!$B$18="All",AND(Screener!$B$18="With A-share",(Database!$BL161="Y")),AND(Screener!$B$18="Without A-share",NOT((Database!$BL161="Y")))),1,0)=0,-999999,IF(Screener!$B$16="cornerstone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Database!BF149</f>
        <v/>
      </c>
      <c r="AF161">
        <f>Database!BL149</f>
        <v/>
      </c>
      <c r="AG161">
        <f>Database!H149</f>
        <v/>
      </c>
      <c r="AH161">
        <f>Database!BG149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IF(OR(Database!$BF162="",Screener!$D$10=""),0,IF(Database!$BF162=Screener!$D$10,1,0))</f>
        <v/>
      </c>
      <c r="F162">
        <f>IF(OR(Database!$BL162="",Screener!$D$11=""),0,IF(Database!$BL162=Screener!$D$11,1,0))</f>
        <v/>
      </c>
      <c r="G162">
        <f>IF(OR(Database!$H162="",N(Screener!$D$12)&lt;=0),0,MAX(0,1-(N(Screener!$D$12)-Database!$H162)/W_RECD))</f>
        <v/>
      </c>
      <c r="H162">
        <f>IF($U$1="",0,N(ISNUMBER(SEARCH($U$1,Database!$AC162&amp;""))))+IF($V$1="",0,N(ISNUMBER(SEARCH($V$1,Database!$AC162&amp;""))))+IF($W$1="",0,N(ISNUMBER(SEARCH($W$1,Database!$AC162&amp;""))))+IF($X$1="",0,N(ISNUMBER(SEARCH($X$1,Database!$AC162&amp;""))))+IF($Y$1="",0,N(ISNUMBER(SEARCH($Y$1,Database!$AC162&amp;""))))+IF(Screener!$B$17="",0,N(ISNUMBER(SEARCH(LOWER(Screener!$B$17),Database!$AC162&amp;""))))</f>
        <v/>
      </c>
      <c r="I162">
        <f>IF(OR(N(Database!$BG162)&lt;=0,N(Screener!$D$13)&lt;=0),0,MAX(0,1-ABS(LOG10(N(Database!$BG162)/Screener!$D$13))/W_PEHW))</f>
        <v/>
      </c>
      <c r="J162">
        <f>IF(OR(N(Database!$S162)&lt;=0,N(Screener!$D$14)&lt;=0),0,MAX(0,1-ABS(LOG10(Database!$S162/Screener!$D$14))/0.6))</f>
        <v/>
      </c>
      <c r="K162">
        <f>IF(Database!$B162=Screener!$B$5,-999999,IF(ISNUMBER(SEARCH(","&amp;Database!$A162&amp;",",","&amp;SUBSTITUTE(Screener!$D$17," ","")&amp;",")),2000000,IF(IF(OR(Screener!$B$18="All",AND(Screener!$B$18="With A-share",(Database!$BL162="Y")),AND(Screener!$B$18="Without A-share",NOT((Database!$BL162="Y")))),1,0)=0,-999999,IF(Screener!$B$16="cornerstone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Database!BF150</f>
        <v/>
      </c>
      <c r="AF162">
        <f>Database!BL150</f>
        <v/>
      </c>
      <c r="AG162">
        <f>Database!H150</f>
        <v/>
      </c>
      <c r="AH162">
        <f>Database!BG150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IF(OR(Database!$BF163="",Screener!$D$10=""),0,IF(Database!$BF163=Screener!$D$10,1,0))</f>
        <v/>
      </c>
      <c r="F163">
        <f>IF(OR(Database!$BL163="",Screener!$D$11=""),0,IF(Database!$BL163=Screener!$D$11,1,0))</f>
        <v/>
      </c>
      <c r="G163">
        <f>IF(OR(Database!$H163="",N(Screener!$D$12)&lt;=0),0,MAX(0,1-(N(Screener!$D$12)-Database!$H163)/W_RECD))</f>
        <v/>
      </c>
      <c r="H163">
        <f>IF($U$1="",0,N(ISNUMBER(SEARCH($U$1,Database!$AC163&amp;""))))+IF($V$1="",0,N(ISNUMBER(SEARCH($V$1,Database!$AC163&amp;""))))+IF($W$1="",0,N(ISNUMBER(SEARCH($W$1,Database!$AC163&amp;""))))+IF($X$1="",0,N(ISNUMBER(SEARCH($X$1,Database!$AC163&amp;""))))+IF($Y$1="",0,N(ISNUMBER(SEARCH($Y$1,Database!$AC163&amp;""))))+IF(Screener!$B$17="",0,N(ISNUMBER(SEARCH(LOWER(Screener!$B$17),Database!$AC163&amp;""))))</f>
        <v/>
      </c>
      <c r="I163">
        <f>IF(OR(N(Database!$BG163)&lt;=0,N(Screener!$D$13)&lt;=0),0,MAX(0,1-ABS(LOG10(N(Database!$BG163)/Screener!$D$13))/W_PEHW))</f>
        <v/>
      </c>
      <c r="J163">
        <f>IF(OR(N(Database!$S163)&lt;=0,N(Screener!$D$14)&lt;=0),0,MAX(0,1-ABS(LOG10(Database!$S163/Screener!$D$14))/0.6))</f>
        <v/>
      </c>
      <c r="K163">
        <f>IF(Database!$B163=Screener!$B$5,-999999,IF(ISNUMBER(SEARCH(","&amp;Database!$A163&amp;",",","&amp;SUBSTITUTE(Screener!$D$17," ","")&amp;",")),2000000,IF(IF(OR(Screener!$B$18="All",AND(Screener!$B$18="With A-share",(Database!$BL163="Y")),AND(Screener!$B$18="Without A-share",NOT((Database!$BL163="Y")))),1,0)=0,-999999,IF(Screener!$B$16="cornerstone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Database!BF151</f>
        <v/>
      </c>
      <c r="AF163">
        <f>Database!BL151</f>
        <v/>
      </c>
      <c r="AG163">
        <f>Database!H151</f>
        <v/>
      </c>
      <c r="AH163">
        <f>Database!BG151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IF(OR(Database!$BF164="",Screener!$D$10=""),0,IF(Database!$BF164=Screener!$D$10,1,0))</f>
        <v/>
      </c>
      <c r="F164">
        <f>IF(OR(Database!$BL164="",Screener!$D$11=""),0,IF(Database!$BL164=Screener!$D$11,1,0))</f>
        <v/>
      </c>
      <c r="G164">
        <f>IF(OR(Database!$H164="",N(Screener!$D$12)&lt;=0),0,MAX(0,1-(N(Screener!$D$12)-Database!$H164)/W_RECD))</f>
        <v/>
      </c>
      <c r="H164">
        <f>IF($U$1="",0,N(ISNUMBER(SEARCH($U$1,Database!$AC164&amp;""))))+IF($V$1="",0,N(ISNUMBER(SEARCH($V$1,Database!$AC164&amp;""))))+IF($W$1="",0,N(ISNUMBER(SEARCH($W$1,Database!$AC164&amp;""))))+IF($X$1="",0,N(ISNUMBER(SEARCH($X$1,Database!$AC164&amp;""))))+IF($Y$1="",0,N(ISNUMBER(SEARCH($Y$1,Database!$AC164&amp;""))))+IF(Screener!$B$17="",0,N(ISNUMBER(SEARCH(LOWER(Screener!$B$17),Database!$AC164&amp;""))))</f>
        <v/>
      </c>
      <c r="I164">
        <f>IF(OR(N(Database!$BG164)&lt;=0,N(Screener!$D$13)&lt;=0),0,MAX(0,1-ABS(LOG10(N(Database!$BG164)/Screener!$D$13))/W_PEHW))</f>
        <v/>
      </c>
      <c r="J164">
        <f>IF(OR(N(Database!$S164)&lt;=0,N(Screener!$D$14)&lt;=0),0,MAX(0,1-ABS(LOG10(Database!$S164/Screener!$D$14))/0.6))</f>
        <v/>
      </c>
      <c r="K164">
        <f>IF(Database!$B164=Screener!$B$5,-999999,IF(ISNUMBER(SEARCH(","&amp;Database!$A164&amp;",",","&amp;SUBSTITUTE(Screener!$D$17," ","")&amp;",")),2000000,IF(IF(OR(Screener!$B$18="All",AND(Screener!$B$18="With A-share",(Database!$BL164="Y")),AND(Screener!$B$18="Without A-share",NOT((Database!$BL164="Y")))),1,0)=0,-999999,IF(Screener!$B$16="cornerstone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Database!BF152</f>
        <v/>
      </c>
      <c r="AF164">
        <f>Database!BL152</f>
        <v/>
      </c>
      <c r="AG164">
        <f>Database!H152</f>
        <v/>
      </c>
      <c r="AH164">
        <f>Database!BG152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IF(OR(Database!$BF165="",Screener!$D$10=""),0,IF(Database!$BF165=Screener!$D$10,1,0))</f>
        <v/>
      </c>
      <c r="F165">
        <f>IF(OR(Database!$BL165="",Screener!$D$11=""),0,IF(Database!$BL165=Screener!$D$11,1,0))</f>
        <v/>
      </c>
      <c r="G165">
        <f>IF(OR(Database!$H165="",N(Screener!$D$12)&lt;=0),0,MAX(0,1-(N(Screener!$D$12)-Database!$H165)/W_RECD))</f>
        <v/>
      </c>
      <c r="H165">
        <f>IF($U$1="",0,N(ISNUMBER(SEARCH($U$1,Database!$AC165&amp;""))))+IF($V$1="",0,N(ISNUMBER(SEARCH($V$1,Database!$AC165&amp;""))))+IF($W$1="",0,N(ISNUMBER(SEARCH($W$1,Database!$AC165&amp;""))))+IF($X$1="",0,N(ISNUMBER(SEARCH($X$1,Database!$AC165&amp;""))))+IF($Y$1="",0,N(ISNUMBER(SEARCH($Y$1,Database!$AC165&amp;""))))+IF(Screener!$B$17="",0,N(ISNUMBER(SEARCH(LOWER(Screener!$B$17),Database!$AC165&amp;""))))</f>
        <v/>
      </c>
      <c r="I165">
        <f>IF(OR(N(Database!$BG165)&lt;=0,N(Screener!$D$13)&lt;=0),0,MAX(0,1-ABS(LOG10(N(Database!$BG165)/Screener!$D$13))/W_PEHW))</f>
        <v/>
      </c>
      <c r="J165">
        <f>IF(OR(N(Database!$S165)&lt;=0,N(Screener!$D$14)&lt;=0),0,MAX(0,1-ABS(LOG10(Database!$S165/Screener!$D$14))/0.6))</f>
        <v/>
      </c>
      <c r="K165">
        <f>IF(Database!$B165=Screener!$B$5,-999999,IF(ISNUMBER(SEARCH(","&amp;Database!$A165&amp;",",","&amp;SUBSTITUTE(Screener!$D$17," ","")&amp;",")),2000000,IF(IF(OR(Screener!$B$18="All",AND(Screener!$B$18="With A-share",(Database!$BL165="Y")),AND(Screener!$B$18="Without A-share",NOT((Database!$BL165="Y")))),1,0)=0,-999999,IF(Screener!$B$16="cornerstone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Database!BF153</f>
        <v/>
      </c>
      <c r="AF165">
        <f>Database!BL153</f>
        <v/>
      </c>
      <c r="AG165">
        <f>Database!H153</f>
        <v/>
      </c>
      <c r="AH165">
        <f>Database!BG153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IF(OR(Database!$BF166="",Screener!$D$10=""),0,IF(Database!$BF166=Screener!$D$10,1,0))</f>
        <v/>
      </c>
      <c r="F166">
        <f>IF(OR(Database!$BL166="",Screener!$D$11=""),0,IF(Database!$BL166=Screener!$D$11,1,0))</f>
        <v/>
      </c>
      <c r="G166">
        <f>IF(OR(Database!$H166="",N(Screener!$D$12)&lt;=0),0,MAX(0,1-(N(Screener!$D$12)-Database!$H166)/W_RECD))</f>
        <v/>
      </c>
      <c r="H166">
        <f>IF($U$1="",0,N(ISNUMBER(SEARCH($U$1,Database!$AC166&amp;""))))+IF($V$1="",0,N(ISNUMBER(SEARCH($V$1,Database!$AC166&amp;""))))+IF($W$1="",0,N(ISNUMBER(SEARCH($W$1,Database!$AC166&amp;""))))+IF($X$1="",0,N(ISNUMBER(SEARCH($X$1,Database!$AC166&amp;""))))+IF($Y$1="",0,N(ISNUMBER(SEARCH($Y$1,Database!$AC166&amp;""))))+IF(Screener!$B$17="",0,N(ISNUMBER(SEARCH(LOWER(Screener!$B$17),Database!$AC166&amp;""))))</f>
        <v/>
      </c>
      <c r="I166">
        <f>IF(OR(N(Database!$BG166)&lt;=0,N(Screener!$D$13)&lt;=0),0,MAX(0,1-ABS(LOG10(N(Database!$BG166)/Screener!$D$13))/W_PEHW))</f>
        <v/>
      </c>
      <c r="J166">
        <f>IF(OR(N(Database!$S166)&lt;=0,N(Screener!$D$14)&lt;=0),0,MAX(0,1-ABS(LOG10(Database!$S166/Screener!$D$14))/0.6))</f>
        <v/>
      </c>
      <c r="K166">
        <f>IF(Database!$B166=Screener!$B$5,-999999,IF(ISNUMBER(SEARCH(","&amp;Database!$A166&amp;",",","&amp;SUBSTITUTE(Screener!$D$17," ","")&amp;",")),2000000,IF(IF(OR(Screener!$B$18="All",AND(Screener!$B$18="With A-share",(Database!$BL166="Y")),AND(Screener!$B$18="Without A-share",NOT((Database!$BL166="Y")))),1,0)=0,-999999,IF(Screener!$B$16="cornerstone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Database!BF154</f>
        <v/>
      </c>
      <c r="AF166">
        <f>Database!BL154</f>
        <v/>
      </c>
      <c r="AG166">
        <f>Database!H154</f>
        <v/>
      </c>
      <c r="AH166">
        <f>Database!BG154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IF(OR(Database!$BF167="",Screener!$D$10=""),0,IF(Database!$BF167=Screener!$D$10,1,0))</f>
        <v/>
      </c>
      <c r="F167">
        <f>IF(OR(Database!$BL167="",Screener!$D$11=""),0,IF(Database!$BL167=Screener!$D$11,1,0))</f>
        <v/>
      </c>
      <c r="G167">
        <f>IF(OR(Database!$H167="",N(Screener!$D$12)&lt;=0),0,MAX(0,1-(N(Screener!$D$12)-Database!$H167)/W_RECD))</f>
        <v/>
      </c>
      <c r="H167">
        <f>IF($U$1="",0,N(ISNUMBER(SEARCH($U$1,Database!$AC167&amp;""))))+IF($V$1="",0,N(ISNUMBER(SEARCH($V$1,Database!$AC167&amp;""))))+IF($W$1="",0,N(ISNUMBER(SEARCH($W$1,Database!$AC167&amp;""))))+IF($X$1="",0,N(ISNUMBER(SEARCH($X$1,Database!$AC167&amp;""))))+IF($Y$1="",0,N(ISNUMBER(SEARCH($Y$1,Database!$AC167&amp;""))))+IF(Screener!$B$17="",0,N(ISNUMBER(SEARCH(LOWER(Screener!$B$17),Database!$AC167&amp;""))))</f>
        <v/>
      </c>
      <c r="I167">
        <f>IF(OR(N(Database!$BG167)&lt;=0,N(Screener!$D$13)&lt;=0),0,MAX(0,1-ABS(LOG10(N(Database!$BG167)/Screener!$D$13))/W_PEHW))</f>
        <v/>
      </c>
      <c r="J167">
        <f>IF(OR(N(Database!$S167)&lt;=0,N(Screener!$D$14)&lt;=0),0,MAX(0,1-ABS(LOG10(Database!$S167/Screener!$D$14))/0.6))</f>
        <v/>
      </c>
      <c r="K167">
        <f>IF(Database!$B167=Screener!$B$5,-999999,IF(ISNUMBER(SEARCH(","&amp;Database!$A167&amp;",",","&amp;SUBSTITUTE(Screener!$D$17," ","")&amp;",")),2000000,IF(IF(OR(Screener!$B$18="All",AND(Screener!$B$18="With A-share",(Database!$BL167="Y")),AND(Screener!$B$18="Without A-share",NOT((Database!$BL167="Y")))),1,0)=0,-999999,IF(Screener!$B$16="cornerstone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Database!BF155</f>
        <v/>
      </c>
      <c r="AF167">
        <f>Database!BL155</f>
        <v/>
      </c>
      <c r="AG167">
        <f>Database!H155</f>
        <v/>
      </c>
      <c r="AH167">
        <f>Database!BG155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IF(OR(Database!$BF168="",Screener!$D$10=""),0,IF(Database!$BF168=Screener!$D$10,1,0))</f>
        <v/>
      </c>
      <c r="F168">
        <f>IF(OR(Database!$BL168="",Screener!$D$11=""),0,IF(Database!$BL168=Screener!$D$11,1,0))</f>
        <v/>
      </c>
      <c r="G168">
        <f>IF(OR(Database!$H168="",N(Screener!$D$12)&lt;=0),0,MAX(0,1-(N(Screener!$D$12)-Database!$H168)/W_RECD))</f>
        <v/>
      </c>
      <c r="H168">
        <f>IF($U$1="",0,N(ISNUMBER(SEARCH($U$1,Database!$AC168&amp;""))))+IF($V$1="",0,N(ISNUMBER(SEARCH($V$1,Database!$AC168&amp;""))))+IF($W$1="",0,N(ISNUMBER(SEARCH($W$1,Database!$AC168&amp;""))))+IF($X$1="",0,N(ISNUMBER(SEARCH($X$1,Database!$AC168&amp;""))))+IF($Y$1="",0,N(ISNUMBER(SEARCH($Y$1,Database!$AC168&amp;""))))+IF(Screener!$B$17="",0,N(ISNUMBER(SEARCH(LOWER(Screener!$B$17),Database!$AC168&amp;""))))</f>
        <v/>
      </c>
      <c r="I168">
        <f>IF(OR(N(Database!$BG168)&lt;=0,N(Screener!$D$13)&lt;=0),0,MAX(0,1-ABS(LOG10(N(Database!$BG168)/Screener!$D$13))/W_PEHW))</f>
        <v/>
      </c>
      <c r="J168">
        <f>IF(OR(N(Database!$S168)&lt;=0,N(Screener!$D$14)&lt;=0),0,MAX(0,1-ABS(LOG10(Database!$S168/Screener!$D$14))/0.6))</f>
        <v/>
      </c>
      <c r="K168">
        <f>IF(Database!$B168=Screener!$B$5,-999999,IF(ISNUMBER(SEARCH(","&amp;Database!$A168&amp;",",","&amp;SUBSTITUTE(Screener!$D$17," ","")&amp;",")),2000000,IF(IF(OR(Screener!$B$18="All",AND(Screener!$B$18="With A-share",(Database!$BL168="Y")),AND(Screener!$B$18="Without A-share",NOT((Database!$BL168="Y")))),1,0)=0,-999999,IF(Screener!$B$16="cornerstone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Database!BF156</f>
        <v/>
      </c>
      <c r="AF168">
        <f>Database!BL156</f>
        <v/>
      </c>
      <c r="AG168">
        <f>Database!H156</f>
        <v/>
      </c>
      <c r="AH168">
        <f>Database!BG156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IF(OR(Database!$BF169="",Screener!$D$10=""),0,IF(Database!$BF169=Screener!$D$10,1,0))</f>
        <v/>
      </c>
      <c r="F169">
        <f>IF(OR(Database!$BL169="",Screener!$D$11=""),0,IF(Database!$BL169=Screener!$D$11,1,0))</f>
        <v/>
      </c>
      <c r="G169">
        <f>IF(OR(Database!$H169="",N(Screener!$D$12)&lt;=0),0,MAX(0,1-(N(Screener!$D$12)-Database!$H169)/W_RECD))</f>
        <v/>
      </c>
      <c r="H169">
        <f>IF($U$1="",0,N(ISNUMBER(SEARCH($U$1,Database!$AC169&amp;""))))+IF($V$1="",0,N(ISNUMBER(SEARCH($V$1,Database!$AC169&amp;""))))+IF($W$1="",0,N(ISNUMBER(SEARCH($W$1,Database!$AC169&amp;""))))+IF($X$1="",0,N(ISNUMBER(SEARCH($X$1,Database!$AC169&amp;""))))+IF($Y$1="",0,N(ISNUMBER(SEARCH($Y$1,Database!$AC169&amp;""))))+IF(Screener!$B$17="",0,N(ISNUMBER(SEARCH(LOWER(Screener!$B$17),Database!$AC169&amp;""))))</f>
        <v/>
      </c>
      <c r="I169">
        <f>IF(OR(N(Database!$BG169)&lt;=0,N(Screener!$D$13)&lt;=0),0,MAX(0,1-ABS(LOG10(N(Database!$BG169)/Screener!$D$13))/W_PEHW))</f>
        <v/>
      </c>
      <c r="J169">
        <f>IF(OR(N(Database!$S169)&lt;=0,N(Screener!$D$14)&lt;=0),0,MAX(0,1-ABS(LOG10(Database!$S169/Screener!$D$14))/0.6))</f>
        <v/>
      </c>
      <c r="K169">
        <f>IF(Database!$B169=Screener!$B$5,-999999,IF(ISNUMBER(SEARCH(","&amp;Database!$A169&amp;",",","&amp;SUBSTITUTE(Screener!$D$17," ","")&amp;",")),2000000,IF(IF(OR(Screener!$B$18="All",AND(Screener!$B$18="With A-share",(Database!$BL169="Y")),AND(Screener!$B$18="Without A-share",NOT((Database!$BL169="Y")))),1,0)=0,-999999,IF(Screener!$B$16="cornerstone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Database!BF157</f>
        <v/>
      </c>
      <c r="AF169">
        <f>Database!BL157</f>
        <v/>
      </c>
      <c r="AG169">
        <f>Database!H157</f>
        <v/>
      </c>
      <c r="AH169">
        <f>Database!BG157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IF(OR(Database!$BF170="",Screener!$D$10=""),0,IF(Database!$BF170=Screener!$D$10,1,0))</f>
        <v/>
      </c>
      <c r="F170">
        <f>IF(OR(Database!$BL170="",Screener!$D$11=""),0,IF(Database!$BL170=Screener!$D$11,1,0))</f>
        <v/>
      </c>
      <c r="G170">
        <f>IF(OR(Database!$H170="",N(Screener!$D$12)&lt;=0),0,MAX(0,1-(N(Screener!$D$12)-Database!$H170)/W_RECD))</f>
        <v/>
      </c>
      <c r="H170">
        <f>IF($U$1="",0,N(ISNUMBER(SEARCH($U$1,Database!$AC170&amp;""))))+IF($V$1="",0,N(ISNUMBER(SEARCH($V$1,Database!$AC170&amp;""))))+IF($W$1="",0,N(ISNUMBER(SEARCH($W$1,Database!$AC170&amp;""))))+IF($X$1="",0,N(ISNUMBER(SEARCH($X$1,Database!$AC170&amp;""))))+IF($Y$1="",0,N(ISNUMBER(SEARCH($Y$1,Database!$AC170&amp;""))))+IF(Screener!$B$17="",0,N(ISNUMBER(SEARCH(LOWER(Screener!$B$17),Database!$AC170&amp;""))))</f>
        <v/>
      </c>
      <c r="I170">
        <f>IF(OR(N(Database!$BG170)&lt;=0,N(Screener!$D$13)&lt;=0),0,MAX(0,1-ABS(LOG10(N(Database!$BG170)/Screener!$D$13))/W_PEHW))</f>
        <v/>
      </c>
      <c r="J170">
        <f>IF(OR(N(Database!$S170)&lt;=0,N(Screener!$D$14)&lt;=0),0,MAX(0,1-ABS(LOG10(Database!$S170/Screener!$D$14))/0.6))</f>
        <v/>
      </c>
      <c r="K170">
        <f>IF(Database!$B170=Screener!$B$5,-999999,IF(ISNUMBER(SEARCH(","&amp;Database!$A170&amp;",",","&amp;SUBSTITUTE(Screener!$D$17," ","")&amp;",")),2000000,IF(IF(OR(Screener!$B$18="All",AND(Screener!$B$18="With A-share",(Database!$BL170="Y")),AND(Screener!$B$18="Without A-share",NOT((Database!$BL170="Y")))),1,0)=0,-999999,IF(Screener!$B$16="cornerstone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Database!BF158</f>
        <v/>
      </c>
      <c r="AF170">
        <f>Database!BL158</f>
        <v/>
      </c>
      <c r="AG170">
        <f>Database!H158</f>
        <v/>
      </c>
      <c r="AH170">
        <f>Database!BG158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IF(OR(Database!$BF171="",Screener!$D$10=""),0,IF(Database!$BF171=Screener!$D$10,1,0))</f>
        <v/>
      </c>
      <c r="F171">
        <f>IF(OR(Database!$BL171="",Screener!$D$11=""),0,IF(Database!$BL171=Screener!$D$11,1,0))</f>
        <v/>
      </c>
      <c r="G171">
        <f>IF(OR(Database!$H171="",N(Screener!$D$12)&lt;=0),0,MAX(0,1-(N(Screener!$D$12)-Database!$H171)/W_RECD))</f>
        <v/>
      </c>
      <c r="H171">
        <f>IF($U$1="",0,N(ISNUMBER(SEARCH($U$1,Database!$AC171&amp;""))))+IF($V$1="",0,N(ISNUMBER(SEARCH($V$1,Database!$AC171&amp;""))))+IF($W$1="",0,N(ISNUMBER(SEARCH($W$1,Database!$AC171&amp;""))))+IF($X$1="",0,N(ISNUMBER(SEARCH($X$1,Database!$AC171&amp;""))))+IF($Y$1="",0,N(ISNUMBER(SEARCH($Y$1,Database!$AC171&amp;""))))+IF(Screener!$B$17="",0,N(ISNUMBER(SEARCH(LOWER(Screener!$B$17),Database!$AC171&amp;""))))</f>
        <v/>
      </c>
      <c r="I171">
        <f>IF(OR(N(Database!$BG171)&lt;=0,N(Screener!$D$13)&lt;=0),0,MAX(0,1-ABS(LOG10(N(Database!$BG171)/Screener!$D$13))/W_PEHW))</f>
        <v/>
      </c>
      <c r="J171">
        <f>IF(OR(N(Database!$S171)&lt;=0,N(Screener!$D$14)&lt;=0),0,MAX(0,1-ABS(LOG10(Database!$S171/Screener!$D$14))/0.6))</f>
        <v/>
      </c>
      <c r="K171">
        <f>IF(Database!$B171=Screener!$B$5,-999999,IF(ISNUMBER(SEARCH(","&amp;Database!$A171&amp;",",","&amp;SUBSTITUTE(Screener!$D$17," ","")&amp;",")),2000000,IF(IF(OR(Screener!$B$18="All",AND(Screener!$B$18="With A-share",(Database!$BL171="Y")),AND(Screener!$B$18="Without A-share",NOT((Database!$BL171="Y")))),1,0)=0,-999999,IF(Screener!$B$16="cornerstone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Database!BF159</f>
        <v/>
      </c>
      <c r="AF171">
        <f>Database!BL159</f>
        <v/>
      </c>
      <c r="AG171">
        <f>Database!H159</f>
        <v/>
      </c>
      <c r="AH171">
        <f>Database!BG159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IF(OR(Database!$BF172="",Screener!$D$10=""),0,IF(Database!$BF172=Screener!$D$10,1,0))</f>
        <v/>
      </c>
      <c r="F172">
        <f>IF(OR(Database!$BL172="",Screener!$D$11=""),0,IF(Database!$BL172=Screener!$D$11,1,0))</f>
        <v/>
      </c>
      <c r="G172">
        <f>IF(OR(Database!$H172="",N(Screener!$D$12)&lt;=0),0,MAX(0,1-(N(Screener!$D$12)-Database!$H172)/W_RECD))</f>
        <v/>
      </c>
      <c r="H172">
        <f>IF($U$1="",0,N(ISNUMBER(SEARCH($U$1,Database!$AC172&amp;""))))+IF($V$1="",0,N(ISNUMBER(SEARCH($V$1,Database!$AC172&amp;""))))+IF($W$1="",0,N(ISNUMBER(SEARCH($W$1,Database!$AC172&amp;""))))+IF($X$1="",0,N(ISNUMBER(SEARCH($X$1,Database!$AC172&amp;""))))+IF($Y$1="",0,N(ISNUMBER(SEARCH($Y$1,Database!$AC172&amp;""))))+IF(Screener!$B$17="",0,N(ISNUMBER(SEARCH(LOWER(Screener!$B$17),Database!$AC172&amp;""))))</f>
        <v/>
      </c>
      <c r="I172">
        <f>IF(OR(N(Database!$BG172)&lt;=0,N(Screener!$D$13)&lt;=0),0,MAX(0,1-ABS(LOG10(N(Database!$BG172)/Screener!$D$13))/W_PEHW))</f>
        <v/>
      </c>
      <c r="J172">
        <f>IF(OR(N(Database!$S172)&lt;=0,N(Screener!$D$14)&lt;=0),0,MAX(0,1-ABS(LOG10(Database!$S172/Screener!$D$14))/0.6))</f>
        <v/>
      </c>
      <c r="K172">
        <f>IF(Database!$B172=Screener!$B$5,-999999,IF(ISNUMBER(SEARCH(","&amp;Database!$A172&amp;",",","&amp;SUBSTITUTE(Screener!$D$17," ","")&amp;",")),2000000,IF(IF(OR(Screener!$B$18="All",AND(Screener!$B$18="With A-share",(Database!$BL172="Y")),AND(Screener!$B$18="Without A-share",NOT((Database!$BL172="Y")))),1,0)=0,-999999,IF(Screener!$B$16="cornerstone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Database!BF160</f>
        <v/>
      </c>
      <c r="AF172">
        <f>Database!BL160</f>
        <v/>
      </c>
      <c r="AG172">
        <f>Database!H160</f>
        <v/>
      </c>
      <c r="AH172">
        <f>Database!BG160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IF(OR(Database!$BF173="",Screener!$D$10=""),0,IF(Database!$BF173=Screener!$D$10,1,0))</f>
        <v/>
      </c>
      <c r="F173">
        <f>IF(OR(Database!$BL173="",Screener!$D$11=""),0,IF(Database!$BL173=Screener!$D$11,1,0))</f>
        <v/>
      </c>
      <c r="G173">
        <f>IF(OR(Database!$H173="",N(Screener!$D$12)&lt;=0),0,MAX(0,1-(N(Screener!$D$12)-Database!$H173)/W_RECD))</f>
        <v/>
      </c>
      <c r="H173">
        <f>IF($U$1="",0,N(ISNUMBER(SEARCH($U$1,Database!$AC173&amp;""))))+IF($V$1="",0,N(ISNUMBER(SEARCH($V$1,Database!$AC173&amp;""))))+IF($W$1="",0,N(ISNUMBER(SEARCH($W$1,Database!$AC173&amp;""))))+IF($X$1="",0,N(ISNUMBER(SEARCH($X$1,Database!$AC173&amp;""))))+IF($Y$1="",0,N(ISNUMBER(SEARCH($Y$1,Database!$AC173&amp;""))))+IF(Screener!$B$17="",0,N(ISNUMBER(SEARCH(LOWER(Screener!$B$17),Database!$AC173&amp;""))))</f>
        <v/>
      </c>
      <c r="I173">
        <f>IF(OR(N(Database!$BG173)&lt;=0,N(Screener!$D$13)&lt;=0),0,MAX(0,1-ABS(LOG10(N(Database!$BG173)/Screener!$D$13))/W_PEHW))</f>
        <v/>
      </c>
      <c r="J173">
        <f>IF(OR(N(Database!$S173)&lt;=0,N(Screener!$D$14)&lt;=0),0,MAX(0,1-ABS(LOG10(Database!$S173/Screener!$D$14))/0.6))</f>
        <v/>
      </c>
      <c r="K173">
        <f>IF(Database!$B173=Screener!$B$5,-999999,IF(ISNUMBER(SEARCH(","&amp;Database!$A173&amp;",",","&amp;SUBSTITUTE(Screener!$D$17," ","")&amp;",")),2000000,IF(IF(OR(Screener!$B$18="All",AND(Screener!$B$18="With A-share",(Database!$BL173="Y")),AND(Screener!$B$18="Without A-share",NOT((Database!$BL173="Y")))),1,0)=0,-999999,IF(Screener!$B$16="cornerstone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Database!BF161</f>
        <v/>
      </c>
      <c r="AF173">
        <f>Database!BL161</f>
        <v/>
      </c>
      <c r="AG173">
        <f>Database!H161</f>
        <v/>
      </c>
      <c r="AH173">
        <f>Database!BG161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IF(OR(Database!$BF174="",Screener!$D$10=""),0,IF(Database!$BF174=Screener!$D$10,1,0))</f>
        <v/>
      </c>
      <c r="F174">
        <f>IF(OR(Database!$BL174="",Screener!$D$11=""),0,IF(Database!$BL174=Screener!$D$11,1,0))</f>
        <v/>
      </c>
      <c r="G174">
        <f>IF(OR(Database!$H174="",N(Screener!$D$12)&lt;=0),0,MAX(0,1-(N(Screener!$D$12)-Database!$H174)/W_RECD))</f>
        <v/>
      </c>
      <c r="H174">
        <f>IF($U$1="",0,N(ISNUMBER(SEARCH($U$1,Database!$AC174&amp;""))))+IF($V$1="",0,N(ISNUMBER(SEARCH($V$1,Database!$AC174&amp;""))))+IF($W$1="",0,N(ISNUMBER(SEARCH($W$1,Database!$AC174&amp;""))))+IF($X$1="",0,N(ISNUMBER(SEARCH($X$1,Database!$AC174&amp;""))))+IF($Y$1="",0,N(ISNUMBER(SEARCH($Y$1,Database!$AC174&amp;""))))+IF(Screener!$B$17="",0,N(ISNUMBER(SEARCH(LOWER(Screener!$B$17),Database!$AC174&amp;""))))</f>
        <v/>
      </c>
      <c r="I174">
        <f>IF(OR(N(Database!$BG174)&lt;=0,N(Screener!$D$13)&lt;=0),0,MAX(0,1-ABS(LOG10(N(Database!$BG174)/Screener!$D$13))/W_PEHW))</f>
        <v/>
      </c>
      <c r="J174">
        <f>IF(OR(N(Database!$S174)&lt;=0,N(Screener!$D$14)&lt;=0),0,MAX(0,1-ABS(LOG10(Database!$S174/Screener!$D$14))/0.6))</f>
        <v/>
      </c>
      <c r="K174">
        <f>IF(Database!$B174=Screener!$B$5,-999999,IF(ISNUMBER(SEARCH(","&amp;Database!$A174&amp;",",","&amp;SUBSTITUTE(Screener!$D$17," ","")&amp;",")),2000000,IF(IF(OR(Screener!$B$18="All",AND(Screener!$B$18="With A-share",(Database!$BL174="Y")),AND(Screener!$B$18="Without A-share",NOT((Database!$BL174="Y")))),1,0)=0,-999999,IF(Screener!$B$16="cornerstone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Database!BF162</f>
        <v/>
      </c>
      <c r="AF174">
        <f>Database!BL162</f>
        <v/>
      </c>
      <c r="AG174">
        <f>Database!H162</f>
        <v/>
      </c>
      <c r="AH174">
        <f>Database!BG162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IF(OR(Database!$BF175="",Screener!$D$10=""),0,IF(Database!$BF175=Screener!$D$10,1,0))</f>
        <v/>
      </c>
      <c r="F175">
        <f>IF(OR(Database!$BL175="",Screener!$D$11=""),0,IF(Database!$BL175=Screener!$D$11,1,0))</f>
        <v/>
      </c>
      <c r="G175">
        <f>IF(OR(Database!$H175="",N(Screener!$D$12)&lt;=0),0,MAX(0,1-(N(Screener!$D$12)-Database!$H175)/W_RECD))</f>
        <v/>
      </c>
      <c r="H175">
        <f>IF($U$1="",0,N(ISNUMBER(SEARCH($U$1,Database!$AC175&amp;""))))+IF($V$1="",0,N(ISNUMBER(SEARCH($V$1,Database!$AC175&amp;""))))+IF($W$1="",0,N(ISNUMBER(SEARCH($W$1,Database!$AC175&amp;""))))+IF($X$1="",0,N(ISNUMBER(SEARCH($X$1,Database!$AC175&amp;""))))+IF($Y$1="",0,N(ISNUMBER(SEARCH($Y$1,Database!$AC175&amp;""))))+IF(Screener!$B$17="",0,N(ISNUMBER(SEARCH(LOWER(Screener!$B$17),Database!$AC175&amp;""))))</f>
        <v/>
      </c>
      <c r="I175">
        <f>IF(OR(N(Database!$BG175)&lt;=0,N(Screener!$D$13)&lt;=0),0,MAX(0,1-ABS(LOG10(N(Database!$BG175)/Screener!$D$13))/W_PEHW))</f>
        <v/>
      </c>
      <c r="J175">
        <f>IF(OR(N(Database!$S175)&lt;=0,N(Screener!$D$14)&lt;=0),0,MAX(0,1-ABS(LOG10(Database!$S175/Screener!$D$14))/0.6))</f>
        <v/>
      </c>
      <c r="K175">
        <f>IF(Database!$B175=Screener!$B$5,-999999,IF(ISNUMBER(SEARCH(","&amp;Database!$A175&amp;",",","&amp;SUBSTITUTE(Screener!$D$17," ","")&amp;",")),2000000,IF(IF(OR(Screener!$B$18="All",AND(Screener!$B$18="With A-share",(Database!$BL175="Y")),AND(Screener!$B$18="Without A-share",NOT((Database!$BL175="Y")))),1,0)=0,-999999,IF(Screener!$B$16="cornerstone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Database!BF163</f>
        <v/>
      </c>
      <c r="AF175">
        <f>Database!BL163</f>
        <v/>
      </c>
      <c r="AG175">
        <f>Database!H163</f>
        <v/>
      </c>
      <c r="AH175">
        <f>Database!BG163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IF(OR(Database!$BF176="",Screener!$D$10=""),0,IF(Database!$BF176=Screener!$D$10,1,0))</f>
        <v/>
      </c>
      <c r="F176">
        <f>IF(OR(Database!$BL176="",Screener!$D$11=""),0,IF(Database!$BL176=Screener!$D$11,1,0))</f>
        <v/>
      </c>
      <c r="G176">
        <f>IF(OR(Database!$H176="",N(Screener!$D$12)&lt;=0),0,MAX(0,1-(N(Screener!$D$12)-Database!$H176)/W_RECD))</f>
        <v/>
      </c>
      <c r="H176">
        <f>IF($U$1="",0,N(ISNUMBER(SEARCH($U$1,Database!$AC176&amp;""))))+IF($V$1="",0,N(ISNUMBER(SEARCH($V$1,Database!$AC176&amp;""))))+IF($W$1="",0,N(ISNUMBER(SEARCH($W$1,Database!$AC176&amp;""))))+IF($X$1="",0,N(ISNUMBER(SEARCH($X$1,Database!$AC176&amp;""))))+IF($Y$1="",0,N(ISNUMBER(SEARCH($Y$1,Database!$AC176&amp;""))))+IF(Screener!$B$17="",0,N(ISNUMBER(SEARCH(LOWER(Screener!$B$17),Database!$AC176&amp;""))))</f>
        <v/>
      </c>
      <c r="I176">
        <f>IF(OR(N(Database!$BG176)&lt;=0,N(Screener!$D$13)&lt;=0),0,MAX(0,1-ABS(LOG10(N(Database!$BG176)/Screener!$D$13))/W_PEHW))</f>
        <v/>
      </c>
      <c r="J176">
        <f>IF(OR(N(Database!$S176)&lt;=0,N(Screener!$D$14)&lt;=0),0,MAX(0,1-ABS(LOG10(Database!$S176/Screener!$D$14))/0.6))</f>
        <v/>
      </c>
      <c r="K176">
        <f>IF(Database!$B176=Screener!$B$5,-999999,IF(ISNUMBER(SEARCH(","&amp;Database!$A176&amp;",",","&amp;SUBSTITUTE(Screener!$D$17," ","")&amp;",")),2000000,IF(IF(OR(Screener!$B$18="All",AND(Screener!$B$18="With A-share",(Database!$BL176="Y")),AND(Screener!$B$18="Without A-share",NOT((Database!$BL176="Y")))),1,0)=0,-999999,IF(Screener!$B$16="cornerstone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Database!BF164</f>
        <v/>
      </c>
      <c r="AF176">
        <f>Database!BL164</f>
        <v/>
      </c>
      <c r="AG176">
        <f>Database!H164</f>
        <v/>
      </c>
      <c r="AH176">
        <f>Database!BG164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IF(OR(Database!$BF177="",Screener!$D$10=""),0,IF(Database!$BF177=Screener!$D$10,1,0))</f>
        <v/>
      </c>
      <c r="F177">
        <f>IF(OR(Database!$BL177="",Screener!$D$11=""),0,IF(Database!$BL177=Screener!$D$11,1,0))</f>
        <v/>
      </c>
      <c r="G177">
        <f>IF(OR(Database!$H177="",N(Screener!$D$12)&lt;=0),0,MAX(0,1-(N(Screener!$D$12)-Database!$H177)/W_RECD))</f>
        <v/>
      </c>
      <c r="H177">
        <f>IF($U$1="",0,N(ISNUMBER(SEARCH($U$1,Database!$AC177&amp;""))))+IF($V$1="",0,N(ISNUMBER(SEARCH($V$1,Database!$AC177&amp;""))))+IF($W$1="",0,N(ISNUMBER(SEARCH($W$1,Database!$AC177&amp;""))))+IF($X$1="",0,N(ISNUMBER(SEARCH($X$1,Database!$AC177&amp;""))))+IF($Y$1="",0,N(ISNUMBER(SEARCH($Y$1,Database!$AC177&amp;""))))+IF(Screener!$B$17="",0,N(ISNUMBER(SEARCH(LOWER(Screener!$B$17),Database!$AC177&amp;""))))</f>
        <v/>
      </c>
      <c r="I177">
        <f>IF(OR(N(Database!$BG177)&lt;=0,N(Screener!$D$13)&lt;=0),0,MAX(0,1-ABS(LOG10(N(Database!$BG177)/Screener!$D$13))/W_PEHW))</f>
        <v/>
      </c>
      <c r="J177">
        <f>IF(OR(N(Database!$S177)&lt;=0,N(Screener!$D$14)&lt;=0),0,MAX(0,1-ABS(LOG10(Database!$S177/Screener!$D$14))/0.6))</f>
        <v/>
      </c>
      <c r="K177">
        <f>IF(Database!$B177=Screener!$B$5,-999999,IF(ISNUMBER(SEARCH(","&amp;Database!$A177&amp;",",","&amp;SUBSTITUTE(Screener!$D$17," ","")&amp;",")),2000000,IF(IF(OR(Screener!$B$18="All",AND(Screener!$B$18="With A-share",(Database!$BL177="Y")),AND(Screener!$B$18="Without A-share",NOT((Database!$BL177="Y")))),1,0)=0,-999999,IF(Screener!$B$16="cornerstone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Database!BF165</f>
        <v/>
      </c>
      <c r="AF177">
        <f>Database!BL165</f>
        <v/>
      </c>
      <c r="AG177">
        <f>Database!H165</f>
        <v/>
      </c>
      <c r="AH177">
        <f>Database!BG165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IF(OR(Database!$BF178="",Screener!$D$10=""),0,IF(Database!$BF178=Screener!$D$10,1,0))</f>
        <v/>
      </c>
      <c r="F178">
        <f>IF(OR(Database!$BL178="",Screener!$D$11=""),0,IF(Database!$BL178=Screener!$D$11,1,0))</f>
        <v/>
      </c>
      <c r="G178">
        <f>IF(OR(Database!$H178="",N(Screener!$D$12)&lt;=0),0,MAX(0,1-(N(Screener!$D$12)-Database!$H178)/W_RECD))</f>
        <v/>
      </c>
      <c r="H178">
        <f>IF($U$1="",0,N(ISNUMBER(SEARCH($U$1,Database!$AC178&amp;""))))+IF($V$1="",0,N(ISNUMBER(SEARCH($V$1,Database!$AC178&amp;""))))+IF($W$1="",0,N(ISNUMBER(SEARCH($W$1,Database!$AC178&amp;""))))+IF($X$1="",0,N(ISNUMBER(SEARCH($X$1,Database!$AC178&amp;""))))+IF($Y$1="",0,N(ISNUMBER(SEARCH($Y$1,Database!$AC178&amp;""))))+IF(Screener!$B$17="",0,N(ISNUMBER(SEARCH(LOWER(Screener!$B$17),Database!$AC178&amp;""))))</f>
        <v/>
      </c>
      <c r="I178">
        <f>IF(OR(N(Database!$BG178)&lt;=0,N(Screener!$D$13)&lt;=0),0,MAX(0,1-ABS(LOG10(N(Database!$BG178)/Screener!$D$13))/W_PEHW))</f>
        <v/>
      </c>
      <c r="J178">
        <f>IF(OR(N(Database!$S178)&lt;=0,N(Screener!$D$14)&lt;=0),0,MAX(0,1-ABS(LOG10(Database!$S178/Screener!$D$14))/0.6))</f>
        <v/>
      </c>
      <c r="K178">
        <f>IF(Database!$B178=Screener!$B$5,-999999,IF(ISNUMBER(SEARCH(","&amp;Database!$A178&amp;",",","&amp;SUBSTITUTE(Screener!$D$17," ","")&amp;",")),2000000,IF(IF(OR(Screener!$B$18="All",AND(Screener!$B$18="With A-share",(Database!$BL178="Y")),AND(Screener!$B$18="Without A-share",NOT((Database!$BL178="Y")))),1,0)=0,-999999,IF(Screener!$B$16="cornerstone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Database!BF166</f>
        <v/>
      </c>
      <c r="AF178">
        <f>Database!BL166</f>
        <v/>
      </c>
      <c r="AG178">
        <f>Database!H166</f>
        <v/>
      </c>
      <c r="AH178">
        <f>Database!BG166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IF(OR(Database!$BF179="",Screener!$D$10=""),0,IF(Database!$BF179=Screener!$D$10,1,0))</f>
        <v/>
      </c>
      <c r="F179">
        <f>IF(OR(Database!$BL179="",Screener!$D$11=""),0,IF(Database!$BL179=Screener!$D$11,1,0))</f>
        <v/>
      </c>
      <c r="G179">
        <f>IF(OR(Database!$H179="",N(Screener!$D$12)&lt;=0),0,MAX(0,1-(N(Screener!$D$12)-Database!$H179)/W_RECD))</f>
        <v/>
      </c>
      <c r="H179">
        <f>IF($U$1="",0,N(ISNUMBER(SEARCH($U$1,Database!$AC179&amp;""))))+IF($V$1="",0,N(ISNUMBER(SEARCH($V$1,Database!$AC179&amp;""))))+IF($W$1="",0,N(ISNUMBER(SEARCH($W$1,Database!$AC179&amp;""))))+IF($X$1="",0,N(ISNUMBER(SEARCH($X$1,Database!$AC179&amp;""))))+IF($Y$1="",0,N(ISNUMBER(SEARCH($Y$1,Database!$AC179&amp;""))))+IF(Screener!$B$17="",0,N(ISNUMBER(SEARCH(LOWER(Screener!$B$17),Database!$AC179&amp;""))))</f>
        <v/>
      </c>
      <c r="I179">
        <f>IF(OR(N(Database!$BG179)&lt;=0,N(Screener!$D$13)&lt;=0),0,MAX(0,1-ABS(LOG10(N(Database!$BG179)/Screener!$D$13))/W_PEHW))</f>
        <v/>
      </c>
      <c r="J179">
        <f>IF(OR(N(Database!$S179)&lt;=0,N(Screener!$D$14)&lt;=0),0,MAX(0,1-ABS(LOG10(Database!$S179/Screener!$D$14))/0.6))</f>
        <v/>
      </c>
      <c r="K179">
        <f>IF(Database!$B179=Screener!$B$5,-999999,IF(ISNUMBER(SEARCH(","&amp;Database!$A179&amp;",",","&amp;SUBSTITUTE(Screener!$D$17," ","")&amp;",")),2000000,IF(IF(OR(Screener!$B$18="All",AND(Screener!$B$18="With A-share",(Database!$BL179="Y")),AND(Screener!$B$18="Without A-share",NOT((Database!$BL179="Y")))),1,0)=0,-999999,IF(Screener!$B$16="cornerstone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Database!BF167</f>
        <v/>
      </c>
      <c r="AF179">
        <f>Database!BL167</f>
        <v/>
      </c>
      <c r="AG179">
        <f>Database!H167</f>
        <v/>
      </c>
      <c r="AH179">
        <f>Database!BG167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IF(OR(Database!$BF180="",Screener!$D$10=""),0,IF(Database!$BF180=Screener!$D$10,1,0))</f>
        <v/>
      </c>
      <c r="F180">
        <f>IF(OR(Database!$BL180="",Screener!$D$11=""),0,IF(Database!$BL180=Screener!$D$11,1,0))</f>
        <v/>
      </c>
      <c r="G180">
        <f>IF(OR(Database!$H180="",N(Screener!$D$12)&lt;=0),0,MAX(0,1-(N(Screener!$D$12)-Database!$H180)/W_RECD))</f>
        <v/>
      </c>
      <c r="H180">
        <f>IF($U$1="",0,N(ISNUMBER(SEARCH($U$1,Database!$AC180&amp;""))))+IF($V$1="",0,N(ISNUMBER(SEARCH($V$1,Database!$AC180&amp;""))))+IF($W$1="",0,N(ISNUMBER(SEARCH($W$1,Database!$AC180&amp;""))))+IF($X$1="",0,N(ISNUMBER(SEARCH($X$1,Database!$AC180&amp;""))))+IF($Y$1="",0,N(ISNUMBER(SEARCH($Y$1,Database!$AC180&amp;""))))+IF(Screener!$B$17="",0,N(ISNUMBER(SEARCH(LOWER(Screener!$B$17),Database!$AC180&amp;""))))</f>
        <v/>
      </c>
      <c r="I180">
        <f>IF(OR(N(Database!$BG180)&lt;=0,N(Screener!$D$13)&lt;=0),0,MAX(0,1-ABS(LOG10(N(Database!$BG180)/Screener!$D$13))/W_PEHW))</f>
        <v/>
      </c>
      <c r="J180">
        <f>IF(OR(N(Database!$S180)&lt;=0,N(Screener!$D$14)&lt;=0),0,MAX(0,1-ABS(LOG10(Database!$S180/Screener!$D$14))/0.6))</f>
        <v/>
      </c>
      <c r="K180">
        <f>IF(Database!$B180=Screener!$B$5,-999999,IF(ISNUMBER(SEARCH(","&amp;Database!$A180&amp;",",","&amp;SUBSTITUTE(Screener!$D$17," ","")&amp;",")),2000000,IF(IF(OR(Screener!$B$18="All",AND(Screener!$B$18="With A-share",(Database!$BL180="Y")),AND(Screener!$B$18="Without A-share",NOT((Database!$BL180="Y")))),1,0)=0,-999999,IF(Screener!$B$16="cornerstone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Database!BF168</f>
        <v/>
      </c>
      <c r="AF180">
        <f>Database!BL168</f>
        <v/>
      </c>
      <c r="AG180">
        <f>Database!H168</f>
        <v/>
      </c>
      <c r="AH180">
        <f>Database!BG168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IF(OR(Database!$BF181="",Screener!$D$10=""),0,IF(Database!$BF181=Screener!$D$10,1,0))</f>
        <v/>
      </c>
      <c r="F181">
        <f>IF(OR(Database!$BL181="",Screener!$D$11=""),0,IF(Database!$BL181=Screener!$D$11,1,0))</f>
        <v/>
      </c>
      <c r="G181">
        <f>IF(OR(Database!$H181="",N(Screener!$D$12)&lt;=0),0,MAX(0,1-(N(Screener!$D$12)-Database!$H181)/W_RECD))</f>
        <v/>
      </c>
      <c r="H181">
        <f>IF($U$1="",0,N(ISNUMBER(SEARCH($U$1,Database!$AC181&amp;""))))+IF($V$1="",0,N(ISNUMBER(SEARCH($V$1,Database!$AC181&amp;""))))+IF($W$1="",0,N(ISNUMBER(SEARCH($W$1,Database!$AC181&amp;""))))+IF($X$1="",0,N(ISNUMBER(SEARCH($X$1,Database!$AC181&amp;""))))+IF($Y$1="",0,N(ISNUMBER(SEARCH($Y$1,Database!$AC181&amp;""))))+IF(Screener!$B$17="",0,N(ISNUMBER(SEARCH(LOWER(Screener!$B$17),Database!$AC181&amp;""))))</f>
        <v/>
      </c>
      <c r="I181">
        <f>IF(OR(N(Database!$BG181)&lt;=0,N(Screener!$D$13)&lt;=0),0,MAX(0,1-ABS(LOG10(N(Database!$BG181)/Screener!$D$13))/W_PEHW))</f>
        <v/>
      </c>
      <c r="J181">
        <f>IF(OR(N(Database!$S181)&lt;=0,N(Screener!$D$14)&lt;=0),0,MAX(0,1-ABS(LOG10(Database!$S181/Screener!$D$14))/0.6))</f>
        <v/>
      </c>
      <c r="K181">
        <f>IF(Database!$B181=Screener!$B$5,-999999,IF(ISNUMBER(SEARCH(","&amp;Database!$A181&amp;",",","&amp;SUBSTITUTE(Screener!$D$17," ","")&amp;",")),2000000,IF(IF(OR(Screener!$B$18="All",AND(Screener!$B$18="With A-share",(Database!$BL181="Y")),AND(Screener!$B$18="Without A-share",NOT((Database!$BL181="Y")))),1,0)=0,-999999,IF(Screener!$B$16="cornerstone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Database!BF169</f>
        <v/>
      </c>
      <c r="AF181">
        <f>Database!BL169</f>
        <v/>
      </c>
      <c r="AG181">
        <f>Database!H169</f>
        <v/>
      </c>
      <c r="AH181">
        <f>Database!BG169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IF(OR(Database!$BF182="",Screener!$D$10=""),0,IF(Database!$BF182=Screener!$D$10,1,0))</f>
        <v/>
      </c>
      <c r="F182">
        <f>IF(OR(Database!$BL182="",Screener!$D$11=""),0,IF(Database!$BL182=Screener!$D$11,1,0))</f>
        <v/>
      </c>
      <c r="G182">
        <f>IF(OR(Database!$H182="",N(Screener!$D$12)&lt;=0),0,MAX(0,1-(N(Screener!$D$12)-Database!$H182)/W_RECD))</f>
        <v/>
      </c>
      <c r="H182">
        <f>IF($U$1="",0,N(ISNUMBER(SEARCH($U$1,Database!$AC182&amp;""))))+IF($V$1="",0,N(ISNUMBER(SEARCH($V$1,Database!$AC182&amp;""))))+IF($W$1="",0,N(ISNUMBER(SEARCH($W$1,Database!$AC182&amp;""))))+IF($X$1="",0,N(ISNUMBER(SEARCH($X$1,Database!$AC182&amp;""))))+IF($Y$1="",0,N(ISNUMBER(SEARCH($Y$1,Database!$AC182&amp;""))))+IF(Screener!$B$17="",0,N(ISNUMBER(SEARCH(LOWER(Screener!$B$17),Database!$AC182&amp;""))))</f>
        <v/>
      </c>
      <c r="I182">
        <f>IF(OR(N(Database!$BG182)&lt;=0,N(Screener!$D$13)&lt;=0),0,MAX(0,1-ABS(LOG10(N(Database!$BG182)/Screener!$D$13))/W_PEHW))</f>
        <v/>
      </c>
      <c r="J182">
        <f>IF(OR(N(Database!$S182)&lt;=0,N(Screener!$D$14)&lt;=0),0,MAX(0,1-ABS(LOG10(Database!$S182/Screener!$D$14))/0.6))</f>
        <v/>
      </c>
      <c r="K182">
        <f>IF(Database!$B182=Screener!$B$5,-999999,IF(ISNUMBER(SEARCH(","&amp;Database!$A182&amp;",",","&amp;SUBSTITUTE(Screener!$D$17," ","")&amp;",")),2000000,IF(IF(OR(Screener!$B$18="All",AND(Screener!$B$18="With A-share",(Database!$BL182="Y")),AND(Screener!$B$18="Without A-share",NOT((Database!$BL182="Y")))),1,0)=0,-999999,IF(Screener!$B$16="cornerstone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Database!BF170</f>
        <v/>
      </c>
      <c r="AF182">
        <f>Database!BL170</f>
        <v/>
      </c>
      <c r="AG182">
        <f>Database!H170</f>
        <v/>
      </c>
      <c r="AH182">
        <f>Database!BG170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IF(OR(Database!$BF183="",Screener!$D$10=""),0,IF(Database!$BF183=Screener!$D$10,1,0))</f>
        <v/>
      </c>
      <c r="F183">
        <f>IF(OR(Database!$BL183="",Screener!$D$11=""),0,IF(Database!$BL183=Screener!$D$11,1,0))</f>
        <v/>
      </c>
      <c r="G183">
        <f>IF(OR(Database!$H183="",N(Screener!$D$12)&lt;=0),0,MAX(0,1-(N(Screener!$D$12)-Database!$H183)/W_RECD))</f>
        <v/>
      </c>
      <c r="H183">
        <f>IF($U$1="",0,N(ISNUMBER(SEARCH($U$1,Database!$AC183&amp;""))))+IF($V$1="",0,N(ISNUMBER(SEARCH($V$1,Database!$AC183&amp;""))))+IF($W$1="",0,N(ISNUMBER(SEARCH($W$1,Database!$AC183&amp;""))))+IF($X$1="",0,N(ISNUMBER(SEARCH($X$1,Database!$AC183&amp;""))))+IF($Y$1="",0,N(ISNUMBER(SEARCH($Y$1,Database!$AC183&amp;""))))+IF(Screener!$B$17="",0,N(ISNUMBER(SEARCH(LOWER(Screener!$B$17),Database!$AC183&amp;""))))</f>
        <v/>
      </c>
      <c r="I183">
        <f>IF(OR(N(Database!$BG183)&lt;=0,N(Screener!$D$13)&lt;=0),0,MAX(0,1-ABS(LOG10(N(Database!$BG183)/Screener!$D$13))/W_PEHW))</f>
        <v/>
      </c>
      <c r="J183">
        <f>IF(OR(N(Database!$S183)&lt;=0,N(Screener!$D$14)&lt;=0),0,MAX(0,1-ABS(LOG10(Database!$S183/Screener!$D$14))/0.6))</f>
        <v/>
      </c>
      <c r="K183">
        <f>IF(Database!$B183=Screener!$B$5,-999999,IF(ISNUMBER(SEARCH(","&amp;Database!$A183&amp;",",","&amp;SUBSTITUTE(Screener!$D$17," ","")&amp;",")),2000000,IF(IF(OR(Screener!$B$18="All",AND(Screener!$B$18="With A-share",(Database!$BL183="Y")),AND(Screener!$B$18="Without A-share",NOT((Database!$BL183="Y")))),1,0)=0,-999999,IF(Screener!$B$16="cornerstone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Database!BF171</f>
        <v/>
      </c>
      <c r="AF183">
        <f>Database!BL171</f>
        <v/>
      </c>
      <c r="AG183">
        <f>Database!H171</f>
        <v/>
      </c>
      <c r="AH183">
        <f>Database!BG171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IF(OR(Database!$BF184="",Screener!$D$10=""),0,IF(Database!$BF184=Screener!$D$10,1,0))</f>
        <v/>
      </c>
      <c r="F184">
        <f>IF(OR(Database!$BL184="",Screener!$D$11=""),0,IF(Database!$BL184=Screener!$D$11,1,0))</f>
        <v/>
      </c>
      <c r="G184">
        <f>IF(OR(Database!$H184="",N(Screener!$D$12)&lt;=0),0,MAX(0,1-(N(Screener!$D$12)-Database!$H184)/W_RECD))</f>
        <v/>
      </c>
      <c r="H184">
        <f>IF($U$1="",0,N(ISNUMBER(SEARCH($U$1,Database!$AC184&amp;""))))+IF($V$1="",0,N(ISNUMBER(SEARCH($V$1,Database!$AC184&amp;""))))+IF($W$1="",0,N(ISNUMBER(SEARCH($W$1,Database!$AC184&amp;""))))+IF($X$1="",0,N(ISNUMBER(SEARCH($X$1,Database!$AC184&amp;""))))+IF($Y$1="",0,N(ISNUMBER(SEARCH($Y$1,Database!$AC184&amp;""))))+IF(Screener!$B$17="",0,N(ISNUMBER(SEARCH(LOWER(Screener!$B$17),Database!$AC184&amp;""))))</f>
        <v/>
      </c>
      <c r="I184">
        <f>IF(OR(N(Database!$BG184)&lt;=0,N(Screener!$D$13)&lt;=0),0,MAX(0,1-ABS(LOG10(N(Database!$BG184)/Screener!$D$13))/W_PEHW))</f>
        <v/>
      </c>
      <c r="J184">
        <f>IF(OR(N(Database!$S184)&lt;=0,N(Screener!$D$14)&lt;=0),0,MAX(0,1-ABS(LOG10(Database!$S184/Screener!$D$14))/0.6))</f>
        <v/>
      </c>
      <c r="K184">
        <f>IF(Database!$B184=Screener!$B$5,-999999,IF(ISNUMBER(SEARCH(","&amp;Database!$A184&amp;",",","&amp;SUBSTITUTE(Screener!$D$17," ","")&amp;",")),2000000,IF(IF(OR(Screener!$B$18="All",AND(Screener!$B$18="With A-share",(Database!$BL184="Y")),AND(Screener!$B$18="Without A-share",NOT((Database!$BL184="Y")))),1,0)=0,-999999,IF(Screener!$B$16="cornerstone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Database!BF172</f>
        <v/>
      </c>
      <c r="AF184">
        <f>Database!BL172</f>
        <v/>
      </c>
      <c r="AG184">
        <f>Database!H172</f>
        <v/>
      </c>
      <c r="AH184">
        <f>Database!BG172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IF(OR(Database!$BF185="",Screener!$D$10=""),0,IF(Database!$BF185=Screener!$D$10,1,0))</f>
        <v/>
      </c>
      <c r="F185">
        <f>IF(OR(Database!$BL185="",Screener!$D$11=""),0,IF(Database!$BL185=Screener!$D$11,1,0))</f>
        <v/>
      </c>
      <c r="G185">
        <f>IF(OR(Database!$H185="",N(Screener!$D$12)&lt;=0),0,MAX(0,1-(N(Screener!$D$12)-Database!$H185)/W_RECD))</f>
        <v/>
      </c>
      <c r="H185">
        <f>IF($U$1="",0,N(ISNUMBER(SEARCH($U$1,Database!$AC185&amp;""))))+IF($V$1="",0,N(ISNUMBER(SEARCH($V$1,Database!$AC185&amp;""))))+IF($W$1="",0,N(ISNUMBER(SEARCH($W$1,Database!$AC185&amp;""))))+IF($X$1="",0,N(ISNUMBER(SEARCH($X$1,Database!$AC185&amp;""))))+IF($Y$1="",0,N(ISNUMBER(SEARCH($Y$1,Database!$AC185&amp;""))))+IF(Screener!$B$17="",0,N(ISNUMBER(SEARCH(LOWER(Screener!$B$17),Database!$AC185&amp;""))))</f>
        <v/>
      </c>
      <c r="I185">
        <f>IF(OR(N(Database!$BG185)&lt;=0,N(Screener!$D$13)&lt;=0),0,MAX(0,1-ABS(LOG10(N(Database!$BG185)/Screener!$D$13))/W_PEHW))</f>
        <v/>
      </c>
      <c r="J185">
        <f>IF(OR(N(Database!$S185)&lt;=0,N(Screener!$D$14)&lt;=0),0,MAX(0,1-ABS(LOG10(Database!$S185/Screener!$D$14))/0.6))</f>
        <v/>
      </c>
      <c r="K185">
        <f>IF(Database!$B185=Screener!$B$5,-999999,IF(ISNUMBER(SEARCH(","&amp;Database!$A185&amp;",",","&amp;SUBSTITUTE(Screener!$D$17," ","")&amp;",")),2000000,IF(IF(OR(Screener!$B$18="All",AND(Screener!$B$18="With A-share",(Database!$BL185="Y")),AND(Screener!$B$18="Without A-share",NOT((Database!$BL185="Y")))),1,0)=0,-999999,IF(Screener!$B$16="cornerstone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Database!BF173</f>
        <v/>
      </c>
      <c r="AF185">
        <f>Database!BL173</f>
        <v/>
      </c>
      <c r="AG185">
        <f>Database!H173</f>
        <v/>
      </c>
      <c r="AH185">
        <f>Database!BG173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IF(OR(Database!$BF186="",Screener!$D$10=""),0,IF(Database!$BF186=Screener!$D$10,1,0))</f>
        <v/>
      </c>
      <c r="F186">
        <f>IF(OR(Database!$BL186="",Screener!$D$11=""),0,IF(Database!$BL186=Screener!$D$11,1,0))</f>
        <v/>
      </c>
      <c r="G186">
        <f>IF(OR(Database!$H186="",N(Screener!$D$12)&lt;=0),0,MAX(0,1-(N(Screener!$D$12)-Database!$H186)/W_RECD))</f>
        <v/>
      </c>
      <c r="H186">
        <f>IF($U$1="",0,N(ISNUMBER(SEARCH($U$1,Database!$AC186&amp;""))))+IF($V$1="",0,N(ISNUMBER(SEARCH($V$1,Database!$AC186&amp;""))))+IF($W$1="",0,N(ISNUMBER(SEARCH($W$1,Database!$AC186&amp;""))))+IF($X$1="",0,N(ISNUMBER(SEARCH($X$1,Database!$AC186&amp;""))))+IF($Y$1="",0,N(ISNUMBER(SEARCH($Y$1,Database!$AC186&amp;""))))+IF(Screener!$B$17="",0,N(ISNUMBER(SEARCH(LOWER(Screener!$B$17),Database!$AC186&amp;""))))</f>
        <v/>
      </c>
      <c r="I186">
        <f>IF(OR(N(Database!$BG186)&lt;=0,N(Screener!$D$13)&lt;=0),0,MAX(0,1-ABS(LOG10(N(Database!$BG186)/Screener!$D$13))/W_PEHW))</f>
        <v/>
      </c>
      <c r="J186">
        <f>IF(OR(N(Database!$S186)&lt;=0,N(Screener!$D$14)&lt;=0),0,MAX(0,1-ABS(LOG10(Database!$S186/Screener!$D$14))/0.6))</f>
        <v/>
      </c>
      <c r="K186">
        <f>IF(Database!$B186=Screener!$B$5,-999999,IF(ISNUMBER(SEARCH(","&amp;Database!$A186&amp;",",","&amp;SUBSTITUTE(Screener!$D$17," ","")&amp;",")),2000000,IF(IF(OR(Screener!$B$18="All",AND(Screener!$B$18="With A-share",(Database!$BL186="Y")),AND(Screener!$B$18="Without A-share",NOT((Database!$BL186="Y")))),1,0)=0,-999999,IF(Screener!$B$16="cornerstone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Database!BF174</f>
        <v/>
      </c>
      <c r="AF186">
        <f>Database!BL174</f>
        <v/>
      </c>
      <c r="AG186">
        <f>Database!H174</f>
        <v/>
      </c>
      <c r="AH186">
        <f>Database!BG174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IF(OR(Database!$BF187="",Screener!$D$10=""),0,IF(Database!$BF187=Screener!$D$10,1,0))</f>
        <v/>
      </c>
      <c r="F187">
        <f>IF(OR(Database!$BL187="",Screener!$D$11=""),0,IF(Database!$BL187=Screener!$D$11,1,0))</f>
        <v/>
      </c>
      <c r="G187">
        <f>IF(OR(Database!$H187="",N(Screener!$D$12)&lt;=0),0,MAX(0,1-(N(Screener!$D$12)-Database!$H187)/W_RECD))</f>
        <v/>
      </c>
      <c r="H187">
        <f>IF($U$1="",0,N(ISNUMBER(SEARCH($U$1,Database!$AC187&amp;""))))+IF($V$1="",0,N(ISNUMBER(SEARCH($V$1,Database!$AC187&amp;""))))+IF($W$1="",0,N(ISNUMBER(SEARCH($W$1,Database!$AC187&amp;""))))+IF($X$1="",0,N(ISNUMBER(SEARCH($X$1,Database!$AC187&amp;""))))+IF($Y$1="",0,N(ISNUMBER(SEARCH($Y$1,Database!$AC187&amp;""))))+IF(Screener!$B$17="",0,N(ISNUMBER(SEARCH(LOWER(Screener!$B$17),Database!$AC187&amp;""))))</f>
        <v/>
      </c>
      <c r="I187">
        <f>IF(OR(N(Database!$BG187)&lt;=0,N(Screener!$D$13)&lt;=0),0,MAX(0,1-ABS(LOG10(N(Database!$BG187)/Screener!$D$13))/W_PEHW))</f>
        <v/>
      </c>
      <c r="J187">
        <f>IF(OR(N(Database!$S187)&lt;=0,N(Screener!$D$14)&lt;=0),0,MAX(0,1-ABS(LOG10(Database!$S187/Screener!$D$14))/0.6))</f>
        <v/>
      </c>
      <c r="K187">
        <f>IF(Database!$B187=Screener!$B$5,-999999,IF(ISNUMBER(SEARCH(","&amp;Database!$A187&amp;",",","&amp;SUBSTITUTE(Screener!$D$17," ","")&amp;",")),2000000,IF(IF(OR(Screener!$B$18="All",AND(Screener!$B$18="With A-share",(Database!$BL187="Y")),AND(Screener!$B$18="Without A-share",NOT((Database!$BL187="Y")))),1,0)=0,-999999,IF(Screener!$B$16="cornerstone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Database!BF175</f>
        <v/>
      </c>
      <c r="AF187">
        <f>Database!BL175</f>
        <v/>
      </c>
      <c r="AG187">
        <f>Database!H175</f>
        <v/>
      </c>
      <c r="AH187">
        <f>Database!BG175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IF(OR(Database!$BF188="",Screener!$D$10=""),0,IF(Database!$BF188=Screener!$D$10,1,0))</f>
        <v/>
      </c>
      <c r="F188">
        <f>IF(OR(Database!$BL188="",Screener!$D$11=""),0,IF(Database!$BL188=Screener!$D$11,1,0))</f>
        <v/>
      </c>
      <c r="G188">
        <f>IF(OR(Database!$H188="",N(Screener!$D$12)&lt;=0),0,MAX(0,1-(N(Screener!$D$12)-Database!$H188)/W_RECD))</f>
        <v/>
      </c>
      <c r="H188">
        <f>IF($U$1="",0,N(ISNUMBER(SEARCH($U$1,Database!$AC188&amp;""))))+IF($V$1="",0,N(ISNUMBER(SEARCH($V$1,Database!$AC188&amp;""))))+IF($W$1="",0,N(ISNUMBER(SEARCH($W$1,Database!$AC188&amp;""))))+IF($X$1="",0,N(ISNUMBER(SEARCH($X$1,Database!$AC188&amp;""))))+IF($Y$1="",0,N(ISNUMBER(SEARCH($Y$1,Database!$AC188&amp;""))))+IF(Screener!$B$17="",0,N(ISNUMBER(SEARCH(LOWER(Screener!$B$17),Database!$AC188&amp;""))))</f>
        <v/>
      </c>
      <c r="I188">
        <f>IF(OR(N(Database!$BG188)&lt;=0,N(Screener!$D$13)&lt;=0),0,MAX(0,1-ABS(LOG10(N(Database!$BG188)/Screener!$D$13))/W_PEHW))</f>
        <v/>
      </c>
      <c r="J188">
        <f>IF(OR(N(Database!$S188)&lt;=0,N(Screener!$D$14)&lt;=0),0,MAX(0,1-ABS(LOG10(Database!$S188/Screener!$D$14))/0.6))</f>
        <v/>
      </c>
      <c r="K188">
        <f>IF(Database!$B188=Screener!$B$5,-999999,IF(ISNUMBER(SEARCH(","&amp;Database!$A188&amp;",",","&amp;SUBSTITUTE(Screener!$D$17," ","")&amp;",")),2000000,IF(IF(OR(Screener!$B$18="All",AND(Screener!$B$18="With A-share",(Database!$BL188="Y")),AND(Screener!$B$18="Without A-share",NOT((Database!$BL188="Y")))),1,0)=0,-999999,IF(Screener!$B$16="cornerstone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Database!BF176</f>
        <v/>
      </c>
      <c r="AF188">
        <f>Database!BL176</f>
        <v/>
      </c>
      <c r="AG188">
        <f>Database!H176</f>
        <v/>
      </c>
      <c r="AH188">
        <f>Database!BG176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IF(OR(Database!$BF189="",Screener!$D$10=""),0,IF(Database!$BF189=Screener!$D$10,1,0))</f>
        <v/>
      </c>
      <c r="F189">
        <f>IF(OR(Database!$BL189="",Screener!$D$11=""),0,IF(Database!$BL189=Screener!$D$11,1,0))</f>
        <v/>
      </c>
      <c r="G189">
        <f>IF(OR(Database!$H189="",N(Screener!$D$12)&lt;=0),0,MAX(0,1-(N(Screener!$D$12)-Database!$H189)/W_RECD))</f>
        <v/>
      </c>
      <c r="H189">
        <f>IF($U$1="",0,N(ISNUMBER(SEARCH($U$1,Database!$AC189&amp;""))))+IF($V$1="",0,N(ISNUMBER(SEARCH($V$1,Database!$AC189&amp;""))))+IF($W$1="",0,N(ISNUMBER(SEARCH($W$1,Database!$AC189&amp;""))))+IF($X$1="",0,N(ISNUMBER(SEARCH($X$1,Database!$AC189&amp;""))))+IF($Y$1="",0,N(ISNUMBER(SEARCH($Y$1,Database!$AC189&amp;""))))+IF(Screener!$B$17="",0,N(ISNUMBER(SEARCH(LOWER(Screener!$B$17),Database!$AC189&amp;""))))</f>
        <v/>
      </c>
      <c r="I189">
        <f>IF(OR(N(Database!$BG189)&lt;=0,N(Screener!$D$13)&lt;=0),0,MAX(0,1-ABS(LOG10(N(Database!$BG189)/Screener!$D$13))/W_PEHW))</f>
        <v/>
      </c>
      <c r="J189">
        <f>IF(OR(N(Database!$S189)&lt;=0,N(Screener!$D$14)&lt;=0),0,MAX(0,1-ABS(LOG10(Database!$S189/Screener!$D$14))/0.6))</f>
        <v/>
      </c>
      <c r="K189">
        <f>IF(Database!$B189=Screener!$B$5,-999999,IF(ISNUMBER(SEARCH(","&amp;Database!$A189&amp;",",","&amp;SUBSTITUTE(Screener!$D$17," ","")&amp;",")),2000000,IF(IF(OR(Screener!$B$18="All",AND(Screener!$B$18="With A-share",(Database!$BL189="Y")),AND(Screener!$B$18="Without A-share",NOT((Database!$BL189="Y")))),1,0)=0,-999999,IF(Screener!$B$16="cornerstone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Database!BF177</f>
        <v/>
      </c>
      <c r="AF189">
        <f>Database!BL177</f>
        <v/>
      </c>
      <c r="AG189">
        <f>Database!H177</f>
        <v/>
      </c>
      <c r="AH189">
        <f>Database!BG177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IF(OR(Database!$BF190="",Screener!$D$10=""),0,IF(Database!$BF190=Screener!$D$10,1,0))</f>
        <v/>
      </c>
      <c r="F190">
        <f>IF(OR(Database!$BL190="",Screener!$D$11=""),0,IF(Database!$BL190=Screener!$D$11,1,0))</f>
        <v/>
      </c>
      <c r="G190">
        <f>IF(OR(Database!$H190="",N(Screener!$D$12)&lt;=0),0,MAX(0,1-(N(Screener!$D$12)-Database!$H190)/W_RECD))</f>
        <v/>
      </c>
      <c r="H190">
        <f>IF($U$1="",0,N(ISNUMBER(SEARCH($U$1,Database!$AC190&amp;""))))+IF($V$1="",0,N(ISNUMBER(SEARCH($V$1,Database!$AC190&amp;""))))+IF($W$1="",0,N(ISNUMBER(SEARCH($W$1,Database!$AC190&amp;""))))+IF($X$1="",0,N(ISNUMBER(SEARCH($X$1,Database!$AC190&amp;""))))+IF($Y$1="",0,N(ISNUMBER(SEARCH($Y$1,Database!$AC190&amp;""))))+IF(Screener!$B$17="",0,N(ISNUMBER(SEARCH(LOWER(Screener!$B$17),Database!$AC190&amp;""))))</f>
        <v/>
      </c>
      <c r="I190">
        <f>IF(OR(N(Database!$BG190)&lt;=0,N(Screener!$D$13)&lt;=0),0,MAX(0,1-ABS(LOG10(N(Database!$BG190)/Screener!$D$13))/W_PEHW))</f>
        <v/>
      </c>
      <c r="J190">
        <f>IF(OR(N(Database!$S190)&lt;=0,N(Screener!$D$14)&lt;=0),0,MAX(0,1-ABS(LOG10(Database!$S190/Screener!$D$14))/0.6))</f>
        <v/>
      </c>
      <c r="K190">
        <f>IF(Database!$B190=Screener!$B$5,-999999,IF(ISNUMBER(SEARCH(","&amp;Database!$A190&amp;",",","&amp;SUBSTITUTE(Screener!$D$17," ","")&amp;",")),2000000,IF(IF(OR(Screener!$B$18="All",AND(Screener!$B$18="With A-share",(Database!$BL190="Y")),AND(Screener!$B$18="Without A-share",NOT((Database!$BL190="Y")))),1,0)=0,-999999,IF(Screener!$B$16="cornerstone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Database!BF178</f>
        <v/>
      </c>
      <c r="AF190">
        <f>Database!BL178</f>
        <v/>
      </c>
      <c r="AG190">
        <f>Database!H178</f>
        <v/>
      </c>
      <c r="AH190">
        <f>Database!BG178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IF(OR(Database!$BF191="",Screener!$D$10=""),0,IF(Database!$BF191=Screener!$D$10,1,0))</f>
        <v/>
      </c>
      <c r="F191">
        <f>IF(OR(Database!$BL191="",Screener!$D$11=""),0,IF(Database!$BL191=Screener!$D$11,1,0))</f>
        <v/>
      </c>
      <c r="G191">
        <f>IF(OR(Database!$H191="",N(Screener!$D$12)&lt;=0),0,MAX(0,1-(N(Screener!$D$12)-Database!$H191)/W_RECD))</f>
        <v/>
      </c>
      <c r="H191">
        <f>IF($U$1="",0,N(ISNUMBER(SEARCH($U$1,Database!$AC191&amp;""))))+IF($V$1="",0,N(ISNUMBER(SEARCH($V$1,Database!$AC191&amp;""))))+IF($W$1="",0,N(ISNUMBER(SEARCH($W$1,Database!$AC191&amp;""))))+IF($X$1="",0,N(ISNUMBER(SEARCH($X$1,Database!$AC191&amp;""))))+IF($Y$1="",0,N(ISNUMBER(SEARCH($Y$1,Database!$AC191&amp;""))))+IF(Screener!$B$17="",0,N(ISNUMBER(SEARCH(LOWER(Screener!$B$17),Database!$AC191&amp;""))))</f>
        <v/>
      </c>
      <c r="I191">
        <f>IF(OR(N(Database!$BG191)&lt;=0,N(Screener!$D$13)&lt;=0),0,MAX(0,1-ABS(LOG10(N(Database!$BG191)/Screener!$D$13))/W_PEHW))</f>
        <v/>
      </c>
      <c r="J191">
        <f>IF(OR(N(Database!$S191)&lt;=0,N(Screener!$D$14)&lt;=0),0,MAX(0,1-ABS(LOG10(Database!$S191/Screener!$D$14))/0.6))</f>
        <v/>
      </c>
      <c r="K191">
        <f>IF(Database!$B191=Screener!$B$5,-999999,IF(ISNUMBER(SEARCH(","&amp;Database!$A191&amp;",",","&amp;SUBSTITUTE(Screener!$D$17," ","")&amp;",")),2000000,IF(IF(OR(Screener!$B$18="All",AND(Screener!$B$18="With A-share",(Database!$BL191="Y")),AND(Screener!$B$18="Without A-share",NOT((Database!$BL191="Y")))),1,0)=0,-999999,IF(Screener!$B$16="cornerstone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Database!BF179</f>
        <v/>
      </c>
      <c r="AF191">
        <f>Database!BL179</f>
        <v/>
      </c>
      <c r="AG191">
        <f>Database!H179</f>
        <v/>
      </c>
      <c r="AH191">
        <f>Database!BG179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IF(OR(Database!$BF192="",Screener!$D$10=""),0,IF(Database!$BF192=Screener!$D$10,1,0))</f>
        <v/>
      </c>
      <c r="F192">
        <f>IF(OR(Database!$BL192="",Screener!$D$11=""),0,IF(Database!$BL192=Screener!$D$11,1,0))</f>
        <v/>
      </c>
      <c r="G192">
        <f>IF(OR(Database!$H192="",N(Screener!$D$12)&lt;=0),0,MAX(0,1-(N(Screener!$D$12)-Database!$H192)/W_RECD))</f>
        <v/>
      </c>
      <c r="H192">
        <f>IF($U$1="",0,N(ISNUMBER(SEARCH($U$1,Database!$AC192&amp;""))))+IF($V$1="",0,N(ISNUMBER(SEARCH($V$1,Database!$AC192&amp;""))))+IF($W$1="",0,N(ISNUMBER(SEARCH($W$1,Database!$AC192&amp;""))))+IF($X$1="",0,N(ISNUMBER(SEARCH($X$1,Database!$AC192&amp;""))))+IF($Y$1="",0,N(ISNUMBER(SEARCH($Y$1,Database!$AC192&amp;""))))+IF(Screener!$B$17="",0,N(ISNUMBER(SEARCH(LOWER(Screener!$B$17),Database!$AC192&amp;""))))</f>
        <v/>
      </c>
      <c r="I192">
        <f>IF(OR(N(Database!$BG192)&lt;=0,N(Screener!$D$13)&lt;=0),0,MAX(0,1-ABS(LOG10(N(Database!$BG192)/Screener!$D$13))/W_PEHW))</f>
        <v/>
      </c>
      <c r="J192">
        <f>IF(OR(N(Database!$S192)&lt;=0,N(Screener!$D$14)&lt;=0),0,MAX(0,1-ABS(LOG10(Database!$S192/Screener!$D$14))/0.6))</f>
        <v/>
      </c>
      <c r="K192">
        <f>IF(Database!$B192=Screener!$B$5,-999999,IF(ISNUMBER(SEARCH(","&amp;Database!$A192&amp;",",","&amp;SUBSTITUTE(Screener!$D$17," ","")&amp;",")),2000000,IF(IF(OR(Screener!$B$18="All",AND(Screener!$B$18="With A-share",(Database!$BL192="Y")),AND(Screener!$B$18="Without A-share",NOT((Database!$BL192="Y")))),1,0)=0,-999999,IF(Screener!$B$16="cornerstone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Database!BF180</f>
        <v/>
      </c>
      <c r="AF192">
        <f>Database!BL180</f>
        <v/>
      </c>
      <c r="AG192">
        <f>Database!H180</f>
        <v/>
      </c>
      <c r="AH192">
        <f>Database!BG180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IF(OR(Database!$BF193="",Screener!$D$10=""),0,IF(Database!$BF193=Screener!$D$10,1,0))</f>
        <v/>
      </c>
      <c r="F193">
        <f>IF(OR(Database!$BL193="",Screener!$D$11=""),0,IF(Database!$BL193=Screener!$D$11,1,0))</f>
        <v/>
      </c>
      <c r="G193">
        <f>IF(OR(Database!$H193="",N(Screener!$D$12)&lt;=0),0,MAX(0,1-(N(Screener!$D$12)-Database!$H193)/W_RECD))</f>
        <v/>
      </c>
      <c r="H193">
        <f>IF($U$1="",0,N(ISNUMBER(SEARCH($U$1,Database!$AC193&amp;""))))+IF($V$1="",0,N(ISNUMBER(SEARCH($V$1,Database!$AC193&amp;""))))+IF($W$1="",0,N(ISNUMBER(SEARCH($W$1,Database!$AC193&amp;""))))+IF($X$1="",0,N(ISNUMBER(SEARCH($X$1,Database!$AC193&amp;""))))+IF($Y$1="",0,N(ISNUMBER(SEARCH($Y$1,Database!$AC193&amp;""))))+IF(Screener!$B$17="",0,N(ISNUMBER(SEARCH(LOWER(Screener!$B$17),Database!$AC193&amp;""))))</f>
        <v/>
      </c>
      <c r="I193">
        <f>IF(OR(N(Database!$BG193)&lt;=0,N(Screener!$D$13)&lt;=0),0,MAX(0,1-ABS(LOG10(N(Database!$BG193)/Screener!$D$13))/W_PEHW))</f>
        <v/>
      </c>
      <c r="J193">
        <f>IF(OR(N(Database!$S193)&lt;=0,N(Screener!$D$14)&lt;=0),0,MAX(0,1-ABS(LOG10(Database!$S193/Screener!$D$14))/0.6))</f>
        <v/>
      </c>
      <c r="K193">
        <f>IF(Database!$B193=Screener!$B$5,-999999,IF(ISNUMBER(SEARCH(","&amp;Database!$A193&amp;",",","&amp;SUBSTITUTE(Screener!$D$17," ","")&amp;",")),2000000,IF(IF(OR(Screener!$B$18="All",AND(Screener!$B$18="With A-share",(Database!$BL193="Y")),AND(Screener!$B$18="Without A-share",NOT((Database!$BL193="Y")))),1,0)=0,-999999,IF(Screener!$B$16="cornerstone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Database!BF181</f>
        <v/>
      </c>
      <c r="AF193">
        <f>Database!BL181</f>
        <v/>
      </c>
      <c r="AG193">
        <f>Database!H181</f>
        <v/>
      </c>
      <c r="AH193">
        <f>Database!BG181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IF(OR(Database!$BF194="",Screener!$D$10=""),0,IF(Database!$BF194=Screener!$D$10,1,0))</f>
        <v/>
      </c>
      <c r="F194">
        <f>IF(OR(Database!$BL194="",Screener!$D$11=""),0,IF(Database!$BL194=Screener!$D$11,1,0))</f>
        <v/>
      </c>
      <c r="G194">
        <f>IF(OR(Database!$H194="",N(Screener!$D$12)&lt;=0),0,MAX(0,1-(N(Screener!$D$12)-Database!$H194)/W_RECD))</f>
        <v/>
      </c>
      <c r="H194">
        <f>IF($U$1="",0,N(ISNUMBER(SEARCH($U$1,Database!$AC194&amp;""))))+IF($V$1="",0,N(ISNUMBER(SEARCH($V$1,Database!$AC194&amp;""))))+IF($W$1="",0,N(ISNUMBER(SEARCH($W$1,Database!$AC194&amp;""))))+IF($X$1="",0,N(ISNUMBER(SEARCH($X$1,Database!$AC194&amp;""))))+IF($Y$1="",0,N(ISNUMBER(SEARCH($Y$1,Database!$AC194&amp;""))))+IF(Screener!$B$17="",0,N(ISNUMBER(SEARCH(LOWER(Screener!$B$17),Database!$AC194&amp;""))))</f>
        <v/>
      </c>
      <c r="I194">
        <f>IF(OR(N(Database!$BG194)&lt;=0,N(Screener!$D$13)&lt;=0),0,MAX(0,1-ABS(LOG10(N(Database!$BG194)/Screener!$D$13))/W_PEHW))</f>
        <v/>
      </c>
      <c r="J194">
        <f>IF(OR(N(Database!$S194)&lt;=0,N(Screener!$D$14)&lt;=0),0,MAX(0,1-ABS(LOG10(Database!$S194/Screener!$D$14))/0.6))</f>
        <v/>
      </c>
      <c r="K194">
        <f>IF(Database!$B194=Screener!$B$5,-999999,IF(ISNUMBER(SEARCH(","&amp;Database!$A194&amp;",",","&amp;SUBSTITUTE(Screener!$D$17," ","")&amp;",")),2000000,IF(IF(OR(Screener!$B$18="All",AND(Screener!$B$18="With A-share",(Database!$BL194="Y")),AND(Screener!$B$18="Without A-share",NOT((Database!$BL194="Y")))),1,0)=0,-999999,IF(Screener!$B$16="cornerstone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Database!BF182</f>
        <v/>
      </c>
      <c r="AF194">
        <f>Database!BL182</f>
        <v/>
      </c>
      <c r="AG194">
        <f>Database!H182</f>
        <v/>
      </c>
      <c r="AH194">
        <f>Database!BG182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IF(OR(Database!$BF195="",Screener!$D$10=""),0,IF(Database!$BF195=Screener!$D$10,1,0))</f>
        <v/>
      </c>
      <c r="F195">
        <f>IF(OR(Database!$BL195="",Screener!$D$11=""),0,IF(Database!$BL195=Screener!$D$11,1,0))</f>
        <v/>
      </c>
      <c r="G195">
        <f>IF(OR(Database!$H195="",N(Screener!$D$12)&lt;=0),0,MAX(0,1-(N(Screener!$D$12)-Database!$H195)/W_RECD))</f>
        <v/>
      </c>
      <c r="H195">
        <f>IF($U$1="",0,N(ISNUMBER(SEARCH($U$1,Database!$AC195&amp;""))))+IF($V$1="",0,N(ISNUMBER(SEARCH($V$1,Database!$AC195&amp;""))))+IF($W$1="",0,N(ISNUMBER(SEARCH($W$1,Database!$AC195&amp;""))))+IF($X$1="",0,N(ISNUMBER(SEARCH($X$1,Database!$AC195&amp;""))))+IF($Y$1="",0,N(ISNUMBER(SEARCH($Y$1,Database!$AC195&amp;""))))+IF(Screener!$B$17="",0,N(ISNUMBER(SEARCH(LOWER(Screener!$B$17),Database!$AC195&amp;""))))</f>
        <v/>
      </c>
      <c r="I195">
        <f>IF(OR(N(Database!$BG195)&lt;=0,N(Screener!$D$13)&lt;=0),0,MAX(0,1-ABS(LOG10(N(Database!$BG195)/Screener!$D$13))/W_PEHW))</f>
        <v/>
      </c>
      <c r="J195">
        <f>IF(OR(N(Database!$S195)&lt;=0,N(Screener!$D$14)&lt;=0),0,MAX(0,1-ABS(LOG10(Database!$S195/Screener!$D$14))/0.6))</f>
        <v/>
      </c>
      <c r="K195">
        <f>IF(Database!$B195=Screener!$B$5,-999999,IF(ISNUMBER(SEARCH(","&amp;Database!$A195&amp;",",","&amp;SUBSTITUTE(Screener!$D$17," ","")&amp;",")),2000000,IF(IF(OR(Screener!$B$18="All",AND(Screener!$B$18="With A-share",(Database!$BL195="Y")),AND(Screener!$B$18="Without A-share",NOT((Database!$BL195="Y")))),1,0)=0,-999999,IF(Screener!$B$16="cornerstone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Database!BF183</f>
        <v/>
      </c>
      <c r="AF195">
        <f>Database!BL183</f>
        <v/>
      </c>
      <c r="AG195">
        <f>Database!H183</f>
        <v/>
      </c>
      <c r="AH195">
        <f>Database!BG183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IF(OR(Database!$BF196="",Screener!$D$10=""),0,IF(Database!$BF196=Screener!$D$10,1,0))</f>
        <v/>
      </c>
      <c r="F196">
        <f>IF(OR(Database!$BL196="",Screener!$D$11=""),0,IF(Database!$BL196=Screener!$D$11,1,0))</f>
        <v/>
      </c>
      <c r="G196">
        <f>IF(OR(Database!$H196="",N(Screener!$D$12)&lt;=0),0,MAX(0,1-(N(Screener!$D$12)-Database!$H196)/W_RECD))</f>
        <v/>
      </c>
      <c r="H196">
        <f>IF($U$1="",0,N(ISNUMBER(SEARCH($U$1,Database!$AC196&amp;""))))+IF($V$1="",0,N(ISNUMBER(SEARCH($V$1,Database!$AC196&amp;""))))+IF($W$1="",0,N(ISNUMBER(SEARCH($W$1,Database!$AC196&amp;""))))+IF($X$1="",0,N(ISNUMBER(SEARCH($X$1,Database!$AC196&amp;""))))+IF($Y$1="",0,N(ISNUMBER(SEARCH($Y$1,Database!$AC196&amp;""))))+IF(Screener!$B$17="",0,N(ISNUMBER(SEARCH(LOWER(Screener!$B$17),Database!$AC196&amp;""))))</f>
        <v/>
      </c>
      <c r="I196">
        <f>IF(OR(N(Database!$BG196)&lt;=0,N(Screener!$D$13)&lt;=0),0,MAX(0,1-ABS(LOG10(N(Database!$BG196)/Screener!$D$13))/W_PEHW))</f>
        <v/>
      </c>
      <c r="J196">
        <f>IF(OR(N(Database!$S196)&lt;=0,N(Screener!$D$14)&lt;=0),0,MAX(0,1-ABS(LOG10(Database!$S196/Screener!$D$14))/0.6))</f>
        <v/>
      </c>
      <c r="K196">
        <f>IF(Database!$B196=Screener!$B$5,-999999,IF(ISNUMBER(SEARCH(","&amp;Database!$A196&amp;",",","&amp;SUBSTITUTE(Screener!$D$17," ","")&amp;",")),2000000,IF(IF(OR(Screener!$B$18="All",AND(Screener!$B$18="With A-share",(Database!$BL196="Y")),AND(Screener!$B$18="Without A-share",NOT((Database!$BL196="Y")))),1,0)=0,-999999,IF(Screener!$B$16="cornerstone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Database!BF184</f>
        <v/>
      </c>
      <c r="AF196">
        <f>Database!BL184</f>
        <v/>
      </c>
      <c r="AG196">
        <f>Database!H184</f>
        <v/>
      </c>
      <c r="AH196">
        <f>Database!BG184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IF(OR(Database!$BF197="",Screener!$D$10=""),0,IF(Database!$BF197=Screener!$D$10,1,0))</f>
        <v/>
      </c>
      <c r="F197">
        <f>IF(OR(Database!$BL197="",Screener!$D$11=""),0,IF(Database!$BL197=Screener!$D$11,1,0))</f>
        <v/>
      </c>
      <c r="G197">
        <f>IF(OR(Database!$H197="",N(Screener!$D$12)&lt;=0),0,MAX(0,1-(N(Screener!$D$12)-Database!$H197)/W_RECD))</f>
        <v/>
      </c>
      <c r="H197">
        <f>IF($U$1="",0,N(ISNUMBER(SEARCH($U$1,Database!$AC197&amp;""))))+IF($V$1="",0,N(ISNUMBER(SEARCH($V$1,Database!$AC197&amp;""))))+IF($W$1="",0,N(ISNUMBER(SEARCH($W$1,Database!$AC197&amp;""))))+IF($X$1="",0,N(ISNUMBER(SEARCH($X$1,Database!$AC197&amp;""))))+IF($Y$1="",0,N(ISNUMBER(SEARCH($Y$1,Database!$AC197&amp;""))))+IF(Screener!$B$17="",0,N(ISNUMBER(SEARCH(LOWER(Screener!$B$17),Database!$AC197&amp;""))))</f>
        <v/>
      </c>
      <c r="I197">
        <f>IF(OR(N(Database!$BG197)&lt;=0,N(Screener!$D$13)&lt;=0),0,MAX(0,1-ABS(LOG10(N(Database!$BG197)/Screener!$D$13))/W_PEHW))</f>
        <v/>
      </c>
      <c r="J197">
        <f>IF(OR(N(Database!$S197)&lt;=0,N(Screener!$D$14)&lt;=0),0,MAX(0,1-ABS(LOG10(Database!$S197/Screener!$D$14))/0.6))</f>
        <v/>
      </c>
      <c r="K197">
        <f>IF(Database!$B197=Screener!$B$5,-999999,IF(ISNUMBER(SEARCH(","&amp;Database!$A197&amp;",",","&amp;SUBSTITUTE(Screener!$D$17," ","")&amp;",")),2000000,IF(IF(OR(Screener!$B$18="All",AND(Screener!$B$18="With A-share",(Database!$BL197="Y")),AND(Screener!$B$18="Without A-share",NOT((Database!$BL197="Y")))),1,0)=0,-999999,IF(Screener!$B$16="cornerstone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Database!BF185</f>
        <v/>
      </c>
      <c r="AF197">
        <f>Database!BL185</f>
        <v/>
      </c>
      <c r="AG197">
        <f>Database!H185</f>
        <v/>
      </c>
      <c r="AH197">
        <f>Database!BG185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IF(OR(Database!$BF198="",Screener!$D$10=""),0,IF(Database!$BF198=Screener!$D$10,1,0))</f>
        <v/>
      </c>
      <c r="F198">
        <f>IF(OR(Database!$BL198="",Screener!$D$11=""),0,IF(Database!$BL198=Screener!$D$11,1,0))</f>
        <v/>
      </c>
      <c r="G198">
        <f>IF(OR(Database!$H198="",N(Screener!$D$12)&lt;=0),0,MAX(0,1-(N(Screener!$D$12)-Database!$H198)/W_RECD))</f>
        <v/>
      </c>
      <c r="H198">
        <f>IF($U$1="",0,N(ISNUMBER(SEARCH($U$1,Database!$AC198&amp;""))))+IF($V$1="",0,N(ISNUMBER(SEARCH($V$1,Database!$AC198&amp;""))))+IF($W$1="",0,N(ISNUMBER(SEARCH($W$1,Database!$AC198&amp;""))))+IF($X$1="",0,N(ISNUMBER(SEARCH($X$1,Database!$AC198&amp;""))))+IF($Y$1="",0,N(ISNUMBER(SEARCH($Y$1,Database!$AC198&amp;""))))+IF(Screener!$B$17="",0,N(ISNUMBER(SEARCH(LOWER(Screener!$B$17),Database!$AC198&amp;""))))</f>
        <v/>
      </c>
      <c r="I198">
        <f>IF(OR(N(Database!$BG198)&lt;=0,N(Screener!$D$13)&lt;=0),0,MAX(0,1-ABS(LOG10(N(Database!$BG198)/Screener!$D$13))/W_PEHW))</f>
        <v/>
      </c>
      <c r="J198">
        <f>IF(OR(N(Database!$S198)&lt;=0,N(Screener!$D$14)&lt;=0),0,MAX(0,1-ABS(LOG10(Database!$S198/Screener!$D$14))/0.6))</f>
        <v/>
      </c>
      <c r="K198">
        <f>IF(Database!$B198=Screener!$B$5,-999999,IF(ISNUMBER(SEARCH(","&amp;Database!$A198&amp;",",","&amp;SUBSTITUTE(Screener!$D$17," ","")&amp;",")),2000000,IF(IF(OR(Screener!$B$18="All",AND(Screener!$B$18="With A-share",(Database!$BL198="Y")),AND(Screener!$B$18="Without A-share",NOT((Database!$BL198="Y")))),1,0)=0,-999999,IF(Screener!$B$16="cornerstone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Database!BF186</f>
        <v/>
      </c>
      <c r="AF198">
        <f>Database!BL186</f>
        <v/>
      </c>
      <c r="AG198">
        <f>Database!H186</f>
        <v/>
      </c>
      <c r="AH198">
        <f>Database!BG186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IF(OR(Database!$BF199="",Screener!$D$10=""),0,IF(Database!$BF199=Screener!$D$10,1,0))</f>
        <v/>
      </c>
      <c r="F199">
        <f>IF(OR(Database!$BL199="",Screener!$D$11=""),0,IF(Database!$BL199=Screener!$D$11,1,0))</f>
        <v/>
      </c>
      <c r="G199">
        <f>IF(OR(Database!$H199="",N(Screener!$D$12)&lt;=0),0,MAX(0,1-(N(Screener!$D$12)-Database!$H199)/W_RECD))</f>
        <v/>
      </c>
      <c r="H199">
        <f>IF($U$1="",0,N(ISNUMBER(SEARCH($U$1,Database!$AC199&amp;""))))+IF($V$1="",0,N(ISNUMBER(SEARCH($V$1,Database!$AC199&amp;""))))+IF($W$1="",0,N(ISNUMBER(SEARCH($W$1,Database!$AC199&amp;""))))+IF($X$1="",0,N(ISNUMBER(SEARCH($X$1,Database!$AC199&amp;""))))+IF($Y$1="",0,N(ISNUMBER(SEARCH($Y$1,Database!$AC199&amp;""))))+IF(Screener!$B$17="",0,N(ISNUMBER(SEARCH(LOWER(Screener!$B$17),Database!$AC199&amp;""))))</f>
        <v/>
      </c>
      <c r="I199">
        <f>IF(OR(N(Database!$BG199)&lt;=0,N(Screener!$D$13)&lt;=0),0,MAX(0,1-ABS(LOG10(N(Database!$BG199)/Screener!$D$13))/W_PEHW))</f>
        <v/>
      </c>
      <c r="J199">
        <f>IF(OR(N(Database!$S199)&lt;=0,N(Screener!$D$14)&lt;=0),0,MAX(0,1-ABS(LOG10(Database!$S199/Screener!$D$14))/0.6))</f>
        <v/>
      </c>
      <c r="K199">
        <f>IF(Database!$B199=Screener!$B$5,-999999,IF(ISNUMBER(SEARCH(","&amp;Database!$A199&amp;",",","&amp;SUBSTITUTE(Screener!$D$17," ","")&amp;",")),2000000,IF(IF(OR(Screener!$B$18="All",AND(Screener!$B$18="With A-share",(Database!$BL199="Y")),AND(Screener!$B$18="Without A-share",NOT((Database!$BL199="Y")))),1,0)=0,-999999,IF(Screener!$B$16="cornerstone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Database!BF187</f>
        <v/>
      </c>
      <c r="AF199">
        <f>Database!BL187</f>
        <v/>
      </c>
      <c r="AG199">
        <f>Database!H187</f>
        <v/>
      </c>
      <c r="AH199">
        <f>Database!BG187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IF(OR(Database!$BF200="",Screener!$D$10=""),0,IF(Database!$BF200=Screener!$D$10,1,0))</f>
        <v/>
      </c>
      <c r="F200">
        <f>IF(OR(Database!$BL200="",Screener!$D$11=""),0,IF(Database!$BL200=Screener!$D$11,1,0))</f>
        <v/>
      </c>
      <c r="G200">
        <f>IF(OR(Database!$H200="",N(Screener!$D$12)&lt;=0),0,MAX(0,1-(N(Screener!$D$12)-Database!$H200)/W_RECD))</f>
        <v/>
      </c>
      <c r="H200">
        <f>IF($U$1="",0,N(ISNUMBER(SEARCH($U$1,Database!$AC200&amp;""))))+IF($V$1="",0,N(ISNUMBER(SEARCH($V$1,Database!$AC200&amp;""))))+IF($W$1="",0,N(ISNUMBER(SEARCH($W$1,Database!$AC200&amp;""))))+IF($X$1="",0,N(ISNUMBER(SEARCH($X$1,Database!$AC200&amp;""))))+IF($Y$1="",0,N(ISNUMBER(SEARCH($Y$1,Database!$AC200&amp;""))))+IF(Screener!$B$17="",0,N(ISNUMBER(SEARCH(LOWER(Screener!$B$17),Database!$AC200&amp;""))))</f>
        <v/>
      </c>
      <c r="I200">
        <f>IF(OR(N(Database!$BG200)&lt;=0,N(Screener!$D$13)&lt;=0),0,MAX(0,1-ABS(LOG10(N(Database!$BG200)/Screener!$D$13))/W_PEHW))</f>
        <v/>
      </c>
      <c r="J200">
        <f>IF(OR(N(Database!$S200)&lt;=0,N(Screener!$D$14)&lt;=0),0,MAX(0,1-ABS(LOG10(Database!$S200/Screener!$D$14))/0.6))</f>
        <v/>
      </c>
      <c r="K200">
        <f>IF(Database!$B200=Screener!$B$5,-999999,IF(ISNUMBER(SEARCH(","&amp;Database!$A200&amp;",",","&amp;SUBSTITUTE(Screener!$D$17," ","")&amp;",")),2000000,IF(IF(OR(Screener!$B$18="All",AND(Screener!$B$18="With A-share",(Database!$BL200="Y")),AND(Screener!$B$18="Without A-share",NOT((Database!$BL200="Y")))),1,0)=0,-999999,IF(Screener!$B$16="cornerstone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Database!BF188</f>
        <v/>
      </c>
      <c r="AF200">
        <f>Database!BL188</f>
        <v/>
      </c>
      <c r="AG200">
        <f>Database!H188</f>
        <v/>
      </c>
      <c r="AH200">
        <f>Database!BG188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IF(OR(Database!$BF201="",Screener!$D$10=""),0,IF(Database!$BF201=Screener!$D$10,1,0))</f>
        <v/>
      </c>
      <c r="F201">
        <f>IF(OR(Database!$BL201="",Screener!$D$11=""),0,IF(Database!$BL201=Screener!$D$11,1,0))</f>
        <v/>
      </c>
      <c r="G201">
        <f>IF(OR(Database!$H201="",N(Screener!$D$12)&lt;=0),0,MAX(0,1-(N(Screener!$D$12)-Database!$H201)/W_RECD))</f>
        <v/>
      </c>
      <c r="H201">
        <f>IF($U$1="",0,N(ISNUMBER(SEARCH($U$1,Database!$AC201&amp;""))))+IF($V$1="",0,N(ISNUMBER(SEARCH($V$1,Database!$AC201&amp;""))))+IF($W$1="",0,N(ISNUMBER(SEARCH($W$1,Database!$AC201&amp;""))))+IF($X$1="",0,N(ISNUMBER(SEARCH($X$1,Database!$AC201&amp;""))))+IF($Y$1="",0,N(ISNUMBER(SEARCH($Y$1,Database!$AC201&amp;""))))+IF(Screener!$B$17="",0,N(ISNUMBER(SEARCH(LOWER(Screener!$B$17),Database!$AC201&amp;""))))</f>
        <v/>
      </c>
      <c r="I201">
        <f>IF(OR(N(Database!$BG201)&lt;=0,N(Screener!$D$13)&lt;=0),0,MAX(0,1-ABS(LOG10(N(Database!$BG201)/Screener!$D$13))/W_PEHW))</f>
        <v/>
      </c>
      <c r="J201">
        <f>IF(OR(N(Database!$S201)&lt;=0,N(Screener!$D$14)&lt;=0),0,MAX(0,1-ABS(LOG10(Database!$S201/Screener!$D$14))/0.6))</f>
        <v/>
      </c>
      <c r="K201">
        <f>IF(Database!$B201=Screener!$B$5,-999999,IF(ISNUMBER(SEARCH(","&amp;Database!$A201&amp;",",","&amp;SUBSTITUTE(Screener!$D$17," ","")&amp;",")),2000000,IF(IF(OR(Screener!$B$18="All",AND(Screener!$B$18="With A-share",(Database!$BL201="Y")),AND(Screener!$B$18="Without A-share",NOT((Database!$BL201="Y")))),1,0)=0,-999999,IF(Screener!$B$16="cornerstone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Database!BF189</f>
        <v/>
      </c>
      <c r="AF201">
        <f>Database!BL189</f>
        <v/>
      </c>
      <c r="AG201">
        <f>Database!H189</f>
        <v/>
      </c>
      <c r="AH201">
        <f>Database!BG189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IF(OR(Database!$BF202="",Screener!$D$10=""),0,IF(Database!$BF202=Screener!$D$10,1,0))</f>
        <v/>
      </c>
      <c r="F202">
        <f>IF(OR(Database!$BL202="",Screener!$D$11=""),0,IF(Database!$BL202=Screener!$D$11,1,0))</f>
        <v/>
      </c>
      <c r="G202">
        <f>IF(OR(Database!$H202="",N(Screener!$D$12)&lt;=0),0,MAX(0,1-(N(Screener!$D$12)-Database!$H202)/W_RECD))</f>
        <v/>
      </c>
      <c r="H202">
        <f>IF($U$1="",0,N(ISNUMBER(SEARCH($U$1,Database!$AC202&amp;""))))+IF($V$1="",0,N(ISNUMBER(SEARCH($V$1,Database!$AC202&amp;""))))+IF($W$1="",0,N(ISNUMBER(SEARCH($W$1,Database!$AC202&amp;""))))+IF($X$1="",0,N(ISNUMBER(SEARCH($X$1,Database!$AC202&amp;""))))+IF($Y$1="",0,N(ISNUMBER(SEARCH($Y$1,Database!$AC202&amp;""))))+IF(Screener!$B$17="",0,N(ISNUMBER(SEARCH(LOWER(Screener!$B$17),Database!$AC202&amp;""))))</f>
        <v/>
      </c>
      <c r="I202">
        <f>IF(OR(N(Database!$BG202)&lt;=0,N(Screener!$D$13)&lt;=0),0,MAX(0,1-ABS(LOG10(N(Database!$BG202)/Screener!$D$13))/W_PEHW))</f>
        <v/>
      </c>
      <c r="J202">
        <f>IF(OR(N(Database!$S202)&lt;=0,N(Screener!$D$14)&lt;=0),0,MAX(0,1-ABS(LOG10(Database!$S202/Screener!$D$14))/0.6))</f>
        <v/>
      </c>
      <c r="K202">
        <f>IF(Database!$B202=Screener!$B$5,-999999,IF(ISNUMBER(SEARCH(","&amp;Database!$A202&amp;",",","&amp;SUBSTITUTE(Screener!$D$17," ","")&amp;",")),2000000,IF(IF(OR(Screener!$B$18="All",AND(Screener!$B$18="With A-share",(Database!$BL202="Y")),AND(Screener!$B$18="Without A-share",NOT((Database!$BL202="Y")))),1,0)=0,-999999,IF(Screener!$B$16="cornerstone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Database!BF190</f>
        <v/>
      </c>
      <c r="AF202">
        <f>Database!BL190</f>
        <v/>
      </c>
      <c r="AG202">
        <f>Database!H190</f>
        <v/>
      </c>
      <c r="AH202">
        <f>Database!BG190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IF(OR(Database!$BF203="",Screener!$D$10=""),0,IF(Database!$BF203=Screener!$D$10,1,0))</f>
        <v/>
      </c>
      <c r="F203">
        <f>IF(OR(Database!$BL203="",Screener!$D$11=""),0,IF(Database!$BL203=Screener!$D$11,1,0))</f>
        <v/>
      </c>
      <c r="G203">
        <f>IF(OR(Database!$H203="",N(Screener!$D$12)&lt;=0),0,MAX(0,1-(N(Screener!$D$12)-Database!$H203)/W_RECD))</f>
        <v/>
      </c>
      <c r="H203">
        <f>IF($U$1="",0,N(ISNUMBER(SEARCH($U$1,Database!$AC203&amp;""))))+IF($V$1="",0,N(ISNUMBER(SEARCH($V$1,Database!$AC203&amp;""))))+IF($W$1="",0,N(ISNUMBER(SEARCH($W$1,Database!$AC203&amp;""))))+IF($X$1="",0,N(ISNUMBER(SEARCH($X$1,Database!$AC203&amp;""))))+IF($Y$1="",0,N(ISNUMBER(SEARCH($Y$1,Database!$AC203&amp;""))))+IF(Screener!$B$17="",0,N(ISNUMBER(SEARCH(LOWER(Screener!$B$17),Database!$AC203&amp;""))))</f>
        <v/>
      </c>
      <c r="I203">
        <f>IF(OR(N(Database!$BG203)&lt;=0,N(Screener!$D$13)&lt;=0),0,MAX(0,1-ABS(LOG10(N(Database!$BG203)/Screener!$D$13))/W_PEHW))</f>
        <v/>
      </c>
      <c r="J203">
        <f>IF(OR(N(Database!$S203)&lt;=0,N(Screener!$D$14)&lt;=0),0,MAX(0,1-ABS(LOG10(Database!$S203/Screener!$D$14))/0.6))</f>
        <v/>
      </c>
      <c r="K203">
        <f>IF(Database!$B203=Screener!$B$5,-999999,IF(ISNUMBER(SEARCH(","&amp;Database!$A203&amp;",",","&amp;SUBSTITUTE(Screener!$D$17," ","")&amp;",")),2000000,IF(IF(OR(Screener!$B$18="All",AND(Screener!$B$18="With A-share",(Database!$BL203="Y")),AND(Screener!$B$18="Without A-share",NOT((Database!$BL203="Y")))),1,0)=0,-999999,IF(Screener!$B$16="cornerstone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Database!BF191</f>
        <v/>
      </c>
      <c r="AF203">
        <f>Database!BL191</f>
        <v/>
      </c>
      <c r="AG203">
        <f>Database!H191</f>
        <v/>
      </c>
      <c r="AH203">
        <f>Database!BG191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IF(OR(Database!$BF204="",Screener!$D$10=""),0,IF(Database!$BF204=Screener!$D$10,1,0))</f>
        <v/>
      </c>
      <c r="F204">
        <f>IF(OR(Database!$BL204="",Screener!$D$11=""),0,IF(Database!$BL204=Screener!$D$11,1,0))</f>
        <v/>
      </c>
      <c r="G204">
        <f>IF(OR(Database!$H204="",N(Screener!$D$12)&lt;=0),0,MAX(0,1-(N(Screener!$D$12)-Database!$H204)/W_RECD))</f>
        <v/>
      </c>
      <c r="H204">
        <f>IF($U$1="",0,N(ISNUMBER(SEARCH($U$1,Database!$AC204&amp;""))))+IF($V$1="",0,N(ISNUMBER(SEARCH($V$1,Database!$AC204&amp;""))))+IF($W$1="",0,N(ISNUMBER(SEARCH($W$1,Database!$AC204&amp;""))))+IF($X$1="",0,N(ISNUMBER(SEARCH($X$1,Database!$AC204&amp;""))))+IF($Y$1="",0,N(ISNUMBER(SEARCH($Y$1,Database!$AC204&amp;""))))+IF(Screener!$B$17="",0,N(ISNUMBER(SEARCH(LOWER(Screener!$B$17),Database!$AC204&amp;""))))</f>
        <v/>
      </c>
      <c r="I204">
        <f>IF(OR(N(Database!$BG204)&lt;=0,N(Screener!$D$13)&lt;=0),0,MAX(0,1-ABS(LOG10(N(Database!$BG204)/Screener!$D$13))/W_PEHW))</f>
        <v/>
      </c>
      <c r="J204">
        <f>IF(OR(N(Database!$S204)&lt;=0,N(Screener!$D$14)&lt;=0),0,MAX(0,1-ABS(LOG10(Database!$S204/Screener!$D$14))/0.6))</f>
        <v/>
      </c>
      <c r="K204">
        <f>IF(Database!$B204=Screener!$B$5,-999999,IF(ISNUMBER(SEARCH(","&amp;Database!$A204&amp;",",","&amp;SUBSTITUTE(Screener!$D$17," ","")&amp;",")),2000000,IF(IF(OR(Screener!$B$18="All",AND(Screener!$B$18="With A-share",(Database!$BL204="Y")),AND(Screener!$B$18="Without A-share",NOT((Database!$BL204="Y")))),1,0)=0,-999999,IF(Screener!$B$16="cornerstone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Database!BF192</f>
        <v/>
      </c>
      <c r="AF204">
        <f>Database!BL192</f>
        <v/>
      </c>
      <c r="AG204">
        <f>Database!H192</f>
        <v/>
      </c>
      <c r="AH204">
        <f>Database!BG192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IF(OR(Database!$BF205="",Screener!$D$10=""),0,IF(Database!$BF205=Screener!$D$10,1,0))</f>
        <v/>
      </c>
      <c r="F205">
        <f>IF(OR(Database!$BL205="",Screener!$D$11=""),0,IF(Database!$BL205=Screener!$D$11,1,0))</f>
        <v/>
      </c>
      <c r="G205">
        <f>IF(OR(Database!$H205="",N(Screener!$D$12)&lt;=0),0,MAX(0,1-(N(Screener!$D$12)-Database!$H205)/W_RECD))</f>
        <v/>
      </c>
      <c r="H205">
        <f>IF($U$1="",0,N(ISNUMBER(SEARCH($U$1,Database!$AC205&amp;""))))+IF($V$1="",0,N(ISNUMBER(SEARCH($V$1,Database!$AC205&amp;""))))+IF($W$1="",0,N(ISNUMBER(SEARCH($W$1,Database!$AC205&amp;""))))+IF($X$1="",0,N(ISNUMBER(SEARCH($X$1,Database!$AC205&amp;""))))+IF($Y$1="",0,N(ISNUMBER(SEARCH($Y$1,Database!$AC205&amp;""))))+IF(Screener!$B$17="",0,N(ISNUMBER(SEARCH(LOWER(Screener!$B$17),Database!$AC205&amp;""))))</f>
        <v/>
      </c>
      <c r="I205">
        <f>IF(OR(N(Database!$BG205)&lt;=0,N(Screener!$D$13)&lt;=0),0,MAX(0,1-ABS(LOG10(N(Database!$BG205)/Screener!$D$13))/W_PEHW))</f>
        <v/>
      </c>
      <c r="J205">
        <f>IF(OR(N(Database!$S205)&lt;=0,N(Screener!$D$14)&lt;=0),0,MAX(0,1-ABS(LOG10(Database!$S205/Screener!$D$14))/0.6))</f>
        <v/>
      </c>
      <c r="K205">
        <f>IF(Database!$B205=Screener!$B$5,-999999,IF(ISNUMBER(SEARCH(","&amp;Database!$A205&amp;",",","&amp;SUBSTITUTE(Screener!$D$17," ","")&amp;",")),2000000,IF(IF(OR(Screener!$B$18="All",AND(Screener!$B$18="With A-share",(Database!$BL205="Y")),AND(Screener!$B$18="Without A-share",NOT((Database!$BL205="Y")))),1,0)=0,-999999,IF(Screener!$B$16="cornerstone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Database!BF193</f>
        <v/>
      </c>
      <c r="AF205">
        <f>Database!BL193</f>
        <v/>
      </c>
      <c r="AG205">
        <f>Database!H193</f>
        <v/>
      </c>
      <c r="AH205">
        <f>Database!BG193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IF(OR(Database!$BF206="",Screener!$D$10=""),0,IF(Database!$BF206=Screener!$D$10,1,0))</f>
        <v/>
      </c>
      <c r="F206">
        <f>IF(OR(Database!$BL206="",Screener!$D$11=""),0,IF(Database!$BL206=Screener!$D$11,1,0))</f>
        <v/>
      </c>
      <c r="G206">
        <f>IF(OR(Database!$H206="",N(Screener!$D$12)&lt;=0),0,MAX(0,1-(N(Screener!$D$12)-Database!$H206)/W_RECD))</f>
        <v/>
      </c>
      <c r="H206">
        <f>IF($U$1="",0,N(ISNUMBER(SEARCH($U$1,Database!$AC206&amp;""))))+IF($V$1="",0,N(ISNUMBER(SEARCH($V$1,Database!$AC206&amp;""))))+IF($W$1="",0,N(ISNUMBER(SEARCH($W$1,Database!$AC206&amp;""))))+IF($X$1="",0,N(ISNUMBER(SEARCH($X$1,Database!$AC206&amp;""))))+IF($Y$1="",0,N(ISNUMBER(SEARCH($Y$1,Database!$AC206&amp;""))))+IF(Screener!$B$17="",0,N(ISNUMBER(SEARCH(LOWER(Screener!$B$17),Database!$AC206&amp;""))))</f>
        <v/>
      </c>
      <c r="I206">
        <f>IF(OR(N(Database!$BG206)&lt;=0,N(Screener!$D$13)&lt;=0),0,MAX(0,1-ABS(LOG10(N(Database!$BG206)/Screener!$D$13))/W_PEHW))</f>
        <v/>
      </c>
      <c r="J206">
        <f>IF(OR(N(Database!$S206)&lt;=0,N(Screener!$D$14)&lt;=0),0,MAX(0,1-ABS(LOG10(Database!$S206/Screener!$D$14))/0.6))</f>
        <v/>
      </c>
      <c r="K206">
        <f>IF(Database!$B206=Screener!$B$5,-999999,IF(ISNUMBER(SEARCH(","&amp;Database!$A206&amp;",",","&amp;SUBSTITUTE(Screener!$D$17," ","")&amp;",")),2000000,IF(IF(OR(Screener!$B$18="All",AND(Screener!$B$18="With A-share",(Database!$BL206="Y")),AND(Screener!$B$18="Without A-share",NOT((Database!$BL206="Y")))),1,0)=0,-999999,IF(Screener!$B$16="cornerstone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Database!BF194</f>
        <v/>
      </c>
      <c r="AF206">
        <f>Database!BL194</f>
        <v/>
      </c>
      <c r="AG206">
        <f>Database!H194</f>
        <v/>
      </c>
      <c r="AH206">
        <f>Database!BG194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IF(OR(Database!$BF207="",Screener!$D$10=""),0,IF(Database!$BF207=Screener!$D$10,1,0))</f>
        <v/>
      </c>
      <c r="F207">
        <f>IF(OR(Database!$BL207="",Screener!$D$11=""),0,IF(Database!$BL207=Screener!$D$11,1,0))</f>
        <v/>
      </c>
      <c r="G207">
        <f>IF(OR(Database!$H207="",N(Screener!$D$12)&lt;=0),0,MAX(0,1-(N(Screener!$D$12)-Database!$H207)/W_RECD))</f>
        <v/>
      </c>
      <c r="H207">
        <f>IF($U$1="",0,N(ISNUMBER(SEARCH($U$1,Database!$AC207&amp;""))))+IF($V$1="",0,N(ISNUMBER(SEARCH($V$1,Database!$AC207&amp;""))))+IF($W$1="",0,N(ISNUMBER(SEARCH($W$1,Database!$AC207&amp;""))))+IF($X$1="",0,N(ISNUMBER(SEARCH($X$1,Database!$AC207&amp;""))))+IF($Y$1="",0,N(ISNUMBER(SEARCH($Y$1,Database!$AC207&amp;""))))+IF(Screener!$B$17="",0,N(ISNUMBER(SEARCH(LOWER(Screener!$B$17),Database!$AC207&amp;""))))</f>
        <v/>
      </c>
      <c r="I207">
        <f>IF(OR(N(Database!$BG207)&lt;=0,N(Screener!$D$13)&lt;=0),0,MAX(0,1-ABS(LOG10(N(Database!$BG207)/Screener!$D$13))/W_PEHW))</f>
        <v/>
      </c>
      <c r="J207">
        <f>IF(OR(N(Database!$S207)&lt;=0,N(Screener!$D$14)&lt;=0),0,MAX(0,1-ABS(LOG10(Database!$S207/Screener!$D$14))/0.6))</f>
        <v/>
      </c>
      <c r="K207">
        <f>IF(Database!$B207=Screener!$B$5,-999999,IF(ISNUMBER(SEARCH(","&amp;Database!$A207&amp;",",","&amp;SUBSTITUTE(Screener!$D$17," ","")&amp;",")),2000000,IF(IF(OR(Screener!$B$18="All",AND(Screener!$B$18="With A-share",(Database!$BL207="Y")),AND(Screener!$B$18="Without A-share",NOT((Database!$BL207="Y")))),1,0)=0,-999999,IF(Screener!$B$16="cornerstone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Database!BF195</f>
        <v/>
      </c>
      <c r="AF207">
        <f>Database!BL195</f>
        <v/>
      </c>
      <c r="AG207">
        <f>Database!H195</f>
        <v/>
      </c>
      <c r="AH207">
        <f>Database!BG195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IF(OR(Database!$BF208="",Screener!$D$10=""),0,IF(Database!$BF208=Screener!$D$10,1,0))</f>
        <v/>
      </c>
      <c r="F208">
        <f>IF(OR(Database!$BL208="",Screener!$D$11=""),0,IF(Database!$BL208=Screener!$D$11,1,0))</f>
        <v/>
      </c>
      <c r="G208">
        <f>IF(OR(Database!$H208="",N(Screener!$D$12)&lt;=0),0,MAX(0,1-(N(Screener!$D$12)-Database!$H208)/W_RECD))</f>
        <v/>
      </c>
      <c r="H208">
        <f>IF($U$1="",0,N(ISNUMBER(SEARCH($U$1,Database!$AC208&amp;""))))+IF($V$1="",0,N(ISNUMBER(SEARCH($V$1,Database!$AC208&amp;""))))+IF($W$1="",0,N(ISNUMBER(SEARCH($W$1,Database!$AC208&amp;""))))+IF($X$1="",0,N(ISNUMBER(SEARCH($X$1,Database!$AC208&amp;""))))+IF($Y$1="",0,N(ISNUMBER(SEARCH($Y$1,Database!$AC208&amp;""))))+IF(Screener!$B$17="",0,N(ISNUMBER(SEARCH(LOWER(Screener!$B$17),Database!$AC208&amp;""))))</f>
        <v/>
      </c>
      <c r="I208">
        <f>IF(OR(N(Database!$BG208)&lt;=0,N(Screener!$D$13)&lt;=0),0,MAX(0,1-ABS(LOG10(N(Database!$BG208)/Screener!$D$13))/W_PEHW))</f>
        <v/>
      </c>
      <c r="J208">
        <f>IF(OR(N(Database!$S208)&lt;=0,N(Screener!$D$14)&lt;=0),0,MAX(0,1-ABS(LOG10(Database!$S208/Screener!$D$14))/0.6))</f>
        <v/>
      </c>
      <c r="K208">
        <f>IF(Database!$B208=Screener!$B$5,-999999,IF(ISNUMBER(SEARCH(","&amp;Database!$A208&amp;",",","&amp;SUBSTITUTE(Screener!$D$17," ","")&amp;",")),2000000,IF(IF(OR(Screener!$B$18="All",AND(Screener!$B$18="With A-share",(Database!$BL208="Y")),AND(Screener!$B$18="Without A-share",NOT((Database!$BL208="Y")))),1,0)=0,-999999,IF(Screener!$B$16="cornerstone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Database!BF196</f>
        <v/>
      </c>
      <c r="AF208">
        <f>Database!BL196</f>
        <v/>
      </c>
      <c r="AG208">
        <f>Database!H196</f>
        <v/>
      </c>
      <c r="AH208">
        <f>Database!BG196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IF(OR(Database!$BF209="",Screener!$D$10=""),0,IF(Database!$BF209=Screener!$D$10,1,0))</f>
        <v/>
      </c>
      <c r="F209">
        <f>IF(OR(Database!$BL209="",Screener!$D$11=""),0,IF(Database!$BL209=Screener!$D$11,1,0))</f>
        <v/>
      </c>
      <c r="G209">
        <f>IF(OR(Database!$H209="",N(Screener!$D$12)&lt;=0),0,MAX(0,1-(N(Screener!$D$12)-Database!$H209)/W_RECD))</f>
        <v/>
      </c>
      <c r="H209">
        <f>IF($U$1="",0,N(ISNUMBER(SEARCH($U$1,Database!$AC209&amp;""))))+IF($V$1="",0,N(ISNUMBER(SEARCH($V$1,Database!$AC209&amp;""))))+IF($W$1="",0,N(ISNUMBER(SEARCH($W$1,Database!$AC209&amp;""))))+IF($X$1="",0,N(ISNUMBER(SEARCH($X$1,Database!$AC209&amp;""))))+IF($Y$1="",0,N(ISNUMBER(SEARCH($Y$1,Database!$AC209&amp;""))))+IF(Screener!$B$17="",0,N(ISNUMBER(SEARCH(LOWER(Screener!$B$17),Database!$AC209&amp;""))))</f>
        <v/>
      </c>
      <c r="I209">
        <f>IF(OR(N(Database!$BG209)&lt;=0,N(Screener!$D$13)&lt;=0),0,MAX(0,1-ABS(LOG10(N(Database!$BG209)/Screener!$D$13))/W_PEHW))</f>
        <v/>
      </c>
      <c r="J209">
        <f>IF(OR(N(Database!$S209)&lt;=0,N(Screener!$D$14)&lt;=0),0,MAX(0,1-ABS(LOG10(Database!$S209/Screener!$D$14))/0.6))</f>
        <v/>
      </c>
      <c r="K209">
        <f>IF(Database!$B209=Screener!$B$5,-999999,IF(ISNUMBER(SEARCH(","&amp;Database!$A209&amp;",",","&amp;SUBSTITUTE(Screener!$D$17," ","")&amp;",")),2000000,IF(IF(OR(Screener!$B$18="All",AND(Screener!$B$18="With A-share",(Database!$BL209="Y")),AND(Screener!$B$18="Without A-share",NOT((Database!$BL209="Y")))),1,0)=0,-999999,IF(Screener!$B$16="cornerstone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Database!BF197</f>
        <v/>
      </c>
      <c r="AF209">
        <f>Database!BL197</f>
        <v/>
      </c>
      <c r="AG209">
        <f>Database!H197</f>
        <v/>
      </c>
      <c r="AH209">
        <f>Database!BG197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IF(OR(Database!$BF210="",Screener!$D$10=""),0,IF(Database!$BF210=Screener!$D$10,1,0))</f>
        <v/>
      </c>
      <c r="F210">
        <f>IF(OR(Database!$BL210="",Screener!$D$11=""),0,IF(Database!$BL210=Screener!$D$11,1,0))</f>
        <v/>
      </c>
      <c r="G210">
        <f>IF(OR(Database!$H210="",N(Screener!$D$12)&lt;=0),0,MAX(0,1-(N(Screener!$D$12)-Database!$H210)/W_RECD))</f>
        <v/>
      </c>
      <c r="H210">
        <f>IF($U$1="",0,N(ISNUMBER(SEARCH($U$1,Database!$AC210&amp;""))))+IF($V$1="",0,N(ISNUMBER(SEARCH($V$1,Database!$AC210&amp;""))))+IF($W$1="",0,N(ISNUMBER(SEARCH($W$1,Database!$AC210&amp;""))))+IF($X$1="",0,N(ISNUMBER(SEARCH($X$1,Database!$AC210&amp;""))))+IF($Y$1="",0,N(ISNUMBER(SEARCH($Y$1,Database!$AC210&amp;""))))+IF(Screener!$B$17="",0,N(ISNUMBER(SEARCH(LOWER(Screener!$B$17),Database!$AC210&amp;""))))</f>
        <v/>
      </c>
      <c r="I210">
        <f>IF(OR(N(Database!$BG210)&lt;=0,N(Screener!$D$13)&lt;=0),0,MAX(0,1-ABS(LOG10(N(Database!$BG210)/Screener!$D$13))/W_PEHW))</f>
        <v/>
      </c>
      <c r="J210">
        <f>IF(OR(N(Database!$S210)&lt;=0,N(Screener!$D$14)&lt;=0),0,MAX(0,1-ABS(LOG10(Database!$S210/Screener!$D$14))/0.6))</f>
        <v/>
      </c>
      <c r="K210">
        <f>IF(Database!$B210=Screener!$B$5,-999999,IF(ISNUMBER(SEARCH(","&amp;Database!$A210&amp;",",","&amp;SUBSTITUTE(Screener!$D$17," ","")&amp;",")),2000000,IF(IF(OR(Screener!$B$18="All",AND(Screener!$B$18="With A-share",(Database!$BL210="Y")),AND(Screener!$B$18="Without A-share",NOT((Database!$BL210="Y")))),1,0)=0,-999999,IF(Screener!$B$16="cornerstone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Database!BF198</f>
        <v/>
      </c>
      <c r="AF210">
        <f>Database!BL198</f>
        <v/>
      </c>
      <c r="AG210">
        <f>Database!H198</f>
        <v/>
      </c>
      <c r="AH210">
        <f>Database!BG198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IF(OR(Database!$BF211="",Screener!$D$10=""),0,IF(Database!$BF211=Screener!$D$10,1,0))</f>
        <v/>
      </c>
      <c r="F211">
        <f>IF(OR(Database!$BL211="",Screener!$D$11=""),0,IF(Database!$BL211=Screener!$D$11,1,0))</f>
        <v/>
      </c>
      <c r="G211">
        <f>IF(OR(Database!$H211="",N(Screener!$D$12)&lt;=0),0,MAX(0,1-(N(Screener!$D$12)-Database!$H211)/W_RECD))</f>
        <v/>
      </c>
      <c r="H211">
        <f>IF($U$1="",0,N(ISNUMBER(SEARCH($U$1,Database!$AC211&amp;""))))+IF($V$1="",0,N(ISNUMBER(SEARCH($V$1,Database!$AC211&amp;""))))+IF($W$1="",0,N(ISNUMBER(SEARCH($W$1,Database!$AC211&amp;""))))+IF($X$1="",0,N(ISNUMBER(SEARCH($X$1,Database!$AC211&amp;""))))+IF($Y$1="",0,N(ISNUMBER(SEARCH($Y$1,Database!$AC211&amp;""))))+IF(Screener!$B$17="",0,N(ISNUMBER(SEARCH(LOWER(Screener!$B$17),Database!$AC211&amp;""))))</f>
        <v/>
      </c>
      <c r="I211">
        <f>IF(OR(N(Database!$BG211)&lt;=0,N(Screener!$D$13)&lt;=0),0,MAX(0,1-ABS(LOG10(N(Database!$BG211)/Screener!$D$13))/W_PEHW))</f>
        <v/>
      </c>
      <c r="J211">
        <f>IF(OR(N(Database!$S211)&lt;=0,N(Screener!$D$14)&lt;=0),0,MAX(0,1-ABS(LOG10(Database!$S211/Screener!$D$14))/0.6))</f>
        <v/>
      </c>
      <c r="K211">
        <f>IF(Database!$B211=Screener!$B$5,-999999,IF(ISNUMBER(SEARCH(","&amp;Database!$A211&amp;",",","&amp;SUBSTITUTE(Screener!$D$17," ","")&amp;",")),2000000,IF(IF(OR(Screener!$B$18="All",AND(Screener!$B$18="With A-share",(Database!$BL211="Y")),AND(Screener!$B$18="Without A-share",NOT((Database!$BL211="Y")))),1,0)=0,-999999,IF(Screener!$B$16="cornerstone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Database!BF199</f>
        <v/>
      </c>
      <c r="AF211">
        <f>Database!BL199</f>
        <v/>
      </c>
      <c r="AG211">
        <f>Database!H199</f>
        <v/>
      </c>
      <c r="AH211">
        <f>Database!BG199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IF(OR(Database!$BF212="",Screener!$D$10=""),0,IF(Database!$BF212=Screener!$D$10,1,0))</f>
        <v/>
      </c>
      <c r="F212">
        <f>IF(OR(Database!$BL212="",Screener!$D$11=""),0,IF(Database!$BL212=Screener!$D$11,1,0))</f>
        <v/>
      </c>
      <c r="G212">
        <f>IF(OR(Database!$H212="",N(Screener!$D$12)&lt;=0),0,MAX(0,1-(N(Screener!$D$12)-Database!$H212)/W_RECD))</f>
        <v/>
      </c>
      <c r="H212">
        <f>IF($U$1="",0,N(ISNUMBER(SEARCH($U$1,Database!$AC212&amp;""))))+IF($V$1="",0,N(ISNUMBER(SEARCH($V$1,Database!$AC212&amp;""))))+IF($W$1="",0,N(ISNUMBER(SEARCH($W$1,Database!$AC212&amp;""))))+IF($X$1="",0,N(ISNUMBER(SEARCH($X$1,Database!$AC212&amp;""))))+IF($Y$1="",0,N(ISNUMBER(SEARCH($Y$1,Database!$AC212&amp;""))))+IF(Screener!$B$17="",0,N(ISNUMBER(SEARCH(LOWER(Screener!$B$17),Database!$AC212&amp;""))))</f>
        <v/>
      </c>
      <c r="I212">
        <f>IF(OR(N(Database!$BG212)&lt;=0,N(Screener!$D$13)&lt;=0),0,MAX(0,1-ABS(LOG10(N(Database!$BG212)/Screener!$D$13))/W_PEHW))</f>
        <v/>
      </c>
      <c r="J212">
        <f>IF(OR(N(Database!$S212)&lt;=0,N(Screener!$D$14)&lt;=0),0,MAX(0,1-ABS(LOG10(Database!$S212/Screener!$D$14))/0.6))</f>
        <v/>
      </c>
      <c r="K212">
        <f>IF(Database!$B212=Screener!$B$5,-999999,IF(ISNUMBER(SEARCH(","&amp;Database!$A212&amp;",",","&amp;SUBSTITUTE(Screener!$D$17," ","")&amp;",")),2000000,IF(IF(OR(Screener!$B$18="All",AND(Screener!$B$18="With A-share",(Database!$BL212="Y")),AND(Screener!$B$18="Without A-share",NOT((Database!$BL212="Y")))),1,0)=0,-999999,IF(Screener!$B$16="cornerstone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Database!BF200</f>
        <v/>
      </c>
      <c r="AF212">
        <f>Database!BL200</f>
        <v/>
      </c>
      <c r="AG212">
        <f>Database!H200</f>
        <v/>
      </c>
      <c r="AH212">
        <f>Database!BG200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IF(OR(Database!$BF213="",Screener!$D$10=""),0,IF(Database!$BF213=Screener!$D$10,1,0))</f>
        <v/>
      </c>
      <c r="F213">
        <f>IF(OR(Database!$BL213="",Screener!$D$11=""),0,IF(Database!$BL213=Screener!$D$11,1,0))</f>
        <v/>
      </c>
      <c r="G213">
        <f>IF(OR(Database!$H213="",N(Screener!$D$12)&lt;=0),0,MAX(0,1-(N(Screener!$D$12)-Database!$H213)/W_RECD))</f>
        <v/>
      </c>
      <c r="H213">
        <f>IF($U$1="",0,N(ISNUMBER(SEARCH($U$1,Database!$AC213&amp;""))))+IF($V$1="",0,N(ISNUMBER(SEARCH($V$1,Database!$AC213&amp;""))))+IF($W$1="",0,N(ISNUMBER(SEARCH($W$1,Database!$AC213&amp;""))))+IF($X$1="",0,N(ISNUMBER(SEARCH($X$1,Database!$AC213&amp;""))))+IF($Y$1="",0,N(ISNUMBER(SEARCH($Y$1,Database!$AC213&amp;""))))+IF(Screener!$B$17="",0,N(ISNUMBER(SEARCH(LOWER(Screener!$B$17),Database!$AC213&amp;""))))</f>
        <v/>
      </c>
      <c r="I213">
        <f>IF(OR(N(Database!$BG213)&lt;=0,N(Screener!$D$13)&lt;=0),0,MAX(0,1-ABS(LOG10(N(Database!$BG213)/Screener!$D$13))/W_PEHW))</f>
        <v/>
      </c>
      <c r="J213">
        <f>IF(OR(N(Database!$S213)&lt;=0,N(Screener!$D$14)&lt;=0),0,MAX(0,1-ABS(LOG10(Database!$S213/Screener!$D$14))/0.6))</f>
        <v/>
      </c>
      <c r="K213">
        <f>IF(Database!$B213=Screener!$B$5,-999999,IF(ISNUMBER(SEARCH(","&amp;Database!$A213&amp;",",","&amp;SUBSTITUTE(Screener!$D$17," ","")&amp;",")),2000000,IF(IF(OR(Screener!$B$18="All",AND(Screener!$B$18="With A-share",(Database!$BL213="Y")),AND(Screener!$B$18="Without A-share",NOT((Database!$BL213="Y")))),1,0)=0,-999999,IF(Screener!$B$16="cornerstone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Database!BF201</f>
        <v/>
      </c>
      <c r="AF213">
        <f>Database!BL201</f>
        <v/>
      </c>
      <c r="AG213">
        <f>Database!H201</f>
        <v/>
      </c>
      <c r="AH213">
        <f>Database!BG201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IF(OR(Database!$BF214="",Screener!$D$10=""),0,IF(Database!$BF214=Screener!$D$10,1,0))</f>
        <v/>
      </c>
      <c r="F214">
        <f>IF(OR(Database!$BL214="",Screener!$D$11=""),0,IF(Database!$BL214=Screener!$D$11,1,0))</f>
        <v/>
      </c>
      <c r="G214">
        <f>IF(OR(Database!$H214="",N(Screener!$D$12)&lt;=0),0,MAX(0,1-(N(Screener!$D$12)-Database!$H214)/W_RECD))</f>
        <v/>
      </c>
      <c r="H214">
        <f>IF($U$1="",0,N(ISNUMBER(SEARCH($U$1,Database!$AC214&amp;""))))+IF($V$1="",0,N(ISNUMBER(SEARCH($V$1,Database!$AC214&amp;""))))+IF($W$1="",0,N(ISNUMBER(SEARCH($W$1,Database!$AC214&amp;""))))+IF($X$1="",0,N(ISNUMBER(SEARCH($X$1,Database!$AC214&amp;""))))+IF($Y$1="",0,N(ISNUMBER(SEARCH($Y$1,Database!$AC214&amp;""))))+IF(Screener!$B$17="",0,N(ISNUMBER(SEARCH(LOWER(Screener!$B$17),Database!$AC214&amp;""))))</f>
        <v/>
      </c>
      <c r="I214">
        <f>IF(OR(N(Database!$BG214)&lt;=0,N(Screener!$D$13)&lt;=0),0,MAX(0,1-ABS(LOG10(N(Database!$BG214)/Screener!$D$13))/W_PEHW))</f>
        <v/>
      </c>
      <c r="J214">
        <f>IF(OR(N(Database!$S214)&lt;=0,N(Screener!$D$14)&lt;=0),0,MAX(0,1-ABS(LOG10(Database!$S214/Screener!$D$14))/0.6))</f>
        <v/>
      </c>
      <c r="K214">
        <f>IF(Database!$B214=Screener!$B$5,-999999,IF(ISNUMBER(SEARCH(","&amp;Database!$A214&amp;",",","&amp;SUBSTITUTE(Screener!$D$17," ","")&amp;",")),2000000,IF(IF(OR(Screener!$B$18="All",AND(Screener!$B$18="With A-share",(Database!$BL214="Y")),AND(Screener!$B$18="Without A-share",NOT((Database!$BL214="Y")))),1,0)=0,-999999,IF(Screener!$B$16="cornerstone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Database!BF202</f>
        <v/>
      </c>
      <c r="AF214">
        <f>Database!BL202</f>
        <v/>
      </c>
      <c r="AG214">
        <f>Database!H202</f>
        <v/>
      </c>
      <c r="AH214">
        <f>Database!BG202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IF(OR(Database!$BF215="",Screener!$D$10=""),0,IF(Database!$BF215=Screener!$D$10,1,0))</f>
        <v/>
      </c>
      <c r="F215">
        <f>IF(OR(Database!$BL215="",Screener!$D$11=""),0,IF(Database!$BL215=Screener!$D$11,1,0))</f>
        <v/>
      </c>
      <c r="G215">
        <f>IF(OR(Database!$H215="",N(Screener!$D$12)&lt;=0),0,MAX(0,1-(N(Screener!$D$12)-Database!$H215)/W_RECD))</f>
        <v/>
      </c>
      <c r="H215">
        <f>IF($U$1="",0,N(ISNUMBER(SEARCH($U$1,Database!$AC215&amp;""))))+IF($V$1="",0,N(ISNUMBER(SEARCH($V$1,Database!$AC215&amp;""))))+IF($W$1="",0,N(ISNUMBER(SEARCH($W$1,Database!$AC215&amp;""))))+IF($X$1="",0,N(ISNUMBER(SEARCH($X$1,Database!$AC215&amp;""))))+IF($Y$1="",0,N(ISNUMBER(SEARCH($Y$1,Database!$AC215&amp;""))))+IF(Screener!$B$17="",0,N(ISNUMBER(SEARCH(LOWER(Screener!$B$17),Database!$AC215&amp;""))))</f>
        <v/>
      </c>
      <c r="I215">
        <f>IF(OR(N(Database!$BG215)&lt;=0,N(Screener!$D$13)&lt;=0),0,MAX(0,1-ABS(LOG10(N(Database!$BG215)/Screener!$D$13))/W_PEHW))</f>
        <v/>
      </c>
      <c r="J215">
        <f>IF(OR(N(Database!$S215)&lt;=0,N(Screener!$D$14)&lt;=0),0,MAX(0,1-ABS(LOG10(Database!$S215/Screener!$D$14))/0.6))</f>
        <v/>
      </c>
      <c r="K215">
        <f>IF(Database!$B215=Screener!$B$5,-999999,IF(ISNUMBER(SEARCH(","&amp;Database!$A215&amp;",",","&amp;SUBSTITUTE(Screener!$D$17," ","")&amp;",")),2000000,IF(IF(OR(Screener!$B$18="All",AND(Screener!$B$18="With A-share",(Database!$BL215="Y")),AND(Screener!$B$18="Without A-share",NOT((Database!$BL215="Y")))),1,0)=0,-999999,IF(Screener!$B$16="cornerstone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Database!BF203</f>
        <v/>
      </c>
      <c r="AF215">
        <f>Database!BL203</f>
        <v/>
      </c>
      <c r="AG215">
        <f>Database!H203</f>
        <v/>
      </c>
      <c r="AH215">
        <f>Database!BG203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IF(OR(Database!$BF216="",Screener!$D$10=""),0,IF(Database!$BF216=Screener!$D$10,1,0))</f>
        <v/>
      </c>
      <c r="F216">
        <f>IF(OR(Database!$BL216="",Screener!$D$11=""),0,IF(Database!$BL216=Screener!$D$11,1,0))</f>
        <v/>
      </c>
      <c r="G216">
        <f>IF(OR(Database!$H216="",N(Screener!$D$12)&lt;=0),0,MAX(0,1-(N(Screener!$D$12)-Database!$H216)/W_RECD))</f>
        <v/>
      </c>
      <c r="H216">
        <f>IF($U$1="",0,N(ISNUMBER(SEARCH($U$1,Database!$AC216&amp;""))))+IF($V$1="",0,N(ISNUMBER(SEARCH($V$1,Database!$AC216&amp;""))))+IF($W$1="",0,N(ISNUMBER(SEARCH($W$1,Database!$AC216&amp;""))))+IF($X$1="",0,N(ISNUMBER(SEARCH($X$1,Database!$AC216&amp;""))))+IF($Y$1="",0,N(ISNUMBER(SEARCH($Y$1,Database!$AC216&amp;""))))+IF(Screener!$B$17="",0,N(ISNUMBER(SEARCH(LOWER(Screener!$B$17),Database!$AC216&amp;""))))</f>
        <v/>
      </c>
      <c r="I216">
        <f>IF(OR(N(Database!$BG216)&lt;=0,N(Screener!$D$13)&lt;=0),0,MAX(0,1-ABS(LOG10(N(Database!$BG216)/Screener!$D$13))/W_PEHW))</f>
        <v/>
      </c>
      <c r="J216">
        <f>IF(OR(N(Database!$S216)&lt;=0,N(Screener!$D$14)&lt;=0),0,MAX(0,1-ABS(LOG10(Database!$S216/Screener!$D$14))/0.6))</f>
        <v/>
      </c>
      <c r="K216">
        <f>IF(Database!$B216=Screener!$B$5,-999999,IF(ISNUMBER(SEARCH(","&amp;Database!$A216&amp;",",","&amp;SUBSTITUTE(Screener!$D$17," ","")&amp;",")),2000000,IF(IF(OR(Screener!$B$18="All",AND(Screener!$B$18="With A-share",(Database!$BL216="Y")),AND(Screener!$B$18="Without A-share",NOT((Database!$BL216="Y")))),1,0)=0,-999999,IF(Screener!$B$16="cornerstone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Database!BF204</f>
        <v/>
      </c>
      <c r="AF216">
        <f>Database!BL204</f>
        <v/>
      </c>
      <c r="AG216">
        <f>Database!H204</f>
        <v/>
      </c>
      <c r="AH216">
        <f>Database!BG204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IF(OR(Database!$BF217="",Screener!$D$10=""),0,IF(Database!$BF217=Screener!$D$10,1,0))</f>
        <v/>
      </c>
      <c r="F217">
        <f>IF(OR(Database!$BL217="",Screener!$D$11=""),0,IF(Database!$BL217=Screener!$D$11,1,0))</f>
        <v/>
      </c>
      <c r="G217">
        <f>IF(OR(Database!$H217="",N(Screener!$D$12)&lt;=0),0,MAX(0,1-(N(Screener!$D$12)-Database!$H217)/W_RECD))</f>
        <v/>
      </c>
      <c r="H217">
        <f>IF($U$1="",0,N(ISNUMBER(SEARCH($U$1,Database!$AC217&amp;""))))+IF($V$1="",0,N(ISNUMBER(SEARCH($V$1,Database!$AC217&amp;""))))+IF($W$1="",0,N(ISNUMBER(SEARCH($W$1,Database!$AC217&amp;""))))+IF($X$1="",0,N(ISNUMBER(SEARCH($X$1,Database!$AC217&amp;""))))+IF($Y$1="",0,N(ISNUMBER(SEARCH($Y$1,Database!$AC217&amp;""))))+IF(Screener!$B$17="",0,N(ISNUMBER(SEARCH(LOWER(Screener!$B$17),Database!$AC217&amp;""))))</f>
        <v/>
      </c>
      <c r="I217">
        <f>IF(OR(N(Database!$BG217)&lt;=0,N(Screener!$D$13)&lt;=0),0,MAX(0,1-ABS(LOG10(N(Database!$BG217)/Screener!$D$13))/W_PEHW))</f>
        <v/>
      </c>
      <c r="J217">
        <f>IF(OR(N(Database!$S217)&lt;=0,N(Screener!$D$14)&lt;=0),0,MAX(0,1-ABS(LOG10(Database!$S217/Screener!$D$14))/0.6))</f>
        <v/>
      </c>
      <c r="K217">
        <f>IF(Database!$B217=Screener!$B$5,-999999,IF(ISNUMBER(SEARCH(","&amp;Database!$A217&amp;",",","&amp;SUBSTITUTE(Screener!$D$17," ","")&amp;",")),2000000,IF(IF(OR(Screener!$B$18="All",AND(Screener!$B$18="With A-share",(Database!$BL217="Y")),AND(Screener!$B$18="Without A-share",NOT((Database!$BL217="Y")))),1,0)=0,-999999,IF(Screener!$B$16="cornerstone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Database!BF205</f>
        <v/>
      </c>
      <c r="AF217">
        <f>Database!BL205</f>
        <v/>
      </c>
      <c r="AG217">
        <f>Database!H205</f>
        <v/>
      </c>
      <c r="AH217">
        <f>Database!BG205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IF(OR(Database!$BF218="",Screener!$D$10=""),0,IF(Database!$BF218=Screener!$D$10,1,0))</f>
        <v/>
      </c>
      <c r="F218">
        <f>IF(OR(Database!$BL218="",Screener!$D$11=""),0,IF(Database!$BL218=Screener!$D$11,1,0))</f>
        <v/>
      </c>
      <c r="G218">
        <f>IF(OR(Database!$H218="",N(Screener!$D$12)&lt;=0),0,MAX(0,1-(N(Screener!$D$12)-Database!$H218)/W_RECD))</f>
        <v/>
      </c>
      <c r="H218">
        <f>IF($U$1="",0,N(ISNUMBER(SEARCH($U$1,Database!$AC218&amp;""))))+IF($V$1="",0,N(ISNUMBER(SEARCH($V$1,Database!$AC218&amp;""))))+IF($W$1="",0,N(ISNUMBER(SEARCH($W$1,Database!$AC218&amp;""))))+IF($X$1="",0,N(ISNUMBER(SEARCH($X$1,Database!$AC218&amp;""))))+IF($Y$1="",0,N(ISNUMBER(SEARCH($Y$1,Database!$AC218&amp;""))))+IF(Screener!$B$17="",0,N(ISNUMBER(SEARCH(LOWER(Screener!$B$17),Database!$AC218&amp;""))))</f>
        <v/>
      </c>
      <c r="I218">
        <f>IF(OR(N(Database!$BG218)&lt;=0,N(Screener!$D$13)&lt;=0),0,MAX(0,1-ABS(LOG10(N(Database!$BG218)/Screener!$D$13))/W_PEHW))</f>
        <v/>
      </c>
      <c r="J218">
        <f>IF(OR(N(Database!$S218)&lt;=0,N(Screener!$D$14)&lt;=0),0,MAX(0,1-ABS(LOG10(Database!$S218/Screener!$D$14))/0.6))</f>
        <v/>
      </c>
      <c r="K218">
        <f>IF(Database!$B218=Screener!$B$5,-999999,IF(ISNUMBER(SEARCH(","&amp;Database!$A218&amp;",",","&amp;SUBSTITUTE(Screener!$D$17," ","")&amp;",")),2000000,IF(IF(OR(Screener!$B$18="All",AND(Screener!$B$18="With A-share",(Database!$BL218="Y")),AND(Screener!$B$18="Without A-share",NOT((Database!$BL218="Y")))),1,0)=0,-999999,IF(Screener!$B$16="cornerstone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Database!BF206</f>
        <v/>
      </c>
      <c r="AF218">
        <f>Database!BL206</f>
        <v/>
      </c>
      <c r="AG218">
        <f>Database!H206</f>
        <v/>
      </c>
      <c r="AH218">
        <f>Database!BG206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IF(OR(Database!$BF219="",Screener!$D$10=""),0,IF(Database!$BF219=Screener!$D$10,1,0))</f>
        <v/>
      </c>
      <c r="F219">
        <f>IF(OR(Database!$BL219="",Screener!$D$11=""),0,IF(Database!$BL219=Screener!$D$11,1,0))</f>
        <v/>
      </c>
      <c r="G219">
        <f>IF(OR(Database!$H219="",N(Screener!$D$12)&lt;=0),0,MAX(0,1-(N(Screener!$D$12)-Database!$H219)/W_RECD))</f>
        <v/>
      </c>
      <c r="H219">
        <f>IF($U$1="",0,N(ISNUMBER(SEARCH($U$1,Database!$AC219&amp;""))))+IF($V$1="",0,N(ISNUMBER(SEARCH($V$1,Database!$AC219&amp;""))))+IF($W$1="",0,N(ISNUMBER(SEARCH($W$1,Database!$AC219&amp;""))))+IF($X$1="",0,N(ISNUMBER(SEARCH($X$1,Database!$AC219&amp;""))))+IF($Y$1="",0,N(ISNUMBER(SEARCH($Y$1,Database!$AC219&amp;""))))+IF(Screener!$B$17="",0,N(ISNUMBER(SEARCH(LOWER(Screener!$B$17),Database!$AC219&amp;""))))</f>
        <v/>
      </c>
      <c r="I219">
        <f>IF(OR(N(Database!$BG219)&lt;=0,N(Screener!$D$13)&lt;=0),0,MAX(0,1-ABS(LOG10(N(Database!$BG219)/Screener!$D$13))/W_PEHW))</f>
        <v/>
      </c>
      <c r="J219">
        <f>IF(OR(N(Database!$S219)&lt;=0,N(Screener!$D$14)&lt;=0),0,MAX(0,1-ABS(LOG10(Database!$S219/Screener!$D$14))/0.6))</f>
        <v/>
      </c>
      <c r="K219">
        <f>IF(Database!$B219=Screener!$B$5,-999999,IF(ISNUMBER(SEARCH(","&amp;Database!$A219&amp;",",","&amp;SUBSTITUTE(Screener!$D$17," ","")&amp;",")),2000000,IF(IF(OR(Screener!$B$18="All",AND(Screener!$B$18="With A-share",(Database!$BL219="Y")),AND(Screener!$B$18="Without A-share",NOT((Database!$BL219="Y")))),1,0)=0,-999999,IF(Screener!$B$16="cornerstone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Database!BF207</f>
        <v/>
      </c>
      <c r="AF219">
        <f>Database!BL207</f>
        <v/>
      </c>
      <c r="AG219">
        <f>Database!H207</f>
        <v/>
      </c>
      <c r="AH219">
        <f>Database!BG207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IF(OR(Database!$BF220="",Screener!$D$10=""),0,IF(Database!$BF220=Screener!$D$10,1,0))</f>
        <v/>
      </c>
      <c r="F220">
        <f>IF(OR(Database!$BL220="",Screener!$D$11=""),0,IF(Database!$BL220=Screener!$D$11,1,0))</f>
        <v/>
      </c>
      <c r="G220">
        <f>IF(OR(Database!$H220="",N(Screener!$D$12)&lt;=0),0,MAX(0,1-(N(Screener!$D$12)-Database!$H220)/W_RECD))</f>
        <v/>
      </c>
      <c r="H220">
        <f>IF($U$1="",0,N(ISNUMBER(SEARCH($U$1,Database!$AC220&amp;""))))+IF($V$1="",0,N(ISNUMBER(SEARCH($V$1,Database!$AC220&amp;""))))+IF($W$1="",0,N(ISNUMBER(SEARCH($W$1,Database!$AC220&amp;""))))+IF($X$1="",0,N(ISNUMBER(SEARCH($X$1,Database!$AC220&amp;""))))+IF($Y$1="",0,N(ISNUMBER(SEARCH($Y$1,Database!$AC220&amp;""))))+IF(Screener!$B$17="",0,N(ISNUMBER(SEARCH(LOWER(Screener!$B$17),Database!$AC220&amp;""))))</f>
        <v/>
      </c>
      <c r="I220">
        <f>IF(OR(N(Database!$BG220)&lt;=0,N(Screener!$D$13)&lt;=0),0,MAX(0,1-ABS(LOG10(N(Database!$BG220)/Screener!$D$13))/W_PEHW))</f>
        <v/>
      </c>
      <c r="J220">
        <f>IF(OR(N(Database!$S220)&lt;=0,N(Screener!$D$14)&lt;=0),0,MAX(0,1-ABS(LOG10(Database!$S220/Screener!$D$14))/0.6))</f>
        <v/>
      </c>
      <c r="K220">
        <f>IF(Database!$B220=Screener!$B$5,-999999,IF(ISNUMBER(SEARCH(","&amp;Database!$A220&amp;",",","&amp;SUBSTITUTE(Screener!$D$17," ","")&amp;",")),2000000,IF(IF(OR(Screener!$B$18="All",AND(Screener!$B$18="With A-share",(Database!$BL220="Y")),AND(Screener!$B$18="Without A-share",NOT((Database!$BL220="Y")))),1,0)=0,-999999,IF(Screener!$B$16="cornerstone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Database!BF208</f>
        <v/>
      </c>
      <c r="AF220">
        <f>Database!BL208</f>
        <v/>
      </c>
      <c r="AG220">
        <f>Database!H208</f>
        <v/>
      </c>
      <c r="AH220">
        <f>Database!BG208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IF(OR(Database!$BF221="",Screener!$D$10=""),0,IF(Database!$BF221=Screener!$D$10,1,0))</f>
        <v/>
      </c>
      <c r="F221">
        <f>IF(OR(Database!$BL221="",Screener!$D$11=""),0,IF(Database!$BL221=Screener!$D$11,1,0))</f>
        <v/>
      </c>
      <c r="G221">
        <f>IF(OR(Database!$H221="",N(Screener!$D$12)&lt;=0),0,MAX(0,1-(N(Screener!$D$12)-Database!$H221)/W_RECD))</f>
        <v/>
      </c>
      <c r="H221">
        <f>IF($U$1="",0,N(ISNUMBER(SEARCH($U$1,Database!$AC221&amp;""))))+IF($V$1="",0,N(ISNUMBER(SEARCH($V$1,Database!$AC221&amp;""))))+IF($W$1="",0,N(ISNUMBER(SEARCH($W$1,Database!$AC221&amp;""))))+IF($X$1="",0,N(ISNUMBER(SEARCH($X$1,Database!$AC221&amp;""))))+IF($Y$1="",0,N(ISNUMBER(SEARCH($Y$1,Database!$AC221&amp;""))))+IF(Screener!$B$17="",0,N(ISNUMBER(SEARCH(LOWER(Screener!$B$17),Database!$AC221&amp;""))))</f>
        <v/>
      </c>
      <c r="I221">
        <f>IF(OR(N(Database!$BG221)&lt;=0,N(Screener!$D$13)&lt;=0),0,MAX(0,1-ABS(LOG10(N(Database!$BG221)/Screener!$D$13))/W_PEHW))</f>
        <v/>
      </c>
      <c r="J221">
        <f>IF(OR(N(Database!$S221)&lt;=0,N(Screener!$D$14)&lt;=0),0,MAX(0,1-ABS(LOG10(Database!$S221/Screener!$D$14))/0.6))</f>
        <v/>
      </c>
      <c r="K221">
        <f>IF(Database!$B221=Screener!$B$5,-999999,IF(ISNUMBER(SEARCH(","&amp;Database!$A221&amp;",",","&amp;SUBSTITUTE(Screener!$D$17," ","")&amp;",")),2000000,IF(IF(OR(Screener!$B$18="All",AND(Screener!$B$18="With A-share",(Database!$BL221="Y")),AND(Screener!$B$18="Without A-share",NOT((Database!$BL221="Y")))),1,0)=0,-999999,IF(Screener!$B$16="cornerstone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Database!BF209</f>
        <v/>
      </c>
      <c r="AF221">
        <f>Database!BL209</f>
        <v/>
      </c>
      <c r="AG221">
        <f>Database!H209</f>
        <v/>
      </c>
      <c r="AH221">
        <f>Database!BG209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IF(OR(Database!$BF222="",Screener!$D$10=""),0,IF(Database!$BF222=Screener!$D$10,1,0))</f>
        <v/>
      </c>
      <c r="F222">
        <f>IF(OR(Database!$BL222="",Screener!$D$11=""),0,IF(Database!$BL222=Screener!$D$11,1,0))</f>
        <v/>
      </c>
      <c r="G222">
        <f>IF(OR(Database!$H222="",N(Screener!$D$12)&lt;=0),0,MAX(0,1-(N(Screener!$D$12)-Database!$H222)/W_RECD))</f>
        <v/>
      </c>
      <c r="H222">
        <f>IF($U$1="",0,N(ISNUMBER(SEARCH($U$1,Database!$AC222&amp;""))))+IF($V$1="",0,N(ISNUMBER(SEARCH($V$1,Database!$AC222&amp;""))))+IF($W$1="",0,N(ISNUMBER(SEARCH($W$1,Database!$AC222&amp;""))))+IF($X$1="",0,N(ISNUMBER(SEARCH($X$1,Database!$AC222&amp;""))))+IF($Y$1="",0,N(ISNUMBER(SEARCH($Y$1,Database!$AC222&amp;""))))+IF(Screener!$B$17="",0,N(ISNUMBER(SEARCH(LOWER(Screener!$B$17),Database!$AC222&amp;""))))</f>
        <v/>
      </c>
      <c r="I222">
        <f>IF(OR(N(Database!$BG222)&lt;=0,N(Screener!$D$13)&lt;=0),0,MAX(0,1-ABS(LOG10(N(Database!$BG222)/Screener!$D$13))/W_PEHW))</f>
        <v/>
      </c>
      <c r="J222">
        <f>IF(OR(N(Database!$S222)&lt;=0,N(Screener!$D$14)&lt;=0),0,MAX(0,1-ABS(LOG10(Database!$S222/Screener!$D$14))/0.6))</f>
        <v/>
      </c>
      <c r="K222">
        <f>IF(Database!$B222=Screener!$B$5,-999999,IF(ISNUMBER(SEARCH(","&amp;Database!$A222&amp;",",","&amp;SUBSTITUTE(Screener!$D$17," ","")&amp;",")),2000000,IF(IF(OR(Screener!$B$18="All",AND(Screener!$B$18="With A-share",(Database!$BL222="Y")),AND(Screener!$B$18="Without A-share",NOT((Database!$BL222="Y")))),1,0)=0,-999999,IF(Screener!$B$16="cornerstone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Database!BF210</f>
        <v/>
      </c>
      <c r="AF222">
        <f>Database!BL210</f>
        <v/>
      </c>
      <c r="AG222">
        <f>Database!H210</f>
        <v/>
      </c>
      <c r="AH222">
        <f>Database!BG210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IF(OR(Database!$BF223="",Screener!$D$10=""),0,IF(Database!$BF223=Screener!$D$10,1,0))</f>
        <v/>
      </c>
      <c r="F223">
        <f>IF(OR(Database!$BL223="",Screener!$D$11=""),0,IF(Database!$BL223=Screener!$D$11,1,0))</f>
        <v/>
      </c>
      <c r="G223">
        <f>IF(OR(Database!$H223="",N(Screener!$D$12)&lt;=0),0,MAX(0,1-(N(Screener!$D$12)-Database!$H223)/W_RECD))</f>
        <v/>
      </c>
      <c r="H223">
        <f>IF($U$1="",0,N(ISNUMBER(SEARCH($U$1,Database!$AC223&amp;""))))+IF($V$1="",0,N(ISNUMBER(SEARCH($V$1,Database!$AC223&amp;""))))+IF($W$1="",0,N(ISNUMBER(SEARCH($W$1,Database!$AC223&amp;""))))+IF($X$1="",0,N(ISNUMBER(SEARCH($X$1,Database!$AC223&amp;""))))+IF($Y$1="",0,N(ISNUMBER(SEARCH($Y$1,Database!$AC223&amp;""))))+IF(Screener!$B$17="",0,N(ISNUMBER(SEARCH(LOWER(Screener!$B$17),Database!$AC223&amp;""))))</f>
        <v/>
      </c>
      <c r="I223">
        <f>IF(OR(N(Database!$BG223)&lt;=0,N(Screener!$D$13)&lt;=0),0,MAX(0,1-ABS(LOG10(N(Database!$BG223)/Screener!$D$13))/W_PEHW))</f>
        <v/>
      </c>
      <c r="J223">
        <f>IF(OR(N(Database!$S223)&lt;=0,N(Screener!$D$14)&lt;=0),0,MAX(0,1-ABS(LOG10(Database!$S223/Screener!$D$14))/0.6))</f>
        <v/>
      </c>
      <c r="K223">
        <f>IF(Database!$B223=Screener!$B$5,-999999,IF(ISNUMBER(SEARCH(","&amp;Database!$A223&amp;",",","&amp;SUBSTITUTE(Screener!$D$17," ","")&amp;",")),2000000,IF(IF(OR(Screener!$B$18="All",AND(Screener!$B$18="With A-share",(Database!$BL223="Y")),AND(Screener!$B$18="Without A-share",NOT((Database!$BL223="Y")))),1,0)=0,-999999,IF(Screener!$B$16="cornerstone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Database!BF211</f>
        <v/>
      </c>
      <c r="AF223">
        <f>Database!BL211</f>
        <v/>
      </c>
      <c r="AG223">
        <f>Database!H211</f>
        <v/>
      </c>
      <c r="AH223">
        <f>Database!BG211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IF(OR(Database!$BF224="",Screener!$D$10=""),0,IF(Database!$BF224=Screener!$D$10,1,0))</f>
        <v/>
      </c>
      <c r="F224">
        <f>IF(OR(Database!$BL224="",Screener!$D$11=""),0,IF(Database!$BL224=Screener!$D$11,1,0))</f>
        <v/>
      </c>
      <c r="G224">
        <f>IF(OR(Database!$H224="",N(Screener!$D$12)&lt;=0),0,MAX(0,1-(N(Screener!$D$12)-Database!$H224)/W_RECD))</f>
        <v/>
      </c>
      <c r="H224">
        <f>IF($U$1="",0,N(ISNUMBER(SEARCH($U$1,Database!$AC224&amp;""))))+IF($V$1="",0,N(ISNUMBER(SEARCH($V$1,Database!$AC224&amp;""))))+IF($W$1="",0,N(ISNUMBER(SEARCH($W$1,Database!$AC224&amp;""))))+IF($X$1="",0,N(ISNUMBER(SEARCH($X$1,Database!$AC224&amp;""))))+IF($Y$1="",0,N(ISNUMBER(SEARCH($Y$1,Database!$AC224&amp;""))))+IF(Screener!$B$17="",0,N(ISNUMBER(SEARCH(LOWER(Screener!$B$17),Database!$AC224&amp;""))))</f>
        <v/>
      </c>
      <c r="I224">
        <f>IF(OR(N(Database!$BG224)&lt;=0,N(Screener!$D$13)&lt;=0),0,MAX(0,1-ABS(LOG10(N(Database!$BG224)/Screener!$D$13))/W_PEHW))</f>
        <v/>
      </c>
      <c r="J224">
        <f>IF(OR(N(Database!$S224)&lt;=0,N(Screener!$D$14)&lt;=0),0,MAX(0,1-ABS(LOG10(Database!$S224/Screener!$D$14))/0.6))</f>
        <v/>
      </c>
      <c r="K224">
        <f>IF(Database!$B224=Screener!$B$5,-999999,IF(ISNUMBER(SEARCH(","&amp;Database!$A224&amp;",",","&amp;SUBSTITUTE(Screener!$D$17," ","")&amp;",")),2000000,IF(IF(OR(Screener!$B$18="All",AND(Screener!$B$18="With A-share",(Database!$BL224="Y")),AND(Screener!$B$18="Without A-share",NOT((Database!$BL224="Y")))),1,0)=0,-999999,IF(Screener!$B$16="cornerstone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Database!BF212</f>
        <v/>
      </c>
      <c r="AF224">
        <f>Database!BL212</f>
        <v/>
      </c>
      <c r="AG224">
        <f>Database!H212</f>
        <v/>
      </c>
      <c r="AH224">
        <f>Database!BG212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IF(OR(Database!$BF225="",Screener!$D$10=""),0,IF(Database!$BF225=Screener!$D$10,1,0))</f>
        <v/>
      </c>
      <c r="F225">
        <f>IF(OR(Database!$BL225="",Screener!$D$11=""),0,IF(Database!$BL225=Screener!$D$11,1,0))</f>
        <v/>
      </c>
      <c r="G225">
        <f>IF(OR(Database!$H225="",N(Screener!$D$12)&lt;=0),0,MAX(0,1-(N(Screener!$D$12)-Database!$H225)/W_RECD))</f>
        <v/>
      </c>
      <c r="H225">
        <f>IF($U$1="",0,N(ISNUMBER(SEARCH($U$1,Database!$AC225&amp;""))))+IF($V$1="",0,N(ISNUMBER(SEARCH($V$1,Database!$AC225&amp;""))))+IF($W$1="",0,N(ISNUMBER(SEARCH($W$1,Database!$AC225&amp;""))))+IF($X$1="",0,N(ISNUMBER(SEARCH($X$1,Database!$AC225&amp;""))))+IF($Y$1="",0,N(ISNUMBER(SEARCH($Y$1,Database!$AC225&amp;""))))+IF(Screener!$B$17="",0,N(ISNUMBER(SEARCH(LOWER(Screener!$B$17),Database!$AC225&amp;""))))</f>
        <v/>
      </c>
      <c r="I225">
        <f>IF(OR(N(Database!$BG225)&lt;=0,N(Screener!$D$13)&lt;=0),0,MAX(0,1-ABS(LOG10(N(Database!$BG225)/Screener!$D$13))/W_PEHW))</f>
        <v/>
      </c>
      <c r="J225">
        <f>IF(OR(N(Database!$S225)&lt;=0,N(Screener!$D$14)&lt;=0),0,MAX(0,1-ABS(LOG10(Database!$S225/Screener!$D$14))/0.6))</f>
        <v/>
      </c>
      <c r="K225">
        <f>IF(Database!$B225=Screener!$B$5,-999999,IF(ISNUMBER(SEARCH(","&amp;Database!$A225&amp;",",","&amp;SUBSTITUTE(Screener!$D$17," ","")&amp;",")),2000000,IF(IF(OR(Screener!$B$18="All",AND(Screener!$B$18="With A-share",(Database!$BL225="Y")),AND(Screener!$B$18="Without A-share",NOT((Database!$BL225="Y")))),1,0)=0,-999999,IF(Screener!$B$16="cornerstone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Database!BF213</f>
        <v/>
      </c>
      <c r="AF225">
        <f>Database!BL213</f>
        <v/>
      </c>
      <c r="AG225">
        <f>Database!H213</f>
        <v/>
      </c>
      <c r="AH225">
        <f>Database!BG213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IF(OR(Database!$BF226="",Screener!$D$10=""),0,IF(Database!$BF226=Screener!$D$10,1,0))</f>
        <v/>
      </c>
      <c r="F226">
        <f>IF(OR(Database!$BL226="",Screener!$D$11=""),0,IF(Database!$BL226=Screener!$D$11,1,0))</f>
        <v/>
      </c>
      <c r="G226">
        <f>IF(OR(Database!$H226="",N(Screener!$D$12)&lt;=0),0,MAX(0,1-(N(Screener!$D$12)-Database!$H226)/W_RECD))</f>
        <v/>
      </c>
      <c r="H226">
        <f>IF($U$1="",0,N(ISNUMBER(SEARCH($U$1,Database!$AC226&amp;""))))+IF($V$1="",0,N(ISNUMBER(SEARCH($V$1,Database!$AC226&amp;""))))+IF($W$1="",0,N(ISNUMBER(SEARCH($W$1,Database!$AC226&amp;""))))+IF($X$1="",0,N(ISNUMBER(SEARCH($X$1,Database!$AC226&amp;""))))+IF($Y$1="",0,N(ISNUMBER(SEARCH($Y$1,Database!$AC226&amp;""))))+IF(Screener!$B$17="",0,N(ISNUMBER(SEARCH(LOWER(Screener!$B$17),Database!$AC226&amp;""))))</f>
        <v/>
      </c>
      <c r="I226">
        <f>IF(OR(N(Database!$BG226)&lt;=0,N(Screener!$D$13)&lt;=0),0,MAX(0,1-ABS(LOG10(N(Database!$BG226)/Screener!$D$13))/W_PEHW))</f>
        <v/>
      </c>
      <c r="J226">
        <f>IF(OR(N(Database!$S226)&lt;=0,N(Screener!$D$14)&lt;=0),0,MAX(0,1-ABS(LOG10(Database!$S226/Screener!$D$14))/0.6))</f>
        <v/>
      </c>
      <c r="K226">
        <f>IF(Database!$B226=Screener!$B$5,-999999,IF(ISNUMBER(SEARCH(","&amp;Database!$A226&amp;",",","&amp;SUBSTITUTE(Screener!$D$17," ","")&amp;",")),2000000,IF(IF(OR(Screener!$B$18="All",AND(Screener!$B$18="With A-share",(Database!$BL226="Y")),AND(Screener!$B$18="Without A-share",NOT((Database!$BL226="Y")))),1,0)=0,-999999,IF(Screener!$B$16="cornerstone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Database!BF214</f>
        <v/>
      </c>
      <c r="AF226">
        <f>Database!BL214</f>
        <v/>
      </c>
      <c r="AG226">
        <f>Database!H214</f>
        <v/>
      </c>
      <c r="AH226">
        <f>Database!BG214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IF(OR(Database!$BF227="",Screener!$D$10=""),0,IF(Database!$BF227=Screener!$D$10,1,0))</f>
        <v/>
      </c>
      <c r="F227">
        <f>IF(OR(Database!$BL227="",Screener!$D$11=""),0,IF(Database!$BL227=Screener!$D$11,1,0))</f>
        <v/>
      </c>
      <c r="G227">
        <f>IF(OR(Database!$H227="",N(Screener!$D$12)&lt;=0),0,MAX(0,1-(N(Screener!$D$12)-Database!$H227)/W_RECD))</f>
        <v/>
      </c>
      <c r="H227">
        <f>IF($U$1="",0,N(ISNUMBER(SEARCH($U$1,Database!$AC227&amp;""))))+IF($V$1="",0,N(ISNUMBER(SEARCH($V$1,Database!$AC227&amp;""))))+IF($W$1="",0,N(ISNUMBER(SEARCH($W$1,Database!$AC227&amp;""))))+IF($X$1="",0,N(ISNUMBER(SEARCH($X$1,Database!$AC227&amp;""))))+IF($Y$1="",0,N(ISNUMBER(SEARCH($Y$1,Database!$AC227&amp;""))))+IF(Screener!$B$17="",0,N(ISNUMBER(SEARCH(LOWER(Screener!$B$17),Database!$AC227&amp;""))))</f>
        <v/>
      </c>
      <c r="I227">
        <f>IF(OR(N(Database!$BG227)&lt;=0,N(Screener!$D$13)&lt;=0),0,MAX(0,1-ABS(LOG10(N(Database!$BG227)/Screener!$D$13))/W_PEHW))</f>
        <v/>
      </c>
      <c r="J227">
        <f>IF(OR(N(Database!$S227)&lt;=0,N(Screener!$D$14)&lt;=0),0,MAX(0,1-ABS(LOG10(Database!$S227/Screener!$D$14))/0.6))</f>
        <v/>
      </c>
      <c r="K227">
        <f>IF(Database!$B227=Screener!$B$5,-999999,IF(ISNUMBER(SEARCH(","&amp;Database!$A227&amp;",",","&amp;SUBSTITUTE(Screener!$D$17," ","")&amp;",")),2000000,IF(IF(OR(Screener!$B$18="All",AND(Screener!$B$18="With A-share",(Database!$BL227="Y")),AND(Screener!$B$18="Without A-share",NOT((Database!$BL227="Y")))),1,0)=0,-999999,IF(Screener!$B$16="cornerstone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Database!BF215</f>
        <v/>
      </c>
      <c r="AF227">
        <f>Database!BL215</f>
        <v/>
      </c>
      <c r="AG227">
        <f>Database!H215</f>
        <v/>
      </c>
      <c r="AH227">
        <f>Database!BG215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IF(OR(Database!$BF228="",Screener!$D$10=""),0,IF(Database!$BF228=Screener!$D$10,1,0))</f>
        <v/>
      </c>
      <c r="F228">
        <f>IF(OR(Database!$BL228="",Screener!$D$11=""),0,IF(Database!$BL228=Screener!$D$11,1,0))</f>
        <v/>
      </c>
      <c r="G228">
        <f>IF(OR(Database!$H228="",N(Screener!$D$12)&lt;=0),0,MAX(0,1-(N(Screener!$D$12)-Database!$H228)/W_RECD))</f>
        <v/>
      </c>
      <c r="H228">
        <f>IF($U$1="",0,N(ISNUMBER(SEARCH($U$1,Database!$AC228&amp;""))))+IF($V$1="",0,N(ISNUMBER(SEARCH($V$1,Database!$AC228&amp;""))))+IF($W$1="",0,N(ISNUMBER(SEARCH($W$1,Database!$AC228&amp;""))))+IF($X$1="",0,N(ISNUMBER(SEARCH($X$1,Database!$AC228&amp;""))))+IF($Y$1="",0,N(ISNUMBER(SEARCH($Y$1,Database!$AC228&amp;""))))+IF(Screener!$B$17="",0,N(ISNUMBER(SEARCH(LOWER(Screener!$B$17),Database!$AC228&amp;""))))</f>
        <v/>
      </c>
      <c r="I228">
        <f>IF(OR(N(Database!$BG228)&lt;=0,N(Screener!$D$13)&lt;=0),0,MAX(0,1-ABS(LOG10(N(Database!$BG228)/Screener!$D$13))/W_PEHW))</f>
        <v/>
      </c>
      <c r="J228">
        <f>IF(OR(N(Database!$S228)&lt;=0,N(Screener!$D$14)&lt;=0),0,MAX(0,1-ABS(LOG10(Database!$S228/Screener!$D$14))/0.6))</f>
        <v/>
      </c>
      <c r="K228">
        <f>IF(Database!$B228=Screener!$B$5,-999999,IF(ISNUMBER(SEARCH(","&amp;Database!$A228&amp;",",","&amp;SUBSTITUTE(Screener!$D$17," ","")&amp;",")),2000000,IF(IF(OR(Screener!$B$18="All",AND(Screener!$B$18="With A-share",(Database!$BL228="Y")),AND(Screener!$B$18="Without A-share",NOT((Database!$BL228="Y")))),1,0)=0,-999999,IF(Screener!$B$16="cornerstone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Database!BF216</f>
        <v/>
      </c>
      <c r="AF228">
        <f>Database!BL216</f>
        <v/>
      </c>
      <c r="AG228">
        <f>Database!H216</f>
        <v/>
      </c>
      <c r="AH228">
        <f>Database!BG216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IF(OR(Database!$BF229="",Screener!$D$10=""),0,IF(Database!$BF229=Screener!$D$10,1,0))</f>
        <v/>
      </c>
      <c r="F229">
        <f>IF(OR(Database!$BL229="",Screener!$D$11=""),0,IF(Database!$BL229=Screener!$D$11,1,0))</f>
        <v/>
      </c>
      <c r="G229">
        <f>IF(OR(Database!$H229="",N(Screener!$D$12)&lt;=0),0,MAX(0,1-(N(Screener!$D$12)-Database!$H229)/W_RECD))</f>
        <v/>
      </c>
      <c r="H229">
        <f>IF($U$1="",0,N(ISNUMBER(SEARCH($U$1,Database!$AC229&amp;""))))+IF($V$1="",0,N(ISNUMBER(SEARCH($V$1,Database!$AC229&amp;""))))+IF($W$1="",0,N(ISNUMBER(SEARCH($W$1,Database!$AC229&amp;""))))+IF($X$1="",0,N(ISNUMBER(SEARCH($X$1,Database!$AC229&amp;""))))+IF($Y$1="",0,N(ISNUMBER(SEARCH($Y$1,Database!$AC229&amp;""))))+IF(Screener!$B$17="",0,N(ISNUMBER(SEARCH(LOWER(Screener!$B$17),Database!$AC229&amp;""))))</f>
        <v/>
      </c>
      <c r="I229">
        <f>IF(OR(N(Database!$BG229)&lt;=0,N(Screener!$D$13)&lt;=0),0,MAX(0,1-ABS(LOG10(N(Database!$BG229)/Screener!$D$13))/W_PEHW))</f>
        <v/>
      </c>
      <c r="J229">
        <f>IF(OR(N(Database!$S229)&lt;=0,N(Screener!$D$14)&lt;=0),0,MAX(0,1-ABS(LOG10(Database!$S229/Screener!$D$14))/0.6))</f>
        <v/>
      </c>
      <c r="K229">
        <f>IF(Database!$B229=Screener!$B$5,-999999,IF(ISNUMBER(SEARCH(","&amp;Database!$A229&amp;",",","&amp;SUBSTITUTE(Screener!$D$17," ","")&amp;",")),2000000,IF(IF(OR(Screener!$B$18="All",AND(Screener!$B$18="With A-share",(Database!$BL229="Y")),AND(Screener!$B$18="Without A-share",NOT((Database!$BL229="Y")))),1,0)=0,-999999,IF(Screener!$B$16="cornerstone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Database!BF217</f>
        <v/>
      </c>
      <c r="AF229">
        <f>Database!BL217</f>
        <v/>
      </c>
      <c r="AG229">
        <f>Database!H217</f>
        <v/>
      </c>
      <c r="AH229">
        <f>Database!BG217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IF(OR(Database!$BF230="",Screener!$D$10=""),0,IF(Database!$BF230=Screener!$D$10,1,0))</f>
        <v/>
      </c>
      <c r="F230">
        <f>IF(OR(Database!$BL230="",Screener!$D$11=""),0,IF(Database!$BL230=Screener!$D$11,1,0))</f>
        <v/>
      </c>
      <c r="G230">
        <f>IF(OR(Database!$H230="",N(Screener!$D$12)&lt;=0),0,MAX(0,1-(N(Screener!$D$12)-Database!$H230)/W_RECD))</f>
        <v/>
      </c>
      <c r="H230">
        <f>IF($U$1="",0,N(ISNUMBER(SEARCH($U$1,Database!$AC230&amp;""))))+IF($V$1="",0,N(ISNUMBER(SEARCH($V$1,Database!$AC230&amp;""))))+IF($W$1="",0,N(ISNUMBER(SEARCH($W$1,Database!$AC230&amp;""))))+IF($X$1="",0,N(ISNUMBER(SEARCH($X$1,Database!$AC230&amp;""))))+IF($Y$1="",0,N(ISNUMBER(SEARCH($Y$1,Database!$AC230&amp;""))))+IF(Screener!$B$17="",0,N(ISNUMBER(SEARCH(LOWER(Screener!$B$17),Database!$AC230&amp;""))))</f>
        <v/>
      </c>
      <c r="I230">
        <f>IF(OR(N(Database!$BG230)&lt;=0,N(Screener!$D$13)&lt;=0),0,MAX(0,1-ABS(LOG10(N(Database!$BG230)/Screener!$D$13))/W_PEHW))</f>
        <v/>
      </c>
      <c r="J230">
        <f>IF(OR(N(Database!$S230)&lt;=0,N(Screener!$D$14)&lt;=0),0,MAX(0,1-ABS(LOG10(Database!$S230/Screener!$D$14))/0.6))</f>
        <v/>
      </c>
      <c r="K230">
        <f>IF(Database!$B230=Screener!$B$5,-999999,IF(ISNUMBER(SEARCH(","&amp;Database!$A230&amp;",",","&amp;SUBSTITUTE(Screener!$D$17," ","")&amp;",")),2000000,IF(IF(OR(Screener!$B$18="All",AND(Screener!$B$18="With A-share",(Database!$BL230="Y")),AND(Screener!$B$18="Without A-share",NOT((Database!$BL230="Y")))),1,0)=0,-999999,IF(Screener!$B$16="cornerstone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Database!BF218</f>
        <v/>
      </c>
      <c r="AF230">
        <f>Database!BL218</f>
        <v/>
      </c>
      <c r="AG230">
        <f>Database!H218</f>
        <v/>
      </c>
      <c r="AH230">
        <f>Database!BG218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IF(OR(Database!$BF231="",Screener!$D$10=""),0,IF(Database!$BF231=Screener!$D$10,1,0))</f>
        <v/>
      </c>
      <c r="F231">
        <f>IF(OR(Database!$BL231="",Screener!$D$11=""),0,IF(Database!$BL231=Screener!$D$11,1,0))</f>
        <v/>
      </c>
      <c r="G231">
        <f>IF(OR(Database!$H231="",N(Screener!$D$12)&lt;=0),0,MAX(0,1-(N(Screener!$D$12)-Database!$H231)/W_RECD))</f>
        <v/>
      </c>
      <c r="H231">
        <f>IF($U$1="",0,N(ISNUMBER(SEARCH($U$1,Database!$AC231&amp;""))))+IF($V$1="",0,N(ISNUMBER(SEARCH($V$1,Database!$AC231&amp;""))))+IF($W$1="",0,N(ISNUMBER(SEARCH($W$1,Database!$AC231&amp;""))))+IF($X$1="",0,N(ISNUMBER(SEARCH($X$1,Database!$AC231&amp;""))))+IF($Y$1="",0,N(ISNUMBER(SEARCH($Y$1,Database!$AC231&amp;""))))+IF(Screener!$B$17="",0,N(ISNUMBER(SEARCH(LOWER(Screener!$B$17),Database!$AC231&amp;""))))</f>
        <v/>
      </c>
      <c r="I231">
        <f>IF(OR(N(Database!$BG231)&lt;=0,N(Screener!$D$13)&lt;=0),0,MAX(0,1-ABS(LOG10(N(Database!$BG231)/Screener!$D$13))/W_PEHW))</f>
        <v/>
      </c>
      <c r="J231">
        <f>IF(OR(N(Database!$S231)&lt;=0,N(Screener!$D$14)&lt;=0),0,MAX(0,1-ABS(LOG10(Database!$S231/Screener!$D$14))/0.6))</f>
        <v/>
      </c>
      <c r="K231">
        <f>IF(Database!$B231=Screener!$B$5,-999999,IF(ISNUMBER(SEARCH(","&amp;Database!$A231&amp;",",","&amp;SUBSTITUTE(Screener!$D$17," ","")&amp;",")),2000000,IF(IF(OR(Screener!$B$18="All",AND(Screener!$B$18="With A-share",(Database!$BL231="Y")),AND(Screener!$B$18="Without A-share",NOT((Database!$BL231="Y")))),1,0)=0,-999999,IF(Screener!$B$16="cornerstone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Database!BF219</f>
        <v/>
      </c>
      <c r="AF231">
        <f>Database!BL219</f>
        <v/>
      </c>
      <c r="AG231">
        <f>Database!H219</f>
        <v/>
      </c>
      <c r="AH231">
        <f>Database!BG219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IF(OR(Database!$BF232="",Screener!$D$10=""),0,IF(Database!$BF232=Screener!$D$10,1,0))</f>
        <v/>
      </c>
      <c r="F232">
        <f>IF(OR(Database!$BL232="",Screener!$D$11=""),0,IF(Database!$BL232=Screener!$D$11,1,0))</f>
        <v/>
      </c>
      <c r="G232">
        <f>IF(OR(Database!$H232="",N(Screener!$D$12)&lt;=0),0,MAX(0,1-(N(Screener!$D$12)-Database!$H232)/W_RECD))</f>
        <v/>
      </c>
      <c r="H232">
        <f>IF($U$1="",0,N(ISNUMBER(SEARCH($U$1,Database!$AC232&amp;""))))+IF($V$1="",0,N(ISNUMBER(SEARCH($V$1,Database!$AC232&amp;""))))+IF($W$1="",0,N(ISNUMBER(SEARCH($W$1,Database!$AC232&amp;""))))+IF($X$1="",0,N(ISNUMBER(SEARCH($X$1,Database!$AC232&amp;""))))+IF($Y$1="",0,N(ISNUMBER(SEARCH($Y$1,Database!$AC232&amp;""))))+IF(Screener!$B$17="",0,N(ISNUMBER(SEARCH(LOWER(Screener!$B$17),Database!$AC232&amp;""))))</f>
        <v/>
      </c>
      <c r="I232">
        <f>IF(OR(N(Database!$BG232)&lt;=0,N(Screener!$D$13)&lt;=0),0,MAX(0,1-ABS(LOG10(N(Database!$BG232)/Screener!$D$13))/W_PEHW))</f>
        <v/>
      </c>
      <c r="J232">
        <f>IF(OR(N(Database!$S232)&lt;=0,N(Screener!$D$14)&lt;=0),0,MAX(0,1-ABS(LOG10(Database!$S232/Screener!$D$14))/0.6))</f>
        <v/>
      </c>
      <c r="K232">
        <f>IF(Database!$B232=Screener!$B$5,-999999,IF(ISNUMBER(SEARCH(","&amp;Database!$A232&amp;",",","&amp;SUBSTITUTE(Screener!$D$17," ","")&amp;",")),2000000,IF(IF(OR(Screener!$B$18="All",AND(Screener!$B$18="With A-share",(Database!$BL232="Y")),AND(Screener!$B$18="Without A-share",NOT((Database!$BL232="Y")))),1,0)=0,-999999,IF(Screener!$B$16="cornerstone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Database!BF220</f>
        <v/>
      </c>
      <c r="AF232">
        <f>Database!BL220</f>
        <v/>
      </c>
      <c r="AG232">
        <f>Database!H220</f>
        <v/>
      </c>
      <c r="AH232">
        <f>Database!BG220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IF(OR(Database!$BF233="",Screener!$D$10=""),0,IF(Database!$BF233=Screener!$D$10,1,0))</f>
        <v/>
      </c>
      <c r="F233">
        <f>IF(OR(Database!$BL233="",Screener!$D$11=""),0,IF(Database!$BL233=Screener!$D$11,1,0))</f>
        <v/>
      </c>
      <c r="G233">
        <f>IF(OR(Database!$H233="",N(Screener!$D$12)&lt;=0),0,MAX(0,1-(N(Screener!$D$12)-Database!$H233)/W_RECD))</f>
        <v/>
      </c>
      <c r="H233">
        <f>IF($U$1="",0,N(ISNUMBER(SEARCH($U$1,Database!$AC233&amp;""))))+IF($V$1="",0,N(ISNUMBER(SEARCH($V$1,Database!$AC233&amp;""))))+IF($W$1="",0,N(ISNUMBER(SEARCH($W$1,Database!$AC233&amp;""))))+IF($X$1="",0,N(ISNUMBER(SEARCH($X$1,Database!$AC233&amp;""))))+IF($Y$1="",0,N(ISNUMBER(SEARCH($Y$1,Database!$AC233&amp;""))))+IF(Screener!$B$17="",0,N(ISNUMBER(SEARCH(LOWER(Screener!$B$17),Database!$AC233&amp;""))))</f>
        <v/>
      </c>
      <c r="I233">
        <f>IF(OR(N(Database!$BG233)&lt;=0,N(Screener!$D$13)&lt;=0),0,MAX(0,1-ABS(LOG10(N(Database!$BG233)/Screener!$D$13))/W_PEHW))</f>
        <v/>
      </c>
      <c r="J233">
        <f>IF(OR(N(Database!$S233)&lt;=0,N(Screener!$D$14)&lt;=0),0,MAX(0,1-ABS(LOG10(Database!$S233/Screener!$D$14))/0.6))</f>
        <v/>
      </c>
      <c r="K233">
        <f>IF(Database!$B233=Screener!$B$5,-999999,IF(ISNUMBER(SEARCH(","&amp;Database!$A233&amp;",",","&amp;SUBSTITUTE(Screener!$D$17," ","")&amp;",")),2000000,IF(IF(OR(Screener!$B$18="All",AND(Screener!$B$18="With A-share",(Database!$BL233="Y")),AND(Screener!$B$18="Without A-share",NOT((Database!$BL233="Y")))),1,0)=0,-999999,IF(Screener!$B$16="cornerstone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Database!BF221</f>
        <v/>
      </c>
      <c r="AF233">
        <f>Database!BL221</f>
        <v/>
      </c>
      <c r="AG233">
        <f>Database!H221</f>
        <v/>
      </c>
      <c r="AH233">
        <f>Database!BG221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IF(OR(Database!$BF234="",Screener!$D$10=""),0,IF(Database!$BF234=Screener!$D$10,1,0))</f>
        <v/>
      </c>
      <c r="F234">
        <f>IF(OR(Database!$BL234="",Screener!$D$11=""),0,IF(Database!$BL234=Screener!$D$11,1,0))</f>
        <v/>
      </c>
      <c r="G234">
        <f>IF(OR(Database!$H234="",N(Screener!$D$12)&lt;=0),0,MAX(0,1-(N(Screener!$D$12)-Database!$H234)/W_RECD))</f>
        <v/>
      </c>
      <c r="H234">
        <f>IF($U$1="",0,N(ISNUMBER(SEARCH($U$1,Database!$AC234&amp;""))))+IF($V$1="",0,N(ISNUMBER(SEARCH($V$1,Database!$AC234&amp;""))))+IF($W$1="",0,N(ISNUMBER(SEARCH($W$1,Database!$AC234&amp;""))))+IF($X$1="",0,N(ISNUMBER(SEARCH($X$1,Database!$AC234&amp;""))))+IF($Y$1="",0,N(ISNUMBER(SEARCH($Y$1,Database!$AC234&amp;""))))+IF(Screener!$B$17="",0,N(ISNUMBER(SEARCH(LOWER(Screener!$B$17),Database!$AC234&amp;""))))</f>
        <v/>
      </c>
      <c r="I234">
        <f>IF(OR(N(Database!$BG234)&lt;=0,N(Screener!$D$13)&lt;=0),0,MAX(0,1-ABS(LOG10(N(Database!$BG234)/Screener!$D$13))/W_PEHW))</f>
        <v/>
      </c>
      <c r="J234">
        <f>IF(OR(N(Database!$S234)&lt;=0,N(Screener!$D$14)&lt;=0),0,MAX(0,1-ABS(LOG10(Database!$S234/Screener!$D$14))/0.6))</f>
        <v/>
      </c>
      <c r="K234">
        <f>IF(Database!$B234=Screener!$B$5,-999999,IF(ISNUMBER(SEARCH(","&amp;Database!$A234&amp;",",","&amp;SUBSTITUTE(Screener!$D$17," ","")&amp;",")),2000000,IF(IF(OR(Screener!$B$18="All",AND(Screener!$B$18="With A-share",(Database!$BL234="Y")),AND(Screener!$B$18="Without A-share",NOT((Database!$BL234="Y")))),1,0)=0,-999999,IF(Screener!$B$16="cornerstone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Database!BF222</f>
        <v/>
      </c>
      <c r="AF234">
        <f>Database!BL222</f>
        <v/>
      </c>
      <c r="AG234">
        <f>Database!H222</f>
        <v/>
      </c>
      <c r="AH234">
        <f>Database!BG222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IF(OR(Database!$BF235="",Screener!$D$10=""),0,IF(Database!$BF235=Screener!$D$10,1,0))</f>
        <v/>
      </c>
      <c r="F235">
        <f>IF(OR(Database!$BL235="",Screener!$D$11=""),0,IF(Database!$BL235=Screener!$D$11,1,0))</f>
        <v/>
      </c>
      <c r="G235">
        <f>IF(OR(Database!$H235="",N(Screener!$D$12)&lt;=0),0,MAX(0,1-(N(Screener!$D$12)-Database!$H235)/W_RECD))</f>
        <v/>
      </c>
      <c r="H235">
        <f>IF($U$1="",0,N(ISNUMBER(SEARCH($U$1,Database!$AC235&amp;""))))+IF($V$1="",0,N(ISNUMBER(SEARCH($V$1,Database!$AC235&amp;""))))+IF($W$1="",0,N(ISNUMBER(SEARCH($W$1,Database!$AC235&amp;""))))+IF($X$1="",0,N(ISNUMBER(SEARCH($X$1,Database!$AC235&amp;""))))+IF($Y$1="",0,N(ISNUMBER(SEARCH($Y$1,Database!$AC235&amp;""))))+IF(Screener!$B$17="",0,N(ISNUMBER(SEARCH(LOWER(Screener!$B$17),Database!$AC235&amp;""))))</f>
        <v/>
      </c>
      <c r="I235">
        <f>IF(OR(N(Database!$BG235)&lt;=0,N(Screener!$D$13)&lt;=0),0,MAX(0,1-ABS(LOG10(N(Database!$BG235)/Screener!$D$13))/W_PEHW))</f>
        <v/>
      </c>
      <c r="J235">
        <f>IF(OR(N(Database!$S235)&lt;=0,N(Screener!$D$14)&lt;=0),0,MAX(0,1-ABS(LOG10(Database!$S235/Screener!$D$14))/0.6))</f>
        <v/>
      </c>
      <c r="K235">
        <f>IF(Database!$B235=Screener!$B$5,-999999,IF(ISNUMBER(SEARCH(","&amp;Database!$A235&amp;",",","&amp;SUBSTITUTE(Screener!$D$17," ","")&amp;",")),2000000,IF(IF(OR(Screener!$B$18="All",AND(Screener!$B$18="With A-share",(Database!$BL235="Y")),AND(Screener!$B$18="Without A-share",NOT((Database!$BL235="Y")))),1,0)=0,-999999,IF(Screener!$B$16="cornerstone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Database!BF223</f>
        <v/>
      </c>
      <c r="AF235">
        <f>Database!BL223</f>
        <v/>
      </c>
      <c r="AG235">
        <f>Database!H223</f>
        <v/>
      </c>
      <c r="AH235">
        <f>Database!BG223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IF(OR(Database!$BF236="",Screener!$D$10=""),0,IF(Database!$BF236=Screener!$D$10,1,0))</f>
        <v/>
      </c>
      <c r="F236">
        <f>IF(OR(Database!$BL236="",Screener!$D$11=""),0,IF(Database!$BL236=Screener!$D$11,1,0))</f>
        <v/>
      </c>
      <c r="G236">
        <f>IF(OR(Database!$H236="",N(Screener!$D$12)&lt;=0),0,MAX(0,1-(N(Screener!$D$12)-Database!$H236)/W_RECD))</f>
        <v/>
      </c>
      <c r="H236">
        <f>IF($U$1="",0,N(ISNUMBER(SEARCH($U$1,Database!$AC236&amp;""))))+IF($V$1="",0,N(ISNUMBER(SEARCH($V$1,Database!$AC236&amp;""))))+IF($W$1="",0,N(ISNUMBER(SEARCH($W$1,Database!$AC236&amp;""))))+IF($X$1="",0,N(ISNUMBER(SEARCH($X$1,Database!$AC236&amp;""))))+IF($Y$1="",0,N(ISNUMBER(SEARCH($Y$1,Database!$AC236&amp;""))))+IF(Screener!$B$17="",0,N(ISNUMBER(SEARCH(LOWER(Screener!$B$17),Database!$AC236&amp;""))))</f>
        <v/>
      </c>
      <c r="I236">
        <f>IF(OR(N(Database!$BG236)&lt;=0,N(Screener!$D$13)&lt;=0),0,MAX(0,1-ABS(LOG10(N(Database!$BG236)/Screener!$D$13))/W_PEHW))</f>
        <v/>
      </c>
      <c r="J236">
        <f>IF(OR(N(Database!$S236)&lt;=0,N(Screener!$D$14)&lt;=0),0,MAX(0,1-ABS(LOG10(Database!$S236/Screener!$D$14))/0.6))</f>
        <v/>
      </c>
      <c r="K236">
        <f>IF(Database!$B236=Screener!$B$5,-999999,IF(ISNUMBER(SEARCH(","&amp;Database!$A236&amp;",",","&amp;SUBSTITUTE(Screener!$D$17," ","")&amp;",")),2000000,IF(IF(OR(Screener!$B$18="All",AND(Screener!$B$18="With A-share",(Database!$BL236="Y")),AND(Screener!$B$18="Without A-share",NOT((Database!$BL236="Y")))),1,0)=0,-999999,IF(Screener!$B$16="cornerstone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Database!BF224</f>
        <v/>
      </c>
      <c r="AF236">
        <f>Database!BL224</f>
        <v/>
      </c>
      <c r="AG236">
        <f>Database!H224</f>
        <v/>
      </c>
      <c r="AH236">
        <f>Database!BG224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IF(OR(Database!$BF237="",Screener!$D$10=""),0,IF(Database!$BF237=Screener!$D$10,1,0))</f>
        <v/>
      </c>
      <c r="F237">
        <f>IF(OR(Database!$BL237="",Screener!$D$11=""),0,IF(Database!$BL237=Screener!$D$11,1,0))</f>
        <v/>
      </c>
      <c r="G237">
        <f>IF(OR(Database!$H237="",N(Screener!$D$12)&lt;=0),0,MAX(0,1-(N(Screener!$D$12)-Database!$H237)/W_RECD))</f>
        <v/>
      </c>
      <c r="H237">
        <f>IF($U$1="",0,N(ISNUMBER(SEARCH($U$1,Database!$AC237&amp;""))))+IF($V$1="",0,N(ISNUMBER(SEARCH($V$1,Database!$AC237&amp;""))))+IF($W$1="",0,N(ISNUMBER(SEARCH($W$1,Database!$AC237&amp;""))))+IF($X$1="",0,N(ISNUMBER(SEARCH($X$1,Database!$AC237&amp;""))))+IF($Y$1="",0,N(ISNUMBER(SEARCH($Y$1,Database!$AC237&amp;""))))+IF(Screener!$B$17="",0,N(ISNUMBER(SEARCH(LOWER(Screener!$B$17),Database!$AC237&amp;""))))</f>
        <v/>
      </c>
      <c r="I237">
        <f>IF(OR(N(Database!$BG237)&lt;=0,N(Screener!$D$13)&lt;=0),0,MAX(0,1-ABS(LOG10(N(Database!$BG237)/Screener!$D$13))/W_PEHW))</f>
        <v/>
      </c>
      <c r="J237">
        <f>IF(OR(N(Database!$S237)&lt;=0,N(Screener!$D$14)&lt;=0),0,MAX(0,1-ABS(LOG10(Database!$S237/Screener!$D$14))/0.6))</f>
        <v/>
      </c>
      <c r="K237">
        <f>IF(Database!$B237=Screener!$B$5,-999999,IF(ISNUMBER(SEARCH(","&amp;Database!$A237&amp;",",","&amp;SUBSTITUTE(Screener!$D$17," ","")&amp;",")),2000000,IF(IF(OR(Screener!$B$18="All",AND(Screener!$B$18="With A-share",(Database!$BL237="Y")),AND(Screener!$B$18="Without A-share",NOT((Database!$BL237="Y")))),1,0)=0,-999999,IF(Screener!$B$16="cornerstone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Database!BF225</f>
        <v/>
      </c>
      <c r="AF237">
        <f>Database!BL225</f>
        <v/>
      </c>
      <c r="AG237">
        <f>Database!H225</f>
        <v/>
      </c>
      <c r="AH237">
        <f>Database!BG225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IF(OR(Database!$BF238="",Screener!$D$10=""),0,IF(Database!$BF238=Screener!$D$10,1,0))</f>
        <v/>
      </c>
      <c r="F238">
        <f>IF(OR(Database!$BL238="",Screener!$D$11=""),0,IF(Database!$BL238=Screener!$D$11,1,0))</f>
        <v/>
      </c>
      <c r="G238">
        <f>IF(OR(Database!$H238="",N(Screener!$D$12)&lt;=0),0,MAX(0,1-(N(Screener!$D$12)-Database!$H238)/W_RECD))</f>
        <v/>
      </c>
      <c r="H238">
        <f>IF($U$1="",0,N(ISNUMBER(SEARCH($U$1,Database!$AC238&amp;""))))+IF($V$1="",0,N(ISNUMBER(SEARCH($V$1,Database!$AC238&amp;""))))+IF($W$1="",0,N(ISNUMBER(SEARCH($W$1,Database!$AC238&amp;""))))+IF($X$1="",0,N(ISNUMBER(SEARCH($X$1,Database!$AC238&amp;""))))+IF($Y$1="",0,N(ISNUMBER(SEARCH($Y$1,Database!$AC238&amp;""))))+IF(Screener!$B$17="",0,N(ISNUMBER(SEARCH(LOWER(Screener!$B$17),Database!$AC238&amp;""))))</f>
        <v/>
      </c>
      <c r="I238">
        <f>IF(OR(N(Database!$BG238)&lt;=0,N(Screener!$D$13)&lt;=0),0,MAX(0,1-ABS(LOG10(N(Database!$BG238)/Screener!$D$13))/W_PEHW))</f>
        <v/>
      </c>
      <c r="J238">
        <f>IF(OR(N(Database!$S238)&lt;=0,N(Screener!$D$14)&lt;=0),0,MAX(0,1-ABS(LOG10(Database!$S238/Screener!$D$14))/0.6))</f>
        <v/>
      </c>
      <c r="K238">
        <f>IF(Database!$B238=Screener!$B$5,-999999,IF(ISNUMBER(SEARCH(","&amp;Database!$A238&amp;",",","&amp;SUBSTITUTE(Screener!$D$17," ","")&amp;",")),2000000,IF(IF(OR(Screener!$B$18="All",AND(Screener!$B$18="With A-share",(Database!$BL238="Y")),AND(Screener!$B$18="Without A-share",NOT((Database!$BL238="Y")))),1,0)=0,-999999,IF(Screener!$B$16="cornerstone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Database!BF226</f>
        <v/>
      </c>
      <c r="AF238">
        <f>Database!BL226</f>
        <v/>
      </c>
      <c r="AG238">
        <f>Database!H226</f>
        <v/>
      </c>
      <c r="AH238">
        <f>Database!BG226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IF(OR(Database!$BF239="",Screener!$D$10=""),0,IF(Database!$BF239=Screener!$D$10,1,0))</f>
        <v/>
      </c>
      <c r="F239">
        <f>IF(OR(Database!$BL239="",Screener!$D$11=""),0,IF(Database!$BL239=Screener!$D$11,1,0))</f>
        <v/>
      </c>
      <c r="G239">
        <f>IF(OR(Database!$H239="",N(Screener!$D$12)&lt;=0),0,MAX(0,1-(N(Screener!$D$12)-Database!$H239)/W_RECD))</f>
        <v/>
      </c>
      <c r="H239">
        <f>IF($U$1="",0,N(ISNUMBER(SEARCH($U$1,Database!$AC239&amp;""))))+IF($V$1="",0,N(ISNUMBER(SEARCH($V$1,Database!$AC239&amp;""))))+IF($W$1="",0,N(ISNUMBER(SEARCH($W$1,Database!$AC239&amp;""))))+IF($X$1="",0,N(ISNUMBER(SEARCH($X$1,Database!$AC239&amp;""))))+IF($Y$1="",0,N(ISNUMBER(SEARCH($Y$1,Database!$AC239&amp;""))))+IF(Screener!$B$17="",0,N(ISNUMBER(SEARCH(LOWER(Screener!$B$17),Database!$AC239&amp;""))))</f>
        <v/>
      </c>
      <c r="I239">
        <f>IF(OR(N(Database!$BG239)&lt;=0,N(Screener!$D$13)&lt;=0),0,MAX(0,1-ABS(LOG10(N(Database!$BG239)/Screener!$D$13))/W_PEHW))</f>
        <v/>
      </c>
      <c r="J239">
        <f>IF(OR(N(Database!$S239)&lt;=0,N(Screener!$D$14)&lt;=0),0,MAX(0,1-ABS(LOG10(Database!$S239/Screener!$D$14))/0.6))</f>
        <v/>
      </c>
      <c r="K239">
        <f>IF(Database!$B239=Screener!$B$5,-999999,IF(ISNUMBER(SEARCH(","&amp;Database!$A239&amp;",",","&amp;SUBSTITUTE(Screener!$D$17," ","")&amp;",")),2000000,IF(IF(OR(Screener!$B$18="All",AND(Screener!$B$18="With A-share",(Database!$BL239="Y")),AND(Screener!$B$18="Without A-share",NOT((Database!$BL239="Y")))),1,0)=0,-999999,IF(Screener!$B$16="cornerstone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Database!BF227</f>
        <v/>
      </c>
      <c r="AF239">
        <f>Database!BL227</f>
        <v/>
      </c>
      <c r="AG239">
        <f>Database!H227</f>
        <v/>
      </c>
      <c r="AH239">
        <f>Database!BG227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IF(OR(Database!$BF240="",Screener!$D$10=""),0,IF(Database!$BF240=Screener!$D$10,1,0))</f>
        <v/>
      </c>
      <c r="F240">
        <f>IF(OR(Database!$BL240="",Screener!$D$11=""),0,IF(Database!$BL240=Screener!$D$11,1,0))</f>
        <v/>
      </c>
      <c r="G240">
        <f>IF(OR(Database!$H240="",N(Screener!$D$12)&lt;=0),0,MAX(0,1-(N(Screener!$D$12)-Database!$H240)/W_RECD))</f>
        <v/>
      </c>
      <c r="H240">
        <f>IF($U$1="",0,N(ISNUMBER(SEARCH($U$1,Database!$AC240&amp;""))))+IF($V$1="",0,N(ISNUMBER(SEARCH($V$1,Database!$AC240&amp;""))))+IF($W$1="",0,N(ISNUMBER(SEARCH($W$1,Database!$AC240&amp;""))))+IF($X$1="",0,N(ISNUMBER(SEARCH($X$1,Database!$AC240&amp;""))))+IF($Y$1="",0,N(ISNUMBER(SEARCH($Y$1,Database!$AC240&amp;""))))+IF(Screener!$B$17="",0,N(ISNUMBER(SEARCH(LOWER(Screener!$B$17),Database!$AC240&amp;""))))</f>
        <v/>
      </c>
      <c r="I240">
        <f>IF(OR(N(Database!$BG240)&lt;=0,N(Screener!$D$13)&lt;=0),0,MAX(0,1-ABS(LOG10(N(Database!$BG240)/Screener!$D$13))/W_PEHW))</f>
        <v/>
      </c>
      <c r="J240">
        <f>IF(OR(N(Database!$S240)&lt;=0,N(Screener!$D$14)&lt;=0),0,MAX(0,1-ABS(LOG10(Database!$S240/Screener!$D$14))/0.6))</f>
        <v/>
      </c>
      <c r="K240">
        <f>IF(Database!$B240=Screener!$B$5,-999999,IF(ISNUMBER(SEARCH(","&amp;Database!$A240&amp;",",","&amp;SUBSTITUTE(Screener!$D$17," ","")&amp;",")),2000000,IF(IF(OR(Screener!$B$18="All",AND(Screener!$B$18="With A-share",(Database!$BL240="Y")),AND(Screener!$B$18="Without A-share",NOT((Database!$BL240="Y")))),1,0)=0,-999999,IF(Screener!$B$16="cornerstone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Database!BF228</f>
        <v/>
      </c>
      <c r="AF240">
        <f>Database!BL228</f>
        <v/>
      </c>
      <c r="AG240">
        <f>Database!H228</f>
        <v/>
      </c>
      <c r="AH240">
        <f>Database!BG228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IF(OR(Database!$BF241="",Screener!$D$10=""),0,IF(Database!$BF241=Screener!$D$10,1,0))</f>
        <v/>
      </c>
      <c r="F241">
        <f>IF(OR(Database!$BL241="",Screener!$D$11=""),0,IF(Database!$BL241=Screener!$D$11,1,0))</f>
        <v/>
      </c>
      <c r="G241">
        <f>IF(OR(Database!$H241="",N(Screener!$D$12)&lt;=0),0,MAX(0,1-(N(Screener!$D$12)-Database!$H241)/W_RECD))</f>
        <v/>
      </c>
      <c r="H241">
        <f>IF($U$1="",0,N(ISNUMBER(SEARCH($U$1,Database!$AC241&amp;""))))+IF($V$1="",0,N(ISNUMBER(SEARCH($V$1,Database!$AC241&amp;""))))+IF($W$1="",0,N(ISNUMBER(SEARCH($W$1,Database!$AC241&amp;""))))+IF($X$1="",0,N(ISNUMBER(SEARCH($X$1,Database!$AC241&amp;""))))+IF($Y$1="",0,N(ISNUMBER(SEARCH($Y$1,Database!$AC241&amp;""))))+IF(Screener!$B$17="",0,N(ISNUMBER(SEARCH(LOWER(Screener!$B$17),Database!$AC241&amp;""))))</f>
        <v/>
      </c>
      <c r="I241">
        <f>IF(OR(N(Database!$BG241)&lt;=0,N(Screener!$D$13)&lt;=0),0,MAX(0,1-ABS(LOG10(N(Database!$BG241)/Screener!$D$13))/W_PEHW))</f>
        <v/>
      </c>
      <c r="J241">
        <f>IF(OR(N(Database!$S241)&lt;=0,N(Screener!$D$14)&lt;=0),0,MAX(0,1-ABS(LOG10(Database!$S241/Screener!$D$14))/0.6))</f>
        <v/>
      </c>
      <c r="K241">
        <f>IF(Database!$B241=Screener!$B$5,-999999,IF(ISNUMBER(SEARCH(","&amp;Database!$A241&amp;",",","&amp;SUBSTITUTE(Screener!$D$17," ","")&amp;",")),2000000,IF(IF(OR(Screener!$B$18="All",AND(Screener!$B$18="With A-share",(Database!$BL241="Y")),AND(Screener!$B$18="Without A-share",NOT((Database!$BL241="Y")))),1,0)=0,-999999,IF(Screener!$B$16="cornerstone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Database!BF229</f>
        <v/>
      </c>
      <c r="AF241">
        <f>Database!BL229</f>
        <v/>
      </c>
      <c r="AG241">
        <f>Database!H229</f>
        <v/>
      </c>
      <c r="AH241">
        <f>Database!BG229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IF(OR(Database!$BF242="",Screener!$D$10=""),0,IF(Database!$BF242=Screener!$D$10,1,0))</f>
        <v/>
      </c>
      <c r="F242">
        <f>IF(OR(Database!$BL242="",Screener!$D$11=""),0,IF(Database!$BL242=Screener!$D$11,1,0))</f>
        <v/>
      </c>
      <c r="G242">
        <f>IF(OR(Database!$H242="",N(Screener!$D$12)&lt;=0),0,MAX(0,1-(N(Screener!$D$12)-Database!$H242)/W_RECD))</f>
        <v/>
      </c>
      <c r="H242">
        <f>IF($U$1="",0,N(ISNUMBER(SEARCH($U$1,Database!$AC242&amp;""))))+IF($V$1="",0,N(ISNUMBER(SEARCH($V$1,Database!$AC242&amp;""))))+IF($W$1="",0,N(ISNUMBER(SEARCH($W$1,Database!$AC242&amp;""))))+IF($X$1="",0,N(ISNUMBER(SEARCH($X$1,Database!$AC242&amp;""))))+IF($Y$1="",0,N(ISNUMBER(SEARCH($Y$1,Database!$AC242&amp;""))))+IF(Screener!$B$17="",0,N(ISNUMBER(SEARCH(LOWER(Screener!$B$17),Database!$AC242&amp;""))))</f>
        <v/>
      </c>
      <c r="I242">
        <f>IF(OR(N(Database!$BG242)&lt;=0,N(Screener!$D$13)&lt;=0),0,MAX(0,1-ABS(LOG10(N(Database!$BG242)/Screener!$D$13))/W_PEHW))</f>
        <v/>
      </c>
      <c r="J242">
        <f>IF(OR(N(Database!$S242)&lt;=0,N(Screener!$D$14)&lt;=0),0,MAX(0,1-ABS(LOG10(Database!$S242/Screener!$D$14))/0.6))</f>
        <v/>
      </c>
      <c r="K242">
        <f>IF(Database!$B242=Screener!$B$5,-999999,IF(ISNUMBER(SEARCH(","&amp;Database!$A242&amp;",",","&amp;SUBSTITUTE(Screener!$D$17," ","")&amp;",")),2000000,IF(IF(OR(Screener!$B$18="All",AND(Screener!$B$18="With A-share",(Database!$BL242="Y")),AND(Screener!$B$18="Without A-share",NOT((Database!$BL242="Y")))),1,0)=0,-999999,IF(Screener!$B$16="cornerstone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Database!BF230</f>
        <v/>
      </c>
      <c r="AF242">
        <f>Database!BL230</f>
        <v/>
      </c>
      <c r="AG242">
        <f>Database!H230</f>
        <v/>
      </c>
      <c r="AH242">
        <f>Database!BG230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IF(OR(Database!$BF243="",Screener!$D$10=""),0,IF(Database!$BF243=Screener!$D$10,1,0))</f>
        <v/>
      </c>
      <c r="F243">
        <f>IF(OR(Database!$BL243="",Screener!$D$11=""),0,IF(Database!$BL243=Screener!$D$11,1,0))</f>
        <v/>
      </c>
      <c r="G243">
        <f>IF(OR(Database!$H243="",N(Screener!$D$12)&lt;=0),0,MAX(0,1-(N(Screener!$D$12)-Database!$H243)/W_RECD))</f>
        <v/>
      </c>
      <c r="H243">
        <f>IF($U$1="",0,N(ISNUMBER(SEARCH($U$1,Database!$AC243&amp;""))))+IF($V$1="",0,N(ISNUMBER(SEARCH($V$1,Database!$AC243&amp;""))))+IF($W$1="",0,N(ISNUMBER(SEARCH($W$1,Database!$AC243&amp;""))))+IF($X$1="",0,N(ISNUMBER(SEARCH($X$1,Database!$AC243&amp;""))))+IF($Y$1="",0,N(ISNUMBER(SEARCH($Y$1,Database!$AC243&amp;""))))+IF(Screener!$B$17="",0,N(ISNUMBER(SEARCH(LOWER(Screener!$B$17),Database!$AC243&amp;""))))</f>
        <v/>
      </c>
      <c r="I243">
        <f>IF(OR(N(Database!$BG243)&lt;=0,N(Screener!$D$13)&lt;=0),0,MAX(0,1-ABS(LOG10(N(Database!$BG243)/Screener!$D$13))/W_PEHW))</f>
        <v/>
      </c>
      <c r="J243">
        <f>IF(OR(N(Database!$S243)&lt;=0,N(Screener!$D$14)&lt;=0),0,MAX(0,1-ABS(LOG10(Database!$S243/Screener!$D$14))/0.6))</f>
        <v/>
      </c>
      <c r="K243">
        <f>IF(Database!$B243=Screener!$B$5,-999999,IF(ISNUMBER(SEARCH(","&amp;Database!$A243&amp;",",","&amp;SUBSTITUTE(Screener!$D$17," ","")&amp;",")),2000000,IF(IF(OR(Screener!$B$18="All",AND(Screener!$B$18="With A-share",(Database!$BL243="Y")),AND(Screener!$B$18="Without A-share",NOT((Database!$BL243="Y")))),1,0)=0,-999999,IF(Screener!$B$16="cornerstone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Database!BF231</f>
        <v/>
      </c>
      <c r="AF243">
        <f>Database!BL231</f>
        <v/>
      </c>
      <c r="AG243">
        <f>Database!H231</f>
        <v/>
      </c>
      <c r="AH243">
        <f>Database!BG231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IF(OR(Database!$BF244="",Screener!$D$10=""),0,IF(Database!$BF244=Screener!$D$10,1,0))</f>
        <v/>
      </c>
      <c r="F244">
        <f>IF(OR(Database!$BL244="",Screener!$D$11=""),0,IF(Database!$BL244=Screener!$D$11,1,0))</f>
        <v/>
      </c>
      <c r="G244">
        <f>IF(OR(Database!$H244="",N(Screener!$D$12)&lt;=0),0,MAX(0,1-(N(Screener!$D$12)-Database!$H244)/W_RECD))</f>
        <v/>
      </c>
      <c r="H244">
        <f>IF($U$1="",0,N(ISNUMBER(SEARCH($U$1,Database!$AC244&amp;""))))+IF($V$1="",0,N(ISNUMBER(SEARCH($V$1,Database!$AC244&amp;""))))+IF($W$1="",0,N(ISNUMBER(SEARCH($W$1,Database!$AC244&amp;""))))+IF($X$1="",0,N(ISNUMBER(SEARCH($X$1,Database!$AC244&amp;""))))+IF($Y$1="",0,N(ISNUMBER(SEARCH($Y$1,Database!$AC244&amp;""))))+IF(Screener!$B$17="",0,N(ISNUMBER(SEARCH(LOWER(Screener!$B$17),Database!$AC244&amp;""))))</f>
        <v/>
      </c>
      <c r="I244">
        <f>IF(OR(N(Database!$BG244)&lt;=0,N(Screener!$D$13)&lt;=0),0,MAX(0,1-ABS(LOG10(N(Database!$BG244)/Screener!$D$13))/W_PEHW))</f>
        <v/>
      </c>
      <c r="J244">
        <f>IF(OR(N(Database!$S244)&lt;=0,N(Screener!$D$14)&lt;=0),0,MAX(0,1-ABS(LOG10(Database!$S244/Screener!$D$14))/0.6))</f>
        <v/>
      </c>
      <c r="K244">
        <f>IF(Database!$B244=Screener!$B$5,-999999,IF(ISNUMBER(SEARCH(","&amp;Database!$A244&amp;",",","&amp;SUBSTITUTE(Screener!$D$17," ","")&amp;",")),2000000,IF(IF(OR(Screener!$B$18="All",AND(Screener!$B$18="With A-share",(Database!$BL244="Y")),AND(Screener!$B$18="Without A-share",NOT((Database!$BL244="Y")))),1,0)=0,-999999,IF(Screener!$B$16="cornerstone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Database!BF232</f>
        <v/>
      </c>
      <c r="AF244">
        <f>Database!BL232</f>
        <v/>
      </c>
      <c r="AG244">
        <f>Database!H232</f>
        <v/>
      </c>
      <c r="AH244">
        <f>Database!BG232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IF(OR(Database!$BF245="",Screener!$D$10=""),0,IF(Database!$BF245=Screener!$D$10,1,0))</f>
        <v/>
      </c>
      <c r="F245">
        <f>IF(OR(Database!$BL245="",Screener!$D$11=""),0,IF(Database!$BL245=Screener!$D$11,1,0))</f>
        <v/>
      </c>
      <c r="G245">
        <f>IF(OR(Database!$H245="",N(Screener!$D$12)&lt;=0),0,MAX(0,1-(N(Screener!$D$12)-Database!$H245)/W_RECD))</f>
        <v/>
      </c>
      <c r="H245">
        <f>IF($U$1="",0,N(ISNUMBER(SEARCH($U$1,Database!$AC245&amp;""))))+IF($V$1="",0,N(ISNUMBER(SEARCH($V$1,Database!$AC245&amp;""))))+IF($W$1="",0,N(ISNUMBER(SEARCH($W$1,Database!$AC245&amp;""))))+IF($X$1="",0,N(ISNUMBER(SEARCH($X$1,Database!$AC245&amp;""))))+IF($Y$1="",0,N(ISNUMBER(SEARCH($Y$1,Database!$AC245&amp;""))))+IF(Screener!$B$17="",0,N(ISNUMBER(SEARCH(LOWER(Screener!$B$17),Database!$AC245&amp;""))))</f>
        <v/>
      </c>
      <c r="I245">
        <f>IF(OR(N(Database!$BG245)&lt;=0,N(Screener!$D$13)&lt;=0),0,MAX(0,1-ABS(LOG10(N(Database!$BG245)/Screener!$D$13))/W_PEHW))</f>
        <v/>
      </c>
      <c r="J245">
        <f>IF(OR(N(Database!$S245)&lt;=0,N(Screener!$D$14)&lt;=0),0,MAX(0,1-ABS(LOG10(Database!$S245/Screener!$D$14))/0.6))</f>
        <v/>
      </c>
      <c r="K245">
        <f>IF(Database!$B245=Screener!$B$5,-999999,IF(ISNUMBER(SEARCH(","&amp;Database!$A245&amp;",",","&amp;SUBSTITUTE(Screener!$D$17," ","")&amp;",")),2000000,IF(IF(OR(Screener!$B$18="All",AND(Screener!$B$18="With A-share",(Database!$BL245="Y")),AND(Screener!$B$18="Without A-share",NOT((Database!$BL245="Y")))),1,0)=0,-999999,IF(Screener!$B$16="cornerstone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Database!BF233</f>
        <v/>
      </c>
      <c r="AF245">
        <f>Database!BL233</f>
        <v/>
      </c>
      <c r="AG245">
        <f>Database!H233</f>
        <v/>
      </c>
      <c r="AH245">
        <f>Database!BG233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IF(OR(Database!$BF246="",Screener!$D$10=""),0,IF(Database!$BF246=Screener!$D$10,1,0))</f>
        <v/>
      </c>
      <c r="F246">
        <f>IF(OR(Database!$BL246="",Screener!$D$11=""),0,IF(Database!$BL246=Screener!$D$11,1,0))</f>
        <v/>
      </c>
      <c r="G246">
        <f>IF(OR(Database!$H246="",N(Screener!$D$12)&lt;=0),0,MAX(0,1-(N(Screener!$D$12)-Database!$H246)/W_RECD))</f>
        <v/>
      </c>
      <c r="H246">
        <f>IF($U$1="",0,N(ISNUMBER(SEARCH($U$1,Database!$AC246&amp;""))))+IF($V$1="",0,N(ISNUMBER(SEARCH($V$1,Database!$AC246&amp;""))))+IF($W$1="",0,N(ISNUMBER(SEARCH($W$1,Database!$AC246&amp;""))))+IF($X$1="",0,N(ISNUMBER(SEARCH($X$1,Database!$AC246&amp;""))))+IF($Y$1="",0,N(ISNUMBER(SEARCH($Y$1,Database!$AC246&amp;""))))+IF(Screener!$B$17="",0,N(ISNUMBER(SEARCH(LOWER(Screener!$B$17),Database!$AC246&amp;""))))</f>
        <v/>
      </c>
      <c r="I246">
        <f>IF(OR(N(Database!$BG246)&lt;=0,N(Screener!$D$13)&lt;=0),0,MAX(0,1-ABS(LOG10(N(Database!$BG246)/Screener!$D$13))/W_PEHW))</f>
        <v/>
      </c>
      <c r="J246">
        <f>IF(OR(N(Database!$S246)&lt;=0,N(Screener!$D$14)&lt;=0),0,MAX(0,1-ABS(LOG10(Database!$S246/Screener!$D$14))/0.6))</f>
        <v/>
      </c>
      <c r="K246">
        <f>IF(Database!$B246=Screener!$B$5,-999999,IF(ISNUMBER(SEARCH(","&amp;Database!$A246&amp;",",","&amp;SUBSTITUTE(Screener!$D$17," ","")&amp;",")),2000000,IF(IF(OR(Screener!$B$18="All",AND(Screener!$B$18="With A-share",(Database!$BL246="Y")),AND(Screener!$B$18="Without A-share",NOT((Database!$BL246="Y")))),1,0)=0,-999999,IF(Screener!$B$16="cornerstone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Database!BF234</f>
        <v/>
      </c>
      <c r="AF246">
        <f>Database!BL234</f>
        <v/>
      </c>
      <c r="AG246">
        <f>Database!H234</f>
        <v/>
      </c>
      <c r="AH246">
        <f>Database!BG234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IF(OR(Database!$BF247="",Screener!$D$10=""),0,IF(Database!$BF247=Screener!$D$10,1,0))</f>
        <v/>
      </c>
      <c r="F247">
        <f>IF(OR(Database!$BL247="",Screener!$D$11=""),0,IF(Database!$BL247=Screener!$D$11,1,0))</f>
        <v/>
      </c>
      <c r="G247">
        <f>IF(OR(Database!$H247="",N(Screener!$D$12)&lt;=0),0,MAX(0,1-(N(Screener!$D$12)-Database!$H247)/W_RECD))</f>
        <v/>
      </c>
      <c r="H247">
        <f>IF($U$1="",0,N(ISNUMBER(SEARCH($U$1,Database!$AC247&amp;""))))+IF($V$1="",0,N(ISNUMBER(SEARCH($V$1,Database!$AC247&amp;""))))+IF($W$1="",0,N(ISNUMBER(SEARCH($W$1,Database!$AC247&amp;""))))+IF($X$1="",0,N(ISNUMBER(SEARCH($X$1,Database!$AC247&amp;""))))+IF($Y$1="",0,N(ISNUMBER(SEARCH($Y$1,Database!$AC247&amp;""))))+IF(Screener!$B$17="",0,N(ISNUMBER(SEARCH(LOWER(Screener!$B$17),Database!$AC247&amp;""))))</f>
        <v/>
      </c>
      <c r="I247">
        <f>IF(OR(N(Database!$BG247)&lt;=0,N(Screener!$D$13)&lt;=0),0,MAX(0,1-ABS(LOG10(N(Database!$BG247)/Screener!$D$13))/W_PEHW))</f>
        <v/>
      </c>
      <c r="J247">
        <f>IF(OR(N(Database!$S247)&lt;=0,N(Screener!$D$14)&lt;=0),0,MAX(0,1-ABS(LOG10(Database!$S247/Screener!$D$14))/0.6))</f>
        <v/>
      </c>
      <c r="K247">
        <f>IF(Database!$B247=Screener!$B$5,-999999,IF(ISNUMBER(SEARCH(","&amp;Database!$A247&amp;",",","&amp;SUBSTITUTE(Screener!$D$17," ","")&amp;",")),2000000,IF(IF(OR(Screener!$B$18="All",AND(Screener!$B$18="With A-share",(Database!$BL247="Y")),AND(Screener!$B$18="Without A-share",NOT((Database!$BL247="Y")))),1,0)=0,-999999,IF(Screener!$B$16="cornerstone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Database!BF235</f>
        <v/>
      </c>
      <c r="AF247">
        <f>Database!BL235</f>
        <v/>
      </c>
      <c r="AG247">
        <f>Database!H235</f>
        <v/>
      </c>
      <c r="AH247">
        <f>Database!BG235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IF(OR(Database!$BF248="",Screener!$D$10=""),0,IF(Database!$BF248=Screener!$D$10,1,0))</f>
        <v/>
      </c>
      <c r="F248">
        <f>IF(OR(Database!$BL248="",Screener!$D$11=""),0,IF(Database!$BL248=Screener!$D$11,1,0))</f>
        <v/>
      </c>
      <c r="G248">
        <f>IF(OR(Database!$H248="",N(Screener!$D$12)&lt;=0),0,MAX(0,1-(N(Screener!$D$12)-Database!$H248)/W_RECD))</f>
        <v/>
      </c>
      <c r="H248">
        <f>IF($U$1="",0,N(ISNUMBER(SEARCH($U$1,Database!$AC248&amp;""))))+IF($V$1="",0,N(ISNUMBER(SEARCH($V$1,Database!$AC248&amp;""))))+IF($W$1="",0,N(ISNUMBER(SEARCH($W$1,Database!$AC248&amp;""))))+IF($X$1="",0,N(ISNUMBER(SEARCH($X$1,Database!$AC248&amp;""))))+IF($Y$1="",0,N(ISNUMBER(SEARCH($Y$1,Database!$AC248&amp;""))))+IF(Screener!$B$17="",0,N(ISNUMBER(SEARCH(LOWER(Screener!$B$17),Database!$AC248&amp;""))))</f>
        <v/>
      </c>
      <c r="I248">
        <f>IF(OR(N(Database!$BG248)&lt;=0,N(Screener!$D$13)&lt;=0),0,MAX(0,1-ABS(LOG10(N(Database!$BG248)/Screener!$D$13))/W_PEHW))</f>
        <v/>
      </c>
      <c r="J248">
        <f>IF(OR(N(Database!$S248)&lt;=0,N(Screener!$D$14)&lt;=0),0,MAX(0,1-ABS(LOG10(Database!$S248/Screener!$D$14))/0.6))</f>
        <v/>
      </c>
      <c r="K248">
        <f>IF(Database!$B248=Screener!$B$5,-999999,IF(ISNUMBER(SEARCH(","&amp;Database!$A248&amp;",",","&amp;SUBSTITUTE(Screener!$D$17," ","")&amp;",")),2000000,IF(IF(OR(Screener!$B$18="All",AND(Screener!$B$18="With A-share",(Database!$BL248="Y")),AND(Screener!$B$18="Without A-share",NOT((Database!$BL248="Y")))),1,0)=0,-999999,IF(Screener!$B$16="cornerstone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Database!BF236</f>
        <v/>
      </c>
      <c r="AF248">
        <f>Database!BL236</f>
        <v/>
      </c>
      <c r="AG248">
        <f>Database!H236</f>
        <v/>
      </c>
      <c r="AH248">
        <f>Database!BG236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IF(OR(Database!$BF249="",Screener!$D$10=""),0,IF(Database!$BF249=Screener!$D$10,1,0))</f>
        <v/>
      </c>
      <c r="F249">
        <f>IF(OR(Database!$BL249="",Screener!$D$11=""),0,IF(Database!$BL249=Screener!$D$11,1,0))</f>
        <v/>
      </c>
      <c r="G249">
        <f>IF(OR(Database!$H249="",N(Screener!$D$12)&lt;=0),0,MAX(0,1-(N(Screener!$D$12)-Database!$H249)/W_RECD))</f>
        <v/>
      </c>
      <c r="H249">
        <f>IF($U$1="",0,N(ISNUMBER(SEARCH($U$1,Database!$AC249&amp;""))))+IF($V$1="",0,N(ISNUMBER(SEARCH($V$1,Database!$AC249&amp;""))))+IF($W$1="",0,N(ISNUMBER(SEARCH($W$1,Database!$AC249&amp;""))))+IF($X$1="",0,N(ISNUMBER(SEARCH($X$1,Database!$AC249&amp;""))))+IF($Y$1="",0,N(ISNUMBER(SEARCH($Y$1,Database!$AC249&amp;""))))+IF(Screener!$B$17="",0,N(ISNUMBER(SEARCH(LOWER(Screener!$B$17),Database!$AC249&amp;""))))</f>
        <v/>
      </c>
      <c r="I249">
        <f>IF(OR(N(Database!$BG249)&lt;=0,N(Screener!$D$13)&lt;=0),0,MAX(0,1-ABS(LOG10(N(Database!$BG249)/Screener!$D$13))/W_PEHW))</f>
        <v/>
      </c>
      <c r="J249">
        <f>IF(OR(N(Database!$S249)&lt;=0,N(Screener!$D$14)&lt;=0),0,MAX(0,1-ABS(LOG10(Database!$S249/Screener!$D$14))/0.6))</f>
        <v/>
      </c>
      <c r="K249">
        <f>IF(Database!$B249=Screener!$B$5,-999999,IF(ISNUMBER(SEARCH(","&amp;Database!$A249&amp;",",","&amp;SUBSTITUTE(Screener!$D$17," ","")&amp;",")),2000000,IF(IF(OR(Screener!$B$18="All",AND(Screener!$B$18="With A-share",(Database!$BL249="Y")),AND(Screener!$B$18="Without A-share",NOT((Database!$BL249="Y")))),1,0)=0,-999999,IF(Screener!$B$16="cornerstone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Database!BF237</f>
        <v/>
      </c>
      <c r="AF249">
        <f>Database!BL237</f>
        <v/>
      </c>
      <c r="AG249">
        <f>Database!H237</f>
        <v/>
      </c>
      <c r="AH249">
        <f>Database!BG237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IF(OR(Database!$BF250="",Screener!$D$10=""),0,IF(Database!$BF250=Screener!$D$10,1,0))</f>
        <v/>
      </c>
      <c r="F250">
        <f>IF(OR(Database!$BL250="",Screener!$D$11=""),0,IF(Database!$BL250=Screener!$D$11,1,0))</f>
        <v/>
      </c>
      <c r="G250">
        <f>IF(OR(Database!$H250="",N(Screener!$D$12)&lt;=0),0,MAX(0,1-(N(Screener!$D$12)-Database!$H250)/W_RECD))</f>
        <v/>
      </c>
      <c r="H250">
        <f>IF($U$1="",0,N(ISNUMBER(SEARCH($U$1,Database!$AC250&amp;""))))+IF($V$1="",0,N(ISNUMBER(SEARCH($V$1,Database!$AC250&amp;""))))+IF($W$1="",0,N(ISNUMBER(SEARCH($W$1,Database!$AC250&amp;""))))+IF($X$1="",0,N(ISNUMBER(SEARCH($X$1,Database!$AC250&amp;""))))+IF($Y$1="",0,N(ISNUMBER(SEARCH($Y$1,Database!$AC250&amp;""))))+IF(Screener!$B$17="",0,N(ISNUMBER(SEARCH(LOWER(Screener!$B$17),Database!$AC250&amp;""))))</f>
        <v/>
      </c>
      <c r="I250">
        <f>IF(OR(N(Database!$BG250)&lt;=0,N(Screener!$D$13)&lt;=0),0,MAX(0,1-ABS(LOG10(N(Database!$BG250)/Screener!$D$13))/W_PEHW))</f>
        <v/>
      </c>
      <c r="J250">
        <f>IF(OR(N(Database!$S250)&lt;=0,N(Screener!$D$14)&lt;=0),0,MAX(0,1-ABS(LOG10(Database!$S250/Screener!$D$14))/0.6))</f>
        <v/>
      </c>
      <c r="K250">
        <f>IF(Database!$B250=Screener!$B$5,-999999,IF(ISNUMBER(SEARCH(","&amp;Database!$A250&amp;",",","&amp;SUBSTITUTE(Screener!$D$17," ","")&amp;",")),2000000,IF(IF(OR(Screener!$B$18="All",AND(Screener!$B$18="With A-share",(Database!$BL250="Y")),AND(Screener!$B$18="Without A-share",NOT((Database!$BL250="Y")))),1,0)=0,-999999,IF(Screener!$B$16="cornerstone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Database!BF238</f>
        <v/>
      </c>
      <c r="AF250">
        <f>Database!BL238</f>
        <v/>
      </c>
      <c r="AG250">
        <f>Database!H238</f>
        <v/>
      </c>
      <c r="AH250">
        <f>Database!BG238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IF(OR(Database!$BF251="",Screener!$D$10=""),0,IF(Database!$BF251=Screener!$D$10,1,0))</f>
        <v/>
      </c>
      <c r="F251">
        <f>IF(OR(Database!$BL251="",Screener!$D$11=""),0,IF(Database!$BL251=Screener!$D$11,1,0))</f>
        <v/>
      </c>
      <c r="G251">
        <f>IF(OR(Database!$H251="",N(Screener!$D$12)&lt;=0),0,MAX(0,1-(N(Screener!$D$12)-Database!$H251)/W_RECD))</f>
        <v/>
      </c>
      <c r="H251">
        <f>IF($U$1="",0,N(ISNUMBER(SEARCH($U$1,Database!$AC251&amp;""))))+IF($V$1="",0,N(ISNUMBER(SEARCH($V$1,Database!$AC251&amp;""))))+IF($W$1="",0,N(ISNUMBER(SEARCH($W$1,Database!$AC251&amp;""))))+IF($X$1="",0,N(ISNUMBER(SEARCH($X$1,Database!$AC251&amp;""))))+IF($Y$1="",0,N(ISNUMBER(SEARCH($Y$1,Database!$AC251&amp;""))))+IF(Screener!$B$17="",0,N(ISNUMBER(SEARCH(LOWER(Screener!$B$17),Database!$AC251&amp;""))))</f>
        <v/>
      </c>
      <c r="I251">
        <f>IF(OR(N(Database!$BG251)&lt;=0,N(Screener!$D$13)&lt;=0),0,MAX(0,1-ABS(LOG10(N(Database!$BG251)/Screener!$D$13))/W_PEHW))</f>
        <v/>
      </c>
      <c r="J251">
        <f>IF(OR(N(Database!$S251)&lt;=0,N(Screener!$D$14)&lt;=0),0,MAX(0,1-ABS(LOG10(Database!$S251/Screener!$D$14))/0.6))</f>
        <v/>
      </c>
      <c r="K251">
        <f>IF(Database!$B251=Screener!$B$5,-999999,IF(ISNUMBER(SEARCH(","&amp;Database!$A251&amp;",",","&amp;SUBSTITUTE(Screener!$D$17," ","")&amp;",")),2000000,IF(IF(OR(Screener!$B$18="All",AND(Screener!$B$18="With A-share",(Database!$BL251="Y")),AND(Screener!$B$18="Without A-share",NOT((Database!$BL251="Y")))),1,0)=0,-999999,IF(Screener!$B$16="cornerstone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Database!BF239</f>
        <v/>
      </c>
      <c r="AF251">
        <f>Database!BL239</f>
        <v/>
      </c>
      <c r="AG251">
        <f>Database!H239</f>
        <v/>
      </c>
      <c r="AH251">
        <f>Database!BG239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IF(OR(Database!$BF252="",Screener!$D$10=""),0,IF(Database!$BF252=Screener!$D$10,1,0))</f>
        <v/>
      </c>
      <c r="F252">
        <f>IF(OR(Database!$BL252="",Screener!$D$11=""),0,IF(Database!$BL252=Screener!$D$11,1,0))</f>
        <v/>
      </c>
      <c r="G252">
        <f>IF(OR(Database!$H252="",N(Screener!$D$12)&lt;=0),0,MAX(0,1-(N(Screener!$D$12)-Database!$H252)/W_RECD))</f>
        <v/>
      </c>
      <c r="H252">
        <f>IF($U$1="",0,N(ISNUMBER(SEARCH($U$1,Database!$AC252&amp;""))))+IF($V$1="",0,N(ISNUMBER(SEARCH($V$1,Database!$AC252&amp;""))))+IF($W$1="",0,N(ISNUMBER(SEARCH($W$1,Database!$AC252&amp;""))))+IF($X$1="",0,N(ISNUMBER(SEARCH($X$1,Database!$AC252&amp;""))))+IF($Y$1="",0,N(ISNUMBER(SEARCH($Y$1,Database!$AC252&amp;""))))+IF(Screener!$B$17="",0,N(ISNUMBER(SEARCH(LOWER(Screener!$B$17),Database!$AC252&amp;""))))</f>
        <v/>
      </c>
      <c r="I252">
        <f>IF(OR(N(Database!$BG252)&lt;=0,N(Screener!$D$13)&lt;=0),0,MAX(0,1-ABS(LOG10(N(Database!$BG252)/Screener!$D$13))/W_PEHW))</f>
        <v/>
      </c>
      <c r="J252">
        <f>IF(OR(N(Database!$S252)&lt;=0,N(Screener!$D$14)&lt;=0),0,MAX(0,1-ABS(LOG10(Database!$S252/Screener!$D$14))/0.6))</f>
        <v/>
      </c>
      <c r="K252">
        <f>IF(Database!$B252=Screener!$B$5,-999999,IF(ISNUMBER(SEARCH(","&amp;Database!$A252&amp;",",","&amp;SUBSTITUTE(Screener!$D$17," ","")&amp;",")),2000000,IF(IF(OR(Screener!$B$18="All",AND(Screener!$B$18="With A-share",(Database!$BL252="Y")),AND(Screener!$B$18="Without A-share",NOT((Database!$BL252="Y")))),1,0)=0,-999999,IF(Screener!$B$16="cornerstone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Database!BF240</f>
        <v/>
      </c>
      <c r="AF252">
        <f>Database!BL240</f>
        <v/>
      </c>
      <c r="AG252">
        <f>Database!H240</f>
        <v/>
      </c>
      <c r="AH252">
        <f>Database!BG240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IF(OR(Database!$BF253="",Screener!$D$10=""),0,IF(Database!$BF253=Screener!$D$10,1,0))</f>
        <v/>
      </c>
      <c r="F253">
        <f>IF(OR(Database!$BL253="",Screener!$D$11=""),0,IF(Database!$BL253=Screener!$D$11,1,0))</f>
        <v/>
      </c>
      <c r="G253">
        <f>IF(OR(Database!$H253="",N(Screener!$D$12)&lt;=0),0,MAX(0,1-(N(Screener!$D$12)-Database!$H253)/W_RECD))</f>
        <v/>
      </c>
      <c r="H253">
        <f>IF($U$1="",0,N(ISNUMBER(SEARCH($U$1,Database!$AC253&amp;""))))+IF($V$1="",0,N(ISNUMBER(SEARCH($V$1,Database!$AC253&amp;""))))+IF($W$1="",0,N(ISNUMBER(SEARCH($W$1,Database!$AC253&amp;""))))+IF($X$1="",0,N(ISNUMBER(SEARCH($X$1,Database!$AC253&amp;""))))+IF($Y$1="",0,N(ISNUMBER(SEARCH($Y$1,Database!$AC253&amp;""))))+IF(Screener!$B$17="",0,N(ISNUMBER(SEARCH(LOWER(Screener!$B$17),Database!$AC253&amp;""))))</f>
        <v/>
      </c>
      <c r="I253">
        <f>IF(OR(N(Database!$BG253)&lt;=0,N(Screener!$D$13)&lt;=0),0,MAX(0,1-ABS(LOG10(N(Database!$BG253)/Screener!$D$13))/W_PEHW))</f>
        <v/>
      </c>
      <c r="J253">
        <f>IF(OR(N(Database!$S253)&lt;=0,N(Screener!$D$14)&lt;=0),0,MAX(0,1-ABS(LOG10(Database!$S253/Screener!$D$14))/0.6))</f>
        <v/>
      </c>
      <c r="K253">
        <f>IF(Database!$B253=Screener!$B$5,-999999,IF(ISNUMBER(SEARCH(","&amp;Database!$A253&amp;",",","&amp;SUBSTITUTE(Screener!$D$17," ","")&amp;",")),2000000,IF(IF(OR(Screener!$B$18="All",AND(Screener!$B$18="With A-share",(Database!$BL253="Y")),AND(Screener!$B$18="Without A-share",NOT((Database!$BL253="Y")))),1,0)=0,-999999,IF(Screener!$B$16="cornerstone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Database!BF241</f>
        <v/>
      </c>
      <c r="AF253">
        <f>Database!BL241</f>
        <v/>
      </c>
      <c r="AG253">
        <f>Database!H241</f>
        <v/>
      </c>
      <c r="AH253">
        <f>Database!BG241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IF(OR(Database!$BF254="",Screener!$D$10=""),0,IF(Database!$BF254=Screener!$D$10,1,0))</f>
        <v/>
      </c>
      <c r="F254">
        <f>IF(OR(Database!$BL254="",Screener!$D$11=""),0,IF(Database!$BL254=Screener!$D$11,1,0))</f>
        <v/>
      </c>
      <c r="G254">
        <f>IF(OR(Database!$H254="",N(Screener!$D$12)&lt;=0),0,MAX(0,1-(N(Screener!$D$12)-Database!$H254)/W_RECD))</f>
        <v/>
      </c>
      <c r="H254">
        <f>IF($U$1="",0,N(ISNUMBER(SEARCH($U$1,Database!$AC254&amp;""))))+IF($V$1="",0,N(ISNUMBER(SEARCH($V$1,Database!$AC254&amp;""))))+IF($W$1="",0,N(ISNUMBER(SEARCH($W$1,Database!$AC254&amp;""))))+IF($X$1="",0,N(ISNUMBER(SEARCH($X$1,Database!$AC254&amp;""))))+IF($Y$1="",0,N(ISNUMBER(SEARCH($Y$1,Database!$AC254&amp;""))))+IF(Screener!$B$17="",0,N(ISNUMBER(SEARCH(LOWER(Screener!$B$17),Database!$AC254&amp;""))))</f>
        <v/>
      </c>
      <c r="I254">
        <f>IF(OR(N(Database!$BG254)&lt;=0,N(Screener!$D$13)&lt;=0),0,MAX(0,1-ABS(LOG10(N(Database!$BG254)/Screener!$D$13))/W_PEHW))</f>
        <v/>
      </c>
      <c r="J254">
        <f>IF(OR(N(Database!$S254)&lt;=0,N(Screener!$D$14)&lt;=0),0,MAX(0,1-ABS(LOG10(Database!$S254/Screener!$D$14))/0.6))</f>
        <v/>
      </c>
      <c r="K254">
        <f>IF(Database!$B254=Screener!$B$5,-999999,IF(ISNUMBER(SEARCH(","&amp;Database!$A254&amp;",",","&amp;SUBSTITUTE(Screener!$D$17," ","")&amp;",")),2000000,IF(IF(OR(Screener!$B$18="All",AND(Screener!$B$18="With A-share",(Database!$BL254="Y")),AND(Screener!$B$18="Without A-share",NOT((Database!$BL254="Y")))),1,0)=0,-999999,IF(Screener!$B$16="cornerstone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Database!BF242</f>
        <v/>
      </c>
      <c r="AF254">
        <f>Database!BL242</f>
        <v/>
      </c>
      <c r="AG254">
        <f>Database!H242</f>
        <v/>
      </c>
      <c r="AH254">
        <f>Database!BG242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IF(OR(Database!$BF255="",Screener!$D$10=""),0,IF(Database!$BF255=Screener!$D$10,1,0))</f>
        <v/>
      </c>
      <c r="F255">
        <f>IF(OR(Database!$BL255="",Screener!$D$11=""),0,IF(Database!$BL255=Screener!$D$11,1,0))</f>
        <v/>
      </c>
      <c r="G255">
        <f>IF(OR(Database!$H255="",N(Screener!$D$12)&lt;=0),0,MAX(0,1-(N(Screener!$D$12)-Database!$H255)/W_RECD))</f>
        <v/>
      </c>
      <c r="H255">
        <f>IF($U$1="",0,N(ISNUMBER(SEARCH($U$1,Database!$AC255&amp;""))))+IF($V$1="",0,N(ISNUMBER(SEARCH($V$1,Database!$AC255&amp;""))))+IF($W$1="",0,N(ISNUMBER(SEARCH($W$1,Database!$AC255&amp;""))))+IF($X$1="",0,N(ISNUMBER(SEARCH($X$1,Database!$AC255&amp;""))))+IF($Y$1="",0,N(ISNUMBER(SEARCH($Y$1,Database!$AC255&amp;""))))+IF(Screener!$B$17="",0,N(ISNUMBER(SEARCH(LOWER(Screener!$B$17),Database!$AC255&amp;""))))</f>
        <v/>
      </c>
      <c r="I255">
        <f>IF(OR(N(Database!$BG255)&lt;=0,N(Screener!$D$13)&lt;=0),0,MAX(0,1-ABS(LOG10(N(Database!$BG255)/Screener!$D$13))/W_PEHW))</f>
        <v/>
      </c>
      <c r="J255">
        <f>IF(OR(N(Database!$S255)&lt;=0,N(Screener!$D$14)&lt;=0),0,MAX(0,1-ABS(LOG10(Database!$S255/Screener!$D$14))/0.6))</f>
        <v/>
      </c>
      <c r="K255">
        <f>IF(Database!$B255=Screener!$B$5,-999999,IF(ISNUMBER(SEARCH(","&amp;Database!$A255&amp;",",","&amp;SUBSTITUTE(Screener!$D$17," ","")&amp;",")),2000000,IF(IF(OR(Screener!$B$18="All",AND(Screener!$B$18="With A-share",(Database!$BL255="Y")),AND(Screener!$B$18="Without A-share",NOT((Database!$BL255="Y")))),1,0)=0,-999999,IF(Screener!$B$16="cornerstone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Database!BF243</f>
        <v/>
      </c>
      <c r="AF255">
        <f>Database!BL243</f>
        <v/>
      </c>
      <c r="AG255">
        <f>Database!H243</f>
        <v/>
      </c>
      <c r="AH255">
        <f>Database!BG243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IF(OR(Database!$BF256="",Screener!$D$10=""),0,IF(Database!$BF256=Screener!$D$10,1,0))</f>
        <v/>
      </c>
      <c r="F256">
        <f>IF(OR(Database!$BL256="",Screener!$D$11=""),0,IF(Database!$BL256=Screener!$D$11,1,0))</f>
        <v/>
      </c>
      <c r="G256">
        <f>IF(OR(Database!$H256="",N(Screener!$D$12)&lt;=0),0,MAX(0,1-(N(Screener!$D$12)-Database!$H256)/W_RECD))</f>
        <v/>
      </c>
      <c r="H256">
        <f>IF($U$1="",0,N(ISNUMBER(SEARCH($U$1,Database!$AC256&amp;""))))+IF($V$1="",0,N(ISNUMBER(SEARCH($V$1,Database!$AC256&amp;""))))+IF($W$1="",0,N(ISNUMBER(SEARCH($W$1,Database!$AC256&amp;""))))+IF($X$1="",0,N(ISNUMBER(SEARCH($X$1,Database!$AC256&amp;""))))+IF($Y$1="",0,N(ISNUMBER(SEARCH($Y$1,Database!$AC256&amp;""))))+IF(Screener!$B$17="",0,N(ISNUMBER(SEARCH(LOWER(Screener!$B$17),Database!$AC256&amp;""))))</f>
        <v/>
      </c>
      <c r="I256">
        <f>IF(OR(N(Database!$BG256)&lt;=0,N(Screener!$D$13)&lt;=0),0,MAX(0,1-ABS(LOG10(N(Database!$BG256)/Screener!$D$13))/W_PEHW))</f>
        <v/>
      </c>
      <c r="J256">
        <f>IF(OR(N(Database!$S256)&lt;=0,N(Screener!$D$14)&lt;=0),0,MAX(0,1-ABS(LOG10(Database!$S256/Screener!$D$14))/0.6))</f>
        <v/>
      </c>
      <c r="K256">
        <f>IF(Database!$B256=Screener!$B$5,-999999,IF(ISNUMBER(SEARCH(","&amp;Database!$A256&amp;",",","&amp;SUBSTITUTE(Screener!$D$17," ","")&amp;",")),2000000,IF(IF(OR(Screener!$B$18="All",AND(Screener!$B$18="With A-share",(Database!$BL256="Y")),AND(Screener!$B$18="Without A-share",NOT((Database!$BL256="Y")))),1,0)=0,-999999,IF(Screener!$B$16="cornerstone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Database!BF244</f>
        <v/>
      </c>
      <c r="AF256">
        <f>Database!BL244</f>
        <v/>
      </c>
      <c r="AG256">
        <f>Database!H244</f>
        <v/>
      </c>
      <c r="AH256">
        <f>Database!BG244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IF(OR(Database!$BF257="",Screener!$D$10=""),0,IF(Database!$BF257=Screener!$D$10,1,0))</f>
        <v/>
      </c>
      <c r="F257">
        <f>IF(OR(Database!$BL257="",Screener!$D$11=""),0,IF(Database!$BL257=Screener!$D$11,1,0))</f>
        <v/>
      </c>
      <c r="G257">
        <f>IF(OR(Database!$H257="",N(Screener!$D$12)&lt;=0),0,MAX(0,1-(N(Screener!$D$12)-Database!$H257)/W_RECD))</f>
        <v/>
      </c>
      <c r="H257">
        <f>IF($U$1="",0,N(ISNUMBER(SEARCH($U$1,Database!$AC257&amp;""))))+IF($V$1="",0,N(ISNUMBER(SEARCH($V$1,Database!$AC257&amp;""))))+IF($W$1="",0,N(ISNUMBER(SEARCH($W$1,Database!$AC257&amp;""))))+IF($X$1="",0,N(ISNUMBER(SEARCH($X$1,Database!$AC257&amp;""))))+IF($Y$1="",0,N(ISNUMBER(SEARCH($Y$1,Database!$AC257&amp;""))))+IF(Screener!$B$17="",0,N(ISNUMBER(SEARCH(LOWER(Screener!$B$17),Database!$AC257&amp;""))))</f>
        <v/>
      </c>
      <c r="I257">
        <f>IF(OR(N(Database!$BG257)&lt;=0,N(Screener!$D$13)&lt;=0),0,MAX(0,1-ABS(LOG10(N(Database!$BG257)/Screener!$D$13))/W_PEHW))</f>
        <v/>
      </c>
      <c r="J257">
        <f>IF(OR(N(Database!$S257)&lt;=0,N(Screener!$D$14)&lt;=0),0,MAX(0,1-ABS(LOG10(Database!$S257/Screener!$D$14))/0.6))</f>
        <v/>
      </c>
      <c r="K257">
        <f>IF(Database!$B257=Screener!$B$5,-999999,IF(ISNUMBER(SEARCH(","&amp;Database!$A257&amp;",",","&amp;SUBSTITUTE(Screener!$D$17," ","")&amp;",")),2000000,IF(IF(OR(Screener!$B$18="All",AND(Screener!$B$18="With A-share",(Database!$BL257="Y")),AND(Screener!$B$18="Without A-share",NOT((Database!$BL257="Y")))),1,0)=0,-999999,IF(Screener!$B$16="cornerstone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Database!BF245</f>
        <v/>
      </c>
      <c r="AF257">
        <f>Database!BL245</f>
        <v/>
      </c>
      <c r="AG257">
        <f>Database!H245</f>
        <v/>
      </c>
      <c r="AH257">
        <f>Database!BG245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IF(OR(Database!$BF258="",Screener!$D$10=""),0,IF(Database!$BF258=Screener!$D$10,1,0))</f>
        <v/>
      </c>
      <c r="F258">
        <f>IF(OR(Database!$BL258="",Screener!$D$11=""),0,IF(Database!$BL258=Screener!$D$11,1,0))</f>
        <v/>
      </c>
      <c r="G258">
        <f>IF(OR(Database!$H258="",N(Screener!$D$12)&lt;=0),0,MAX(0,1-(N(Screener!$D$12)-Database!$H258)/W_RECD))</f>
        <v/>
      </c>
      <c r="H258">
        <f>IF($U$1="",0,N(ISNUMBER(SEARCH($U$1,Database!$AC258&amp;""))))+IF($V$1="",0,N(ISNUMBER(SEARCH($V$1,Database!$AC258&amp;""))))+IF($W$1="",0,N(ISNUMBER(SEARCH($W$1,Database!$AC258&amp;""))))+IF($X$1="",0,N(ISNUMBER(SEARCH($X$1,Database!$AC258&amp;""))))+IF($Y$1="",0,N(ISNUMBER(SEARCH($Y$1,Database!$AC258&amp;""))))+IF(Screener!$B$17="",0,N(ISNUMBER(SEARCH(LOWER(Screener!$B$17),Database!$AC258&amp;""))))</f>
        <v/>
      </c>
      <c r="I258">
        <f>IF(OR(N(Database!$BG258)&lt;=0,N(Screener!$D$13)&lt;=0),0,MAX(0,1-ABS(LOG10(N(Database!$BG258)/Screener!$D$13))/W_PEHW))</f>
        <v/>
      </c>
      <c r="J258">
        <f>IF(OR(N(Database!$S258)&lt;=0,N(Screener!$D$14)&lt;=0),0,MAX(0,1-ABS(LOG10(Database!$S258/Screener!$D$14))/0.6))</f>
        <v/>
      </c>
      <c r="K258">
        <f>IF(Database!$B258=Screener!$B$5,-999999,IF(ISNUMBER(SEARCH(","&amp;Database!$A258&amp;",",","&amp;SUBSTITUTE(Screener!$D$17," ","")&amp;",")),2000000,IF(IF(OR(Screener!$B$18="All",AND(Screener!$B$18="With A-share",(Database!$BL258="Y")),AND(Screener!$B$18="Without A-share",NOT((Database!$BL258="Y")))),1,0)=0,-999999,IF(Screener!$B$16="cornerstone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Database!BF246</f>
        <v/>
      </c>
      <c r="AF258">
        <f>Database!BL246</f>
        <v/>
      </c>
      <c r="AG258">
        <f>Database!H246</f>
        <v/>
      </c>
      <c r="AH258">
        <f>Database!BG246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IF(OR(Database!$BF259="",Screener!$D$10=""),0,IF(Database!$BF259=Screener!$D$10,1,0))</f>
        <v/>
      </c>
      <c r="F259">
        <f>IF(OR(Database!$BL259="",Screener!$D$11=""),0,IF(Database!$BL259=Screener!$D$11,1,0))</f>
        <v/>
      </c>
      <c r="G259">
        <f>IF(OR(Database!$H259="",N(Screener!$D$12)&lt;=0),0,MAX(0,1-(N(Screener!$D$12)-Database!$H259)/W_RECD))</f>
        <v/>
      </c>
      <c r="H259">
        <f>IF($U$1="",0,N(ISNUMBER(SEARCH($U$1,Database!$AC259&amp;""))))+IF($V$1="",0,N(ISNUMBER(SEARCH($V$1,Database!$AC259&amp;""))))+IF($W$1="",0,N(ISNUMBER(SEARCH($W$1,Database!$AC259&amp;""))))+IF($X$1="",0,N(ISNUMBER(SEARCH($X$1,Database!$AC259&amp;""))))+IF($Y$1="",0,N(ISNUMBER(SEARCH($Y$1,Database!$AC259&amp;""))))+IF(Screener!$B$17="",0,N(ISNUMBER(SEARCH(LOWER(Screener!$B$17),Database!$AC259&amp;""))))</f>
        <v/>
      </c>
      <c r="I259">
        <f>IF(OR(N(Database!$BG259)&lt;=0,N(Screener!$D$13)&lt;=0),0,MAX(0,1-ABS(LOG10(N(Database!$BG259)/Screener!$D$13))/W_PEHW))</f>
        <v/>
      </c>
      <c r="J259">
        <f>IF(OR(N(Database!$S259)&lt;=0,N(Screener!$D$14)&lt;=0),0,MAX(0,1-ABS(LOG10(Database!$S259/Screener!$D$14))/0.6))</f>
        <v/>
      </c>
      <c r="K259">
        <f>IF(Database!$B259=Screener!$B$5,-999999,IF(ISNUMBER(SEARCH(","&amp;Database!$A259&amp;",",","&amp;SUBSTITUTE(Screener!$D$17," ","")&amp;",")),2000000,IF(IF(OR(Screener!$B$18="All",AND(Screener!$B$18="With A-share",(Database!$BL259="Y")),AND(Screener!$B$18="Without A-share",NOT((Database!$BL259="Y")))),1,0)=0,-999999,IF(Screener!$B$16="cornerstone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Database!BF247</f>
        <v/>
      </c>
      <c r="AF259">
        <f>Database!BL247</f>
        <v/>
      </c>
      <c r="AG259">
        <f>Database!H247</f>
        <v/>
      </c>
      <c r="AH259">
        <f>Database!BG247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IF(OR(Database!$BF260="",Screener!$D$10=""),0,IF(Database!$BF260=Screener!$D$10,1,0))</f>
        <v/>
      </c>
      <c r="F260">
        <f>IF(OR(Database!$BL260="",Screener!$D$11=""),0,IF(Database!$BL260=Screener!$D$11,1,0))</f>
        <v/>
      </c>
      <c r="G260">
        <f>IF(OR(Database!$H260="",N(Screener!$D$12)&lt;=0),0,MAX(0,1-(N(Screener!$D$12)-Database!$H260)/W_RECD))</f>
        <v/>
      </c>
      <c r="H260">
        <f>IF($U$1="",0,N(ISNUMBER(SEARCH($U$1,Database!$AC260&amp;""))))+IF($V$1="",0,N(ISNUMBER(SEARCH($V$1,Database!$AC260&amp;""))))+IF($W$1="",0,N(ISNUMBER(SEARCH($W$1,Database!$AC260&amp;""))))+IF($X$1="",0,N(ISNUMBER(SEARCH($X$1,Database!$AC260&amp;""))))+IF($Y$1="",0,N(ISNUMBER(SEARCH($Y$1,Database!$AC260&amp;""))))+IF(Screener!$B$17="",0,N(ISNUMBER(SEARCH(LOWER(Screener!$B$17),Database!$AC260&amp;""))))</f>
        <v/>
      </c>
      <c r="I260">
        <f>IF(OR(N(Database!$BG260)&lt;=0,N(Screener!$D$13)&lt;=0),0,MAX(0,1-ABS(LOG10(N(Database!$BG260)/Screener!$D$13))/W_PEHW))</f>
        <v/>
      </c>
      <c r="J260">
        <f>IF(OR(N(Database!$S260)&lt;=0,N(Screener!$D$14)&lt;=0),0,MAX(0,1-ABS(LOG10(Database!$S260/Screener!$D$14))/0.6))</f>
        <v/>
      </c>
      <c r="K260">
        <f>IF(Database!$B260=Screener!$B$5,-999999,IF(ISNUMBER(SEARCH(","&amp;Database!$A260&amp;",",","&amp;SUBSTITUTE(Screener!$D$17," ","")&amp;",")),2000000,IF(IF(OR(Screener!$B$18="All",AND(Screener!$B$18="With A-share",(Database!$BL260="Y")),AND(Screener!$B$18="Without A-share",NOT((Database!$BL260="Y")))),1,0)=0,-999999,IF(Screener!$B$16="cornerstone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Database!BF248</f>
        <v/>
      </c>
      <c r="AF260">
        <f>Database!BL248</f>
        <v/>
      </c>
      <c r="AG260">
        <f>Database!H248</f>
        <v/>
      </c>
      <c r="AH260">
        <f>Database!BG248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IF(OR(Database!$BF261="",Screener!$D$10=""),0,IF(Database!$BF261=Screener!$D$10,1,0))</f>
        <v/>
      </c>
      <c r="F261">
        <f>IF(OR(Database!$BL261="",Screener!$D$11=""),0,IF(Database!$BL261=Screener!$D$11,1,0))</f>
        <v/>
      </c>
      <c r="G261">
        <f>IF(OR(Database!$H261="",N(Screener!$D$12)&lt;=0),0,MAX(0,1-(N(Screener!$D$12)-Database!$H261)/W_RECD))</f>
        <v/>
      </c>
      <c r="H261">
        <f>IF($U$1="",0,N(ISNUMBER(SEARCH($U$1,Database!$AC261&amp;""))))+IF($V$1="",0,N(ISNUMBER(SEARCH($V$1,Database!$AC261&amp;""))))+IF($W$1="",0,N(ISNUMBER(SEARCH($W$1,Database!$AC261&amp;""))))+IF($X$1="",0,N(ISNUMBER(SEARCH($X$1,Database!$AC261&amp;""))))+IF($Y$1="",0,N(ISNUMBER(SEARCH($Y$1,Database!$AC261&amp;""))))+IF(Screener!$B$17="",0,N(ISNUMBER(SEARCH(LOWER(Screener!$B$17),Database!$AC261&amp;""))))</f>
        <v/>
      </c>
      <c r="I261">
        <f>IF(OR(N(Database!$BG261)&lt;=0,N(Screener!$D$13)&lt;=0),0,MAX(0,1-ABS(LOG10(N(Database!$BG261)/Screener!$D$13))/W_PEHW))</f>
        <v/>
      </c>
      <c r="J261">
        <f>IF(OR(N(Database!$S261)&lt;=0,N(Screener!$D$14)&lt;=0),0,MAX(0,1-ABS(LOG10(Database!$S261/Screener!$D$14))/0.6))</f>
        <v/>
      </c>
      <c r="K261">
        <f>IF(Database!$B261=Screener!$B$5,-999999,IF(ISNUMBER(SEARCH(","&amp;Database!$A261&amp;",",","&amp;SUBSTITUTE(Screener!$D$17," ","")&amp;",")),2000000,IF(IF(OR(Screener!$B$18="All",AND(Screener!$B$18="With A-share",(Database!$BL261="Y")),AND(Screener!$B$18="Without A-share",NOT((Database!$BL261="Y")))),1,0)=0,-999999,IF(Screener!$B$16="cornerstone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Database!BF249</f>
        <v/>
      </c>
      <c r="AF261">
        <f>Database!BL249</f>
        <v/>
      </c>
      <c r="AG261">
        <f>Database!H249</f>
        <v/>
      </c>
      <c r="AH261">
        <f>Database!BG249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IF(OR(Database!$BF262="",Screener!$D$10=""),0,IF(Database!$BF262=Screener!$D$10,1,0))</f>
        <v/>
      </c>
      <c r="F262">
        <f>IF(OR(Database!$BL262="",Screener!$D$11=""),0,IF(Database!$BL262=Screener!$D$11,1,0))</f>
        <v/>
      </c>
      <c r="G262">
        <f>IF(OR(Database!$H262="",N(Screener!$D$12)&lt;=0),0,MAX(0,1-(N(Screener!$D$12)-Database!$H262)/W_RECD))</f>
        <v/>
      </c>
      <c r="H262">
        <f>IF($U$1="",0,N(ISNUMBER(SEARCH($U$1,Database!$AC262&amp;""))))+IF($V$1="",0,N(ISNUMBER(SEARCH($V$1,Database!$AC262&amp;""))))+IF($W$1="",0,N(ISNUMBER(SEARCH($W$1,Database!$AC262&amp;""))))+IF($X$1="",0,N(ISNUMBER(SEARCH($X$1,Database!$AC262&amp;""))))+IF($Y$1="",0,N(ISNUMBER(SEARCH($Y$1,Database!$AC262&amp;""))))+IF(Screener!$B$17="",0,N(ISNUMBER(SEARCH(LOWER(Screener!$B$17),Database!$AC262&amp;""))))</f>
        <v/>
      </c>
      <c r="I262">
        <f>IF(OR(N(Database!$BG262)&lt;=0,N(Screener!$D$13)&lt;=0),0,MAX(0,1-ABS(LOG10(N(Database!$BG262)/Screener!$D$13))/W_PEHW))</f>
        <v/>
      </c>
      <c r="J262">
        <f>IF(OR(N(Database!$S262)&lt;=0,N(Screener!$D$14)&lt;=0),0,MAX(0,1-ABS(LOG10(Database!$S262/Screener!$D$14))/0.6))</f>
        <v/>
      </c>
      <c r="K262">
        <f>IF(Database!$B262=Screener!$B$5,-999999,IF(ISNUMBER(SEARCH(","&amp;Database!$A262&amp;",",","&amp;SUBSTITUTE(Screener!$D$17," ","")&amp;",")),2000000,IF(IF(OR(Screener!$B$18="All",AND(Screener!$B$18="With A-share",(Database!$BL262="Y")),AND(Screener!$B$18="Without A-share",NOT((Database!$BL262="Y")))),1,0)=0,-999999,IF(Screener!$B$16="cornerstone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Database!BF250</f>
        <v/>
      </c>
      <c r="AF262">
        <f>Database!BL250</f>
        <v/>
      </c>
      <c r="AG262">
        <f>Database!H250</f>
        <v/>
      </c>
      <c r="AH262">
        <f>Database!BG250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IF(OR(Database!$BF263="",Screener!$D$10=""),0,IF(Database!$BF263=Screener!$D$10,1,0))</f>
        <v/>
      </c>
      <c r="F263">
        <f>IF(OR(Database!$BL263="",Screener!$D$11=""),0,IF(Database!$BL263=Screener!$D$11,1,0))</f>
        <v/>
      </c>
      <c r="G263">
        <f>IF(OR(Database!$H263="",N(Screener!$D$12)&lt;=0),0,MAX(0,1-(N(Screener!$D$12)-Database!$H263)/W_RECD))</f>
        <v/>
      </c>
      <c r="H263">
        <f>IF($U$1="",0,N(ISNUMBER(SEARCH($U$1,Database!$AC263&amp;""))))+IF($V$1="",0,N(ISNUMBER(SEARCH($V$1,Database!$AC263&amp;""))))+IF($W$1="",0,N(ISNUMBER(SEARCH($W$1,Database!$AC263&amp;""))))+IF($X$1="",0,N(ISNUMBER(SEARCH($X$1,Database!$AC263&amp;""))))+IF($Y$1="",0,N(ISNUMBER(SEARCH($Y$1,Database!$AC263&amp;""))))+IF(Screener!$B$17="",0,N(ISNUMBER(SEARCH(LOWER(Screener!$B$17),Database!$AC263&amp;""))))</f>
        <v/>
      </c>
      <c r="I263">
        <f>IF(OR(N(Database!$BG263)&lt;=0,N(Screener!$D$13)&lt;=0),0,MAX(0,1-ABS(LOG10(N(Database!$BG263)/Screener!$D$13))/W_PEHW))</f>
        <v/>
      </c>
      <c r="J263">
        <f>IF(OR(N(Database!$S263)&lt;=0,N(Screener!$D$14)&lt;=0),0,MAX(0,1-ABS(LOG10(Database!$S263/Screener!$D$14))/0.6))</f>
        <v/>
      </c>
      <c r="K263">
        <f>IF(Database!$B263=Screener!$B$5,-999999,IF(ISNUMBER(SEARCH(","&amp;Database!$A263&amp;",",","&amp;SUBSTITUTE(Screener!$D$17," ","")&amp;",")),2000000,IF(IF(OR(Screener!$B$18="All",AND(Screener!$B$18="With A-share",(Database!$BL263="Y")),AND(Screener!$B$18="Without A-share",NOT((Database!$BL263="Y")))),1,0)=0,-999999,IF(Screener!$B$16="cornerstone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Database!BF251</f>
        <v/>
      </c>
      <c r="AF263">
        <f>Database!BL251</f>
        <v/>
      </c>
      <c r="AG263">
        <f>Database!H251</f>
        <v/>
      </c>
      <c r="AH263">
        <f>Database!BG251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IF(OR(Database!$BF264="",Screener!$D$10=""),0,IF(Database!$BF264=Screener!$D$10,1,0))</f>
        <v/>
      </c>
      <c r="F264">
        <f>IF(OR(Database!$BL264="",Screener!$D$11=""),0,IF(Database!$BL264=Screener!$D$11,1,0))</f>
        <v/>
      </c>
      <c r="G264">
        <f>IF(OR(Database!$H264="",N(Screener!$D$12)&lt;=0),0,MAX(0,1-(N(Screener!$D$12)-Database!$H264)/W_RECD))</f>
        <v/>
      </c>
      <c r="H264">
        <f>IF($U$1="",0,N(ISNUMBER(SEARCH($U$1,Database!$AC264&amp;""))))+IF($V$1="",0,N(ISNUMBER(SEARCH($V$1,Database!$AC264&amp;""))))+IF($W$1="",0,N(ISNUMBER(SEARCH($W$1,Database!$AC264&amp;""))))+IF($X$1="",0,N(ISNUMBER(SEARCH($X$1,Database!$AC264&amp;""))))+IF($Y$1="",0,N(ISNUMBER(SEARCH($Y$1,Database!$AC264&amp;""))))+IF(Screener!$B$17="",0,N(ISNUMBER(SEARCH(LOWER(Screener!$B$17),Database!$AC264&amp;""))))</f>
        <v/>
      </c>
      <c r="I264">
        <f>IF(OR(N(Database!$BG264)&lt;=0,N(Screener!$D$13)&lt;=0),0,MAX(0,1-ABS(LOG10(N(Database!$BG264)/Screener!$D$13))/W_PEHW))</f>
        <v/>
      </c>
      <c r="J264">
        <f>IF(OR(N(Database!$S264)&lt;=0,N(Screener!$D$14)&lt;=0),0,MAX(0,1-ABS(LOG10(Database!$S264/Screener!$D$14))/0.6))</f>
        <v/>
      </c>
      <c r="K264">
        <f>IF(Database!$B264=Screener!$B$5,-999999,IF(ISNUMBER(SEARCH(","&amp;Database!$A264&amp;",",","&amp;SUBSTITUTE(Screener!$D$17," ","")&amp;",")),2000000,IF(IF(OR(Screener!$B$18="All",AND(Screener!$B$18="With A-share",(Database!$BL264="Y")),AND(Screener!$B$18="Without A-share",NOT((Database!$BL264="Y")))),1,0)=0,-999999,IF(Screener!$B$16="cornerstone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Database!BF252</f>
        <v/>
      </c>
      <c r="AF264">
        <f>Database!BL252</f>
        <v/>
      </c>
      <c r="AG264">
        <f>Database!H252</f>
        <v/>
      </c>
      <c r="AH264">
        <f>Database!BG252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IF(OR(Database!$BF265="",Screener!$D$10=""),0,IF(Database!$BF265=Screener!$D$10,1,0))</f>
        <v/>
      </c>
      <c r="F265">
        <f>IF(OR(Database!$BL265="",Screener!$D$11=""),0,IF(Database!$BL265=Screener!$D$11,1,0))</f>
        <v/>
      </c>
      <c r="G265">
        <f>IF(OR(Database!$H265="",N(Screener!$D$12)&lt;=0),0,MAX(0,1-(N(Screener!$D$12)-Database!$H265)/W_RECD))</f>
        <v/>
      </c>
      <c r="H265">
        <f>IF($U$1="",0,N(ISNUMBER(SEARCH($U$1,Database!$AC265&amp;""))))+IF($V$1="",0,N(ISNUMBER(SEARCH($V$1,Database!$AC265&amp;""))))+IF($W$1="",0,N(ISNUMBER(SEARCH($W$1,Database!$AC265&amp;""))))+IF($X$1="",0,N(ISNUMBER(SEARCH($X$1,Database!$AC265&amp;""))))+IF($Y$1="",0,N(ISNUMBER(SEARCH($Y$1,Database!$AC265&amp;""))))+IF(Screener!$B$17="",0,N(ISNUMBER(SEARCH(LOWER(Screener!$B$17),Database!$AC265&amp;""))))</f>
        <v/>
      </c>
      <c r="I265">
        <f>IF(OR(N(Database!$BG265)&lt;=0,N(Screener!$D$13)&lt;=0),0,MAX(0,1-ABS(LOG10(N(Database!$BG265)/Screener!$D$13))/W_PEHW))</f>
        <v/>
      </c>
      <c r="J265">
        <f>IF(OR(N(Database!$S265)&lt;=0,N(Screener!$D$14)&lt;=0),0,MAX(0,1-ABS(LOG10(Database!$S265/Screener!$D$14))/0.6))</f>
        <v/>
      </c>
      <c r="K265">
        <f>IF(Database!$B265=Screener!$B$5,-999999,IF(ISNUMBER(SEARCH(","&amp;Database!$A265&amp;",",","&amp;SUBSTITUTE(Screener!$D$17," ","")&amp;",")),2000000,IF(IF(OR(Screener!$B$18="All",AND(Screener!$B$18="With A-share",(Database!$BL265="Y")),AND(Screener!$B$18="Without A-share",NOT((Database!$BL265="Y")))),1,0)=0,-999999,IF(Screener!$B$16="cornerstone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Database!BF253</f>
        <v/>
      </c>
      <c r="AF265">
        <f>Database!BL253</f>
        <v/>
      </c>
      <c r="AG265">
        <f>Database!H253</f>
        <v/>
      </c>
      <c r="AH265">
        <f>Database!BG253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IF(OR(Database!$BF266="",Screener!$D$10=""),0,IF(Database!$BF266=Screener!$D$10,1,0))</f>
        <v/>
      </c>
      <c r="F266">
        <f>IF(OR(Database!$BL266="",Screener!$D$11=""),0,IF(Database!$BL266=Screener!$D$11,1,0))</f>
        <v/>
      </c>
      <c r="G266">
        <f>IF(OR(Database!$H266="",N(Screener!$D$12)&lt;=0),0,MAX(0,1-(N(Screener!$D$12)-Database!$H266)/W_RECD))</f>
        <v/>
      </c>
      <c r="H266">
        <f>IF($U$1="",0,N(ISNUMBER(SEARCH($U$1,Database!$AC266&amp;""))))+IF($V$1="",0,N(ISNUMBER(SEARCH($V$1,Database!$AC266&amp;""))))+IF($W$1="",0,N(ISNUMBER(SEARCH($W$1,Database!$AC266&amp;""))))+IF($X$1="",0,N(ISNUMBER(SEARCH($X$1,Database!$AC266&amp;""))))+IF($Y$1="",0,N(ISNUMBER(SEARCH($Y$1,Database!$AC266&amp;""))))+IF(Screener!$B$17="",0,N(ISNUMBER(SEARCH(LOWER(Screener!$B$17),Database!$AC266&amp;""))))</f>
        <v/>
      </c>
      <c r="I266">
        <f>IF(OR(N(Database!$BG266)&lt;=0,N(Screener!$D$13)&lt;=0),0,MAX(0,1-ABS(LOG10(N(Database!$BG266)/Screener!$D$13))/W_PEHW))</f>
        <v/>
      </c>
      <c r="J266">
        <f>IF(OR(N(Database!$S266)&lt;=0,N(Screener!$D$14)&lt;=0),0,MAX(0,1-ABS(LOG10(Database!$S266/Screener!$D$14))/0.6))</f>
        <v/>
      </c>
      <c r="K266">
        <f>IF(Database!$B266=Screener!$B$5,-999999,IF(ISNUMBER(SEARCH(","&amp;Database!$A266&amp;",",","&amp;SUBSTITUTE(Screener!$D$17," ","")&amp;",")),2000000,IF(IF(OR(Screener!$B$18="All",AND(Screener!$B$18="With A-share",(Database!$BL266="Y")),AND(Screener!$B$18="Without A-share",NOT((Database!$BL266="Y")))),1,0)=0,-999999,IF(Screener!$B$16="cornerstone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Database!BF254</f>
        <v/>
      </c>
      <c r="AF266">
        <f>Database!BL254</f>
        <v/>
      </c>
      <c r="AG266">
        <f>Database!H254</f>
        <v/>
      </c>
      <c r="AH266">
        <f>Database!BG254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IF(OR(Database!$BF267="",Screener!$D$10=""),0,IF(Database!$BF267=Screener!$D$10,1,0))</f>
        <v/>
      </c>
      <c r="F267">
        <f>IF(OR(Database!$BL267="",Screener!$D$11=""),0,IF(Database!$BL267=Screener!$D$11,1,0))</f>
        <v/>
      </c>
      <c r="G267">
        <f>IF(OR(Database!$H267="",N(Screener!$D$12)&lt;=0),0,MAX(0,1-(N(Screener!$D$12)-Database!$H267)/W_RECD))</f>
        <v/>
      </c>
      <c r="H267">
        <f>IF($U$1="",0,N(ISNUMBER(SEARCH($U$1,Database!$AC267&amp;""))))+IF($V$1="",0,N(ISNUMBER(SEARCH($V$1,Database!$AC267&amp;""))))+IF($W$1="",0,N(ISNUMBER(SEARCH($W$1,Database!$AC267&amp;""))))+IF($X$1="",0,N(ISNUMBER(SEARCH($X$1,Database!$AC267&amp;""))))+IF($Y$1="",0,N(ISNUMBER(SEARCH($Y$1,Database!$AC267&amp;""))))+IF(Screener!$B$17="",0,N(ISNUMBER(SEARCH(LOWER(Screener!$B$17),Database!$AC267&amp;""))))</f>
        <v/>
      </c>
      <c r="I267">
        <f>IF(OR(N(Database!$BG267)&lt;=0,N(Screener!$D$13)&lt;=0),0,MAX(0,1-ABS(LOG10(N(Database!$BG267)/Screener!$D$13))/W_PEHW))</f>
        <v/>
      </c>
      <c r="J267">
        <f>IF(OR(N(Database!$S267)&lt;=0,N(Screener!$D$14)&lt;=0),0,MAX(0,1-ABS(LOG10(Database!$S267/Screener!$D$14))/0.6))</f>
        <v/>
      </c>
      <c r="K267">
        <f>IF(Database!$B267=Screener!$B$5,-999999,IF(ISNUMBER(SEARCH(","&amp;Database!$A267&amp;",",","&amp;SUBSTITUTE(Screener!$D$17," ","")&amp;",")),2000000,IF(IF(OR(Screener!$B$18="All",AND(Screener!$B$18="With A-share",(Database!$BL267="Y")),AND(Screener!$B$18="Without A-share",NOT((Database!$BL267="Y")))),1,0)=0,-999999,IF(Screener!$B$16="cornerstone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Database!BF255</f>
        <v/>
      </c>
      <c r="AF267">
        <f>Database!BL255</f>
        <v/>
      </c>
      <c r="AG267">
        <f>Database!H255</f>
        <v/>
      </c>
      <c r="AH267">
        <f>Database!BG255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IF(OR(Database!$BF268="",Screener!$D$10=""),0,IF(Database!$BF268=Screener!$D$10,1,0))</f>
        <v/>
      </c>
      <c r="F268">
        <f>IF(OR(Database!$BL268="",Screener!$D$11=""),0,IF(Database!$BL268=Screener!$D$11,1,0))</f>
        <v/>
      </c>
      <c r="G268">
        <f>IF(OR(Database!$H268="",N(Screener!$D$12)&lt;=0),0,MAX(0,1-(N(Screener!$D$12)-Database!$H268)/W_RECD))</f>
        <v/>
      </c>
      <c r="H268">
        <f>IF($U$1="",0,N(ISNUMBER(SEARCH($U$1,Database!$AC268&amp;""))))+IF($V$1="",0,N(ISNUMBER(SEARCH($V$1,Database!$AC268&amp;""))))+IF($W$1="",0,N(ISNUMBER(SEARCH($W$1,Database!$AC268&amp;""))))+IF($X$1="",0,N(ISNUMBER(SEARCH($X$1,Database!$AC268&amp;""))))+IF($Y$1="",0,N(ISNUMBER(SEARCH($Y$1,Database!$AC268&amp;""))))+IF(Screener!$B$17="",0,N(ISNUMBER(SEARCH(LOWER(Screener!$B$17),Database!$AC268&amp;""))))</f>
        <v/>
      </c>
      <c r="I268">
        <f>IF(OR(N(Database!$BG268)&lt;=0,N(Screener!$D$13)&lt;=0),0,MAX(0,1-ABS(LOG10(N(Database!$BG268)/Screener!$D$13))/W_PEHW))</f>
        <v/>
      </c>
      <c r="J268">
        <f>IF(OR(N(Database!$S268)&lt;=0,N(Screener!$D$14)&lt;=0),0,MAX(0,1-ABS(LOG10(Database!$S268/Screener!$D$14))/0.6))</f>
        <v/>
      </c>
      <c r="K268">
        <f>IF(Database!$B268=Screener!$B$5,-999999,IF(ISNUMBER(SEARCH(","&amp;Database!$A268&amp;",",","&amp;SUBSTITUTE(Screener!$D$17," ","")&amp;",")),2000000,IF(IF(OR(Screener!$B$18="All",AND(Screener!$B$18="With A-share",(Database!$BL268="Y")),AND(Screener!$B$18="Without A-share",NOT((Database!$BL268="Y")))),1,0)=0,-999999,IF(Screener!$B$16="cornerstone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Database!BF256</f>
        <v/>
      </c>
      <c r="AF268">
        <f>Database!BL256</f>
        <v/>
      </c>
      <c r="AG268">
        <f>Database!H256</f>
        <v/>
      </c>
      <c r="AH268">
        <f>Database!BG256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IF(OR(Database!$BF269="",Screener!$D$10=""),0,IF(Database!$BF269=Screener!$D$10,1,0))</f>
        <v/>
      </c>
      <c r="F269">
        <f>IF(OR(Database!$BL269="",Screener!$D$11=""),0,IF(Database!$BL269=Screener!$D$11,1,0))</f>
        <v/>
      </c>
      <c r="G269">
        <f>IF(OR(Database!$H269="",N(Screener!$D$12)&lt;=0),0,MAX(0,1-(N(Screener!$D$12)-Database!$H269)/W_RECD))</f>
        <v/>
      </c>
      <c r="H269">
        <f>IF($U$1="",0,N(ISNUMBER(SEARCH($U$1,Database!$AC269&amp;""))))+IF($V$1="",0,N(ISNUMBER(SEARCH($V$1,Database!$AC269&amp;""))))+IF($W$1="",0,N(ISNUMBER(SEARCH($W$1,Database!$AC269&amp;""))))+IF($X$1="",0,N(ISNUMBER(SEARCH($X$1,Database!$AC269&amp;""))))+IF($Y$1="",0,N(ISNUMBER(SEARCH($Y$1,Database!$AC269&amp;""))))+IF(Screener!$B$17="",0,N(ISNUMBER(SEARCH(LOWER(Screener!$B$17),Database!$AC269&amp;""))))</f>
        <v/>
      </c>
      <c r="I269">
        <f>IF(OR(N(Database!$BG269)&lt;=0,N(Screener!$D$13)&lt;=0),0,MAX(0,1-ABS(LOG10(N(Database!$BG269)/Screener!$D$13))/W_PEHW))</f>
        <v/>
      </c>
      <c r="J269">
        <f>IF(OR(N(Database!$S269)&lt;=0,N(Screener!$D$14)&lt;=0),0,MAX(0,1-ABS(LOG10(Database!$S269/Screener!$D$14))/0.6))</f>
        <v/>
      </c>
      <c r="K269">
        <f>IF(Database!$B269=Screener!$B$5,-999999,IF(ISNUMBER(SEARCH(","&amp;Database!$A269&amp;",",","&amp;SUBSTITUTE(Screener!$D$17," ","")&amp;",")),2000000,IF(IF(OR(Screener!$B$18="All",AND(Screener!$B$18="With A-share",(Database!$BL269="Y")),AND(Screener!$B$18="Without A-share",NOT((Database!$BL269="Y")))),1,0)=0,-999999,IF(Screener!$B$16="cornerstone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Database!BF257</f>
        <v/>
      </c>
      <c r="AF269">
        <f>Database!BL257</f>
        <v/>
      </c>
      <c r="AG269">
        <f>Database!H257</f>
        <v/>
      </c>
      <c r="AH269">
        <f>Database!BG257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IF(OR(Database!$BF270="",Screener!$D$10=""),0,IF(Database!$BF270=Screener!$D$10,1,0))</f>
        <v/>
      </c>
      <c r="F270">
        <f>IF(OR(Database!$BL270="",Screener!$D$11=""),0,IF(Database!$BL270=Screener!$D$11,1,0))</f>
        <v/>
      </c>
      <c r="G270">
        <f>IF(OR(Database!$H270="",N(Screener!$D$12)&lt;=0),0,MAX(0,1-(N(Screener!$D$12)-Database!$H270)/W_RECD))</f>
        <v/>
      </c>
      <c r="H270">
        <f>IF($U$1="",0,N(ISNUMBER(SEARCH($U$1,Database!$AC270&amp;""))))+IF($V$1="",0,N(ISNUMBER(SEARCH($V$1,Database!$AC270&amp;""))))+IF($W$1="",0,N(ISNUMBER(SEARCH($W$1,Database!$AC270&amp;""))))+IF($X$1="",0,N(ISNUMBER(SEARCH($X$1,Database!$AC270&amp;""))))+IF($Y$1="",0,N(ISNUMBER(SEARCH($Y$1,Database!$AC270&amp;""))))+IF(Screener!$B$17="",0,N(ISNUMBER(SEARCH(LOWER(Screener!$B$17),Database!$AC270&amp;""))))</f>
        <v/>
      </c>
      <c r="I270">
        <f>IF(OR(N(Database!$BG270)&lt;=0,N(Screener!$D$13)&lt;=0),0,MAX(0,1-ABS(LOG10(N(Database!$BG270)/Screener!$D$13))/W_PEHW))</f>
        <v/>
      </c>
      <c r="J270">
        <f>IF(OR(N(Database!$S270)&lt;=0,N(Screener!$D$14)&lt;=0),0,MAX(0,1-ABS(LOG10(Database!$S270/Screener!$D$14))/0.6))</f>
        <v/>
      </c>
      <c r="K270">
        <f>IF(Database!$B270=Screener!$B$5,-999999,IF(ISNUMBER(SEARCH(","&amp;Database!$A270&amp;",",","&amp;SUBSTITUTE(Screener!$D$17," ","")&amp;",")),2000000,IF(IF(OR(Screener!$B$18="All",AND(Screener!$B$18="With A-share",(Database!$BL270="Y")),AND(Screener!$B$18="Without A-share",NOT((Database!$BL270="Y")))),1,0)=0,-999999,IF(Screener!$B$16="cornerstone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Database!BF258</f>
        <v/>
      </c>
      <c r="AF270">
        <f>Database!BL258</f>
        <v/>
      </c>
      <c r="AG270">
        <f>Database!H258</f>
        <v/>
      </c>
      <c r="AH270">
        <f>Database!BG258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IF(OR(Database!$BF271="",Screener!$D$10=""),0,IF(Database!$BF271=Screener!$D$10,1,0))</f>
        <v/>
      </c>
      <c r="F271">
        <f>IF(OR(Database!$BL271="",Screener!$D$11=""),0,IF(Database!$BL271=Screener!$D$11,1,0))</f>
        <v/>
      </c>
      <c r="G271">
        <f>IF(OR(Database!$H271="",N(Screener!$D$12)&lt;=0),0,MAX(0,1-(N(Screener!$D$12)-Database!$H271)/W_RECD))</f>
        <v/>
      </c>
      <c r="H271">
        <f>IF($U$1="",0,N(ISNUMBER(SEARCH($U$1,Database!$AC271&amp;""))))+IF($V$1="",0,N(ISNUMBER(SEARCH($V$1,Database!$AC271&amp;""))))+IF($W$1="",0,N(ISNUMBER(SEARCH($W$1,Database!$AC271&amp;""))))+IF($X$1="",0,N(ISNUMBER(SEARCH($X$1,Database!$AC271&amp;""))))+IF($Y$1="",0,N(ISNUMBER(SEARCH($Y$1,Database!$AC271&amp;""))))+IF(Screener!$B$17="",0,N(ISNUMBER(SEARCH(LOWER(Screener!$B$17),Database!$AC271&amp;""))))</f>
        <v/>
      </c>
      <c r="I271">
        <f>IF(OR(N(Database!$BG271)&lt;=0,N(Screener!$D$13)&lt;=0),0,MAX(0,1-ABS(LOG10(N(Database!$BG271)/Screener!$D$13))/W_PEHW))</f>
        <v/>
      </c>
      <c r="J271">
        <f>IF(OR(N(Database!$S271)&lt;=0,N(Screener!$D$14)&lt;=0),0,MAX(0,1-ABS(LOG10(Database!$S271/Screener!$D$14))/0.6))</f>
        <v/>
      </c>
      <c r="K271">
        <f>IF(Database!$B271=Screener!$B$5,-999999,IF(ISNUMBER(SEARCH(","&amp;Database!$A271&amp;",",","&amp;SUBSTITUTE(Screener!$D$17," ","")&amp;",")),2000000,IF(IF(OR(Screener!$B$18="All",AND(Screener!$B$18="With A-share",(Database!$BL271="Y")),AND(Screener!$B$18="Without A-share",NOT((Database!$BL271="Y")))),1,0)=0,-999999,IF(Screener!$B$16="cornerstone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Database!BF259</f>
        <v/>
      </c>
      <c r="AF271">
        <f>Database!BL259</f>
        <v/>
      </c>
      <c r="AG271">
        <f>Database!H259</f>
        <v/>
      </c>
      <c r="AH271">
        <f>Database!BG259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IF(OR(Database!$BF272="",Screener!$D$10=""),0,IF(Database!$BF272=Screener!$D$10,1,0))</f>
        <v/>
      </c>
      <c r="F272">
        <f>IF(OR(Database!$BL272="",Screener!$D$11=""),0,IF(Database!$BL272=Screener!$D$11,1,0))</f>
        <v/>
      </c>
      <c r="G272">
        <f>IF(OR(Database!$H272="",N(Screener!$D$12)&lt;=0),0,MAX(0,1-(N(Screener!$D$12)-Database!$H272)/W_RECD))</f>
        <v/>
      </c>
      <c r="H272">
        <f>IF($U$1="",0,N(ISNUMBER(SEARCH($U$1,Database!$AC272&amp;""))))+IF($V$1="",0,N(ISNUMBER(SEARCH($V$1,Database!$AC272&amp;""))))+IF($W$1="",0,N(ISNUMBER(SEARCH($W$1,Database!$AC272&amp;""))))+IF($X$1="",0,N(ISNUMBER(SEARCH($X$1,Database!$AC272&amp;""))))+IF($Y$1="",0,N(ISNUMBER(SEARCH($Y$1,Database!$AC272&amp;""))))+IF(Screener!$B$17="",0,N(ISNUMBER(SEARCH(LOWER(Screener!$B$17),Database!$AC272&amp;""))))</f>
        <v/>
      </c>
      <c r="I272">
        <f>IF(OR(N(Database!$BG272)&lt;=0,N(Screener!$D$13)&lt;=0),0,MAX(0,1-ABS(LOG10(N(Database!$BG272)/Screener!$D$13))/W_PEHW))</f>
        <v/>
      </c>
      <c r="J272">
        <f>IF(OR(N(Database!$S272)&lt;=0,N(Screener!$D$14)&lt;=0),0,MAX(0,1-ABS(LOG10(Database!$S272/Screener!$D$14))/0.6))</f>
        <v/>
      </c>
      <c r="K272">
        <f>IF(Database!$B272=Screener!$B$5,-999999,IF(ISNUMBER(SEARCH(","&amp;Database!$A272&amp;",",","&amp;SUBSTITUTE(Screener!$D$17," ","")&amp;",")),2000000,IF(IF(OR(Screener!$B$18="All",AND(Screener!$B$18="With A-share",(Database!$BL272="Y")),AND(Screener!$B$18="Without A-share",NOT((Database!$BL272="Y")))),1,0)=0,-999999,IF(Screener!$B$16="cornerstone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Database!BF260</f>
        <v/>
      </c>
      <c r="AF272">
        <f>Database!BL260</f>
        <v/>
      </c>
      <c r="AG272">
        <f>Database!H260</f>
        <v/>
      </c>
      <c r="AH272">
        <f>Database!BG260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IF(OR(Database!$BF273="",Screener!$D$10=""),0,IF(Database!$BF273=Screener!$D$10,1,0))</f>
        <v/>
      </c>
      <c r="F273">
        <f>IF(OR(Database!$BL273="",Screener!$D$11=""),0,IF(Database!$BL273=Screener!$D$11,1,0))</f>
        <v/>
      </c>
      <c r="G273">
        <f>IF(OR(Database!$H273="",N(Screener!$D$12)&lt;=0),0,MAX(0,1-(N(Screener!$D$12)-Database!$H273)/W_RECD))</f>
        <v/>
      </c>
      <c r="H273">
        <f>IF($U$1="",0,N(ISNUMBER(SEARCH($U$1,Database!$AC273&amp;""))))+IF($V$1="",0,N(ISNUMBER(SEARCH($V$1,Database!$AC273&amp;""))))+IF($W$1="",0,N(ISNUMBER(SEARCH($W$1,Database!$AC273&amp;""))))+IF($X$1="",0,N(ISNUMBER(SEARCH($X$1,Database!$AC273&amp;""))))+IF($Y$1="",0,N(ISNUMBER(SEARCH($Y$1,Database!$AC273&amp;""))))+IF(Screener!$B$17="",0,N(ISNUMBER(SEARCH(LOWER(Screener!$B$17),Database!$AC273&amp;""))))</f>
        <v/>
      </c>
      <c r="I273">
        <f>IF(OR(N(Database!$BG273)&lt;=0,N(Screener!$D$13)&lt;=0),0,MAX(0,1-ABS(LOG10(N(Database!$BG273)/Screener!$D$13))/W_PEHW))</f>
        <v/>
      </c>
      <c r="J273">
        <f>IF(OR(N(Database!$S273)&lt;=0,N(Screener!$D$14)&lt;=0),0,MAX(0,1-ABS(LOG10(Database!$S273/Screener!$D$14))/0.6))</f>
        <v/>
      </c>
      <c r="K273">
        <f>IF(Database!$B273=Screener!$B$5,-999999,IF(ISNUMBER(SEARCH(","&amp;Database!$A273&amp;",",","&amp;SUBSTITUTE(Screener!$D$17," ","")&amp;",")),2000000,IF(IF(OR(Screener!$B$18="All",AND(Screener!$B$18="With A-share",(Database!$BL273="Y")),AND(Screener!$B$18="Without A-share",NOT((Database!$BL273="Y")))),1,0)=0,-999999,IF(Screener!$B$16="cornerstone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Database!BF261</f>
        <v/>
      </c>
      <c r="AF273">
        <f>Database!BL261</f>
        <v/>
      </c>
      <c r="AG273">
        <f>Database!H261</f>
        <v/>
      </c>
      <c r="AH273">
        <f>Database!BG261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IF(OR(Database!$BF274="",Screener!$D$10=""),0,IF(Database!$BF274=Screener!$D$10,1,0))</f>
        <v/>
      </c>
      <c r="F274">
        <f>IF(OR(Database!$BL274="",Screener!$D$11=""),0,IF(Database!$BL274=Screener!$D$11,1,0))</f>
        <v/>
      </c>
      <c r="G274">
        <f>IF(OR(Database!$H274="",N(Screener!$D$12)&lt;=0),0,MAX(0,1-(N(Screener!$D$12)-Database!$H274)/W_RECD))</f>
        <v/>
      </c>
      <c r="H274">
        <f>IF($U$1="",0,N(ISNUMBER(SEARCH($U$1,Database!$AC274&amp;""))))+IF($V$1="",0,N(ISNUMBER(SEARCH($V$1,Database!$AC274&amp;""))))+IF($W$1="",0,N(ISNUMBER(SEARCH($W$1,Database!$AC274&amp;""))))+IF($X$1="",0,N(ISNUMBER(SEARCH($X$1,Database!$AC274&amp;""))))+IF($Y$1="",0,N(ISNUMBER(SEARCH($Y$1,Database!$AC274&amp;""))))+IF(Screener!$B$17="",0,N(ISNUMBER(SEARCH(LOWER(Screener!$B$17),Database!$AC274&amp;""))))</f>
        <v/>
      </c>
      <c r="I274">
        <f>IF(OR(N(Database!$BG274)&lt;=0,N(Screener!$D$13)&lt;=0),0,MAX(0,1-ABS(LOG10(N(Database!$BG274)/Screener!$D$13))/W_PEHW))</f>
        <v/>
      </c>
      <c r="J274">
        <f>IF(OR(N(Database!$S274)&lt;=0,N(Screener!$D$14)&lt;=0),0,MAX(0,1-ABS(LOG10(Database!$S274/Screener!$D$14))/0.6))</f>
        <v/>
      </c>
      <c r="K274">
        <f>IF(Database!$B274=Screener!$B$5,-999999,IF(ISNUMBER(SEARCH(","&amp;Database!$A274&amp;",",","&amp;SUBSTITUTE(Screener!$D$17," ","")&amp;",")),2000000,IF(IF(OR(Screener!$B$18="All",AND(Screener!$B$18="With A-share",(Database!$BL274="Y")),AND(Screener!$B$18="Without A-share",NOT((Database!$BL274="Y")))),1,0)=0,-999999,IF(Screener!$B$16="cornerstone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Database!BF262</f>
        <v/>
      </c>
      <c r="AF274">
        <f>Database!BL262</f>
        <v/>
      </c>
      <c r="AG274">
        <f>Database!H262</f>
        <v/>
      </c>
      <c r="AH274">
        <f>Database!BG262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IF(OR(Database!$BF275="",Screener!$D$10=""),0,IF(Database!$BF275=Screener!$D$10,1,0))</f>
        <v/>
      </c>
      <c r="F275">
        <f>IF(OR(Database!$BL275="",Screener!$D$11=""),0,IF(Database!$BL275=Screener!$D$11,1,0))</f>
        <v/>
      </c>
      <c r="G275">
        <f>IF(OR(Database!$H275="",N(Screener!$D$12)&lt;=0),0,MAX(0,1-(N(Screener!$D$12)-Database!$H275)/W_RECD))</f>
        <v/>
      </c>
      <c r="H275">
        <f>IF($U$1="",0,N(ISNUMBER(SEARCH($U$1,Database!$AC275&amp;""))))+IF($V$1="",0,N(ISNUMBER(SEARCH($V$1,Database!$AC275&amp;""))))+IF($W$1="",0,N(ISNUMBER(SEARCH($W$1,Database!$AC275&amp;""))))+IF($X$1="",0,N(ISNUMBER(SEARCH($X$1,Database!$AC275&amp;""))))+IF($Y$1="",0,N(ISNUMBER(SEARCH($Y$1,Database!$AC275&amp;""))))+IF(Screener!$B$17="",0,N(ISNUMBER(SEARCH(LOWER(Screener!$B$17),Database!$AC275&amp;""))))</f>
        <v/>
      </c>
      <c r="I275">
        <f>IF(OR(N(Database!$BG275)&lt;=0,N(Screener!$D$13)&lt;=0),0,MAX(0,1-ABS(LOG10(N(Database!$BG275)/Screener!$D$13))/W_PEHW))</f>
        <v/>
      </c>
      <c r="J275">
        <f>IF(OR(N(Database!$S275)&lt;=0,N(Screener!$D$14)&lt;=0),0,MAX(0,1-ABS(LOG10(Database!$S275/Screener!$D$14))/0.6))</f>
        <v/>
      </c>
      <c r="K275">
        <f>IF(Database!$B275=Screener!$B$5,-999999,IF(ISNUMBER(SEARCH(","&amp;Database!$A275&amp;",",","&amp;SUBSTITUTE(Screener!$D$17," ","")&amp;",")),2000000,IF(IF(OR(Screener!$B$18="All",AND(Screener!$B$18="With A-share",(Database!$BL275="Y")),AND(Screener!$B$18="Without A-share",NOT((Database!$BL275="Y")))),1,0)=0,-999999,IF(Screener!$B$16="cornerstone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Database!BF263</f>
        <v/>
      </c>
      <c r="AF275">
        <f>Database!BL263</f>
        <v/>
      </c>
      <c r="AG275">
        <f>Database!H263</f>
        <v/>
      </c>
      <c r="AH275">
        <f>Database!BG263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IF(OR(Database!$BF276="",Screener!$D$10=""),0,IF(Database!$BF276=Screener!$D$10,1,0))</f>
        <v/>
      </c>
      <c r="F276">
        <f>IF(OR(Database!$BL276="",Screener!$D$11=""),0,IF(Database!$BL276=Screener!$D$11,1,0))</f>
        <v/>
      </c>
      <c r="G276">
        <f>IF(OR(Database!$H276="",N(Screener!$D$12)&lt;=0),0,MAX(0,1-(N(Screener!$D$12)-Database!$H276)/W_RECD))</f>
        <v/>
      </c>
      <c r="H276">
        <f>IF($U$1="",0,N(ISNUMBER(SEARCH($U$1,Database!$AC276&amp;""))))+IF($V$1="",0,N(ISNUMBER(SEARCH($V$1,Database!$AC276&amp;""))))+IF($W$1="",0,N(ISNUMBER(SEARCH($W$1,Database!$AC276&amp;""))))+IF($X$1="",0,N(ISNUMBER(SEARCH($X$1,Database!$AC276&amp;""))))+IF($Y$1="",0,N(ISNUMBER(SEARCH($Y$1,Database!$AC276&amp;""))))+IF(Screener!$B$17="",0,N(ISNUMBER(SEARCH(LOWER(Screener!$B$17),Database!$AC276&amp;""))))</f>
        <v/>
      </c>
      <c r="I276">
        <f>IF(OR(N(Database!$BG276)&lt;=0,N(Screener!$D$13)&lt;=0),0,MAX(0,1-ABS(LOG10(N(Database!$BG276)/Screener!$D$13))/W_PEHW))</f>
        <v/>
      </c>
      <c r="J276">
        <f>IF(OR(N(Database!$S276)&lt;=0,N(Screener!$D$14)&lt;=0),0,MAX(0,1-ABS(LOG10(Database!$S276/Screener!$D$14))/0.6))</f>
        <v/>
      </c>
      <c r="K276">
        <f>IF(Database!$B276=Screener!$B$5,-999999,IF(ISNUMBER(SEARCH(","&amp;Database!$A276&amp;",",","&amp;SUBSTITUTE(Screener!$D$17," ","")&amp;",")),2000000,IF(IF(OR(Screener!$B$18="All",AND(Screener!$B$18="With A-share",(Database!$BL276="Y")),AND(Screener!$B$18="Without A-share",NOT((Database!$BL276="Y")))),1,0)=0,-999999,IF(Screener!$B$16="cornerstone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Database!BF264</f>
        <v/>
      </c>
      <c r="AF276">
        <f>Database!BL264</f>
        <v/>
      </c>
      <c r="AG276">
        <f>Database!H264</f>
        <v/>
      </c>
      <c r="AH276">
        <f>Database!BG264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IF(OR(Database!$BF277="",Screener!$D$10=""),0,IF(Database!$BF277=Screener!$D$10,1,0))</f>
        <v/>
      </c>
      <c r="F277">
        <f>IF(OR(Database!$BL277="",Screener!$D$11=""),0,IF(Database!$BL277=Screener!$D$11,1,0))</f>
        <v/>
      </c>
      <c r="G277">
        <f>IF(OR(Database!$H277="",N(Screener!$D$12)&lt;=0),0,MAX(0,1-(N(Screener!$D$12)-Database!$H277)/W_RECD))</f>
        <v/>
      </c>
      <c r="H277">
        <f>IF($U$1="",0,N(ISNUMBER(SEARCH($U$1,Database!$AC277&amp;""))))+IF($V$1="",0,N(ISNUMBER(SEARCH($V$1,Database!$AC277&amp;""))))+IF($W$1="",0,N(ISNUMBER(SEARCH($W$1,Database!$AC277&amp;""))))+IF($X$1="",0,N(ISNUMBER(SEARCH($X$1,Database!$AC277&amp;""))))+IF($Y$1="",0,N(ISNUMBER(SEARCH($Y$1,Database!$AC277&amp;""))))+IF(Screener!$B$17="",0,N(ISNUMBER(SEARCH(LOWER(Screener!$B$17),Database!$AC277&amp;""))))</f>
        <v/>
      </c>
      <c r="I277">
        <f>IF(OR(N(Database!$BG277)&lt;=0,N(Screener!$D$13)&lt;=0),0,MAX(0,1-ABS(LOG10(N(Database!$BG277)/Screener!$D$13))/W_PEHW))</f>
        <v/>
      </c>
      <c r="J277">
        <f>IF(OR(N(Database!$S277)&lt;=0,N(Screener!$D$14)&lt;=0),0,MAX(0,1-ABS(LOG10(Database!$S277/Screener!$D$14))/0.6))</f>
        <v/>
      </c>
      <c r="K277">
        <f>IF(Database!$B277=Screener!$B$5,-999999,IF(ISNUMBER(SEARCH(","&amp;Database!$A277&amp;",",","&amp;SUBSTITUTE(Screener!$D$17," ","")&amp;",")),2000000,IF(IF(OR(Screener!$B$18="All",AND(Screener!$B$18="With A-share",(Database!$BL277="Y")),AND(Screener!$B$18="Without A-share",NOT((Database!$BL277="Y")))),1,0)=0,-999999,IF(Screener!$B$16="cornerstone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Database!BF265</f>
        <v/>
      </c>
      <c r="AF277">
        <f>Database!BL265</f>
        <v/>
      </c>
      <c r="AG277">
        <f>Database!H265</f>
        <v/>
      </c>
      <c r="AH277">
        <f>Database!BG265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IF(OR(Database!$BF278="",Screener!$D$10=""),0,IF(Database!$BF278=Screener!$D$10,1,0))</f>
        <v/>
      </c>
      <c r="F278">
        <f>IF(OR(Database!$BL278="",Screener!$D$11=""),0,IF(Database!$BL278=Screener!$D$11,1,0))</f>
        <v/>
      </c>
      <c r="G278">
        <f>IF(OR(Database!$H278="",N(Screener!$D$12)&lt;=0),0,MAX(0,1-(N(Screener!$D$12)-Database!$H278)/W_RECD))</f>
        <v/>
      </c>
      <c r="H278">
        <f>IF($U$1="",0,N(ISNUMBER(SEARCH($U$1,Database!$AC278&amp;""))))+IF($V$1="",0,N(ISNUMBER(SEARCH($V$1,Database!$AC278&amp;""))))+IF($W$1="",0,N(ISNUMBER(SEARCH($W$1,Database!$AC278&amp;""))))+IF($X$1="",0,N(ISNUMBER(SEARCH($X$1,Database!$AC278&amp;""))))+IF($Y$1="",0,N(ISNUMBER(SEARCH($Y$1,Database!$AC278&amp;""))))+IF(Screener!$B$17="",0,N(ISNUMBER(SEARCH(LOWER(Screener!$B$17),Database!$AC278&amp;""))))</f>
        <v/>
      </c>
      <c r="I278">
        <f>IF(OR(N(Database!$BG278)&lt;=0,N(Screener!$D$13)&lt;=0),0,MAX(0,1-ABS(LOG10(N(Database!$BG278)/Screener!$D$13))/W_PEHW))</f>
        <v/>
      </c>
      <c r="J278">
        <f>IF(OR(N(Database!$S278)&lt;=0,N(Screener!$D$14)&lt;=0),0,MAX(0,1-ABS(LOG10(Database!$S278/Screener!$D$14))/0.6))</f>
        <v/>
      </c>
      <c r="K278">
        <f>IF(Database!$B278=Screener!$B$5,-999999,IF(ISNUMBER(SEARCH(","&amp;Database!$A278&amp;",",","&amp;SUBSTITUTE(Screener!$D$17," ","")&amp;",")),2000000,IF(IF(OR(Screener!$B$18="All",AND(Screener!$B$18="With A-share",(Database!$BL278="Y")),AND(Screener!$B$18="Without A-share",NOT((Database!$BL278="Y")))),1,0)=0,-999999,IF(Screener!$B$16="cornerstone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Database!BF266</f>
        <v/>
      </c>
      <c r="AF278">
        <f>Database!BL266</f>
        <v/>
      </c>
      <c r="AG278">
        <f>Database!H266</f>
        <v/>
      </c>
      <c r="AH278">
        <f>Database!BG266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IF(OR(Database!$BF279="",Screener!$D$10=""),0,IF(Database!$BF279=Screener!$D$10,1,0))</f>
        <v/>
      </c>
      <c r="F279">
        <f>IF(OR(Database!$BL279="",Screener!$D$11=""),0,IF(Database!$BL279=Screener!$D$11,1,0))</f>
        <v/>
      </c>
      <c r="G279">
        <f>IF(OR(Database!$H279="",N(Screener!$D$12)&lt;=0),0,MAX(0,1-(N(Screener!$D$12)-Database!$H279)/W_RECD))</f>
        <v/>
      </c>
      <c r="H279">
        <f>IF($U$1="",0,N(ISNUMBER(SEARCH($U$1,Database!$AC279&amp;""))))+IF($V$1="",0,N(ISNUMBER(SEARCH($V$1,Database!$AC279&amp;""))))+IF($W$1="",0,N(ISNUMBER(SEARCH($W$1,Database!$AC279&amp;""))))+IF($X$1="",0,N(ISNUMBER(SEARCH($X$1,Database!$AC279&amp;""))))+IF($Y$1="",0,N(ISNUMBER(SEARCH($Y$1,Database!$AC279&amp;""))))+IF(Screener!$B$17="",0,N(ISNUMBER(SEARCH(LOWER(Screener!$B$17),Database!$AC279&amp;""))))</f>
        <v/>
      </c>
      <c r="I279">
        <f>IF(OR(N(Database!$BG279)&lt;=0,N(Screener!$D$13)&lt;=0),0,MAX(0,1-ABS(LOG10(N(Database!$BG279)/Screener!$D$13))/W_PEHW))</f>
        <v/>
      </c>
      <c r="J279">
        <f>IF(OR(N(Database!$S279)&lt;=0,N(Screener!$D$14)&lt;=0),0,MAX(0,1-ABS(LOG10(Database!$S279/Screener!$D$14))/0.6))</f>
        <v/>
      </c>
      <c r="K279">
        <f>IF(Database!$B279=Screener!$B$5,-999999,IF(ISNUMBER(SEARCH(","&amp;Database!$A279&amp;",",","&amp;SUBSTITUTE(Screener!$D$17," ","")&amp;",")),2000000,IF(IF(OR(Screener!$B$18="All",AND(Screener!$B$18="With A-share",(Database!$BL279="Y")),AND(Screener!$B$18="Without A-share",NOT((Database!$BL279="Y")))),1,0)=0,-999999,IF(Screener!$B$16="cornerstone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Database!BF267</f>
        <v/>
      </c>
      <c r="AF279">
        <f>Database!BL267</f>
        <v/>
      </c>
      <c r="AG279">
        <f>Database!H267</f>
        <v/>
      </c>
      <c r="AH279">
        <f>Database!BG267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IF(OR(Database!$BF280="",Screener!$D$10=""),0,IF(Database!$BF280=Screener!$D$10,1,0))</f>
        <v/>
      </c>
      <c r="F280">
        <f>IF(OR(Database!$BL280="",Screener!$D$11=""),0,IF(Database!$BL280=Screener!$D$11,1,0))</f>
        <v/>
      </c>
      <c r="G280">
        <f>IF(OR(Database!$H280="",N(Screener!$D$12)&lt;=0),0,MAX(0,1-(N(Screener!$D$12)-Database!$H280)/W_RECD))</f>
        <v/>
      </c>
      <c r="H280">
        <f>IF($U$1="",0,N(ISNUMBER(SEARCH($U$1,Database!$AC280&amp;""))))+IF($V$1="",0,N(ISNUMBER(SEARCH($V$1,Database!$AC280&amp;""))))+IF($W$1="",0,N(ISNUMBER(SEARCH($W$1,Database!$AC280&amp;""))))+IF($X$1="",0,N(ISNUMBER(SEARCH($X$1,Database!$AC280&amp;""))))+IF($Y$1="",0,N(ISNUMBER(SEARCH($Y$1,Database!$AC280&amp;""))))+IF(Screener!$B$17="",0,N(ISNUMBER(SEARCH(LOWER(Screener!$B$17),Database!$AC280&amp;""))))</f>
        <v/>
      </c>
      <c r="I280">
        <f>IF(OR(N(Database!$BG280)&lt;=0,N(Screener!$D$13)&lt;=0),0,MAX(0,1-ABS(LOG10(N(Database!$BG280)/Screener!$D$13))/W_PEHW))</f>
        <v/>
      </c>
      <c r="J280">
        <f>IF(OR(N(Database!$S280)&lt;=0,N(Screener!$D$14)&lt;=0),0,MAX(0,1-ABS(LOG10(Database!$S280/Screener!$D$14))/0.6))</f>
        <v/>
      </c>
      <c r="K280">
        <f>IF(Database!$B280=Screener!$B$5,-999999,IF(ISNUMBER(SEARCH(","&amp;Database!$A280&amp;",",","&amp;SUBSTITUTE(Screener!$D$17," ","")&amp;",")),2000000,IF(IF(OR(Screener!$B$18="All",AND(Screener!$B$18="With A-share",(Database!$BL280="Y")),AND(Screener!$B$18="Without A-share",NOT((Database!$BL280="Y")))),1,0)=0,-999999,IF(Screener!$B$16="cornerstone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Database!BF268</f>
        <v/>
      </c>
      <c r="AF280">
        <f>Database!BL268</f>
        <v/>
      </c>
      <c r="AG280">
        <f>Database!H268</f>
        <v/>
      </c>
      <c r="AH280">
        <f>Database!BG268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IF(OR(Database!$BF281="",Screener!$D$10=""),0,IF(Database!$BF281=Screener!$D$10,1,0))</f>
        <v/>
      </c>
      <c r="F281">
        <f>IF(OR(Database!$BL281="",Screener!$D$11=""),0,IF(Database!$BL281=Screener!$D$11,1,0))</f>
        <v/>
      </c>
      <c r="G281">
        <f>IF(OR(Database!$H281="",N(Screener!$D$12)&lt;=0),0,MAX(0,1-(N(Screener!$D$12)-Database!$H281)/W_RECD))</f>
        <v/>
      </c>
      <c r="H281">
        <f>IF($U$1="",0,N(ISNUMBER(SEARCH($U$1,Database!$AC281&amp;""))))+IF($V$1="",0,N(ISNUMBER(SEARCH($V$1,Database!$AC281&amp;""))))+IF($W$1="",0,N(ISNUMBER(SEARCH($W$1,Database!$AC281&amp;""))))+IF($X$1="",0,N(ISNUMBER(SEARCH($X$1,Database!$AC281&amp;""))))+IF($Y$1="",0,N(ISNUMBER(SEARCH($Y$1,Database!$AC281&amp;""))))+IF(Screener!$B$17="",0,N(ISNUMBER(SEARCH(LOWER(Screener!$B$17),Database!$AC281&amp;""))))</f>
        <v/>
      </c>
      <c r="I281">
        <f>IF(OR(N(Database!$BG281)&lt;=0,N(Screener!$D$13)&lt;=0),0,MAX(0,1-ABS(LOG10(N(Database!$BG281)/Screener!$D$13))/W_PEHW))</f>
        <v/>
      </c>
      <c r="J281">
        <f>IF(OR(N(Database!$S281)&lt;=0,N(Screener!$D$14)&lt;=0),0,MAX(0,1-ABS(LOG10(Database!$S281/Screener!$D$14))/0.6))</f>
        <v/>
      </c>
      <c r="K281">
        <f>IF(Database!$B281=Screener!$B$5,-999999,IF(ISNUMBER(SEARCH(","&amp;Database!$A281&amp;",",","&amp;SUBSTITUTE(Screener!$D$17," ","")&amp;",")),2000000,IF(IF(OR(Screener!$B$18="All",AND(Screener!$B$18="With A-share",(Database!$BL281="Y")),AND(Screener!$B$18="Without A-share",NOT((Database!$BL281="Y")))),1,0)=0,-999999,IF(Screener!$B$16="cornerstone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Database!BF269</f>
        <v/>
      </c>
      <c r="AF281">
        <f>Database!BL269</f>
        <v/>
      </c>
      <c r="AG281">
        <f>Database!H269</f>
        <v/>
      </c>
      <c r="AH281">
        <f>Database!BG269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IF(OR(Database!$BF282="",Screener!$D$10=""),0,IF(Database!$BF282=Screener!$D$10,1,0))</f>
        <v/>
      </c>
      <c r="F282">
        <f>IF(OR(Database!$BL282="",Screener!$D$11=""),0,IF(Database!$BL282=Screener!$D$11,1,0))</f>
        <v/>
      </c>
      <c r="G282">
        <f>IF(OR(Database!$H282="",N(Screener!$D$12)&lt;=0),0,MAX(0,1-(N(Screener!$D$12)-Database!$H282)/W_RECD))</f>
        <v/>
      </c>
      <c r="H282">
        <f>IF($U$1="",0,N(ISNUMBER(SEARCH($U$1,Database!$AC282&amp;""))))+IF($V$1="",0,N(ISNUMBER(SEARCH($V$1,Database!$AC282&amp;""))))+IF($W$1="",0,N(ISNUMBER(SEARCH($W$1,Database!$AC282&amp;""))))+IF($X$1="",0,N(ISNUMBER(SEARCH($X$1,Database!$AC282&amp;""))))+IF($Y$1="",0,N(ISNUMBER(SEARCH($Y$1,Database!$AC282&amp;""))))+IF(Screener!$B$17="",0,N(ISNUMBER(SEARCH(LOWER(Screener!$B$17),Database!$AC282&amp;""))))</f>
        <v/>
      </c>
      <c r="I282">
        <f>IF(OR(N(Database!$BG282)&lt;=0,N(Screener!$D$13)&lt;=0),0,MAX(0,1-ABS(LOG10(N(Database!$BG282)/Screener!$D$13))/W_PEHW))</f>
        <v/>
      </c>
      <c r="J282">
        <f>IF(OR(N(Database!$S282)&lt;=0,N(Screener!$D$14)&lt;=0),0,MAX(0,1-ABS(LOG10(Database!$S282/Screener!$D$14))/0.6))</f>
        <v/>
      </c>
      <c r="K282">
        <f>IF(Database!$B282=Screener!$B$5,-999999,IF(ISNUMBER(SEARCH(","&amp;Database!$A282&amp;",",","&amp;SUBSTITUTE(Screener!$D$17," ","")&amp;",")),2000000,IF(IF(OR(Screener!$B$18="All",AND(Screener!$B$18="With A-share",(Database!$BL282="Y")),AND(Screener!$B$18="Without A-share",NOT((Database!$BL282="Y")))),1,0)=0,-999999,IF(Screener!$B$16="cornerstone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Database!BF270</f>
        <v/>
      </c>
      <c r="AF282">
        <f>Database!BL270</f>
        <v/>
      </c>
      <c r="AG282">
        <f>Database!H270</f>
        <v/>
      </c>
      <c r="AH282">
        <f>Database!BG270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IF(OR(Database!$BF283="",Screener!$D$10=""),0,IF(Database!$BF283=Screener!$D$10,1,0))</f>
        <v/>
      </c>
      <c r="F283">
        <f>IF(OR(Database!$BL283="",Screener!$D$11=""),0,IF(Database!$BL283=Screener!$D$11,1,0))</f>
        <v/>
      </c>
      <c r="G283">
        <f>IF(OR(Database!$H283="",N(Screener!$D$12)&lt;=0),0,MAX(0,1-(N(Screener!$D$12)-Database!$H283)/W_RECD))</f>
        <v/>
      </c>
      <c r="H283">
        <f>IF($U$1="",0,N(ISNUMBER(SEARCH($U$1,Database!$AC283&amp;""))))+IF($V$1="",0,N(ISNUMBER(SEARCH($V$1,Database!$AC283&amp;""))))+IF($W$1="",0,N(ISNUMBER(SEARCH($W$1,Database!$AC283&amp;""))))+IF($X$1="",0,N(ISNUMBER(SEARCH($X$1,Database!$AC283&amp;""))))+IF($Y$1="",0,N(ISNUMBER(SEARCH($Y$1,Database!$AC283&amp;""))))+IF(Screener!$B$17="",0,N(ISNUMBER(SEARCH(LOWER(Screener!$B$17),Database!$AC283&amp;""))))</f>
        <v/>
      </c>
      <c r="I283">
        <f>IF(OR(N(Database!$BG283)&lt;=0,N(Screener!$D$13)&lt;=0),0,MAX(0,1-ABS(LOG10(N(Database!$BG283)/Screener!$D$13))/W_PEHW))</f>
        <v/>
      </c>
      <c r="J283">
        <f>IF(OR(N(Database!$S283)&lt;=0,N(Screener!$D$14)&lt;=0),0,MAX(0,1-ABS(LOG10(Database!$S283/Screener!$D$14))/0.6))</f>
        <v/>
      </c>
      <c r="K283">
        <f>IF(Database!$B283=Screener!$B$5,-999999,IF(ISNUMBER(SEARCH(","&amp;Database!$A283&amp;",",","&amp;SUBSTITUTE(Screener!$D$17," ","")&amp;",")),2000000,IF(IF(OR(Screener!$B$18="All",AND(Screener!$B$18="With A-share",(Database!$BL283="Y")),AND(Screener!$B$18="Without A-share",NOT((Database!$BL283="Y")))),1,0)=0,-999999,IF(Screener!$B$16="cornerstone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Database!BF271</f>
        <v/>
      </c>
      <c r="AF283">
        <f>Database!BL271</f>
        <v/>
      </c>
      <c r="AG283">
        <f>Database!H271</f>
        <v/>
      </c>
      <c r="AH283">
        <f>Database!BG271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IF(OR(Database!$BF284="",Screener!$D$10=""),0,IF(Database!$BF284=Screener!$D$10,1,0))</f>
        <v/>
      </c>
      <c r="F284">
        <f>IF(OR(Database!$BL284="",Screener!$D$11=""),0,IF(Database!$BL284=Screener!$D$11,1,0))</f>
        <v/>
      </c>
      <c r="G284">
        <f>IF(OR(Database!$H284="",N(Screener!$D$12)&lt;=0),0,MAX(0,1-(N(Screener!$D$12)-Database!$H284)/W_RECD))</f>
        <v/>
      </c>
      <c r="H284">
        <f>IF($U$1="",0,N(ISNUMBER(SEARCH($U$1,Database!$AC284&amp;""))))+IF($V$1="",0,N(ISNUMBER(SEARCH($V$1,Database!$AC284&amp;""))))+IF($W$1="",0,N(ISNUMBER(SEARCH($W$1,Database!$AC284&amp;""))))+IF($X$1="",0,N(ISNUMBER(SEARCH($X$1,Database!$AC284&amp;""))))+IF($Y$1="",0,N(ISNUMBER(SEARCH($Y$1,Database!$AC284&amp;""))))+IF(Screener!$B$17="",0,N(ISNUMBER(SEARCH(LOWER(Screener!$B$17),Database!$AC284&amp;""))))</f>
        <v/>
      </c>
      <c r="I284">
        <f>IF(OR(N(Database!$BG284)&lt;=0,N(Screener!$D$13)&lt;=0),0,MAX(0,1-ABS(LOG10(N(Database!$BG284)/Screener!$D$13))/W_PEHW))</f>
        <v/>
      </c>
      <c r="J284">
        <f>IF(OR(N(Database!$S284)&lt;=0,N(Screener!$D$14)&lt;=0),0,MAX(0,1-ABS(LOG10(Database!$S284/Screener!$D$14))/0.6))</f>
        <v/>
      </c>
      <c r="K284">
        <f>IF(Database!$B284=Screener!$B$5,-999999,IF(ISNUMBER(SEARCH(","&amp;Database!$A284&amp;",",","&amp;SUBSTITUTE(Screener!$D$17," ","")&amp;",")),2000000,IF(IF(OR(Screener!$B$18="All",AND(Screener!$B$18="With A-share",(Database!$BL284="Y")),AND(Screener!$B$18="Without A-share",NOT((Database!$BL284="Y")))),1,0)=0,-999999,IF(Screener!$B$16="cornerstone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Database!BF272</f>
        <v/>
      </c>
      <c r="AF284">
        <f>Database!BL272</f>
        <v/>
      </c>
      <c r="AG284">
        <f>Database!H272</f>
        <v/>
      </c>
      <c r="AH284">
        <f>Database!BG272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IF(OR(Database!$BF285="",Screener!$D$10=""),0,IF(Database!$BF285=Screener!$D$10,1,0))</f>
        <v/>
      </c>
      <c r="F285">
        <f>IF(OR(Database!$BL285="",Screener!$D$11=""),0,IF(Database!$BL285=Screener!$D$11,1,0))</f>
        <v/>
      </c>
      <c r="G285">
        <f>IF(OR(Database!$H285="",N(Screener!$D$12)&lt;=0),0,MAX(0,1-(N(Screener!$D$12)-Database!$H285)/W_RECD))</f>
        <v/>
      </c>
      <c r="H285">
        <f>IF($U$1="",0,N(ISNUMBER(SEARCH($U$1,Database!$AC285&amp;""))))+IF($V$1="",0,N(ISNUMBER(SEARCH($V$1,Database!$AC285&amp;""))))+IF($W$1="",0,N(ISNUMBER(SEARCH($W$1,Database!$AC285&amp;""))))+IF($X$1="",0,N(ISNUMBER(SEARCH($X$1,Database!$AC285&amp;""))))+IF($Y$1="",0,N(ISNUMBER(SEARCH($Y$1,Database!$AC285&amp;""))))+IF(Screener!$B$17="",0,N(ISNUMBER(SEARCH(LOWER(Screener!$B$17),Database!$AC285&amp;""))))</f>
        <v/>
      </c>
      <c r="I285">
        <f>IF(OR(N(Database!$BG285)&lt;=0,N(Screener!$D$13)&lt;=0),0,MAX(0,1-ABS(LOG10(N(Database!$BG285)/Screener!$D$13))/W_PEHW))</f>
        <v/>
      </c>
      <c r="J285">
        <f>IF(OR(N(Database!$S285)&lt;=0,N(Screener!$D$14)&lt;=0),0,MAX(0,1-ABS(LOG10(Database!$S285/Screener!$D$14))/0.6))</f>
        <v/>
      </c>
      <c r="K285">
        <f>IF(Database!$B285=Screener!$B$5,-999999,IF(ISNUMBER(SEARCH(","&amp;Database!$A285&amp;",",","&amp;SUBSTITUTE(Screener!$D$17," ","")&amp;",")),2000000,IF(IF(OR(Screener!$B$18="All",AND(Screener!$B$18="With A-share",(Database!$BL285="Y")),AND(Screener!$B$18="Without A-share",NOT((Database!$BL285="Y")))),1,0)=0,-999999,IF(Screener!$B$16="cornerstone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Database!BF273</f>
        <v/>
      </c>
      <c r="AF285">
        <f>Database!BL273</f>
        <v/>
      </c>
      <c r="AG285">
        <f>Database!H273</f>
        <v/>
      </c>
      <c r="AH285">
        <f>Database!BG273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IF(OR(Database!$BF286="",Screener!$D$10=""),0,IF(Database!$BF286=Screener!$D$10,1,0))</f>
        <v/>
      </c>
      <c r="F286">
        <f>IF(OR(Database!$BL286="",Screener!$D$11=""),0,IF(Database!$BL286=Screener!$D$11,1,0))</f>
        <v/>
      </c>
      <c r="G286">
        <f>IF(OR(Database!$H286="",N(Screener!$D$12)&lt;=0),0,MAX(0,1-(N(Screener!$D$12)-Database!$H286)/W_RECD))</f>
        <v/>
      </c>
      <c r="H286">
        <f>IF($U$1="",0,N(ISNUMBER(SEARCH($U$1,Database!$AC286&amp;""))))+IF($V$1="",0,N(ISNUMBER(SEARCH($V$1,Database!$AC286&amp;""))))+IF($W$1="",0,N(ISNUMBER(SEARCH($W$1,Database!$AC286&amp;""))))+IF($X$1="",0,N(ISNUMBER(SEARCH($X$1,Database!$AC286&amp;""))))+IF($Y$1="",0,N(ISNUMBER(SEARCH($Y$1,Database!$AC286&amp;""))))+IF(Screener!$B$17="",0,N(ISNUMBER(SEARCH(LOWER(Screener!$B$17),Database!$AC286&amp;""))))</f>
        <v/>
      </c>
      <c r="I286">
        <f>IF(OR(N(Database!$BG286)&lt;=0,N(Screener!$D$13)&lt;=0),0,MAX(0,1-ABS(LOG10(N(Database!$BG286)/Screener!$D$13))/W_PEHW))</f>
        <v/>
      </c>
      <c r="J286">
        <f>IF(OR(N(Database!$S286)&lt;=0,N(Screener!$D$14)&lt;=0),0,MAX(0,1-ABS(LOG10(Database!$S286/Screener!$D$14))/0.6))</f>
        <v/>
      </c>
      <c r="K286">
        <f>IF(Database!$B286=Screener!$B$5,-999999,IF(ISNUMBER(SEARCH(","&amp;Database!$A286&amp;",",","&amp;SUBSTITUTE(Screener!$D$17," ","")&amp;",")),2000000,IF(IF(OR(Screener!$B$18="All",AND(Screener!$B$18="With A-share",(Database!$BL286="Y")),AND(Screener!$B$18="Without A-share",NOT((Database!$BL286="Y")))),1,0)=0,-999999,IF(Screener!$B$16="cornerstone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Database!BF274</f>
        <v/>
      </c>
      <c r="AF286">
        <f>Database!BL274</f>
        <v/>
      </c>
      <c r="AG286">
        <f>Database!H274</f>
        <v/>
      </c>
      <c r="AH286">
        <f>Database!BG274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IF(OR(Database!$BF287="",Screener!$D$10=""),0,IF(Database!$BF287=Screener!$D$10,1,0))</f>
        <v/>
      </c>
      <c r="F287">
        <f>IF(OR(Database!$BL287="",Screener!$D$11=""),0,IF(Database!$BL287=Screener!$D$11,1,0))</f>
        <v/>
      </c>
      <c r="G287">
        <f>IF(OR(Database!$H287="",N(Screener!$D$12)&lt;=0),0,MAX(0,1-(N(Screener!$D$12)-Database!$H287)/W_RECD))</f>
        <v/>
      </c>
      <c r="H287">
        <f>IF($U$1="",0,N(ISNUMBER(SEARCH($U$1,Database!$AC287&amp;""))))+IF($V$1="",0,N(ISNUMBER(SEARCH($V$1,Database!$AC287&amp;""))))+IF($W$1="",0,N(ISNUMBER(SEARCH($W$1,Database!$AC287&amp;""))))+IF($X$1="",0,N(ISNUMBER(SEARCH($X$1,Database!$AC287&amp;""))))+IF($Y$1="",0,N(ISNUMBER(SEARCH($Y$1,Database!$AC287&amp;""))))+IF(Screener!$B$17="",0,N(ISNUMBER(SEARCH(LOWER(Screener!$B$17),Database!$AC287&amp;""))))</f>
        <v/>
      </c>
      <c r="I287">
        <f>IF(OR(N(Database!$BG287)&lt;=0,N(Screener!$D$13)&lt;=0),0,MAX(0,1-ABS(LOG10(N(Database!$BG287)/Screener!$D$13))/W_PEHW))</f>
        <v/>
      </c>
      <c r="J287">
        <f>IF(OR(N(Database!$S287)&lt;=0,N(Screener!$D$14)&lt;=0),0,MAX(0,1-ABS(LOG10(Database!$S287/Screener!$D$14))/0.6))</f>
        <v/>
      </c>
      <c r="K287">
        <f>IF(Database!$B287=Screener!$B$5,-999999,IF(ISNUMBER(SEARCH(","&amp;Database!$A287&amp;",",","&amp;SUBSTITUTE(Screener!$D$17," ","")&amp;",")),2000000,IF(IF(OR(Screener!$B$18="All",AND(Screener!$B$18="With A-share",(Database!$BL287="Y")),AND(Screener!$B$18="Without A-share",NOT((Database!$BL287="Y")))),1,0)=0,-999999,IF(Screener!$B$16="cornerstone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Database!BF275</f>
        <v/>
      </c>
      <c r="AF287">
        <f>Database!BL275</f>
        <v/>
      </c>
      <c r="AG287">
        <f>Database!H275</f>
        <v/>
      </c>
      <c r="AH287">
        <f>Database!BG275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IF(OR(Database!$BF288="",Screener!$D$10=""),0,IF(Database!$BF288=Screener!$D$10,1,0))</f>
        <v/>
      </c>
      <c r="F288">
        <f>IF(OR(Database!$BL288="",Screener!$D$11=""),0,IF(Database!$BL288=Screener!$D$11,1,0))</f>
        <v/>
      </c>
      <c r="G288">
        <f>IF(OR(Database!$H288="",N(Screener!$D$12)&lt;=0),0,MAX(0,1-(N(Screener!$D$12)-Database!$H288)/W_RECD))</f>
        <v/>
      </c>
      <c r="H288">
        <f>IF($U$1="",0,N(ISNUMBER(SEARCH($U$1,Database!$AC288&amp;""))))+IF($V$1="",0,N(ISNUMBER(SEARCH($V$1,Database!$AC288&amp;""))))+IF($W$1="",0,N(ISNUMBER(SEARCH($W$1,Database!$AC288&amp;""))))+IF($X$1="",0,N(ISNUMBER(SEARCH($X$1,Database!$AC288&amp;""))))+IF($Y$1="",0,N(ISNUMBER(SEARCH($Y$1,Database!$AC288&amp;""))))+IF(Screener!$B$17="",0,N(ISNUMBER(SEARCH(LOWER(Screener!$B$17),Database!$AC288&amp;""))))</f>
        <v/>
      </c>
      <c r="I288">
        <f>IF(OR(N(Database!$BG288)&lt;=0,N(Screener!$D$13)&lt;=0),0,MAX(0,1-ABS(LOG10(N(Database!$BG288)/Screener!$D$13))/W_PEHW))</f>
        <v/>
      </c>
      <c r="J288">
        <f>IF(OR(N(Database!$S288)&lt;=0,N(Screener!$D$14)&lt;=0),0,MAX(0,1-ABS(LOG10(Database!$S288/Screener!$D$14))/0.6))</f>
        <v/>
      </c>
      <c r="K288">
        <f>IF(Database!$B288=Screener!$B$5,-999999,IF(ISNUMBER(SEARCH(","&amp;Database!$A288&amp;",",","&amp;SUBSTITUTE(Screener!$D$17," ","")&amp;",")),2000000,IF(IF(OR(Screener!$B$18="All",AND(Screener!$B$18="With A-share",(Database!$BL288="Y")),AND(Screener!$B$18="Without A-share",NOT((Database!$BL288="Y")))),1,0)=0,-999999,IF(Screener!$B$16="cornerstone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Database!BF276</f>
        <v/>
      </c>
      <c r="AF288">
        <f>Database!BL276</f>
        <v/>
      </c>
      <c r="AG288">
        <f>Database!H276</f>
        <v/>
      </c>
      <c r="AH288">
        <f>Database!BG276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IF(OR(Database!$BF289="",Screener!$D$10=""),0,IF(Database!$BF289=Screener!$D$10,1,0))</f>
        <v/>
      </c>
      <c r="F289">
        <f>IF(OR(Database!$BL289="",Screener!$D$11=""),0,IF(Database!$BL289=Screener!$D$11,1,0))</f>
        <v/>
      </c>
      <c r="G289">
        <f>IF(OR(Database!$H289="",N(Screener!$D$12)&lt;=0),0,MAX(0,1-(N(Screener!$D$12)-Database!$H289)/W_RECD))</f>
        <v/>
      </c>
      <c r="H289">
        <f>IF($U$1="",0,N(ISNUMBER(SEARCH($U$1,Database!$AC289&amp;""))))+IF($V$1="",0,N(ISNUMBER(SEARCH($V$1,Database!$AC289&amp;""))))+IF($W$1="",0,N(ISNUMBER(SEARCH($W$1,Database!$AC289&amp;""))))+IF($X$1="",0,N(ISNUMBER(SEARCH($X$1,Database!$AC289&amp;""))))+IF($Y$1="",0,N(ISNUMBER(SEARCH($Y$1,Database!$AC289&amp;""))))+IF(Screener!$B$17="",0,N(ISNUMBER(SEARCH(LOWER(Screener!$B$17),Database!$AC289&amp;""))))</f>
        <v/>
      </c>
      <c r="I289">
        <f>IF(OR(N(Database!$BG289)&lt;=0,N(Screener!$D$13)&lt;=0),0,MAX(0,1-ABS(LOG10(N(Database!$BG289)/Screener!$D$13))/W_PEHW))</f>
        <v/>
      </c>
      <c r="J289">
        <f>IF(OR(N(Database!$S289)&lt;=0,N(Screener!$D$14)&lt;=0),0,MAX(0,1-ABS(LOG10(Database!$S289/Screener!$D$14))/0.6))</f>
        <v/>
      </c>
      <c r="K289">
        <f>IF(Database!$B289=Screener!$B$5,-999999,IF(ISNUMBER(SEARCH(","&amp;Database!$A289&amp;",",","&amp;SUBSTITUTE(Screener!$D$17," ","")&amp;",")),2000000,IF(IF(OR(Screener!$B$18="All",AND(Screener!$B$18="With A-share",(Database!$BL289="Y")),AND(Screener!$B$18="Without A-share",NOT((Database!$BL289="Y")))),1,0)=0,-999999,IF(Screener!$B$16="cornerstone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Database!BF277</f>
        <v/>
      </c>
      <c r="AF289">
        <f>Database!BL277</f>
        <v/>
      </c>
      <c r="AG289">
        <f>Database!H277</f>
        <v/>
      </c>
      <c r="AH289">
        <f>Database!BG277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IF(OR(Database!$BF290="",Screener!$D$10=""),0,IF(Database!$BF290=Screener!$D$10,1,0))</f>
        <v/>
      </c>
      <c r="F290">
        <f>IF(OR(Database!$BL290="",Screener!$D$11=""),0,IF(Database!$BL290=Screener!$D$11,1,0))</f>
        <v/>
      </c>
      <c r="G290">
        <f>IF(OR(Database!$H290="",N(Screener!$D$12)&lt;=0),0,MAX(0,1-(N(Screener!$D$12)-Database!$H290)/W_RECD))</f>
        <v/>
      </c>
      <c r="H290">
        <f>IF($U$1="",0,N(ISNUMBER(SEARCH($U$1,Database!$AC290&amp;""))))+IF($V$1="",0,N(ISNUMBER(SEARCH($V$1,Database!$AC290&amp;""))))+IF($W$1="",0,N(ISNUMBER(SEARCH($W$1,Database!$AC290&amp;""))))+IF($X$1="",0,N(ISNUMBER(SEARCH($X$1,Database!$AC290&amp;""))))+IF($Y$1="",0,N(ISNUMBER(SEARCH($Y$1,Database!$AC290&amp;""))))+IF(Screener!$B$17="",0,N(ISNUMBER(SEARCH(LOWER(Screener!$B$17),Database!$AC290&amp;""))))</f>
        <v/>
      </c>
      <c r="I290">
        <f>IF(OR(N(Database!$BG290)&lt;=0,N(Screener!$D$13)&lt;=0),0,MAX(0,1-ABS(LOG10(N(Database!$BG290)/Screener!$D$13))/W_PEHW))</f>
        <v/>
      </c>
      <c r="J290">
        <f>IF(OR(N(Database!$S290)&lt;=0,N(Screener!$D$14)&lt;=0),0,MAX(0,1-ABS(LOG10(Database!$S290/Screener!$D$14))/0.6))</f>
        <v/>
      </c>
      <c r="K290">
        <f>IF(Database!$B290=Screener!$B$5,-999999,IF(ISNUMBER(SEARCH(","&amp;Database!$A290&amp;",",","&amp;SUBSTITUTE(Screener!$D$17," ","")&amp;",")),2000000,IF(IF(OR(Screener!$B$18="All",AND(Screener!$B$18="With A-share",(Database!$BL290="Y")),AND(Screener!$B$18="Without A-share",NOT((Database!$BL290="Y")))),1,0)=0,-999999,IF(Screener!$B$16="cornerstone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Database!BF278</f>
        <v/>
      </c>
      <c r="AF290">
        <f>Database!BL278</f>
        <v/>
      </c>
      <c r="AG290">
        <f>Database!H278</f>
        <v/>
      </c>
      <c r="AH290">
        <f>Database!BG278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IF(OR(Database!$BF291="",Screener!$D$10=""),0,IF(Database!$BF291=Screener!$D$10,1,0))</f>
        <v/>
      </c>
      <c r="F291">
        <f>IF(OR(Database!$BL291="",Screener!$D$11=""),0,IF(Database!$BL291=Screener!$D$11,1,0))</f>
        <v/>
      </c>
      <c r="G291">
        <f>IF(OR(Database!$H291="",N(Screener!$D$12)&lt;=0),0,MAX(0,1-(N(Screener!$D$12)-Database!$H291)/W_RECD))</f>
        <v/>
      </c>
      <c r="H291">
        <f>IF($U$1="",0,N(ISNUMBER(SEARCH($U$1,Database!$AC291&amp;""))))+IF($V$1="",0,N(ISNUMBER(SEARCH($V$1,Database!$AC291&amp;""))))+IF($W$1="",0,N(ISNUMBER(SEARCH($W$1,Database!$AC291&amp;""))))+IF($X$1="",0,N(ISNUMBER(SEARCH($X$1,Database!$AC291&amp;""))))+IF($Y$1="",0,N(ISNUMBER(SEARCH($Y$1,Database!$AC291&amp;""))))+IF(Screener!$B$17="",0,N(ISNUMBER(SEARCH(LOWER(Screener!$B$17),Database!$AC291&amp;""))))</f>
        <v/>
      </c>
      <c r="I291">
        <f>IF(OR(N(Database!$BG291)&lt;=0,N(Screener!$D$13)&lt;=0),0,MAX(0,1-ABS(LOG10(N(Database!$BG291)/Screener!$D$13))/W_PEHW))</f>
        <v/>
      </c>
      <c r="J291">
        <f>IF(OR(N(Database!$S291)&lt;=0,N(Screener!$D$14)&lt;=0),0,MAX(0,1-ABS(LOG10(Database!$S291/Screener!$D$14))/0.6))</f>
        <v/>
      </c>
      <c r="K291">
        <f>IF(Database!$B291=Screener!$B$5,-999999,IF(ISNUMBER(SEARCH(","&amp;Database!$A291&amp;",",","&amp;SUBSTITUTE(Screener!$D$17," ","")&amp;",")),2000000,IF(IF(OR(Screener!$B$18="All",AND(Screener!$B$18="With A-share",(Database!$BL291="Y")),AND(Screener!$B$18="Without A-share",NOT((Database!$BL291="Y")))),1,0)=0,-999999,IF(Screener!$B$16="cornerstone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Database!BF279</f>
        <v/>
      </c>
      <c r="AF291">
        <f>Database!BL279</f>
        <v/>
      </c>
      <c r="AG291">
        <f>Database!H279</f>
        <v/>
      </c>
      <c r="AH291">
        <f>Database!BG279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IF(OR(Database!$BF292="",Screener!$D$10=""),0,IF(Database!$BF292=Screener!$D$10,1,0))</f>
        <v/>
      </c>
      <c r="F292">
        <f>IF(OR(Database!$BL292="",Screener!$D$11=""),0,IF(Database!$BL292=Screener!$D$11,1,0))</f>
        <v/>
      </c>
      <c r="G292">
        <f>IF(OR(Database!$H292="",N(Screener!$D$12)&lt;=0),0,MAX(0,1-(N(Screener!$D$12)-Database!$H292)/W_RECD))</f>
        <v/>
      </c>
      <c r="H292">
        <f>IF($U$1="",0,N(ISNUMBER(SEARCH($U$1,Database!$AC292&amp;""))))+IF($V$1="",0,N(ISNUMBER(SEARCH($V$1,Database!$AC292&amp;""))))+IF($W$1="",0,N(ISNUMBER(SEARCH($W$1,Database!$AC292&amp;""))))+IF($X$1="",0,N(ISNUMBER(SEARCH($X$1,Database!$AC292&amp;""))))+IF($Y$1="",0,N(ISNUMBER(SEARCH($Y$1,Database!$AC292&amp;""))))+IF(Screener!$B$17="",0,N(ISNUMBER(SEARCH(LOWER(Screener!$B$17),Database!$AC292&amp;""))))</f>
        <v/>
      </c>
      <c r="I292">
        <f>IF(OR(N(Database!$BG292)&lt;=0,N(Screener!$D$13)&lt;=0),0,MAX(0,1-ABS(LOG10(N(Database!$BG292)/Screener!$D$13))/W_PEHW))</f>
        <v/>
      </c>
      <c r="J292">
        <f>IF(OR(N(Database!$S292)&lt;=0,N(Screener!$D$14)&lt;=0),0,MAX(0,1-ABS(LOG10(Database!$S292/Screener!$D$14))/0.6))</f>
        <v/>
      </c>
      <c r="K292">
        <f>IF(Database!$B292=Screener!$B$5,-999999,IF(ISNUMBER(SEARCH(","&amp;Database!$A292&amp;",",","&amp;SUBSTITUTE(Screener!$D$17," ","")&amp;",")),2000000,IF(IF(OR(Screener!$B$18="All",AND(Screener!$B$18="With A-share",(Database!$BL292="Y")),AND(Screener!$B$18="Without A-share",NOT((Database!$BL292="Y")))),1,0)=0,-999999,IF(Screener!$B$16="cornerstone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Database!BF280</f>
        <v/>
      </c>
      <c r="AF292">
        <f>Database!BL280</f>
        <v/>
      </c>
      <c r="AG292">
        <f>Database!H280</f>
        <v/>
      </c>
      <c r="AH292">
        <f>Database!BG280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IF(OR(Database!$BF293="",Screener!$D$10=""),0,IF(Database!$BF293=Screener!$D$10,1,0))</f>
        <v/>
      </c>
      <c r="F293">
        <f>IF(OR(Database!$BL293="",Screener!$D$11=""),0,IF(Database!$BL293=Screener!$D$11,1,0))</f>
        <v/>
      </c>
      <c r="G293">
        <f>IF(OR(Database!$H293="",N(Screener!$D$12)&lt;=0),0,MAX(0,1-(N(Screener!$D$12)-Database!$H293)/W_RECD))</f>
        <v/>
      </c>
      <c r="H293">
        <f>IF($U$1="",0,N(ISNUMBER(SEARCH($U$1,Database!$AC293&amp;""))))+IF($V$1="",0,N(ISNUMBER(SEARCH($V$1,Database!$AC293&amp;""))))+IF($W$1="",0,N(ISNUMBER(SEARCH($W$1,Database!$AC293&amp;""))))+IF($X$1="",0,N(ISNUMBER(SEARCH($X$1,Database!$AC293&amp;""))))+IF($Y$1="",0,N(ISNUMBER(SEARCH($Y$1,Database!$AC293&amp;""))))+IF(Screener!$B$17="",0,N(ISNUMBER(SEARCH(LOWER(Screener!$B$17),Database!$AC293&amp;""))))</f>
        <v/>
      </c>
      <c r="I293">
        <f>IF(OR(N(Database!$BG293)&lt;=0,N(Screener!$D$13)&lt;=0),0,MAX(0,1-ABS(LOG10(N(Database!$BG293)/Screener!$D$13))/W_PEHW))</f>
        <v/>
      </c>
      <c r="J293">
        <f>IF(OR(N(Database!$S293)&lt;=0,N(Screener!$D$14)&lt;=0),0,MAX(0,1-ABS(LOG10(Database!$S293/Screener!$D$14))/0.6))</f>
        <v/>
      </c>
      <c r="K293">
        <f>IF(Database!$B293=Screener!$B$5,-999999,IF(ISNUMBER(SEARCH(","&amp;Database!$A293&amp;",",","&amp;SUBSTITUTE(Screener!$D$17," ","")&amp;",")),2000000,IF(IF(OR(Screener!$B$18="All",AND(Screener!$B$18="With A-share",(Database!$BL293="Y")),AND(Screener!$B$18="Without A-share",NOT((Database!$BL293="Y")))),1,0)=0,-999999,IF(Screener!$B$16="cornerstone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Database!BF281</f>
        <v/>
      </c>
      <c r="AF293">
        <f>Database!BL281</f>
        <v/>
      </c>
      <c r="AG293">
        <f>Database!H281</f>
        <v/>
      </c>
      <c r="AH293">
        <f>Database!BG281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IF(OR(Database!$BF294="",Screener!$D$10=""),0,IF(Database!$BF294=Screener!$D$10,1,0))</f>
        <v/>
      </c>
      <c r="F294">
        <f>IF(OR(Database!$BL294="",Screener!$D$11=""),0,IF(Database!$BL294=Screener!$D$11,1,0))</f>
        <v/>
      </c>
      <c r="G294">
        <f>IF(OR(Database!$H294="",N(Screener!$D$12)&lt;=0),0,MAX(0,1-(N(Screener!$D$12)-Database!$H294)/W_RECD))</f>
        <v/>
      </c>
      <c r="H294">
        <f>IF($U$1="",0,N(ISNUMBER(SEARCH($U$1,Database!$AC294&amp;""))))+IF($V$1="",0,N(ISNUMBER(SEARCH($V$1,Database!$AC294&amp;""))))+IF($W$1="",0,N(ISNUMBER(SEARCH($W$1,Database!$AC294&amp;""))))+IF($X$1="",0,N(ISNUMBER(SEARCH($X$1,Database!$AC294&amp;""))))+IF($Y$1="",0,N(ISNUMBER(SEARCH($Y$1,Database!$AC294&amp;""))))+IF(Screener!$B$17="",0,N(ISNUMBER(SEARCH(LOWER(Screener!$B$17),Database!$AC294&amp;""))))</f>
        <v/>
      </c>
      <c r="I294">
        <f>IF(OR(N(Database!$BG294)&lt;=0,N(Screener!$D$13)&lt;=0),0,MAX(0,1-ABS(LOG10(N(Database!$BG294)/Screener!$D$13))/W_PEHW))</f>
        <v/>
      </c>
      <c r="J294">
        <f>IF(OR(N(Database!$S294)&lt;=0,N(Screener!$D$14)&lt;=0),0,MAX(0,1-ABS(LOG10(Database!$S294/Screener!$D$14))/0.6))</f>
        <v/>
      </c>
      <c r="K294">
        <f>IF(Database!$B294=Screener!$B$5,-999999,IF(ISNUMBER(SEARCH(","&amp;Database!$A294&amp;",",","&amp;SUBSTITUTE(Screener!$D$17," ","")&amp;",")),2000000,IF(IF(OR(Screener!$B$18="All",AND(Screener!$B$18="With A-share",(Database!$BL294="Y")),AND(Screener!$B$18="Without A-share",NOT((Database!$BL294="Y")))),1,0)=0,-999999,IF(Screener!$B$16="cornerstone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Database!BF282</f>
        <v/>
      </c>
      <c r="AF294">
        <f>Database!BL282</f>
        <v/>
      </c>
      <c r="AG294">
        <f>Database!H282</f>
        <v/>
      </c>
      <c r="AH294">
        <f>Database!BG282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IF(OR(Database!$BF295="",Screener!$D$10=""),0,IF(Database!$BF295=Screener!$D$10,1,0))</f>
        <v/>
      </c>
      <c r="F295">
        <f>IF(OR(Database!$BL295="",Screener!$D$11=""),0,IF(Database!$BL295=Screener!$D$11,1,0))</f>
        <v/>
      </c>
      <c r="G295">
        <f>IF(OR(Database!$H295="",N(Screener!$D$12)&lt;=0),0,MAX(0,1-(N(Screener!$D$12)-Database!$H295)/W_RECD))</f>
        <v/>
      </c>
      <c r="H295">
        <f>IF($U$1="",0,N(ISNUMBER(SEARCH($U$1,Database!$AC295&amp;""))))+IF($V$1="",0,N(ISNUMBER(SEARCH($V$1,Database!$AC295&amp;""))))+IF($W$1="",0,N(ISNUMBER(SEARCH($W$1,Database!$AC295&amp;""))))+IF($X$1="",0,N(ISNUMBER(SEARCH($X$1,Database!$AC295&amp;""))))+IF($Y$1="",0,N(ISNUMBER(SEARCH($Y$1,Database!$AC295&amp;""))))+IF(Screener!$B$17="",0,N(ISNUMBER(SEARCH(LOWER(Screener!$B$17),Database!$AC295&amp;""))))</f>
        <v/>
      </c>
      <c r="I295">
        <f>IF(OR(N(Database!$BG295)&lt;=0,N(Screener!$D$13)&lt;=0),0,MAX(0,1-ABS(LOG10(N(Database!$BG295)/Screener!$D$13))/W_PEHW))</f>
        <v/>
      </c>
      <c r="J295">
        <f>IF(OR(N(Database!$S295)&lt;=0,N(Screener!$D$14)&lt;=0),0,MAX(0,1-ABS(LOG10(Database!$S295/Screener!$D$14))/0.6))</f>
        <v/>
      </c>
      <c r="K295">
        <f>IF(Database!$B295=Screener!$B$5,-999999,IF(ISNUMBER(SEARCH(","&amp;Database!$A295&amp;",",","&amp;SUBSTITUTE(Screener!$D$17," ","")&amp;",")),2000000,IF(IF(OR(Screener!$B$18="All",AND(Screener!$B$18="With A-share",(Database!$BL295="Y")),AND(Screener!$B$18="Without A-share",NOT((Database!$BL295="Y")))),1,0)=0,-999999,IF(Screener!$B$16="cornerstone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Database!BF283</f>
        <v/>
      </c>
      <c r="AF295">
        <f>Database!BL283</f>
        <v/>
      </c>
      <c r="AG295">
        <f>Database!H283</f>
        <v/>
      </c>
      <c r="AH295">
        <f>Database!BG283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IF(OR(Database!$BF296="",Screener!$D$10=""),0,IF(Database!$BF296=Screener!$D$10,1,0))</f>
        <v/>
      </c>
      <c r="F296">
        <f>IF(OR(Database!$BL296="",Screener!$D$11=""),0,IF(Database!$BL296=Screener!$D$11,1,0))</f>
        <v/>
      </c>
      <c r="G296">
        <f>IF(OR(Database!$H296="",N(Screener!$D$12)&lt;=0),0,MAX(0,1-(N(Screener!$D$12)-Database!$H296)/W_RECD))</f>
        <v/>
      </c>
      <c r="H296">
        <f>IF($U$1="",0,N(ISNUMBER(SEARCH($U$1,Database!$AC296&amp;""))))+IF($V$1="",0,N(ISNUMBER(SEARCH($V$1,Database!$AC296&amp;""))))+IF($W$1="",0,N(ISNUMBER(SEARCH($W$1,Database!$AC296&amp;""))))+IF($X$1="",0,N(ISNUMBER(SEARCH($X$1,Database!$AC296&amp;""))))+IF($Y$1="",0,N(ISNUMBER(SEARCH($Y$1,Database!$AC296&amp;""))))+IF(Screener!$B$17="",0,N(ISNUMBER(SEARCH(LOWER(Screener!$B$17),Database!$AC296&amp;""))))</f>
        <v/>
      </c>
      <c r="I296">
        <f>IF(OR(N(Database!$BG296)&lt;=0,N(Screener!$D$13)&lt;=0),0,MAX(0,1-ABS(LOG10(N(Database!$BG296)/Screener!$D$13))/W_PEHW))</f>
        <v/>
      </c>
      <c r="J296">
        <f>IF(OR(N(Database!$S296)&lt;=0,N(Screener!$D$14)&lt;=0),0,MAX(0,1-ABS(LOG10(Database!$S296/Screener!$D$14))/0.6))</f>
        <v/>
      </c>
      <c r="K296">
        <f>IF(Database!$B296=Screener!$B$5,-999999,IF(ISNUMBER(SEARCH(","&amp;Database!$A296&amp;",",","&amp;SUBSTITUTE(Screener!$D$17," ","")&amp;",")),2000000,IF(IF(OR(Screener!$B$18="All",AND(Screener!$B$18="With A-share",(Database!$BL296="Y")),AND(Screener!$B$18="Without A-share",NOT((Database!$BL296="Y")))),1,0)=0,-999999,IF(Screener!$B$16="cornerstone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Database!BF284</f>
        <v/>
      </c>
      <c r="AF296">
        <f>Database!BL284</f>
        <v/>
      </c>
      <c r="AG296">
        <f>Database!H284</f>
        <v/>
      </c>
      <c r="AH296">
        <f>Database!BG284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IF(OR(Database!$BF297="",Screener!$D$10=""),0,IF(Database!$BF297=Screener!$D$10,1,0))</f>
        <v/>
      </c>
      <c r="F297">
        <f>IF(OR(Database!$BL297="",Screener!$D$11=""),0,IF(Database!$BL297=Screener!$D$11,1,0))</f>
        <v/>
      </c>
      <c r="G297">
        <f>IF(OR(Database!$H297="",N(Screener!$D$12)&lt;=0),0,MAX(0,1-(N(Screener!$D$12)-Database!$H297)/W_RECD))</f>
        <v/>
      </c>
      <c r="H297">
        <f>IF($U$1="",0,N(ISNUMBER(SEARCH($U$1,Database!$AC297&amp;""))))+IF($V$1="",0,N(ISNUMBER(SEARCH($V$1,Database!$AC297&amp;""))))+IF($W$1="",0,N(ISNUMBER(SEARCH($W$1,Database!$AC297&amp;""))))+IF($X$1="",0,N(ISNUMBER(SEARCH($X$1,Database!$AC297&amp;""))))+IF($Y$1="",0,N(ISNUMBER(SEARCH($Y$1,Database!$AC297&amp;""))))+IF(Screener!$B$17="",0,N(ISNUMBER(SEARCH(LOWER(Screener!$B$17),Database!$AC297&amp;""))))</f>
        <v/>
      </c>
      <c r="I297">
        <f>IF(OR(N(Database!$BG297)&lt;=0,N(Screener!$D$13)&lt;=0),0,MAX(0,1-ABS(LOG10(N(Database!$BG297)/Screener!$D$13))/W_PEHW))</f>
        <v/>
      </c>
      <c r="J297">
        <f>IF(OR(N(Database!$S297)&lt;=0,N(Screener!$D$14)&lt;=0),0,MAX(0,1-ABS(LOG10(Database!$S297/Screener!$D$14))/0.6))</f>
        <v/>
      </c>
      <c r="K297">
        <f>IF(Database!$B297=Screener!$B$5,-999999,IF(ISNUMBER(SEARCH(","&amp;Database!$A297&amp;",",","&amp;SUBSTITUTE(Screener!$D$17," ","")&amp;",")),2000000,IF(IF(OR(Screener!$B$18="All",AND(Screener!$B$18="With A-share",(Database!$BL297="Y")),AND(Screener!$B$18="Without A-share",NOT((Database!$BL297="Y")))),1,0)=0,-999999,IF(Screener!$B$16="cornerstone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Database!BF285</f>
        <v/>
      </c>
      <c r="AF297">
        <f>Database!BL285</f>
        <v/>
      </c>
      <c r="AG297">
        <f>Database!H285</f>
        <v/>
      </c>
      <c r="AH297">
        <f>Database!BG285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IF(OR(Database!$BF298="",Screener!$D$10=""),0,IF(Database!$BF298=Screener!$D$10,1,0))</f>
        <v/>
      </c>
      <c r="F298">
        <f>IF(OR(Database!$BL298="",Screener!$D$11=""),0,IF(Database!$BL298=Screener!$D$11,1,0))</f>
        <v/>
      </c>
      <c r="G298">
        <f>IF(OR(Database!$H298="",N(Screener!$D$12)&lt;=0),0,MAX(0,1-(N(Screener!$D$12)-Database!$H298)/W_RECD))</f>
        <v/>
      </c>
      <c r="H298">
        <f>IF($U$1="",0,N(ISNUMBER(SEARCH($U$1,Database!$AC298&amp;""))))+IF($V$1="",0,N(ISNUMBER(SEARCH($V$1,Database!$AC298&amp;""))))+IF($W$1="",0,N(ISNUMBER(SEARCH($W$1,Database!$AC298&amp;""))))+IF($X$1="",0,N(ISNUMBER(SEARCH($X$1,Database!$AC298&amp;""))))+IF($Y$1="",0,N(ISNUMBER(SEARCH($Y$1,Database!$AC298&amp;""))))+IF(Screener!$B$17="",0,N(ISNUMBER(SEARCH(LOWER(Screener!$B$17),Database!$AC298&amp;""))))</f>
        <v/>
      </c>
      <c r="I298">
        <f>IF(OR(N(Database!$BG298)&lt;=0,N(Screener!$D$13)&lt;=0),0,MAX(0,1-ABS(LOG10(N(Database!$BG298)/Screener!$D$13))/W_PEHW))</f>
        <v/>
      </c>
      <c r="J298">
        <f>IF(OR(N(Database!$S298)&lt;=0,N(Screener!$D$14)&lt;=0),0,MAX(0,1-ABS(LOG10(Database!$S298/Screener!$D$14))/0.6))</f>
        <v/>
      </c>
      <c r="K298">
        <f>IF(Database!$B298=Screener!$B$5,-999999,IF(ISNUMBER(SEARCH(","&amp;Database!$A298&amp;",",","&amp;SUBSTITUTE(Screener!$D$17," ","")&amp;",")),2000000,IF(IF(OR(Screener!$B$18="All",AND(Screener!$B$18="With A-share",(Database!$BL298="Y")),AND(Screener!$B$18="Without A-share",NOT((Database!$BL298="Y")))),1,0)=0,-999999,IF(Screener!$B$16="cornerstone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Database!BF286</f>
        <v/>
      </c>
      <c r="AF298">
        <f>Database!BL286</f>
        <v/>
      </c>
      <c r="AG298">
        <f>Database!H286</f>
        <v/>
      </c>
      <c r="AH298">
        <f>Database!BG286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IF(OR(Database!$BF299="",Screener!$D$10=""),0,IF(Database!$BF299=Screener!$D$10,1,0))</f>
        <v/>
      </c>
      <c r="F299">
        <f>IF(OR(Database!$BL299="",Screener!$D$11=""),0,IF(Database!$BL299=Screener!$D$11,1,0))</f>
        <v/>
      </c>
      <c r="G299">
        <f>IF(OR(Database!$H299="",N(Screener!$D$12)&lt;=0),0,MAX(0,1-(N(Screener!$D$12)-Database!$H299)/W_RECD))</f>
        <v/>
      </c>
      <c r="H299">
        <f>IF($U$1="",0,N(ISNUMBER(SEARCH($U$1,Database!$AC299&amp;""))))+IF($V$1="",0,N(ISNUMBER(SEARCH($V$1,Database!$AC299&amp;""))))+IF($W$1="",0,N(ISNUMBER(SEARCH($W$1,Database!$AC299&amp;""))))+IF($X$1="",0,N(ISNUMBER(SEARCH($X$1,Database!$AC299&amp;""))))+IF($Y$1="",0,N(ISNUMBER(SEARCH($Y$1,Database!$AC299&amp;""))))+IF(Screener!$B$17="",0,N(ISNUMBER(SEARCH(LOWER(Screener!$B$17),Database!$AC299&amp;""))))</f>
        <v/>
      </c>
      <c r="I299">
        <f>IF(OR(N(Database!$BG299)&lt;=0,N(Screener!$D$13)&lt;=0),0,MAX(0,1-ABS(LOG10(N(Database!$BG299)/Screener!$D$13))/W_PEHW))</f>
        <v/>
      </c>
      <c r="J299">
        <f>IF(OR(N(Database!$S299)&lt;=0,N(Screener!$D$14)&lt;=0),0,MAX(0,1-ABS(LOG10(Database!$S299/Screener!$D$14))/0.6))</f>
        <v/>
      </c>
      <c r="K299">
        <f>IF(Database!$B299=Screener!$B$5,-999999,IF(ISNUMBER(SEARCH(","&amp;Database!$A299&amp;",",","&amp;SUBSTITUTE(Screener!$D$17," ","")&amp;",")),2000000,IF(IF(OR(Screener!$B$18="All",AND(Screener!$B$18="With A-share",(Database!$BL299="Y")),AND(Screener!$B$18="Without A-share",NOT((Database!$BL299="Y")))),1,0)=0,-999999,IF(Screener!$B$16="cornerstone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Database!BF287</f>
        <v/>
      </c>
      <c r="AF299">
        <f>Database!BL287</f>
        <v/>
      </c>
      <c r="AG299">
        <f>Database!H287</f>
        <v/>
      </c>
      <c r="AH299">
        <f>Database!BG287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IF(OR(Database!$BF300="",Screener!$D$10=""),0,IF(Database!$BF300=Screener!$D$10,1,0))</f>
        <v/>
      </c>
      <c r="F300">
        <f>IF(OR(Database!$BL300="",Screener!$D$11=""),0,IF(Database!$BL300=Screener!$D$11,1,0))</f>
        <v/>
      </c>
      <c r="G300">
        <f>IF(OR(Database!$H300="",N(Screener!$D$12)&lt;=0),0,MAX(0,1-(N(Screener!$D$12)-Database!$H300)/W_RECD))</f>
        <v/>
      </c>
      <c r="H300">
        <f>IF($U$1="",0,N(ISNUMBER(SEARCH($U$1,Database!$AC300&amp;""))))+IF($V$1="",0,N(ISNUMBER(SEARCH($V$1,Database!$AC300&amp;""))))+IF($W$1="",0,N(ISNUMBER(SEARCH($W$1,Database!$AC300&amp;""))))+IF($X$1="",0,N(ISNUMBER(SEARCH($X$1,Database!$AC300&amp;""))))+IF($Y$1="",0,N(ISNUMBER(SEARCH($Y$1,Database!$AC300&amp;""))))+IF(Screener!$B$17="",0,N(ISNUMBER(SEARCH(LOWER(Screener!$B$17),Database!$AC300&amp;""))))</f>
        <v/>
      </c>
      <c r="I300">
        <f>IF(OR(N(Database!$BG300)&lt;=0,N(Screener!$D$13)&lt;=0),0,MAX(0,1-ABS(LOG10(N(Database!$BG300)/Screener!$D$13))/W_PEHW))</f>
        <v/>
      </c>
      <c r="J300">
        <f>IF(OR(N(Database!$S300)&lt;=0,N(Screener!$D$14)&lt;=0),0,MAX(0,1-ABS(LOG10(Database!$S300/Screener!$D$14))/0.6))</f>
        <v/>
      </c>
      <c r="K300">
        <f>IF(Database!$B300=Screener!$B$5,-999999,IF(ISNUMBER(SEARCH(","&amp;Database!$A300&amp;",",","&amp;SUBSTITUTE(Screener!$D$17," ","")&amp;",")),2000000,IF(IF(OR(Screener!$B$18="All",AND(Screener!$B$18="With A-share",(Database!$BL300="Y")),AND(Screener!$B$18="Without A-share",NOT((Database!$BL300="Y")))),1,0)=0,-999999,IF(Screener!$B$16="cornerstone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Database!BF288</f>
        <v/>
      </c>
      <c r="AF300">
        <f>Database!BL288</f>
        <v/>
      </c>
      <c r="AG300">
        <f>Database!H288</f>
        <v/>
      </c>
      <c r="AH300">
        <f>Database!BG288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IF(OR(Database!$BF301="",Screener!$D$10=""),0,IF(Database!$BF301=Screener!$D$10,1,0))</f>
        <v/>
      </c>
      <c r="F301">
        <f>IF(OR(Database!$BL301="",Screener!$D$11=""),0,IF(Database!$BL301=Screener!$D$11,1,0))</f>
        <v/>
      </c>
      <c r="G301">
        <f>IF(OR(Database!$H301="",N(Screener!$D$12)&lt;=0),0,MAX(0,1-(N(Screener!$D$12)-Database!$H301)/W_RECD))</f>
        <v/>
      </c>
      <c r="H301">
        <f>IF($U$1="",0,N(ISNUMBER(SEARCH($U$1,Database!$AC301&amp;""))))+IF($V$1="",0,N(ISNUMBER(SEARCH($V$1,Database!$AC301&amp;""))))+IF($W$1="",0,N(ISNUMBER(SEARCH($W$1,Database!$AC301&amp;""))))+IF($X$1="",0,N(ISNUMBER(SEARCH($X$1,Database!$AC301&amp;""))))+IF($Y$1="",0,N(ISNUMBER(SEARCH($Y$1,Database!$AC301&amp;""))))+IF(Screener!$B$17="",0,N(ISNUMBER(SEARCH(LOWER(Screener!$B$17),Database!$AC301&amp;""))))</f>
        <v/>
      </c>
      <c r="I301">
        <f>IF(OR(N(Database!$BG301)&lt;=0,N(Screener!$D$13)&lt;=0),0,MAX(0,1-ABS(LOG10(N(Database!$BG301)/Screener!$D$13))/W_PEHW))</f>
        <v/>
      </c>
      <c r="J301">
        <f>IF(OR(N(Database!$S301)&lt;=0,N(Screener!$D$14)&lt;=0),0,MAX(0,1-ABS(LOG10(Database!$S301/Screener!$D$14))/0.6))</f>
        <v/>
      </c>
      <c r="K301">
        <f>IF(Database!$B301=Screener!$B$5,-999999,IF(ISNUMBER(SEARCH(","&amp;Database!$A301&amp;",",","&amp;SUBSTITUTE(Screener!$D$17," ","")&amp;",")),2000000,IF(IF(OR(Screener!$B$18="All",AND(Screener!$B$18="With A-share",(Database!$BL301="Y")),AND(Screener!$B$18="Without A-share",NOT((Database!$BL301="Y")))),1,0)=0,-999999,IF(Screener!$B$16="cornerstone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Database!BF289</f>
        <v/>
      </c>
      <c r="AF301">
        <f>Database!BL289</f>
        <v/>
      </c>
      <c r="AG301">
        <f>Database!H289</f>
        <v/>
      </c>
      <c r="AH301">
        <f>Database!BG289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IF(OR(Database!$BF302="",Screener!$D$10=""),0,IF(Database!$BF302=Screener!$D$10,1,0))</f>
        <v/>
      </c>
      <c r="F302">
        <f>IF(OR(Database!$BL302="",Screener!$D$11=""),0,IF(Database!$BL302=Screener!$D$11,1,0))</f>
        <v/>
      </c>
      <c r="G302">
        <f>IF(OR(Database!$H302="",N(Screener!$D$12)&lt;=0),0,MAX(0,1-(N(Screener!$D$12)-Database!$H302)/W_RECD))</f>
        <v/>
      </c>
      <c r="H302">
        <f>IF($U$1="",0,N(ISNUMBER(SEARCH($U$1,Database!$AC302&amp;""))))+IF($V$1="",0,N(ISNUMBER(SEARCH($V$1,Database!$AC302&amp;""))))+IF($W$1="",0,N(ISNUMBER(SEARCH($W$1,Database!$AC302&amp;""))))+IF($X$1="",0,N(ISNUMBER(SEARCH($X$1,Database!$AC302&amp;""))))+IF($Y$1="",0,N(ISNUMBER(SEARCH($Y$1,Database!$AC302&amp;""))))+IF(Screener!$B$17="",0,N(ISNUMBER(SEARCH(LOWER(Screener!$B$17),Database!$AC302&amp;""))))</f>
        <v/>
      </c>
      <c r="I302">
        <f>IF(OR(N(Database!$BG302)&lt;=0,N(Screener!$D$13)&lt;=0),0,MAX(0,1-ABS(LOG10(N(Database!$BG302)/Screener!$D$13))/W_PEHW))</f>
        <v/>
      </c>
      <c r="J302">
        <f>IF(OR(N(Database!$S302)&lt;=0,N(Screener!$D$14)&lt;=0),0,MAX(0,1-ABS(LOG10(Database!$S302/Screener!$D$14))/0.6))</f>
        <v/>
      </c>
      <c r="K302">
        <f>IF(Database!$B302=Screener!$B$5,-999999,IF(ISNUMBER(SEARCH(","&amp;Database!$A302&amp;",",","&amp;SUBSTITUTE(Screener!$D$17," ","")&amp;",")),2000000,IF(IF(OR(Screener!$B$18="All",AND(Screener!$B$18="With A-share",(Database!$BL302="Y")),AND(Screener!$B$18="Without A-share",NOT((Database!$BL302="Y")))),1,0)=0,-999999,IF(Screener!$B$16="cornerstone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Database!BF290</f>
        <v/>
      </c>
      <c r="AF302">
        <f>Database!BL290</f>
        <v/>
      </c>
      <c r="AG302">
        <f>Database!H290</f>
        <v/>
      </c>
      <c r="AH302">
        <f>Database!BG290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IF(OR(Database!$BF303="",Screener!$D$10=""),0,IF(Database!$BF303=Screener!$D$10,1,0))</f>
        <v/>
      </c>
      <c r="F303">
        <f>IF(OR(Database!$BL303="",Screener!$D$11=""),0,IF(Database!$BL303=Screener!$D$11,1,0))</f>
        <v/>
      </c>
      <c r="G303">
        <f>IF(OR(Database!$H303="",N(Screener!$D$12)&lt;=0),0,MAX(0,1-(N(Screener!$D$12)-Database!$H303)/W_RECD))</f>
        <v/>
      </c>
      <c r="H303">
        <f>IF($U$1="",0,N(ISNUMBER(SEARCH($U$1,Database!$AC303&amp;""))))+IF($V$1="",0,N(ISNUMBER(SEARCH($V$1,Database!$AC303&amp;""))))+IF($W$1="",0,N(ISNUMBER(SEARCH($W$1,Database!$AC303&amp;""))))+IF($X$1="",0,N(ISNUMBER(SEARCH($X$1,Database!$AC303&amp;""))))+IF($Y$1="",0,N(ISNUMBER(SEARCH($Y$1,Database!$AC303&amp;""))))+IF(Screener!$B$17="",0,N(ISNUMBER(SEARCH(LOWER(Screener!$B$17),Database!$AC303&amp;""))))</f>
        <v/>
      </c>
      <c r="I303">
        <f>IF(OR(N(Database!$BG303)&lt;=0,N(Screener!$D$13)&lt;=0),0,MAX(0,1-ABS(LOG10(N(Database!$BG303)/Screener!$D$13))/W_PEHW))</f>
        <v/>
      </c>
      <c r="J303">
        <f>IF(OR(N(Database!$S303)&lt;=0,N(Screener!$D$14)&lt;=0),0,MAX(0,1-ABS(LOG10(Database!$S303/Screener!$D$14))/0.6))</f>
        <v/>
      </c>
      <c r="K303">
        <f>IF(Database!$B303=Screener!$B$5,-999999,IF(ISNUMBER(SEARCH(","&amp;Database!$A303&amp;",",","&amp;SUBSTITUTE(Screener!$D$17," ","")&amp;",")),2000000,IF(IF(OR(Screener!$B$18="All",AND(Screener!$B$18="With A-share",(Database!$BL303="Y")),AND(Screener!$B$18="Without A-share",NOT((Database!$BL303="Y")))),1,0)=0,-999999,IF(Screener!$B$16="cornerstone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Database!BF291</f>
        <v/>
      </c>
      <c r="AF303">
        <f>Database!BL291</f>
        <v/>
      </c>
      <c r="AG303">
        <f>Database!H291</f>
        <v/>
      </c>
      <c r="AH303">
        <f>Database!BG291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IF(OR(Database!$BF304="",Screener!$D$10=""),0,IF(Database!$BF304=Screener!$D$10,1,0))</f>
        <v/>
      </c>
      <c r="F304">
        <f>IF(OR(Database!$BL304="",Screener!$D$11=""),0,IF(Database!$BL304=Screener!$D$11,1,0))</f>
        <v/>
      </c>
      <c r="G304">
        <f>IF(OR(Database!$H304="",N(Screener!$D$12)&lt;=0),0,MAX(0,1-(N(Screener!$D$12)-Database!$H304)/W_RECD))</f>
        <v/>
      </c>
      <c r="H304">
        <f>IF($U$1="",0,N(ISNUMBER(SEARCH($U$1,Database!$AC304&amp;""))))+IF($V$1="",0,N(ISNUMBER(SEARCH($V$1,Database!$AC304&amp;""))))+IF($W$1="",0,N(ISNUMBER(SEARCH($W$1,Database!$AC304&amp;""))))+IF($X$1="",0,N(ISNUMBER(SEARCH($X$1,Database!$AC304&amp;""))))+IF($Y$1="",0,N(ISNUMBER(SEARCH($Y$1,Database!$AC304&amp;""))))+IF(Screener!$B$17="",0,N(ISNUMBER(SEARCH(LOWER(Screener!$B$17),Database!$AC304&amp;""))))</f>
        <v/>
      </c>
      <c r="I304">
        <f>IF(OR(N(Database!$BG304)&lt;=0,N(Screener!$D$13)&lt;=0),0,MAX(0,1-ABS(LOG10(N(Database!$BG304)/Screener!$D$13))/W_PEHW))</f>
        <v/>
      </c>
      <c r="J304">
        <f>IF(OR(N(Database!$S304)&lt;=0,N(Screener!$D$14)&lt;=0),0,MAX(0,1-ABS(LOG10(Database!$S304/Screener!$D$14))/0.6))</f>
        <v/>
      </c>
      <c r="K304">
        <f>IF(Database!$B304=Screener!$B$5,-999999,IF(ISNUMBER(SEARCH(","&amp;Database!$A304&amp;",",","&amp;SUBSTITUTE(Screener!$D$17," ","")&amp;",")),2000000,IF(IF(OR(Screener!$B$18="All",AND(Screener!$B$18="With A-share",(Database!$BL304="Y")),AND(Screener!$B$18="Without A-share",NOT((Database!$BL304="Y")))),1,0)=0,-999999,IF(Screener!$B$16="cornerstone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Database!BF292</f>
        <v/>
      </c>
      <c r="AF304">
        <f>Database!BL292</f>
        <v/>
      </c>
      <c r="AG304">
        <f>Database!H292</f>
        <v/>
      </c>
      <c r="AH304">
        <f>Database!BG292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IF(OR(Database!$BF305="",Screener!$D$10=""),0,IF(Database!$BF305=Screener!$D$10,1,0))</f>
        <v/>
      </c>
      <c r="F305">
        <f>IF(OR(Database!$BL305="",Screener!$D$11=""),0,IF(Database!$BL305=Screener!$D$11,1,0))</f>
        <v/>
      </c>
      <c r="G305">
        <f>IF(OR(Database!$H305="",N(Screener!$D$12)&lt;=0),0,MAX(0,1-(N(Screener!$D$12)-Database!$H305)/W_RECD))</f>
        <v/>
      </c>
      <c r="H305">
        <f>IF($U$1="",0,N(ISNUMBER(SEARCH($U$1,Database!$AC305&amp;""))))+IF($V$1="",0,N(ISNUMBER(SEARCH($V$1,Database!$AC305&amp;""))))+IF($W$1="",0,N(ISNUMBER(SEARCH($W$1,Database!$AC305&amp;""))))+IF($X$1="",0,N(ISNUMBER(SEARCH($X$1,Database!$AC305&amp;""))))+IF($Y$1="",0,N(ISNUMBER(SEARCH($Y$1,Database!$AC305&amp;""))))+IF(Screener!$B$17="",0,N(ISNUMBER(SEARCH(LOWER(Screener!$B$17),Database!$AC305&amp;""))))</f>
        <v/>
      </c>
      <c r="I305">
        <f>IF(OR(N(Database!$BG305)&lt;=0,N(Screener!$D$13)&lt;=0),0,MAX(0,1-ABS(LOG10(N(Database!$BG305)/Screener!$D$13))/W_PEHW))</f>
        <v/>
      </c>
      <c r="J305">
        <f>IF(OR(N(Database!$S305)&lt;=0,N(Screener!$D$14)&lt;=0),0,MAX(0,1-ABS(LOG10(Database!$S305/Screener!$D$14))/0.6))</f>
        <v/>
      </c>
      <c r="K305">
        <f>IF(Database!$B305=Screener!$B$5,-999999,IF(ISNUMBER(SEARCH(","&amp;Database!$A305&amp;",",","&amp;SUBSTITUTE(Screener!$D$17," ","")&amp;",")),2000000,IF(IF(OR(Screener!$B$18="All",AND(Screener!$B$18="With A-share",(Database!$BL305="Y")),AND(Screener!$B$18="Without A-share",NOT((Database!$BL305="Y")))),1,0)=0,-999999,IF(Screener!$B$16="cornerstone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Database!BF293</f>
        <v/>
      </c>
      <c r="AF305">
        <f>Database!BL293</f>
        <v/>
      </c>
      <c r="AG305">
        <f>Database!H293</f>
        <v/>
      </c>
      <c r="AH305">
        <f>Database!BG293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IF(OR(Database!$BF306="",Screener!$D$10=""),0,IF(Database!$BF306=Screener!$D$10,1,0))</f>
        <v/>
      </c>
      <c r="F306">
        <f>IF(OR(Database!$BL306="",Screener!$D$11=""),0,IF(Database!$BL306=Screener!$D$11,1,0))</f>
        <v/>
      </c>
      <c r="G306">
        <f>IF(OR(Database!$H306="",N(Screener!$D$12)&lt;=0),0,MAX(0,1-(N(Screener!$D$12)-Database!$H306)/W_RECD))</f>
        <v/>
      </c>
      <c r="H306">
        <f>IF($U$1="",0,N(ISNUMBER(SEARCH($U$1,Database!$AC306&amp;""))))+IF($V$1="",0,N(ISNUMBER(SEARCH($V$1,Database!$AC306&amp;""))))+IF($W$1="",0,N(ISNUMBER(SEARCH($W$1,Database!$AC306&amp;""))))+IF($X$1="",0,N(ISNUMBER(SEARCH($X$1,Database!$AC306&amp;""))))+IF($Y$1="",0,N(ISNUMBER(SEARCH($Y$1,Database!$AC306&amp;""))))+IF(Screener!$B$17="",0,N(ISNUMBER(SEARCH(LOWER(Screener!$B$17),Database!$AC306&amp;""))))</f>
        <v/>
      </c>
      <c r="I306">
        <f>IF(OR(N(Database!$BG306)&lt;=0,N(Screener!$D$13)&lt;=0),0,MAX(0,1-ABS(LOG10(N(Database!$BG306)/Screener!$D$13))/W_PEHW))</f>
        <v/>
      </c>
      <c r="J306">
        <f>IF(OR(N(Database!$S306)&lt;=0,N(Screener!$D$14)&lt;=0),0,MAX(0,1-ABS(LOG10(Database!$S306/Screener!$D$14))/0.6))</f>
        <v/>
      </c>
      <c r="K306">
        <f>IF(Database!$B306=Screener!$B$5,-999999,IF(ISNUMBER(SEARCH(","&amp;Database!$A306&amp;",",","&amp;SUBSTITUTE(Screener!$D$17," ","")&amp;",")),2000000,IF(IF(OR(Screener!$B$18="All",AND(Screener!$B$18="With A-share",(Database!$BL306="Y")),AND(Screener!$B$18="Without A-share",NOT((Database!$BL306="Y")))),1,0)=0,-999999,IF(Screener!$B$16="cornerstone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Database!BF294</f>
        <v/>
      </c>
      <c r="AF306">
        <f>Database!BL294</f>
        <v/>
      </c>
      <c r="AG306">
        <f>Database!H294</f>
        <v/>
      </c>
      <c r="AH306">
        <f>Database!BG294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IF(OR(Database!$BF307="",Screener!$D$10=""),0,IF(Database!$BF307=Screener!$D$10,1,0))</f>
        <v/>
      </c>
      <c r="F307">
        <f>IF(OR(Database!$BL307="",Screener!$D$11=""),0,IF(Database!$BL307=Screener!$D$11,1,0))</f>
        <v/>
      </c>
      <c r="G307">
        <f>IF(OR(Database!$H307="",N(Screener!$D$12)&lt;=0),0,MAX(0,1-(N(Screener!$D$12)-Database!$H307)/W_RECD))</f>
        <v/>
      </c>
      <c r="H307">
        <f>IF($U$1="",0,N(ISNUMBER(SEARCH($U$1,Database!$AC307&amp;""))))+IF($V$1="",0,N(ISNUMBER(SEARCH($V$1,Database!$AC307&amp;""))))+IF($W$1="",0,N(ISNUMBER(SEARCH($W$1,Database!$AC307&amp;""))))+IF($X$1="",0,N(ISNUMBER(SEARCH($X$1,Database!$AC307&amp;""))))+IF($Y$1="",0,N(ISNUMBER(SEARCH($Y$1,Database!$AC307&amp;""))))+IF(Screener!$B$17="",0,N(ISNUMBER(SEARCH(LOWER(Screener!$B$17),Database!$AC307&amp;""))))</f>
        <v/>
      </c>
      <c r="I307">
        <f>IF(OR(N(Database!$BG307)&lt;=0,N(Screener!$D$13)&lt;=0),0,MAX(0,1-ABS(LOG10(N(Database!$BG307)/Screener!$D$13))/W_PEHW))</f>
        <v/>
      </c>
      <c r="J307">
        <f>IF(OR(N(Database!$S307)&lt;=0,N(Screener!$D$14)&lt;=0),0,MAX(0,1-ABS(LOG10(Database!$S307/Screener!$D$14))/0.6))</f>
        <v/>
      </c>
      <c r="K307">
        <f>IF(Database!$B307=Screener!$B$5,-999999,IF(ISNUMBER(SEARCH(","&amp;Database!$A307&amp;",",","&amp;SUBSTITUTE(Screener!$D$17," ","")&amp;",")),2000000,IF(IF(OR(Screener!$B$18="All",AND(Screener!$B$18="With A-share",(Database!$BL307="Y")),AND(Screener!$B$18="Without A-share",NOT((Database!$BL307="Y")))),1,0)=0,-999999,IF(Screener!$B$16="cornerstone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Database!BF295</f>
        <v/>
      </c>
      <c r="AF307">
        <f>Database!BL295</f>
        <v/>
      </c>
      <c r="AG307">
        <f>Database!H295</f>
        <v/>
      </c>
      <c r="AH307">
        <f>Database!BG295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IF(OR(Database!$BF308="",Screener!$D$10=""),0,IF(Database!$BF308=Screener!$D$10,1,0))</f>
        <v/>
      </c>
      <c r="F308">
        <f>IF(OR(Database!$BL308="",Screener!$D$11=""),0,IF(Database!$BL308=Screener!$D$11,1,0))</f>
        <v/>
      </c>
      <c r="G308">
        <f>IF(OR(Database!$H308="",N(Screener!$D$12)&lt;=0),0,MAX(0,1-(N(Screener!$D$12)-Database!$H308)/W_RECD))</f>
        <v/>
      </c>
      <c r="H308">
        <f>IF($U$1="",0,N(ISNUMBER(SEARCH($U$1,Database!$AC308&amp;""))))+IF($V$1="",0,N(ISNUMBER(SEARCH($V$1,Database!$AC308&amp;""))))+IF($W$1="",0,N(ISNUMBER(SEARCH($W$1,Database!$AC308&amp;""))))+IF($X$1="",0,N(ISNUMBER(SEARCH($X$1,Database!$AC308&amp;""))))+IF($Y$1="",0,N(ISNUMBER(SEARCH($Y$1,Database!$AC308&amp;""))))+IF(Screener!$B$17="",0,N(ISNUMBER(SEARCH(LOWER(Screener!$B$17),Database!$AC308&amp;""))))</f>
        <v/>
      </c>
      <c r="I308">
        <f>IF(OR(N(Database!$BG308)&lt;=0,N(Screener!$D$13)&lt;=0),0,MAX(0,1-ABS(LOG10(N(Database!$BG308)/Screener!$D$13))/W_PEHW))</f>
        <v/>
      </c>
      <c r="J308">
        <f>IF(OR(N(Database!$S308)&lt;=0,N(Screener!$D$14)&lt;=0),0,MAX(0,1-ABS(LOG10(Database!$S308/Screener!$D$14))/0.6))</f>
        <v/>
      </c>
      <c r="K308">
        <f>IF(Database!$B308=Screener!$B$5,-999999,IF(ISNUMBER(SEARCH(","&amp;Database!$A308&amp;",",","&amp;SUBSTITUTE(Screener!$D$17," ","")&amp;",")),2000000,IF(IF(OR(Screener!$B$18="All",AND(Screener!$B$18="With A-share",(Database!$BL308="Y")),AND(Screener!$B$18="Without A-share",NOT((Database!$BL308="Y")))),1,0)=0,-999999,IF(Screener!$B$16="cornerstone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Database!BF296</f>
        <v/>
      </c>
      <c r="AF308">
        <f>Database!BL296</f>
        <v/>
      </c>
      <c r="AG308">
        <f>Database!H296</f>
        <v/>
      </c>
      <c r="AH308">
        <f>Database!BG296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IF(OR(Database!$BF309="",Screener!$D$10=""),0,IF(Database!$BF309=Screener!$D$10,1,0))</f>
        <v/>
      </c>
      <c r="F309">
        <f>IF(OR(Database!$BL309="",Screener!$D$11=""),0,IF(Database!$BL309=Screener!$D$11,1,0))</f>
        <v/>
      </c>
      <c r="G309">
        <f>IF(OR(Database!$H309="",N(Screener!$D$12)&lt;=0),0,MAX(0,1-(N(Screener!$D$12)-Database!$H309)/W_RECD))</f>
        <v/>
      </c>
      <c r="H309">
        <f>IF($U$1="",0,N(ISNUMBER(SEARCH($U$1,Database!$AC309&amp;""))))+IF($V$1="",0,N(ISNUMBER(SEARCH($V$1,Database!$AC309&amp;""))))+IF($W$1="",0,N(ISNUMBER(SEARCH($W$1,Database!$AC309&amp;""))))+IF($X$1="",0,N(ISNUMBER(SEARCH($X$1,Database!$AC309&amp;""))))+IF($Y$1="",0,N(ISNUMBER(SEARCH($Y$1,Database!$AC309&amp;""))))+IF(Screener!$B$17="",0,N(ISNUMBER(SEARCH(LOWER(Screener!$B$17),Database!$AC309&amp;""))))</f>
        <v/>
      </c>
      <c r="I309">
        <f>IF(OR(N(Database!$BG309)&lt;=0,N(Screener!$D$13)&lt;=0),0,MAX(0,1-ABS(LOG10(N(Database!$BG309)/Screener!$D$13))/W_PEHW))</f>
        <v/>
      </c>
      <c r="J309">
        <f>IF(OR(N(Database!$S309)&lt;=0,N(Screener!$D$14)&lt;=0),0,MAX(0,1-ABS(LOG10(Database!$S309/Screener!$D$14))/0.6))</f>
        <v/>
      </c>
      <c r="K309">
        <f>IF(Database!$B309=Screener!$B$5,-999999,IF(ISNUMBER(SEARCH(","&amp;Database!$A309&amp;",",","&amp;SUBSTITUTE(Screener!$D$17," ","")&amp;",")),2000000,IF(IF(OR(Screener!$B$18="All",AND(Screener!$B$18="With A-share",(Database!$BL309="Y")),AND(Screener!$B$18="Without A-share",NOT((Database!$BL309="Y")))),1,0)=0,-999999,IF(Screener!$B$16="cornerstone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Database!BF297</f>
        <v/>
      </c>
      <c r="AF309">
        <f>Database!BL297</f>
        <v/>
      </c>
      <c r="AG309">
        <f>Database!H297</f>
        <v/>
      </c>
      <c r="AH309">
        <f>Database!BG297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IF(OR(Database!$BF310="",Screener!$D$10=""),0,IF(Database!$BF310=Screener!$D$10,1,0))</f>
        <v/>
      </c>
      <c r="F310">
        <f>IF(OR(Database!$BL310="",Screener!$D$11=""),0,IF(Database!$BL310=Screener!$D$11,1,0))</f>
        <v/>
      </c>
      <c r="G310">
        <f>IF(OR(Database!$H310="",N(Screener!$D$12)&lt;=0),0,MAX(0,1-(N(Screener!$D$12)-Database!$H310)/W_RECD))</f>
        <v/>
      </c>
      <c r="H310">
        <f>IF($U$1="",0,N(ISNUMBER(SEARCH($U$1,Database!$AC310&amp;""))))+IF($V$1="",0,N(ISNUMBER(SEARCH($V$1,Database!$AC310&amp;""))))+IF($W$1="",0,N(ISNUMBER(SEARCH($W$1,Database!$AC310&amp;""))))+IF($X$1="",0,N(ISNUMBER(SEARCH($X$1,Database!$AC310&amp;""))))+IF($Y$1="",0,N(ISNUMBER(SEARCH($Y$1,Database!$AC310&amp;""))))+IF(Screener!$B$17="",0,N(ISNUMBER(SEARCH(LOWER(Screener!$B$17),Database!$AC310&amp;""))))</f>
        <v/>
      </c>
      <c r="I310">
        <f>IF(OR(N(Database!$BG310)&lt;=0,N(Screener!$D$13)&lt;=0),0,MAX(0,1-ABS(LOG10(N(Database!$BG310)/Screener!$D$13))/W_PEHW))</f>
        <v/>
      </c>
      <c r="J310">
        <f>IF(OR(N(Database!$S310)&lt;=0,N(Screener!$D$14)&lt;=0),0,MAX(0,1-ABS(LOG10(Database!$S310/Screener!$D$14))/0.6))</f>
        <v/>
      </c>
      <c r="K310">
        <f>IF(Database!$B310=Screener!$B$5,-999999,IF(ISNUMBER(SEARCH(","&amp;Database!$A310&amp;",",","&amp;SUBSTITUTE(Screener!$D$17," ","")&amp;",")),2000000,IF(IF(OR(Screener!$B$18="All",AND(Screener!$B$18="With A-share",(Database!$BL310="Y")),AND(Screener!$B$18="Without A-share",NOT((Database!$BL310="Y")))),1,0)=0,-999999,IF(Screener!$B$16="cornerstone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Database!BF298</f>
        <v/>
      </c>
      <c r="AF310">
        <f>Database!BL298</f>
        <v/>
      </c>
      <c r="AG310">
        <f>Database!H298</f>
        <v/>
      </c>
      <c r="AH310">
        <f>Database!BG298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IF(OR(Database!$BF311="",Screener!$D$10=""),0,IF(Database!$BF311=Screener!$D$10,1,0))</f>
        <v/>
      </c>
      <c r="F311">
        <f>IF(OR(Database!$BL311="",Screener!$D$11=""),0,IF(Database!$BL311=Screener!$D$11,1,0))</f>
        <v/>
      </c>
      <c r="G311">
        <f>IF(OR(Database!$H311="",N(Screener!$D$12)&lt;=0),0,MAX(0,1-(N(Screener!$D$12)-Database!$H311)/W_RECD))</f>
        <v/>
      </c>
      <c r="H311">
        <f>IF($U$1="",0,N(ISNUMBER(SEARCH($U$1,Database!$AC311&amp;""))))+IF($V$1="",0,N(ISNUMBER(SEARCH($V$1,Database!$AC311&amp;""))))+IF($W$1="",0,N(ISNUMBER(SEARCH($W$1,Database!$AC311&amp;""))))+IF($X$1="",0,N(ISNUMBER(SEARCH($X$1,Database!$AC311&amp;""))))+IF($Y$1="",0,N(ISNUMBER(SEARCH($Y$1,Database!$AC311&amp;""))))+IF(Screener!$B$17="",0,N(ISNUMBER(SEARCH(LOWER(Screener!$B$17),Database!$AC311&amp;""))))</f>
        <v/>
      </c>
      <c r="I311">
        <f>IF(OR(N(Database!$BG311)&lt;=0,N(Screener!$D$13)&lt;=0),0,MAX(0,1-ABS(LOG10(N(Database!$BG311)/Screener!$D$13))/W_PEHW))</f>
        <v/>
      </c>
      <c r="J311">
        <f>IF(OR(N(Database!$S311)&lt;=0,N(Screener!$D$14)&lt;=0),0,MAX(0,1-ABS(LOG10(Database!$S311/Screener!$D$14))/0.6))</f>
        <v/>
      </c>
      <c r="K311">
        <f>IF(Database!$B311=Screener!$B$5,-999999,IF(ISNUMBER(SEARCH(","&amp;Database!$A311&amp;",",","&amp;SUBSTITUTE(Screener!$D$17," ","")&amp;",")),2000000,IF(IF(OR(Screener!$B$18="All",AND(Screener!$B$18="With A-share",(Database!$BL311="Y")),AND(Screener!$B$18="Without A-share",NOT((Database!$BL311="Y")))),1,0)=0,-999999,IF(Screener!$B$16="cornerstone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Database!BF299</f>
        <v/>
      </c>
      <c r="AF311">
        <f>Database!BL299</f>
        <v/>
      </c>
      <c r="AG311">
        <f>Database!H299</f>
        <v/>
      </c>
      <c r="AH311">
        <f>Database!BG299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IF(OR(Database!$BF312="",Screener!$D$10=""),0,IF(Database!$BF312=Screener!$D$10,1,0))</f>
        <v/>
      </c>
      <c r="F312">
        <f>IF(OR(Database!$BL312="",Screener!$D$11=""),0,IF(Database!$BL312=Screener!$D$11,1,0))</f>
        <v/>
      </c>
      <c r="G312">
        <f>IF(OR(Database!$H312="",N(Screener!$D$12)&lt;=0),0,MAX(0,1-(N(Screener!$D$12)-Database!$H312)/W_RECD))</f>
        <v/>
      </c>
      <c r="H312">
        <f>IF($U$1="",0,N(ISNUMBER(SEARCH($U$1,Database!$AC312&amp;""))))+IF($V$1="",0,N(ISNUMBER(SEARCH($V$1,Database!$AC312&amp;""))))+IF($W$1="",0,N(ISNUMBER(SEARCH($W$1,Database!$AC312&amp;""))))+IF($X$1="",0,N(ISNUMBER(SEARCH($X$1,Database!$AC312&amp;""))))+IF($Y$1="",0,N(ISNUMBER(SEARCH($Y$1,Database!$AC312&amp;""))))+IF(Screener!$B$17="",0,N(ISNUMBER(SEARCH(LOWER(Screener!$B$17),Database!$AC312&amp;""))))</f>
        <v/>
      </c>
      <c r="I312">
        <f>IF(OR(N(Database!$BG312)&lt;=0,N(Screener!$D$13)&lt;=0),0,MAX(0,1-ABS(LOG10(N(Database!$BG312)/Screener!$D$13))/W_PEHW))</f>
        <v/>
      </c>
      <c r="J312">
        <f>IF(OR(N(Database!$S312)&lt;=0,N(Screener!$D$14)&lt;=0),0,MAX(0,1-ABS(LOG10(Database!$S312/Screener!$D$14))/0.6))</f>
        <v/>
      </c>
      <c r="K312">
        <f>IF(Database!$B312=Screener!$B$5,-999999,IF(ISNUMBER(SEARCH(","&amp;Database!$A312&amp;",",","&amp;SUBSTITUTE(Screener!$D$17," ","")&amp;",")),2000000,IF(IF(OR(Screener!$B$18="All",AND(Screener!$B$18="With A-share",(Database!$BL312="Y")),AND(Screener!$B$18="Without A-share",NOT((Database!$BL312="Y")))),1,0)=0,-999999,IF(Screener!$B$16="cornerstone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Database!BF300</f>
        <v/>
      </c>
      <c r="AF312">
        <f>Database!BL300</f>
        <v/>
      </c>
      <c r="AG312">
        <f>Database!H300</f>
        <v/>
      </c>
      <c r="AH312">
        <f>Database!BG300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IF(OR(Database!$BF313="",Screener!$D$10=""),0,IF(Database!$BF313=Screener!$D$10,1,0))</f>
        <v/>
      </c>
      <c r="F313">
        <f>IF(OR(Database!$BL313="",Screener!$D$11=""),0,IF(Database!$BL313=Screener!$D$11,1,0))</f>
        <v/>
      </c>
      <c r="G313">
        <f>IF(OR(Database!$H313="",N(Screener!$D$12)&lt;=0),0,MAX(0,1-(N(Screener!$D$12)-Database!$H313)/W_RECD))</f>
        <v/>
      </c>
      <c r="H313">
        <f>IF($U$1="",0,N(ISNUMBER(SEARCH($U$1,Database!$AC313&amp;""))))+IF($V$1="",0,N(ISNUMBER(SEARCH($V$1,Database!$AC313&amp;""))))+IF($W$1="",0,N(ISNUMBER(SEARCH($W$1,Database!$AC313&amp;""))))+IF($X$1="",0,N(ISNUMBER(SEARCH($X$1,Database!$AC313&amp;""))))+IF($Y$1="",0,N(ISNUMBER(SEARCH($Y$1,Database!$AC313&amp;""))))+IF(Screener!$B$17="",0,N(ISNUMBER(SEARCH(LOWER(Screener!$B$17),Database!$AC313&amp;""))))</f>
        <v/>
      </c>
      <c r="I313">
        <f>IF(OR(N(Database!$BG313)&lt;=0,N(Screener!$D$13)&lt;=0),0,MAX(0,1-ABS(LOG10(N(Database!$BG313)/Screener!$D$13))/W_PEHW))</f>
        <v/>
      </c>
      <c r="J313">
        <f>IF(OR(N(Database!$S313)&lt;=0,N(Screener!$D$14)&lt;=0),0,MAX(0,1-ABS(LOG10(Database!$S313/Screener!$D$14))/0.6))</f>
        <v/>
      </c>
      <c r="K313">
        <f>IF(Database!$B313=Screener!$B$5,-999999,IF(ISNUMBER(SEARCH(","&amp;Database!$A313&amp;",",","&amp;SUBSTITUTE(Screener!$D$17," ","")&amp;",")),2000000,IF(IF(OR(Screener!$B$18="All",AND(Screener!$B$18="With A-share",(Database!$BL313="Y")),AND(Screener!$B$18="Without A-share",NOT((Database!$BL313="Y")))),1,0)=0,-999999,IF(Screener!$B$16="cornerstone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Database!BF301</f>
        <v/>
      </c>
      <c r="AF313">
        <f>Database!BL301</f>
        <v/>
      </c>
      <c r="AG313">
        <f>Database!H301</f>
        <v/>
      </c>
      <c r="AH313">
        <f>Database!BG301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IF(OR(Database!$BF314="",Screener!$D$10=""),0,IF(Database!$BF314=Screener!$D$10,1,0))</f>
        <v/>
      </c>
      <c r="F314">
        <f>IF(OR(Database!$BL314="",Screener!$D$11=""),0,IF(Database!$BL314=Screener!$D$11,1,0))</f>
        <v/>
      </c>
      <c r="G314">
        <f>IF(OR(Database!$H314="",N(Screener!$D$12)&lt;=0),0,MAX(0,1-(N(Screener!$D$12)-Database!$H314)/W_RECD))</f>
        <v/>
      </c>
      <c r="H314">
        <f>IF($U$1="",0,N(ISNUMBER(SEARCH($U$1,Database!$AC314&amp;""))))+IF($V$1="",0,N(ISNUMBER(SEARCH($V$1,Database!$AC314&amp;""))))+IF($W$1="",0,N(ISNUMBER(SEARCH($W$1,Database!$AC314&amp;""))))+IF($X$1="",0,N(ISNUMBER(SEARCH($X$1,Database!$AC314&amp;""))))+IF($Y$1="",0,N(ISNUMBER(SEARCH($Y$1,Database!$AC314&amp;""))))+IF(Screener!$B$17="",0,N(ISNUMBER(SEARCH(LOWER(Screener!$B$17),Database!$AC314&amp;""))))</f>
        <v/>
      </c>
      <c r="I314">
        <f>IF(OR(N(Database!$BG314)&lt;=0,N(Screener!$D$13)&lt;=0),0,MAX(0,1-ABS(LOG10(N(Database!$BG314)/Screener!$D$13))/W_PEHW))</f>
        <v/>
      </c>
      <c r="J314">
        <f>IF(OR(N(Database!$S314)&lt;=0,N(Screener!$D$14)&lt;=0),0,MAX(0,1-ABS(LOG10(Database!$S314/Screener!$D$14))/0.6))</f>
        <v/>
      </c>
      <c r="K314">
        <f>IF(Database!$B314=Screener!$B$5,-999999,IF(ISNUMBER(SEARCH(","&amp;Database!$A314&amp;",",","&amp;SUBSTITUTE(Screener!$D$17," ","")&amp;",")),2000000,IF(IF(OR(Screener!$B$18="All",AND(Screener!$B$18="With A-share",(Database!$BL314="Y")),AND(Screener!$B$18="Without A-share",NOT((Database!$BL314="Y")))),1,0)=0,-999999,IF(Screener!$B$16="cornerstone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Database!BF302</f>
        <v/>
      </c>
      <c r="AF314">
        <f>Database!BL302</f>
        <v/>
      </c>
      <c r="AG314">
        <f>Database!H302</f>
        <v/>
      </c>
      <c r="AH314">
        <f>Database!BG302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IF(OR(Database!$BF315="",Screener!$D$10=""),0,IF(Database!$BF315=Screener!$D$10,1,0))</f>
        <v/>
      </c>
      <c r="F315">
        <f>IF(OR(Database!$BL315="",Screener!$D$11=""),0,IF(Database!$BL315=Screener!$D$11,1,0))</f>
        <v/>
      </c>
      <c r="G315">
        <f>IF(OR(Database!$H315="",N(Screener!$D$12)&lt;=0),0,MAX(0,1-(N(Screener!$D$12)-Database!$H315)/W_RECD))</f>
        <v/>
      </c>
      <c r="H315">
        <f>IF($U$1="",0,N(ISNUMBER(SEARCH($U$1,Database!$AC315&amp;""))))+IF($V$1="",0,N(ISNUMBER(SEARCH($V$1,Database!$AC315&amp;""))))+IF($W$1="",0,N(ISNUMBER(SEARCH($W$1,Database!$AC315&amp;""))))+IF($X$1="",0,N(ISNUMBER(SEARCH($X$1,Database!$AC315&amp;""))))+IF($Y$1="",0,N(ISNUMBER(SEARCH($Y$1,Database!$AC315&amp;""))))+IF(Screener!$B$17="",0,N(ISNUMBER(SEARCH(LOWER(Screener!$B$17),Database!$AC315&amp;""))))</f>
        <v/>
      </c>
      <c r="I315">
        <f>IF(OR(N(Database!$BG315)&lt;=0,N(Screener!$D$13)&lt;=0),0,MAX(0,1-ABS(LOG10(N(Database!$BG315)/Screener!$D$13))/W_PEHW))</f>
        <v/>
      </c>
      <c r="J315">
        <f>IF(OR(N(Database!$S315)&lt;=0,N(Screener!$D$14)&lt;=0),0,MAX(0,1-ABS(LOG10(Database!$S315/Screener!$D$14))/0.6))</f>
        <v/>
      </c>
      <c r="K315">
        <f>IF(Database!$B315=Screener!$B$5,-999999,IF(ISNUMBER(SEARCH(","&amp;Database!$A315&amp;",",","&amp;SUBSTITUTE(Screener!$D$17," ","")&amp;",")),2000000,IF(IF(OR(Screener!$B$18="All",AND(Screener!$B$18="With A-share",(Database!$BL315="Y")),AND(Screener!$B$18="Without A-share",NOT((Database!$BL315="Y")))),1,0)=0,-999999,IF(Screener!$B$16="cornerstone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Database!BF303</f>
        <v/>
      </c>
      <c r="AF315">
        <f>Database!BL303</f>
        <v/>
      </c>
      <c r="AG315">
        <f>Database!H303</f>
        <v/>
      </c>
      <c r="AH315">
        <f>Database!BG303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IF(OR(Database!$BF316="",Screener!$D$10=""),0,IF(Database!$BF316=Screener!$D$10,1,0))</f>
        <v/>
      </c>
      <c r="F316">
        <f>IF(OR(Database!$BL316="",Screener!$D$11=""),0,IF(Database!$BL316=Screener!$D$11,1,0))</f>
        <v/>
      </c>
      <c r="G316">
        <f>IF(OR(Database!$H316="",N(Screener!$D$12)&lt;=0),0,MAX(0,1-(N(Screener!$D$12)-Database!$H316)/W_RECD))</f>
        <v/>
      </c>
      <c r="H316">
        <f>IF($U$1="",0,N(ISNUMBER(SEARCH($U$1,Database!$AC316&amp;""))))+IF($V$1="",0,N(ISNUMBER(SEARCH($V$1,Database!$AC316&amp;""))))+IF($W$1="",0,N(ISNUMBER(SEARCH($W$1,Database!$AC316&amp;""))))+IF($X$1="",0,N(ISNUMBER(SEARCH($X$1,Database!$AC316&amp;""))))+IF($Y$1="",0,N(ISNUMBER(SEARCH($Y$1,Database!$AC316&amp;""))))+IF(Screener!$B$17="",0,N(ISNUMBER(SEARCH(LOWER(Screener!$B$17),Database!$AC316&amp;""))))</f>
        <v/>
      </c>
      <c r="I316">
        <f>IF(OR(N(Database!$BG316)&lt;=0,N(Screener!$D$13)&lt;=0),0,MAX(0,1-ABS(LOG10(N(Database!$BG316)/Screener!$D$13))/W_PEHW))</f>
        <v/>
      </c>
      <c r="J316">
        <f>IF(OR(N(Database!$S316)&lt;=0,N(Screener!$D$14)&lt;=0),0,MAX(0,1-ABS(LOG10(Database!$S316/Screener!$D$14))/0.6))</f>
        <v/>
      </c>
      <c r="K316">
        <f>IF(Database!$B316=Screener!$B$5,-999999,IF(ISNUMBER(SEARCH(","&amp;Database!$A316&amp;",",","&amp;SUBSTITUTE(Screener!$D$17," ","")&amp;",")),2000000,IF(IF(OR(Screener!$B$18="All",AND(Screener!$B$18="With A-share",(Database!$BL316="Y")),AND(Screener!$B$18="Without A-share",NOT((Database!$BL316="Y")))),1,0)=0,-999999,IF(Screener!$B$16="cornerstone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Database!BF304</f>
        <v/>
      </c>
      <c r="AF316">
        <f>Database!BL304</f>
        <v/>
      </c>
      <c r="AG316">
        <f>Database!H304</f>
        <v/>
      </c>
      <c r="AH316">
        <f>Database!BG304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IF(OR(Database!$BF317="",Screener!$D$10=""),0,IF(Database!$BF317=Screener!$D$10,1,0))</f>
        <v/>
      </c>
      <c r="F317">
        <f>IF(OR(Database!$BL317="",Screener!$D$11=""),0,IF(Database!$BL317=Screener!$D$11,1,0))</f>
        <v/>
      </c>
      <c r="G317">
        <f>IF(OR(Database!$H317="",N(Screener!$D$12)&lt;=0),0,MAX(0,1-(N(Screener!$D$12)-Database!$H317)/W_RECD))</f>
        <v/>
      </c>
      <c r="H317">
        <f>IF($U$1="",0,N(ISNUMBER(SEARCH($U$1,Database!$AC317&amp;""))))+IF($V$1="",0,N(ISNUMBER(SEARCH($V$1,Database!$AC317&amp;""))))+IF($W$1="",0,N(ISNUMBER(SEARCH($W$1,Database!$AC317&amp;""))))+IF($X$1="",0,N(ISNUMBER(SEARCH($X$1,Database!$AC317&amp;""))))+IF($Y$1="",0,N(ISNUMBER(SEARCH($Y$1,Database!$AC317&amp;""))))+IF(Screener!$B$17="",0,N(ISNUMBER(SEARCH(LOWER(Screener!$B$17),Database!$AC317&amp;""))))</f>
        <v/>
      </c>
      <c r="I317">
        <f>IF(OR(N(Database!$BG317)&lt;=0,N(Screener!$D$13)&lt;=0),0,MAX(0,1-ABS(LOG10(N(Database!$BG317)/Screener!$D$13))/W_PEHW))</f>
        <v/>
      </c>
      <c r="J317">
        <f>IF(OR(N(Database!$S317)&lt;=0,N(Screener!$D$14)&lt;=0),0,MAX(0,1-ABS(LOG10(Database!$S317/Screener!$D$14))/0.6))</f>
        <v/>
      </c>
      <c r="K317">
        <f>IF(Database!$B317=Screener!$B$5,-999999,IF(ISNUMBER(SEARCH(","&amp;Database!$A317&amp;",",","&amp;SUBSTITUTE(Screener!$D$17," ","")&amp;",")),2000000,IF(IF(OR(Screener!$B$18="All",AND(Screener!$B$18="With A-share",(Database!$BL317="Y")),AND(Screener!$B$18="Without A-share",NOT((Database!$BL317="Y")))),1,0)=0,-999999,IF(Screener!$B$16="cornerstone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Database!BF305</f>
        <v/>
      </c>
      <c r="AF317">
        <f>Database!BL305</f>
        <v/>
      </c>
      <c r="AG317">
        <f>Database!H305</f>
        <v/>
      </c>
      <c r="AH317">
        <f>Database!BG305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IF(OR(Database!$BF318="",Screener!$D$10=""),0,IF(Database!$BF318=Screener!$D$10,1,0))</f>
        <v/>
      </c>
      <c r="F318">
        <f>IF(OR(Database!$BL318="",Screener!$D$11=""),0,IF(Database!$BL318=Screener!$D$11,1,0))</f>
        <v/>
      </c>
      <c r="G318">
        <f>IF(OR(Database!$H318="",N(Screener!$D$12)&lt;=0),0,MAX(0,1-(N(Screener!$D$12)-Database!$H318)/W_RECD))</f>
        <v/>
      </c>
      <c r="H318">
        <f>IF($U$1="",0,N(ISNUMBER(SEARCH($U$1,Database!$AC318&amp;""))))+IF($V$1="",0,N(ISNUMBER(SEARCH($V$1,Database!$AC318&amp;""))))+IF($W$1="",0,N(ISNUMBER(SEARCH($W$1,Database!$AC318&amp;""))))+IF($X$1="",0,N(ISNUMBER(SEARCH($X$1,Database!$AC318&amp;""))))+IF($Y$1="",0,N(ISNUMBER(SEARCH($Y$1,Database!$AC318&amp;""))))+IF(Screener!$B$17="",0,N(ISNUMBER(SEARCH(LOWER(Screener!$B$17),Database!$AC318&amp;""))))</f>
        <v/>
      </c>
      <c r="I318">
        <f>IF(OR(N(Database!$BG318)&lt;=0,N(Screener!$D$13)&lt;=0),0,MAX(0,1-ABS(LOG10(N(Database!$BG318)/Screener!$D$13))/W_PEHW))</f>
        <v/>
      </c>
      <c r="J318">
        <f>IF(OR(N(Database!$S318)&lt;=0,N(Screener!$D$14)&lt;=0),0,MAX(0,1-ABS(LOG10(Database!$S318/Screener!$D$14))/0.6))</f>
        <v/>
      </c>
      <c r="K318">
        <f>IF(Database!$B318=Screener!$B$5,-999999,IF(ISNUMBER(SEARCH(","&amp;Database!$A318&amp;",",","&amp;SUBSTITUTE(Screener!$D$17," ","")&amp;",")),2000000,IF(IF(OR(Screener!$B$18="All",AND(Screener!$B$18="With A-share",(Database!$BL318="Y")),AND(Screener!$B$18="Without A-share",NOT((Database!$BL318="Y")))),1,0)=0,-999999,IF(Screener!$B$16="cornerstone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Database!BF306</f>
        <v/>
      </c>
      <c r="AF318">
        <f>Database!BL306</f>
        <v/>
      </c>
      <c r="AG318">
        <f>Database!H306</f>
        <v/>
      </c>
      <c r="AH318">
        <f>Database!BG306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IF(OR(Database!$BF319="",Screener!$D$10=""),0,IF(Database!$BF319=Screener!$D$10,1,0))</f>
        <v/>
      </c>
      <c r="F319">
        <f>IF(OR(Database!$BL319="",Screener!$D$11=""),0,IF(Database!$BL319=Screener!$D$11,1,0))</f>
        <v/>
      </c>
      <c r="G319">
        <f>IF(OR(Database!$H319="",N(Screener!$D$12)&lt;=0),0,MAX(0,1-(N(Screener!$D$12)-Database!$H319)/W_RECD))</f>
        <v/>
      </c>
      <c r="H319">
        <f>IF($U$1="",0,N(ISNUMBER(SEARCH($U$1,Database!$AC319&amp;""))))+IF($V$1="",0,N(ISNUMBER(SEARCH($V$1,Database!$AC319&amp;""))))+IF($W$1="",0,N(ISNUMBER(SEARCH($W$1,Database!$AC319&amp;""))))+IF($X$1="",0,N(ISNUMBER(SEARCH($X$1,Database!$AC319&amp;""))))+IF($Y$1="",0,N(ISNUMBER(SEARCH($Y$1,Database!$AC319&amp;""))))+IF(Screener!$B$17="",0,N(ISNUMBER(SEARCH(LOWER(Screener!$B$17),Database!$AC319&amp;""))))</f>
        <v/>
      </c>
      <c r="I319">
        <f>IF(OR(N(Database!$BG319)&lt;=0,N(Screener!$D$13)&lt;=0),0,MAX(0,1-ABS(LOG10(N(Database!$BG319)/Screener!$D$13))/W_PEHW))</f>
        <v/>
      </c>
      <c r="J319">
        <f>IF(OR(N(Database!$S319)&lt;=0,N(Screener!$D$14)&lt;=0),0,MAX(0,1-ABS(LOG10(Database!$S319/Screener!$D$14))/0.6))</f>
        <v/>
      </c>
      <c r="K319">
        <f>IF(Database!$B319=Screener!$B$5,-999999,IF(ISNUMBER(SEARCH(","&amp;Database!$A319&amp;",",","&amp;SUBSTITUTE(Screener!$D$17," ","")&amp;",")),2000000,IF(IF(OR(Screener!$B$18="All",AND(Screener!$B$18="With A-share",(Database!$BL319="Y")),AND(Screener!$B$18="Without A-share",NOT((Database!$BL319="Y")))),1,0)=0,-999999,IF(Screener!$B$16="cornerstone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Database!BF307</f>
        <v/>
      </c>
      <c r="AF319">
        <f>Database!BL307</f>
        <v/>
      </c>
      <c r="AG319">
        <f>Database!H307</f>
        <v/>
      </c>
      <c r="AH319">
        <f>Database!BG307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IF(OR(Database!$BF320="",Screener!$D$10=""),0,IF(Database!$BF320=Screener!$D$10,1,0))</f>
        <v/>
      </c>
      <c r="F320">
        <f>IF(OR(Database!$BL320="",Screener!$D$11=""),0,IF(Database!$BL320=Screener!$D$11,1,0))</f>
        <v/>
      </c>
      <c r="G320">
        <f>IF(OR(Database!$H320="",N(Screener!$D$12)&lt;=0),0,MAX(0,1-(N(Screener!$D$12)-Database!$H320)/W_RECD))</f>
        <v/>
      </c>
      <c r="H320">
        <f>IF($U$1="",0,N(ISNUMBER(SEARCH($U$1,Database!$AC320&amp;""))))+IF($V$1="",0,N(ISNUMBER(SEARCH($V$1,Database!$AC320&amp;""))))+IF($W$1="",0,N(ISNUMBER(SEARCH($W$1,Database!$AC320&amp;""))))+IF($X$1="",0,N(ISNUMBER(SEARCH($X$1,Database!$AC320&amp;""))))+IF($Y$1="",0,N(ISNUMBER(SEARCH($Y$1,Database!$AC320&amp;""))))+IF(Screener!$B$17="",0,N(ISNUMBER(SEARCH(LOWER(Screener!$B$17),Database!$AC320&amp;""))))</f>
        <v/>
      </c>
      <c r="I320">
        <f>IF(OR(N(Database!$BG320)&lt;=0,N(Screener!$D$13)&lt;=0),0,MAX(0,1-ABS(LOG10(N(Database!$BG320)/Screener!$D$13))/W_PEHW))</f>
        <v/>
      </c>
      <c r="J320">
        <f>IF(OR(N(Database!$S320)&lt;=0,N(Screener!$D$14)&lt;=0),0,MAX(0,1-ABS(LOG10(Database!$S320/Screener!$D$14))/0.6))</f>
        <v/>
      </c>
      <c r="K320">
        <f>IF(Database!$B320=Screener!$B$5,-999999,IF(ISNUMBER(SEARCH(","&amp;Database!$A320&amp;",",","&amp;SUBSTITUTE(Screener!$D$17," ","")&amp;",")),2000000,IF(IF(OR(Screener!$B$18="All",AND(Screener!$B$18="With A-share",(Database!$BL320="Y")),AND(Screener!$B$18="Without A-share",NOT((Database!$BL320="Y")))),1,0)=0,-999999,IF(Screener!$B$16="cornerstone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Database!BF308</f>
        <v/>
      </c>
      <c r="AF320">
        <f>Database!BL308</f>
        <v/>
      </c>
      <c r="AG320">
        <f>Database!H308</f>
        <v/>
      </c>
      <c r="AH320">
        <f>Database!BG308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IF(OR(Database!$BF321="",Screener!$D$10=""),0,IF(Database!$BF321=Screener!$D$10,1,0))</f>
        <v/>
      </c>
      <c r="F321">
        <f>IF(OR(Database!$BL321="",Screener!$D$11=""),0,IF(Database!$BL321=Screener!$D$11,1,0))</f>
        <v/>
      </c>
      <c r="G321">
        <f>IF(OR(Database!$H321="",N(Screener!$D$12)&lt;=0),0,MAX(0,1-(N(Screener!$D$12)-Database!$H321)/W_RECD))</f>
        <v/>
      </c>
      <c r="H321">
        <f>IF($U$1="",0,N(ISNUMBER(SEARCH($U$1,Database!$AC321&amp;""))))+IF($V$1="",0,N(ISNUMBER(SEARCH($V$1,Database!$AC321&amp;""))))+IF($W$1="",0,N(ISNUMBER(SEARCH($W$1,Database!$AC321&amp;""))))+IF($X$1="",0,N(ISNUMBER(SEARCH($X$1,Database!$AC321&amp;""))))+IF($Y$1="",0,N(ISNUMBER(SEARCH($Y$1,Database!$AC321&amp;""))))+IF(Screener!$B$17="",0,N(ISNUMBER(SEARCH(LOWER(Screener!$B$17),Database!$AC321&amp;""))))</f>
        <v/>
      </c>
      <c r="I321">
        <f>IF(OR(N(Database!$BG321)&lt;=0,N(Screener!$D$13)&lt;=0),0,MAX(0,1-ABS(LOG10(N(Database!$BG321)/Screener!$D$13))/W_PEHW))</f>
        <v/>
      </c>
      <c r="J321">
        <f>IF(OR(N(Database!$S321)&lt;=0,N(Screener!$D$14)&lt;=0),0,MAX(0,1-ABS(LOG10(Database!$S321/Screener!$D$14))/0.6))</f>
        <v/>
      </c>
      <c r="K321">
        <f>IF(Database!$B321=Screener!$B$5,-999999,IF(ISNUMBER(SEARCH(","&amp;Database!$A321&amp;",",","&amp;SUBSTITUTE(Screener!$D$17," ","")&amp;",")),2000000,IF(IF(OR(Screener!$B$18="All",AND(Screener!$B$18="With A-share",(Database!$BL321="Y")),AND(Screener!$B$18="Without A-share",NOT((Database!$BL321="Y")))),1,0)=0,-999999,IF(Screener!$B$16="cornerstone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Database!BF309</f>
        <v/>
      </c>
      <c r="AF321">
        <f>Database!BL309</f>
        <v/>
      </c>
      <c r="AG321">
        <f>Database!H309</f>
        <v/>
      </c>
      <c r="AH321">
        <f>Database!BG309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IF(OR(Database!$BF322="",Screener!$D$10=""),0,IF(Database!$BF322=Screener!$D$10,1,0))</f>
        <v/>
      </c>
      <c r="F322">
        <f>IF(OR(Database!$BL322="",Screener!$D$11=""),0,IF(Database!$BL322=Screener!$D$11,1,0))</f>
        <v/>
      </c>
      <c r="G322">
        <f>IF(OR(Database!$H322="",N(Screener!$D$12)&lt;=0),0,MAX(0,1-(N(Screener!$D$12)-Database!$H322)/W_RECD))</f>
        <v/>
      </c>
      <c r="H322">
        <f>IF($U$1="",0,N(ISNUMBER(SEARCH($U$1,Database!$AC322&amp;""))))+IF($V$1="",0,N(ISNUMBER(SEARCH($V$1,Database!$AC322&amp;""))))+IF($W$1="",0,N(ISNUMBER(SEARCH($W$1,Database!$AC322&amp;""))))+IF($X$1="",0,N(ISNUMBER(SEARCH($X$1,Database!$AC322&amp;""))))+IF($Y$1="",0,N(ISNUMBER(SEARCH($Y$1,Database!$AC322&amp;""))))+IF(Screener!$B$17="",0,N(ISNUMBER(SEARCH(LOWER(Screener!$B$17),Database!$AC322&amp;""))))</f>
        <v/>
      </c>
      <c r="I322">
        <f>IF(OR(N(Database!$BG322)&lt;=0,N(Screener!$D$13)&lt;=0),0,MAX(0,1-ABS(LOG10(N(Database!$BG322)/Screener!$D$13))/W_PEHW))</f>
        <v/>
      </c>
      <c r="J322">
        <f>IF(OR(N(Database!$S322)&lt;=0,N(Screener!$D$14)&lt;=0),0,MAX(0,1-ABS(LOG10(Database!$S322/Screener!$D$14))/0.6))</f>
        <v/>
      </c>
      <c r="K322">
        <f>IF(Database!$B322=Screener!$B$5,-999999,IF(ISNUMBER(SEARCH(","&amp;Database!$A322&amp;",",","&amp;SUBSTITUTE(Screener!$D$17," ","")&amp;",")),2000000,IF(IF(OR(Screener!$B$18="All",AND(Screener!$B$18="With A-share",(Database!$BL322="Y")),AND(Screener!$B$18="Without A-share",NOT((Database!$BL322="Y")))),1,0)=0,-999999,IF(Screener!$B$16="cornerstone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Database!BF310</f>
        <v/>
      </c>
      <c r="AF322">
        <f>Database!BL310</f>
        <v/>
      </c>
      <c r="AG322">
        <f>Database!H310</f>
        <v/>
      </c>
      <c r="AH322">
        <f>Database!BG310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IF(OR(Database!$BF323="",Screener!$D$10=""),0,IF(Database!$BF323=Screener!$D$10,1,0))</f>
        <v/>
      </c>
      <c r="F323">
        <f>IF(OR(Database!$BL323="",Screener!$D$11=""),0,IF(Database!$BL323=Screener!$D$11,1,0))</f>
        <v/>
      </c>
      <c r="G323">
        <f>IF(OR(Database!$H323="",N(Screener!$D$12)&lt;=0),0,MAX(0,1-(N(Screener!$D$12)-Database!$H323)/W_RECD))</f>
        <v/>
      </c>
      <c r="H323">
        <f>IF($U$1="",0,N(ISNUMBER(SEARCH($U$1,Database!$AC323&amp;""))))+IF($V$1="",0,N(ISNUMBER(SEARCH($V$1,Database!$AC323&amp;""))))+IF($W$1="",0,N(ISNUMBER(SEARCH($W$1,Database!$AC323&amp;""))))+IF($X$1="",0,N(ISNUMBER(SEARCH($X$1,Database!$AC323&amp;""))))+IF($Y$1="",0,N(ISNUMBER(SEARCH($Y$1,Database!$AC323&amp;""))))+IF(Screener!$B$17="",0,N(ISNUMBER(SEARCH(LOWER(Screener!$B$17),Database!$AC323&amp;""))))</f>
        <v/>
      </c>
      <c r="I323">
        <f>IF(OR(N(Database!$BG323)&lt;=0,N(Screener!$D$13)&lt;=0),0,MAX(0,1-ABS(LOG10(N(Database!$BG323)/Screener!$D$13))/W_PEHW))</f>
        <v/>
      </c>
      <c r="J323">
        <f>IF(OR(N(Database!$S323)&lt;=0,N(Screener!$D$14)&lt;=0),0,MAX(0,1-ABS(LOG10(Database!$S323/Screener!$D$14))/0.6))</f>
        <v/>
      </c>
      <c r="K323">
        <f>IF(Database!$B323=Screener!$B$5,-999999,IF(ISNUMBER(SEARCH(","&amp;Database!$A323&amp;",",","&amp;SUBSTITUTE(Screener!$D$17," ","")&amp;",")),2000000,IF(IF(OR(Screener!$B$18="All",AND(Screener!$B$18="With A-share",(Database!$BL323="Y")),AND(Screener!$B$18="Without A-share",NOT((Database!$BL323="Y")))),1,0)=0,-999999,IF(Screener!$B$16="cornerstone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Database!BF311</f>
        <v/>
      </c>
      <c r="AF323">
        <f>Database!BL311</f>
        <v/>
      </c>
      <c r="AG323">
        <f>Database!H311</f>
        <v/>
      </c>
      <c r="AH323">
        <f>Database!BG311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IF(OR(Database!$BF324="",Screener!$D$10=""),0,IF(Database!$BF324=Screener!$D$10,1,0))</f>
        <v/>
      </c>
      <c r="F324">
        <f>IF(OR(Database!$BL324="",Screener!$D$11=""),0,IF(Database!$BL324=Screener!$D$11,1,0))</f>
        <v/>
      </c>
      <c r="G324">
        <f>IF(OR(Database!$H324="",N(Screener!$D$12)&lt;=0),0,MAX(0,1-(N(Screener!$D$12)-Database!$H324)/W_RECD))</f>
        <v/>
      </c>
      <c r="H324">
        <f>IF($U$1="",0,N(ISNUMBER(SEARCH($U$1,Database!$AC324&amp;""))))+IF($V$1="",0,N(ISNUMBER(SEARCH($V$1,Database!$AC324&amp;""))))+IF($W$1="",0,N(ISNUMBER(SEARCH($W$1,Database!$AC324&amp;""))))+IF($X$1="",0,N(ISNUMBER(SEARCH($X$1,Database!$AC324&amp;""))))+IF($Y$1="",0,N(ISNUMBER(SEARCH($Y$1,Database!$AC324&amp;""))))+IF(Screener!$B$17="",0,N(ISNUMBER(SEARCH(LOWER(Screener!$B$17),Database!$AC324&amp;""))))</f>
        <v/>
      </c>
      <c r="I324">
        <f>IF(OR(N(Database!$BG324)&lt;=0,N(Screener!$D$13)&lt;=0),0,MAX(0,1-ABS(LOG10(N(Database!$BG324)/Screener!$D$13))/W_PEHW))</f>
        <v/>
      </c>
      <c r="J324">
        <f>IF(OR(N(Database!$S324)&lt;=0,N(Screener!$D$14)&lt;=0),0,MAX(0,1-ABS(LOG10(Database!$S324/Screener!$D$14))/0.6))</f>
        <v/>
      </c>
      <c r="K324">
        <f>IF(Database!$B324=Screener!$B$5,-999999,IF(ISNUMBER(SEARCH(","&amp;Database!$A324&amp;",",","&amp;SUBSTITUTE(Screener!$D$17," ","")&amp;",")),2000000,IF(IF(OR(Screener!$B$18="All",AND(Screener!$B$18="With A-share",(Database!$BL324="Y")),AND(Screener!$B$18="Without A-share",NOT((Database!$BL324="Y")))),1,0)=0,-999999,IF(Screener!$B$16="cornerstone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Database!BF312</f>
        <v/>
      </c>
      <c r="AF324">
        <f>Database!BL312</f>
        <v/>
      </c>
      <c r="AG324">
        <f>Database!H312</f>
        <v/>
      </c>
      <c r="AH324">
        <f>Database!BG312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IF(OR(Database!$BF325="",Screener!$D$10=""),0,IF(Database!$BF325=Screener!$D$10,1,0))</f>
        <v/>
      </c>
      <c r="F325">
        <f>IF(OR(Database!$BL325="",Screener!$D$11=""),0,IF(Database!$BL325=Screener!$D$11,1,0))</f>
        <v/>
      </c>
      <c r="G325">
        <f>IF(OR(Database!$H325="",N(Screener!$D$12)&lt;=0),0,MAX(0,1-(N(Screener!$D$12)-Database!$H325)/W_RECD))</f>
        <v/>
      </c>
      <c r="H325">
        <f>IF($U$1="",0,N(ISNUMBER(SEARCH($U$1,Database!$AC325&amp;""))))+IF($V$1="",0,N(ISNUMBER(SEARCH($V$1,Database!$AC325&amp;""))))+IF($W$1="",0,N(ISNUMBER(SEARCH($W$1,Database!$AC325&amp;""))))+IF($X$1="",0,N(ISNUMBER(SEARCH($X$1,Database!$AC325&amp;""))))+IF($Y$1="",0,N(ISNUMBER(SEARCH($Y$1,Database!$AC325&amp;""))))+IF(Screener!$B$17="",0,N(ISNUMBER(SEARCH(LOWER(Screener!$B$17),Database!$AC325&amp;""))))</f>
        <v/>
      </c>
      <c r="I325">
        <f>IF(OR(N(Database!$BG325)&lt;=0,N(Screener!$D$13)&lt;=0),0,MAX(0,1-ABS(LOG10(N(Database!$BG325)/Screener!$D$13))/W_PEHW))</f>
        <v/>
      </c>
      <c r="J325">
        <f>IF(OR(N(Database!$S325)&lt;=0,N(Screener!$D$14)&lt;=0),0,MAX(0,1-ABS(LOG10(Database!$S325/Screener!$D$14))/0.6))</f>
        <v/>
      </c>
      <c r="K325">
        <f>IF(Database!$B325=Screener!$B$5,-999999,IF(ISNUMBER(SEARCH(","&amp;Database!$A325&amp;",",","&amp;SUBSTITUTE(Screener!$D$17," ","")&amp;",")),2000000,IF(IF(OR(Screener!$B$18="All",AND(Screener!$B$18="With A-share",(Database!$BL325="Y")),AND(Screener!$B$18="Without A-share",NOT((Database!$BL325="Y")))),1,0)=0,-999999,IF(Screener!$B$16="cornerstone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Database!BF313</f>
        <v/>
      </c>
      <c r="AF325">
        <f>Database!BL313</f>
        <v/>
      </c>
      <c r="AG325">
        <f>Database!H313</f>
        <v/>
      </c>
      <c r="AH325">
        <f>Database!BG313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IF(OR(Database!$BF326="",Screener!$D$10=""),0,IF(Database!$BF326=Screener!$D$10,1,0))</f>
        <v/>
      </c>
      <c r="F326">
        <f>IF(OR(Database!$BL326="",Screener!$D$11=""),0,IF(Database!$BL326=Screener!$D$11,1,0))</f>
        <v/>
      </c>
      <c r="G326">
        <f>IF(OR(Database!$H326="",N(Screener!$D$12)&lt;=0),0,MAX(0,1-(N(Screener!$D$12)-Database!$H326)/W_RECD))</f>
        <v/>
      </c>
      <c r="H326">
        <f>IF($U$1="",0,N(ISNUMBER(SEARCH($U$1,Database!$AC326&amp;""))))+IF($V$1="",0,N(ISNUMBER(SEARCH($V$1,Database!$AC326&amp;""))))+IF($W$1="",0,N(ISNUMBER(SEARCH($W$1,Database!$AC326&amp;""))))+IF($X$1="",0,N(ISNUMBER(SEARCH($X$1,Database!$AC326&amp;""))))+IF($Y$1="",0,N(ISNUMBER(SEARCH($Y$1,Database!$AC326&amp;""))))+IF(Screener!$B$17="",0,N(ISNUMBER(SEARCH(LOWER(Screener!$B$17),Database!$AC326&amp;""))))</f>
        <v/>
      </c>
      <c r="I326">
        <f>IF(OR(N(Database!$BG326)&lt;=0,N(Screener!$D$13)&lt;=0),0,MAX(0,1-ABS(LOG10(N(Database!$BG326)/Screener!$D$13))/W_PEHW))</f>
        <v/>
      </c>
      <c r="J326">
        <f>IF(OR(N(Database!$S326)&lt;=0,N(Screener!$D$14)&lt;=0),0,MAX(0,1-ABS(LOG10(Database!$S326/Screener!$D$14))/0.6))</f>
        <v/>
      </c>
      <c r="K326">
        <f>IF(Database!$B326=Screener!$B$5,-999999,IF(ISNUMBER(SEARCH(","&amp;Database!$A326&amp;",",","&amp;SUBSTITUTE(Screener!$D$17," ","")&amp;",")),2000000,IF(IF(OR(Screener!$B$18="All",AND(Screener!$B$18="With A-share",(Database!$BL326="Y")),AND(Screener!$B$18="Without A-share",NOT((Database!$BL326="Y")))),1,0)=0,-999999,IF(Screener!$B$16="cornerstone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Database!BF314</f>
        <v/>
      </c>
      <c r="AF326">
        <f>Database!BL314</f>
        <v/>
      </c>
      <c r="AG326">
        <f>Database!H314</f>
        <v/>
      </c>
      <c r="AH326">
        <f>Database!BG314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IF(OR(Database!$BF327="",Screener!$D$10=""),0,IF(Database!$BF327=Screener!$D$10,1,0))</f>
        <v/>
      </c>
      <c r="F327">
        <f>IF(OR(Database!$BL327="",Screener!$D$11=""),0,IF(Database!$BL327=Screener!$D$11,1,0))</f>
        <v/>
      </c>
      <c r="G327">
        <f>IF(OR(Database!$H327="",N(Screener!$D$12)&lt;=0),0,MAX(0,1-(N(Screener!$D$12)-Database!$H327)/W_RECD))</f>
        <v/>
      </c>
      <c r="H327">
        <f>IF($U$1="",0,N(ISNUMBER(SEARCH($U$1,Database!$AC327&amp;""))))+IF($V$1="",0,N(ISNUMBER(SEARCH($V$1,Database!$AC327&amp;""))))+IF($W$1="",0,N(ISNUMBER(SEARCH($W$1,Database!$AC327&amp;""))))+IF($X$1="",0,N(ISNUMBER(SEARCH($X$1,Database!$AC327&amp;""))))+IF($Y$1="",0,N(ISNUMBER(SEARCH($Y$1,Database!$AC327&amp;""))))+IF(Screener!$B$17="",0,N(ISNUMBER(SEARCH(LOWER(Screener!$B$17),Database!$AC327&amp;""))))</f>
        <v/>
      </c>
      <c r="I327">
        <f>IF(OR(N(Database!$BG327)&lt;=0,N(Screener!$D$13)&lt;=0),0,MAX(0,1-ABS(LOG10(N(Database!$BG327)/Screener!$D$13))/W_PEHW))</f>
        <v/>
      </c>
      <c r="J327">
        <f>IF(OR(N(Database!$S327)&lt;=0,N(Screener!$D$14)&lt;=0),0,MAX(0,1-ABS(LOG10(Database!$S327/Screener!$D$14))/0.6))</f>
        <v/>
      </c>
      <c r="K327">
        <f>IF(Database!$B327=Screener!$B$5,-999999,IF(ISNUMBER(SEARCH(","&amp;Database!$A327&amp;",",","&amp;SUBSTITUTE(Screener!$D$17," ","")&amp;",")),2000000,IF(IF(OR(Screener!$B$18="All",AND(Screener!$B$18="With A-share",(Database!$BL327="Y")),AND(Screener!$B$18="Without A-share",NOT((Database!$BL327="Y")))),1,0)=0,-999999,IF(Screener!$B$16="cornerstone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Database!BF315</f>
        <v/>
      </c>
      <c r="AF327">
        <f>Database!BL315</f>
        <v/>
      </c>
      <c r="AG327">
        <f>Database!H315</f>
        <v/>
      </c>
      <c r="AH327">
        <f>Database!BG315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IF(OR(Database!$BF328="",Screener!$D$10=""),0,IF(Database!$BF328=Screener!$D$10,1,0))</f>
        <v/>
      </c>
      <c r="F328">
        <f>IF(OR(Database!$BL328="",Screener!$D$11=""),0,IF(Database!$BL328=Screener!$D$11,1,0))</f>
        <v/>
      </c>
      <c r="G328">
        <f>IF(OR(Database!$H328="",N(Screener!$D$12)&lt;=0),0,MAX(0,1-(N(Screener!$D$12)-Database!$H328)/W_RECD))</f>
        <v/>
      </c>
      <c r="H328">
        <f>IF($U$1="",0,N(ISNUMBER(SEARCH($U$1,Database!$AC328&amp;""))))+IF($V$1="",0,N(ISNUMBER(SEARCH($V$1,Database!$AC328&amp;""))))+IF($W$1="",0,N(ISNUMBER(SEARCH($W$1,Database!$AC328&amp;""))))+IF($X$1="",0,N(ISNUMBER(SEARCH($X$1,Database!$AC328&amp;""))))+IF($Y$1="",0,N(ISNUMBER(SEARCH($Y$1,Database!$AC328&amp;""))))+IF(Screener!$B$17="",0,N(ISNUMBER(SEARCH(LOWER(Screener!$B$17),Database!$AC328&amp;""))))</f>
        <v/>
      </c>
      <c r="I328">
        <f>IF(OR(N(Database!$BG328)&lt;=0,N(Screener!$D$13)&lt;=0),0,MAX(0,1-ABS(LOG10(N(Database!$BG328)/Screener!$D$13))/W_PEHW))</f>
        <v/>
      </c>
      <c r="J328">
        <f>IF(OR(N(Database!$S328)&lt;=0,N(Screener!$D$14)&lt;=0),0,MAX(0,1-ABS(LOG10(Database!$S328/Screener!$D$14))/0.6))</f>
        <v/>
      </c>
      <c r="K328">
        <f>IF(Database!$B328=Screener!$B$5,-999999,IF(ISNUMBER(SEARCH(","&amp;Database!$A328&amp;",",","&amp;SUBSTITUTE(Screener!$D$17," ","")&amp;",")),2000000,IF(IF(OR(Screener!$B$18="All",AND(Screener!$B$18="With A-share",(Database!$BL328="Y")),AND(Screener!$B$18="Without A-share",NOT((Database!$BL328="Y")))),1,0)=0,-999999,IF(Screener!$B$16="cornerstone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Database!BF316</f>
        <v/>
      </c>
      <c r="AF328">
        <f>Database!BL316</f>
        <v/>
      </c>
      <c r="AG328">
        <f>Database!H316</f>
        <v/>
      </c>
      <c r="AH328">
        <f>Database!BG316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IF(OR(Database!$BF329="",Screener!$D$10=""),0,IF(Database!$BF329=Screener!$D$10,1,0))</f>
        <v/>
      </c>
      <c r="F329">
        <f>IF(OR(Database!$BL329="",Screener!$D$11=""),0,IF(Database!$BL329=Screener!$D$11,1,0))</f>
        <v/>
      </c>
      <c r="G329">
        <f>IF(OR(Database!$H329="",N(Screener!$D$12)&lt;=0),0,MAX(0,1-(N(Screener!$D$12)-Database!$H329)/W_RECD))</f>
        <v/>
      </c>
      <c r="H329">
        <f>IF($U$1="",0,N(ISNUMBER(SEARCH($U$1,Database!$AC329&amp;""))))+IF($V$1="",0,N(ISNUMBER(SEARCH($V$1,Database!$AC329&amp;""))))+IF($W$1="",0,N(ISNUMBER(SEARCH($W$1,Database!$AC329&amp;""))))+IF($X$1="",0,N(ISNUMBER(SEARCH($X$1,Database!$AC329&amp;""))))+IF($Y$1="",0,N(ISNUMBER(SEARCH($Y$1,Database!$AC329&amp;""))))+IF(Screener!$B$17="",0,N(ISNUMBER(SEARCH(LOWER(Screener!$B$17),Database!$AC329&amp;""))))</f>
        <v/>
      </c>
      <c r="I329">
        <f>IF(OR(N(Database!$BG329)&lt;=0,N(Screener!$D$13)&lt;=0),0,MAX(0,1-ABS(LOG10(N(Database!$BG329)/Screener!$D$13))/W_PEHW))</f>
        <v/>
      </c>
      <c r="J329">
        <f>IF(OR(N(Database!$S329)&lt;=0,N(Screener!$D$14)&lt;=0),0,MAX(0,1-ABS(LOG10(Database!$S329/Screener!$D$14))/0.6))</f>
        <v/>
      </c>
      <c r="K329">
        <f>IF(Database!$B329=Screener!$B$5,-999999,IF(ISNUMBER(SEARCH(","&amp;Database!$A329&amp;",",","&amp;SUBSTITUTE(Screener!$D$17," ","")&amp;",")),2000000,IF(IF(OR(Screener!$B$18="All",AND(Screener!$B$18="With A-share",(Database!$BL329="Y")),AND(Screener!$B$18="Without A-share",NOT((Database!$BL329="Y")))),1,0)=0,-999999,IF(Screener!$B$16="cornerstone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Database!BF317</f>
        <v/>
      </c>
      <c r="AF329">
        <f>Database!BL317</f>
        <v/>
      </c>
      <c r="AG329">
        <f>Database!H317</f>
        <v/>
      </c>
      <c r="AH329">
        <f>Database!BG317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IF(OR(Database!$BF330="",Screener!$D$10=""),0,IF(Database!$BF330=Screener!$D$10,1,0))</f>
        <v/>
      </c>
      <c r="F330">
        <f>IF(OR(Database!$BL330="",Screener!$D$11=""),0,IF(Database!$BL330=Screener!$D$11,1,0))</f>
        <v/>
      </c>
      <c r="G330">
        <f>IF(OR(Database!$H330="",N(Screener!$D$12)&lt;=0),0,MAX(0,1-(N(Screener!$D$12)-Database!$H330)/W_RECD))</f>
        <v/>
      </c>
      <c r="H330">
        <f>IF($U$1="",0,N(ISNUMBER(SEARCH($U$1,Database!$AC330&amp;""))))+IF($V$1="",0,N(ISNUMBER(SEARCH($V$1,Database!$AC330&amp;""))))+IF($W$1="",0,N(ISNUMBER(SEARCH($W$1,Database!$AC330&amp;""))))+IF($X$1="",0,N(ISNUMBER(SEARCH($X$1,Database!$AC330&amp;""))))+IF($Y$1="",0,N(ISNUMBER(SEARCH($Y$1,Database!$AC330&amp;""))))+IF(Screener!$B$17="",0,N(ISNUMBER(SEARCH(LOWER(Screener!$B$17),Database!$AC330&amp;""))))</f>
        <v/>
      </c>
      <c r="I330">
        <f>IF(OR(N(Database!$BG330)&lt;=0,N(Screener!$D$13)&lt;=0),0,MAX(0,1-ABS(LOG10(N(Database!$BG330)/Screener!$D$13))/W_PEHW))</f>
        <v/>
      </c>
      <c r="J330">
        <f>IF(OR(N(Database!$S330)&lt;=0,N(Screener!$D$14)&lt;=0),0,MAX(0,1-ABS(LOG10(Database!$S330/Screener!$D$14))/0.6))</f>
        <v/>
      </c>
      <c r="K330">
        <f>IF(Database!$B330=Screener!$B$5,-999999,IF(ISNUMBER(SEARCH(","&amp;Database!$A330&amp;",",","&amp;SUBSTITUTE(Screener!$D$17," ","")&amp;",")),2000000,IF(IF(OR(Screener!$B$18="All",AND(Screener!$B$18="With A-share",(Database!$BL330="Y")),AND(Screener!$B$18="Without A-share",NOT((Database!$BL330="Y")))),1,0)=0,-999999,IF(Screener!$B$16="cornerstone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Database!BF318</f>
        <v/>
      </c>
      <c r="AF330">
        <f>Database!BL318</f>
        <v/>
      </c>
      <c r="AG330">
        <f>Database!H318</f>
        <v/>
      </c>
      <c r="AH330">
        <f>Database!BG318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IF(OR(Database!$BF331="",Screener!$D$10=""),0,IF(Database!$BF331=Screener!$D$10,1,0))</f>
        <v/>
      </c>
      <c r="F331">
        <f>IF(OR(Database!$BL331="",Screener!$D$11=""),0,IF(Database!$BL331=Screener!$D$11,1,0))</f>
        <v/>
      </c>
      <c r="G331">
        <f>IF(OR(Database!$H331="",N(Screener!$D$12)&lt;=0),0,MAX(0,1-(N(Screener!$D$12)-Database!$H331)/W_RECD))</f>
        <v/>
      </c>
      <c r="H331">
        <f>IF($U$1="",0,N(ISNUMBER(SEARCH($U$1,Database!$AC331&amp;""))))+IF($V$1="",0,N(ISNUMBER(SEARCH($V$1,Database!$AC331&amp;""))))+IF($W$1="",0,N(ISNUMBER(SEARCH($W$1,Database!$AC331&amp;""))))+IF($X$1="",0,N(ISNUMBER(SEARCH($X$1,Database!$AC331&amp;""))))+IF($Y$1="",0,N(ISNUMBER(SEARCH($Y$1,Database!$AC331&amp;""))))+IF(Screener!$B$17="",0,N(ISNUMBER(SEARCH(LOWER(Screener!$B$17),Database!$AC331&amp;""))))</f>
        <v/>
      </c>
      <c r="I331">
        <f>IF(OR(N(Database!$BG331)&lt;=0,N(Screener!$D$13)&lt;=0),0,MAX(0,1-ABS(LOG10(N(Database!$BG331)/Screener!$D$13))/W_PEHW))</f>
        <v/>
      </c>
      <c r="J331">
        <f>IF(OR(N(Database!$S331)&lt;=0,N(Screener!$D$14)&lt;=0),0,MAX(0,1-ABS(LOG10(Database!$S331/Screener!$D$14))/0.6))</f>
        <v/>
      </c>
      <c r="K331">
        <f>IF(Database!$B331=Screener!$B$5,-999999,IF(ISNUMBER(SEARCH(","&amp;Database!$A331&amp;",",","&amp;SUBSTITUTE(Screener!$D$17," ","")&amp;",")),2000000,IF(IF(OR(Screener!$B$18="All",AND(Screener!$B$18="With A-share",(Database!$BL331="Y")),AND(Screener!$B$18="Without A-share",NOT((Database!$BL331="Y")))),1,0)=0,-999999,IF(Screener!$B$16="cornerstone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Database!BF319</f>
        <v/>
      </c>
      <c r="AF331">
        <f>Database!BL319</f>
        <v/>
      </c>
      <c r="AG331">
        <f>Database!H319</f>
        <v/>
      </c>
      <c r="AH331">
        <f>Database!BG319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IF(OR(Database!$BF332="",Screener!$D$10=""),0,IF(Database!$BF332=Screener!$D$10,1,0))</f>
        <v/>
      </c>
      <c r="F332">
        <f>IF(OR(Database!$BL332="",Screener!$D$11=""),0,IF(Database!$BL332=Screener!$D$11,1,0))</f>
        <v/>
      </c>
      <c r="G332">
        <f>IF(OR(Database!$H332="",N(Screener!$D$12)&lt;=0),0,MAX(0,1-(N(Screener!$D$12)-Database!$H332)/W_RECD))</f>
        <v/>
      </c>
      <c r="H332">
        <f>IF($U$1="",0,N(ISNUMBER(SEARCH($U$1,Database!$AC332&amp;""))))+IF($V$1="",0,N(ISNUMBER(SEARCH($V$1,Database!$AC332&amp;""))))+IF($W$1="",0,N(ISNUMBER(SEARCH($W$1,Database!$AC332&amp;""))))+IF($X$1="",0,N(ISNUMBER(SEARCH($X$1,Database!$AC332&amp;""))))+IF($Y$1="",0,N(ISNUMBER(SEARCH($Y$1,Database!$AC332&amp;""))))+IF(Screener!$B$17="",0,N(ISNUMBER(SEARCH(LOWER(Screener!$B$17),Database!$AC332&amp;""))))</f>
        <v/>
      </c>
      <c r="I332">
        <f>IF(OR(N(Database!$BG332)&lt;=0,N(Screener!$D$13)&lt;=0),0,MAX(0,1-ABS(LOG10(N(Database!$BG332)/Screener!$D$13))/W_PEHW))</f>
        <v/>
      </c>
      <c r="J332">
        <f>IF(OR(N(Database!$S332)&lt;=0,N(Screener!$D$14)&lt;=0),0,MAX(0,1-ABS(LOG10(Database!$S332/Screener!$D$14))/0.6))</f>
        <v/>
      </c>
      <c r="K332">
        <f>IF(Database!$B332=Screener!$B$5,-999999,IF(ISNUMBER(SEARCH(","&amp;Database!$A332&amp;",",","&amp;SUBSTITUTE(Screener!$D$17," ","")&amp;",")),2000000,IF(IF(OR(Screener!$B$18="All",AND(Screener!$B$18="With A-share",(Database!$BL332="Y")),AND(Screener!$B$18="Without A-share",NOT((Database!$BL332="Y")))),1,0)=0,-999999,IF(Screener!$B$16="cornerstone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Database!BF320</f>
        <v/>
      </c>
      <c r="AF332">
        <f>Database!BL320</f>
        <v/>
      </c>
      <c r="AG332">
        <f>Database!H320</f>
        <v/>
      </c>
      <c r="AH332">
        <f>Database!BG320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IF(OR(Database!$BF333="",Screener!$D$10=""),0,IF(Database!$BF333=Screener!$D$10,1,0))</f>
        <v/>
      </c>
      <c r="F333">
        <f>IF(OR(Database!$BL333="",Screener!$D$11=""),0,IF(Database!$BL333=Screener!$D$11,1,0))</f>
        <v/>
      </c>
      <c r="G333">
        <f>IF(OR(Database!$H333="",N(Screener!$D$12)&lt;=0),0,MAX(0,1-(N(Screener!$D$12)-Database!$H333)/W_RECD))</f>
        <v/>
      </c>
      <c r="H333">
        <f>IF($U$1="",0,N(ISNUMBER(SEARCH($U$1,Database!$AC333&amp;""))))+IF($V$1="",0,N(ISNUMBER(SEARCH($V$1,Database!$AC333&amp;""))))+IF($W$1="",0,N(ISNUMBER(SEARCH($W$1,Database!$AC333&amp;""))))+IF($X$1="",0,N(ISNUMBER(SEARCH($X$1,Database!$AC333&amp;""))))+IF($Y$1="",0,N(ISNUMBER(SEARCH($Y$1,Database!$AC333&amp;""))))+IF(Screener!$B$17="",0,N(ISNUMBER(SEARCH(LOWER(Screener!$B$17),Database!$AC333&amp;""))))</f>
        <v/>
      </c>
      <c r="I333">
        <f>IF(OR(N(Database!$BG333)&lt;=0,N(Screener!$D$13)&lt;=0),0,MAX(0,1-ABS(LOG10(N(Database!$BG333)/Screener!$D$13))/W_PEHW))</f>
        <v/>
      </c>
      <c r="J333">
        <f>IF(OR(N(Database!$S333)&lt;=0,N(Screener!$D$14)&lt;=0),0,MAX(0,1-ABS(LOG10(Database!$S333/Screener!$D$14))/0.6))</f>
        <v/>
      </c>
      <c r="K333">
        <f>IF(Database!$B333=Screener!$B$5,-999999,IF(ISNUMBER(SEARCH(","&amp;Database!$A333&amp;",",","&amp;SUBSTITUTE(Screener!$D$17," ","")&amp;",")),2000000,IF(IF(OR(Screener!$B$18="All",AND(Screener!$B$18="With A-share",(Database!$BL333="Y")),AND(Screener!$B$18="Without A-share",NOT((Database!$BL333="Y")))),1,0)=0,-999999,IF(Screener!$B$16="cornerstone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Database!BF321</f>
        <v/>
      </c>
      <c r="AF333">
        <f>Database!BL321</f>
        <v/>
      </c>
      <c r="AG333">
        <f>Database!H321</f>
        <v/>
      </c>
      <c r="AH333">
        <f>Database!BG321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IF(OR(Database!$BF334="",Screener!$D$10=""),0,IF(Database!$BF334=Screener!$D$10,1,0))</f>
        <v/>
      </c>
      <c r="F334">
        <f>IF(OR(Database!$BL334="",Screener!$D$11=""),0,IF(Database!$BL334=Screener!$D$11,1,0))</f>
        <v/>
      </c>
      <c r="G334">
        <f>IF(OR(Database!$H334="",N(Screener!$D$12)&lt;=0),0,MAX(0,1-(N(Screener!$D$12)-Database!$H334)/W_RECD))</f>
        <v/>
      </c>
      <c r="H334">
        <f>IF($U$1="",0,N(ISNUMBER(SEARCH($U$1,Database!$AC334&amp;""))))+IF($V$1="",0,N(ISNUMBER(SEARCH($V$1,Database!$AC334&amp;""))))+IF($W$1="",0,N(ISNUMBER(SEARCH($W$1,Database!$AC334&amp;""))))+IF($X$1="",0,N(ISNUMBER(SEARCH($X$1,Database!$AC334&amp;""))))+IF($Y$1="",0,N(ISNUMBER(SEARCH($Y$1,Database!$AC334&amp;""))))+IF(Screener!$B$17="",0,N(ISNUMBER(SEARCH(LOWER(Screener!$B$17),Database!$AC334&amp;""))))</f>
        <v/>
      </c>
      <c r="I334">
        <f>IF(OR(N(Database!$BG334)&lt;=0,N(Screener!$D$13)&lt;=0),0,MAX(0,1-ABS(LOG10(N(Database!$BG334)/Screener!$D$13))/W_PEHW))</f>
        <v/>
      </c>
      <c r="J334">
        <f>IF(OR(N(Database!$S334)&lt;=0,N(Screener!$D$14)&lt;=0),0,MAX(0,1-ABS(LOG10(Database!$S334/Screener!$D$14))/0.6))</f>
        <v/>
      </c>
      <c r="K334">
        <f>IF(Database!$B334=Screener!$B$5,-999999,IF(ISNUMBER(SEARCH(","&amp;Database!$A334&amp;",",","&amp;SUBSTITUTE(Screener!$D$17," ","")&amp;",")),2000000,IF(IF(OR(Screener!$B$18="All",AND(Screener!$B$18="With A-share",(Database!$BL334="Y")),AND(Screener!$B$18="Without A-share",NOT((Database!$BL334="Y")))),1,0)=0,-999999,IF(Screener!$B$16="cornerstone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Database!BF322</f>
        <v/>
      </c>
      <c r="AF334">
        <f>Database!BL322</f>
        <v/>
      </c>
      <c r="AG334">
        <f>Database!H322</f>
        <v/>
      </c>
      <c r="AH334">
        <f>Database!BG322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IF(OR(Database!$BF335="",Screener!$D$10=""),0,IF(Database!$BF335=Screener!$D$10,1,0))</f>
        <v/>
      </c>
      <c r="F335">
        <f>IF(OR(Database!$BL335="",Screener!$D$11=""),0,IF(Database!$BL335=Screener!$D$11,1,0))</f>
        <v/>
      </c>
      <c r="G335">
        <f>IF(OR(Database!$H335="",N(Screener!$D$12)&lt;=0),0,MAX(0,1-(N(Screener!$D$12)-Database!$H335)/W_RECD))</f>
        <v/>
      </c>
      <c r="H335">
        <f>IF($U$1="",0,N(ISNUMBER(SEARCH($U$1,Database!$AC335&amp;""))))+IF($V$1="",0,N(ISNUMBER(SEARCH($V$1,Database!$AC335&amp;""))))+IF($W$1="",0,N(ISNUMBER(SEARCH($W$1,Database!$AC335&amp;""))))+IF($X$1="",0,N(ISNUMBER(SEARCH($X$1,Database!$AC335&amp;""))))+IF($Y$1="",0,N(ISNUMBER(SEARCH($Y$1,Database!$AC335&amp;""))))+IF(Screener!$B$17="",0,N(ISNUMBER(SEARCH(LOWER(Screener!$B$17),Database!$AC335&amp;""))))</f>
        <v/>
      </c>
      <c r="I335">
        <f>IF(OR(N(Database!$BG335)&lt;=0,N(Screener!$D$13)&lt;=0),0,MAX(0,1-ABS(LOG10(N(Database!$BG335)/Screener!$D$13))/W_PEHW))</f>
        <v/>
      </c>
      <c r="J335">
        <f>IF(OR(N(Database!$S335)&lt;=0,N(Screener!$D$14)&lt;=0),0,MAX(0,1-ABS(LOG10(Database!$S335/Screener!$D$14))/0.6))</f>
        <v/>
      </c>
      <c r="K335">
        <f>IF(Database!$B335=Screener!$B$5,-999999,IF(ISNUMBER(SEARCH(","&amp;Database!$A335&amp;",",","&amp;SUBSTITUTE(Screener!$D$17," ","")&amp;",")),2000000,IF(IF(OR(Screener!$B$18="All",AND(Screener!$B$18="With A-share",(Database!$BL335="Y")),AND(Screener!$B$18="Without A-share",NOT((Database!$BL335="Y")))),1,0)=0,-999999,IF(Screener!$B$16="cornerstone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Database!BF323</f>
        <v/>
      </c>
      <c r="AF335">
        <f>Database!BL323</f>
        <v/>
      </c>
      <c r="AG335">
        <f>Database!H323</f>
        <v/>
      </c>
      <c r="AH335">
        <f>Database!BG323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IF(OR(Database!$BF336="",Screener!$D$10=""),0,IF(Database!$BF336=Screener!$D$10,1,0))</f>
        <v/>
      </c>
      <c r="F336">
        <f>IF(OR(Database!$BL336="",Screener!$D$11=""),0,IF(Database!$BL336=Screener!$D$11,1,0))</f>
        <v/>
      </c>
      <c r="G336">
        <f>IF(OR(Database!$H336="",N(Screener!$D$12)&lt;=0),0,MAX(0,1-(N(Screener!$D$12)-Database!$H336)/W_RECD))</f>
        <v/>
      </c>
      <c r="H336">
        <f>IF($U$1="",0,N(ISNUMBER(SEARCH($U$1,Database!$AC336&amp;""))))+IF($V$1="",0,N(ISNUMBER(SEARCH($V$1,Database!$AC336&amp;""))))+IF($W$1="",0,N(ISNUMBER(SEARCH($W$1,Database!$AC336&amp;""))))+IF($X$1="",0,N(ISNUMBER(SEARCH($X$1,Database!$AC336&amp;""))))+IF($Y$1="",0,N(ISNUMBER(SEARCH($Y$1,Database!$AC336&amp;""))))+IF(Screener!$B$17="",0,N(ISNUMBER(SEARCH(LOWER(Screener!$B$17),Database!$AC336&amp;""))))</f>
        <v/>
      </c>
      <c r="I336">
        <f>IF(OR(N(Database!$BG336)&lt;=0,N(Screener!$D$13)&lt;=0),0,MAX(0,1-ABS(LOG10(N(Database!$BG336)/Screener!$D$13))/W_PEHW))</f>
        <v/>
      </c>
      <c r="J336">
        <f>IF(OR(N(Database!$S336)&lt;=0,N(Screener!$D$14)&lt;=0),0,MAX(0,1-ABS(LOG10(Database!$S336/Screener!$D$14))/0.6))</f>
        <v/>
      </c>
      <c r="K336">
        <f>IF(Database!$B336=Screener!$B$5,-999999,IF(ISNUMBER(SEARCH(","&amp;Database!$A336&amp;",",","&amp;SUBSTITUTE(Screener!$D$17," ","")&amp;",")),2000000,IF(IF(OR(Screener!$B$18="All",AND(Screener!$B$18="With A-share",(Database!$BL336="Y")),AND(Screener!$B$18="Without A-share",NOT((Database!$BL336="Y")))),1,0)=0,-999999,IF(Screener!$B$16="cornerstone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Database!BF324</f>
        <v/>
      </c>
      <c r="AF336">
        <f>Database!BL324</f>
        <v/>
      </c>
      <c r="AG336">
        <f>Database!H324</f>
        <v/>
      </c>
      <c r="AH336">
        <f>Database!BG324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IF(OR(Database!$BF337="",Screener!$D$10=""),0,IF(Database!$BF337=Screener!$D$10,1,0))</f>
        <v/>
      </c>
      <c r="F337">
        <f>IF(OR(Database!$BL337="",Screener!$D$11=""),0,IF(Database!$BL337=Screener!$D$11,1,0))</f>
        <v/>
      </c>
      <c r="G337">
        <f>IF(OR(Database!$H337="",N(Screener!$D$12)&lt;=0),0,MAX(0,1-(N(Screener!$D$12)-Database!$H337)/W_RECD))</f>
        <v/>
      </c>
      <c r="H337">
        <f>IF($U$1="",0,N(ISNUMBER(SEARCH($U$1,Database!$AC337&amp;""))))+IF($V$1="",0,N(ISNUMBER(SEARCH($V$1,Database!$AC337&amp;""))))+IF($W$1="",0,N(ISNUMBER(SEARCH($W$1,Database!$AC337&amp;""))))+IF($X$1="",0,N(ISNUMBER(SEARCH($X$1,Database!$AC337&amp;""))))+IF($Y$1="",0,N(ISNUMBER(SEARCH($Y$1,Database!$AC337&amp;""))))+IF(Screener!$B$17="",0,N(ISNUMBER(SEARCH(LOWER(Screener!$B$17),Database!$AC337&amp;""))))</f>
        <v/>
      </c>
      <c r="I337">
        <f>IF(OR(N(Database!$BG337)&lt;=0,N(Screener!$D$13)&lt;=0),0,MAX(0,1-ABS(LOG10(N(Database!$BG337)/Screener!$D$13))/W_PEHW))</f>
        <v/>
      </c>
      <c r="J337">
        <f>IF(OR(N(Database!$S337)&lt;=0,N(Screener!$D$14)&lt;=0),0,MAX(0,1-ABS(LOG10(Database!$S337/Screener!$D$14))/0.6))</f>
        <v/>
      </c>
      <c r="K337">
        <f>IF(Database!$B337=Screener!$B$5,-999999,IF(ISNUMBER(SEARCH(","&amp;Database!$A337&amp;",",","&amp;SUBSTITUTE(Screener!$D$17," ","")&amp;",")),2000000,IF(IF(OR(Screener!$B$18="All",AND(Screener!$B$18="With A-share",(Database!$BL337="Y")),AND(Screener!$B$18="Without A-share",NOT((Database!$BL337="Y")))),1,0)=0,-999999,IF(Screener!$B$16="cornerstone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Database!BF325</f>
        <v/>
      </c>
      <c r="AF337">
        <f>Database!BL325</f>
        <v/>
      </c>
      <c r="AG337">
        <f>Database!H325</f>
        <v/>
      </c>
      <c r="AH337">
        <f>Database!BG325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IF(OR(Database!$BF338="",Screener!$D$10=""),0,IF(Database!$BF338=Screener!$D$10,1,0))</f>
        <v/>
      </c>
      <c r="F338">
        <f>IF(OR(Database!$BL338="",Screener!$D$11=""),0,IF(Database!$BL338=Screener!$D$11,1,0))</f>
        <v/>
      </c>
      <c r="G338">
        <f>IF(OR(Database!$H338="",N(Screener!$D$12)&lt;=0),0,MAX(0,1-(N(Screener!$D$12)-Database!$H338)/W_RECD))</f>
        <v/>
      </c>
      <c r="H338">
        <f>IF($U$1="",0,N(ISNUMBER(SEARCH($U$1,Database!$AC338&amp;""))))+IF($V$1="",0,N(ISNUMBER(SEARCH($V$1,Database!$AC338&amp;""))))+IF($W$1="",0,N(ISNUMBER(SEARCH($W$1,Database!$AC338&amp;""))))+IF($X$1="",0,N(ISNUMBER(SEARCH($X$1,Database!$AC338&amp;""))))+IF($Y$1="",0,N(ISNUMBER(SEARCH($Y$1,Database!$AC338&amp;""))))+IF(Screener!$B$17="",0,N(ISNUMBER(SEARCH(LOWER(Screener!$B$17),Database!$AC338&amp;""))))</f>
        <v/>
      </c>
      <c r="I338">
        <f>IF(OR(N(Database!$BG338)&lt;=0,N(Screener!$D$13)&lt;=0),0,MAX(0,1-ABS(LOG10(N(Database!$BG338)/Screener!$D$13))/W_PEHW))</f>
        <v/>
      </c>
      <c r="J338">
        <f>IF(OR(N(Database!$S338)&lt;=0,N(Screener!$D$14)&lt;=0),0,MAX(0,1-ABS(LOG10(Database!$S338/Screener!$D$14))/0.6))</f>
        <v/>
      </c>
      <c r="K338">
        <f>IF(Database!$B338=Screener!$B$5,-999999,IF(ISNUMBER(SEARCH(","&amp;Database!$A338&amp;",",","&amp;SUBSTITUTE(Screener!$D$17," ","")&amp;",")),2000000,IF(IF(OR(Screener!$B$18="All",AND(Screener!$B$18="With A-share",(Database!$BL338="Y")),AND(Screener!$B$18="Without A-share",NOT((Database!$BL338="Y")))),1,0)=0,-999999,IF(Screener!$B$16="cornerstone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Database!BF326</f>
        <v/>
      </c>
      <c r="AF338">
        <f>Database!BL326</f>
        <v/>
      </c>
      <c r="AG338">
        <f>Database!H326</f>
        <v/>
      </c>
      <c r="AH338">
        <f>Database!BG326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IF(OR(Database!$BF339="",Screener!$D$10=""),0,IF(Database!$BF339=Screener!$D$10,1,0))</f>
        <v/>
      </c>
      <c r="F339">
        <f>IF(OR(Database!$BL339="",Screener!$D$11=""),0,IF(Database!$BL339=Screener!$D$11,1,0))</f>
        <v/>
      </c>
      <c r="G339">
        <f>IF(OR(Database!$H339="",N(Screener!$D$12)&lt;=0),0,MAX(0,1-(N(Screener!$D$12)-Database!$H339)/W_RECD))</f>
        <v/>
      </c>
      <c r="H339">
        <f>IF($U$1="",0,N(ISNUMBER(SEARCH($U$1,Database!$AC339&amp;""))))+IF($V$1="",0,N(ISNUMBER(SEARCH($V$1,Database!$AC339&amp;""))))+IF($W$1="",0,N(ISNUMBER(SEARCH($W$1,Database!$AC339&amp;""))))+IF($X$1="",0,N(ISNUMBER(SEARCH($X$1,Database!$AC339&amp;""))))+IF($Y$1="",0,N(ISNUMBER(SEARCH($Y$1,Database!$AC339&amp;""))))+IF(Screener!$B$17="",0,N(ISNUMBER(SEARCH(LOWER(Screener!$B$17),Database!$AC339&amp;""))))</f>
        <v/>
      </c>
      <c r="I339">
        <f>IF(OR(N(Database!$BG339)&lt;=0,N(Screener!$D$13)&lt;=0),0,MAX(0,1-ABS(LOG10(N(Database!$BG339)/Screener!$D$13))/W_PEHW))</f>
        <v/>
      </c>
      <c r="J339">
        <f>IF(OR(N(Database!$S339)&lt;=0,N(Screener!$D$14)&lt;=0),0,MAX(0,1-ABS(LOG10(Database!$S339/Screener!$D$14))/0.6))</f>
        <v/>
      </c>
      <c r="K339">
        <f>IF(Database!$B339=Screener!$B$5,-999999,IF(ISNUMBER(SEARCH(","&amp;Database!$A339&amp;",",","&amp;SUBSTITUTE(Screener!$D$17," ","")&amp;",")),2000000,IF(IF(OR(Screener!$B$18="All",AND(Screener!$B$18="With A-share",(Database!$BL339="Y")),AND(Screener!$B$18="Without A-share",NOT((Database!$BL339="Y")))),1,0)=0,-999999,IF(Screener!$B$16="cornerstone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Database!BF327</f>
        <v/>
      </c>
      <c r="AF339">
        <f>Database!BL327</f>
        <v/>
      </c>
      <c r="AG339">
        <f>Database!H327</f>
        <v/>
      </c>
      <c r="AH339">
        <f>Database!BG327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IF(OR(Database!$BF340="",Screener!$D$10=""),0,IF(Database!$BF340=Screener!$D$10,1,0))</f>
        <v/>
      </c>
      <c r="F340">
        <f>IF(OR(Database!$BL340="",Screener!$D$11=""),0,IF(Database!$BL340=Screener!$D$11,1,0))</f>
        <v/>
      </c>
      <c r="G340">
        <f>IF(OR(Database!$H340="",N(Screener!$D$12)&lt;=0),0,MAX(0,1-(N(Screener!$D$12)-Database!$H340)/W_RECD))</f>
        <v/>
      </c>
      <c r="H340">
        <f>IF($U$1="",0,N(ISNUMBER(SEARCH($U$1,Database!$AC340&amp;""))))+IF($V$1="",0,N(ISNUMBER(SEARCH($V$1,Database!$AC340&amp;""))))+IF($W$1="",0,N(ISNUMBER(SEARCH($W$1,Database!$AC340&amp;""))))+IF($X$1="",0,N(ISNUMBER(SEARCH($X$1,Database!$AC340&amp;""))))+IF($Y$1="",0,N(ISNUMBER(SEARCH($Y$1,Database!$AC340&amp;""))))+IF(Screener!$B$17="",0,N(ISNUMBER(SEARCH(LOWER(Screener!$B$17),Database!$AC340&amp;""))))</f>
        <v/>
      </c>
      <c r="I340">
        <f>IF(OR(N(Database!$BG340)&lt;=0,N(Screener!$D$13)&lt;=0),0,MAX(0,1-ABS(LOG10(N(Database!$BG340)/Screener!$D$13))/W_PEHW))</f>
        <v/>
      </c>
      <c r="J340">
        <f>IF(OR(N(Database!$S340)&lt;=0,N(Screener!$D$14)&lt;=0),0,MAX(0,1-ABS(LOG10(Database!$S340/Screener!$D$14))/0.6))</f>
        <v/>
      </c>
      <c r="K340">
        <f>IF(Database!$B340=Screener!$B$5,-999999,IF(ISNUMBER(SEARCH(","&amp;Database!$A340&amp;",",","&amp;SUBSTITUTE(Screener!$D$17," ","")&amp;",")),2000000,IF(IF(OR(Screener!$B$18="All",AND(Screener!$B$18="With A-share",(Database!$BL340="Y")),AND(Screener!$B$18="Without A-share",NOT((Database!$BL340="Y")))),1,0)=0,-999999,IF(Screener!$B$16="cornerstone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Database!BF328</f>
        <v/>
      </c>
      <c r="AF340">
        <f>Database!BL328</f>
        <v/>
      </c>
      <c r="AG340">
        <f>Database!H328</f>
        <v/>
      </c>
      <c r="AH340">
        <f>Database!BG328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IF(OR(Database!$BF341="",Screener!$D$10=""),0,IF(Database!$BF341=Screener!$D$10,1,0))</f>
        <v/>
      </c>
      <c r="F341">
        <f>IF(OR(Database!$BL341="",Screener!$D$11=""),0,IF(Database!$BL341=Screener!$D$11,1,0))</f>
        <v/>
      </c>
      <c r="G341">
        <f>IF(OR(Database!$H341="",N(Screener!$D$12)&lt;=0),0,MAX(0,1-(N(Screener!$D$12)-Database!$H341)/W_RECD))</f>
        <v/>
      </c>
      <c r="H341">
        <f>IF($U$1="",0,N(ISNUMBER(SEARCH($U$1,Database!$AC341&amp;""))))+IF($V$1="",0,N(ISNUMBER(SEARCH($V$1,Database!$AC341&amp;""))))+IF($W$1="",0,N(ISNUMBER(SEARCH($W$1,Database!$AC341&amp;""))))+IF($X$1="",0,N(ISNUMBER(SEARCH($X$1,Database!$AC341&amp;""))))+IF($Y$1="",0,N(ISNUMBER(SEARCH($Y$1,Database!$AC341&amp;""))))+IF(Screener!$B$17="",0,N(ISNUMBER(SEARCH(LOWER(Screener!$B$17),Database!$AC341&amp;""))))</f>
        <v/>
      </c>
      <c r="I341">
        <f>IF(OR(N(Database!$BG341)&lt;=0,N(Screener!$D$13)&lt;=0),0,MAX(0,1-ABS(LOG10(N(Database!$BG341)/Screener!$D$13))/W_PEHW))</f>
        <v/>
      </c>
      <c r="J341">
        <f>IF(OR(N(Database!$S341)&lt;=0,N(Screener!$D$14)&lt;=0),0,MAX(0,1-ABS(LOG10(Database!$S341/Screener!$D$14))/0.6))</f>
        <v/>
      </c>
      <c r="K341">
        <f>IF(Database!$B341=Screener!$B$5,-999999,IF(ISNUMBER(SEARCH(","&amp;Database!$A341&amp;",",","&amp;SUBSTITUTE(Screener!$D$17," ","")&amp;",")),2000000,IF(IF(OR(Screener!$B$18="All",AND(Screener!$B$18="With A-share",(Database!$BL341="Y")),AND(Screener!$B$18="Without A-share",NOT((Database!$BL341="Y")))),1,0)=0,-999999,IF(Screener!$B$16="cornerstone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Database!BF329</f>
        <v/>
      </c>
      <c r="AF341">
        <f>Database!BL329</f>
        <v/>
      </c>
      <c r="AG341">
        <f>Database!H329</f>
        <v/>
      </c>
      <c r="AH341">
        <f>Database!BG329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IF(OR(Database!$BF342="",Screener!$D$10=""),0,IF(Database!$BF342=Screener!$D$10,1,0))</f>
        <v/>
      </c>
      <c r="F342">
        <f>IF(OR(Database!$BL342="",Screener!$D$11=""),0,IF(Database!$BL342=Screener!$D$11,1,0))</f>
        <v/>
      </c>
      <c r="G342">
        <f>IF(OR(Database!$H342="",N(Screener!$D$12)&lt;=0),0,MAX(0,1-(N(Screener!$D$12)-Database!$H342)/W_RECD))</f>
        <v/>
      </c>
      <c r="H342">
        <f>IF($U$1="",0,N(ISNUMBER(SEARCH($U$1,Database!$AC342&amp;""))))+IF($V$1="",0,N(ISNUMBER(SEARCH($V$1,Database!$AC342&amp;""))))+IF($W$1="",0,N(ISNUMBER(SEARCH($W$1,Database!$AC342&amp;""))))+IF($X$1="",0,N(ISNUMBER(SEARCH($X$1,Database!$AC342&amp;""))))+IF($Y$1="",0,N(ISNUMBER(SEARCH($Y$1,Database!$AC342&amp;""))))+IF(Screener!$B$17="",0,N(ISNUMBER(SEARCH(LOWER(Screener!$B$17),Database!$AC342&amp;""))))</f>
        <v/>
      </c>
      <c r="I342">
        <f>IF(OR(N(Database!$BG342)&lt;=0,N(Screener!$D$13)&lt;=0),0,MAX(0,1-ABS(LOG10(N(Database!$BG342)/Screener!$D$13))/W_PEHW))</f>
        <v/>
      </c>
      <c r="J342">
        <f>IF(OR(N(Database!$S342)&lt;=0,N(Screener!$D$14)&lt;=0),0,MAX(0,1-ABS(LOG10(Database!$S342/Screener!$D$14))/0.6))</f>
        <v/>
      </c>
      <c r="K342">
        <f>IF(Database!$B342=Screener!$B$5,-999999,IF(ISNUMBER(SEARCH(","&amp;Database!$A342&amp;",",","&amp;SUBSTITUTE(Screener!$D$17," ","")&amp;",")),2000000,IF(IF(OR(Screener!$B$18="All",AND(Screener!$B$18="With A-share",(Database!$BL342="Y")),AND(Screener!$B$18="Without A-share",NOT((Database!$BL342="Y")))),1,0)=0,-999999,IF(Screener!$B$16="cornerstone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Database!BF330</f>
        <v/>
      </c>
      <c r="AF342">
        <f>Database!BL330</f>
        <v/>
      </c>
      <c r="AG342">
        <f>Database!H330</f>
        <v/>
      </c>
      <c r="AH342">
        <f>Database!BG330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IF(OR(Database!$BF343="",Screener!$D$10=""),0,IF(Database!$BF343=Screener!$D$10,1,0))</f>
        <v/>
      </c>
      <c r="F343">
        <f>IF(OR(Database!$BL343="",Screener!$D$11=""),0,IF(Database!$BL343=Screener!$D$11,1,0))</f>
        <v/>
      </c>
      <c r="G343">
        <f>IF(OR(Database!$H343="",N(Screener!$D$12)&lt;=0),0,MAX(0,1-(N(Screener!$D$12)-Database!$H343)/W_RECD))</f>
        <v/>
      </c>
      <c r="H343">
        <f>IF($U$1="",0,N(ISNUMBER(SEARCH($U$1,Database!$AC343&amp;""))))+IF($V$1="",0,N(ISNUMBER(SEARCH($V$1,Database!$AC343&amp;""))))+IF($W$1="",0,N(ISNUMBER(SEARCH($W$1,Database!$AC343&amp;""))))+IF($X$1="",0,N(ISNUMBER(SEARCH($X$1,Database!$AC343&amp;""))))+IF($Y$1="",0,N(ISNUMBER(SEARCH($Y$1,Database!$AC343&amp;""))))+IF(Screener!$B$17="",0,N(ISNUMBER(SEARCH(LOWER(Screener!$B$17),Database!$AC343&amp;""))))</f>
        <v/>
      </c>
      <c r="I343">
        <f>IF(OR(N(Database!$BG343)&lt;=0,N(Screener!$D$13)&lt;=0),0,MAX(0,1-ABS(LOG10(N(Database!$BG343)/Screener!$D$13))/W_PEHW))</f>
        <v/>
      </c>
      <c r="J343">
        <f>IF(OR(N(Database!$S343)&lt;=0,N(Screener!$D$14)&lt;=0),0,MAX(0,1-ABS(LOG10(Database!$S343/Screener!$D$14))/0.6))</f>
        <v/>
      </c>
      <c r="K343">
        <f>IF(Database!$B343=Screener!$B$5,-999999,IF(ISNUMBER(SEARCH(","&amp;Database!$A343&amp;",",","&amp;SUBSTITUTE(Screener!$D$17," ","")&amp;",")),2000000,IF(IF(OR(Screener!$B$18="All",AND(Screener!$B$18="With A-share",(Database!$BL343="Y")),AND(Screener!$B$18="Without A-share",NOT((Database!$BL343="Y")))),1,0)=0,-999999,IF(Screener!$B$16="cornerstone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Database!BF331</f>
        <v/>
      </c>
      <c r="AF343">
        <f>Database!BL331</f>
        <v/>
      </c>
      <c r="AG343">
        <f>Database!H331</f>
        <v/>
      </c>
      <c r="AH343">
        <f>Database!BG331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IF(OR(Database!$BF344="",Screener!$D$10=""),0,IF(Database!$BF344=Screener!$D$10,1,0))</f>
        <v/>
      </c>
      <c r="F344">
        <f>IF(OR(Database!$BL344="",Screener!$D$11=""),0,IF(Database!$BL344=Screener!$D$11,1,0))</f>
        <v/>
      </c>
      <c r="G344">
        <f>IF(OR(Database!$H344="",N(Screener!$D$12)&lt;=0),0,MAX(0,1-(N(Screener!$D$12)-Database!$H344)/W_RECD))</f>
        <v/>
      </c>
      <c r="H344">
        <f>IF($U$1="",0,N(ISNUMBER(SEARCH($U$1,Database!$AC344&amp;""))))+IF($V$1="",0,N(ISNUMBER(SEARCH($V$1,Database!$AC344&amp;""))))+IF($W$1="",0,N(ISNUMBER(SEARCH($W$1,Database!$AC344&amp;""))))+IF($X$1="",0,N(ISNUMBER(SEARCH($X$1,Database!$AC344&amp;""))))+IF($Y$1="",0,N(ISNUMBER(SEARCH($Y$1,Database!$AC344&amp;""))))+IF(Screener!$B$17="",0,N(ISNUMBER(SEARCH(LOWER(Screener!$B$17),Database!$AC344&amp;""))))</f>
        <v/>
      </c>
      <c r="I344">
        <f>IF(OR(N(Database!$BG344)&lt;=0,N(Screener!$D$13)&lt;=0),0,MAX(0,1-ABS(LOG10(N(Database!$BG344)/Screener!$D$13))/W_PEHW))</f>
        <v/>
      </c>
      <c r="J344">
        <f>IF(OR(N(Database!$S344)&lt;=0,N(Screener!$D$14)&lt;=0),0,MAX(0,1-ABS(LOG10(Database!$S344/Screener!$D$14))/0.6))</f>
        <v/>
      </c>
      <c r="K344">
        <f>IF(Database!$B344=Screener!$B$5,-999999,IF(ISNUMBER(SEARCH(","&amp;Database!$A344&amp;",",","&amp;SUBSTITUTE(Screener!$D$17," ","")&amp;",")),2000000,IF(IF(OR(Screener!$B$18="All",AND(Screener!$B$18="With A-share",(Database!$BL344="Y")),AND(Screener!$B$18="Without A-share",NOT((Database!$BL344="Y")))),1,0)=0,-999999,IF(Screener!$B$16="cornerstone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Database!BF332</f>
        <v/>
      </c>
      <c r="AF344">
        <f>Database!BL332</f>
        <v/>
      </c>
      <c r="AG344">
        <f>Database!H332</f>
        <v/>
      </c>
      <c r="AH344">
        <f>Database!BG332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IF(OR(Database!$BF345="",Screener!$D$10=""),0,IF(Database!$BF345=Screener!$D$10,1,0))</f>
        <v/>
      </c>
      <c r="F345">
        <f>IF(OR(Database!$BL345="",Screener!$D$11=""),0,IF(Database!$BL345=Screener!$D$11,1,0))</f>
        <v/>
      </c>
      <c r="G345">
        <f>IF(OR(Database!$H345="",N(Screener!$D$12)&lt;=0),0,MAX(0,1-(N(Screener!$D$12)-Database!$H345)/W_RECD))</f>
        <v/>
      </c>
      <c r="H345">
        <f>IF($U$1="",0,N(ISNUMBER(SEARCH($U$1,Database!$AC345&amp;""))))+IF($V$1="",0,N(ISNUMBER(SEARCH($V$1,Database!$AC345&amp;""))))+IF($W$1="",0,N(ISNUMBER(SEARCH($W$1,Database!$AC345&amp;""))))+IF($X$1="",0,N(ISNUMBER(SEARCH($X$1,Database!$AC345&amp;""))))+IF($Y$1="",0,N(ISNUMBER(SEARCH($Y$1,Database!$AC345&amp;""))))+IF(Screener!$B$17="",0,N(ISNUMBER(SEARCH(LOWER(Screener!$B$17),Database!$AC345&amp;""))))</f>
        <v/>
      </c>
      <c r="I345">
        <f>IF(OR(N(Database!$BG345)&lt;=0,N(Screener!$D$13)&lt;=0),0,MAX(0,1-ABS(LOG10(N(Database!$BG345)/Screener!$D$13))/W_PEHW))</f>
        <v/>
      </c>
      <c r="J345">
        <f>IF(OR(N(Database!$S345)&lt;=0,N(Screener!$D$14)&lt;=0),0,MAX(0,1-ABS(LOG10(Database!$S345/Screener!$D$14))/0.6))</f>
        <v/>
      </c>
      <c r="K345">
        <f>IF(Database!$B345=Screener!$B$5,-999999,IF(ISNUMBER(SEARCH(","&amp;Database!$A345&amp;",",","&amp;SUBSTITUTE(Screener!$D$17," ","")&amp;",")),2000000,IF(IF(OR(Screener!$B$18="All",AND(Screener!$B$18="With A-share",(Database!$BL345="Y")),AND(Screener!$B$18="Without A-share",NOT((Database!$BL345="Y")))),1,0)=0,-999999,IF(Screener!$B$16="cornerstone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Database!BF333</f>
        <v/>
      </c>
      <c r="AF345">
        <f>Database!BL333</f>
        <v/>
      </c>
      <c r="AG345">
        <f>Database!H333</f>
        <v/>
      </c>
      <c r="AH345">
        <f>Database!BG333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IF(OR(Database!$BF346="",Screener!$D$10=""),0,IF(Database!$BF346=Screener!$D$10,1,0))</f>
        <v/>
      </c>
      <c r="F346">
        <f>IF(OR(Database!$BL346="",Screener!$D$11=""),0,IF(Database!$BL346=Screener!$D$11,1,0))</f>
        <v/>
      </c>
      <c r="G346">
        <f>IF(OR(Database!$H346="",N(Screener!$D$12)&lt;=0),0,MAX(0,1-(N(Screener!$D$12)-Database!$H346)/W_RECD))</f>
        <v/>
      </c>
      <c r="H346">
        <f>IF($U$1="",0,N(ISNUMBER(SEARCH($U$1,Database!$AC346&amp;""))))+IF($V$1="",0,N(ISNUMBER(SEARCH($V$1,Database!$AC346&amp;""))))+IF($W$1="",0,N(ISNUMBER(SEARCH($W$1,Database!$AC346&amp;""))))+IF($X$1="",0,N(ISNUMBER(SEARCH($X$1,Database!$AC346&amp;""))))+IF($Y$1="",0,N(ISNUMBER(SEARCH($Y$1,Database!$AC346&amp;""))))+IF(Screener!$B$17="",0,N(ISNUMBER(SEARCH(LOWER(Screener!$B$17),Database!$AC346&amp;""))))</f>
        <v/>
      </c>
      <c r="I346">
        <f>IF(OR(N(Database!$BG346)&lt;=0,N(Screener!$D$13)&lt;=0),0,MAX(0,1-ABS(LOG10(N(Database!$BG346)/Screener!$D$13))/W_PEHW))</f>
        <v/>
      </c>
      <c r="J346">
        <f>IF(OR(N(Database!$S346)&lt;=0,N(Screener!$D$14)&lt;=0),0,MAX(0,1-ABS(LOG10(Database!$S346/Screener!$D$14))/0.6))</f>
        <v/>
      </c>
      <c r="K346">
        <f>IF(Database!$B346=Screener!$B$5,-999999,IF(ISNUMBER(SEARCH(","&amp;Database!$A346&amp;",",","&amp;SUBSTITUTE(Screener!$D$17," ","")&amp;",")),2000000,IF(IF(OR(Screener!$B$18="All",AND(Screener!$B$18="With A-share",(Database!$BL346="Y")),AND(Screener!$B$18="Without A-share",NOT((Database!$BL346="Y")))),1,0)=0,-999999,IF(Screener!$B$16="cornerstone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Database!BF334</f>
        <v/>
      </c>
      <c r="AF346">
        <f>Database!BL334</f>
        <v/>
      </c>
      <c r="AG346">
        <f>Database!H334</f>
        <v/>
      </c>
      <c r="AH346">
        <f>Database!BG334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IF(OR(Database!$BF347="",Screener!$D$10=""),0,IF(Database!$BF347=Screener!$D$10,1,0))</f>
        <v/>
      </c>
      <c r="F347">
        <f>IF(OR(Database!$BL347="",Screener!$D$11=""),0,IF(Database!$BL347=Screener!$D$11,1,0))</f>
        <v/>
      </c>
      <c r="G347">
        <f>IF(OR(Database!$H347="",N(Screener!$D$12)&lt;=0),0,MAX(0,1-(N(Screener!$D$12)-Database!$H347)/W_RECD))</f>
        <v/>
      </c>
      <c r="H347">
        <f>IF($U$1="",0,N(ISNUMBER(SEARCH($U$1,Database!$AC347&amp;""))))+IF($V$1="",0,N(ISNUMBER(SEARCH($V$1,Database!$AC347&amp;""))))+IF($W$1="",0,N(ISNUMBER(SEARCH($W$1,Database!$AC347&amp;""))))+IF($X$1="",0,N(ISNUMBER(SEARCH($X$1,Database!$AC347&amp;""))))+IF($Y$1="",0,N(ISNUMBER(SEARCH($Y$1,Database!$AC347&amp;""))))+IF(Screener!$B$17="",0,N(ISNUMBER(SEARCH(LOWER(Screener!$B$17),Database!$AC347&amp;""))))</f>
        <v/>
      </c>
      <c r="I347">
        <f>IF(OR(N(Database!$BG347)&lt;=0,N(Screener!$D$13)&lt;=0),0,MAX(0,1-ABS(LOG10(N(Database!$BG347)/Screener!$D$13))/W_PEHW))</f>
        <v/>
      </c>
      <c r="J347">
        <f>IF(OR(N(Database!$S347)&lt;=0,N(Screener!$D$14)&lt;=0),0,MAX(0,1-ABS(LOG10(Database!$S347/Screener!$D$14))/0.6))</f>
        <v/>
      </c>
      <c r="K347">
        <f>IF(Database!$B347=Screener!$B$5,-999999,IF(ISNUMBER(SEARCH(","&amp;Database!$A347&amp;",",","&amp;SUBSTITUTE(Screener!$D$17," ","")&amp;",")),2000000,IF(IF(OR(Screener!$B$18="All",AND(Screener!$B$18="With A-share",(Database!$BL347="Y")),AND(Screener!$B$18="Without A-share",NOT((Database!$BL347="Y")))),1,0)=0,-999999,IF(Screener!$B$16="cornerstone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Database!BF335</f>
        <v/>
      </c>
      <c r="AF347">
        <f>Database!BL335</f>
        <v/>
      </c>
      <c r="AG347">
        <f>Database!H335</f>
        <v/>
      </c>
      <c r="AH347">
        <f>Database!BG335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IF(OR(Database!$BF348="",Screener!$D$10=""),0,IF(Database!$BF348=Screener!$D$10,1,0))</f>
        <v/>
      </c>
      <c r="F348">
        <f>IF(OR(Database!$BL348="",Screener!$D$11=""),0,IF(Database!$BL348=Screener!$D$11,1,0))</f>
        <v/>
      </c>
      <c r="G348">
        <f>IF(OR(Database!$H348="",N(Screener!$D$12)&lt;=0),0,MAX(0,1-(N(Screener!$D$12)-Database!$H348)/W_RECD))</f>
        <v/>
      </c>
      <c r="H348">
        <f>IF($U$1="",0,N(ISNUMBER(SEARCH($U$1,Database!$AC348&amp;""))))+IF($V$1="",0,N(ISNUMBER(SEARCH($V$1,Database!$AC348&amp;""))))+IF($W$1="",0,N(ISNUMBER(SEARCH($W$1,Database!$AC348&amp;""))))+IF($X$1="",0,N(ISNUMBER(SEARCH($X$1,Database!$AC348&amp;""))))+IF($Y$1="",0,N(ISNUMBER(SEARCH($Y$1,Database!$AC348&amp;""))))+IF(Screener!$B$17="",0,N(ISNUMBER(SEARCH(LOWER(Screener!$B$17),Database!$AC348&amp;""))))</f>
        <v/>
      </c>
      <c r="I348">
        <f>IF(OR(N(Database!$BG348)&lt;=0,N(Screener!$D$13)&lt;=0),0,MAX(0,1-ABS(LOG10(N(Database!$BG348)/Screener!$D$13))/W_PEHW))</f>
        <v/>
      </c>
      <c r="J348">
        <f>IF(OR(N(Database!$S348)&lt;=0,N(Screener!$D$14)&lt;=0),0,MAX(0,1-ABS(LOG10(Database!$S348/Screener!$D$14))/0.6))</f>
        <v/>
      </c>
      <c r="K348">
        <f>IF(Database!$B348=Screener!$B$5,-999999,IF(ISNUMBER(SEARCH(","&amp;Database!$A348&amp;",",","&amp;SUBSTITUTE(Screener!$D$17," ","")&amp;",")),2000000,IF(IF(OR(Screener!$B$18="All",AND(Screener!$B$18="With A-share",(Database!$BL348="Y")),AND(Screener!$B$18="Without A-share",NOT((Database!$BL348="Y")))),1,0)=0,-999999,IF(Screener!$B$16="cornerstone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Database!BF336</f>
        <v/>
      </c>
      <c r="AF348">
        <f>Database!BL336</f>
        <v/>
      </c>
      <c r="AG348">
        <f>Database!H336</f>
        <v/>
      </c>
      <c r="AH348">
        <f>Database!BG336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IF(OR(Database!$BF349="",Screener!$D$10=""),0,IF(Database!$BF349=Screener!$D$10,1,0))</f>
        <v/>
      </c>
      <c r="F349">
        <f>IF(OR(Database!$BL349="",Screener!$D$11=""),0,IF(Database!$BL349=Screener!$D$11,1,0))</f>
        <v/>
      </c>
      <c r="G349">
        <f>IF(OR(Database!$H349="",N(Screener!$D$12)&lt;=0),0,MAX(0,1-(N(Screener!$D$12)-Database!$H349)/W_RECD))</f>
        <v/>
      </c>
      <c r="H349">
        <f>IF($U$1="",0,N(ISNUMBER(SEARCH($U$1,Database!$AC349&amp;""))))+IF($V$1="",0,N(ISNUMBER(SEARCH($V$1,Database!$AC349&amp;""))))+IF($W$1="",0,N(ISNUMBER(SEARCH($W$1,Database!$AC349&amp;""))))+IF($X$1="",0,N(ISNUMBER(SEARCH($X$1,Database!$AC349&amp;""))))+IF($Y$1="",0,N(ISNUMBER(SEARCH($Y$1,Database!$AC349&amp;""))))+IF(Screener!$B$17="",0,N(ISNUMBER(SEARCH(LOWER(Screener!$B$17),Database!$AC349&amp;""))))</f>
        <v/>
      </c>
      <c r="I349">
        <f>IF(OR(N(Database!$BG349)&lt;=0,N(Screener!$D$13)&lt;=0),0,MAX(0,1-ABS(LOG10(N(Database!$BG349)/Screener!$D$13))/W_PEHW))</f>
        <v/>
      </c>
      <c r="J349">
        <f>IF(OR(N(Database!$S349)&lt;=0,N(Screener!$D$14)&lt;=0),0,MAX(0,1-ABS(LOG10(Database!$S349/Screener!$D$14))/0.6))</f>
        <v/>
      </c>
      <c r="K349">
        <f>IF(Database!$B349=Screener!$B$5,-999999,IF(ISNUMBER(SEARCH(","&amp;Database!$A349&amp;",",","&amp;SUBSTITUTE(Screener!$D$17," ","")&amp;",")),2000000,IF(IF(OR(Screener!$B$18="All",AND(Screener!$B$18="With A-share",(Database!$BL349="Y")),AND(Screener!$B$18="Without A-share",NOT((Database!$BL349="Y")))),1,0)=0,-999999,IF(Screener!$B$16="cornerstone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Database!BF337</f>
        <v/>
      </c>
      <c r="AF349">
        <f>Database!BL337</f>
        <v/>
      </c>
      <c r="AG349">
        <f>Database!H337</f>
        <v/>
      </c>
      <c r="AH349">
        <f>Database!BG337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IF(OR(Database!$BF350="",Screener!$D$10=""),0,IF(Database!$BF350=Screener!$D$10,1,0))</f>
        <v/>
      </c>
      <c r="F350">
        <f>IF(OR(Database!$BL350="",Screener!$D$11=""),0,IF(Database!$BL350=Screener!$D$11,1,0))</f>
        <v/>
      </c>
      <c r="G350">
        <f>IF(OR(Database!$H350="",N(Screener!$D$12)&lt;=0),0,MAX(0,1-(N(Screener!$D$12)-Database!$H350)/W_RECD))</f>
        <v/>
      </c>
      <c r="H350">
        <f>IF($U$1="",0,N(ISNUMBER(SEARCH($U$1,Database!$AC350&amp;""))))+IF($V$1="",0,N(ISNUMBER(SEARCH($V$1,Database!$AC350&amp;""))))+IF($W$1="",0,N(ISNUMBER(SEARCH($W$1,Database!$AC350&amp;""))))+IF($X$1="",0,N(ISNUMBER(SEARCH($X$1,Database!$AC350&amp;""))))+IF($Y$1="",0,N(ISNUMBER(SEARCH($Y$1,Database!$AC350&amp;""))))+IF(Screener!$B$17="",0,N(ISNUMBER(SEARCH(LOWER(Screener!$B$17),Database!$AC350&amp;""))))</f>
        <v/>
      </c>
      <c r="I350">
        <f>IF(OR(N(Database!$BG350)&lt;=0,N(Screener!$D$13)&lt;=0),0,MAX(0,1-ABS(LOG10(N(Database!$BG350)/Screener!$D$13))/W_PEHW))</f>
        <v/>
      </c>
      <c r="J350">
        <f>IF(OR(N(Database!$S350)&lt;=0,N(Screener!$D$14)&lt;=0),0,MAX(0,1-ABS(LOG10(Database!$S350/Screener!$D$14))/0.6))</f>
        <v/>
      </c>
      <c r="K350">
        <f>IF(Database!$B350=Screener!$B$5,-999999,IF(ISNUMBER(SEARCH(","&amp;Database!$A350&amp;",",","&amp;SUBSTITUTE(Screener!$D$17," ","")&amp;",")),2000000,IF(IF(OR(Screener!$B$18="All",AND(Screener!$B$18="With A-share",(Database!$BL350="Y")),AND(Screener!$B$18="Without A-share",NOT((Database!$BL350="Y")))),1,0)=0,-999999,IF(Screener!$B$16="cornerstone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Database!BF338</f>
        <v/>
      </c>
      <c r="AF350">
        <f>Database!BL338</f>
        <v/>
      </c>
      <c r="AG350">
        <f>Database!H338</f>
        <v/>
      </c>
      <c r="AH350">
        <f>Database!BG338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IF(OR(Database!$BF351="",Screener!$D$10=""),0,IF(Database!$BF351=Screener!$D$10,1,0))</f>
        <v/>
      </c>
      <c r="F351">
        <f>IF(OR(Database!$BL351="",Screener!$D$11=""),0,IF(Database!$BL351=Screener!$D$11,1,0))</f>
        <v/>
      </c>
      <c r="G351">
        <f>IF(OR(Database!$H351="",N(Screener!$D$12)&lt;=0),0,MAX(0,1-(N(Screener!$D$12)-Database!$H351)/W_RECD))</f>
        <v/>
      </c>
      <c r="H351">
        <f>IF($U$1="",0,N(ISNUMBER(SEARCH($U$1,Database!$AC351&amp;""))))+IF($V$1="",0,N(ISNUMBER(SEARCH($V$1,Database!$AC351&amp;""))))+IF($W$1="",0,N(ISNUMBER(SEARCH($W$1,Database!$AC351&amp;""))))+IF($X$1="",0,N(ISNUMBER(SEARCH($X$1,Database!$AC351&amp;""))))+IF($Y$1="",0,N(ISNUMBER(SEARCH($Y$1,Database!$AC351&amp;""))))+IF(Screener!$B$17="",0,N(ISNUMBER(SEARCH(LOWER(Screener!$B$17),Database!$AC351&amp;""))))</f>
        <v/>
      </c>
      <c r="I351">
        <f>IF(OR(N(Database!$BG351)&lt;=0,N(Screener!$D$13)&lt;=0),0,MAX(0,1-ABS(LOG10(N(Database!$BG351)/Screener!$D$13))/W_PEHW))</f>
        <v/>
      </c>
      <c r="J351">
        <f>IF(OR(N(Database!$S351)&lt;=0,N(Screener!$D$14)&lt;=0),0,MAX(0,1-ABS(LOG10(Database!$S351/Screener!$D$14))/0.6))</f>
        <v/>
      </c>
      <c r="K351">
        <f>IF(Database!$B351=Screener!$B$5,-999999,IF(ISNUMBER(SEARCH(","&amp;Database!$A351&amp;",",","&amp;SUBSTITUTE(Screener!$D$17," ","")&amp;",")),2000000,IF(IF(OR(Screener!$B$18="All",AND(Screener!$B$18="With A-share",(Database!$BL351="Y")),AND(Screener!$B$18="Without A-share",NOT((Database!$BL351="Y")))),1,0)=0,-999999,IF(Screener!$B$16="cornerstone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Database!BF339</f>
        <v/>
      </c>
      <c r="AF351">
        <f>Database!BL339</f>
        <v/>
      </c>
      <c r="AG351">
        <f>Database!H339</f>
        <v/>
      </c>
      <c r="AH351">
        <f>Database!BG339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IF(OR(Database!$BF352="",Screener!$D$10=""),0,IF(Database!$BF352=Screener!$D$10,1,0))</f>
        <v/>
      </c>
      <c r="F352">
        <f>IF(OR(Database!$BL352="",Screener!$D$11=""),0,IF(Database!$BL352=Screener!$D$11,1,0))</f>
        <v/>
      </c>
      <c r="G352">
        <f>IF(OR(Database!$H352="",N(Screener!$D$12)&lt;=0),0,MAX(0,1-(N(Screener!$D$12)-Database!$H352)/W_RECD))</f>
        <v/>
      </c>
      <c r="H352">
        <f>IF($U$1="",0,N(ISNUMBER(SEARCH($U$1,Database!$AC352&amp;""))))+IF($V$1="",0,N(ISNUMBER(SEARCH($V$1,Database!$AC352&amp;""))))+IF($W$1="",0,N(ISNUMBER(SEARCH($W$1,Database!$AC352&amp;""))))+IF($X$1="",0,N(ISNUMBER(SEARCH($X$1,Database!$AC352&amp;""))))+IF($Y$1="",0,N(ISNUMBER(SEARCH($Y$1,Database!$AC352&amp;""))))+IF(Screener!$B$17="",0,N(ISNUMBER(SEARCH(LOWER(Screener!$B$17),Database!$AC352&amp;""))))</f>
        <v/>
      </c>
      <c r="I352">
        <f>IF(OR(N(Database!$BG352)&lt;=0,N(Screener!$D$13)&lt;=0),0,MAX(0,1-ABS(LOG10(N(Database!$BG352)/Screener!$D$13))/W_PEHW))</f>
        <v/>
      </c>
      <c r="J352">
        <f>IF(OR(N(Database!$S352)&lt;=0,N(Screener!$D$14)&lt;=0),0,MAX(0,1-ABS(LOG10(Database!$S352/Screener!$D$14))/0.6))</f>
        <v/>
      </c>
      <c r="K352">
        <f>IF(Database!$B352=Screener!$B$5,-999999,IF(ISNUMBER(SEARCH(","&amp;Database!$A352&amp;",",","&amp;SUBSTITUTE(Screener!$D$17," ","")&amp;",")),2000000,IF(IF(OR(Screener!$B$18="All",AND(Screener!$B$18="With A-share",(Database!$BL352="Y")),AND(Screener!$B$18="Without A-share",NOT((Database!$BL352="Y")))),1,0)=0,-999999,IF(Screener!$B$16="cornerstone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Database!BF340</f>
        <v/>
      </c>
      <c r="AF352">
        <f>Database!BL340</f>
        <v/>
      </c>
      <c r="AG352">
        <f>Database!H340</f>
        <v/>
      </c>
      <c r="AH352">
        <f>Database!BG340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IF(OR(Database!$BF353="",Screener!$D$10=""),0,IF(Database!$BF353=Screener!$D$10,1,0))</f>
        <v/>
      </c>
      <c r="F353">
        <f>IF(OR(Database!$BL353="",Screener!$D$11=""),0,IF(Database!$BL353=Screener!$D$11,1,0))</f>
        <v/>
      </c>
      <c r="G353">
        <f>IF(OR(Database!$H353="",N(Screener!$D$12)&lt;=0),0,MAX(0,1-(N(Screener!$D$12)-Database!$H353)/W_RECD))</f>
        <v/>
      </c>
      <c r="H353">
        <f>IF($U$1="",0,N(ISNUMBER(SEARCH($U$1,Database!$AC353&amp;""))))+IF($V$1="",0,N(ISNUMBER(SEARCH($V$1,Database!$AC353&amp;""))))+IF($W$1="",0,N(ISNUMBER(SEARCH($W$1,Database!$AC353&amp;""))))+IF($X$1="",0,N(ISNUMBER(SEARCH($X$1,Database!$AC353&amp;""))))+IF($Y$1="",0,N(ISNUMBER(SEARCH($Y$1,Database!$AC353&amp;""))))+IF(Screener!$B$17="",0,N(ISNUMBER(SEARCH(LOWER(Screener!$B$17),Database!$AC353&amp;""))))</f>
        <v/>
      </c>
      <c r="I353">
        <f>IF(OR(N(Database!$BG353)&lt;=0,N(Screener!$D$13)&lt;=0),0,MAX(0,1-ABS(LOG10(N(Database!$BG353)/Screener!$D$13))/W_PEHW))</f>
        <v/>
      </c>
      <c r="J353">
        <f>IF(OR(N(Database!$S353)&lt;=0,N(Screener!$D$14)&lt;=0),0,MAX(0,1-ABS(LOG10(Database!$S353/Screener!$D$14))/0.6))</f>
        <v/>
      </c>
      <c r="K353">
        <f>IF(Database!$B353=Screener!$B$5,-999999,IF(ISNUMBER(SEARCH(","&amp;Database!$A353&amp;",",","&amp;SUBSTITUTE(Screener!$D$17," ","")&amp;",")),2000000,IF(IF(OR(Screener!$B$18="All",AND(Screener!$B$18="With A-share",(Database!$BL353="Y")),AND(Screener!$B$18="Without A-share",NOT((Database!$BL353="Y")))),1,0)=0,-999999,IF(Screener!$B$16="cornerstone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Database!BF341</f>
        <v/>
      </c>
      <c r="AF353">
        <f>Database!BL341</f>
        <v/>
      </c>
      <c r="AG353">
        <f>Database!H341</f>
        <v/>
      </c>
      <c r="AH353">
        <f>Database!BG341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IF(OR(Database!$BF354="",Screener!$D$10=""),0,IF(Database!$BF354=Screener!$D$10,1,0))</f>
        <v/>
      </c>
      <c r="F354">
        <f>IF(OR(Database!$BL354="",Screener!$D$11=""),0,IF(Database!$BL354=Screener!$D$11,1,0))</f>
        <v/>
      </c>
      <c r="G354">
        <f>IF(OR(Database!$H354="",N(Screener!$D$12)&lt;=0),0,MAX(0,1-(N(Screener!$D$12)-Database!$H354)/W_RECD))</f>
        <v/>
      </c>
      <c r="H354">
        <f>IF($U$1="",0,N(ISNUMBER(SEARCH($U$1,Database!$AC354&amp;""))))+IF($V$1="",0,N(ISNUMBER(SEARCH($V$1,Database!$AC354&amp;""))))+IF($W$1="",0,N(ISNUMBER(SEARCH($W$1,Database!$AC354&amp;""))))+IF($X$1="",0,N(ISNUMBER(SEARCH($X$1,Database!$AC354&amp;""))))+IF($Y$1="",0,N(ISNUMBER(SEARCH($Y$1,Database!$AC354&amp;""))))+IF(Screener!$B$17="",0,N(ISNUMBER(SEARCH(LOWER(Screener!$B$17),Database!$AC354&amp;""))))</f>
        <v/>
      </c>
      <c r="I354">
        <f>IF(OR(N(Database!$BG354)&lt;=0,N(Screener!$D$13)&lt;=0),0,MAX(0,1-ABS(LOG10(N(Database!$BG354)/Screener!$D$13))/W_PEHW))</f>
        <v/>
      </c>
      <c r="J354">
        <f>IF(OR(N(Database!$S354)&lt;=0,N(Screener!$D$14)&lt;=0),0,MAX(0,1-ABS(LOG10(Database!$S354/Screener!$D$14))/0.6))</f>
        <v/>
      </c>
      <c r="K354">
        <f>IF(Database!$B354=Screener!$B$5,-999999,IF(ISNUMBER(SEARCH(","&amp;Database!$A354&amp;",",","&amp;SUBSTITUTE(Screener!$D$17," ","")&amp;",")),2000000,IF(IF(OR(Screener!$B$18="All",AND(Screener!$B$18="With A-share",(Database!$BL354="Y")),AND(Screener!$B$18="Without A-share",NOT((Database!$BL354="Y")))),1,0)=0,-999999,IF(Screener!$B$16="cornerstone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Database!BF342</f>
        <v/>
      </c>
      <c r="AF354">
        <f>Database!BL342</f>
        <v/>
      </c>
      <c r="AG354">
        <f>Database!H342</f>
        <v/>
      </c>
      <c r="AH354">
        <f>Database!BG342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IF(OR(Database!$BF355="",Screener!$D$10=""),0,IF(Database!$BF355=Screener!$D$10,1,0))</f>
        <v/>
      </c>
      <c r="F355">
        <f>IF(OR(Database!$BL355="",Screener!$D$11=""),0,IF(Database!$BL355=Screener!$D$11,1,0))</f>
        <v/>
      </c>
      <c r="G355">
        <f>IF(OR(Database!$H355="",N(Screener!$D$12)&lt;=0),0,MAX(0,1-(N(Screener!$D$12)-Database!$H355)/W_RECD))</f>
        <v/>
      </c>
      <c r="H355">
        <f>IF($U$1="",0,N(ISNUMBER(SEARCH($U$1,Database!$AC355&amp;""))))+IF($V$1="",0,N(ISNUMBER(SEARCH($V$1,Database!$AC355&amp;""))))+IF($W$1="",0,N(ISNUMBER(SEARCH($W$1,Database!$AC355&amp;""))))+IF($X$1="",0,N(ISNUMBER(SEARCH($X$1,Database!$AC355&amp;""))))+IF($Y$1="",0,N(ISNUMBER(SEARCH($Y$1,Database!$AC355&amp;""))))+IF(Screener!$B$17="",0,N(ISNUMBER(SEARCH(LOWER(Screener!$B$17),Database!$AC355&amp;""))))</f>
        <v/>
      </c>
      <c r="I355">
        <f>IF(OR(N(Database!$BG355)&lt;=0,N(Screener!$D$13)&lt;=0),0,MAX(0,1-ABS(LOG10(N(Database!$BG355)/Screener!$D$13))/W_PEHW))</f>
        <v/>
      </c>
      <c r="J355">
        <f>IF(OR(N(Database!$S355)&lt;=0,N(Screener!$D$14)&lt;=0),0,MAX(0,1-ABS(LOG10(Database!$S355/Screener!$D$14))/0.6))</f>
        <v/>
      </c>
      <c r="K355">
        <f>IF(Database!$B355=Screener!$B$5,-999999,IF(ISNUMBER(SEARCH(","&amp;Database!$A355&amp;",",","&amp;SUBSTITUTE(Screener!$D$17," ","")&amp;",")),2000000,IF(IF(OR(Screener!$B$18="All",AND(Screener!$B$18="With A-share",(Database!$BL355="Y")),AND(Screener!$B$18="Without A-share",NOT((Database!$BL355="Y")))),1,0)=0,-999999,IF(Screener!$B$16="cornerstone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Database!BF343</f>
        <v/>
      </c>
      <c r="AF355">
        <f>Database!BL343</f>
        <v/>
      </c>
      <c r="AG355">
        <f>Database!H343</f>
        <v/>
      </c>
      <c r="AH355">
        <f>Database!BG343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IF(OR(Database!$BF356="",Screener!$D$10=""),0,IF(Database!$BF356=Screener!$D$10,1,0))</f>
        <v/>
      </c>
      <c r="F356">
        <f>IF(OR(Database!$BL356="",Screener!$D$11=""),0,IF(Database!$BL356=Screener!$D$11,1,0))</f>
        <v/>
      </c>
      <c r="G356">
        <f>IF(OR(Database!$H356="",N(Screener!$D$12)&lt;=0),0,MAX(0,1-(N(Screener!$D$12)-Database!$H356)/W_RECD))</f>
        <v/>
      </c>
      <c r="H356">
        <f>IF($U$1="",0,N(ISNUMBER(SEARCH($U$1,Database!$AC356&amp;""))))+IF($V$1="",0,N(ISNUMBER(SEARCH($V$1,Database!$AC356&amp;""))))+IF($W$1="",0,N(ISNUMBER(SEARCH($W$1,Database!$AC356&amp;""))))+IF($X$1="",0,N(ISNUMBER(SEARCH($X$1,Database!$AC356&amp;""))))+IF($Y$1="",0,N(ISNUMBER(SEARCH($Y$1,Database!$AC356&amp;""))))+IF(Screener!$B$17="",0,N(ISNUMBER(SEARCH(LOWER(Screener!$B$17),Database!$AC356&amp;""))))</f>
        <v/>
      </c>
      <c r="I356">
        <f>IF(OR(N(Database!$BG356)&lt;=0,N(Screener!$D$13)&lt;=0),0,MAX(0,1-ABS(LOG10(N(Database!$BG356)/Screener!$D$13))/W_PEHW))</f>
        <v/>
      </c>
      <c r="J356">
        <f>IF(OR(N(Database!$S356)&lt;=0,N(Screener!$D$14)&lt;=0),0,MAX(0,1-ABS(LOG10(Database!$S356/Screener!$D$14))/0.6))</f>
        <v/>
      </c>
      <c r="K356">
        <f>IF(Database!$B356=Screener!$B$5,-999999,IF(ISNUMBER(SEARCH(","&amp;Database!$A356&amp;",",","&amp;SUBSTITUTE(Screener!$D$17," ","")&amp;",")),2000000,IF(IF(OR(Screener!$B$18="All",AND(Screener!$B$18="With A-share",(Database!$BL356="Y")),AND(Screener!$B$18="Without A-share",NOT((Database!$BL356="Y")))),1,0)=0,-999999,IF(Screener!$B$16="cornerstone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Database!BF344</f>
        <v/>
      </c>
      <c r="AF356">
        <f>Database!BL344</f>
        <v/>
      </c>
      <c r="AG356">
        <f>Database!H344</f>
        <v/>
      </c>
      <c r="AH356">
        <f>Database!BG344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IF(OR(Database!$BF357="",Screener!$D$10=""),0,IF(Database!$BF357=Screener!$D$10,1,0))</f>
        <v/>
      </c>
      <c r="F357">
        <f>IF(OR(Database!$BL357="",Screener!$D$11=""),0,IF(Database!$BL357=Screener!$D$11,1,0))</f>
        <v/>
      </c>
      <c r="G357">
        <f>IF(OR(Database!$H357="",N(Screener!$D$12)&lt;=0),0,MAX(0,1-(N(Screener!$D$12)-Database!$H357)/W_RECD))</f>
        <v/>
      </c>
      <c r="H357">
        <f>IF($U$1="",0,N(ISNUMBER(SEARCH($U$1,Database!$AC357&amp;""))))+IF($V$1="",0,N(ISNUMBER(SEARCH($V$1,Database!$AC357&amp;""))))+IF($W$1="",0,N(ISNUMBER(SEARCH($W$1,Database!$AC357&amp;""))))+IF($X$1="",0,N(ISNUMBER(SEARCH($X$1,Database!$AC357&amp;""))))+IF($Y$1="",0,N(ISNUMBER(SEARCH($Y$1,Database!$AC357&amp;""))))+IF(Screener!$B$17="",0,N(ISNUMBER(SEARCH(LOWER(Screener!$B$17),Database!$AC357&amp;""))))</f>
        <v/>
      </c>
      <c r="I357">
        <f>IF(OR(N(Database!$BG357)&lt;=0,N(Screener!$D$13)&lt;=0),0,MAX(0,1-ABS(LOG10(N(Database!$BG357)/Screener!$D$13))/W_PEHW))</f>
        <v/>
      </c>
      <c r="J357">
        <f>IF(OR(N(Database!$S357)&lt;=0,N(Screener!$D$14)&lt;=0),0,MAX(0,1-ABS(LOG10(Database!$S357/Screener!$D$14))/0.6))</f>
        <v/>
      </c>
      <c r="K357">
        <f>IF(Database!$B357=Screener!$B$5,-999999,IF(ISNUMBER(SEARCH(","&amp;Database!$A357&amp;",",","&amp;SUBSTITUTE(Screener!$D$17," ","")&amp;",")),2000000,IF(IF(OR(Screener!$B$18="All",AND(Screener!$B$18="With A-share",(Database!$BL357="Y")),AND(Screener!$B$18="Without A-share",NOT((Database!$BL357="Y")))),1,0)=0,-999999,IF(Screener!$B$16="cornerstone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Database!BF345</f>
        <v/>
      </c>
      <c r="AF357">
        <f>Database!BL345</f>
        <v/>
      </c>
      <c r="AG357">
        <f>Database!H345</f>
        <v/>
      </c>
      <c r="AH357">
        <f>Database!BG345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IF(OR(Database!$BF358="",Screener!$D$10=""),0,IF(Database!$BF358=Screener!$D$10,1,0))</f>
        <v/>
      </c>
      <c r="F358">
        <f>IF(OR(Database!$BL358="",Screener!$D$11=""),0,IF(Database!$BL358=Screener!$D$11,1,0))</f>
        <v/>
      </c>
      <c r="G358">
        <f>IF(OR(Database!$H358="",N(Screener!$D$12)&lt;=0),0,MAX(0,1-(N(Screener!$D$12)-Database!$H358)/W_RECD))</f>
        <v/>
      </c>
      <c r="H358">
        <f>IF($U$1="",0,N(ISNUMBER(SEARCH($U$1,Database!$AC358&amp;""))))+IF($V$1="",0,N(ISNUMBER(SEARCH($V$1,Database!$AC358&amp;""))))+IF($W$1="",0,N(ISNUMBER(SEARCH($W$1,Database!$AC358&amp;""))))+IF($X$1="",0,N(ISNUMBER(SEARCH($X$1,Database!$AC358&amp;""))))+IF($Y$1="",0,N(ISNUMBER(SEARCH($Y$1,Database!$AC358&amp;""))))+IF(Screener!$B$17="",0,N(ISNUMBER(SEARCH(LOWER(Screener!$B$17),Database!$AC358&amp;""))))</f>
        <v/>
      </c>
      <c r="I358">
        <f>IF(OR(N(Database!$BG358)&lt;=0,N(Screener!$D$13)&lt;=0),0,MAX(0,1-ABS(LOG10(N(Database!$BG358)/Screener!$D$13))/W_PEHW))</f>
        <v/>
      </c>
      <c r="J358">
        <f>IF(OR(N(Database!$S358)&lt;=0,N(Screener!$D$14)&lt;=0),0,MAX(0,1-ABS(LOG10(Database!$S358/Screener!$D$14))/0.6))</f>
        <v/>
      </c>
      <c r="K358">
        <f>IF(Database!$B358=Screener!$B$5,-999999,IF(ISNUMBER(SEARCH(","&amp;Database!$A358&amp;",",","&amp;SUBSTITUTE(Screener!$D$17," ","")&amp;",")),2000000,IF(IF(OR(Screener!$B$18="All",AND(Screener!$B$18="With A-share",(Database!$BL358="Y")),AND(Screener!$B$18="Without A-share",NOT((Database!$BL358="Y")))),1,0)=0,-999999,IF(Screener!$B$16="cornerstone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Database!BF346</f>
        <v/>
      </c>
      <c r="AF358">
        <f>Database!BL346</f>
        <v/>
      </c>
      <c r="AG358">
        <f>Database!H346</f>
        <v/>
      </c>
      <c r="AH358">
        <f>Database!BG346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IF(OR(Database!$BF359="",Screener!$D$10=""),0,IF(Database!$BF359=Screener!$D$10,1,0))</f>
        <v/>
      </c>
      <c r="F359">
        <f>IF(OR(Database!$BL359="",Screener!$D$11=""),0,IF(Database!$BL359=Screener!$D$11,1,0))</f>
        <v/>
      </c>
      <c r="G359">
        <f>IF(OR(Database!$H359="",N(Screener!$D$12)&lt;=0),0,MAX(0,1-(N(Screener!$D$12)-Database!$H359)/W_RECD))</f>
        <v/>
      </c>
      <c r="H359">
        <f>IF($U$1="",0,N(ISNUMBER(SEARCH($U$1,Database!$AC359&amp;""))))+IF($V$1="",0,N(ISNUMBER(SEARCH($V$1,Database!$AC359&amp;""))))+IF($W$1="",0,N(ISNUMBER(SEARCH($W$1,Database!$AC359&amp;""))))+IF($X$1="",0,N(ISNUMBER(SEARCH($X$1,Database!$AC359&amp;""))))+IF($Y$1="",0,N(ISNUMBER(SEARCH($Y$1,Database!$AC359&amp;""))))+IF(Screener!$B$17="",0,N(ISNUMBER(SEARCH(LOWER(Screener!$B$17),Database!$AC359&amp;""))))</f>
        <v/>
      </c>
      <c r="I359">
        <f>IF(OR(N(Database!$BG359)&lt;=0,N(Screener!$D$13)&lt;=0),0,MAX(0,1-ABS(LOG10(N(Database!$BG359)/Screener!$D$13))/W_PEHW))</f>
        <v/>
      </c>
      <c r="J359">
        <f>IF(OR(N(Database!$S359)&lt;=0,N(Screener!$D$14)&lt;=0),0,MAX(0,1-ABS(LOG10(Database!$S359/Screener!$D$14))/0.6))</f>
        <v/>
      </c>
      <c r="K359">
        <f>IF(Database!$B359=Screener!$B$5,-999999,IF(ISNUMBER(SEARCH(","&amp;Database!$A359&amp;",",","&amp;SUBSTITUTE(Screener!$D$17," ","")&amp;",")),2000000,IF(IF(OR(Screener!$B$18="All",AND(Screener!$B$18="With A-share",(Database!$BL359="Y")),AND(Screener!$B$18="Without A-share",NOT((Database!$BL359="Y")))),1,0)=0,-999999,IF(Screener!$B$16="cornerstone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Database!BF347</f>
        <v/>
      </c>
      <c r="AF359">
        <f>Database!BL347</f>
        <v/>
      </c>
      <c r="AG359">
        <f>Database!H347</f>
        <v/>
      </c>
      <c r="AH359">
        <f>Database!BG347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IF(OR(Database!$BF360="",Screener!$D$10=""),0,IF(Database!$BF360=Screener!$D$10,1,0))</f>
        <v/>
      </c>
      <c r="F360">
        <f>IF(OR(Database!$BL360="",Screener!$D$11=""),0,IF(Database!$BL360=Screener!$D$11,1,0))</f>
        <v/>
      </c>
      <c r="G360">
        <f>IF(OR(Database!$H360="",N(Screener!$D$12)&lt;=0),0,MAX(0,1-(N(Screener!$D$12)-Database!$H360)/W_RECD))</f>
        <v/>
      </c>
      <c r="H360">
        <f>IF($U$1="",0,N(ISNUMBER(SEARCH($U$1,Database!$AC360&amp;""))))+IF($V$1="",0,N(ISNUMBER(SEARCH($V$1,Database!$AC360&amp;""))))+IF($W$1="",0,N(ISNUMBER(SEARCH($W$1,Database!$AC360&amp;""))))+IF($X$1="",0,N(ISNUMBER(SEARCH($X$1,Database!$AC360&amp;""))))+IF($Y$1="",0,N(ISNUMBER(SEARCH($Y$1,Database!$AC360&amp;""))))+IF(Screener!$B$17="",0,N(ISNUMBER(SEARCH(LOWER(Screener!$B$17),Database!$AC360&amp;""))))</f>
        <v/>
      </c>
      <c r="I360">
        <f>IF(OR(N(Database!$BG360)&lt;=0,N(Screener!$D$13)&lt;=0),0,MAX(0,1-ABS(LOG10(N(Database!$BG360)/Screener!$D$13))/W_PEHW))</f>
        <v/>
      </c>
      <c r="J360">
        <f>IF(OR(N(Database!$S360)&lt;=0,N(Screener!$D$14)&lt;=0),0,MAX(0,1-ABS(LOG10(Database!$S360/Screener!$D$14))/0.6))</f>
        <v/>
      </c>
      <c r="K360">
        <f>IF(Database!$B360=Screener!$B$5,-999999,IF(ISNUMBER(SEARCH(","&amp;Database!$A360&amp;",",","&amp;SUBSTITUTE(Screener!$D$17," ","")&amp;",")),2000000,IF(IF(OR(Screener!$B$18="All",AND(Screener!$B$18="With A-share",(Database!$BL360="Y")),AND(Screener!$B$18="Without A-share",NOT((Database!$BL360="Y")))),1,0)=0,-999999,IF(Screener!$B$16="cornerstone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Database!BF348</f>
        <v/>
      </c>
      <c r="AF360">
        <f>Database!BL348</f>
        <v/>
      </c>
      <c r="AG360">
        <f>Database!H348</f>
        <v/>
      </c>
      <c r="AH360">
        <f>Database!BG348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IF(OR(Database!$BF361="",Screener!$D$10=""),0,IF(Database!$BF361=Screener!$D$10,1,0))</f>
        <v/>
      </c>
      <c r="F361">
        <f>IF(OR(Database!$BL361="",Screener!$D$11=""),0,IF(Database!$BL361=Screener!$D$11,1,0))</f>
        <v/>
      </c>
      <c r="G361">
        <f>IF(OR(Database!$H361="",N(Screener!$D$12)&lt;=0),0,MAX(0,1-(N(Screener!$D$12)-Database!$H361)/W_RECD))</f>
        <v/>
      </c>
      <c r="H361">
        <f>IF($U$1="",0,N(ISNUMBER(SEARCH($U$1,Database!$AC361&amp;""))))+IF($V$1="",0,N(ISNUMBER(SEARCH($V$1,Database!$AC361&amp;""))))+IF($W$1="",0,N(ISNUMBER(SEARCH($W$1,Database!$AC361&amp;""))))+IF($X$1="",0,N(ISNUMBER(SEARCH($X$1,Database!$AC361&amp;""))))+IF($Y$1="",0,N(ISNUMBER(SEARCH($Y$1,Database!$AC361&amp;""))))+IF(Screener!$B$17="",0,N(ISNUMBER(SEARCH(LOWER(Screener!$B$17),Database!$AC361&amp;""))))</f>
        <v/>
      </c>
      <c r="I361">
        <f>IF(OR(N(Database!$BG361)&lt;=0,N(Screener!$D$13)&lt;=0),0,MAX(0,1-ABS(LOG10(N(Database!$BG361)/Screener!$D$13))/W_PEHW))</f>
        <v/>
      </c>
      <c r="J361">
        <f>IF(OR(N(Database!$S361)&lt;=0,N(Screener!$D$14)&lt;=0),0,MAX(0,1-ABS(LOG10(Database!$S361/Screener!$D$14))/0.6))</f>
        <v/>
      </c>
      <c r="K361">
        <f>IF(Database!$B361=Screener!$B$5,-999999,IF(ISNUMBER(SEARCH(","&amp;Database!$A361&amp;",",","&amp;SUBSTITUTE(Screener!$D$17," ","")&amp;",")),2000000,IF(IF(OR(Screener!$B$18="All",AND(Screener!$B$18="With A-share",(Database!$BL361="Y")),AND(Screener!$B$18="Without A-share",NOT((Database!$BL361="Y")))),1,0)=0,-999999,IF(Screener!$B$16="cornerstone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Database!BF349</f>
        <v/>
      </c>
      <c r="AF361">
        <f>Database!BL349</f>
        <v/>
      </c>
      <c r="AG361">
        <f>Database!H349</f>
        <v/>
      </c>
      <c r="AH361">
        <f>Database!BG349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IF(OR(Database!$BF362="",Screener!$D$10=""),0,IF(Database!$BF362=Screener!$D$10,1,0))</f>
        <v/>
      </c>
      <c r="F362">
        <f>IF(OR(Database!$BL362="",Screener!$D$11=""),0,IF(Database!$BL362=Screener!$D$11,1,0))</f>
        <v/>
      </c>
      <c r="G362">
        <f>IF(OR(Database!$H362="",N(Screener!$D$12)&lt;=0),0,MAX(0,1-(N(Screener!$D$12)-Database!$H362)/W_RECD))</f>
        <v/>
      </c>
      <c r="H362">
        <f>IF($U$1="",0,N(ISNUMBER(SEARCH($U$1,Database!$AC362&amp;""))))+IF($V$1="",0,N(ISNUMBER(SEARCH($V$1,Database!$AC362&amp;""))))+IF($W$1="",0,N(ISNUMBER(SEARCH($W$1,Database!$AC362&amp;""))))+IF($X$1="",0,N(ISNUMBER(SEARCH($X$1,Database!$AC362&amp;""))))+IF($Y$1="",0,N(ISNUMBER(SEARCH($Y$1,Database!$AC362&amp;""))))+IF(Screener!$B$17="",0,N(ISNUMBER(SEARCH(LOWER(Screener!$B$17),Database!$AC362&amp;""))))</f>
        <v/>
      </c>
      <c r="I362">
        <f>IF(OR(N(Database!$BG362)&lt;=0,N(Screener!$D$13)&lt;=0),0,MAX(0,1-ABS(LOG10(N(Database!$BG362)/Screener!$D$13))/W_PEHW))</f>
        <v/>
      </c>
      <c r="J362">
        <f>IF(OR(N(Database!$S362)&lt;=0,N(Screener!$D$14)&lt;=0),0,MAX(0,1-ABS(LOG10(Database!$S362/Screener!$D$14))/0.6))</f>
        <v/>
      </c>
      <c r="K362">
        <f>IF(Database!$B362=Screener!$B$5,-999999,IF(ISNUMBER(SEARCH(","&amp;Database!$A362&amp;",",","&amp;SUBSTITUTE(Screener!$D$17," ","")&amp;",")),2000000,IF(IF(OR(Screener!$B$18="All",AND(Screener!$B$18="With A-share",(Database!$BL362="Y")),AND(Screener!$B$18="Without A-share",NOT((Database!$BL362="Y")))),1,0)=0,-999999,IF(Screener!$B$16="cornerstone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Database!BF350</f>
        <v/>
      </c>
      <c r="AF362">
        <f>Database!BL350</f>
        <v/>
      </c>
      <c r="AG362">
        <f>Database!H350</f>
        <v/>
      </c>
      <c r="AH362">
        <f>Database!BG350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IF(OR(Database!$BF363="",Screener!$D$10=""),0,IF(Database!$BF363=Screener!$D$10,1,0))</f>
        <v/>
      </c>
      <c r="F363">
        <f>IF(OR(Database!$BL363="",Screener!$D$11=""),0,IF(Database!$BL363=Screener!$D$11,1,0))</f>
        <v/>
      </c>
      <c r="G363">
        <f>IF(OR(Database!$H363="",N(Screener!$D$12)&lt;=0),0,MAX(0,1-(N(Screener!$D$12)-Database!$H363)/W_RECD))</f>
        <v/>
      </c>
      <c r="H363">
        <f>IF($U$1="",0,N(ISNUMBER(SEARCH($U$1,Database!$AC363&amp;""))))+IF($V$1="",0,N(ISNUMBER(SEARCH($V$1,Database!$AC363&amp;""))))+IF($W$1="",0,N(ISNUMBER(SEARCH($W$1,Database!$AC363&amp;""))))+IF($X$1="",0,N(ISNUMBER(SEARCH($X$1,Database!$AC363&amp;""))))+IF($Y$1="",0,N(ISNUMBER(SEARCH($Y$1,Database!$AC363&amp;""))))+IF(Screener!$B$17="",0,N(ISNUMBER(SEARCH(LOWER(Screener!$B$17),Database!$AC363&amp;""))))</f>
        <v/>
      </c>
      <c r="I363">
        <f>IF(OR(N(Database!$BG363)&lt;=0,N(Screener!$D$13)&lt;=0),0,MAX(0,1-ABS(LOG10(N(Database!$BG363)/Screener!$D$13))/W_PEHW))</f>
        <v/>
      </c>
      <c r="J363">
        <f>IF(OR(N(Database!$S363)&lt;=0,N(Screener!$D$14)&lt;=0),0,MAX(0,1-ABS(LOG10(Database!$S363/Screener!$D$14))/0.6))</f>
        <v/>
      </c>
      <c r="K363">
        <f>IF(Database!$B363=Screener!$B$5,-999999,IF(ISNUMBER(SEARCH(","&amp;Database!$A363&amp;",",","&amp;SUBSTITUTE(Screener!$D$17," ","")&amp;",")),2000000,IF(IF(OR(Screener!$B$18="All",AND(Screener!$B$18="With A-share",(Database!$BL363="Y")),AND(Screener!$B$18="Without A-share",NOT((Database!$BL363="Y")))),1,0)=0,-999999,IF(Screener!$B$16="cornerstone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Database!BF351</f>
        <v/>
      </c>
      <c r="AF363">
        <f>Database!BL351</f>
        <v/>
      </c>
      <c r="AG363">
        <f>Database!H351</f>
        <v/>
      </c>
      <c r="AH363">
        <f>Database!BG351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IF(OR(Database!$BF364="",Screener!$D$10=""),0,IF(Database!$BF364=Screener!$D$10,1,0))</f>
        <v/>
      </c>
      <c r="F364">
        <f>IF(OR(Database!$BL364="",Screener!$D$11=""),0,IF(Database!$BL364=Screener!$D$11,1,0))</f>
        <v/>
      </c>
      <c r="G364">
        <f>IF(OR(Database!$H364="",N(Screener!$D$12)&lt;=0),0,MAX(0,1-(N(Screener!$D$12)-Database!$H364)/W_RECD))</f>
        <v/>
      </c>
      <c r="H364">
        <f>IF($U$1="",0,N(ISNUMBER(SEARCH($U$1,Database!$AC364&amp;""))))+IF($V$1="",0,N(ISNUMBER(SEARCH($V$1,Database!$AC364&amp;""))))+IF($W$1="",0,N(ISNUMBER(SEARCH($W$1,Database!$AC364&amp;""))))+IF($X$1="",0,N(ISNUMBER(SEARCH($X$1,Database!$AC364&amp;""))))+IF($Y$1="",0,N(ISNUMBER(SEARCH($Y$1,Database!$AC364&amp;""))))+IF(Screener!$B$17="",0,N(ISNUMBER(SEARCH(LOWER(Screener!$B$17),Database!$AC364&amp;""))))</f>
        <v/>
      </c>
      <c r="I364">
        <f>IF(OR(N(Database!$BG364)&lt;=0,N(Screener!$D$13)&lt;=0),0,MAX(0,1-ABS(LOG10(N(Database!$BG364)/Screener!$D$13))/W_PEHW))</f>
        <v/>
      </c>
      <c r="J364">
        <f>IF(OR(N(Database!$S364)&lt;=0,N(Screener!$D$14)&lt;=0),0,MAX(0,1-ABS(LOG10(Database!$S364/Screener!$D$14))/0.6))</f>
        <v/>
      </c>
      <c r="K364">
        <f>IF(Database!$B364=Screener!$B$5,-999999,IF(ISNUMBER(SEARCH(","&amp;Database!$A364&amp;",",","&amp;SUBSTITUTE(Screener!$D$17," ","")&amp;",")),2000000,IF(IF(OR(Screener!$B$18="All",AND(Screener!$B$18="With A-share",(Database!$BL364="Y")),AND(Screener!$B$18="Without A-share",NOT((Database!$BL364="Y")))),1,0)=0,-999999,IF(Screener!$B$16="cornerstone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Database!BF352</f>
        <v/>
      </c>
      <c r="AF364">
        <f>Database!BL352</f>
        <v/>
      </c>
      <c r="AG364">
        <f>Database!H352</f>
        <v/>
      </c>
      <c r="AH364">
        <f>Database!BG352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IF(OR(Database!$BF365="",Screener!$D$10=""),0,IF(Database!$BF365=Screener!$D$10,1,0))</f>
        <v/>
      </c>
      <c r="F365">
        <f>IF(OR(Database!$BL365="",Screener!$D$11=""),0,IF(Database!$BL365=Screener!$D$11,1,0))</f>
        <v/>
      </c>
      <c r="G365">
        <f>IF(OR(Database!$H365="",N(Screener!$D$12)&lt;=0),0,MAX(0,1-(N(Screener!$D$12)-Database!$H365)/W_RECD))</f>
        <v/>
      </c>
      <c r="H365">
        <f>IF($U$1="",0,N(ISNUMBER(SEARCH($U$1,Database!$AC365&amp;""))))+IF($V$1="",0,N(ISNUMBER(SEARCH($V$1,Database!$AC365&amp;""))))+IF($W$1="",0,N(ISNUMBER(SEARCH($W$1,Database!$AC365&amp;""))))+IF($X$1="",0,N(ISNUMBER(SEARCH($X$1,Database!$AC365&amp;""))))+IF($Y$1="",0,N(ISNUMBER(SEARCH($Y$1,Database!$AC365&amp;""))))+IF(Screener!$B$17="",0,N(ISNUMBER(SEARCH(LOWER(Screener!$B$17),Database!$AC365&amp;""))))</f>
        <v/>
      </c>
      <c r="I365">
        <f>IF(OR(N(Database!$BG365)&lt;=0,N(Screener!$D$13)&lt;=0),0,MAX(0,1-ABS(LOG10(N(Database!$BG365)/Screener!$D$13))/W_PEHW))</f>
        <v/>
      </c>
      <c r="J365">
        <f>IF(OR(N(Database!$S365)&lt;=0,N(Screener!$D$14)&lt;=0),0,MAX(0,1-ABS(LOG10(Database!$S365/Screener!$D$14))/0.6))</f>
        <v/>
      </c>
      <c r="K365">
        <f>IF(Database!$B365=Screener!$B$5,-999999,IF(ISNUMBER(SEARCH(","&amp;Database!$A365&amp;",",","&amp;SUBSTITUTE(Screener!$D$17," ","")&amp;",")),2000000,IF(IF(OR(Screener!$B$18="All",AND(Screener!$B$18="With A-share",(Database!$BL365="Y")),AND(Screener!$B$18="Without A-share",NOT((Database!$BL365="Y")))),1,0)=0,-999999,IF(Screener!$B$16="cornerstone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Database!BF353</f>
        <v/>
      </c>
      <c r="AF365">
        <f>Database!BL353</f>
        <v/>
      </c>
      <c r="AG365">
        <f>Database!H353</f>
        <v/>
      </c>
      <c r="AH365">
        <f>Database!BG353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IF(OR(Database!$BF366="",Screener!$D$10=""),0,IF(Database!$BF366=Screener!$D$10,1,0))</f>
        <v/>
      </c>
      <c r="F366">
        <f>IF(OR(Database!$BL366="",Screener!$D$11=""),0,IF(Database!$BL366=Screener!$D$11,1,0))</f>
        <v/>
      </c>
      <c r="G366">
        <f>IF(OR(Database!$H366="",N(Screener!$D$12)&lt;=0),0,MAX(0,1-(N(Screener!$D$12)-Database!$H366)/W_RECD))</f>
        <v/>
      </c>
      <c r="H366">
        <f>IF($U$1="",0,N(ISNUMBER(SEARCH($U$1,Database!$AC366&amp;""))))+IF($V$1="",0,N(ISNUMBER(SEARCH($V$1,Database!$AC366&amp;""))))+IF($W$1="",0,N(ISNUMBER(SEARCH($W$1,Database!$AC366&amp;""))))+IF($X$1="",0,N(ISNUMBER(SEARCH($X$1,Database!$AC366&amp;""))))+IF($Y$1="",0,N(ISNUMBER(SEARCH($Y$1,Database!$AC366&amp;""))))+IF(Screener!$B$17="",0,N(ISNUMBER(SEARCH(LOWER(Screener!$B$17),Database!$AC366&amp;""))))</f>
        <v/>
      </c>
      <c r="I366">
        <f>IF(OR(N(Database!$BG366)&lt;=0,N(Screener!$D$13)&lt;=0),0,MAX(0,1-ABS(LOG10(N(Database!$BG366)/Screener!$D$13))/W_PEHW))</f>
        <v/>
      </c>
      <c r="J366">
        <f>IF(OR(N(Database!$S366)&lt;=0,N(Screener!$D$14)&lt;=0),0,MAX(0,1-ABS(LOG10(Database!$S366/Screener!$D$14))/0.6))</f>
        <v/>
      </c>
      <c r="K366">
        <f>IF(Database!$B366=Screener!$B$5,-999999,IF(ISNUMBER(SEARCH(","&amp;Database!$A366&amp;",",","&amp;SUBSTITUTE(Screener!$D$17," ","")&amp;",")),2000000,IF(IF(OR(Screener!$B$18="All",AND(Screener!$B$18="With A-share",(Database!$BL366="Y")),AND(Screener!$B$18="Without A-share",NOT((Database!$BL366="Y")))),1,0)=0,-999999,IF(Screener!$B$16="cornerstone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Database!BF354</f>
        <v/>
      </c>
      <c r="AF366">
        <f>Database!BL354</f>
        <v/>
      </c>
      <c r="AG366">
        <f>Database!H354</f>
        <v/>
      </c>
      <c r="AH366">
        <f>Database!BG354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IF(OR(Database!$BF367="",Screener!$D$10=""),0,IF(Database!$BF367=Screener!$D$10,1,0))</f>
        <v/>
      </c>
      <c r="F367">
        <f>IF(OR(Database!$BL367="",Screener!$D$11=""),0,IF(Database!$BL367=Screener!$D$11,1,0))</f>
        <v/>
      </c>
      <c r="G367">
        <f>IF(OR(Database!$H367="",N(Screener!$D$12)&lt;=0),0,MAX(0,1-(N(Screener!$D$12)-Database!$H367)/W_RECD))</f>
        <v/>
      </c>
      <c r="H367">
        <f>IF($U$1="",0,N(ISNUMBER(SEARCH($U$1,Database!$AC367&amp;""))))+IF($V$1="",0,N(ISNUMBER(SEARCH($V$1,Database!$AC367&amp;""))))+IF($W$1="",0,N(ISNUMBER(SEARCH($W$1,Database!$AC367&amp;""))))+IF($X$1="",0,N(ISNUMBER(SEARCH($X$1,Database!$AC367&amp;""))))+IF($Y$1="",0,N(ISNUMBER(SEARCH($Y$1,Database!$AC367&amp;""))))+IF(Screener!$B$17="",0,N(ISNUMBER(SEARCH(LOWER(Screener!$B$17),Database!$AC367&amp;""))))</f>
        <v/>
      </c>
      <c r="I367">
        <f>IF(OR(N(Database!$BG367)&lt;=0,N(Screener!$D$13)&lt;=0),0,MAX(0,1-ABS(LOG10(N(Database!$BG367)/Screener!$D$13))/W_PEHW))</f>
        <v/>
      </c>
      <c r="J367">
        <f>IF(OR(N(Database!$S367)&lt;=0,N(Screener!$D$14)&lt;=0),0,MAX(0,1-ABS(LOG10(Database!$S367/Screener!$D$14))/0.6))</f>
        <v/>
      </c>
      <c r="K367">
        <f>IF(Database!$B367=Screener!$B$5,-999999,IF(ISNUMBER(SEARCH(","&amp;Database!$A367&amp;",",","&amp;SUBSTITUTE(Screener!$D$17," ","")&amp;",")),2000000,IF(IF(OR(Screener!$B$18="All",AND(Screener!$B$18="With A-share",(Database!$BL367="Y")),AND(Screener!$B$18="Without A-share",NOT((Database!$BL367="Y")))),1,0)=0,-999999,IF(Screener!$B$16="cornerstone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Database!BF355</f>
        <v/>
      </c>
      <c r="AF367">
        <f>Database!BL355</f>
        <v/>
      </c>
      <c r="AG367">
        <f>Database!H355</f>
        <v/>
      </c>
      <c r="AH367">
        <f>Database!BG355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IF(OR(Database!$BF368="",Screener!$D$10=""),0,IF(Database!$BF368=Screener!$D$10,1,0))</f>
        <v/>
      </c>
      <c r="F368">
        <f>IF(OR(Database!$BL368="",Screener!$D$11=""),0,IF(Database!$BL368=Screener!$D$11,1,0))</f>
        <v/>
      </c>
      <c r="G368">
        <f>IF(OR(Database!$H368="",N(Screener!$D$12)&lt;=0),0,MAX(0,1-(N(Screener!$D$12)-Database!$H368)/W_RECD))</f>
        <v/>
      </c>
      <c r="H368">
        <f>IF($U$1="",0,N(ISNUMBER(SEARCH($U$1,Database!$AC368&amp;""))))+IF($V$1="",0,N(ISNUMBER(SEARCH($V$1,Database!$AC368&amp;""))))+IF($W$1="",0,N(ISNUMBER(SEARCH($W$1,Database!$AC368&amp;""))))+IF($X$1="",0,N(ISNUMBER(SEARCH($X$1,Database!$AC368&amp;""))))+IF($Y$1="",0,N(ISNUMBER(SEARCH($Y$1,Database!$AC368&amp;""))))+IF(Screener!$B$17="",0,N(ISNUMBER(SEARCH(LOWER(Screener!$B$17),Database!$AC368&amp;""))))</f>
        <v/>
      </c>
      <c r="I368">
        <f>IF(OR(N(Database!$BG368)&lt;=0,N(Screener!$D$13)&lt;=0),0,MAX(0,1-ABS(LOG10(N(Database!$BG368)/Screener!$D$13))/W_PEHW))</f>
        <v/>
      </c>
      <c r="J368">
        <f>IF(OR(N(Database!$S368)&lt;=0,N(Screener!$D$14)&lt;=0),0,MAX(0,1-ABS(LOG10(Database!$S368/Screener!$D$14))/0.6))</f>
        <v/>
      </c>
      <c r="K368">
        <f>IF(Database!$B368=Screener!$B$5,-999999,IF(ISNUMBER(SEARCH(","&amp;Database!$A368&amp;",",","&amp;SUBSTITUTE(Screener!$D$17," ","")&amp;",")),2000000,IF(IF(OR(Screener!$B$18="All",AND(Screener!$B$18="With A-share",(Database!$BL368="Y")),AND(Screener!$B$18="Without A-share",NOT((Database!$BL368="Y")))),1,0)=0,-999999,IF(Screener!$B$16="cornerstone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Database!BF356</f>
        <v/>
      </c>
      <c r="AF368">
        <f>Database!BL356</f>
        <v/>
      </c>
      <c r="AG368">
        <f>Database!H356</f>
        <v/>
      </c>
      <c r="AH368">
        <f>Database!BG356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IF(OR(Database!$BF369="",Screener!$D$10=""),0,IF(Database!$BF369=Screener!$D$10,1,0))</f>
        <v/>
      </c>
      <c r="F369">
        <f>IF(OR(Database!$BL369="",Screener!$D$11=""),0,IF(Database!$BL369=Screener!$D$11,1,0))</f>
        <v/>
      </c>
      <c r="G369">
        <f>IF(OR(Database!$H369="",N(Screener!$D$12)&lt;=0),0,MAX(0,1-(N(Screener!$D$12)-Database!$H369)/W_RECD))</f>
        <v/>
      </c>
      <c r="H369">
        <f>IF($U$1="",0,N(ISNUMBER(SEARCH($U$1,Database!$AC369&amp;""))))+IF($V$1="",0,N(ISNUMBER(SEARCH($V$1,Database!$AC369&amp;""))))+IF($W$1="",0,N(ISNUMBER(SEARCH($W$1,Database!$AC369&amp;""))))+IF($X$1="",0,N(ISNUMBER(SEARCH($X$1,Database!$AC369&amp;""))))+IF($Y$1="",0,N(ISNUMBER(SEARCH($Y$1,Database!$AC369&amp;""))))+IF(Screener!$B$17="",0,N(ISNUMBER(SEARCH(LOWER(Screener!$B$17),Database!$AC369&amp;""))))</f>
        <v/>
      </c>
      <c r="I369">
        <f>IF(OR(N(Database!$BG369)&lt;=0,N(Screener!$D$13)&lt;=0),0,MAX(0,1-ABS(LOG10(N(Database!$BG369)/Screener!$D$13))/W_PEHW))</f>
        <v/>
      </c>
      <c r="J369">
        <f>IF(OR(N(Database!$S369)&lt;=0,N(Screener!$D$14)&lt;=0),0,MAX(0,1-ABS(LOG10(Database!$S369/Screener!$D$14))/0.6))</f>
        <v/>
      </c>
      <c r="K369">
        <f>IF(Database!$B369=Screener!$B$5,-999999,IF(ISNUMBER(SEARCH(","&amp;Database!$A369&amp;",",","&amp;SUBSTITUTE(Screener!$D$17," ","")&amp;",")),2000000,IF(IF(OR(Screener!$B$18="All",AND(Screener!$B$18="With A-share",(Database!$BL369="Y")),AND(Screener!$B$18="Without A-share",NOT((Database!$BL369="Y")))),1,0)=0,-999999,IF(Screener!$B$16="cornerstone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Database!BF357</f>
        <v/>
      </c>
      <c r="AF369">
        <f>Database!BL357</f>
        <v/>
      </c>
      <c r="AG369">
        <f>Database!H357</f>
        <v/>
      </c>
      <c r="AH369">
        <f>Database!BG357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IF(OR(Database!$BF370="",Screener!$D$10=""),0,IF(Database!$BF370=Screener!$D$10,1,0))</f>
        <v/>
      </c>
      <c r="F370">
        <f>IF(OR(Database!$BL370="",Screener!$D$11=""),0,IF(Database!$BL370=Screener!$D$11,1,0))</f>
        <v/>
      </c>
      <c r="G370">
        <f>IF(OR(Database!$H370="",N(Screener!$D$12)&lt;=0),0,MAX(0,1-(N(Screener!$D$12)-Database!$H370)/W_RECD))</f>
        <v/>
      </c>
      <c r="H370">
        <f>IF($U$1="",0,N(ISNUMBER(SEARCH($U$1,Database!$AC370&amp;""))))+IF($V$1="",0,N(ISNUMBER(SEARCH($V$1,Database!$AC370&amp;""))))+IF($W$1="",0,N(ISNUMBER(SEARCH($W$1,Database!$AC370&amp;""))))+IF($X$1="",0,N(ISNUMBER(SEARCH($X$1,Database!$AC370&amp;""))))+IF($Y$1="",0,N(ISNUMBER(SEARCH($Y$1,Database!$AC370&amp;""))))+IF(Screener!$B$17="",0,N(ISNUMBER(SEARCH(LOWER(Screener!$B$17),Database!$AC370&amp;""))))</f>
        <v/>
      </c>
      <c r="I370">
        <f>IF(OR(N(Database!$BG370)&lt;=0,N(Screener!$D$13)&lt;=0),0,MAX(0,1-ABS(LOG10(N(Database!$BG370)/Screener!$D$13))/W_PEHW))</f>
        <v/>
      </c>
      <c r="J370">
        <f>IF(OR(N(Database!$S370)&lt;=0,N(Screener!$D$14)&lt;=0),0,MAX(0,1-ABS(LOG10(Database!$S370/Screener!$D$14))/0.6))</f>
        <v/>
      </c>
      <c r="K370">
        <f>IF(Database!$B370=Screener!$B$5,-999999,IF(ISNUMBER(SEARCH(","&amp;Database!$A370&amp;",",","&amp;SUBSTITUTE(Screener!$D$17," ","")&amp;",")),2000000,IF(IF(OR(Screener!$B$18="All",AND(Screener!$B$18="With A-share",(Database!$BL370="Y")),AND(Screener!$B$18="Without A-share",NOT((Database!$BL370="Y")))),1,0)=0,-999999,IF(Screener!$B$16="cornerstone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Database!BF358</f>
        <v/>
      </c>
      <c r="AF370">
        <f>Database!BL358</f>
        <v/>
      </c>
      <c r="AG370">
        <f>Database!H358</f>
        <v/>
      </c>
      <c r="AH370">
        <f>Database!BG358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IF(OR(Database!$BF371="",Screener!$D$10=""),0,IF(Database!$BF371=Screener!$D$10,1,0))</f>
        <v/>
      </c>
      <c r="F371">
        <f>IF(OR(Database!$BL371="",Screener!$D$11=""),0,IF(Database!$BL371=Screener!$D$11,1,0))</f>
        <v/>
      </c>
      <c r="G371">
        <f>IF(OR(Database!$H371="",N(Screener!$D$12)&lt;=0),0,MAX(0,1-(N(Screener!$D$12)-Database!$H371)/W_RECD))</f>
        <v/>
      </c>
      <c r="H371">
        <f>IF($U$1="",0,N(ISNUMBER(SEARCH($U$1,Database!$AC371&amp;""))))+IF($V$1="",0,N(ISNUMBER(SEARCH($V$1,Database!$AC371&amp;""))))+IF($W$1="",0,N(ISNUMBER(SEARCH($W$1,Database!$AC371&amp;""))))+IF($X$1="",0,N(ISNUMBER(SEARCH($X$1,Database!$AC371&amp;""))))+IF($Y$1="",0,N(ISNUMBER(SEARCH($Y$1,Database!$AC371&amp;""))))+IF(Screener!$B$17="",0,N(ISNUMBER(SEARCH(LOWER(Screener!$B$17),Database!$AC371&amp;""))))</f>
        <v/>
      </c>
      <c r="I371">
        <f>IF(OR(N(Database!$BG371)&lt;=0,N(Screener!$D$13)&lt;=0),0,MAX(0,1-ABS(LOG10(N(Database!$BG371)/Screener!$D$13))/W_PEHW))</f>
        <v/>
      </c>
      <c r="J371">
        <f>IF(OR(N(Database!$S371)&lt;=0,N(Screener!$D$14)&lt;=0),0,MAX(0,1-ABS(LOG10(Database!$S371/Screener!$D$14))/0.6))</f>
        <v/>
      </c>
      <c r="K371">
        <f>IF(Database!$B371=Screener!$B$5,-999999,IF(ISNUMBER(SEARCH(","&amp;Database!$A371&amp;",",","&amp;SUBSTITUTE(Screener!$D$17," ","")&amp;",")),2000000,IF(IF(OR(Screener!$B$18="All",AND(Screener!$B$18="With A-share",(Database!$BL371="Y")),AND(Screener!$B$18="Without A-share",NOT((Database!$BL371="Y")))),1,0)=0,-999999,IF(Screener!$B$16="cornerstone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Database!BF359</f>
        <v/>
      </c>
      <c r="AF371">
        <f>Database!BL359</f>
        <v/>
      </c>
      <c r="AG371">
        <f>Database!H359</f>
        <v/>
      </c>
      <c r="AH371">
        <f>Database!BG359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IF(OR(Database!$BF372="",Screener!$D$10=""),0,IF(Database!$BF372=Screener!$D$10,1,0))</f>
        <v/>
      </c>
      <c r="F372">
        <f>IF(OR(Database!$BL372="",Screener!$D$11=""),0,IF(Database!$BL372=Screener!$D$11,1,0))</f>
        <v/>
      </c>
      <c r="G372">
        <f>IF(OR(Database!$H372="",N(Screener!$D$12)&lt;=0),0,MAX(0,1-(N(Screener!$D$12)-Database!$H372)/W_RECD))</f>
        <v/>
      </c>
      <c r="H372">
        <f>IF($U$1="",0,N(ISNUMBER(SEARCH($U$1,Database!$AC372&amp;""))))+IF($V$1="",0,N(ISNUMBER(SEARCH($V$1,Database!$AC372&amp;""))))+IF($W$1="",0,N(ISNUMBER(SEARCH($W$1,Database!$AC372&amp;""))))+IF($X$1="",0,N(ISNUMBER(SEARCH($X$1,Database!$AC372&amp;""))))+IF($Y$1="",0,N(ISNUMBER(SEARCH($Y$1,Database!$AC372&amp;""))))+IF(Screener!$B$17="",0,N(ISNUMBER(SEARCH(LOWER(Screener!$B$17),Database!$AC372&amp;""))))</f>
        <v/>
      </c>
      <c r="I372">
        <f>IF(OR(N(Database!$BG372)&lt;=0,N(Screener!$D$13)&lt;=0),0,MAX(0,1-ABS(LOG10(N(Database!$BG372)/Screener!$D$13))/W_PEHW))</f>
        <v/>
      </c>
      <c r="J372">
        <f>IF(OR(N(Database!$S372)&lt;=0,N(Screener!$D$14)&lt;=0),0,MAX(0,1-ABS(LOG10(Database!$S372/Screener!$D$14))/0.6))</f>
        <v/>
      </c>
      <c r="K372">
        <f>IF(Database!$B372=Screener!$B$5,-999999,IF(ISNUMBER(SEARCH(","&amp;Database!$A372&amp;",",","&amp;SUBSTITUTE(Screener!$D$17," ","")&amp;",")),2000000,IF(IF(OR(Screener!$B$18="All",AND(Screener!$B$18="With A-share",(Database!$BL372="Y")),AND(Screener!$B$18="Without A-share",NOT((Database!$BL372="Y")))),1,0)=0,-999999,IF(Screener!$B$16="cornerstone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Database!BF360</f>
        <v/>
      </c>
      <c r="AF372">
        <f>Database!BL360</f>
        <v/>
      </c>
      <c r="AG372">
        <f>Database!H360</f>
        <v/>
      </c>
      <c r="AH372">
        <f>Database!BG360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IF(OR(Database!$BF373="",Screener!$D$10=""),0,IF(Database!$BF373=Screener!$D$10,1,0))</f>
        <v/>
      </c>
      <c r="F373">
        <f>IF(OR(Database!$BL373="",Screener!$D$11=""),0,IF(Database!$BL373=Screener!$D$11,1,0))</f>
        <v/>
      </c>
      <c r="G373">
        <f>IF(OR(Database!$H373="",N(Screener!$D$12)&lt;=0),0,MAX(0,1-(N(Screener!$D$12)-Database!$H373)/W_RECD))</f>
        <v/>
      </c>
      <c r="H373">
        <f>IF($U$1="",0,N(ISNUMBER(SEARCH($U$1,Database!$AC373&amp;""))))+IF($V$1="",0,N(ISNUMBER(SEARCH($V$1,Database!$AC373&amp;""))))+IF($W$1="",0,N(ISNUMBER(SEARCH($W$1,Database!$AC373&amp;""))))+IF($X$1="",0,N(ISNUMBER(SEARCH($X$1,Database!$AC373&amp;""))))+IF($Y$1="",0,N(ISNUMBER(SEARCH($Y$1,Database!$AC373&amp;""))))+IF(Screener!$B$17="",0,N(ISNUMBER(SEARCH(LOWER(Screener!$B$17),Database!$AC373&amp;""))))</f>
        <v/>
      </c>
      <c r="I373">
        <f>IF(OR(N(Database!$BG373)&lt;=0,N(Screener!$D$13)&lt;=0),0,MAX(0,1-ABS(LOG10(N(Database!$BG373)/Screener!$D$13))/W_PEHW))</f>
        <v/>
      </c>
      <c r="J373">
        <f>IF(OR(N(Database!$S373)&lt;=0,N(Screener!$D$14)&lt;=0),0,MAX(0,1-ABS(LOG10(Database!$S373/Screener!$D$14))/0.6))</f>
        <v/>
      </c>
      <c r="K373">
        <f>IF(Database!$B373=Screener!$B$5,-999999,IF(ISNUMBER(SEARCH(","&amp;Database!$A373&amp;",",","&amp;SUBSTITUTE(Screener!$D$17," ","")&amp;",")),2000000,IF(IF(OR(Screener!$B$18="All",AND(Screener!$B$18="With A-share",(Database!$BL373="Y")),AND(Screener!$B$18="Without A-share",NOT((Database!$BL373="Y")))),1,0)=0,-999999,IF(Screener!$B$16="cornerstone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Database!BF361</f>
        <v/>
      </c>
      <c r="AF373">
        <f>Database!BL361</f>
        <v/>
      </c>
      <c r="AG373">
        <f>Database!H361</f>
        <v/>
      </c>
      <c r="AH373">
        <f>Database!BG361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IF(OR(Database!$BF374="",Screener!$D$10=""),0,IF(Database!$BF374=Screener!$D$10,1,0))</f>
        <v/>
      </c>
      <c r="F374">
        <f>IF(OR(Database!$BL374="",Screener!$D$11=""),0,IF(Database!$BL374=Screener!$D$11,1,0))</f>
        <v/>
      </c>
      <c r="G374">
        <f>IF(OR(Database!$H374="",N(Screener!$D$12)&lt;=0),0,MAX(0,1-(N(Screener!$D$12)-Database!$H374)/W_RECD))</f>
        <v/>
      </c>
      <c r="H374">
        <f>IF($U$1="",0,N(ISNUMBER(SEARCH($U$1,Database!$AC374&amp;""))))+IF($V$1="",0,N(ISNUMBER(SEARCH($V$1,Database!$AC374&amp;""))))+IF($W$1="",0,N(ISNUMBER(SEARCH($W$1,Database!$AC374&amp;""))))+IF($X$1="",0,N(ISNUMBER(SEARCH($X$1,Database!$AC374&amp;""))))+IF($Y$1="",0,N(ISNUMBER(SEARCH($Y$1,Database!$AC374&amp;""))))+IF(Screener!$B$17="",0,N(ISNUMBER(SEARCH(LOWER(Screener!$B$17),Database!$AC374&amp;""))))</f>
        <v/>
      </c>
      <c r="I374">
        <f>IF(OR(N(Database!$BG374)&lt;=0,N(Screener!$D$13)&lt;=0),0,MAX(0,1-ABS(LOG10(N(Database!$BG374)/Screener!$D$13))/W_PEHW))</f>
        <v/>
      </c>
      <c r="J374">
        <f>IF(OR(N(Database!$S374)&lt;=0,N(Screener!$D$14)&lt;=0),0,MAX(0,1-ABS(LOG10(Database!$S374/Screener!$D$14))/0.6))</f>
        <v/>
      </c>
      <c r="K374">
        <f>IF(Database!$B374=Screener!$B$5,-999999,IF(ISNUMBER(SEARCH(","&amp;Database!$A374&amp;",",","&amp;SUBSTITUTE(Screener!$D$17," ","")&amp;",")),2000000,IF(IF(OR(Screener!$B$18="All",AND(Screener!$B$18="With A-share",(Database!$BL374="Y")),AND(Screener!$B$18="Without A-share",NOT((Database!$BL374="Y")))),1,0)=0,-999999,IF(Screener!$B$16="cornerstone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Database!BF362</f>
        <v/>
      </c>
      <c r="AF374">
        <f>Database!BL362</f>
        <v/>
      </c>
      <c r="AG374">
        <f>Database!H362</f>
        <v/>
      </c>
      <c r="AH374">
        <f>Database!BG362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IF(OR(Database!$BF375="",Screener!$D$10=""),0,IF(Database!$BF375=Screener!$D$10,1,0))</f>
        <v/>
      </c>
      <c r="F375">
        <f>IF(OR(Database!$BL375="",Screener!$D$11=""),0,IF(Database!$BL375=Screener!$D$11,1,0))</f>
        <v/>
      </c>
      <c r="G375">
        <f>IF(OR(Database!$H375="",N(Screener!$D$12)&lt;=0),0,MAX(0,1-(N(Screener!$D$12)-Database!$H375)/W_RECD))</f>
        <v/>
      </c>
      <c r="H375">
        <f>IF($U$1="",0,N(ISNUMBER(SEARCH($U$1,Database!$AC375&amp;""))))+IF($V$1="",0,N(ISNUMBER(SEARCH($V$1,Database!$AC375&amp;""))))+IF($W$1="",0,N(ISNUMBER(SEARCH($W$1,Database!$AC375&amp;""))))+IF($X$1="",0,N(ISNUMBER(SEARCH($X$1,Database!$AC375&amp;""))))+IF($Y$1="",0,N(ISNUMBER(SEARCH($Y$1,Database!$AC375&amp;""))))+IF(Screener!$B$17="",0,N(ISNUMBER(SEARCH(LOWER(Screener!$B$17),Database!$AC375&amp;""))))</f>
        <v/>
      </c>
      <c r="I375">
        <f>IF(OR(N(Database!$BG375)&lt;=0,N(Screener!$D$13)&lt;=0),0,MAX(0,1-ABS(LOG10(N(Database!$BG375)/Screener!$D$13))/W_PEHW))</f>
        <v/>
      </c>
      <c r="J375">
        <f>IF(OR(N(Database!$S375)&lt;=0,N(Screener!$D$14)&lt;=0),0,MAX(0,1-ABS(LOG10(Database!$S375/Screener!$D$14))/0.6))</f>
        <v/>
      </c>
      <c r="K375">
        <f>IF(Database!$B375=Screener!$B$5,-999999,IF(ISNUMBER(SEARCH(","&amp;Database!$A375&amp;",",","&amp;SUBSTITUTE(Screener!$D$17," ","")&amp;",")),2000000,IF(IF(OR(Screener!$B$18="All",AND(Screener!$B$18="With A-share",(Database!$BL375="Y")),AND(Screener!$B$18="Without A-share",NOT((Database!$BL375="Y")))),1,0)=0,-999999,IF(Screener!$B$16="cornerstone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Database!BF363</f>
        <v/>
      </c>
      <c r="AF375">
        <f>Database!BL363</f>
        <v/>
      </c>
      <c r="AG375">
        <f>Database!H363</f>
        <v/>
      </c>
      <c r="AH375">
        <f>Database!BG363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IF(OR(Database!$BF376="",Screener!$D$10=""),0,IF(Database!$BF376=Screener!$D$10,1,0))</f>
        <v/>
      </c>
      <c r="F376">
        <f>IF(OR(Database!$BL376="",Screener!$D$11=""),0,IF(Database!$BL376=Screener!$D$11,1,0))</f>
        <v/>
      </c>
      <c r="G376">
        <f>IF(OR(Database!$H376="",N(Screener!$D$12)&lt;=0),0,MAX(0,1-(N(Screener!$D$12)-Database!$H376)/W_RECD))</f>
        <v/>
      </c>
      <c r="H376">
        <f>IF($U$1="",0,N(ISNUMBER(SEARCH($U$1,Database!$AC376&amp;""))))+IF($V$1="",0,N(ISNUMBER(SEARCH($V$1,Database!$AC376&amp;""))))+IF($W$1="",0,N(ISNUMBER(SEARCH($W$1,Database!$AC376&amp;""))))+IF($X$1="",0,N(ISNUMBER(SEARCH($X$1,Database!$AC376&amp;""))))+IF($Y$1="",0,N(ISNUMBER(SEARCH($Y$1,Database!$AC376&amp;""))))+IF(Screener!$B$17="",0,N(ISNUMBER(SEARCH(LOWER(Screener!$B$17),Database!$AC376&amp;""))))</f>
        <v/>
      </c>
      <c r="I376">
        <f>IF(OR(N(Database!$BG376)&lt;=0,N(Screener!$D$13)&lt;=0),0,MAX(0,1-ABS(LOG10(N(Database!$BG376)/Screener!$D$13))/W_PEHW))</f>
        <v/>
      </c>
      <c r="J376">
        <f>IF(OR(N(Database!$S376)&lt;=0,N(Screener!$D$14)&lt;=0),0,MAX(0,1-ABS(LOG10(Database!$S376/Screener!$D$14))/0.6))</f>
        <v/>
      </c>
      <c r="K376">
        <f>IF(Database!$B376=Screener!$B$5,-999999,IF(ISNUMBER(SEARCH(","&amp;Database!$A376&amp;",",","&amp;SUBSTITUTE(Screener!$D$17," ","")&amp;",")),2000000,IF(IF(OR(Screener!$B$18="All",AND(Screener!$B$18="With A-share",(Database!$BL376="Y")),AND(Screener!$B$18="Without A-share",NOT((Database!$BL376="Y")))),1,0)=0,-999999,IF(Screener!$B$16="cornerstone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Database!BF364</f>
        <v/>
      </c>
      <c r="AF376">
        <f>Database!BL364</f>
        <v/>
      </c>
      <c r="AG376">
        <f>Database!H364</f>
        <v/>
      </c>
      <c r="AH376">
        <f>Database!BG364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IF(OR(Database!$BF377="",Screener!$D$10=""),0,IF(Database!$BF377=Screener!$D$10,1,0))</f>
        <v/>
      </c>
      <c r="F377">
        <f>IF(OR(Database!$BL377="",Screener!$D$11=""),0,IF(Database!$BL377=Screener!$D$11,1,0))</f>
        <v/>
      </c>
      <c r="G377">
        <f>IF(OR(Database!$H377="",N(Screener!$D$12)&lt;=0),0,MAX(0,1-(N(Screener!$D$12)-Database!$H377)/W_RECD))</f>
        <v/>
      </c>
      <c r="H377">
        <f>IF($U$1="",0,N(ISNUMBER(SEARCH($U$1,Database!$AC377&amp;""))))+IF($V$1="",0,N(ISNUMBER(SEARCH($V$1,Database!$AC377&amp;""))))+IF($W$1="",0,N(ISNUMBER(SEARCH($W$1,Database!$AC377&amp;""))))+IF($X$1="",0,N(ISNUMBER(SEARCH($X$1,Database!$AC377&amp;""))))+IF($Y$1="",0,N(ISNUMBER(SEARCH($Y$1,Database!$AC377&amp;""))))+IF(Screener!$B$17="",0,N(ISNUMBER(SEARCH(LOWER(Screener!$B$17),Database!$AC377&amp;""))))</f>
        <v/>
      </c>
      <c r="I377">
        <f>IF(OR(N(Database!$BG377)&lt;=0,N(Screener!$D$13)&lt;=0),0,MAX(0,1-ABS(LOG10(N(Database!$BG377)/Screener!$D$13))/W_PEHW))</f>
        <v/>
      </c>
      <c r="J377">
        <f>IF(OR(N(Database!$S377)&lt;=0,N(Screener!$D$14)&lt;=0),0,MAX(0,1-ABS(LOG10(Database!$S377/Screener!$D$14))/0.6))</f>
        <v/>
      </c>
      <c r="K377">
        <f>IF(Database!$B377=Screener!$B$5,-999999,IF(ISNUMBER(SEARCH(","&amp;Database!$A377&amp;",",","&amp;SUBSTITUTE(Screener!$D$17," ","")&amp;",")),2000000,IF(IF(OR(Screener!$B$18="All",AND(Screener!$B$18="With A-share",(Database!$BL377="Y")),AND(Screener!$B$18="Without A-share",NOT((Database!$BL377="Y")))),1,0)=0,-999999,IF(Screener!$B$16="cornerstone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Database!BF365</f>
        <v/>
      </c>
      <c r="AF377">
        <f>Database!BL365</f>
        <v/>
      </c>
      <c r="AG377">
        <f>Database!H365</f>
        <v/>
      </c>
      <c r="AH377">
        <f>Database!BG365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IF(OR(Database!$BF378="",Screener!$D$10=""),0,IF(Database!$BF378=Screener!$D$10,1,0))</f>
        <v/>
      </c>
      <c r="F378">
        <f>IF(OR(Database!$BL378="",Screener!$D$11=""),0,IF(Database!$BL378=Screener!$D$11,1,0))</f>
        <v/>
      </c>
      <c r="G378">
        <f>IF(OR(Database!$H378="",N(Screener!$D$12)&lt;=0),0,MAX(0,1-(N(Screener!$D$12)-Database!$H378)/W_RECD))</f>
        <v/>
      </c>
      <c r="H378">
        <f>IF($U$1="",0,N(ISNUMBER(SEARCH($U$1,Database!$AC378&amp;""))))+IF($V$1="",0,N(ISNUMBER(SEARCH($V$1,Database!$AC378&amp;""))))+IF($W$1="",0,N(ISNUMBER(SEARCH($W$1,Database!$AC378&amp;""))))+IF($X$1="",0,N(ISNUMBER(SEARCH($X$1,Database!$AC378&amp;""))))+IF($Y$1="",0,N(ISNUMBER(SEARCH($Y$1,Database!$AC378&amp;""))))+IF(Screener!$B$17="",0,N(ISNUMBER(SEARCH(LOWER(Screener!$B$17),Database!$AC378&amp;""))))</f>
        <v/>
      </c>
      <c r="I378">
        <f>IF(OR(N(Database!$BG378)&lt;=0,N(Screener!$D$13)&lt;=0),0,MAX(0,1-ABS(LOG10(N(Database!$BG378)/Screener!$D$13))/W_PEHW))</f>
        <v/>
      </c>
      <c r="J378">
        <f>IF(OR(N(Database!$S378)&lt;=0,N(Screener!$D$14)&lt;=0),0,MAX(0,1-ABS(LOG10(Database!$S378/Screener!$D$14))/0.6))</f>
        <v/>
      </c>
      <c r="K378">
        <f>IF(Database!$B378=Screener!$B$5,-999999,IF(ISNUMBER(SEARCH(","&amp;Database!$A378&amp;",",","&amp;SUBSTITUTE(Screener!$D$17," ","")&amp;",")),2000000,IF(IF(OR(Screener!$B$18="All",AND(Screener!$B$18="With A-share",(Database!$BL378="Y")),AND(Screener!$B$18="Without A-share",NOT((Database!$BL378="Y")))),1,0)=0,-999999,IF(Screener!$B$16="cornerstone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Database!BF366</f>
        <v/>
      </c>
      <c r="AF378">
        <f>Database!BL366</f>
        <v/>
      </c>
      <c r="AG378">
        <f>Database!H366</f>
        <v/>
      </c>
      <c r="AH378">
        <f>Database!BG366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IF(OR(Database!$BF379="",Screener!$D$10=""),0,IF(Database!$BF379=Screener!$D$10,1,0))</f>
        <v/>
      </c>
      <c r="F379">
        <f>IF(OR(Database!$BL379="",Screener!$D$11=""),0,IF(Database!$BL379=Screener!$D$11,1,0))</f>
        <v/>
      </c>
      <c r="G379">
        <f>IF(OR(Database!$H379="",N(Screener!$D$12)&lt;=0),0,MAX(0,1-(N(Screener!$D$12)-Database!$H379)/W_RECD))</f>
        <v/>
      </c>
      <c r="H379">
        <f>IF($U$1="",0,N(ISNUMBER(SEARCH($U$1,Database!$AC379&amp;""))))+IF($V$1="",0,N(ISNUMBER(SEARCH($V$1,Database!$AC379&amp;""))))+IF($W$1="",0,N(ISNUMBER(SEARCH($W$1,Database!$AC379&amp;""))))+IF($X$1="",0,N(ISNUMBER(SEARCH($X$1,Database!$AC379&amp;""))))+IF($Y$1="",0,N(ISNUMBER(SEARCH($Y$1,Database!$AC379&amp;""))))+IF(Screener!$B$17="",0,N(ISNUMBER(SEARCH(LOWER(Screener!$B$17),Database!$AC379&amp;""))))</f>
        <v/>
      </c>
      <c r="I379">
        <f>IF(OR(N(Database!$BG379)&lt;=0,N(Screener!$D$13)&lt;=0),0,MAX(0,1-ABS(LOG10(N(Database!$BG379)/Screener!$D$13))/W_PEHW))</f>
        <v/>
      </c>
      <c r="J379">
        <f>IF(OR(N(Database!$S379)&lt;=0,N(Screener!$D$14)&lt;=0),0,MAX(0,1-ABS(LOG10(Database!$S379/Screener!$D$14))/0.6))</f>
        <v/>
      </c>
      <c r="K379">
        <f>IF(Database!$B379=Screener!$B$5,-999999,IF(ISNUMBER(SEARCH(","&amp;Database!$A379&amp;",",","&amp;SUBSTITUTE(Screener!$D$17," ","")&amp;",")),2000000,IF(IF(OR(Screener!$B$18="All",AND(Screener!$B$18="With A-share",(Database!$BL379="Y")),AND(Screener!$B$18="Without A-share",NOT((Database!$BL379="Y")))),1,0)=0,-999999,IF(Screener!$B$16="cornerstone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Database!BF367</f>
        <v/>
      </c>
      <c r="AF379">
        <f>Database!BL367</f>
        <v/>
      </c>
      <c r="AG379">
        <f>Database!H367</f>
        <v/>
      </c>
      <c r="AH379">
        <f>Database!BG367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IF(OR(Database!$BF380="",Screener!$D$10=""),0,IF(Database!$BF380=Screener!$D$10,1,0))</f>
        <v/>
      </c>
      <c r="F380">
        <f>IF(OR(Database!$BL380="",Screener!$D$11=""),0,IF(Database!$BL380=Screener!$D$11,1,0))</f>
        <v/>
      </c>
      <c r="G380">
        <f>IF(OR(Database!$H380="",N(Screener!$D$12)&lt;=0),0,MAX(0,1-(N(Screener!$D$12)-Database!$H380)/W_RECD))</f>
        <v/>
      </c>
      <c r="H380">
        <f>IF($U$1="",0,N(ISNUMBER(SEARCH($U$1,Database!$AC380&amp;""))))+IF($V$1="",0,N(ISNUMBER(SEARCH($V$1,Database!$AC380&amp;""))))+IF($W$1="",0,N(ISNUMBER(SEARCH($W$1,Database!$AC380&amp;""))))+IF($X$1="",0,N(ISNUMBER(SEARCH($X$1,Database!$AC380&amp;""))))+IF($Y$1="",0,N(ISNUMBER(SEARCH($Y$1,Database!$AC380&amp;""))))+IF(Screener!$B$17="",0,N(ISNUMBER(SEARCH(LOWER(Screener!$B$17),Database!$AC380&amp;""))))</f>
        <v/>
      </c>
      <c r="I380">
        <f>IF(OR(N(Database!$BG380)&lt;=0,N(Screener!$D$13)&lt;=0),0,MAX(0,1-ABS(LOG10(N(Database!$BG380)/Screener!$D$13))/W_PEHW))</f>
        <v/>
      </c>
      <c r="J380">
        <f>IF(OR(N(Database!$S380)&lt;=0,N(Screener!$D$14)&lt;=0),0,MAX(0,1-ABS(LOG10(Database!$S380/Screener!$D$14))/0.6))</f>
        <v/>
      </c>
      <c r="K380">
        <f>IF(Database!$B380=Screener!$B$5,-999999,IF(ISNUMBER(SEARCH(","&amp;Database!$A380&amp;",",","&amp;SUBSTITUTE(Screener!$D$17," ","")&amp;",")),2000000,IF(IF(OR(Screener!$B$18="All",AND(Screener!$B$18="With A-share",(Database!$BL380="Y")),AND(Screener!$B$18="Without A-share",NOT((Database!$BL380="Y")))),1,0)=0,-999999,IF(Screener!$B$16="cornerstone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Database!BF368</f>
        <v/>
      </c>
      <c r="AF380">
        <f>Database!BL368</f>
        <v/>
      </c>
      <c r="AG380">
        <f>Database!H368</f>
        <v/>
      </c>
      <c r="AH380">
        <f>Database!BG368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IF(OR(Database!$BF381="",Screener!$D$10=""),0,IF(Database!$BF381=Screener!$D$10,1,0))</f>
        <v/>
      </c>
      <c r="F381">
        <f>IF(OR(Database!$BL381="",Screener!$D$11=""),0,IF(Database!$BL381=Screener!$D$11,1,0))</f>
        <v/>
      </c>
      <c r="G381">
        <f>IF(OR(Database!$H381="",N(Screener!$D$12)&lt;=0),0,MAX(0,1-(N(Screener!$D$12)-Database!$H381)/W_RECD))</f>
        <v/>
      </c>
      <c r="H381">
        <f>IF($U$1="",0,N(ISNUMBER(SEARCH($U$1,Database!$AC381&amp;""))))+IF($V$1="",0,N(ISNUMBER(SEARCH($V$1,Database!$AC381&amp;""))))+IF($W$1="",0,N(ISNUMBER(SEARCH($W$1,Database!$AC381&amp;""))))+IF($X$1="",0,N(ISNUMBER(SEARCH($X$1,Database!$AC381&amp;""))))+IF($Y$1="",0,N(ISNUMBER(SEARCH($Y$1,Database!$AC381&amp;""))))+IF(Screener!$B$17="",0,N(ISNUMBER(SEARCH(LOWER(Screener!$B$17),Database!$AC381&amp;""))))</f>
        <v/>
      </c>
      <c r="I381">
        <f>IF(OR(N(Database!$BG381)&lt;=0,N(Screener!$D$13)&lt;=0),0,MAX(0,1-ABS(LOG10(N(Database!$BG381)/Screener!$D$13))/W_PEHW))</f>
        <v/>
      </c>
      <c r="J381">
        <f>IF(OR(N(Database!$S381)&lt;=0,N(Screener!$D$14)&lt;=0),0,MAX(0,1-ABS(LOG10(Database!$S381/Screener!$D$14))/0.6))</f>
        <v/>
      </c>
      <c r="K381">
        <f>IF(Database!$B381=Screener!$B$5,-999999,IF(ISNUMBER(SEARCH(","&amp;Database!$A381&amp;",",","&amp;SUBSTITUTE(Screener!$D$17," ","")&amp;",")),2000000,IF(IF(OR(Screener!$B$18="All",AND(Screener!$B$18="With A-share",(Database!$BL381="Y")),AND(Screener!$B$18="Without A-share",NOT((Database!$BL381="Y")))),1,0)=0,-999999,IF(Screener!$B$16="cornerstone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Database!BF369</f>
        <v/>
      </c>
      <c r="AF381">
        <f>Database!BL369</f>
        <v/>
      </c>
      <c r="AG381">
        <f>Database!H369</f>
        <v/>
      </c>
      <c r="AH381">
        <f>Database!BG369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IF(OR(Database!$BF382="",Screener!$D$10=""),0,IF(Database!$BF382=Screener!$D$10,1,0))</f>
        <v/>
      </c>
      <c r="F382">
        <f>IF(OR(Database!$BL382="",Screener!$D$11=""),0,IF(Database!$BL382=Screener!$D$11,1,0))</f>
        <v/>
      </c>
      <c r="G382">
        <f>IF(OR(Database!$H382="",N(Screener!$D$12)&lt;=0),0,MAX(0,1-(N(Screener!$D$12)-Database!$H382)/W_RECD))</f>
        <v/>
      </c>
      <c r="H382">
        <f>IF($U$1="",0,N(ISNUMBER(SEARCH($U$1,Database!$AC382&amp;""))))+IF($V$1="",0,N(ISNUMBER(SEARCH($V$1,Database!$AC382&amp;""))))+IF($W$1="",0,N(ISNUMBER(SEARCH($W$1,Database!$AC382&amp;""))))+IF($X$1="",0,N(ISNUMBER(SEARCH($X$1,Database!$AC382&amp;""))))+IF($Y$1="",0,N(ISNUMBER(SEARCH($Y$1,Database!$AC382&amp;""))))+IF(Screener!$B$17="",0,N(ISNUMBER(SEARCH(LOWER(Screener!$B$17),Database!$AC382&amp;""))))</f>
        <v/>
      </c>
      <c r="I382">
        <f>IF(OR(N(Database!$BG382)&lt;=0,N(Screener!$D$13)&lt;=0),0,MAX(0,1-ABS(LOG10(N(Database!$BG382)/Screener!$D$13))/W_PEHW))</f>
        <v/>
      </c>
      <c r="J382">
        <f>IF(OR(N(Database!$S382)&lt;=0,N(Screener!$D$14)&lt;=0),0,MAX(0,1-ABS(LOG10(Database!$S382/Screener!$D$14))/0.6))</f>
        <v/>
      </c>
      <c r="K382">
        <f>IF(Database!$B382=Screener!$B$5,-999999,IF(ISNUMBER(SEARCH(","&amp;Database!$A382&amp;",",","&amp;SUBSTITUTE(Screener!$D$17," ","")&amp;",")),2000000,IF(IF(OR(Screener!$B$18="All",AND(Screener!$B$18="With A-share",(Database!$BL382="Y")),AND(Screener!$B$18="Without A-share",NOT((Database!$BL382="Y")))),1,0)=0,-999999,IF(Screener!$B$16="cornerstone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Database!BF370</f>
        <v/>
      </c>
      <c r="AF382">
        <f>Database!BL370</f>
        <v/>
      </c>
      <c r="AG382">
        <f>Database!H370</f>
        <v/>
      </c>
      <c r="AH382">
        <f>Database!BG370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IF(OR(Database!$BF383="",Screener!$D$10=""),0,IF(Database!$BF383=Screener!$D$10,1,0))</f>
        <v/>
      </c>
      <c r="F383">
        <f>IF(OR(Database!$BL383="",Screener!$D$11=""),0,IF(Database!$BL383=Screener!$D$11,1,0))</f>
        <v/>
      </c>
      <c r="G383">
        <f>IF(OR(Database!$H383="",N(Screener!$D$12)&lt;=0),0,MAX(0,1-(N(Screener!$D$12)-Database!$H383)/W_RECD))</f>
        <v/>
      </c>
      <c r="H383">
        <f>IF($U$1="",0,N(ISNUMBER(SEARCH($U$1,Database!$AC383&amp;""))))+IF($V$1="",0,N(ISNUMBER(SEARCH($V$1,Database!$AC383&amp;""))))+IF($W$1="",0,N(ISNUMBER(SEARCH($W$1,Database!$AC383&amp;""))))+IF($X$1="",0,N(ISNUMBER(SEARCH($X$1,Database!$AC383&amp;""))))+IF($Y$1="",0,N(ISNUMBER(SEARCH($Y$1,Database!$AC383&amp;""))))+IF(Screener!$B$17="",0,N(ISNUMBER(SEARCH(LOWER(Screener!$B$17),Database!$AC383&amp;""))))</f>
        <v/>
      </c>
      <c r="I383">
        <f>IF(OR(N(Database!$BG383)&lt;=0,N(Screener!$D$13)&lt;=0),0,MAX(0,1-ABS(LOG10(N(Database!$BG383)/Screener!$D$13))/W_PEHW))</f>
        <v/>
      </c>
      <c r="J383">
        <f>IF(OR(N(Database!$S383)&lt;=0,N(Screener!$D$14)&lt;=0),0,MAX(0,1-ABS(LOG10(Database!$S383/Screener!$D$14))/0.6))</f>
        <v/>
      </c>
      <c r="K383">
        <f>IF(Database!$B383=Screener!$B$5,-999999,IF(ISNUMBER(SEARCH(","&amp;Database!$A383&amp;",",","&amp;SUBSTITUTE(Screener!$D$17," ","")&amp;",")),2000000,IF(IF(OR(Screener!$B$18="All",AND(Screener!$B$18="With A-share",(Database!$BL383="Y")),AND(Screener!$B$18="Without A-share",NOT((Database!$BL383="Y")))),1,0)=0,-999999,IF(Screener!$B$16="cornerstone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Database!BF371</f>
        <v/>
      </c>
      <c r="AF383">
        <f>Database!BL371</f>
        <v/>
      </c>
      <c r="AG383">
        <f>Database!H371</f>
        <v/>
      </c>
      <c r="AH383">
        <f>Database!BG371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IF(OR(Database!$BF384="",Screener!$D$10=""),0,IF(Database!$BF384=Screener!$D$10,1,0))</f>
        <v/>
      </c>
      <c r="F384">
        <f>IF(OR(Database!$BL384="",Screener!$D$11=""),0,IF(Database!$BL384=Screener!$D$11,1,0))</f>
        <v/>
      </c>
      <c r="G384">
        <f>IF(OR(Database!$H384="",N(Screener!$D$12)&lt;=0),0,MAX(0,1-(N(Screener!$D$12)-Database!$H384)/W_RECD))</f>
        <v/>
      </c>
      <c r="H384">
        <f>IF($U$1="",0,N(ISNUMBER(SEARCH($U$1,Database!$AC384&amp;""))))+IF($V$1="",0,N(ISNUMBER(SEARCH($V$1,Database!$AC384&amp;""))))+IF($W$1="",0,N(ISNUMBER(SEARCH($W$1,Database!$AC384&amp;""))))+IF($X$1="",0,N(ISNUMBER(SEARCH($X$1,Database!$AC384&amp;""))))+IF($Y$1="",0,N(ISNUMBER(SEARCH($Y$1,Database!$AC384&amp;""))))+IF(Screener!$B$17="",0,N(ISNUMBER(SEARCH(LOWER(Screener!$B$17),Database!$AC384&amp;""))))</f>
        <v/>
      </c>
      <c r="I384">
        <f>IF(OR(N(Database!$BG384)&lt;=0,N(Screener!$D$13)&lt;=0),0,MAX(0,1-ABS(LOG10(N(Database!$BG384)/Screener!$D$13))/W_PEHW))</f>
        <v/>
      </c>
      <c r="J384">
        <f>IF(OR(N(Database!$S384)&lt;=0,N(Screener!$D$14)&lt;=0),0,MAX(0,1-ABS(LOG10(Database!$S384/Screener!$D$14))/0.6))</f>
        <v/>
      </c>
      <c r="K384">
        <f>IF(Database!$B384=Screener!$B$5,-999999,IF(ISNUMBER(SEARCH(","&amp;Database!$A384&amp;",",","&amp;SUBSTITUTE(Screener!$D$17," ","")&amp;",")),2000000,IF(IF(OR(Screener!$B$18="All",AND(Screener!$B$18="With A-share",(Database!$BL384="Y")),AND(Screener!$B$18="Without A-share",NOT((Database!$BL384="Y")))),1,0)=0,-999999,IF(Screener!$B$16="cornerstone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Database!BF372</f>
        <v/>
      </c>
      <c r="AF384">
        <f>Database!BL372</f>
        <v/>
      </c>
      <c r="AG384">
        <f>Database!H372</f>
        <v/>
      </c>
      <c r="AH384">
        <f>Database!BG372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IF(OR(Database!$BF385="",Screener!$D$10=""),0,IF(Database!$BF385=Screener!$D$10,1,0))</f>
        <v/>
      </c>
      <c r="F385">
        <f>IF(OR(Database!$BL385="",Screener!$D$11=""),0,IF(Database!$BL385=Screener!$D$11,1,0))</f>
        <v/>
      </c>
      <c r="G385">
        <f>IF(OR(Database!$H385="",N(Screener!$D$12)&lt;=0),0,MAX(0,1-(N(Screener!$D$12)-Database!$H385)/W_RECD))</f>
        <v/>
      </c>
      <c r="H385">
        <f>IF($U$1="",0,N(ISNUMBER(SEARCH($U$1,Database!$AC385&amp;""))))+IF($V$1="",0,N(ISNUMBER(SEARCH($V$1,Database!$AC385&amp;""))))+IF($W$1="",0,N(ISNUMBER(SEARCH($W$1,Database!$AC385&amp;""))))+IF($X$1="",0,N(ISNUMBER(SEARCH($X$1,Database!$AC385&amp;""))))+IF($Y$1="",0,N(ISNUMBER(SEARCH($Y$1,Database!$AC385&amp;""))))+IF(Screener!$B$17="",0,N(ISNUMBER(SEARCH(LOWER(Screener!$B$17),Database!$AC385&amp;""))))</f>
        <v/>
      </c>
      <c r="I385">
        <f>IF(OR(N(Database!$BG385)&lt;=0,N(Screener!$D$13)&lt;=0),0,MAX(0,1-ABS(LOG10(N(Database!$BG385)/Screener!$D$13))/W_PEHW))</f>
        <v/>
      </c>
      <c r="J385">
        <f>IF(OR(N(Database!$S385)&lt;=0,N(Screener!$D$14)&lt;=0),0,MAX(0,1-ABS(LOG10(Database!$S385/Screener!$D$14))/0.6))</f>
        <v/>
      </c>
      <c r="K385">
        <f>IF(Database!$B385=Screener!$B$5,-999999,IF(ISNUMBER(SEARCH(","&amp;Database!$A385&amp;",",","&amp;SUBSTITUTE(Screener!$D$17," ","")&amp;",")),2000000,IF(IF(OR(Screener!$B$18="All",AND(Screener!$B$18="With A-share",(Database!$BL385="Y")),AND(Screener!$B$18="Without A-share",NOT((Database!$BL385="Y")))),1,0)=0,-999999,IF(Screener!$B$16="cornerstone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Database!BF373</f>
        <v/>
      </c>
      <c r="AF385">
        <f>Database!BL373</f>
        <v/>
      </c>
      <c r="AG385">
        <f>Database!H373</f>
        <v/>
      </c>
      <c r="AH385">
        <f>Database!BG373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IF(OR(Database!$BF386="",Screener!$D$10=""),0,IF(Database!$BF386=Screener!$D$10,1,0))</f>
        <v/>
      </c>
      <c r="F386">
        <f>IF(OR(Database!$BL386="",Screener!$D$11=""),0,IF(Database!$BL386=Screener!$D$11,1,0))</f>
        <v/>
      </c>
      <c r="G386">
        <f>IF(OR(Database!$H386="",N(Screener!$D$12)&lt;=0),0,MAX(0,1-(N(Screener!$D$12)-Database!$H386)/W_RECD))</f>
        <v/>
      </c>
      <c r="H386">
        <f>IF($U$1="",0,N(ISNUMBER(SEARCH($U$1,Database!$AC386&amp;""))))+IF($V$1="",0,N(ISNUMBER(SEARCH($V$1,Database!$AC386&amp;""))))+IF($W$1="",0,N(ISNUMBER(SEARCH($W$1,Database!$AC386&amp;""))))+IF($X$1="",0,N(ISNUMBER(SEARCH($X$1,Database!$AC386&amp;""))))+IF($Y$1="",0,N(ISNUMBER(SEARCH($Y$1,Database!$AC386&amp;""))))+IF(Screener!$B$17="",0,N(ISNUMBER(SEARCH(LOWER(Screener!$B$17),Database!$AC386&amp;""))))</f>
        <v/>
      </c>
      <c r="I386">
        <f>IF(OR(N(Database!$BG386)&lt;=0,N(Screener!$D$13)&lt;=0),0,MAX(0,1-ABS(LOG10(N(Database!$BG386)/Screener!$D$13))/W_PEHW))</f>
        <v/>
      </c>
      <c r="J386">
        <f>IF(OR(N(Database!$S386)&lt;=0,N(Screener!$D$14)&lt;=0),0,MAX(0,1-ABS(LOG10(Database!$S386/Screener!$D$14))/0.6))</f>
        <v/>
      </c>
      <c r="K386">
        <f>IF(Database!$B386=Screener!$B$5,-999999,IF(ISNUMBER(SEARCH(","&amp;Database!$A386&amp;",",","&amp;SUBSTITUTE(Screener!$D$17," ","")&amp;",")),2000000,IF(IF(OR(Screener!$B$18="All",AND(Screener!$B$18="With A-share",(Database!$BL386="Y")),AND(Screener!$B$18="Without A-share",NOT((Database!$BL386="Y")))),1,0)=0,-999999,IF(Screener!$B$16="cornerstone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Database!BF374</f>
        <v/>
      </c>
      <c r="AF386">
        <f>Database!BL374</f>
        <v/>
      </c>
      <c r="AG386">
        <f>Database!H374</f>
        <v/>
      </c>
      <c r="AH386">
        <f>Database!BG374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IF(OR(Database!$BF387="",Screener!$D$10=""),0,IF(Database!$BF387=Screener!$D$10,1,0))</f>
        <v/>
      </c>
      <c r="F387">
        <f>IF(OR(Database!$BL387="",Screener!$D$11=""),0,IF(Database!$BL387=Screener!$D$11,1,0))</f>
        <v/>
      </c>
      <c r="G387">
        <f>IF(OR(Database!$H387="",N(Screener!$D$12)&lt;=0),0,MAX(0,1-(N(Screener!$D$12)-Database!$H387)/W_RECD))</f>
        <v/>
      </c>
      <c r="H387">
        <f>IF($U$1="",0,N(ISNUMBER(SEARCH($U$1,Database!$AC387&amp;""))))+IF($V$1="",0,N(ISNUMBER(SEARCH($V$1,Database!$AC387&amp;""))))+IF($W$1="",0,N(ISNUMBER(SEARCH($W$1,Database!$AC387&amp;""))))+IF($X$1="",0,N(ISNUMBER(SEARCH($X$1,Database!$AC387&amp;""))))+IF($Y$1="",0,N(ISNUMBER(SEARCH($Y$1,Database!$AC387&amp;""))))+IF(Screener!$B$17="",0,N(ISNUMBER(SEARCH(LOWER(Screener!$B$17),Database!$AC387&amp;""))))</f>
        <v/>
      </c>
      <c r="I387">
        <f>IF(OR(N(Database!$BG387)&lt;=0,N(Screener!$D$13)&lt;=0),0,MAX(0,1-ABS(LOG10(N(Database!$BG387)/Screener!$D$13))/W_PEHW))</f>
        <v/>
      </c>
      <c r="J387">
        <f>IF(OR(N(Database!$S387)&lt;=0,N(Screener!$D$14)&lt;=0),0,MAX(0,1-ABS(LOG10(Database!$S387/Screener!$D$14))/0.6))</f>
        <v/>
      </c>
      <c r="K387">
        <f>IF(Database!$B387=Screener!$B$5,-999999,IF(ISNUMBER(SEARCH(","&amp;Database!$A387&amp;",",","&amp;SUBSTITUTE(Screener!$D$17," ","")&amp;",")),2000000,IF(IF(OR(Screener!$B$18="All",AND(Screener!$B$18="With A-share",(Database!$BL387="Y")),AND(Screener!$B$18="Without A-share",NOT((Database!$BL387="Y")))),1,0)=0,-999999,IF(Screener!$B$16="cornerstone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Database!BF375</f>
        <v/>
      </c>
      <c r="AF387">
        <f>Database!BL375</f>
        <v/>
      </c>
      <c r="AG387">
        <f>Database!H375</f>
        <v/>
      </c>
      <c r="AH387">
        <f>Database!BG375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IF(OR(Database!$BF388="",Screener!$D$10=""),0,IF(Database!$BF388=Screener!$D$10,1,0))</f>
        <v/>
      </c>
      <c r="F388">
        <f>IF(OR(Database!$BL388="",Screener!$D$11=""),0,IF(Database!$BL388=Screener!$D$11,1,0))</f>
        <v/>
      </c>
      <c r="G388">
        <f>IF(OR(Database!$H388="",N(Screener!$D$12)&lt;=0),0,MAX(0,1-(N(Screener!$D$12)-Database!$H388)/W_RECD))</f>
        <v/>
      </c>
      <c r="H388">
        <f>IF($U$1="",0,N(ISNUMBER(SEARCH($U$1,Database!$AC388&amp;""))))+IF($V$1="",0,N(ISNUMBER(SEARCH($V$1,Database!$AC388&amp;""))))+IF($W$1="",0,N(ISNUMBER(SEARCH($W$1,Database!$AC388&amp;""))))+IF($X$1="",0,N(ISNUMBER(SEARCH($X$1,Database!$AC388&amp;""))))+IF($Y$1="",0,N(ISNUMBER(SEARCH($Y$1,Database!$AC388&amp;""))))+IF(Screener!$B$17="",0,N(ISNUMBER(SEARCH(LOWER(Screener!$B$17),Database!$AC388&amp;""))))</f>
        <v/>
      </c>
      <c r="I388">
        <f>IF(OR(N(Database!$BG388)&lt;=0,N(Screener!$D$13)&lt;=0),0,MAX(0,1-ABS(LOG10(N(Database!$BG388)/Screener!$D$13))/W_PEHW))</f>
        <v/>
      </c>
      <c r="J388">
        <f>IF(OR(N(Database!$S388)&lt;=0,N(Screener!$D$14)&lt;=0),0,MAX(0,1-ABS(LOG10(Database!$S388/Screener!$D$14))/0.6))</f>
        <v/>
      </c>
      <c r="K388">
        <f>IF(Database!$B388=Screener!$B$5,-999999,IF(ISNUMBER(SEARCH(","&amp;Database!$A388&amp;",",","&amp;SUBSTITUTE(Screener!$D$17," ","")&amp;",")),2000000,IF(IF(OR(Screener!$B$18="All",AND(Screener!$B$18="With A-share",(Database!$BL388="Y")),AND(Screener!$B$18="Without A-share",NOT((Database!$BL388="Y")))),1,0)=0,-999999,IF(Screener!$B$16="cornerstone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Database!BF376</f>
        <v/>
      </c>
      <c r="AF388">
        <f>Database!BL376</f>
        <v/>
      </c>
      <c r="AG388">
        <f>Database!H376</f>
        <v/>
      </c>
      <c r="AH388">
        <f>Database!BG376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IF(OR(Database!$BF389="",Screener!$D$10=""),0,IF(Database!$BF389=Screener!$D$10,1,0))</f>
        <v/>
      </c>
      <c r="F389">
        <f>IF(OR(Database!$BL389="",Screener!$D$11=""),0,IF(Database!$BL389=Screener!$D$11,1,0))</f>
        <v/>
      </c>
      <c r="G389">
        <f>IF(OR(Database!$H389="",N(Screener!$D$12)&lt;=0),0,MAX(0,1-(N(Screener!$D$12)-Database!$H389)/W_RECD))</f>
        <v/>
      </c>
      <c r="H389">
        <f>IF($U$1="",0,N(ISNUMBER(SEARCH($U$1,Database!$AC389&amp;""))))+IF($V$1="",0,N(ISNUMBER(SEARCH($V$1,Database!$AC389&amp;""))))+IF($W$1="",0,N(ISNUMBER(SEARCH($W$1,Database!$AC389&amp;""))))+IF($X$1="",0,N(ISNUMBER(SEARCH($X$1,Database!$AC389&amp;""))))+IF($Y$1="",0,N(ISNUMBER(SEARCH($Y$1,Database!$AC389&amp;""))))+IF(Screener!$B$17="",0,N(ISNUMBER(SEARCH(LOWER(Screener!$B$17),Database!$AC389&amp;""))))</f>
        <v/>
      </c>
      <c r="I389">
        <f>IF(OR(N(Database!$BG389)&lt;=0,N(Screener!$D$13)&lt;=0),0,MAX(0,1-ABS(LOG10(N(Database!$BG389)/Screener!$D$13))/W_PEHW))</f>
        <v/>
      </c>
      <c r="J389">
        <f>IF(OR(N(Database!$S389)&lt;=0,N(Screener!$D$14)&lt;=0),0,MAX(0,1-ABS(LOG10(Database!$S389/Screener!$D$14))/0.6))</f>
        <v/>
      </c>
      <c r="K389">
        <f>IF(Database!$B389=Screener!$B$5,-999999,IF(ISNUMBER(SEARCH(","&amp;Database!$A389&amp;",",","&amp;SUBSTITUTE(Screener!$D$17," ","")&amp;",")),2000000,IF(IF(OR(Screener!$B$18="All",AND(Screener!$B$18="With A-share",(Database!$BL389="Y")),AND(Screener!$B$18="Without A-share",NOT((Database!$BL389="Y")))),1,0)=0,-999999,IF(Screener!$B$16="cornerstone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Database!BF377</f>
        <v/>
      </c>
      <c r="AF389">
        <f>Database!BL377</f>
        <v/>
      </c>
      <c r="AG389">
        <f>Database!H377</f>
        <v/>
      </c>
      <c r="AH389">
        <f>Database!BG377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IF(OR(Database!$BF390="",Screener!$D$10=""),0,IF(Database!$BF390=Screener!$D$10,1,0))</f>
        <v/>
      </c>
      <c r="F390">
        <f>IF(OR(Database!$BL390="",Screener!$D$11=""),0,IF(Database!$BL390=Screener!$D$11,1,0))</f>
        <v/>
      </c>
      <c r="G390">
        <f>IF(OR(Database!$H390="",N(Screener!$D$12)&lt;=0),0,MAX(0,1-(N(Screener!$D$12)-Database!$H390)/W_RECD))</f>
        <v/>
      </c>
      <c r="H390">
        <f>IF($U$1="",0,N(ISNUMBER(SEARCH($U$1,Database!$AC390&amp;""))))+IF($V$1="",0,N(ISNUMBER(SEARCH($V$1,Database!$AC390&amp;""))))+IF($W$1="",0,N(ISNUMBER(SEARCH($W$1,Database!$AC390&amp;""))))+IF($X$1="",0,N(ISNUMBER(SEARCH($X$1,Database!$AC390&amp;""))))+IF($Y$1="",0,N(ISNUMBER(SEARCH($Y$1,Database!$AC390&amp;""))))+IF(Screener!$B$17="",0,N(ISNUMBER(SEARCH(LOWER(Screener!$B$17),Database!$AC390&amp;""))))</f>
        <v/>
      </c>
      <c r="I390">
        <f>IF(OR(N(Database!$BG390)&lt;=0,N(Screener!$D$13)&lt;=0),0,MAX(0,1-ABS(LOG10(N(Database!$BG390)/Screener!$D$13))/W_PEHW))</f>
        <v/>
      </c>
      <c r="J390">
        <f>IF(OR(N(Database!$S390)&lt;=0,N(Screener!$D$14)&lt;=0),0,MAX(0,1-ABS(LOG10(Database!$S390/Screener!$D$14))/0.6))</f>
        <v/>
      </c>
      <c r="K390">
        <f>IF(Database!$B390=Screener!$B$5,-999999,IF(ISNUMBER(SEARCH(","&amp;Database!$A390&amp;",",","&amp;SUBSTITUTE(Screener!$D$17," ","")&amp;",")),2000000,IF(IF(OR(Screener!$B$18="All",AND(Screener!$B$18="With A-share",(Database!$BL390="Y")),AND(Screener!$B$18="Without A-share",NOT((Database!$BL390="Y")))),1,0)=0,-999999,IF(Screener!$B$16="cornerstone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Database!BF378</f>
        <v/>
      </c>
      <c r="AF390">
        <f>Database!BL378</f>
        <v/>
      </c>
      <c r="AG390">
        <f>Database!H378</f>
        <v/>
      </c>
      <c r="AH390">
        <f>Database!BG378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IF(OR(Database!$BF391="",Screener!$D$10=""),0,IF(Database!$BF391=Screener!$D$10,1,0))</f>
        <v/>
      </c>
      <c r="F391">
        <f>IF(OR(Database!$BL391="",Screener!$D$11=""),0,IF(Database!$BL391=Screener!$D$11,1,0))</f>
        <v/>
      </c>
      <c r="G391">
        <f>IF(OR(Database!$H391="",N(Screener!$D$12)&lt;=0),0,MAX(0,1-(N(Screener!$D$12)-Database!$H391)/W_RECD))</f>
        <v/>
      </c>
      <c r="H391">
        <f>IF($U$1="",0,N(ISNUMBER(SEARCH($U$1,Database!$AC391&amp;""))))+IF($V$1="",0,N(ISNUMBER(SEARCH($V$1,Database!$AC391&amp;""))))+IF($W$1="",0,N(ISNUMBER(SEARCH($W$1,Database!$AC391&amp;""))))+IF($X$1="",0,N(ISNUMBER(SEARCH($X$1,Database!$AC391&amp;""))))+IF($Y$1="",0,N(ISNUMBER(SEARCH($Y$1,Database!$AC391&amp;""))))+IF(Screener!$B$17="",0,N(ISNUMBER(SEARCH(LOWER(Screener!$B$17),Database!$AC391&amp;""))))</f>
        <v/>
      </c>
      <c r="I391">
        <f>IF(OR(N(Database!$BG391)&lt;=0,N(Screener!$D$13)&lt;=0),0,MAX(0,1-ABS(LOG10(N(Database!$BG391)/Screener!$D$13))/W_PEHW))</f>
        <v/>
      </c>
      <c r="J391">
        <f>IF(OR(N(Database!$S391)&lt;=0,N(Screener!$D$14)&lt;=0),0,MAX(0,1-ABS(LOG10(Database!$S391/Screener!$D$14))/0.6))</f>
        <v/>
      </c>
      <c r="K391">
        <f>IF(Database!$B391=Screener!$B$5,-999999,IF(ISNUMBER(SEARCH(","&amp;Database!$A391&amp;",",","&amp;SUBSTITUTE(Screener!$D$17," ","")&amp;",")),2000000,IF(IF(OR(Screener!$B$18="All",AND(Screener!$B$18="With A-share",(Database!$BL391="Y")),AND(Screener!$B$18="Without A-share",NOT((Database!$BL391="Y")))),1,0)=0,-999999,IF(Screener!$B$16="cornerstone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Database!BF379</f>
        <v/>
      </c>
      <c r="AF391">
        <f>Database!BL379</f>
        <v/>
      </c>
      <c r="AG391">
        <f>Database!H379</f>
        <v/>
      </c>
      <c r="AH391">
        <f>Database!BG379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IF(OR(Database!$BF392="",Screener!$D$10=""),0,IF(Database!$BF392=Screener!$D$10,1,0))</f>
        <v/>
      </c>
      <c r="F392">
        <f>IF(OR(Database!$BL392="",Screener!$D$11=""),0,IF(Database!$BL392=Screener!$D$11,1,0))</f>
        <v/>
      </c>
      <c r="G392">
        <f>IF(OR(Database!$H392="",N(Screener!$D$12)&lt;=0),0,MAX(0,1-(N(Screener!$D$12)-Database!$H392)/W_RECD))</f>
        <v/>
      </c>
      <c r="H392">
        <f>IF($U$1="",0,N(ISNUMBER(SEARCH($U$1,Database!$AC392&amp;""))))+IF($V$1="",0,N(ISNUMBER(SEARCH($V$1,Database!$AC392&amp;""))))+IF($W$1="",0,N(ISNUMBER(SEARCH($W$1,Database!$AC392&amp;""))))+IF($X$1="",0,N(ISNUMBER(SEARCH($X$1,Database!$AC392&amp;""))))+IF($Y$1="",0,N(ISNUMBER(SEARCH($Y$1,Database!$AC392&amp;""))))+IF(Screener!$B$17="",0,N(ISNUMBER(SEARCH(LOWER(Screener!$B$17),Database!$AC392&amp;""))))</f>
        <v/>
      </c>
      <c r="I392">
        <f>IF(OR(N(Database!$BG392)&lt;=0,N(Screener!$D$13)&lt;=0),0,MAX(0,1-ABS(LOG10(N(Database!$BG392)/Screener!$D$13))/W_PEHW))</f>
        <v/>
      </c>
      <c r="J392">
        <f>IF(OR(N(Database!$S392)&lt;=0,N(Screener!$D$14)&lt;=0),0,MAX(0,1-ABS(LOG10(Database!$S392/Screener!$D$14))/0.6))</f>
        <v/>
      </c>
      <c r="K392">
        <f>IF(Database!$B392=Screener!$B$5,-999999,IF(ISNUMBER(SEARCH(","&amp;Database!$A392&amp;",",","&amp;SUBSTITUTE(Screener!$D$17," ","")&amp;",")),2000000,IF(IF(OR(Screener!$B$18="All",AND(Screener!$B$18="With A-share",(Database!$BL392="Y")),AND(Screener!$B$18="Without A-share",NOT((Database!$BL392="Y")))),1,0)=0,-999999,IF(Screener!$B$16="cornerstone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Database!BF380</f>
        <v/>
      </c>
      <c r="AF392">
        <f>Database!BL380</f>
        <v/>
      </c>
      <c r="AG392">
        <f>Database!H380</f>
        <v/>
      </c>
      <c r="AH392">
        <f>Database!BG380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IF(OR(Database!$BF393="",Screener!$D$10=""),0,IF(Database!$BF393=Screener!$D$10,1,0))</f>
        <v/>
      </c>
      <c r="F393">
        <f>IF(OR(Database!$BL393="",Screener!$D$11=""),0,IF(Database!$BL393=Screener!$D$11,1,0))</f>
        <v/>
      </c>
      <c r="G393">
        <f>IF(OR(Database!$H393="",N(Screener!$D$12)&lt;=0),0,MAX(0,1-(N(Screener!$D$12)-Database!$H393)/W_RECD))</f>
        <v/>
      </c>
      <c r="H393">
        <f>IF($U$1="",0,N(ISNUMBER(SEARCH($U$1,Database!$AC393&amp;""))))+IF($V$1="",0,N(ISNUMBER(SEARCH($V$1,Database!$AC393&amp;""))))+IF($W$1="",0,N(ISNUMBER(SEARCH($W$1,Database!$AC393&amp;""))))+IF($X$1="",0,N(ISNUMBER(SEARCH($X$1,Database!$AC393&amp;""))))+IF($Y$1="",0,N(ISNUMBER(SEARCH($Y$1,Database!$AC393&amp;""))))+IF(Screener!$B$17="",0,N(ISNUMBER(SEARCH(LOWER(Screener!$B$17),Database!$AC393&amp;""))))</f>
        <v/>
      </c>
      <c r="I393">
        <f>IF(OR(N(Database!$BG393)&lt;=0,N(Screener!$D$13)&lt;=0),0,MAX(0,1-ABS(LOG10(N(Database!$BG393)/Screener!$D$13))/W_PEHW))</f>
        <v/>
      </c>
      <c r="J393">
        <f>IF(OR(N(Database!$S393)&lt;=0,N(Screener!$D$14)&lt;=0),0,MAX(0,1-ABS(LOG10(Database!$S393/Screener!$D$14))/0.6))</f>
        <v/>
      </c>
      <c r="K393">
        <f>IF(Database!$B393=Screener!$B$5,-999999,IF(ISNUMBER(SEARCH(","&amp;Database!$A393&amp;",",","&amp;SUBSTITUTE(Screener!$D$17," ","")&amp;",")),2000000,IF(IF(OR(Screener!$B$18="All",AND(Screener!$B$18="With A-share",(Database!$BL393="Y")),AND(Screener!$B$18="Without A-share",NOT((Database!$BL393="Y")))),1,0)=0,-999999,IF(Screener!$B$16="cornerstone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Database!BF381</f>
        <v/>
      </c>
      <c r="AF393">
        <f>Database!BL381</f>
        <v/>
      </c>
      <c r="AG393">
        <f>Database!H381</f>
        <v/>
      </c>
      <c r="AH393">
        <f>Database!BG381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IF(OR(Database!$BF394="",Screener!$D$10=""),0,IF(Database!$BF394=Screener!$D$10,1,0))</f>
        <v/>
      </c>
      <c r="F394">
        <f>IF(OR(Database!$BL394="",Screener!$D$11=""),0,IF(Database!$BL394=Screener!$D$11,1,0))</f>
        <v/>
      </c>
      <c r="G394">
        <f>IF(OR(Database!$H394="",N(Screener!$D$12)&lt;=0),0,MAX(0,1-(N(Screener!$D$12)-Database!$H394)/W_RECD))</f>
        <v/>
      </c>
      <c r="H394">
        <f>IF($U$1="",0,N(ISNUMBER(SEARCH($U$1,Database!$AC394&amp;""))))+IF($V$1="",0,N(ISNUMBER(SEARCH($V$1,Database!$AC394&amp;""))))+IF($W$1="",0,N(ISNUMBER(SEARCH($W$1,Database!$AC394&amp;""))))+IF($X$1="",0,N(ISNUMBER(SEARCH($X$1,Database!$AC394&amp;""))))+IF($Y$1="",0,N(ISNUMBER(SEARCH($Y$1,Database!$AC394&amp;""))))+IF(Screener!$B$17="",0,N(ISNUMBER(SEARCH(LOWER(Screener!$B$17),Database!$AC394&amp;""))))</f>
        <v/>
      </c>
      <c r="I394">
        <f>IF(OR(N(Database!$BG394)&lt;=0,N(Screener!$D$13)&lt;=0),0,MAX(0,1-ABS(LOG10(N(Database!$BG394)/Screener!$D$13))/W_PEHW))</f>
        <v/>
      </c>
      <c r="J394">
        <f>IF(OR(N(Database!$S394)&lt;=0,N(Screener!$D$14)&lt;=0),0,MAX(0,1-ABS(LOG10(Database!$S394/Screener!$D$14))/0.6))</f>
        <v/>
      </c>
      <c r="K394">
        <f>IF(Database!$B394=Screener!$B$5,-999999,IF(ISNUMBER(SEARCH(","&amp;Database!$A394&amp;",",","&amp;SUBSTITUTE(Screener!$D$17," ","")&amp;",")),2000000,IF(IF(OR(Screener!$B$18="All",AND(Screener!$B$18="With A-share",(Database!$BL394="Y")),AND(Screener!$B$18="Without A-share",NOT((Database!$BL394="Y")))),1,0)=0,-999999,IF(Screener!$B$16="cornerstone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Database!BF382</f>
        <v/>
      </c>
      <c r="AF394">
        <f>Database!BL382</f>
        <v/>
      </c>
      <c r="AG394">
        <f>Database!H382</f>
        <v/>
      </c>
      <c r="AH394">
        <f>Database!BG382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IF(OR(Database!$BF395="",Screener!$D$10=""),0,IF(Database!$BF395=Screener!$D$10,1,0))</f>
        <v/>
      </c>
      <c r="F395">
        <f>IF(OR(Database!$BL395="",Screener!$D$11=""),0,IF(Database!$BL395=Screener!$D$11,1,0))</f>
        <v/>
      </c>
      <c r="G395">
        <f>IF(OR(Database!$H395="",N(Screener!$D$12)&lt;=0),0,MAX(0,1-(N(Screener!$D$12)-Database!$H395)/W_RECD))</f>
        <v/>
      </c>
      <c r="H395">
        <f>IF($U$1="",0,N(ISNUMBER(SEARCH($U$1,Database!$AC395&amp;""))))+IF($V$1="",0,N(ISNUMBER(SEARCH($V$1,Database!$AC395&amp;""))))+IF($W$1="",0,N(ISNUMBER(SEARCH($W$1,Database!$AC395&amp;""))))+IF($X$1="",0,N(ISNUMBER(SEARCH($X$1,Database!$AC395&amp;""))))+IF($Y$1="",0,N(ISNUMBER(SEARCH($Y$1,Database!$AC395&amp;""))))+IF(Screener!$B$17="",0,N(ISNUMBER(SEARCH(LOWER(Screener!$B$17),Database!$AC395&amp;""))))</f>
        <v/>
      </c>
      <c r="I395">
        <f>IF(OR(N(Database!$BG395)&lt;=0,N(Screener!$D$13)&lt;=0),0,MAX(0,1-ABS(LOG10(N(Database!$BG395)/Screener!$D$13))/W_PEHW))</f>
        <v/>
      </c>
      <c r="J395">
        <f>IF(OR(N(Database!$S395)&lt;=0,N(Screener!$D$14)&lt;=0),0,MAX(0,1-ABS(LOG10(Database!$S395/Screener!$D$14))/0.6))</f>
        <v/>
      </c>
      <c r="K395">
        <f>IF(Database!$B395=Screener!$B$5,-999999,IF(ISNUMBER(SEARCH(","&amp;Database!$A395&amp;",",","&amp;SUBSTITUTE(Screener!$D$17," ","")&amp;",")),2000000,IF(IF(OR(Screener!$B$18="All",AND(Screener!$B$18="With A-share",(Database!$BL395="Y")),AND(Screener!$B$18="Without A-share",NOT((Database!$BL395="Y")))),1,0)=0,-999999,IF(Screener!$B$16="cornerstone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Database!BF383</f>
        <v/>
      </c>
      <c r="AF395">
        <f>Database!BL383</f>
        <v/>
      </c>
      <c r="AG395">
        <f>Database!H383</f>
        <v/>
      </c>
      <c r="AH395">
        <f>Database!BG383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IF(OR(Database!$BF396="",Screener!$D$10=""),0,IF(Database!$BF396=Screener!$D$10,1,0))</f>
        <v/>
      </c>
      <c r="F396">
        <f>IF(OR(Database!$BL396="",Screener!$D$11=""),0,IF(Database!$BL396=Screener!$D$11,1,0))</f>
        <v/>
      </c>
      <c r="G396">
        <f>IF(OR(Database!$H396="",N(Screener!$D$12)&lt;=0),0,MAX(0,1-(N(Screener!$D$12)-Database!$H396)/W_RECD))</f>
        <v/>
      </c>
      <c r="H396">
        <f>IF($U$1="",0,N(ISNUMBER(SEARCH($U$1,Database!$AC396&amp;""))))+IF($V$1="",0,N(ISNUMBER(SEARCH($V$1,Database!$AC396&amp;""))))+IF($W$1="",0,N(ISNUMBER(SEARCH($W$1,Database!$AC396&amp;""))))+IF($X$1="",0,N(ISNUMBER(SEARCH($X$1,Database!$AC396&amp;""))))+IF($Y$1="",0,N(ISNUMBER(SEARCH($Y$1,Database!$AC396&amp;""))))+IF(Screener!$B$17="",0,N(ISNUMBER(SEARCH(LOWER(Screener!$B$17),Database!$AC396&amp;""))))</f>
        <v/>
      </c>
      <c r="I396">
        <f>IF(OR(N(Database!$BG396)&lt;=0,N(Screener!$D$13)&lt;=0),0,MAX(0,1-ABS(LOG10(N(Database!$BG396)/Screener!$D$13))/W_PEHW))</f>
        <v/>
      </c>
      <c r="J396">
        <f>IF(OR(N(Database!$S396)&lt;=0,N(Screener!$D$14)&lt;=0),0,MAX(0,1-ABS(LOG10(Database!$S396/Screener!$D$14))/0.6))</f>
        <v/>
      </c>
      <c r="K396">
        <f>IF(Database!$B396=Screener!$B$5,-999999,IF(ISNUMBER(SEARCH(","&amp;Database!$A396&amp;",",","&amp;SUBSTITUTE(Screener!$D$17," ","")&amp;",")),2000000,IF(IF(OR(Screener!$B$18="All",AND(Screener!$B$18="With A-share",(Database!$BL396="Y")),AND(Screener!$B$18="Without A-share",NOT((Database!$BL396="Y")))),1,0)=0,-999999,IF(Screener!$B$16="cornerstone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Database!BF384</f>
        <v/>
      </c>
      <c r="AF396">
        <f>Database!BL384</f>
        <v/>
      </c>
      <c r="AG396">
        <f>Database!H384</f>
        <v/>
      </c>
      <c r="AH396">
        <f>Database!BG384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IF(OR(Database!$BF397="",Screener!$D$10=""),0,IF(Database!$BF397=Screener!$D$10,1,0))</f>
        <v/>
      </c>
      <c r="F397">
        <f>IF(OR(Database!$BL397="",Screener!$D$11=""),0,IF(Database!$BL397=Screener!$D$11,1,0))</f>
        <v/>
      </c>
      <c r="G397">
        <f>IF(OR(Database!$H397="",N(Screener!$D$12)&lt;=0),0,MAX(0,1-(N(Screener!$D$12)-Database!$H397)/W_RECD))</f>
        <v/>
      </c>
      <c r="H397">
        <f>IF($U$1="",0,N(ISNUMBER(SEARCH($U$1,Database!$AC397&amp;""))))+IF($V$1="",0,N(ISNUMBER(SEARCH($V$1,Database!$AC397&amp;""))))+IF($W$1="",0,N(ISNUMBER(SEARCH($W$1,Database!$AC397&amp;""))))+IF($X$1="",0,N(ISNUMBER(SEARCH($X$1,Database!$AC397&amp;""))))+IF($Y$1="",0,N(ISNUMBER(SEARCH($Y$1,Database!$AC397&amp;""))))+IF(Screener!$B$17="",0,N(ISNUMBER(SEARCH(LOWER(Screener!$B$17),Database!$AC397&amp;""))))</f>
        <v/>
      </c>
      <c r="I397">
        <f>IF(OR(N(Database!$BG397)&lt;=0,N(Screener!$D$13)&lt;=0),0,MAX(0,1-ABS(LOG10(N(Database!$BG397)/Screener!$D$13))/W_PEHW))</f>
        <v/>
      </c>
      <c r="J397">
        <f>IF(OR(N(Database!$S397)&lt;=0,N(Screener!$D$14)&lt;=0),0,MAX(0,1-ABS(LOG10(Database!$S397/Screener!$D$14))/0.6))</f>
        <v/>
      </c>
      <c r="K397">
        <f>IF(Database!$B397=Screener!$B$5,-999999,IF(ISNUMBER(SEARCH(","&amp;Database!$A397&amp;",",","&amp;SUBSTITUTE(Screener!$D$17," ","")&amp;",")),2000000,IF(IF(OR(Screener!$B$18="All",AND(Screener!$B$18="With A-share",(Database!$BL397="Y")),AND(Screener!$B$18="Without A-share",NOT((Database!$BL397="Y")))),1,0)=0,-999999,IF(Screener!$B$16="cornerstone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Database!BF385</f>
        <v/>
      </c>
      <c r="AF397">
        <f>Database!BL385</f>
        <v/>
      </c>
      <c r="AG397">
        <f>Database!H385</f>
        <v/>
      </c>
      <c r="AH397">
        <f>Database!BG385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IF(OR(Database!$BF398="",Screener!$D$10=""),0,IF(Database!$BF398=Screener!$D$10,1,0))</f>
        <v/>
      </c>
      <c r="F398">
        <f>IF(OR(Database!$BL398="",Screener!$D$11=""),0,IF(Database!$BL398=Screener!$D$11,1,0))</f>
        <v/>
      </c>
      <c r="G398">
        <f>IF(OR(Database!$H398="",N(Screener!$D$12)&lt;=0),0,MAX(0,1-(N(Screener!$D$12)-Database!$H398)/W_RECD))</f>
        <v/>
      </c>
      <c r="H398">
        <f>IF($U$1="",0,N(ISNUMBER(SEARCH($U$1,Database!$AC398&amp;""))))+IF($V$1="",0,N(ISNUMBER(SEARCH($V$1,Database!$AC398&amp;""))))+IF($W$1="",0,N(ISNUMBER(SEARCH($W$1,Database!$AC398&amp;""))))+IF($X$1="",0,N(ISNUMBER(SEARCH($X$1,Database!$AC398&amp;""))))+IF($Y$1="",0,N(ISNUMBER(SEARCH($Y$1,Database!$AC398&amp;""))))+IF(Screener!$B$17="",0,N(ISNUMBER(SEARCH(LOWER(Screener!$B$17),Database!$AC398&amp;""))))</f>
        <v/>
      </c>
      <c r="I398">
        <f>IF(OR(N(Database!$BG398)&lt;=0,N(Screener!$D$13)&lt;=0),0,MAX(0,1-ABS(LOG10(N(Database!$BG398)/Screener!$D$13))/W_PEHW))</f>
        <v/>
      </c>
      <c r="J398">
        <f>IF(OR(N(Database!$S398)&lt;=0,N(Screener!$D$14)&lt;=0),0,MAX(0,1-ABS(LOG10(Database!$S398/Screener!$D$14))/0.6))</f>
        <v/>
      </c>
      <c r="K398">
        <f>IF(Database!$B398=Screener!$B$5,-999999,IF(ISNUMBER(SEARCH(","&amp;Database!$A398&amp;",",","&amp;SUBSTITUTE(Screener!$D$17," ","")&amp;",")),2000000,IF(IF(OR(Screener!$B$18="All",AND(Screener!$B$18="With A-share",(Database!$BL398="Y")),AND(Screener!$B$18="Without A-share",NOT((Database!$BL398="Y")))),1,0)=0,-999999,IF(Screener!$B$16="cornerstone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Database!BF386</f>
        <v/>
      </c>
      <c r="AF398">
        <f>Database!BL386</f>
        <v/>
      </c>
      <c r="AG398">
        <f>Database!H386</f>
        <v/>
      </c>
      <c r="AH398">
        <f>Database!BG386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IF(OR(Database!$BF399="",Screener!$D$10=""),0,IF(Database!$BF399=Screener!$D$10,1,0))</f>
        <v/>
      </c>
      <c r="F399">
        <f>IF(OR(Database!$BL399="",Screener!$D$11=""),0,IF(Database!$BL399=Screener!$D$11,1,0))</f>
        <v/>
      </c>
      <c r="G399">
        <f>IF(OR(Database!$H399="",N(Screener!$D$12)&lt;=0),0,MAX(0,1-(N(Screener!$D$12)-Database!$H399)/W_RECD))</f>
        <v/>
      </c>
      <c r="H399">
        <f>IF($U$1="",0,N(ISNUMBER(SEARCH($U$1,Database!$AC399&amp;""))))+IF($V$1="",0,N(ISNUMBER(SEARCH($V$1,Database!$AC399&amp;""))))+IF($W$1="",0,N(ISNUMBER(SEARCH($W$1,Database!$AC399&amp;""))))+IF($X$1="",0,N(ISNUMBER(SEARCH($X$1,Database!$AC399&amp;""))))+IF($Y$1="",0,N(ISNUMBER(SEARCH($Y$1,Database!$AC399&amp;""))))+IF(Screener!$B$17="",0,N(ISNUMBER(SEARCH(LOWER(Screener!$B$17),Database!$AC399&amp;""))))</f>
        <v/>
      </c>
      <c r="I399">
        <f>IF(OR(N(Database!$BG399)&lt;=0,N(Screener!$D$13)&lt;=0),0,MAX(0,1-ABS(LOG10(N(Database!$BG399)/Screener!$D$13))/W_PEHW))</f>
        <v/>
      </c>
      <c r="J399">
        <f>IF(OR(N(Database!$S399)&lt;=0,N(Screener!$D$14)&lt;=0),0,MAX(0,1-ABS(LOG10(Database!$S399/Screener!$D$14))/0.6))</f>
        <v/>
      </c>
      <c r="K399">
        <f>IF(Database!$B399=Screener!$B$5,-999999,IF(ISNUMBER(SEARCH(","&amp;Database!$A399&amp;",",","&amp;SUBSTITUTE(Screener!$D$17," ","")&amp;",")),2000000,IF(IF(OR(Screener!$B$18="All",AND(Screener!$B$18="With A-share",(Database!$BL399="Y")),AND(Screener!$B$18="Without A-share",NOT((Database!$BL399="Y")))),1,0)=0,-999999,IF(Screener!$B$16="cornerstone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Database!BF387</f>
        <v/>
      </c>
      <c r="AF399">
        <f>Database!BL387</f>
        <v/>
      </c>
      <c r="AG399">
        <f>Database!H387</f>
        <v/>
      </c>
      <c r="AH399">
        <f>Database!BG387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IF(OR(Database!$BF400="",Screener!$D$10=""),0,IF(Database!$BF400=Screener!$D$10,1,0))</f>
        <v/>
      </c>
      <c r="F400">
        <f>IF(OR(Database!$BL400="",Screener!$D$11=""),0,IF(Database!$BL400=Screener!$D$11,1,0))</f>
        <v/>
      </c>
      <c r="G400">
        <f>IF(OR(Database!$H400="",N(Screener!$D$12)&lt;=0),0,MAX(0,1-(N(Screener!$D$12)-Database!$H400)/W_RECD))</f>
        <v/>
      </c>
      <c r="H400">
        <f>IF($U$1="",0,N(ISNUMBER(SEARCH($U$1,Database!$AC400&amp;""))))+IF($V$1="",0,N(ISNUMBER(SEARCH($V$1,Database!$AC400&amp;""))))+IF($W$1="",0,N(ISNUMBER(SEARCH($W$1,Database!$AC400&amp;""))))+IF($X$1="",0,N(ISNUMBER(SEARCH($X$1,Database!$AC400&amp;""))))+IF($Y$1="",0,N(ISNUMBER(SEARCH($Y$1,Database!$AC400&amp;""))))+IF(Screener!$B$17="",0,N(ISNUMBER(SEARCH(LOWER(Screener!$B$17),Database!$AC400&amp;""))))</f>
        <v/>
      </c>
      <c r="I400">
        <f>IF(OR(N(Database!$BG400)&lt;=0,N(Screener!$D$13)&lt;=0),0,MAX(0,1-ABS(LOG10(N(Database!$BG400)/Screener!$D$13))/W_PEHW))</f>
        <v/>
      </c>
      <c r="J400">
        <f>IF(OR(N(Database!$S400)&lt;=0,N(Screener!$D$14)&lt;=0),0,MAX(0,1-ABS(LOG10(Database!$S400/Screener!$D$14))/0.6))</f>
        <v/>
      </c>
      <c r="K400">
        <f>IF(Database!$B400=Screener!$B$5,-999999,IF(ISNUMBER(SEARCH(","&amp;Database!$A400&amp;",",","&amp;SUBSTITUTE(Screener!$D$17," ","")&amp;",")),2000000,IF(IF(OR(Screener!$B$18="All",AND(Screener!$B$18="With A-share",(Database!$BL400="Y")),AND(Screener!$B$18="Without A-share",NOT((Database!$BL400="Y")))),1,0)=0,-999999,IF(Screener!$B$16="cornerstone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Database!BF388</f>
        <v/>
      </c>
      <c r="AF400">
        <f>Database!BL388</f>
        <v/>
      </c>
      <c r="AG400">
        <f>Database!H388</f>
        <v/>
      </c>
      <c r="AH400">
        <f>Database!BG388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IF(OR(Database!$BF401="",Screener!$D$10=""),0,IF(Database!$BF401=Screener!$D$10,1,0))</f>
        <v/>
      </c>
      <c r="F401">
        <f>IF(OR(Database!$BL401="",Screener!$D$11=""),0,IF(Database!$BL401=Screener!$D$11,1,0))</f>
        <v/>
      </c>
      <c r="G401">
        <f>IF(OR(Database!$H401="",N(Screener!$D$12)&lt;=0),0,MAX(0,1-(N(Screener!$D$12)-Database!$H401)/W_RECD))</f>
        <v/>
      </c>
      <c r="H401">
        <f>IF($U$1="",0,N(ISNUMBER(SEARCH($U$1,Database!$AC401&amp;""))))+IF($V$1="",0,N(ISNUMBER(SEARCH($V$1,Database!$AC401&amp;""))))+IF($W$1="",0,N(ISNUMBER(SEARCH($W$1,Database!$AC401&amp;""))))+IF($X$1="",0,N(ISNUMBER(SEARCH($X$1,Database!$AC401&amp;""))))+IF($Y$1="",0,N(ISNUMBER(SEARCH($Y$1,Database!$AC401&amp;""))))+IF(Screener!$B$17="",0,N(ISNUMBER(SEARCH(LOWER(Screener!$B$17),Database!$AC401&amp;""))))</f>
        <v/>
      </c>
      <c r="I401">
        <f>IF(OR(N(Database!$BG401)&lt;=0,N(Screener!$D$13)&lt;=0),0,MAX(0,1-ABS(LOG10(N(Database!$BG401)/Screener!$D$13))/W_PEHW))</f>
        <v/>
      </c>
      <c r="J401">
        <f>IF(OR(N(Database!$S401)&lt;=0,N(Screener!$D$14)&lt;=0),0,MAX(0,1-ABS(LOG10(Database!$S401/Screener!$D$14))/0.6))</f>
        <v/>
      </c>
      <c r="K401">
        <f>IF(Database!$B401=Screener!$B$5,-999999,IF(ISNUMBER(SEARCH(","&amp;Database!$A401&amp;",",","&amp;SUBSTITUTE(Screener!$D$17," ","")&amp;",")),2000000,IF(IF(OR(Screener!$B$18="All",AND(Screener!$B$18="With A-share",(Database!$BL401="Y")),AND(Screener!$B$18="Without A-share",NOT((Database!$BL401="Y")))),1,0)=0,-999999,IF(Screener!$B$16="cornerstone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Database!BF389</f>
        <v/>
      </c>
      <c r="AF401">
        <f>Database!BL389</f>
        <v/>
      </c>
      <c r="AG401">
        <f>Database!H389</f>
        <v/>
      </c>
      <c r="AH401">
        <f>Database!BG389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IF(OR(Database!$BF402="",Screener!$D$10=""),0,IF(Database!$BF402=Screener!$D$10,1,0))</f>
        <v/>
      </c>
      <c r="F402">
        <f>IF(OR(Database!$BL402="",Screener!$D$11=""),0,IF(Database!$BL402=Screener!$D$11,1,0))</f>
        <v/>
      </c>
      <c r="G402">
        <f>IF(OR(Database!$H402="",N(Screener!$D$12)&lt;=0),0,MAX(0,1-(N(Screener!$D$12)-Database!$H402)/W_RECD))</f>
        <v/>
      </c>
      <c r="H402">
        <f>IF($U$1="",0,N(ISNUMBER(SEARCH($U$1,Database!$AC402&amp;""))))+IF($V$1="",0,N(ISNUMBER(SEARCH($V$1,Database!$AC402&amp;""))))+IF($W$1="",0,N(ISNUMBER(SEARCH($W$1,Database!$AC402&amp;""))))+IF($X$1="",0,N(ISNUMBER(SEARCH($X$1,Database!$AC402&amp;""))))+IF($Y$1="",0,N(ISNUMBER(SEARCH($Y$1,Database!$AC402&amp;""))))+IF(Screener!$B$17="",0,N(ISNUMBER(SEARCH(LOWER(Screener!$B$17),Database!$AC402&amp;""))))</f>
        <v/>
      </c>
      <c r="I402">
        <f>IF(OR(N(Database!$BG402)&lt;=0,N(Screener!$D$13)&lt;=0),0,MAX(0,1-ABS(LOG10(N(Database!$BG402)/Screener!$D$13))/W_PEHW))</f>
        <v/>
      </c>
      <c r="J402">
        <f>IF(OR(N(Database!$S402)&lt;=0,N(Screener!$D$14)&lt;=0),0,MAX(0,1-ABS(LOG10(Database!$S402/Screener!$D$14))/0.6))</f>
        <v/>
      </c>
      <c r="K402">
        <f>IF(Database!$B402=Screener!$B$5,-999999,IF(ISNUMBER(SEARCH(","&amp;Database!$A402&amp;",",","&amp;SUBSTITUTE(Screener!$D$17," ","")&amp;",")),2000000,IF(IF(OR(Screener!$B$18="All",AND(Screener!$B$18="With A-share",(Database!$BL402="Y")),AND(Screener!$B$18="Without A-share",NOT((Database!$BL402="Y")))),1,0)=0,-999999,IF(Screener!$B$16="cornerstone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Database!BF390</f>
        <v/>
      </c>
      <c r="AF402">
        <f>Database!BL390</f>
        <v/>
      </c>
      <c r="AG402">
        <f>Database!H390</f>
        <v/>
      </c>
      <c r="AH402">
        <f>Database!BG390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IF(OR(Database!$BF403="",Screener!$D$10=""),0,IF(Database!$BF403=Screener!$D$10,1,0))</f>
        <v/>
      </c>
      <c r="F403">
        <f>IF(OR(Database!$BL403="",Screener!$D$11=""),0,IF(Database!$BL403=Screener!$D$11,1,0))</f>
        <v/>
      </c>
      <c r="G403">
        <f>IF(OR(Database!$H403="",N(Screener!$D$12)&lt;=0),0,MAX(0,1-(N(Screener!$D$12)-Database!$H403)/W_RECD))</f>
        <v/>
      </c>
      <c r="H403">
        <f>IF($U$1="",0,N(ISNUMBER(SEARCH($U$1,Database!$AC403&amp;""))))+IF($V$1="",0,N(ISNUMBER(SEARCH($V$1,Database!$AC403&amp;""))))+IF($W$1="",0,N(ISNUMBER(SEARCH($W$1,Database!$AC403&amp;""))))+IF($X$1="",0,N(ISNUMBER(SEARCH($X$1,Database!$AC403&amp;""))))+IF($Y$1="",0,N(ISNUMBER(SEARCH($Y$1,Database!$AC403&amp;""))))+IF(Screener!$B$17="",0,N(ISNUMBER(SEARCH(LOWER(Screener!$B$17),Database!$AC403&amp;""))))</f>
        <v/>
      </c>
      <c r="I403">
        <f>IF(OR(N(Database!$BG403)&lt;=0,N(Screener!$D$13)&lt;=0),0,MAX(0,1-ABS(LOG10(N(Database!$BG403)/Screener!$D$13))/W_PEHW))</f>
        <v/>
      </c>
      <c r="J403">
        <f>IF(OR(N(Database!$S403)&lt;=0,N(Screener!$D$14)&lt;=0),0,MAX(0,1-ABS(LOG10(Database!$S403/Screener!$D$14))/0.6))</f>
        <v/>
      </c>
      <c r="K403">
        <f>IF(Database!$B403=Screener!$B$5,-999999,IF(ISNUMBER(SEARCH(","&amp;Database!$A403&amp;",",","&amp;SUBSTITUTE(Screener!$D$17," ","")&amp;",")),2000000,IF(IF(OR(Screener!$B$18="All",AND(Screener!$B$18="With A-share",(Database!$BL403="Y")),AND(Screener!$B$18="Without A-share",NOT((Database!$BL403="Y")))),1,0)=0,-999999,IF(Screener!$B$16="cornerstone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Database!BF391</f>
        <v/>
      </c>
      <c r="AF403">
        <f>Database!BL391</f>
        <v/>
      </c>
      <c r="AG403">
        <f>Database!H391</f>
        <v/>
      </c>
      <c r="AH403">
        <f>Database!BG391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IF(OR(Database!$BF404="",Screener!$D$10=""),0,IF(Database!$BF404=Screener!$D$10,1,0))</f>
        <v/>
      </c>
      <c r="F404">
        <f>IF(OR(Database!$BL404="",Screener!$D$11=""),0,IF(Database!$BL404=Screener!$D$11,1,0))</f>
        <v/>
      </c>
      <c r="G404">
        <f>IF(OR(Database!$H404="",N(Screener!$D$12)&lt;=0),0,MAX(0,1-(N(Screener!$D$12)-Database!$H404)/W_RECD))</f>
        <v/>
      </c>
      <c r="H404">
        <f>IF($U$1="",0,N(ISNUMBER(SEARCH($U$1,Database!$AC404&amp;""))))+IF($V$1="",0,N(ISNUMBER(SEARCH($V$1,Database!$AC404&amp;""))))+IF($W$1="",0,N(ISNUMBER(SEARCH($W$1,Database!$AC404&amp;""))))+IF($X$1="",0,N(ISNUMBER(SEARCH($X$1,Database!$AC404&amp;""))))+IF($Y$1="",0,N(ISNUMBER(SEARCH($Y$1,Database!$AC404&amp;""))))+IF(Screener!$B$17="",0,N(ISNUMBER(SEARCH(LOWER(Screener!$B$17),Database!$AC404&amp;""))))</f>
        <v/>
      </c>
      <c r="I404">
        <f>IF(OR(N(Database!$BG404)&lt;=0,N(Screener!$D$13)&lt;=0),0,MAX(0,1-ABS(LOG10(N(Database!$BG404)/Screener!$D$13))/W_PEHW))</f>
        <v/>
      </c>
      <c r="J404">
        <f>IF(OR(N(Database!$S404)&lt;=0,N(Screener!$D$14)&lt;=0),0,MAX(0,1-ABS(LOG10(Database!$S404/Screener!$D$14))/0.6))</f>
        <v/>
      </c>
      <c r="K404">
        <f>IF(Database!$B404=Screener!$B$5,-999999,IF(ISNUMBER(SEARCH(","&amp;Database!$A404&amp;",",","&amp;SUBSTITUTE(Screener!$D$17," ","")&amp;",")),2000000,IF(IF(OR(Screener!$B$18="All",AND(Screener!$B$18="With A-share",(Database!$BL404="Y")),AND(Screener!$B$18="Without A-share",NOT((Database!$BL404="Y")))),1,0)=0,-999999,IF(Screener!$B$16="cornerstone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Database!BF392</f>
        <v/>
      </c>
      <c r="AF404">
        <f>Database!BL392</f>
        <v/>
      </c>
      <c r="AG404">
        <f>Database!H392</f>
        <v/>
      </c>
      <c r="AH404">
        <f>Database!BG392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IF(OR(Database!$BF405="",Screener!$D$10=""),0,IF(Database!$BF405=Screener!$D$10,1,0))</f>
        <v/>
      </c>
      <c r="F405">
        <f>IF(OR(Database!$BL405="",Screener!$D$11=""),0,IF(Database!$BL405=Screener!$D$11,1,0))</f>
        <v/>
      </c>
      <c r="G405">
        <f>IF(OR(Database!$H405="",N(Screener!$D$12)&lt;=0),0,MAX(0,1-(N(Screener!$D$12)-Database!$H405)/W_RECD))</f>
        <v/>
      </c>
      <c r="H405">
        <f>IF($U$1="",0,N(ISNUMBER(SEARCH($U$1,Database!$AC405&amp;""))))+IF($V$1="",0,N(ISNUMBER(SEARCH($V$1,Database!$AC405&amp;""))))+IF($W$1="",0,N(ISNUMBER(SEARCH($W$1,Database!$AC405&amp;""))))+IF($X$1="",0,N(ISNUMBER(SEARCH($X$1,Database!$AC405&amp;""))))+IF($Y$1="",0,N(ISNUMBER(SEARCH($Y$1,Database!$AC405&amp;""))))+IF(Screener!$B$17="",0,N(ISNUMBER(SEARCH(LOWER(Screener!$B$17),Database!$AC405&amp;""))))</f>
        <v/>
      </c>
      <c r="I405">
        <f>IF(OR(N(Database!$BG405)&lt;=0,N(Screener!$D$13)&lt;=0),0,MAX(0,1-ABS(LOG10(N(Database!$BG405)/Screener!$D$13))/W_PEHW))</f>
        <v/>
      </c>
      <c r="J405">
        <f>IF(OR(N(Database!$S405)&lt;=0,N(Screener!$D$14)&lt;=0),0,MAX(0,1-ABS(LOG10(Database!$S405/Screener!$D$14))/0.6))</f>
        <v/>
      </c>
      <c r="K405">
        <f>IF(Database!$B405=Screener!$B$5,-999999,IF(ISNUMBER(SEARCH(","&amp;Database!$A405&amp;",",","&amp;SUBSTITUTE(Screener!$D$17," ","")&amp;",")),2000000,IF(IF(OR(Screener!$B$18="All",AND(Screener!$B$18="With A-share",(Database!$BL405="Y")),AND(Screener!$B$18="Without A-share",NOT((Database!$BL405="Y")))),1,0)=0,-999999,IF(Screener!$B$16="cornerstone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Database!BF393</f>
        <v/>
      </c>
      <c r="AF405">
        <f>Database!BL393</f>
        <v/>
      </c>
      <c r="AG405">
        <f>Database!H393</f>
        <v/>
      </c>
      <c r="AH405">
        <f>Database!BG393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IF(OR(Database!$BF406="",Screener!$D$10=""),0,IF(Database!$BF406=Screener!$D$10,1,0))</f>
        <v/>
      </c>
      <c r="F406">
        <f>IF(OR(Database!$BL406="",Screener!$D$11=""),0,IF(Database!$BL406=Screener!$D$11,1,0))</f>
        <v/>
      </c>
      <c r="G406">
        <f>IF(OR(Database!$H406="",N(Screener!$D$12)&lt;=0),0,MAX(0,1-(N(Screener!$D$12)-Database!$H406)/W_RECD))</f>
        <v/>
      </c>
      <c r="H406">
        <f>IF($U$1="",0,N(ISNUMBER(SEARCH($U$1,Database!$AC406&amp;""))))+IF($V$1="",0,N(ISNUMBER(SEARCH($V$1,Database!$AC406&amp;""))))+IF($W$1="",0,N(ISNUMBER(SEARCH($W$1,Database!$AC406&amp;""))))+IF($X$1="",0,N(ISNUMBER(SEARCH($X$1,Database!$AC406&amp;""))))+IF($Y$1="",0,N(ISNUMBER(SEARCH($Y$1,Database!$AC406&amp;""))))+IF(Screener!$B$17="",0,N(ISNUMBER(SEARCH(LOWER(Screener!$B$17),Database!$AC406&amp;""))))</f>
        <v/>
      </c>
      <c r="I406">
        <f>IF(OR(N(Database!$BG406)&lt;=0,N(Screener!$D$13)&lt;=0),0,MAX(0,1-ABS(LOG10(N(Database!$BG406)/Screener!$D$13))/W_PEHW))</f>
        <v/>
      </c>
      <c r="J406">
        <f>IF(OR(N(Database!$S406)&lt;=0,N(Screener!$D$14)&lt;=0),0,MAX(0,1-ABS(LOG10(Database!$S406/Screener!$D$14))/0.6))</f>
        <v/>
      </c>
      <c r="K406">
        <f>IF(Database!$B406=Screener!$B$5,-999999,IF(ISNUMBER(SEARCH(","&amp;Database!$A406&amp;",",","&amp;SUBSTITUTE(Screener!$D$17," ","")&amp;",")),2000000,IF(IF(OR(Screener!$B$18="All",AND(Screener!$B$18="With A-share",(Database!$BL406="Y")),AND(Screener!$B$18="Without A-share",NOT((Database!$BL406="Y")))),1,0)=0,-999999,IF(Screener!$B$16="cornerstone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Database!BF394</f>
        <v/>
      </c>
      <c r="AF406">
        <f>Database!BL394</f>
        <v/>
      </c>
      <c r="AG406">
        <f>Database!H394</f>
        <v/>
      </c>
      <c r="AH406">
        <f>Database!BG394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IF(OR(Database!$BF407="",Screener!$D$10=""),0,IF(Database!$BF407=Screener!$D$10,1,0))</f>
        <v/>
      </c>
      <c r="F407">
        <f>IF(OR(Database!$BL407="",Screener!$D$11=""),0,IF(Database!$BL407=Screener!$D$11,1,0))</f>
        <v/>
      </c>
      <c r="G407">
        <f>IF(OR(Database!$H407="",N(Screener!$D$12)&lt;=0),0,MAX(0,1-(N(Screener!$D$12)-Database!$H407)/W_RECD))</f>
        <v/>
      </c>
      <c r="H407">
        <f>IF($U$1="",0,N(ISNUMBER(SEARCH($U$1,Database!$AC407&amp;""))))+IF($V$1="",0,N(ISNUMBER(SEARCH($V$1,Database!$AC407&amp;""))))+IF($W$1="",0,N(ISNUMBER(SEARCH($W$1,Database!$AC407&amp;""))))+IF($X$1="",0,N(ISNUMBER(SEARCH($X$1,Database!$AC407&amp;""))))+IF($Y$1="",0,N(ISNUMBER(SEARCH($Y$1,Database!$AC407&amp;""))))+IF(Screener!$B$17="",0,N(ISNUMBER(SEARCH(LOWER(Screener!$B$17),Database!$AC407&amp;""))))</f>
        <v/>
      </c>
      <c r="I407">
        <f>IF(OR(N(Database!$BG407)&lt;=0,N(Screener!$D$13)&lt;=0),0,MAX(0,1-ABS(LOG10(N(Database!$BG407)/Screener!$D$13))/W_PEHW))</f>
        <v/>
      </c>
      <c r="J407">
        <f>IF(OR(N(Database!$S407)&lt;=0,N(Screener!$D$14)&lt;=0),0,MAX(0,1-ABS(LOG10(Database!$S407/Screener!$D$14))/0.6))</f>
        <v/>
      </c>
      <c r="K407">
        <f>IF(Database!$B407=Screener!$B$5,-999999,IF(ISNUMBER(SEARCH(","&amp;Database!$A407&amp;",",","&amp;SUBSTITUTE(Screener!$D$17," ","")&amp;",")),2000000,IF(IF(OR(Screener!$B$18="All",AND(Screener!$B$18="With A-share",(Database!$BL407="Y")),AND(Screener!$B$18="Without A-share",NOT((Database!$BL407="Y")))),1,0)=0,-999999,IF(Screener!$B$16="cornerstone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Database!BF395</f>
        <v/>
      </c>
      <c r="AF407">
        <f>Database!BL395</f>
        <v/>
      </c>
      <c r="AG407">
        <f>Database!H395</f>
        <v/>
      </c>
      <c r="AH407">
        <f>Database!BG395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IF(OR(Database!$BF408="",Screener!$D$10=""),0,IF(Database!$BF408=Screener!$D$10,1,0))</f>
        <v/>
      </c>
      <c r="F408">
        <f>IF(OR(Database!$BL408="",Screener!$D$11=""),0,IF(Database!$BL408=Screener!$D$11,1,0))</f>
        <v/>
      </c>
      <c r="G408">
        <f>IF(OR(Database!$H408="",N(Screener!$D$12)&lt;=0),0,MAX(0,1-(N(Screener!$D$12)-Database!$H408)/W_RECD))</f>
        <v/>
      </c>
      <c r="H408">
        <f>IF($U$1="",0,N(ISNUMBER(SEARCH($U$1,Database!$AC408&amp;""))))+IF($V$1="",0,N(ISNUMBER(SEARCH($V$1,Database!$AC408&amp;""))))+IF($W$1="",0,N(ISNUMBER(SEARCH($W$1,Database!$AC408&amp;""))))+IF($X$1="",0,N(ISNUMBER(SEARCH($X$1,Database!$AC408&amp;""))))+IF($Y$1="",0,N(ISNUMBER(SEARCH($Y$1,Database!$AC408&amp;""))))+IF(Screener!$B$17="",0,N(ISNUMBER(SEARCH(LOWER(Screener!$B$17),Database!$AC408&amp;""))))</f>
        <v/>
      </c>
      <c r="I408">
        <f>IF(OR(N(Database!$BG408)&lt;=0,N(Screener!$D$13)&lt;=0),0,MAX(0,1-ABS(LOG10(N(Database!$BG408)/Screener!$D$13))/W_PEHW))</f>
        <v/>
      </c>
      <c r="J408">
        <f>IF(OR(N(Database!$S408)&lt;=0,N(Screener!$D$14)&lt;=0),0,MAX(0,1-ABS(LOG10(Database!$S408/Screener!$D$14))/0.6))</f>
        <v/>
      </c>
      <c r="K408">
        <f>IF(Database!$B408=Screener!$B$5,-999999,IF(ISNUMBER(SEARCH(","&amp;Database!$A408&amp;",",","&amp;SUBSTITUTE(Screener!$D$17," ","")&amp;",")),2000000,IF(IF(OR(Screener!$B$18="All",AND(Screener!$B$18="With A-share",(Database!$BL408="Y")),AND(Screener!$B$18="Without A-share",NOT((Database!$BL408="Y")))),1,0)=0,-999999,IF(Screener!$B$16="cornerstone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Database!BF396</f>
        <v/>
      </c>
      <c r="AF408">
        <f>Database!BL396</f>
        <v/>
      </c>
      <c r="AG408">
        <f>Database!H396</f>
        <v/>
      </c>
      <c r="AH408">
        <f>Database!BG396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IF(OR(Database!$BF409="",Screener!$D$10=""),0,IF(Database!$BF409=Screener!$D$10,1,0))</f>
        <v/>
      </c>
      <c r="F409">
        <f>IF(OR(Database!$BL409="",Screener!$D$11=""),0,IF(Database!$BL409=Screener!$D$11,1,0))</f>
        <v/>
      </c>
      <c r="G409">
        <f>IF(OR(Database!$H409="",N(Screener!$D$12)&lt;=0),0,MAX(0,1-(N(Screener!$D$12)-Database!$H409)/W_RECD))</f>
        <v/>
      </c>
      <c r="H409">
        <f>IF($U$1="",0,N(ISNUMBER(SEARCH($U$1,Database!$AC409&amp;""))))+IF($V$1="",0,N(ISNUMBER(SEARCH($V$1,Database!$AC409&amp;""))))+IF($W$1="",0,N(ISNUMBER(SEARCH($W$1,Database!$AC409&amp;""))))+IF($X$1="",0,N(ISNUMBER(SEARCH($X$1,Database!$AC409&amp;""))))+IF($Y$1="",0,N(ISNUMBER(SEARCH($Y$1,Database!$AC409&amp;""))))+IF(Screener!$B$17="",0,N(ISNUMBER(SEARCH(LOWER(Screener!$B$17),Database!$AC409&amp;""))))</f>
        <v/>
      </c>
      <c r="I409">
        <f>IF(OR(N(Database!$BG409)&lt;=0,N(Screener!$D$13)&lt;=0),0,MAX(0,1-ABS(LOG10(N(Database!$BG409)/Screener!$D$13))/W_PEHW))</f>
        <v/>
      </c>
      <c r="J409">
        <f>IF(OR(N(Database!$S409)&lt;=0,N(Screener!$D$14)&lt;=0),0,MAX(0,1-ABS(LOG10(Database!$S409/Screener!$D$14))/0.6))</f>
        <v/>
      </c>
      <c r="K409">
        <f>IF(Database!$B409=Screener!$B$5,-999999,IF(ISNUMBER(SEARCH(","&amp;Database!$A409&amp;",",","&amp;SUBSTITUTE(Screener!$D$17," ","")&amp;",")),2000000,IF(IF(OR(Screener!$B$18="All",AND(Screener!$B$18="With A-share",(Database!$BL409="Y")),AND(Screener!$B$18="Without A-share",NOT((Database!$BL409="Y")))),1,0)=0,-999999,IF(Screener!$B$16="cornerstone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Database!BF397</f>
        <v/>
      </c>
      <c r="AF409">
        <f>Database!BL397</f>
        <v/>
      </c>
      <c r="AG409">
        <f>Database!H397</f>
        <v/>
      </c>
      <c r="AH409">
        <f>Database!BG397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IF(OR(Database!$BF410="",Screener!$D$10=""),0,IF(Database!$BF410=Screener!$D$10,1,0))</f>
        <v/>
      </c>
      <c r="F410">
        <f>IF(OR(Database!$BL410="",Screener!$D$11=""),0,IF(Database!$BL410=Screener!$D$11,1,0))</f>
        <v/>
      </c>
      <c r="G410">
        <f>IF(OR(Database!$H410="",N(Screener!$D$12)&lt;=0),0,MAX(0,1-(N(Screener!$D$12)-Database!$H410)/W_RECD))</f>
        <v/>
      </c>
      <c r="H410">
        <f>IF($U$1="",0,N(ISNUMBER(SEARCH($U$1,Database!$AC410&amp;""))))+IF($V$1="",0,N(ISNUMBER(SEARCH($V$1,Database!$AC410&amp;""))))+IF($W$1="",0,N(ISNUMBER(SEARCH($W$1,Database!$AC410&amp;""))))+IF($X$1="",0,N(ISNUMBER(SEARCH($X$1,Database!$AC410&amp;""))))+IF($Y$1="",0,N(ISNUMBER(SEARCH($Y$1,Database!$AC410&amp;""))))+IF(Screener!$B$17="",0,N(ISNUMBER(SEARCH(LOWER(Screener!$B$17),Database!$AC410&amp;""))))</f>
        <v/>
      </c>
      <c r="I410">
        <f>IF(OR(N(Database!$BG410)&lt;=0,N(Screener!$D$13)&lt;=0),0,MAX(0,1-ABS(LOG10(N(Database!$BG410)/Screener!$D$13))/W_PEHW))</f>
        <v/>
      </c>
      <c r="J410">
        <f>IF(OR(N(Database!$S410)&lt;=0,N(Screener!$D$14)&lt;=0),0,MAX(0,1-ABS(LOG10(Database!$S410/Screener!$D$14))/0.6))</f>
        <v/>
      </c>
      <c r="K410">
        <f>IF(Database!$B410=Screener!$B$5,-999999,IF(ISNUMBER(SEARCH(","&amp;Database!$A410&amp;",",","&amp;SUBSTITUTE(Screener!$D$17," ","")&amp;",")),2000000,IF(IF(OR(Screener!$B$18="All",AND(Screener!$B$18="With A-share",(Database!$BL410="Y")),AND(Screener!$B$18="Without A-share",NOT((Database!$BL410="Y")))),1,0)=0,-999999,IF(Screener!$B$16="cornerstone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Database!BF398</f>
        <v/>
      </c>
      <c r="AF410">
        <f>Database!BL398</f>
        <v/>
      </c>
      <c r="AG410">
        <f>Database!H398</f>
        <v/>
      </c>
      <c r="AH410">
        <f>Database!BG398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IF(OR(Database!$BF411="",Screener!$D$10=""),0,IF(Database!$BF411=Screener!$D$10,1,0))</f>
        <v/>
      </c>
      <c r="F411">
        <f>IF(OR(Database!$BL411="",Screener!$D$11=""),0,IF(Database!$BL411=Screener!$D$11,1,0))</f>
        <v/>
      </c>
      <c r="G411">
        <f>IF(OR(Database!$H411="",N(Screener!$D$12)&lt;=0),0,MAX(0,1-(N(Screener!$D$12)-Database!$H411)/W_RECD))</f>
        <v/>
      </c>
      <c r="H411">
        <f>IF($U$1="",0,N(ISNUMBER(SEARCH($U$1,Database!$AC411&amp;""))))+IF($V$1="",0,N(ISNUMBER(SEARCH($V$1,Database!$AC411&amp;""))))+IF($W$1="",0,N(ISNUMBER(SEARCH($W$1,Database!$AC411&amp;""))))+IF($X$1="",0,N(ISNUMBER(SEARCH($X$1,Database!$AC411&amp;""))))+IF($Y$1="",0,N(ISNUMBER(SEARCH($Y$1,Database!$AC411&amp;""))))+IF(Screener!$B$17="",0,N(ISNUMBER(SEARCH(LOWER(Screener!$B$17),Database!$AC411&amp;""))))</f>
        <v/>
      </c>
      <c r="I411">
        <f>IF(OR(N(Database!$BG411)&lt;=0,N(Screener!$D$13)&lt;=0),0,MAX(0,1-ABS(LOG10(N(Database!$BG411)/Screener!$D$13))/W_PEHW))</f>
        <v/>
      </c>
      <c r="J411">
        <f>IF(OR(N(Database!$S411)&lt;=0,N(Screener!$D$14)&lt;=0),0,MAX(0,1-ABS(LOG10(Database!$S411/Screener!$D$14))/0.6))</f>
        <v/>
      </c>
      <c r="K411">
        <f>IF(Database!$B411=Screener!$B$5,-999999,IF(ISNUMBER(SEARCH(","&amp;Database!$A411&amp;",",","&amp;SUBSTITUTE(Screener!$D$17," ","")&amp;",")),2000000,IF(IF(OR(Screener!$B$18="All",AND(Screener!$B$18="With A-share",(Database!$BL411="Y")),AND(Screener!$B$18="Without A-share",NOT((Database!$BL411="Y")))),1,0)=0,-999999,IF(Screener!$B$16="cornerstone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Database!BF399</f>
        <v/>
      </c>
      <c r="AF411">
        <f>Database!BL399</f>
        <v/>
      </c>
      <c r="AG411">
        <f>Database!H399</f>
        <v/>
      </c>
      <c r="AH411">
        <f>Database!BG399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IF(OR(Database!$BF412="",Screener!$D$10=""),0,IF(Database!$BF412=Screener!$D$10,1,0))</f>
        <v/>
      </c>
      <c r="F412">
        <f>IF(OR(Database!$BL412="",Screener!$D$11=""),0,IF(Database!$BL412=Screener!$D$11,1,0))</f>
        <v/>
      </c>
      <c r="G412">
        <f>IF(OR(Database!$H412="",N(Screener!$D$12)&lt;=0),0,MAX(0,1-(N(Screener!$D$12)-Database!$H412)/W_RECD))</f>
        <v/>
      </c>
      <c r="H412">
        <f>IF($U$1="",0,N(ISNUMBER(SEARCH($U$1,Database!$AC412&amp;""))))+IF($V$1="",0,N(ISNUMBER(SEARCH($V$1,Database!$AC412&amp;""))))+IF($W$1="",0,N(ISNUMBER(SEARCH($W$1,Database!$AC412&amp;""))))+IF($X$1="",0,N(ISNUMBER(SEARCH($X$1,Database!$AC412&amp;""))))+IF($Y$1="",0,N(ISNUMBER(SEARCH($Y$1,Database!$AC412&amp;""))))+IF(Screener!$B$17="",0,N(ISNUMBER(SEARCH(LOWER(Screener!$B$17),Database!$AC412&amp;""))))</f>
        <v/>
      </c>
      <c r="I412">
        <f>IF(OR(N(Database!$BG412)&lt;=0,N(Screener!$D$13)&lt;=0),0,MAX(0,1-ABS(LOG10(N(Database!$BG412)/Screener!$D$13))/W_PEHW))</f>
        <v/>
      </c>
      <c r="J412">
        <f>IF(OR(N(Database!$S412)&lt;=0,N(Screener!$D$14)&lt;=0),0,MAX(0,1-ABS(LOG10(Database!$S412/Screener!$D$14))/0.6))</f>
        <v/>
      </c>
      <c r="K412">
        <f>IF(Database!$B412=Screener!$B$5,-999999,IF(ISNUMBER(SEARCH(","&amp;Database!$A412&amp;",",","&amp;SUBSTITUTE(Screener!$D$17," ","")&amp;",")),2000000,IF(IF(OR(Screener!$B$18="All",AND(Screener!$B$18="With A-share",(Database!$BL412="Y")),AND(Screener!$B$18="Without A-share",NOT((Database!$BL412="Y")))),1,0)=0,-999999,IF(Screener!$B$16="cornerstone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Database!BF400</f>
        <v/>
      </c>
      <c r="AF412">
        <f>Database!BL400</f>
        <v/>
      </c>
      <c r="AG412">
        <f>Database!H400</f>
        <v/>
      </c>
      <c r="AH412">
        <f>Database!BG400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IF(OR(Database!$BF413="",Screener!$D$10=""),0,IF(Database!$BF413=Screener!$D$10,1,0))</f>
        <v/>
      </c>
      <c r="F413">
        <f>IF(OR(Database!$BL413="",Screener!$D$11=""),0,IF(Database!$BL413=Screener!$D$11,1,0))</f>
        <v/>
      </c>
      <c r="G413">
        <f>IF(OR(Database!$H413="",N(Screener!$D$12)&lt;=0),0,MAX(0,1-(N(Screener!$D$12)-Database!$H413)/W_RECD))</f>
        <v/>
      </c>
      <c r="H413">
        <f>IF($U$1="",0,N(ISNUMBER(SEARCH($U$1,Database!$AC413&amp;""))))+IF($V$1="",0,N(ISNUMBER(SEARCH($V$1,Database!$AC413&amp;""))))+IF($W$1="",0,N(ISNUMBER(SEARCH($W$1,Database!$AC413&amp;""))))+IF($X$1="",0,N(ISNUMBER(SEARCH($X$1,Database!$AC413&amp;""))))+IF($Y$1="",0,N(ISNUMBER(SEARCH($Y$1,Database!$AC413&amp;""))))+IF(Screener!$B$17="",0,N(ISNUMBER(SEARCH(LOWER(Screener!$B$17),Database!$AC413&amp;""))))</f>
        <v/>
      </c>
      <c r="I413">
        <f>IF(OR(N(Database!$BG413)&lt;=0,N(Screener!$D$13)&lt;=0),0,MAX(0,1-ABS(LOG10(N(Database!$BG413)/Screener!$D$13))/W_PEHW))</f>
        <v/>
      </c>
      <c r="J413">
        <f>IF(OR(N(Database!$S413)&lt;=0,N(Screener!$D$14)&lt;=0),0,MAX(0,1-ABS(LOG10(Database!$S413/Screener!$D$14))/0.6))</f>
        <v/>
      </c>
      <c r="K413">
        <f>IF(Database!$B413=Screener!$B$5,-999999,IF(ISNUMBER(SEARCH(","&amp;Database!$A413&amp;",",","&amp;SUBSTITUTE(Screener!$D$17," ","")&amp;",")),2000000,IF(IF(OR(Screener!$B$18="All",AND(Screener!$B$18="With A-share",(Database!$BL413="Y")),AND(Screener!$B$18="Without A-share",NOT((Database!$BL413="Y")))),1,0)=0,-999999,IF(Screener!$B$16="cornerstone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Database!BF401</f>
        <v/>
      </c>
      <c r="AF413">
        <f>Database!BL401</f>
        <v/>
      </c>
      <c r="AG413">
        <f>Database!H401</f>
        <v/>
      </c>
      <c r="AH413">
        <f>Database!BG401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IF(OR(Database!$BF414="",Screener!$D$10=""),0,IF(Database!$BF414=Screener!$D$10,1,0))</f>
        <v/>
      </c>
      <c r="F414">
        <f>IF(OR(Database!$BL414="",Screener!$D$11=""),0,IF(Database!$BL414=Screener!$D$11,1,0))</f>
        <v/>
      </c>
      <c r="G414">
        <f>IF(OR(Database!$H414="",N(Screener!$D$12)&lt;=0),0,MAX(0,1-(N(Screener!$D$12)-Database!$H414)/W_RECD))</f>
        <v/>
      </c>
      <c r="H414">
        <f>IF($U$1="",0,N(ISNUMBER(SEARCH($U$1,Database!$AC414&amp;""))))+IF($V$1="",0,N(ISNUMBER(SEARCH($V$1,Database!$AC414&amp;""))))+IF($W$1="",0,N(ISNUMBER(SEARCH($W$1,Database!$AC414&amp;""))))+IF($X$1="",0,N(ISNUMBER(SEARCH($X$1,Database!$AC414&amp;""))))+IF($Y$1="",0,N(ISNUMBER(SEARCH($Y$1,Database!$AC414&amp;""))))+IF(Screener!$B$17="",0,N(ISNUMBER(SEARCH(LOWER(Screener!$B$17),Database!$AC414&amp;""))))</f>
        <v/>
      </c>
      <c r="I414">
        <f>IF(OR(N(Database!$BG414)&lt;=0,N(Screener!$D$13)&lt;=0),0,MAX(0,1-ABS(LOG10(N(Database!$BG414)/Screener!$D$13))/W_PEHW))</f>
        <v/>
      </c>
      <c r="J414">
        <f>IF(OR(N(Database!$S414)&lt;=0,N(Screener!$D$14)&lt;=0),0,MAX(0,1-ABS(LOG10(Database!$S414/Screener!$D$14))/0.6))</f>
        <v/>
      </c>
      <c r="K414">
        <f>IF(Database!$B414=Screener!$B$5,-999999,IF(ISNUMBER(SEARCH(","&amp;Database!$A414&amp;",",","&amp;SUBSTITUTE(Screener!$D$17," ","")&amp;",")),2000000,IF(IF(OR(Screener!$B$18="All",AND(Screener!$B$18="With A-share",(Database!$BL414="Y")),AND(Screener!$B$18="Without A-share",NOT((Database!$BL414="Y")))),1,0)=0,-999999,IF(Screener!$B$16="cornerstone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Database!BF402</f>
        <v/>
      </c>
      <c r="AF414">
        <f>Database!BL402</f>
        <v/>
      </c>
      <c r="AG414">
        <f>Database!H402</f>
        <v/>
      </c>
      <c r="AH414">
        <f>Database!BG402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IF(OR(Database!$BF415="",Screener!$D$10=""),0,IF(Database!$BF415=Screener!$D$10,1,0))</f>
        <v/>
      </c>
      <c r="F415">
        <f>IF(OR(Database!$BL415="",Screener!$D$11=""),0,IF(Database!$BL415=Screener!$D$11,1,0))</f>
        <v/>
      </c>
      <c r="G415">
        <f>IF(OR(Database!$H415="",N(Screener!$D$12)&lt;=0),0,MAX(0,1-(N(Screener!$D$12)-Database!$H415)/W_RECD))</f>
        <v/>
      </c>
      <c r="H415">
        <f>IF($U$1="",0,N(ISNUMBER(SEARCH($U$1,Database!$AC415&amp;""))))+IF($V$1="",0,N(ISNUMBER(SEARCH($V$1,Database!$AC415&amp;""))))+IF($W$1="",0,N(ISNUMBER(SEARCH($W$1,Database!$AC415&amp;""))))+IF($X$1="",0,N(ISNUMBER(SEARCH($X$1,Database!$AC415&amp;""))))+IF($Y$1="",0,N(ISNUMBER(SEARCH($Y$1,Database!$AC415&amp;""))))+IF(Screener!$B$17="",0,N(ISNUMBER(SEARCH(LOWER(Screener!$B$17),Database!$AC415&amp;""))))</f>
        <v/>
      </c>
      <c r="I415">
        <f>IF(OR(N(Database!$BG415)&lt;=0,N(Screener!$D$13)&lt;=0),0,MAX(0,1-ABS(LOG10(N(Database!$BG415)/Screener!$D$13))/W_PEHW))</f>
        <v/>
      </c>
      <c r="J415">
        <f>IF(OR(N(Database!$S415)&lt;=0,N(Screener!$D$14)&lt;=0),0,MAX(0,1-ABS(LOG10(Database!$S415/Screener!$D$14))/0.6))</f>
        <v/>
      </c>
      <c r="K415">
        <f>IF(Database!$B415=Screener!$B$5,-999999,IF(ISNUMBER(SEARCH(","&amp;Database!$A415&amp;",",","&amp;SUBSTITUTE(Screener!$D$17," ","")&amp;",")),2000000,IF(IF(OR(Screener!$B$18="All",AND(Screener!$B$18="With A-share",(Database!$BL415="Y")),AND(Screener!$B$18="Without A-share",NOT((Database!$BL415="Y")))),1,0)=0,-999999,IF(Screener!$B$16="cornerstone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Database!BF403</f>
        <v/>
      </c>
      <c r="AF415">
        <f>Database!BL403</f>
        <v/>
      </c>
      <c r="AG415">
        <f>Database!H403</f>
        <v/>
      </c>
      <c r="AH415">
        <f>Database!BG403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IF(OR(Database!$BF416="",Screener!$D$10=""),0,IF(Database!$BF416=Screener!$D$10,1,0))</f>
        <v/>
      </c>
      <c r="F416">
        <f>IF(OR(Database!$BL416="",Screener!$D$11=""),0,IF(Database!$BL416=Screener!$D$11,1,0))</f>
        <v/>
      </c>
      <c r="G416">
        <f>IF(OR(Database!$H416="",N(Screener!$D$12)&lt;=0),0,MAX(0,1-(N(Screener!$D$12)-Database!$H416)/W_RECD))</f>
        <v/>
      </c>
      <c r="H416">
        <f>IF($U$1="",0,N(ISNUMBER(SEARCH($U$1,Database!$AC416&amp;""))))+IF($V$1="",0,N(ISNUMBER(SEARCH($V$1,Database!$AC416&amp;""))))+IF($W$1="",0,N(ISNUMBER(SEARCH($W$1,Database!$AC416&amp;""))))+IF($X$1="",0,N(ISNUMBER(SEARCH($X$1,Database!$AC416&amp;""))))+IF($Y$1="",0,N(ISNUMBER(SEARCH($Y$1,Database!$AC416&amp;""))))+IF(Screener!$B$17="",0,N(ISNUMBER(SEARCH(LOWER(Screener!$B$17),Database!$AC416&amp;""))))</f>
        <v/>
      </c>
      <c r="I416">
        <f>IF(OR(N(Database!$BG416)&lt;=0,N(Screener!$D$13)&lt;=0),0,MAX(0,1-ABS(LOG10(N(Database!$BG416)/Screener!$D$13))/W_PEHW))</f>
        <v/>
      </c>
      <c r="J416">
        <f>IF(OR(N(Database!$S416)&lt;=0,N(Screener!$D$14)&lt;=0),0,MAX(0,1-ABS(LOG10(Database!$S416/Screener!$D$14))/0.6))</f>
        <v/>
      </c>
      <c r="K416">
        <f>IF(Database!$B416=Screener!$B$5,-999999,IF(ISNUMBER(SEARCH(","&amp;Database!$A416&amp;",",","&amp;SUBSTITUTE(Screener!$D$17," ","")&amp;",")),2000000,IF(IF(OR(Screener!$B$18="All",AND(Screener!$B$18="With A-share",(Database!$BL416="Y")),AND(Screener!$B$18="Without A-share",NOT((Database!$BL416="Y")))),1,0)=0,-999999,IF(Screener!$B$16="cornerstone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Database!BF404</f>
        <v/>
      </c>
      <c r="AF416">
        <f>Database!BL404</f>
        <v/>
      </c>
      <c r="AG416">
        <f>Database!H404</f>
        <v/>
      </c>
      <c r="AH416">
        <f>Database!BG404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IF(OR(Database!$BF417="",Screener!$D$10=""),0,IF(Database!$BF417=Screener!$D$10,1,0))</f>
        <v/>
      </c>
      <c r="F417">
        <f>IF(OR(Database!$BL417="",Screener!$D$11=""),0,IF(Database!$BL417=Screener!$D$11,1,0))</f>
        <v/>
      </c>
      <c r="G417">
        <f>IF(OR(Database!$H417="",N(Screener!$D$12)&lt;=0),0,MAX(0,1-(N(Screener!$D$12)-Database!$H417)/W_RECD))</f>
        <v/>
      </c>
      <c r="H417">
        <f>IF($U$1="",0,N(ISNUMBER(SEARCH($U$1,Database!$AC417&amp;""))))+IF($V$1="",0,N(ISNUMBER(SEARCH($V$1,Database!$AC417&amp;""))))+IF($W$1="",0,N(ISNUMBER(SEARCH($W$1,Database!$AC417&amp;""))))+IF($X$1="",0,N(ISNUMBER(SEARCH($X$1,Database!$AC417&amp;""))))+IF($Y$1="",0,N(ISNUMBER(SEARCH($Y$1,Database!$AC417&amp;""))))+IF(Screener!$B$17="",0,N(ISNUMBER(SEARCH(LOWER(Screener!$B$17),Database!$AC417&amp;""))))</f>
        <v/>
      </c>
      <c r="I417">
        <f>IF(OR(N(Database!$BG417)&lt;=0,N(Screener!$D$13)&lt;=0),0,MAX(0,1-ABS(LOG10(N(Database!$BG417)/Screener!$D$13))/W_PEHW))</f>
        <v/>
      </c>
      <c r="J417">
        <f>IF(OR(N(Database!$S417)&lt;=0,N(Screener!$D$14)&lt;=0),0,MAX(0,1-ABS(LOG10(Database!$S417/Screener!$D$14))/0.6))</f>
        <v/>
      </c>
      <c r="K417">
        <f>IF(Database!$B417=Screener!$B$5,-999999,IF(ISNUMBER(SEARCH(","&amp;Database!$A417&amp;",",","&amp;SUBSTITUTE(Screener!$D$17," ","")&amp;",")),2000000,IF(IF(OR(Screener!$B$18="All",AND(Screener!$B$18="With A-share",(Database!$BL417="Y")),AND(Screener!$B$18="Without A-share",NOT((Database!$BL417="Y")))),1,0)=0,-999999,IF(Screener!$B$16="cornerstone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Database!BF405</f>
        <v/>
      </c>
      <c r="AF417">
        <f>Database!BL405</f>
        <v/>
      </c>
      <c r="AG417">
        <f>Database!H405</f>
        <v/>
      </c>
      <c r="AH417">
        <f>Database!BG405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IF(OR(Database!$BF418="",Screener!$D$10=""),0,IF(Database!$BF418=Screener!$D$10,1,0))</f>
        <v/>
      </c>
      <c r="F418">
        <f>IF(OR(Database!$BL418="",Screener!$D$11=""),0,IF(Database!$BL418=Screener!$D$11,1,0))</f>
        <v/>
      </c>
      <c r="G418">
        <f>IF(OR(Database!$H418="",N(Screener!$D$12)&lt;=0),0,MAX(0,1-(N(Screener!$D$12)-Database!$H418)/W_RECD))</f>
        <v/>
      </c>
      <c r="H418">
        <f>IF($U$1="",0,N(ISNUMBER(SEARCH($U$1,Database!$AC418&amp;""))))+IF($V$1="",0,N(ISNUMBER(SEARCH($V$1,Database!$AC418&amp;""))))+IF($W$1="",0,N(ISNUMBER(SEARCH($W$1,Database!$AC418&amp;""))))+IF($X$1="",0,N(ISNUMBER(SEARCH($X$1,Database!$AC418&amp;""))))+IF($Y$1="",0,N(ISNUMBER(SEARCH($Y$1,Database!$AC418&amp;""))))+IF(Screener!$B$17="",0,N(ISNUMBER(SEARCH(LOWER(Screener!$B$17),Database!$AC418&amp;""))))</f>
        <v/>
      </c>
      <c r="I418">
        <f>IF(OR(N(Database!$BG418)&lt;=0,N(Screener!$D$13)&lt;=0),0,MAX(0,1-ABS(LOG10(N(Database!$BG418)/Screener!$D$13))/W_PEHW))</f>
        <v/>
      </c>
      <c r="J418">
        <f>IF(OR(N(Database!$S418)&lt;=0,N(Screener!$D$14)&lt;=0),0,MAX(0,1-ABS(LOG10(Database!$S418/Screener!$D$14))/0.6))</f>
        <v/>
      </c>
      <c r="K418">
        <f>IF(Database!$B418=Screener!$B$5,-999999,IF(ISNUMBER(SEARCH(","&amp;Database!$A418&amp;",",","&amp;SUBSTITUTE(Screener!$D$17," ","")&amp;",")),2000000,IF(IF(OR(Screener!$B$18="All",AND(Screener!$B$18="With A-share",(Database!$BL418="Y")),AND(Screener!$B$18="Without A-share",NOT((Database!$BL418="Y")))),1,0)=0,-999999,IF(Screener!$B$16="cornerstone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Database!BF406</f>
        <v/>
      </c>
      <c r="AF418">
        <f>Database!BL406</f>
        <v/>
      </c>
      <c r="AG418">
        <f>Database!H406</f>
        <v/>
      </c>
      <c r="AH418">
        <f>Database!BG406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IF(OR(Database!$BF419="",Screener!$D$10=""),0,IF(Database!$BF419=Screener!$D$10,1,0))</f>
        <v/>
      </c>
      <c r="F419">
        <f>IF(OR(Database!$BL419="",Screener!$D$11=""),0,IF(Database!$BL419=Screener!$D$11,1,0))</f>
        <v/>
      </c>
      <c r="G419">
        <f>IF(OR(Database!$H419="",N(Screener!$D$12)&lt;=0),0,MAX(0,1-(N(Screener!$D$12)-Database!$H419)/W_RECD))</f>
        <v/>
      </c>
      <c r="H419">
        <f>IF($U$1="",0,N(ISNUMBER(SEARCH($U$1,Database!$AC419&amp;""))))+IF($V$1="",0,N(ISNUMBER(SEARCH($V$1,Database!$AC419&amp;""))))+IF($W$1="",0,N(ISNUMBER(SEARCH($W$1,Database!$AC419&amp;""))))+IF($X$1="",0,N(ISNUMBER(SEARCH($X$1,Database!$AC419&amp;""))))+IF($Y$1="",0,N(ISNUMBER(SEARCH($Y$1,Database!$AC419&amp;""))))+IF(Screener!$B$17="",0,N(ISNUMBER(SEARCH(LOWER(Screener!$B$17),Database!$AC419&amp;""))))</f>
        <v/>
      </c>
      <c r="I419">
        <f>IF(OR(N(Database!$BG419)&lt;=0,N(Screener!$D$13)&lt;=0),0,MAX(0,1-ABS(LOG10(N(Database!$BG419)/Screener!$D$13))/W_PEHW))</f>
        <v/>
      </c>
      <c r="J419">
        <f>IF(OR(N(Database!$S419)&lt;=0,N(Screener!$D$14)&lt;=0),0,MAX(0,1-ABS(LOG10(Database!$S419/Screener!$D$14))/0.6))</f>
        <v/>
      </c>
      <c r="K419">
        <f>IF(Database!$B419=Screener!$B$5,-999999,IF(ISNUMBER(SEARCH(","&amp;Database!$A419&amp;",",","&amp;SUBSTITUTE(Screener!$D$17," ","")&amp;",")),2000000,IF(IF(OR(Screener!$B$18="All",AND(Screener!$B$18="With A-share",(Database!$BL419="Y")),AND(Screener!$B$18="Without A-share",NOT((Database!$BL419="Y")))),1,0)=0,-999999,IF(Screener!$B$16="cornerstone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Database!BF407</f>
        <v/>
      </c>
      <c r="AF419">
        <f>Database!BL407</f>
        <v/>
      </c>
      <c r="AG419">
        <f>Database!H407</f>
        <v/>
      </c>
      <c r="AH419">
        <f>Database!BG407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IF(OR(Database!$BF420="",Screener!$D$10=""),0,IF(Database!$BF420=Screener!$D$10,1,0))</f>
        <v/>
      </c>
      <c r="F420">
        <f>IF(OR(Database!$BL420="",Screener!$D$11=""),0,IF(Database!$BL420=Screener!$D$11,1,0))</f>
        <v/>
      </c>
      <c r="G420">
        <f>IF(OR(Database!$H420="",N(Screener!$D$12)&lt;=0),0,MAX(0,1-(N(Screener!$D$12)-Database!$H420)/W_RECD))</f>
        <v/>
      </c>
      <c r="H420">
        <f>IF($U$1="",0,N(ISNUMBER(SEARCH($U$1,Database!$AC420&amp;""))))+IF($V$1="",0,N(ISNUMBER(SEARCH($V$1,Database!$AC420&amp;""))))+IF($W$1="",0,N(ISNUMBER(SEARCH($W$1,Database!$AC420&amp;""))))+IF($X$1="",0,N(ISNUMBER(SEARCH($X$1,Database!$AC420&amp;""))))+IF($Y$1="",0,N(ISNUMBER(SEARCH($Y$1,Database!$AC420&amp;""))))+IF(Screener!$B$17="",0,N(ISNUMBER(SEARCH(LOWER(Screener!$B$17),Database!$AC420&amp;""))))</f>
        <v/>
      </c>
      <c r="I420">
        <f>IF(OR(N(Database!$BG420)&lt;=0,N(Screener!$D$13)&lt;=0),0,MAX(0,1-ABS(LOG10(N(Database!$BG420)/Screener!$D$13))/W_PEHW))</f>
        <v/>
      </c>
      <c r="J420">
        <f>IF(OR(N(Database!$S420)&lt;=0,N(Screener!$D$14)&lt;=0),0,MAX(0,1-ABS(LOG10(Database!$S420/Screener!$D$14))/0.6))</f>
        <v/>
      </c>
      <c r="K420">
        <f>IF(Database!$B420=Screener!$B$5,-999999,IF(ISNUMBER(SEARCH(","&amp;Database!$A420&amp;",",","&amp;SUBSTITUTE(Screener!$D$17," ","")&amp;",")),2000000,IF(IF(OR(Screener!$B$18="All",AND(Screener!$B$18="With A-share",(Database!$BL420="Y")),AND(Screener!$B$18="Without A-share",NOT((Database!$BL420="Y")))),1,0)=0,-999999,IF(Screener!$B$16="cornerstone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Database!BF408</f>
        <v/>
      </c>
      <c r="AF420">
        <f>Database!BL408</f>
        <v/>
      </c>
      <c r="AG420">
        <f>Database!H408</f>
        <v/>
      </c>
      <c r="AH420">
        <f>Database!BG408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IF(OR(Database!$BF421="",Screener!$D$10=""),0,IF(Database!$BF421=Screener!$D$10,1,0))</f>
        <v/>
      </c>
      <c r="F421">
        <f>IF(OR(Database!$BL421="",Screener!$D$11=""),0,IF(Database!$BL421=Screener!$D$11,1,0))</f>
        <v/>
      </c>
      <c r="G421">
        <f>IF(OR(Database!$H421="",N(Screener!$D$12)&lt;=0),0,MAX(0,1-(N(Screener!$D$12)-Database!$H421)/W_RECD))</f>
        <v/>
      </c>
      <c r="H421">
        <f>IF($U$1="",0,N(ISNUMBER(SEARCH($U$1,Database!$AC421&amp;""))))+IF($V$1="",0,N(ISNUMBER(SEARCH($V$1,Database!$AC421&amp;""))))+IF($W$1="",0,N(ISNUMBER(SEARCH($W$1,Database!$AC421&amp;""))))+IF($X$1="",0,N(ISNUMBER(SEARCH($X$1,Database!$AC421&amp;""))))+IF($Y$1="",0,N(ISNUMBER(SEARCH($Y$1,Database!$AC421&amp;""))))+IF(Screener!$B$17="",0,N(ISNUMBER(SEARCH(LOWER(Screener!$B$17),Database!$AC421&amp;""))))</f>
        <v/>
      </c>
      <c r="I421">
        <f>IF(OR(N(Database!$BG421)&lt;=0,N(Screener!$D$13)&lt;=0),0,MAX(0,1-ABS(LOG10(N(Database!$BG421)/Screener!$D$13))/W_PEHW))</f>
        <v/>
      </c>
      <c r="J421">
        <f>IF(OR(N(Database!$S421)&lt;=0,N(Screener!$D$14)&lt;=0),0,MAX(0,1-ABS(LOG10(Database!$S421/Screener!$D$14))/0.6))</f>
        <v/>
      </c>
      <c r="K421">
        <f>IF(Database!$B421=Screener!$B$5,-999999,IF(ISNUMBER(SEARCH(","&amp;Database!$A421&amp;",",","&amp;SUBSTITUTE(Screener!$D$17," ","")&amp;",")),2000000,IF(IF(OR(Screener!$B$18="All",AND(Screener!$B$18="With A-share",(Database!$BL421="Y")),AND(Screener!$B$18="Without A-share",NOT((Database!$BL421="Y")))),1,0)=0,-999999,IF(Screener!$B$16="cornerstone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Database!BF409</f>
        <v/>
      </c>
      <c r="AF421">
        <f>Database!BL409</f>
        <v/>
      </c>
      <c r="AG421">
        <f>Database!H409</f>
        <v/>
      </c>
      <c r="AH421">
        <f>Database!BG409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IF(OR(Database!$BF422="",Screener!$D$10=""),0,IF(Database!$BF422=Screener!$D$10,1,0))</f>
        <v/>
      </c>
      <c r="F422">
        <f>IF(OR(Database!$BL422="",Screener!$D$11=""),0,IF(Database!$BL422=Screener!$D$11,1,0))</f>
        <v/>
      </c>
      <c r="G422">
        <f>IF(OR(Database!$H422="",N(Screener!$D$12)&lt;=0),0,MAX(0,1-(N(Screener!$D$12)-Database!$H422)/W_RECD))</f>
        <v/>
      </c>
      <c r="H422">
        <f>IF($U$1="",0,N(ISNUMBER(SEARCH($U$1,Database!$AC422&amp;""))))+IF($V$1="",0,N(ISNUMBER(SEARCH($V$1,Database!$AC422&amp;""))))+IF($W$1="",0,N(ISNUMBER(SEARCH($W$1,Database!$AC422&amp;""))))+IF($X$1="",0,N(ISNUMBER(SEARCH($X$1,Database!$AC422&amp;""))))+IF($Y$1="",0,N(ISNUMBER(SEARCH($Y$1,Database!$AC422&amp;""))))+IF(Screener!$B$17="",0,N(ISNUMBER(SEARCH(LOWER(Screener!$B$17),Database!$AC422&amp;""))))</f>
        <v/>
      </c>
      <c r="I422">
        <f>IF(OR(N(Database!$BG422)&lt;=0,N(Screener!$D$13)&lt;=0),0,MAX(0,1-ABS(LOG10(N(Database!$BG422)/Screener!$D$13))/W_PEHW))</f>
        <v/>
      </c>
      <c r="J422">
        <f>IF(OR(N(Database!$S422)&lt;=0,N(Screener!$D$14)&lt;=0),0,MAX(0,1-ABS(LOG10(Database!$S422/Screener!$D$14))/0.6))</f>
        <v/>
      </c>
      <c r="K422">
        <f>IF(Database!$B422=Screener!$B$5,-999999,IF(ISNUMBER(SEARCH(","&amp;Database!$A422&amp;",",","&amp;SUBSTITUTE(Screener!$D$17," ","")&amp;",")),2000000,IF(IF(OR(Screener!$B$18="All",AND(Screener!$B$18="With A-share",(Database!$BL422="Y")),AND(Screener!$B$18="Without A-share",NOT((Database!$BL422="Y")))),1,0)=0,-999999,IF(Screener!$B$16="cornerstone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Database!BF410</f>
        <v/>
      </c>
      <c r="AF422">
        <f>Database!BL410</f>
        <v/>
      </c>
      <c r="AG422">
        <f>Database!H410</f>
        <v/>
      </c>
      <c r="AH422">
        <f>Database!BG410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IF(OR(Database!$BF423="",Screener!$D$10=""),0,IF(Database!$BF423=Screener!$D$10,1,0))</f>
        <v/>
      </c>
      <c r="F423">
        <f>IF(OR(Database!$BL423="",Screener!$D$11=""),0,IF(Database!$BL423=Screener!$D$11,1,0))</f>
        <v/>
      </c>
      <c r="G423">
        <f>IF(OR(Database!$H423="",N(Screener!$D$12)&lt;=0),0,MAX(0,1-(N(Screener!$D$12)-Database!$H423)/W_RECD))</f>
        <v/>
      </c>
      <c r="H423">
        <f>IF($U$1="",0,N(ISNUMBER(SEARCH($U$1,Database!$AC423&amp;""))))+IF($V$1="",0,N(ISNUMBER(SEARCH($V$1,Database!$AC423&amp;""))))+IF($W$1="",0,N(ISNUMBER(SEARCH($W$1,Database!$AC423&amp;""))))+IF($X$1="",0,N(ISNUMBER(SEARCH($X$1,Database!$AC423&amp;""))))+IF($Y$1="",0,N(ISNUMBER(SEARCH($Y$1,Database!$AC423&amp;""))))+IF(Screener!$B$17="",0,N(ISNUMBER(SEARCH(LOWER(Screener!$B$17),Database!$AC423&amp;""))))</f>
        <v/>
      </c>
      <c r="I423">
        <f>IF(OR(N(Database!$BG423)&lt;=0,N(Screener!$D$13)&lt;=0),0,MAX(0,1-ABS(LOG10(N(Database!$BG423)/Screener!$D$13))/W_PEHW))</f>
        <v/>
      </c>
      <c r="J423">
        <f>IF(OR(N(Database!$S423)&lt;=0,N(Screener!$D$14)&lt;=0),0,MAX(0,1-ABS(LOG10(Database!$S423/Screener!$D$14))/0.6))</f>
        <v/>
      </c>
      <c r="K423">
        <f>IF(Database!$B423=Screener!$B$5,-999999,IF(ISNUMBER(SEARCH(","&amp;Database!$A423&amp;",",","&amp;SUBSTITUTE(Screener!$D$17," ","")&amp;",")),2000000,IF(IF(OR(Screener!$B$18="All",AND(Screener!$B$18="With A-share",(Database!$BL423="Y")),AND(Screener!$B$18="Without A-share",NOT((Database!$BL423="Y")))),1,0)=0,-999999,IF(Screener!$B$16="cornerstone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Database!BF411</f>
        <v/>
      </c>
      <c r="AF423">
        <f>Database!BL411</f>
        <v/>
      </c>
      <c r="AG423">
        <f>Database!H411</f>
        <v/>
      </c>
      <c r="AH423">
        <f>Database!BG411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IF(OR(Database!$BF424="",Screener!$D$10=""),0,IF(Database!$BF424=Screener!$D$10,1,0))</f>
        <v/>
      </c>
      <c r="F424">
        <f>IF(OR(Database!$BL424="",Screener!$D$11=""),0,IF(Database!$BL424=Screener!$D$11,1,0))</f>
        <v/>
      </c>
      <c r="G424">
        <f>IF(OR(Database!$H424="",N(Screener!$D$12)&lt;=0),0,MAX(0,1-(N(Screener!$D$12)-Database!$H424)/W_RECD))</f>
        <v/>
      </c>
      <c r="H424">
        <f>IF($U$1="",0,N(ISNUMBER(SEARCH($U$1,Database!$AC424&amp;""))))+IF($V$1="",0,N(ISNUMBER(SEARCH($V$1,Database!$AC424&amp;""))))+IF($W$1="",0,N(ISNUMBER(SEARCH($W$1,Database!$AC424&amp;""))))+IF($X$1="",0,N(ISNUMBER(SEARCH($X$1,Database!$AC424&amp;""))))+IF($Y$1="",0,N(ISNUMBER(SEARCH($Y$1,Database!$AC424&amp;""))))+IF(Screener!$B$17="",0,N(ISNUMBER(SEARCH(LOWER(Screener!$B$17),Database!$AC424&amp;""))))</f>
        <v/>
      </c>
      <c r="I424">
        <f>IF(OR(N(Database!$BG424)&lt;=0,N(Screener!$D$13)&lt;=0),0,MAX(0,1-ABS(LOG10(N(Database!$BG424)/Screener!$D$13))/W_PEHW))</f>
        <v/>
      </c>
      <c r="J424">
        <f>IF(OR(N(Database!$S424)&lt;=0,N(Screener!$D$14)&lt;=0),0,MAX(0,1-ABS(LOG10(Database!$S424/Screener!$D$14))/0.6))</f>
        <v/>
      </c>
      <c r="K424">
        <f>IF(Database!$B424=Screener!$B$5,-999999,IF(ISNUMBER(SEARCH(","&amp;Database!$A424&amp;",",","&amp;SUBSTITUTE(Screener!$D$17," ","")&amp;",")),2000000,IF(IF(OR(Screener!$B$18="All",AND(Screener!$B$18="With A-share",(Database!$BL424="Y")),AND(Screener!$B$18="Without A-share",NOT((Database!$BL424="Y")))),1,0)=0,-999999,IF(Screener!$B$16="cornerstone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Database!BF412</f>
        <v/>
      </c>
      <c r="AF424">
        <f>Database!BL412</f>
        <v/>
      </c>
      <c r="AG424">
        <f>Database!H412</f>
        <v/>
      </c>
      <c r="AH424">
        <f>Database!BG412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IF(OR(Database!$BF425="",Screener!$D$10=""),0,IF(Database!$BF425=Screener!$D$10,1,0))</f>
        <v/>
      </c>
      <c r="F425">
        <f>IF(OR(Database!$BL425="",Screener!$D$11=""),0,IF(Database!$BL425=Screener!$D$11,1,0))</f>
        <v/>
      </c>
      <c r="G425">
        <f>IF(OR(Database!$H425="",N(Screener!$D$12)&lt;=0),0,MAX(0,1-(N(Screener!$D$12)-Database!$H425)/W_RECD))</f>
        <v/>
      </c>
      <c r="H425">
        <f>IF($U$1="",0,N(ISNUMBER(SEARCH($U$1,Database!$AC425&amp;""))))+IF($V$1="",0,N(ISNUMBER(SEARCH($V$1,Database!$AC425&amp;""))))+IF($W$1="",0,N(ISNUMBER(SEARCH($W$1,Database!$AC425&amp;""))))+IF($X$1="",0,N(ISNUMBER(SEARCH($X$1,Database!$AC425&amp;""))))+IF($Y$1="",0,N(ISNUMBER(SEARCH($Y$1,Database!$AC425&amp;""))))+IF(Screener!$B$17="",0,N(ISNUMBER(SEARCH(LOWER(Screener!$B$17),Database!$AC425&amp;""))))</f>
        <v/>
      </c>
      <c r="I425">
        <f>IF(OR(N(Database!$BG425)&lt;=0,N(Screener!$D$13)&lt;=0),0,MAX(0,1-ABS(LOG10(N(Database!$BG425)/Screener!$D$13))/W_PEHW))</f>
        <v/>
      </c>
      <c r="J425">
        <f>IF(OR(N(Database!$S425)&lt;=0,N(Screener!$D$14)&lt;=0),0,MAX(0,1-ABS(LOG10(Database!$S425/Screener!$D$14))/0.6))</f>
        <v/>
      </c>
      <c r="K425">
        <f>IF(Database!$B425=Screener!$B$5,-999999,IF(ISNUMBER(SEARCH(","&amp;Database!$A425&amp;",",","&amp;SUBSTITUTE(Screener!$D$17," ","")&amp;",")),2000000,IF(IF(OR(Screener!$B$18="All",AND(Screener!$B$18="With A-share",(Database!$BL425="Y")),AND(Screener!$B$18="Without A-share",NOT((Database!$BL425="Y")))),1,0)=0,-999999,IF(Screener!$B$16="cornerstone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Database!BF413</f>
        <v/>
      </c>
      <c r="AF425">
        <f>Database!BL413</f>
        <v/>
      </c>
      <c r="AG425">
        <f>Database!H413</f>
        <v/>
      </c>
      <c r="AH425">
        <f>Database!BG413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IF(OR(Database!$BF426="",Screener!$D$10=""),0,IF(Database!$BF426=Screener!$D$10,1,0))</f>
        <v/>
      </c>
      <c r="F426">
        <f>IF(OR(Database!$BL426="",Screener!$D$11=""),0,IF(Database!$BL426=Screener!$D$11,1,0))</f>
        <v/>
      </c>
      <c r="G426">
        <f>IF(OR(Database!$H426="",N(Screener!$D$12)&lt;=0),0,MAX(0,1-(N(Screener!$D$12)-Database!$H426)/W_RECD))</f>
        <v/>
      </c>
      <c r="H426">
        <f>IF($U$1="",0,N(ISNUMBER(SEARCH($U$1,Database!$AC426&amp;""))))+IF($V$1="",0,N(ISNUMBER(SEARCH($V$1,Database!$AC426&amp;""))))+IF($W$1="",0,N(ISNUMBER(SEARCH($W$1,Database!$AC426&amp;""))))+IF($X$1="",0,N(ISNUMBER(SEARCH($X$1,Database!$AC426&amp;""))))+IF($Y$1="",0,N(ISNUMBER(SEARCH($Y$1,Database!$AC426&amp;""))))+IF(Screener!$B$17="",0,N(ISNUMBER(SEARCH(LOWER(Screener!$B$17),Database!$AC426&amp;""))))</f>
        <v/>
      </c>
      <c r="I426">
        <f>IF(OR(N(Database!$BG426)&lt;=0,N(Screener!$D$13)&lt;=0),0,MAX(0,1-ABS(LOG10(N(Database!$BG426)/Screener!$D$13))/W_PEHW))</f>
        <v/>
      </c>
      <c r="J426">
        <f>IF(OR(N(Database!$S426)&lt;=0,N(Screener!$D$14)&lt;=0),0,MAX(0,1-ABS(LOG10(Database!$S426/Screener!$D$14))/0.6))</f>
        <v/>
      </c>
      <c r="K426">
        <f>IF(Database!$B426=Screener!$B$5,-999999,IF(ISNUMBER(SEARCH(","&amp;Database!$A426&amp;",",","&amp;SUBSTITUTE(Screener!$D$17," ","")&amp;",")),2000000,IF(IF(OR(Screener!$B$18="All",AND(Screener!$B$18="With A-share",(Database!$BL426="Y")),AND(Screener!$B$18="Without A-share",NOT((Database!$BL426="Y")))),1,0)=0,-999999,IF(Screener!$B$16="cornerstone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Database!BF414</f>
        <v/>
      </c>
      <c r="AF426">
        <f>Database!BL414</f>
        <v/>
      </c>
      <c r="AG426">
        <f>Database!H414</f>
        <v/>
      </c>
      <c r="AH426">
        <f>Database!BG414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IF(OR(Database!$BF427="",Screener!$D$10=""),0,IF(Database!$BF427=Screener!$D$10,1,0))</f>
        <v/>
      </c>
      <c r="F427">
        <f>IF(OR(Database!$BL427="",Screener!$D$11=""),0,IF(Database!$BL427=Screener!$D$11,1,0))</f>
        <v/>
      </c>
      <c r="G427">
        <f>IF(OR(Database!$H427="",N(Screener!$D$12)&lt;=0),0,MAX(0,1-(N(Screener!$D$12)-Database!$H427)/W_RECD))</f>
        <v/>
      </c>
      <c r="H427">
        <f>IF($U$1="",0,N(ISNUMBER(SEARCH($U$1,Database!$AC427&amp;""))))+IF($V$1="",0,N(ISNUMBER(SEARCH($V$1,Database!$AC427&amp;""))))+IF($W$1="",0,N(ISNUMBER(SEARCH($W$1,Database!$AC427&amp;""))))+IF($X$1="",0,N(ISNUMBER(SEARCH($X$1,Database!$AC427&amp;""))))+IF($Y$1="",0,N(ISNUMBER(SEARCH($Y$1,Database!$AC427&amp;""))))+IF(Screener!$B$17="",0,N(ISNUMBER(SEARCH(LOWER(Screener!$B$17),Database!$AC427&amp;""))))</f>
        <v/>
      </c>
      <c r="I427">
        <f>IF(OR(N(Database!$BG427)&lt;=0,N(Screener!$D$13)&lt;=0),0,MAX(0,1-ABS(LOG10(N(Database!$BG427)/Screener!$D$13))/W_PEHW))</f>
        <v/>
      </c>
      <c r="J427">
        <f>IF(OR(N(Database!$S427)&lt;=0,N(Screener!$D$14)&lt;=0),0,MAX(0,1-ABS(LOG10(Database!$S427/Screener!$D$14))/0.6))</f>
        <v/>
      </c>
      <c r="K427">
        <f>IF(Database!$B427=Screener!$B$5,-999999,IF(ISNUMBER(SEARCH(","&amp;Database!$A427&amp;",",","&amp;SUBSTITUTE(Screener!$D$17," ","")&amp;",")),2000000,IF(IF(OR(Screener!$B$18="All",AND(Screener!$B$18="With A-share",(Database!$BL427="Y")),AND(Screener!$B$18="Without A-share",NOT((Database!$BL427="Y")))),1,0)=0,-999999,IF(Screener!$B$16="cornerstone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Database!BF415</f>
        <v/>
      </c>
      <c r="AF427">
        <f>Database!BL415</f>
        <v/>
      </c>
      <c r="AG427">
        <f>Database!H415</f>
        <v/>
      </c>
      <c r="AH427">
        <f>Database!BG415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IF(OR(Database!$BF428="",Screener!$D$10=""),0,IF(Database!$BF428=Screener!$D$10,1,0))</f>
        <v/>
      </c>
      <c r="F428">
        <f>IF(OR(Database!$BL428="",Screener!$D$11=""),0,IF(Database!$BL428=Screener!$D$11,1,0))</f>
        <v/>
      </c>
      <c r="G428">
        <f>IF(OR(Database!$H428="",N(Screener!$D$12)&lt;=0),0,MAX(0,1-(N(Screener!$D$12)-Database!$H428)/W_RECD))</f>
        <v/>
      </c>
      <c r="H428">
        <f>IF($U$1="",0,N(ISNUMBER(SEARCH($U$1,Database!$AC428&amp;""))))+IF($V$1="",0,N(ISNUMBER(SEARCH($V$1,Database!$AC428&amp;""))))+IF($W$1="",0,N(ISNUMBER(SEARCH($W$1,Database!$AC428&amp;""))))+IF($X$1="",0,N(ISNUMBER(SEARCH($X$1,Database!$AC428&amp;""))))+IF($Y$1="",0,N(ISNUMBER(SEARCH($Y$1,Database!$AC428&amp;""))))+IF(Screener!$B$17="",0,N(ISNUMBER(SEARCH(LOWER(Screener!$B$17),Database!$AC428&amp;""))))</f>
        <v/>
      </c>
      <c r="I428">
        <f>IF(OR(N(Database!$BG428)&lt;=0,N(Screener!$D$13)&lt;=0),0,MAX(0,1-ABS(LOG10(N(Database!$BG428)/Screener!$D$13))/W_PEHW))</f>
        <v/>
      </c>
      <c r="J428">
        <f>IF(OR(N(Database!$S428)&lt;=0,N(Screener!$D$14)&lt;=0),0,MAX(0,1-ABS(LOG10(Database!$S428/Screener!$D$14))/0.6))</f>
        <v/>
      </c>
      <c r="K428">
        <f>IF(Database!$B428=Screener!$B$5,-999999,IF(ISNUMBER(SEARCH(","&amp;Database!$A428&amp;",",","&amp;SUBSTITUTE(Screener!$D$17," ","")&amp;",")),2000000,IF(IF(OR(Screener!$B$18="All",AND(Screener!$B$18="With A-share",(Database!$BL428="Y")),AND(Screener!$B$18="Without A-share",NOT((Database!$BL428="Y")))),1,0)=0,-999999,IF(Screener!$B$16="cornerstone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Database!BF416</f>
        <v/>
      </c>
      <c r="AF428">
        <f>Database!BL416</f>
        <v/>
      </c>
      <c r="AG428">
        <f>Database!H416</f>
        <v/>
      </c>
      <c r="AH428">
        <f>Database!BG416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IF(OR(Database!$BF429="",Screener!$D$10=""),0,IF(Database!$BF429=Screener!$D$10,1,0))</f>
        <v/>
      </c>
      <c r="F429">
        <f>IF(OR(Database!$BL429="",Screener!$D$11=""),0,IF(Database!$BL429=Screener!$D$11,1,0))</f>
        <v/>
      </c>
      <c r="G429">
        <f>IF(OR(Database!$H429="",N(Screener!$D$12)&lt;=0),0,MAX(0,1-(N(Screener!$D$12)-Database!$H429)/W_RECD))</f>
        <v/>
      </c>
      <c r="H429">
        <f>IF($U$1="",0,N(ISNUMBER(SEARCH($U$1,Database!$AC429&amp;""))))+IF($V$1="",0,N(ISNUMBER(SEARCH($V$1,Database!$AC429&amp;""))))+IF($W$1="",0,N(ISNUMBER(SEARCH($W$1,Database!$AC429&amp;""))))+IF($X$1="",0,N(ISNUMBER(SEARCH($X$1,Database!$AC429&amp;""))))+IF($Y$1="",0,N(ISNUMBER(SEARCH($Y$1,Database!$AC429&amp;""))))+IF(Screener!$B$17="",0,N(ISNUMBER(SEARCH(LOWER(Screener!$B$17),Database!$AC429&amp;""))))</f>
        <v/>
      </c>
      <c r="I429">
        <f>IF(OR(N(Database!$BG429)&lt;=0,N(Screener!$D$13)&lt;=0),0,MAX(0,1-ABS(LOG10(N(Database!$BG429)/Screener!$D$13))/W_PEHW))</f>
        <v/>
      </c>
      <c r="J429">
        <f>IF(OR(N(Database!$S429)&lt;=0,N(Screener!$D$14)&lt;=0),0,MAX(0,1-ABS(LOG10(Database!$S429/Screener!$D$14))/0.6))</f>
        <v/>
      </c>
      <c r="K429">
        <f>IF(Database!$B429=Screener!$B$5,-999999,IF(ISNUMBER(SEARCH(","&amp;Database!$A429&amp;",",","&amp;SUBSTITUTE(Screener!$D$17," ","")&amp;",")),2000000,IF(IF(OR(Screener!$B$18="All",AND(Screener!$B$18="With A-share",(Database!$BL429="Y")),AND(Screener!$B$18="Without A-share",NOT((Database!$BL429="Y")))),1,0)=0,-999999,IF(Screener!$B$16="cornerstone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Database!BF417</f>
        <v/>
      </c>
      <c r="AF429">
        <f>Database!BL417</f>
        <v/>
      </c>
      <c r="AG429">
        <f>Database!H417</f>
        <v/>
      </c>
      <c r="AH429">
        <f>Database!BG417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IF(OR(Database!$BF430="",Screener!$D$10=""),0,IF(Database!$BF430=Screener!$D$10,1,0))</f>
        <v/>
      </c>
      <c r="F430">
        <f>IF(OR(Database!$BL430="",Screener!$D$11=""),0,IF(Database!$BL430=Screener!$D$11,1,0))</f>
        <v/>
      </c>
      <c r="G430">
        <f>IF(OR(Database!$H430="",N(Screener!$D$12)&lt;=0),0,MAX(0,1-(N(Screener!$D$12)-Database!$H430)/W_RECD))</f>
        <v/>
      </c>
      <c r="H430">
        <f>IF($U$1="",0,N(ISNUMBER(SEARCH($U$1,Database!$AC430&amp;""))))+IF($V$1="",0,N(ISNUMBER(SEARCH($V$1,Database!$AC430&amp;""))))+IF($W$1="",0,N(ISNUMBER(SEARCH($W$1,Database!$AC430&amp;""))))+IF($X$1="",0,N(ISNUMBER(SEARCH($X$1,Database!$AC430&amp;""))))+IF($Y$1="",0,N(ISNUMBER(SEARCH($Y$1,Database!$AC430&amp;""))))+IF(Screener!$B$17="",0,N(ISNUMBER(SEARCH(LOWER(Screener!$B$17),Database!$AC430&amp;""))))</f>
        <v/>
      </c>
      <c r="I430">
        <f>IF(OR(N(Database!$BG430)&lt;=0,N(Screener!$D$13)&lt;=0),0,MAX(0,1-ABS(LOG10(N(Database!$BG430)/Screener!$D$13))/W_PEHW))</f>
        <v/>
      </c>
      <c r="J430">
        <f>IF(OR(N(Database!$S430)&lt;=0,N(Screener!$D$14)&lt;=0),0,MAX(0,1-ABS(LOG10(Database!$S430/Screener!$D$14))/0.6))</f>
        <v/>
      </c>
      <c r="K430">
        <f>IF(Database!$B430=Screener!$B$5,-999999,IF(ISNUMBER(SEARCH(","&amp;Database!$A430&amp;",",","&amp;SUBSTITUTE(Screener!$D$17," ","")&amp;",")),2000000,IF(IF(OR(Screener!$B$18="All",AND(Screener!$B$18="With A-share",(Database!$BL430="Y")),AND(Screener!$B$18="Without A-share",NOT((Database!$BL430="Y")))),1,0)=0,-999999,IF(Screener!$B$16="cornerstone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Database!BF418</f>
        <v/>
      </c>
      <c r="AF430">
        <f>Database!BL418</f>
        <v/>
      </c>
      <c r="AG430">
        <f>Database!H418</f>
        <v/>
      </c>
      <c r="AH430">
        <f>Database!BG418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IF(OR(Database!$BF431="",Screener!$D$10=""),0,IF(Database!$BF431=Screener!$D$10,1,0))</f>
        <v/>
      </c>
      <c r="F431">
        <f>IF(OR(Database!$BL431="",Screener!$D$11=""),0,IF(Database!$BL431=Screener!$D$11,1,0))</f>
        <v/>
      </c>
      <c r="G431">
        <f>IF(OR(Database!$H431="",N(Screener!$D$12)&lt;=0),0,MAX(0,1-(N(Screener!$D$12)-Database!$H431)/W_RECD))</f>
        <v/>
      </c>
      <c r="H431">
        <f>IF($U$1="",0,N(ISNUMBER(SEARCH($U$1,Database!$AC431&amp;""))))+IF($V$1="",0,N(ISNUMBER(SEARCH($V$1,Database!$AC431&amp;""))))+IF($W$1="",0,N(ISNUMBER(SEARCH($W$1,Database!$AC431&amp;""))))+IF($X$1="",0,N(ISNUMBER(SEARCH($X$1,Database!$AC431&amp;""))))+IF($Y$1="",0,N(ISNUMBER(SEARCH($Y$1,Database!$AC431&amp;""))))+IF(Screener!$B$17="",0,N(ISNUMBER(SEARCH(LOWER(Screener!$B$17),Database!$AC431&amp;""))))</f>
        <v/>
      </c>
      <c r="I431">
        <f>IF(OR(N(Database!$BG431)&lt;=0,N(Screener!$D$13)&lt;=0),0,MAX(0,1-ABS(LOG10(N(Database!$BG431)/Screener!$D$13))/W_PEHW))</f>
        <v/>
      </c>
      <c r="J431">
        <f>IF(OR(N(Database!$S431)&lt;=0,N(Screener!$D$14)&lt;=0),0,MAX(0,1-ABS(LOG10(Database!$S431/Screener!$D$14))/0.6))</f>
        <v/>
      </c>
      <c r="K431">
        <f>IF(Database!$B431=Screener!$B$5,-999999,IF(ISNUMBER(SEARCH(","&amp;Database!$A431&amp;",",","&amp;SUBSTITUTE(Screener!$D$17," ","")&amp;",")),2000000,IF(IF(OR(Screener!$B$18="All",AND(Screener!$B$18="With A-share",(Database!$BL431="Y")),AND(Screener!$B$18="Without A-share",NOT((Database!$BL431="Y")))),1,0)=0,-999999,IF(Screener!$B$16="cornerstone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Database!BF419</f>
        <v/>
      </c>
      <c r="AF431">
        <f>Database!BL419</f>
        <v/>
      </c>
      <c r="AG431">
        <f>Database!H419</f>
        <v/>
      </c>
      <c r="AH431">
        <f>Database!BG419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IF(OR(Database!$BF432="",Screener!$D$10=""),0,IF(Database!$BF432=Screener!$D$10,1,0))</f>
        <v/>
      </c>
      <c r="F432">
        <f>IF(OR(Database!$BL432="",Screener!$D$11=""),0,IF(Database!$BL432=Screener!$D$11,1,0))</f>
        <v/>
      </c>
      <c r="G432">
        <f>IF(OR(Database!$H432="",N(Screener!$D$12)&lt;=0),0,MAX(0,1-(N(Screener!$D$12)-Database!$H432)/W_RECD))</f>
        <v/>
      </c>
      <c r="H432">
        <f>IF($U$1="",0,N(ISNUMBER(SEARCH($U$1,Database!$AC432&amp;""))))+IF($V$1="",0,N(ISNUMBER(SEARCH($V$1,Database!$AC432&amp;""))))+IF($W$1="",0,N(ISNUMBER(SEARCH($W$1,Database!$AC432&amp;""))))+IF($X$1="",0,N(ISNUMBER(SEARCH($X$1,Database!$AC432&amp;""))))+IF($Y$1="",0,N(ISNUMBER(SEARCH($Y$1,Database!$AC432&amp;""))))+IF(Screener!$B$17="",0,N(ISNUMBER(SEARCH(LOWER(Screener!$B$17),Database!$AC432&amp;""))))</f>
        <v/>
      </c>
      <c r="I432">
        <f>IF(OR(N(Database!$BG432)&lt;=0,N(Screener!$D$13)&lt;=0),0,MAX(0,1-ABS(LOG10(N(Database!$BG432)/Screener!$D$13))/W_PEHW))</f>
        <v/>
      </c>
      <c r="J432">
        <f>IF(OR(N(Database!$S432)&lt;=0,N(Screener!$D$14)&lt;=0),0,MAX(0,1-ABS(LOG10(Database!$S432/Screener!$D$14))/0.6))</f>
        <v/>
      </c>
      <c r="K432">
        <f>IF(Database!$B432=Screener!$B$5,-999999,IF(ISNUMBER(SEARCH(","&amp;Database!$A432&amp;",",","&amp;SUBSTITUTE(Screener!$D$17," ","")&amp;",")),2000000,IF(IF(OR(Screener!$B$18="All",AND(Screener!$B$18="With A-share",(Database!$BL432="Y")),AND(Screener!$B$18="Without A-share",NOT((Database!$BL432="Y")))),1,0)=0,-999999,IF(Screener!$B$16="cornerstone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Database!BF420</f>
        <v/>
      </c>
      <c r="AF432">
        <f>Database!BL420</f>
        <v/>
      </c>
      <c r="AG432">
        <f>Database!H420</f>
        <v/>
      </c>
      <c r="AH432">
        <f>Database!BG420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IF(OR(Database!$BF433="",Screener!$D$10=""),0,IF(Database!$BF433=Screener!$D$10,1,0))</f>
        <v/>
      </c>
      <c r="F433">
        <f>IF(OR(Database!$BL433="",Screener!$D$11=""),0,IF(Database!$BL433=Screener!$D$11,1,0))</f>
        <v/>
      </c>
      <c r="G433">
        <f>IF(OR(Database!$H433="",N(Screener!$D$12)&lt;=0),0,MAX(0,1-(N(Screener!$D$12)-Database!$H433)/W_RECD))</f>
        <v/>
      </c>
      <c r="H433">
        <f>IF($U$1="",0,N(ISNUMBER(SEARCH($U$1,Database!$AC433&amp;""))))+IF($V$1="",0,N(ISNUMBER(SEARCH($V$1,Database!$AC433&amp;""))))+IF($W$1="",0,N(ISNUMBER(SEARCH($W$1,Database!$AC433&amp;""))))+IF($X$1="",0,N(ISNUMBER(SEARCH($X$1,Database!$AC433&amp;""))))+IF($Y$1="",0,N(ISNUMBER(SEARCH($Y$1,Database!$AC433&amp;""))))+IF(Screener!$B$17="",0,N(ISNUMBER(SEARCH(LOWER(Screener!$B$17),Database!$AC433&amp;""))))</f>
        <v/>
      </c>
      <c r="I433">
        <f>IF(OR(N(Database!$BG433)&lt;=0,N(Screener!$D$13)&lt;=0),0,MAX(0,1-ABS(LOG10(N(Database!$BG433)/Screener!$D$13))/W_PEHW))</f>
        <v/>
      </c>
      <c r="J433">
        <f>IF(OR(N(Database!$S433)&lt;=0,N(Screener!$D$14)&lt;=0),0,MAX(0,1-ABS(LOG10(Database!$S433/Screener!$D$14))/0.6))</f>
        <v/>
      </c>
      <c r="K433">
        <f>IF(Database!$B433=Screener!$B$5,-999999,IF(ISNUMBER(SEARCH(","&amp;Database!$A433&amp;",",","&amp;SUBSTITUTE(Screener!$D$17," ","")&amp;",")),2000000,IF(IF(OR(Screener!$B$18="All",AND(Screener!$B$18="With A-share",(Database!$BL433="Y")),AND(Screener!$B$18="Without A-share",NOT((Database!$BL433="Y")))),1,0)=0,-999999,IF(Screener!$B$16="cornerstone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Database!BF421</f>
        <v/>
      </c>
      <c r="AF433">
        <f>Database!BL421</f>
        <v/>
      </c>
      <c r="AG433">
        <f>Database!H421</f>
        <v/>
      </c>
      <c r="AH433">
        <f>Database!BG421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IF(OR(Database!$BF434="",Screener!$D$10=""),0,IF(Database!$BF434=Screener!$D$10,1,0))</f>
        <v/>
      </c>
      <c r="F434">
        <f>IF(OR(Database!$BL434="",Screener!$D$11=""),0,IF(Database!$BL434=Screener!$D$11,1,0))</f>
        <v/>
      </c>
      <c r="G434">
        <f>IF(OR(Database!$H434="",N(Screener!$D$12)&lt;=0),0,MAX(0,1-(N(Screener!$D$12)-Database!$H434)/W_RECD))</f>
        <v/>
      </c>
      <c r="H434">
        <f>IF($U$1="",0,N(ISNUMBER(SEARCH($U$1,Database!$AC434&amp;""))))+IF($V$1="",0,N(ISNUMBER(SEARCH($V$1,Database!$AC434&amp;""))))+IF($W$1="",0,N(ISNUMBER(SEARCH($W$1,Database!$AC434&amp;""))))+IF($X$1="",0,N(ISNUMBER(SEARCH($X$1,Database!$AC434&amp;""))))+IF($Y$1="",0,N(ISNUMBER(SEARCH($Y$1,Database!$AC434&amp;""))))+IF(Screener!$B$17="",0,N(ISNUMBER(SEARCH(LOWER(Screener!$B$17),Database!$AC434&amp;""))))</f>
        <v/>
      </c>
      <c r="I434">
        <f>IF(OR(N(Database!$BG434)&lt;=0,N(Screener!$D$13)&lt;=0),0,MAX(0,1-ABS(LOG10(N(Database!$BG434)/Screener!$D$13))/W_PEHW))</f>
        <v/>
      </c>
      <c r="J434">
        <f>IF(OR(N(Database!$S434)&lt;=0,N(Screener!$D$14)&lt;=0),0,MAX(0,1-ABS(LOG10(Database!$S434/Screener!$D$14))/0.6))</f>
        <v/>
      </c>
      <c r="K434">
        <f>IF(Database!$B434=Screener!$B$5,-999999,IF(ISNUMBER(SEARCH(","&amp;Database!$A434&amp;",",","&amp;SUBSTITUTE(Screener!$D$17," ","")&amp;",")),2000000,IF(IF(OR(Screener!$B$18="All",AND(Screener!$B$18="With A-share",(Database!$BL434="Y")),AND(Screener!$B$18="Without A-share",NOT((Database!$BL434="Y")))),1,0)=0,-999999,IF(Screener!$B$16="cornerstone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Database!BF422</f>
        <v/>
      </c>
      <c r="AF434">
        <f>Database!BL422</f>
        <v/>
      </c>
      <c r="AG434">
        <f>Database!H422</f>
        <v/>
      </c>
      <c r="AH434">
        <f>Database!BG422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IF(OR(Database!$BF435="",Screener!$D$10=""),0,IF(Database!$BF435=Screener!$D$10,1,0))</f>
        <v/>
      </c>
      <c r="F435">
        <f>IF(OR(Database!$BL435="",Screener!$D$11=""),0,IF(Database!$BL435=Screener!$D$11,1,0))</f>
        <v/>
      </c>
      <c r="G435">
        <f>IF(OR(Database!$H435="",N(Screener!$D$12)&lt;=0),0,MAX(0,1-(N(Screener!$D$12)-Database!$H435)/W_RECD))</f>
        <v/>
      </c>
      <c r="H435">
        <f>IF($U$1="",0,N(ISNUMBER(SEARCH($U$1,Database!$AC435&amp;""))))+IF($V$1="",0,N(ISNUMBER(SEARCH($V$1,Database!$AC435&amp;""))))+IF($W$1="",0,N(ISNUMBER(SEARCH($W$1,Database!$AC435&amp;""))))+IF($X$1="",0,N(ISNUMBER(SEARCH($X$1,Database!$AC435&amp;""))))+IF($Y$1="",0,N(ISNUMBER(SEARCH($Y$1,Database!$AC435&amp;""))))+IF(Screener!$B$17="",0,N(ISNUMBER(SEARCH(LOWER(Screener!$B$17),Database!$AC435&amp;""))))</f>
        <v/>
      </c>
      <c r="I435">
        <f>IF(OR(N(Database!$BG435)&lt;=0,N(Screener!$D$13)&lt;=0),0,MAX(0,1-ABS(LOG10(N(Database!$BG435)/Screener!$D$13))/W_PEHW))</f>
        <v/>
      </c>
      <c r="J435">
        <f>IF(OR(N(Database!$S435)&lt;=0,N(Screener!$D$14)&lt;=0),0,MAX(0,1-ABS(LOG10(Database!$S435/Screener!$D$14))/0.6))</f>
        <v/>
      </c>
      <c r="K435">
        <f>IF(Database!$B435=Screener!$B$5,-999999,IF(ISNUMBER(SEARCH(","&amp;Database!$A435&amp;",",","&amp;SUBSTITUTE(Screener!$D$17," ","")&amp;",")),2000000,IF(IF(OR(Screener!$B$18="All",AND(Screener!$B$18="With A-share",(Database!$BL435="Y")),AND(Screener!$B$18="Without A-share",NOT((Database!$BL435="Y")))),1,0)=0,-999999,IF(Screener!$B$16="cornerstone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Database!BF423</f>
        <v/>
      </c>
      <c r="AF435">
        <f>Database!BL423</f>
        <v/>
      </c>
      <c r="AG435">
        <f>Database!H423</f>
        <v/>
      </c>
      <c r="AH435">
        <f>Database!BG423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IF(OR(Database!$BF436="",Screener!$D$10=""),0,IF(Database!$BF436=Screener!$D$10,1,0))</f>
        <v/>
      </c>
      <c r="F436">
        <f>IF(OR(Database!$BL436="",Screener!$D$11=""),0,IF(Database!$BL436=Screener!$D$11,1,0))</f>
        <v/>
      </c>
      <c r="G436">
        <f>IF(OR(Database!$H436="",N(Screener!$D$12)&lt;=0),0,MAX(0,1-(N(Screener!$D$12)-Database!$H436)/W_RECD))</f>
        <v/>
      </c>
      <c r="H436">
        <f>IF($U$1="",0,N(ISNUMBER(SEARCH($U$1,Database!$AC436&amp;""))))+IF($V$1="",0,N(ISNUMBER(SEARCH($V$1,Database!$AC436&amp;""))))+IF($W$1="",0,N(ISNUMBER(SEARCH($W$1,Database!$AC436&amp;""))))+IF($X$1="",0,N(ISNUMBER(SEARCH($X$1,Database!$AC436&amp;""))))+IF($Y$1="",0,N(ISNUMBER(SEARCH($Y$1,Database!$AC436&amp;""))))+IF(Screener!$B$17="",0,N(ISNUMBER(SEARCH(LOWER(Screener!$B$17),Database!$AC436&amp;""))))</f>
        <v/>
      </c>
      <c r="I436">
        <f>IF(OR(N(Database!$BG436)&lt;=0,N(Screener!$D$13)&lt;=0),0,MAX(0,1-ABS(LOG10(N(Database!$BG436)/Screener!$D$13))/W_PEHW))</f>
        <v/>
      </c>
      <c r="J436">
        <f>IF(OR(N(Database!$S436)&lt;=0,N(Screener!$D$14)&lt;=0),0,MAX(0,1-ABS(LOG10(Database!$S436/Screener!$D$14))/0.6))</f>
        <v/>
      </c>
      <c r="K436">
        <f>IF(Database!$B436=Screener!$B$5,-999999,IF(ISNUMBER(SEARCH(","&amp;Database!$A436&amp;",",","&amp;SUBSTITUTE(Screener!$D$17," ","")&amp;",")),2000000,IF(IF(OR(Screener!$B$18="All",AND(Screener!$B$18="With A-share",(Database!$BL436="Y")),AND(Screener!$B$18="Without A-share",NOT((Database!$BL436="Y")))),1,0)=0,-999999,IF(Screener!$B$16="cornerstone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Database!BF424</f>
        <v/>
      </c>
      <c r="AF436">
        <f>Database!BL424</f>
        <v/>
      </c>
      <c r="AG436">
        <f>Database!H424</f>
        <v/>
      </c>
      <c r="AH436">
        <f>Database!BG424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IF(OR(Database!$BF437="",Screener!$D$10=""),0,IF(Database!$BF437=Screener!$D$10,1,0))</f>
        <v/>
      </c>
      <c r="F437">
        <f>IF(OR(Database!$BL437="",Screener!$D$11=""),0,IF(Database!$BL437=Screener!$D$11,1,0))</f>
        <v/>
      </c>
      <c r="G437">
        <f>IF(OR(Database!$H437="",N(Screener!$D$12)&lt;=0),0,MAX(0,1-(N(Screener!$D$12)-Database!$H437)/W_RECD))</f>
        <v/>
      </c>
      <c r="H437">
        <f>IF($U$1="",0,N(ISNUMBER(SEARCH($U$1,Database!$AC437&amp;""))))+IF($V$1="",0,N(ISNUMBER(SEARCH($V$1,Database!$AC437&amp;""))))+IF($W$1="",0,N(ISNUMBER(SEARCH($W$1,Database!$AC437&amp;""))))+IF($X$1="",0,N(ISNUMBER(SEARCH($X$1,Database!$AC437&amp;""))))+IF($Y$1="",0,N(ISNUMBER(SEARCH($Y$1,Database!$AC437&amp;""))))+IF(Screener!$B$17="",0,N(ISNUMBER(SEARCH(LOWER(Screener!$B$17),Database!$AC437&amp;""))))</f>
        <v/>
      </c>
      <c r="I437">
        <f>IF(OR(N(Database!$BG437)&lt;=0,N(Screener!$D$13)&lt;=0),0,MAX(0,1-ABS(LOG10(N(Database!$BG437)/Screener!$D$13))/W_PEHW))</f>
        <v/>
      </c>
      <c r="J437">
        <f>IF(OR(N(Database!$S437)&lt;=0,N(Screener!$D$14)&lt;=0),0,MAX(0,1-ABS(LOG10(Database!$S437/Screener!$D$14))/0.6))</f>
        <v/>
      </c>
      <c r="K437">
        <f>IF(Database!$B437=Screener!$B$5,-999999,IF(ISNUMBER(SEARCH(","&amp;Database!$A437&amp;",",","&amp;SUBSTITUTE(Screener!$D$17," ","")&amp;",")),2000000,IF(IF(OR(Screener!$B$18="All",AND(Screener!$B$18="With A-share",(Database!$BL437="Y")),AND(Screener!$B$18="Without A-share",NOT((Database!$BL437="Y")))),1,0)=0,-999999,IF(Screener!$B$16="cornerstone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Database!BF425</f>
        <v/>
      </c>
      <c r="AF437">
        <f>Database!BL425</f>
        <v/>
      </c>
      <c r="AG437">
        <f>Database!H425</f>
        <v/>
      </c>
      <c r="AH437">
        <f>Database!BG425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IF(OR(Database!$BF438="",Screener!$D$10=""),0,IF(Database!$BF438=Screener!$D$10,1,0))</f>
        <v/>
      </c>
      <c r="F438">
        <f>IF(OR(Database!$BL438="",Screener!$D$11=""),0,IF(Database!$BL438=Screener!$D$11,1,0))</f>
        <v/>
      </c>
      <c r="G438">
        <f>IF(OR(Database!$H438="",N(Screener!$D$12)&lt;=0),0,MAX(0,1-(N(Screener!$D$12)-Database!$H438)/W_RECD))</f>
        <v/>
      </c>
      <c r="H438">
        <f>IF($U$1="",0,N(ISNUMBER(SEARCH($U$1,Database!$AC438&amp;""))))+IF($V$1="",0,N(ISNUMBER(SEARCH($V$1,Database!$AC438&amp;""))))+IF($W$1="",0,N(ISNUMBER(SEARCH($W$1,Database!$AC438&amp;""))))+IF($X$1="",0,N(ISNUMBER(SEARCH($X$1,Database!$AC438&amp;""))))+IF($Y$1="",0,N(ISNUMBER(SEARCH($Y$1,Database!$AC438&amp;""))))+IF(Screener!$B$17="",0,N(ISNUMBER(SEARCH(LOWER(Screener!$B$17),Database!$AC438&amp;""))))</f>
        <v/>
      </c>
      <c r="I438">
        <f>IF(OR(N(Database!$BG438)&lt;=0,N(Screener!$D$13)&lt;=0),0,MAX(0,1-ABS(LOG10(N(Database!$BG438)/Screener!$D$13))/W_PEHW))</f>
        <v/>
      </c>
      <c r="J438">
        <f>IF(OR(N(Database!$S438)&lt;=0,N(Screener!$D$14)&lt;=0),0,MAX(0,1-ABS(LOG10(Database!$S438/Screener!$D$14))/0.6))</f>
        <v/>
      </c>
      <c r="K438">
        <f>IF(Database!$B438=Screener!$B$5,-999999,IF(ISNUMBER(SEARCH(","&amp;Database!$A438&amp;",",","&amp;SUBSTITUTE(Screener!$D$17," ","")&amp;",")),2000000,IF(IF(OR(Screener!$B$18="All",AND(Screener!$B$18="With A-share",(Database!$BL438="Y")),AND(Screener!$B$18="Without A-share",NOT((Database!$BL438="Y")))),1,0)=0,-999999,IF(Screener!$B$16="cornerstone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Database!BF426</f>
        <v/>
      </c>
      <c r="AF438">
        <f>Database!BL426</f>
        <v/>
      </c>
      <c r="AG438">
        <f>Database!H426</f>
        <v/>
      </c>
      <c r="AH438">
        <f>Database!BG426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IF(OR(Database!$BF439="",Screener!$D$10=""),0,IF(Database!$BF439=Screener!$D$10,1,0))</f>
        <v/>
      </c>
      <c r="F439">
        <f>IF(OR(Database!$BL439="",Screener!$D$11=""),0,IF(Database!$BL439=Screener!$D$11,1,0))</f>
        <v/>
      </c>
      <c r="G439">
        <f>IF(OR(Database!$H439="",N(Screener!$D$12)&lt;=0),0,MAX(0,1-(N(Screener!$D$12)-Database!$H439)/W_RECD))</f>
        <v/>
      </c>
      <c r="H439">
        <f>IF($U$1="",0,N(ISNUMBER(SEARCH($U$1,Database!$AC439&amp;""))))+IF($V$1="",0,N(ISNUMBER(SEARCH($V$1,Database!$AC439&amp;""))))+IF($W$1="",0,N(ISNUMBER(SEARCH($W$1,Database!$AC439&amp;""))))+IF($X$1="",0,N(ISNUMBER(SEARCH($X$1,Database!$AC439&amp;""))))+IF($Y$1="",0,N(ISNUMBER(SEARCH($Y$1,Database!$AC439&amp;""))))+IF(Screener!$B$17="",0,N(ISNUMBER(SEARCH(LOWER(Screener!$B$17),Database!$AC439&amp;""))))</f>
        <v/>
      </c>
      <c r="I439">
        <f>IF(OR(N(Database!$BG439)&lt;=0,N(Screener!$D$13)&lt;=0),0,MAX(0,1-ABS(LOG10(N(Database!$BG439)/Screener!$D$13))/W_PEHW))</f>
        <v/>
      </c>
      <c r="J439">
        <f>IF(OR(N(Database!$S439)&lt;=0,N(Screener!$D$14)&lt;=0),0,MAX(0,1-ABS(LOG10(Database!$S439/Screener!$D$14))/0.6))</f>
        <v/>
      </c>
      <c r="K439">
        <f>IF(Database!$B439=Screener!$B$5,-999999,IF(ISNUMBER(SEARCH(","&amp;Database!$A439&amp;",",","&amp;SUBSTITUTE(Screener!$D$17," ","")&amp;",")),2000000,IF(IF(OR(Screener!$B$18="All",AND(Screener!$B$18="With A-share",(Database!$BL439="Y")),AND(Screener!$B$18="Without A-share",NOT((Database!$BL439="Y")))),1,0)=0,-999999,IF(Screener!$B$16="cornerstone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Database!BF427</f>
        <v/>
      </c>
      <c r="AF439">
        <f>Database!BL427</f>
        <v/>
      </c>
      <c r="AG439">
        <f>Database!H427</f>
        <v/>
      </c>
      <c r="AH439">
        <f>Database!BG427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IF(OR(Database!$BF440="",Screener!$D$10=""),0,IF(Database!$BF440=Screener!$D$10,1,0))</f>
        <v/>
      </c>
      <c r="F440">
        <f>IF(OR(Database!$BL440="",Screener!$D$11=""),0,IF(Database!$BL440=Screener!$D$11,1,0))</f>
        <v/>
      </c>
      <c r="G440">
        <f>IF(OR(Database!$H440="",N(Screener!$D$12)&lt;=0),0,MAX(0,1-(N(Screener!$D$12)-Database!$H440)/W_RECD))</f>
        <v/>
      </c>
      <c r="H440">
        <f>IF($U$1="",0,N(ISNUMBER(SEARCH($U$1,Database!$AC440&amp;""))))+IF($V$1="",0,N(ISNUMBER(SEARCH($V$1,Database!$AC440&amp;""))))+IF($W$1="",0,N(ISNUMBER(SEARCH($W$1,Database!$AC440&amp;""))))+IF($X$1="",0,N(ISNUMBER(SEARCH($X$1,Database!$AC440&amp;""))))+IF($Y$1="",0,N(ISNUMBER(SEARCH($Y$1,Database!$AC440&amp;""))))+IF(Screener!$B$17="",0,N(ISNUMBER(SEARCH(LOWER(Screener!$B$17),Database!$AC440&amp;""))))</f>
        <v/>
      </c>
      <c r="I440">
        <f>IF(OR(N(Database!$BG440)&lt;=0,N(Screener!$D$13)&lt;=0),0,MAX(0,1-ABS(LOG10(N(Database!$BG440)/Screener!$D$13))/W_PEHW))</f>
        <v/>
      </c>
      <c r="J440">
        <f>IF(OR(N(Database!$S440)&lt;=0,N(Screener!$D$14)&lt;=0),0,MAX(0,1-ABS(LOG10(Database!$S440/Screener!$D$14))/0.6))</f>
        <v/>
      </c>
      <c r="K440">
        <f>IF(Database!$B440=Screener!$B$5,-999999,IF(ISNUMBER(SEARCH(","&amp;Database!$A440&amp;",",","&amp;SUBSTITUTE(Screener!$D$17," ","")&amp;",")),2000000,IF(IF(OR(Screener!$B$18="All",AND(Screener!$B$18="With A-share",(Database!$BL440="Y")),AND(Screener!$B$18="Without A-share",NOT((Database!$BL440="Y")))),1,0)=0,-999999,IF(Screener!$B$16="cornerstone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Database!BF428</f>
        <v/>
      </c>
      <c r="AF440">
        <f>Database!BL428</f>
        <v/>
      </c>
      <c r="AG440">
        <f>Database!H428</f>
        <v/>
      </c>
      <c r="AH440">
        <f>Database!BG428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IF(OR(Database!$BF441="",Screener!$D$10=""),0,IF(Database!$BF441=Screener!$D$10,1,0))</f>
        <v/>
      </c>
      <c r="F441">
        <f>IF(OR(Database!$BL441="",Screener!$D$11=""),0,IF(Database!$BL441=Screener!$D$11,1,0))</f>
        <v/>
      </c>
      <c r="G441">
        <f>IF(OR(Database!$H441="",N(Screener!$D$12)&lt;=0),0,MAX(0,1-(N(Screener!$D$12)-Database!$H441)/W_RECD))</f>
        <v/>
      </c>
      <c r="H441">
        <f>IF($U$1="",0,N(ISNUMBER(SEARCH($U$1,Database!$AC441&amp;""))))+IF($V$1="",0,N(ISNUMBER(SEARCH($V$1,Database!$AC441&amp;""))))+IF($W$1="",0,N(ISNUMBER(SEARCH($W$1,Database!$AC441&amp;""))))+IF($X$1="",0,N(ISNUMBER(SEARCH($X$1,Database!$AC441&amp;""))))+IF($Y$1="",0,N(ISNUMBER(SEARCH($Y$1,Database!$AC441&amp;""))))+IF(Screener!$B$17="",0,N(ISNUMBER(SEARCH(LOWER(Screener!$B$17),Database!$AC441&amp;""))))</f>
        <v/>
      </c>
      <c r="I441">
        <f>IF(OR(N(Database!$BG441)&lt;=0,N(Screener!$D$13)&lt;=0),0,MAX(0,1-ABS(LOG10(N(Database!$BG441)/Screener!$D$13))/W_PEHW))</f>
        <v/>
      </c>
      <c r="J441">
        <f>IF(OR(N(Database!$S441)&lt;=0,N(Screener!$D$14)&lt;=0),0,MAX(0,1-ABS(LOG10(Database!$S441/Screener!$D$14))/0.6))</f>
        <v/>
      </c>
      <c r="K441">
        <f>IF(Database!$B441=Screener!$B$5,-999999,IF(ISNUMBER(SEARCH(","&amp;Database!$A441&amp;",",","&amp;SUBSTITUTE(Screener!$D$17," ","")&amp;",")),2000000,IF(IF(OR(Screener!$B$18="All",AND(Screener!$B$18="With A-share",(Database!$BL441="Y")),AND(Screener!$B$18="Without A-share",NOT((Database!$BL441="Y")))),1,0)=0,-999999,IF(Screener!$B$16="cornerstone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Database!BF429</f>
        <v/>
      </c>
      <c r="AF441">
        <f>Database!BL429</f>
        <v/>
      </c>
      <c r="AG441">
        <f>Database!H429</f>
        <v/>
      </c>
      <c r="AH441">
        <f>Database!BG429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IF(OR(Database!$BF442="",Screener!$D$10=""),0,IF(Database!$BF442=Screener!$D$10,1,0))</f>
        <v/>
      </c>
      <c r="F442">
        <f>IF(OR(Database!$BL442="",Screener!$D$11=""),0,IF(Database!$BL442=Screener!$D$11,1,0))</f>
        <v/>
      </c>
      <c r="G442">
        <f>IF(OR(Database!$H442="",N(Screener!$D$12)&lt;=0),0,MAX(0,1-(N(Screener!$D$12)-Database!$H442)/W_RECD))</f>
        <v/>
      </c>
      <c r="H442">
        <f>IF($U$1="",0,N(ISNUMBER(SEARCH($U$1,Database!$AC442&amp;""))))+IF($V$1="",0,N(ISNUMBER(SEARCH($V$1,Database!$AC442&amp;""))))+IF($W$1="",0,N(ISNUMBER(SEARCH($W$1,Database!$AC442&amp;""))))+IF($X$1="",0,N(ISNUMBER(SEARCH($X$1,Database!$AC442&amp;""))))+IF($Y$1="",0,N(ISNUMBER(SEARCH($Y$1,Database!$AC442&amp;""))))+IF(Screener!$B$17="",0,N(ISNUMBER(SEARCH(LOWER(Screener!$B$17),Database!$AC442&amp;""))))</f>
        <v/>
      </c>
      <c r="I442">
        <f>IF(OR(N(Database!$BG442)&lt;=0,N(Screener!$D$13)&lt;=0),0,MAX(0,1-ABS(LOG10(N(Database!$BG442)/Screener!$D$13))/W_PEHW))</f>
        <v/>
      </c>
      <c r="J442">
        <f>IF(OR(N(Database!$S442)&lt;=0,N(Screener!$D$14)&lt;=0),0,MAX(0,1-ABS(LOG10(Database!$S442/Screener!$D$14))/0.6))</f>
        <v/>
      </c>
      <c r="K442">
        <f>IF(Database!$B442=Screener!$B$5,-999999,IF(ISNUMBER(SEARCH(","&amp;Database!$A442&amp;",",","&amp;SUBSTITUTE(Screener!$D$17," ","")&amp;",")),2000000,IF(IF(OR(Screener!$B$18="All",AND(Screener!$B$18="With A-share",(Database!$BL442="Y")),AND(Screener!$B$18="Without A-share",NOT((Database!$BL442="Y")))),1,0)=0,-999999,IF(Screener!$B$16="cornerstone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Database!BF430</f>
        <v/>
      </c>
      <c r="AF442">
        <f>Database!BL430</f>
        <v/>
      </c>
      <c r="AG442">
        <f>Database!H430</f>
        <v/>
      </c>
      <c r="AH442">
        <f>Database!BG430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IF(OR(Database!$BF443="",Screener!$D$10=""),0,IF(Database!$BF443=Screener!$D$10,1,0))</f>
        <v/>
      </c>
      <c r="F443">
        <f>IF(OR(Database!$BL443="",Screener!$D$11=""),0,IF(Database!$BL443=Screener!$D$11,1,0))</f>
        <v/>
      </c>
      <c r="G443">
        <f>IF(OR(Database!$H443="",N(Screener!$D$12)&lt;=0),0,MAX(0,1-(N(Screener!$D$12)-Database!$H443)/W_RECD))</f>
        <v/>
      </c>
      <c r="H443">
        <f>IF($U$1="",0,N(ISNUMBER(SEARCH($U$1,Database!$AC443&amp;""))))+IF($V$1="",0,N(ISNUMBER(SEARCH($V$1,Database!$AC443&amp;""))))+IF($W$1="",0,N(ISNUMBER(SEARCH($W$1,Database!$AC443&amp;""))))+IF($X$1="",0,N(ISNUMBER(SEARCH($X$1,Database!$AC443&amp;""))))+IF($Y$1="",0,N(ISNUMBER(SEARCH($Y$1,Database!$AC443&amp;""))))+IF(Screener!$B$17="",0,N(ISNUMBER(SEARCH(LOWER(Screener!$B$17),Database!$AC443&amp;""))))</f>
        <v/>
      </c>
      <c r="I443">
        <f>IF(OR(N(Database!$BG443)&lt;=0,N(Screener!$D$13)&lt;=0),0,MAX(0,1-ABS(LOG10(N(Database!$BG443)/Screener!$D$13))/W_PEHW))</f>
        <v/>
      </c>
      <c r="J443">
        <f>IF(OR(N(Database!$S443)&lt;=0,N(Screener!$D$14)&lt;=0),0,MAX(0,1-ABS(LOG10(Database!$S443/Screener!$D$14))/0.6))</f>
        <v/>
      </c>
      <c r="K443">
        <f>IF(Database!$B443=Screener!$B$5,-999999,IF(ISNUMBER(SEARCH(","&amp;Database!$A443&amp;",",","&amp;SUBSTITUTE(Screener!$D$17," ","")&amp;",")),2000000,IF(IF(OR(Screener!$B$18="All",AND(Screener!$B$18="With A-share",(Database!$BL443="Y")),AND(Screener!$B$18="Without A-share",NOT((Database!$BL443="Y")))),1,0)=0,-999999,IF(Screener!$B$16="cornerstone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Database!BF431</f>
        <v/>
      </c>
      <c r="AF443">
        <f>Database!BL431</f>
        <v/>
      </c>
      <c r="AG443">
        <f>Database!H431</f>
        <v/>
      </c>
      <c r="AH443">
        <f>Database!BG431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IF(OR(Database!$BF444="",Screener!$D$10=""),0,IF(Database!$BF444=Screener!$D$10,1,0))</f>
        <v/>
      </c>
      <c r="F444">
        <f>IF(OR(Database!$BL444="",Screener!$D$11=""),0,IF(Database!$BL444=Screener!$D$11,1,0))</f>
        <v/>
      </c>
      <c r="G444">
        <f>IF(OR(Database!$H444="",N(Screener!$D$12)&lt;=0),0,MAX(0,1-(N(Screener!$D$12)-Database!$H444)/W_RECD))</f>
        <v/>
      </c>
      <c r="H444">
        <f>IF($U$1="",0,N(ISNUMBER(SEARCH($U$1,Database!$AC444&amp;""))))+IF($V$1="",0,N(ISNUMBER(SEARCH($V$1,Database!$AC444&amp;""))))+IF($W$1="",0,N(ISNUMBER(SEARCH($W$1,Database!$AC444&amp;""))))+IF($X$1="",0,N(ISNUMBER(SEARCH($X$1,Database!$AC444&amp;""))))+IF($Y$1="",0,N(ISNUMBER(SEARCH($Y$1,Database!$AC444&amp;""))))+IF(Screener!$B$17="",0,N(ISNUMBER(SEARCH(LOWER(Screener!$B$17),Database!$AC444&amp;""))))</f>
        <v/>
      </c>
      <c r="I444">
        <f>IF(OR(N(Database!$BG444)&lt;=0,N(Screener!$D$13)&lt;=0),0,MAX(0,1-ABS(LOG10(N(Database!$BG444)/Screener!$D$13))/W_PEHW))</f>
        <v/>
      </c>
      <c r="J444">
        <f>IF(OR(N(Database!$S444)&lt;=0,N(Screener!$D$14)&lt;=0),0,MAX(0,1-ABS(LOG10(Database!$S444/Screener!$D$14))/0.6))</f>
        <v/>
      </c>
      <c r="K444">
        <f>IF(Database!$B444=Screener!$B$5,-999999,IF(ISNUMBER(SEARCH(","&amp;Database!$A444&amp;",",","&amp;SUBSTITUTE(Screener!$D$17," ","")&amp;",")),2000000,IF(IF(OR(Screener!$B$18="All",AND(Screener!$B$18="With A-share",(Database!$BL444="Y")),AND(Screener!$B$18="Without A-share",NOT((Database!$BL444="Y")))),1,0)=0,-999999,IF(Screener!$B$16="cornerstone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Database!BF432</f>
        <v/>
      </c>
      <c r="AF444">
        <f>Database!BL432</f>
        <v/>
      </c>
      <c r="AG444">
        <f>Database!H432</f>
        <v/>
      </c>
      <c r="AH444">
        <f>Database!BG432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IF(OR(Database!$BF445="",Screener!$D$10=""),0,IF(Database!$BF445=Screener!$D$10,1,0))</f>
        <v/>
      </c>
      <c r="F445">
        <f>IF(OR(Database!$BL445="",Screener!$D$11=""),0,IF(Database!$BL445=Screener!$D$11,1,0))</f>
        <v/>
      </c>
      <c r="G445">
        <f>IF(OR(Database!$H445="",N(Screener!$D$12)&lt;=0),0,MAX(0,1-(N(Screener!$D$12)-Database!$H445)/W_RECD))</f>
        <v/>
      </c>
      <c r="H445">
        <f>IF($U$1="",0,N(ISNUMBER(SEARCH($U$1,Database!$AC445&amp;""))))+IF($V$1="",0,N(ISNUMBER(SEARCH($V$1,Database!$AC445&amp;""))))+IF($W$1="",0,N(ISNUMBER(SEARCH($W$1,Database!$AC445&amp;""))))+IF($X$1="",0,N(ISNUMBER(SEARCH($X$1,Database!$AC445&amp;""))))+IF($Y$1="",0,N(ISNUMBER(SEARCH($Y$1,Database!$AC445&amp;""))))+IF(Screener!$B$17="",0,N(ISNUMBER(SEARCH(LOWER(Screener!$B$17),Database!$AC445&amp;""))))</f>
        <v/>
      </c>
      <c r="I445">
        <f>IF(OR(N(Database!$BG445)&lt;=0,N(Screener!$D$13)&lt;=0),0,MAX(0,1-ABS(LOG10(N(Database!$BG445)/Screener!$D$13))/W_PEHW))</f>
        <v/>
      </c>
      <c r="J445">
        <f>IF(OR(N(Database!$S445)&lt;=0,N(Screener!$D$14)&lt;=0),0,MAX(0,1-ABS(LOG10(Database!$S445/Screener!$D$14))/0.6))</f>
        <v/>
      </c>
      <c r="K445">
        <f>IF(Database!$B445=Screener!$B$5,-999999,IF(ISNUMBER(SEARCH(","&amp;Database!$A445&amp;",",","&amp;SUBSTITUTE(Screener!$D$17," ","")&amp;",")),2000000,IF(IF(OR(Screener!$B$18="All",AND(Screener!$B$18="With A-share",(Database!$BL445="Y")),AND(Screener!$B$18="Without A-share",NOT((Database!$BL445="Y")))),1,0)=0,-999999,IF(Screener!$B$16="cornerstone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Database!BF433</f>
        <v/>
      </c>
      <c r="AF445">
        <f>Database!BL433</f>
        <v/>
      </c>
      <c r="AG445">
        <f>Database!H433</f>
        <v/>
      </c>
      <c r="AH445">
        <f>Database!BG433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IF(OR(Database!$BF446="",Screener!$D$10=""),0,IF(Database!$BF446=Screener!$D$10,1,0))</f>
        <v/>
      </c>
      <c r="F446">
        <f>IF(OR(Database!$BL446="",Screener!$D$11=""),0,IF(Database!$BL446=Screener!$D$11,1,0))</f>
        <v/>
      </c>
      <c r="G446">
        <f>IF(OR(Database!$H446="",N(Screener!$D$12)&lt;=0),0,MAX(0,1-(N(Screener!$D$12)-Database!$H446)/W_RECD))</f>
        <v/>
      </c>
      <c r="H446">
        <f>IF($U$1="",0,N(ISNUMBER(SEARCH($U$1,Database!$AC446&amp;""))))+IF($V$1="",0,N(ISNUMBER(SEARCH($V$1,Database!$AC446&amp;""))))+IF($W$1="",0,N(ISNUMBER(SEARCH($W$1,Database!$AC446&amp;""))))+IF($X$1="",0,N(ISNUMBER(SEARCH($X$1,Database!$AC446&amp;""))))+IF($Y$1="",0,N(ISNUMBER(SEARCH($Y$1,Database!$AC446&amp;""))))+IF(Screener!$B$17="",0,N(ISNUMBER(SEARCH(LOWER(Screener!$B$17),Database!$AC446&amp;""))))</f>
        <v/>
      </c>
      <c r="I446">
        <f>IF(OR(N(Database!$BG446)&lt;=0,N(Screener!$D$13)&lt;=0),0,MAX(0,1-ABS(LOG10(N(Database!$BG446)/Screener!$D$13))/W_PEHW))</f>
        <v/>
      </c>
      <c r="J446">
        <f>IF(OR(N(Database!$S446)&lt;=0,N(Screener!$D$14)&lt;=0),0,MAX(0,1-ABS(LOG10(Database!$S446/Screener!$D$14))/0.6))</f>
        <v/>
      </c>
      <c r="K446">
        <f>IF(Database!$B446=Screener!$B$5,-999999,IF(ISNUMBER(SEARCH(","&amp;Database!$A446&amp;",",","&amp;SUBSTITUTE(Screener!$D$17," ","")&amp;",")),2000000,IF(IF(OR(Screener!$B$18="All",AND(Screener!$B$18="With A-share",(Database!$BL446="Y")),AND(Screener!$B$18="Without A-share",NOT((Database!$BL446="Y")))),1,0)=0,-999999,IF(Screener!$B$16="cornerstone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Database!BF434</f>
        <v/>
      </c>
      <c r="AF446">
        <f>Database!BL434</f>
        <v/>
      </c>
      <c r="AG446">
        <f>Database!H434</f>
        <v/>
      </c>
      <c r="AH446">
        <f>Database!BG434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IF(OR(Database!$BF447="",Screener!$D$10=""),0,IF(Database!$BF447=Screener!$D$10,1,0))</f>
        <v/>
      </c>
      <c r="F447">
        <f>IF(OR(Database!$BL447="",Screener!$D$11=""),0,IF(Database!$BL447=Screener!$D$11,1,0))</f>
        <v/>
      </c>
      <c r="G447">
        <f>IF(OR(Database!$H447="",N(Screener!$D$12)&lt;=0),0,MAX(0,1-(N(Screener!$D$12)-Database!$H447)/W_RECD))</f>
        <v/>
      </c>
      <c r="H447">
        <f>IF($U$1="",0,N(ISNUMBER(SEARCH($U$1,Database!$AC447&amp;""))))+IF($V$1="",0,N(ISNUMBER(SEARCH($V$1,Database!$AC447&amp;""))))+IF($W$1="",0,N(ISNUMBER(SEARCH($W$1,Database!$AC447&amp;""))))+IF($X$1="",0,N(ISNUMBER(SEARCH($X$1,Database!$AC447&amp;""))))+IF($Y$1="",0,N(ISNUMBER(SEARCH($Y$1,Database!$AC447&amp;""))))+IF(Screener!$B$17="",0,N(ISNUMBER(SEARCH(LOWER(Screener!$B$17),Database!$AC447&amp;""))))</f>
        <v/>
      </c>
      <c r="I447">
        <f>IF(OR(N(Database!$BG447)&lt;=0,N(Screener!$D$13)&lt;=0),0,MAX(0,1-ABS(LOG10(N(Database!$BG447)/Screener!$D$13))/W_PEHW))</f>
        <v/>
      </c>
      <c r="J447">
        <f>IF(OR(N(Database!$S447)&lt;=0,N(Screener!$D$14)&lt;=0),0,MAX(0,1-ABS(LOG10(Database!$S447/Screener!$D$14))/0.6))</f>
        <v/>
      </c>
      <c r="K447">
        <f>IF(Database!$B447=Screener!$B$5,-999999,IF(ISNUMBER(SEARCH(","&amp;Database!$A447&amp;",",","&amp;SUBSTITUTE(Screener!$D$17," ","")&amp;",")),2000000,IF(IF(OR(Screener!$B$18="All",AND(Screener!$B$18="With A-share",(Database!$BL447="Y")),AND(Screener!$B$18="Without A-share",NOT((Database!$BL447="Y")))),1,0)=0,-999999,IF(Screener!$B$16="cornerstone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Database!BF435</f>
        <v/>
      </c>
      <c r="AF447">
        <f>Database!BL435</f>
        <v/>
      </c>
      <c r="AG447">
        <f>Database!H435</f>
        <v/>
      </c>
      <c r="AH447">
        <f>Database!BG435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IF(OR(Database!$BF448="",Screener!$D$10=""),0,IF(Database!$BF448=Screener!$D$10,1,0))</f>
        <v/>
      </c>
      <c r="F448">
        <f>IF(OR(Database!$BL448="",Screener!$D$11=""),0,IF(Database!$BL448=Screener!$D$11,1,0))</f>
        <v/>
      </c>
      <c r="G448">
        <f>IF(OR(Database!$H448="",N(Screener!$D$12)&lt;=0),0,MAX(0,1-(N(Screener!$D$12)-Database!$H448)/W_RECD))</f>
        <v/>
      </c>
      <c r="H448">
        <f>IF($U$1="",0,N(ISNUMBER(SEARCH($U$1,Database!$AC448&amp;""))))+IF($V$1="",0,N(ISNUMBER(SEARCH($V$1,Database!$AC448&amp;""))))+IF($W$1="",0,N(ISNUMBER(SEARCH($W$1,Database!$AC448&amp;""))))+IF($X$1="",0,N(ISNUMBER(SEARCH($X$1,Database!$AC448&amp;""))))+IF($Y$1="",0,N(ISNUMBER(SEARCH($Y$1,Database!$AC448&amp;""))))+IF(Screener!$B$17="",0,N(ISNUMBER(SEARCH(LOWER(Screener!$B$17),Database!$AC448&amp;""))))</f>
        <v/>
      </c>
      <c r="I448">
        <f>IF(OR(N(Database!$BG448)&lt;=0,N(Screener!$D$13)&lt;=0),0,MAX(0,1-ABS(LOG10(N(Database!$BG448)/Screener!$D$13))/W_PEHW))</f>
        <v/>
      </c>
      <c r="J448">
        <f>IF(OR(N(Database!$S448)&lt;=0,N(Screener!$D$14)&lt;=0),0,MAX(0,1-ABS(LOG10(Database!$S448/Screener!$D$14))/0.6))</f>
        <v/>
      </c>
      <c r="K448">
        <f>IF(Database!$B448=Screener!$B$5,-999999,IF(ISNUMBER(SEARCH(","&amp;Database!$A448&amp;",",","&amp;SUBSTITUTE(Screener!$D$17," ","")&amp;",")),2000000,IF(IF(OR(Screener!$B$18="All",AND(Screener!$B$18="With A-share",(Database!$BL448="Y")),AND(Screener!$B$18="Without A-share",NOT((Database!$BL448="Y")))),1,0)=0,-999999,IF(Screener!$B$16="cornerstone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Database!BF436</f>
        <v/>
      </c>
      <c r="AF448">
        <f>Database!BL436</f>
        <v/>
      </c>
      <c r="AG448">
        <f>Database!H436</f>
        <v/>
      </c>
      <c r="AH448">
        <f>Database!BG436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IF(OR(Database!$BF449="",Screener!$D$10=""),0,IF(Database!$BF449=Screener!$D$10,1,0))</f>
        <v/>
      </c>
      <c r="F449">
        <f>IF(OR(Database!$BL449="",Screener!$D$11=""),0,IF(Database!$BL449=Screener!$D$11,1,0))</f>
        <v/>
      </c>
      <c r="G449">
        <f>IF(OR(Database!$H449="",N(Screener!$D$12)&lt;=0),0,MAX(0,1-(N(Screener!$D$12)-Database!$H449)/W_RECD))</f>
        <v/>
      </c>
      <c r="H449">
        <f>IF($U$1="",0,N(ISNUMBER(SEARCH($U$1,Database!$AC449&amp;""))))+IF($V$1="",0,N(ISNUMBER(SEARCH($V$1,Database!$AC449&amp;""))))+IF($W$1="",0,N(ISNUMBER(SEARCH($W$1,Database!$AC449&amp;""))))+IF($X$1="",0,N(ISNUMBER(SEARCH($X$1,Database!$AC449&amp;""))))+IF($Y$1="",0,N(ISNUMBER(SEARCH($Y$1,Database!$AC449&amp;""))))+IF(Screener!$B$17="",0,N(ISNUMBER(SEARCH(LOWER(Screener!$B$17),Database!$AC449&amp;""))))</f>
        <v/>
      </c>
      <c r="I449">
        <f>IF(OR(N(Database!$BG449)&lt;=0,N(Screener!$D$13)&lt;=0),0,MAX(0,1-ABS(LOG10(N(Database!$BG449)/Screener!$D$13))/W_PEHW))</f>
        <v/>
      </c>
      <c r="J449">
        <f>IF(OR(N(Database!$S449)&lt;=0,N(Screener!$D$14)&lt;=0),0,MAX(0,1-ABS(LOG10(Database!$S449/Screener!$D$14))/0.6))</f>
        <v/>
      </c>
      <c r="K449">
        <f>IF(Database!$B449=Screener!$B$5,-999999,IF(ISNUMBER(SEARCH(","&amp;Database!$A449&amp;",",","&amp;SUBSTITUTE(Screener!$D$17," ","")&amp;",")),2000000,IF(IF(OR(Screener!$B$18="All",AND(Screener!$B$18="With A-share",(Database!$BL449="Y")),AND(Screener!$B$18="Without A-share",NOT((Database!$BL449="Y")))),1,0)=0,-999999,IF(Screener!$B$16="cornerstone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Database!BF437</f>
        <v/>
      </c>
      <c r="AF449">
        <f>Database!BL437</f>
        <v/>
      </c>
      <c r="AG449">
        <f>Database!H437</f>
        <v/>
      </c>
      <c r="AH449">
        <f>Database!BG437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IF(OR(Database!$BF450="",Screener!$D$10=""),0,IF(Database!$BF450=Screener!$D$10,1,0))</f>
        <v/>
      </c>
      <c r="F450">
        <f>IF(OR(Database!$BL450="",Screener!$D$11=""),0,IF(Database!$BL450=Screener!$D$11,1,0))</f>
        <v/>
      </c>
      <c r="G450">
        <f>IF(OR(Database!$H450="",N(Screener!$D$12)&lt;=0),0,MAX(0,1-(N(Screener!$D$12)-Database!$H450)/W_RECD))</f>
        <v/>
      </c>
      <c r="H450">
        <f>IF($U$1="",0,N(ISNUMBER(SEARCH($U$1,Database!$AC450&amp;""))))+IF($V$1="",0,N(ISNUMBER(SEARCH($V$1,Database!$AC450&amp;""))))+IF($W$1="",0,N(ISNUMBER(SEARCH($W$1,Database!$AC450&amp;""))))+IF($X$1="",0,N(ISNUMBER(SEARCH($X$1,Database!$AC450&amp;""))))+IF($Y$1="",0,N(ISNUMBER(SEARCH($Y$1,Database!$AC450&amp;""))))+IF(Screener!$B$17="",0,N(ISNUMBER(SEARCH(LOWER(Screener!$B$17),Database!$AC450&amp;""))))</f>
        <v/>
      </c>
      <c r="I450">
        <f>IF(OR(N(Database!$BG450)&lt;=0,N(Screener!$D$13)&lt;=0),0,MAX(0,1-ABS(LOG10(N(Database!$BG450)/Screener!$D$13))/W_PEHW))</f>
        <v/>
      </c>
      <c r="J450">
        <f>IF(OR(N(Database!$S450)&lt;=0,N(Screener!$D$14)&lt;=0),0,MAX(0,1-ABS(LOG10(Database!$S450/Screener!$D$14))/0.6))</f>
        <v/>
      </c>
      <c r="K450">
        <f>IF(Database!$B450=Screener!$B$5,-999999,IF(ISNUMBER(SEARCH(","&amp;Database!$A450&amp;",",","&amp;SUBSTITUTE(Screener!$D$17," ","")&amp;",")),2000000,IF(IF(OR(Screener!$B$18="All",AND(Screener!$B$18="With A-share",(Database!$BL450="Y")),AND(Screener!$B$18="Without A-share",NOT((Database!$BL450="Y")))),1,0)=0,-999999,IF(Screener!$B$16="cornerstone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Database!BF438</f>
        <v/>
      </c>
      <c r="AF450">
        <f>Database!BL438</f>
        <v/>
      </c>
      <c r="AG450">
        <f>Database!H438</f>
        <v/>
      </c>
      <c r="AH450">
        <f>Database!BG438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IF(OR(Database!$BF451="",Screener!$D$10=""),0,IF(Database!$BF451=Screener!$D$10,1,0))</f>
        <v/>
      </c>
      <c r="F451">
        <f>IF(OR(Database!$BL451="",Screener!$D$11=""),0,IF(Database!$BL451=Screener!$D$11,1,0))</f>
        <v/>
      </c>
      <c r="G451">
        <f>IF(OR(Database!$H451="",N(Screener!$D$12)&lt;=0),0,MAX(0,1-(N(Screener!$D$12)-Database!$H451)/W_RECD))</f>
        <v/>
      </c>
      <c r="H451">
        <f>IF($U$1="",0,N(ISNUMBER(SEARCH($U$1,Database!$AC451&amp;""))))+IF($V$1="",0,N(ISNUMBER(SEARCH($V$1,Database!$AC451&amp;""))))+IF($W$1="",0,N(ISNUMBER(SEARCH($W$1,Database!$AC451&amp;""))))+IF($X$1="",0,N(ISNUMBER(SEARCH($X$1,Database!$AC451&amp;""))))+IF($Y$1="",0,N(ISNUMBER(SEARCH($Y$1,Database!$AC451&amp;""))))+IF(Screener!$B$17="",0,N(ISNUMBER(SEARCH(LOWER(Screener!$B$17),Database!$AC451&amp;""))))</f>
        <v/>
      </c>
      <c r="I451">
        <f>IF(OR(N(Database!$BG451)&lt;=0,N(Screener!$D$13)&lt;=0),0,MAX(0,1-ABS(LOG10(N(Database!$BG451)/Screener!$D$13))/W_PEHW))</f>
        <v/>
      </c>
      <c r="J451">
        <f>IF(OR(N(Database!$S451)&lt;=0,N(Screener!$D$14)&lt;=0),0,MAX(0,1-ABS(LOG10(Database!$S451/Screener!$D$14))/0.6))</f>
        <v/>
      </c>
      <c r="K451">
        <f>IF(Database!$B451=Screener!$B$5,-999999,IF(ISNUMBER(SEARCH(","&amp;Database!$A451&amp;",",","&amp;SUBSTITUTE(Screener!$D$17," ","")&amp;",")),2000000,IF(IF(OR(Screener!$B$18="All",AND(Screener!$B$18="With A-share",(Database!$BL451="Y")),AND(Screener!$B$18="Without A-share",NOT((Database!$BL451="Y")))),1,0)=0,-999999,IF(Screener!$B$16="cornerstone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Database!BF439</f>
        <v/>
      </c>
      <c r="AF451">
        <f>Database!BL439</f>
        <v/>
      </c>
      <c r="AG451">
        <f>Database!H439</f>
        <v/>
      </c>
      <c r="AH451">
        <f>Database!BG439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IF(OR(Database!$BF452="",Screener!$D$10=""),0,IF(Database!$BF452=Screener!$D$10,1,0))</f>
        <v/>
      </c>
      <c r="F452">
        <f>IF(OR(Database!$BL452="",Screener!$D$11=""),0,IF(Database!$BL452=Screener!$D$11,1,0))</f>
        <v/>
      </c>
      <c r="G452">
        <f>IF(OR(Database!$H452="",N(Screener!$D$12)&lt;=0),0,MAX(0,1-(N(Screener!$D$12)-Database!$H452)/W_RECD))</f>
        <v/>
      </c>
      <c r="H452">
        <f>IF($U$1="",0,N(ISNUMBER(SEARCH($U$1,Database!$AC452&amp;""))))+IF($V$1="",0,N(ISNUMBER(SEARCH($V$1,Database!$AC452&amp;""))))+IF($W$1="",0,N(ISNUMBER(SEARCH($W$1,Database!$AC452&amp;""))))+IF($X$1="",0,N(ISNUMBER(SEARCH($X$1,Database!$AC452&amp;""))))+IF($Y$1="",0,N(ISNUMBER(SEARCH($Y$1,Database!$AC452&amp;""))))+IF(Screener!$B$17="",0,N(ISNUMBER(SEARCH(LOWER(Screener!$B$17),Database!$AC452&amp;""))))</f>
        <v/>
      </c>
      <c r="I452">
        <f>IF(OR(N(Database!$BG452)&lt;=0,N(Screener!$D$13)&lt;=0),0,MAX(0,1-ABS(LOG10(N(Database!$BG452)/Screener!$D$13))/W_PEHW))</f>
        <v/>
      </c>
      <c r="J452">
        <f>IF(OR(N(Database!$S452)&lt;=0,N(Screener!$D$14)&lt;=0),0,MAX(0,1-ABS(LOG10(Database!$S452/Screener!$D$14))/0.6))</f>
        <v/>
      </c>
      <c r="K452">
        <f>IF(Database!$B452=Screener!$B$5,-999999,IF(ISNUMBER(SEARCH(","&amp;Database!$A452&amp;",",","&amp;SUBSTITUTE(Screener!$D$17," ","")&amp;",")),2000000,IF(IF(OR(Screener!$B$18="All",AND(Screener!$B$18="With A-share",(Database!$BL452="Y")),AND(Screener!$B$18="Without A-share",NOT((Database!$BL452="Y")))),1,0)=0,-999999,IF(Screener!$B$16="cornerstone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Database!BF440</f>
        <v/>
      </c>
      <c r="AF452">
        <f>Database!BL440</f>
        <v/>
      </c>
      <c r="AG452">
        <f>Database!H440</f>
        <v/>
      </c>
      <c r="AH452">
        <f>Database!BG440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IF(OR(Database!$BF453="",Screener!$D$10=""),0,IF(Database!$BF453=Screener!$D$10,1,0))</f>
        <v/>
      </c>
      <c r="F453">
        <f>IF(OR(Database!$BL453="",Screener!$D$11=""),0,IF(Database!$BL453=Screener!$D$11,1,0))</f>
        <v/>
      </c>
      <c r="G453">
        <f>IF(OR(Database!$H453="",N(Screener!$D$12)&lt;=0),0,MAX(0,1-(N(Screener!$D$12)-Database!$H453)/W_RECD))</f>
        <v/>
      </c>
      <c r="H453">
        <f>IF($U$1="",0,N(ISNUMBER(SEARCH($U$1,Database!$AC453&amp;""))))+IF($V$1="",0,N(ISNUMBER(SEARCH($V$1,Database!$AC453&amp;""))))+IF($W$1="",0,N(ISNUMBER(SEARCH($W$1,Database!$AC453&amp;""))))+IF($X$1="",0,N(ISNUMBER(SEARCH($X$1,Database!$AC453&amp;""))))+IF($Y$1="",0,N(ISNUMBER(SEARCH($Y$1,Database!$AC453&amp;""))))+IF(Screener!$B$17="",0,N(ISNUMBER(SEARCH(LOWER(Screener!$B$17),Database!$AC453&amp;""))))</f>
        <v/>
      </c>
      <c r="I453">
        <f>IF(OR(N(Database!$BG453)&lt;=0,N(Screener!$D$13)&lt;=0),0,MAX(0,1-ABS(LOG10(N(Database!$BG453)/Screener!$D$13))/W_PEHW))</f>
        <v/>
      </c>
      <c r="J453">
        <f>IF(OR(N(Database!$S453)&lt;=0,N(Screener!$D$14)&lt;=0),0,MAX(0,1-ABS(LOG10(Database!$S453/Screener!$D$14))/0.6))</f>
        <v/>
      </c>
      <c r="K453">
        <f>IF(Database!$B453=Screener!$B$5,-999999,IF(ISNUMBER(SEARCH(","&amp;Database!$A453&amp;",",","&amp;SUBSTITUTE(Screener!$D$17," ","")&amp;",")),2000000,IF(IF(OR(Screener!$B$18="All",AND(Screener!$B$18="With A-share",(Database!$BL453="Y")),AND(Screener!$B$18="Without A-share",NOT((Database!$BL453="Y")))),1,0)=0,-999999,IF(Screener!$B$16="cornerstone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Database!BF441</f>
        <v/>
      </c>
      <c r="AF453">
        <f>Database!BL441</f>
        <v/>
      </c>
      <c r="AG453">
        <f>Database!H441</f>
        <v/>
      </c>
      <c r="AH453">
        <f>Database!BG441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IF(OR(Database!$BF454="",Screener!$D$10=""),0,IF(Database!$BF454=Screener!$D$10,1,0))</f>
        <v/>
      </c>
      <c r="F454">
        <f>IF(OR(Database!$BL454="",Screener!$D$11=""),0,IF(Database!$BL454=Screener!$D$11,1,0))</f>
        <v/>
      </c>
      <c r="G454">
        <f>IF(OR(Database!$H454="",N(Screener!$D$12)&lt;=0),0,MAX(0,1-(N(Screener!$D$12)-Database!$H454)/W_RECD))</f>
        <v/>
      </c>
      <c r="H454">
        <f>IF($U$1="",0,N(ISNUMBER(SEARCH($U$1,Database!$AC454&amp;""))))+IF($V$1="",0,N(ISNUMBER(SEARCH($V$1,Database!$AC454&amp;""))))+IF($W$1="",0,N(ISNUMBER(SEARCH($W$1,Database!$AC454&amp;""))))+IF($X$1="",0,N(ISNUMBER(SEARCH($X$1,Database!$AC454&amp;""))))+IF($Y$1="",0,N(ISNUMBER(SEARCH($Y$1,Database!$AC454&amp;""))))+IF(Screener!$B$17="",0,N(ISNUMBER(SEARCH(LOWER(Screener!$B$17),Database!$AC454&amp;""))))</f>
        <v/>
      </c>
      <c r="I454">
        <f>IF(OR(N(Database!$BG454)&lt;=0,N(Screener!$D$13)&lt;=0),0,MAX(0,1-ABS(LOG10(N(Database!$BG454)/Screener!$D$13))/W_PEHW))</f>
        <v/>
      </c>
      <c r="J454">
        <f>IF(OR(N(Database!$S454)&lt;=0,N(Screener!$D$14)&lt;=0),0,MAX(0,1-ABS(LOG10(Database!$S454/Screener!$D$14))/0.6))</f>
        <v/>
      </c>
      <c r="K454">
        <f>IF(Database!$B454=Screener!$B$5,-999999,IF(ISNUMBER(SEARCH(","&amp;Database!$A454&amp;",",","&amp;SUBSTITUTE(Screener!$D$17," ","")&amp;",")),2000000,IF(IF(OR(Screener!$B$18="All",AND(Screener!$B$18="With A-share",(Database!$BL454="Y")),AND(Screener!$B$18="Without A-share",NOT((Database!$BL454="Y")))),1,0)=0,-999999,IF(Screener!$B$16="cornerstone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Database!BF442</f>
        <v/>
      </c>
      <c r="AF454">
        <f>Database!BL442</f>
        <v/>
      </c>
      <c r="AG454">
        <f>Database!H442</f>
        <v/>
      </c>
      <c r="AH454">
        <f>Database!BG442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IF(OR(Database!$BF455="",Screener!$D$10=""),0,IF(Database!$BF455=Screener!$D$10,1,0))</f>
        <v/>
      </c>
      <c r="F455">
        <f>IF(OR(Database!$BL455="",Screener!$D$11=""),0,IF(Database!$BL455=Screener!$D$11,1,0))</f>
        <v/>
      </c>
      <c r="G455">
        <f>IF(OR(Database!$H455="",N(Screener!$D$12)&lt;=0),0,MAX(0,1-(N(Screener!$D$12)-Database!$H455)/W_RECD))</f>
        <v/>
      </c>
      <c r="H455">
        <f>IF($U$1="",0,N(ISNUMBER(SEARCH($U$1,Database!$AC455&amp;""))))+IF($V$1="",0,N(ISNUMBER(SEARCH($V$1,Database!$AC455&amp;""))))+IF($W$1="",0,N(ISNUMBER(SEARCH($W$1,Database!$AC455&amp;""))))+IF($X$1="",0,N(ISNUMBER(SEARCH($X$1,Database!$AC455&amp;""))))+IF($Y$1="",0,N(ISNUMBER(SEARCH($Y$1,Database!$AC455&amp;""))))+IF(Screener!$B$17="",0,N(ISNUMBER(SEARCH(LOWER(Screener!$B$17),Database!$AC455&amp;""))))</f>
        <v/>
      </c>
      <c r="I455">
        <f>IF(OR(N(Database!$BG455)&lt;=0,N(Screener!$D$13)&lt;=0),0,MAX(0,1-ABS(LOG10(N(Database!$BG455)/Screener!$D$13))/W_PEHW))</f>
        <v/>
      </c>
      <c r="J455">
        <f>IF(OR(N(Database!$S455)&lt;=0,N(Screener!$D$14)&lt;=0),0,MAX(0,1-ABS(LOG10(Database!$S455/Screener!$D$14))/0.6))</f>
        <v/>
      </c>
      <c r="K455">
        <f>IF(Database!$B455=Screener!$B$5,-999999,IF(ISNUMBER(SEARCH(","&amp;Database!$A455&amp;",",","&amp;SUBSTITUTE(Screener!$D$17," ","")&amp;",")),2000000,IF(IF(OR(Screener!$B$18="All",AND(Screener!$B$18="With A-share",(Database!$BL455="Y")),AND(Screener!$B$18="Without A-share",NOT((Database!$BL455="Y")))),1,0)=0,-999999,IF(Screener!$B$16="cornerstone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Database!BF443</f>
        <v/>
      </c>
      <c r="AF455">
        <f>Database!BL443</f>
        <v/>
      </c>
      <c r="AG455">
        <f>Database!H443</f>
        <v/>
      </c>
      <c r="AH455">
        <f>Database!BG443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IF(OR(Database!$BF456="",Screener!$D$10=""),0,IF(Database!$BF456=Screener!$D$10,1,0))</f>
        <v/>
      </c>
      <c r="F456">
        <f>IF(OR(Database!$BL456="",Screener!$D$11=""),0,IF(Database!$BL456=Screener!$D$11,1,0))</f>
        <v/>
      </c>
      <c r="G456">
        <f>IF(OR(Database!$H456="",N(Screener!$D$12)&lt;=0),0,MAX(0,1-(N(Screener!$D$12)-Database!$H456)/W_RECD))</f>
        <v/>
      </c>
      <c r="H456">
        <f>IF($U$1="",0,N(ISNUMBER(SEARCH($U$1,Database!$AC456&amp;""))))+IF($V$1="",0,N(ISNUMBER(SEARCH($V$1,Database!$AC456&amp;""))))+IF($W$1="",0,N(ISNUMBER(SEARCH($W$1,Database!$AC456&amp;""))))+IF($X$1="",0,N(ISNUMBER(SEARCH($X$1,Database!$AC456&amp;""))))+IF($Y$1="",0,N(ISNUMBER(SEARCH($Y$1,Database!$AC456&amp;""))))+IF(Screener!$B$17="",0,N(ISNUMBER(SEARCH(LOWER(Screener!$B$17),Database!$AC456&amp;""))))</f>
        <v/>
      </c>
      <c r="I456">
        <f>IF(OR(N(Database!$BG456)&lt;=0,N(Screener!$D$13)&lt;=0),0,MAX(0,1-ABS(LOG10(N(Database!$BG456)/Screener!$D$13))/W_PEHW))</f>
        <v/>
      </c>
      <c r="J456">
        <f>IF(OR(N(Database!$S456)&lt;=0,N(Screener!$D$14)&lt;=0),0,MAX(0,1-ABS(LOG10(Database!$S456/Screener!$D$14))/0.6))</f>
        <v/>
      </c>
      <c r="K456">
        <f>IF(Database!$B456=Screener!$B$5,-999999,IF(ISNUMBER(SEARCH(","&amp;Database!$A456&amp;",",","&amp;SUBSTITUTE(Screener!$D$17," ","")&amp;",")),2000000,IF(IF(OR(Screener!$B$18="All",AND(Screener!$B$18="With A-share",(Database!$BL456="Y")),AND(Screener!$B$18="Without A-share",NOT((Database!$BL456="Y")))),1,0)=0,-999999,IF(Screener!$B$16="cornerstone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Database!BF444</f>
        <v/>
      </c>
      <c r="AF456">
        <f>Database!BL444</f>
        <v/>
      </c>
      <c r="AG456">
        <f>Database!H444</f>
        <v/>
      </c>
      <c r="AH456">
        <f>Database!BG444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IF(OR(Database!$BF457="",Screener!$D$10=""),0,IF(Database!$BF457=Screener!$D$10,1,0))</f>
        <v/>
      </c>
      <c r="F457">
        <f>IF(OR(Database!$BL457="",Screener!$D$11=""),0,IF(Database!$BL457=Screener!$D$11,1,0))</f>
        <v/>
      </c>
      <c r="G457">
        <f>IF(OR(Database!$H457="",N(Screener!$D$12)&lt;=0),0,MAX(0,1-(N(Screener!$D$12)-Database!$H457)/W_RECD))</f>
        <v/>
      </c>
      <c r="H457">
        <f>IF($U$1="",0,N(ISNUMBER(SEARCH($U$1,Database!$AC457&amp;""))))+IF($V$1="",0,N(ISNUMBER(SEARCH($V$1,Database!$AC457&amp;""))))+IF($W$1="",0,N(ISNUMBER(SEARCH($W$1,Database!$AC457&amp;""))))+IF($X$1="",0,N(ISNUMBER(SEARCH($X$1,Database!$AC457&amp;""))))+IF($Y$1="",0,N(ISNUMBER(SEARCH($Y$1,Database!$AC457&amp;""))))+IF(Screener!$B$17="",0,N(ISNUMBER(SEARCH(LOWER(Screener!$B$17),Database!$AC457&amp;""))))</f>
        <v/>
      </c>
      <c r="I457">
        <f>IF(OR(N(Database!$BG457)&lt;=0,N(Screener!$D$13)&lt;=0),0,MAX(0,1-ABS(LOG10(N(Database!$BG457)/Screener!$D$13))/W_PEHW))</f>
        <v/>
      </c>
      <c r="J457">
        <f>IF(OR(N(Database!$S457)&lt;=0,N(Screener!$D$14)&lt;=0),0,MAX(0,1-ABS(LOG10(Database!$S457/Screener!$D$14))/0.6))</f>
        <v/>
      </c>
      <c r="K457">
        <f>IF(Database!$B457=Screener!$B$5,-999999,IF(ISNUMBER(SEARCH(","&amp;Database!$A457&amp;",",","&amp;SUBSTITUTE(Screener!$D$17," ","")&amp;",")),2000000,IF(IF(OR(Screener!$B$18="All",AND(Screener!$B$18="With A-share",(Database!$BL457="Y")),AND(Screener!$B$18="Without A-share",NOT((Database!$BL457="Y")))),1,0)=0,-999999,IF(Screener!$B$16="cornerstone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Database!BF445</f>
        <v/>
      </c>
      <c r="AF457">
        <f>Database!BL445</f>
        <v/>
      </c>
      <c r="AG457">
        <f>Database!H445</f>
        <v/>
      </c>
      <c r="AH457">
        <f>Database!BG445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IF(OR(Database!$BF458="",Screener!$D$10=""),0,IF(Database!$BF458=Screener!$D$10,1,0))</f>
        <v/>
      </c>
      <c r="F458">
        <f>IF(OR(Database!$BL458="",Screener!$D$11=""),0,IF(Database!$BL458=Screener!$D$11,1,0))</f>
        <v/>
      </c>
      <c r="G458">
        <f>IF(OR(Database!$H458="",N(Screener!$D$12)&lt;=0),0,MAX(0,1-(N(Screener!$D$12)-Database!$H458)/W_RECD))</f>
        <v/>
      </c>
      <c r="H458">
        <f>IF($U$1="",0,N(ISNUMBER(SEARCH($U$1,Database!$AC458&amp;""))))+IF($V$1="",0,N(ISNUMBER(SEARCH($V$1,Database!$AC458&amp;""))))+IF($W$1="",0,N(ISNUMBER(SEARCH($W$1,Database!$AC458&amp;""))))+IF($X$1="",0,N(ISNUMBER(SEARCH($X$1,Database!$AC458&amp;""))))+IF($Y$1="",0,N(ISNUMBER(SEARCH($Y$1,Database!$AC458&amp;""))))+IF(Screener!$B$17="",0,N(ISNUMBER(SEARCH(LOWER(Screener!$B$17),Database!$AC458&amp;""))))</f>
        <v/>
      </c>
      <c r="I458">
        <f>IF(OR(N(Database!$BG458)&lt;=0,N(Screener!$D$13)&lt;=0),0,MAX(0,1-ABS(LOG10(N(Database!$BG458)/Screener!$D$13))/W_PEHW))</f>
        <v/>
      </c>
      <c r="J458">
        <f>IF(OR(N(Database!$S458)&lt;=0,N(Screener!$D$14)&lt;=0),0,MAX(0,1-ABS(LOG10(Database!$S458/Screener!$D$14))/0.6))</f>
        <v/>
      </c>
      <c r="K458">
        <f>IF(Database!$B458=Screener!$B$5,-999999,IF(ISNUMBER(SEARCH(","&amp;Database!$A458&amp;",",","&amp;SUBSTITUTE(Screener!$D$17," ","")&amp;",")),2000000,IF(IF(OR(Screener!$B$18="All",AND(Screener!$B$18="With A-share",(Database!$BL458="Y")),AND(Screener!$B$18="Without A-share",NOT((Database!$BL458="Y")))),1,0)=0,-999999,IF(Screener!$B$16="cornerstone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Database!BF446</f>
        <v/>
      </c>
      <c r="AF458">
        <f>Database!BL446</f>
        <v/>
      </c>
      <c r="AG458">
        <f>Database!H446</f>
        <v/>
      </c>
      <c r="AH458">
        <f>Database!BG446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IF(OR(Database!$BF459="",Screener!$D$10=""),0,IF(Database!$BF459=Screener!$D$10,1,0))</f>
        <v/>
      </c>
      <c r="F459">
        <f>IF(OR(Database!$BL459="",Screener!$D$11=""),0,IF(Database!$BL459=Screener!$D$11,1,0))</f>
        <v/>
      </c>
      <c r="G459">
        <f>IF(OR(Database!$H459="",N(Screener!$D$12)&lt;=0),0,MAX(0,1-(N(Screener!$D$12)-Database!$H459)/W_RECD))</f>
        <v/>
      </c>
      <c r="H459">
        <f>IF($U$1="",0,N(ISNUMBER(SEARCH($U$1,Database!$AC459&amp;""))))+IF($V$1="",0,N(ISNUMBER(SEARCH($V$1,Database!$AC459&amp;""))))+IF($W$1="",0,N(ISNUMBER(SEARCH($W$1,Database!$AC459&amp;""))))+IF($X$1="",0,N(ISNUMBER(SEARCH($X$1,Database!$AC459&amp;""))))+IF($Y$1="",0,N(ISNUMBER(SEARCH($Y$1,Database!$AC459&amp;""))))+IF(Screener!$B$17="",0,N(ISNUMBER(SEARCH(LOWER(Screener!$B$17),Database!$AC459&amp;""))))</f>
        <v/>
      </c>
      <c r="I459">
        <f>IF(OR(N(Database!$BG459)&lt;=0,N(Screener!$D$13)&lt;=0),0,MAX(0,1-ABS(LOG10(N(Database!$BG459)/Screener!$D$13))/W_PEHW))</f>
        <v/>
      </c>
      <c r="J459">
        <f>IF(OR(N(Database!$S459)&lt;=0,N(Screener!$D$14)&lt;=0),0,MAX(0,1-ABS(LOG10(Database!$S459/Screener!$D$14))/0.6))</f>
        <v/>
      </c>
      <c r="K459">
        <f>IF(Database!$B459=Screener!$B$5,-999999,IF(ISNUMBER(SEARCH(","&amp;Database!$A459&amp;",",","&amp;SUBSTITUTE(Screener!$D$17," ","")&amp;",")),2000000,IF(IF(OR(Screener!$B$18="All",AND(Screener!$B$18="With A-share",(Database!$BL459="Y")),AND(Screener!$B$18="Without A-share",NOT((Database!$BL459="Y")))),1,0)=0,-999999,IF(Screener!$B$16="cornerstone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Database!BF447</f>
        <v/>
      </c>
      <c r="AF459">
        <f>Database!BL447</f>
        <v/>
      </c>
      <c r="AG459">
        <f>Database!H447</f>
        <v/>
      </c>
      <c r="AH459">
        <f>Database!BG447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IF(OR(Database!$BF460="",Screener!$D$10=""),0,IF(Database!$BF460=Screener!$D$10,1,0))</f>
        <v/>
      </c>
      <c r="F460">
        <f>IF(OR(Database!$BL460="",Screener!$D$11=""),0,IF(Database!$BL460=Screener!$D$11,1,0))</f>
        <v/>
      </c>
      <c r="G460">
        <f>IF(OR(Database!$H460="",N(Screener!$D$12)&lt;=0),0,MAX(0,1-(N(Screener!$D$12)-Database!$H460)/W_RECD))</f>
        <v/>
      </c>
      <c r="H460">
        <f>IF($U$1="",0,N(ISNUMBER(SEARCH($U$1,Database!$AC460&amp;""))))+IF($V$1="",0,N(ISNUMBER(SEARCH($V$1,Database!$AC460&amp;""))))+IF($W$1="",0,N(ISNUMBER(SEARCH($W$1,Database!$AC460&amp;""))))+IF($X$1="",0,N(ISNUMBER(SEARCH($X$1,Database!$AC460&amp;""))))+IF($Y$1="",0,N(ISNUMBER(SEARCH($Y$1,Database!$AC460&amp;""))))+IF(Screener!$B$17="",0,N(ISNUMBER(SEARCH(LOWER(Screener!$B$17),Database!$AC460&amp;""))))</f>
        <v/>
      </c>
      <c r="I460">
        <f>IF(OR(N(Database!$BG460)&lt;=0,N(Screener!$D$13)&lt;=0),0,MAX(0,1-ABS(LOG10(N(Database!$BG460)/Screener!$D$13))/W_PEHW))</f>
        <v/>
      </c>
      <c r="J460">
        <f>IF(OR(N(Database!$S460)&lt;=0,N(Screener!$D$14)&lt;=0),0,MAX(0,1-ABS(LOG10(Database!$S460/Screener!$D$14))/0.6))</f>
        <v/>
      </c>
      <c r="K460">
        <f>IF(Database!$B460=Screener!$B$5,-999999,IF(ISNUMBER(SEARCH(","&amp;Database!$A460&amp;",",","&amp;SUBSTITUTE(Screener!$D$17," ","")&amp;",")),2000000,IF(IF(OR(Screener!$B$18="All",AND(Screener!$B$18="With A-share",(Database!$BL460="Y")),AND(Screener!$B$18="Without A-share",NOT((Database!$BL460="Y")))),1,0)=0,-999999,IF(Screener!$B$16="cornerstone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Database!BF448</f>
        <v/>
      </c>
      <c r="AF460">
        <f>Database!BL448</f>
        <v/>
      </c>
      <c r="AG460">
        <f>Database!H448</f>
        <v/>
      </c>
      <c r="AH460">
        <f>Database!BG448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IF(OR(Database!$BF461="",Screener!$D$10=""),0,IF(Database!$BF461=Screener!$D$10,1,0))</f>
        <v/>
      </c>
      <c r="F461">
        <f>IF(OR(Database!$BL461="",Screener!$D$11=""),0,IF(Database!$BL461=Screener!$D$11,1,0))</f>
        <v/>
      </c>
      <c r="G461">
        <f>IF(OR(Database!$H461="",N(Screener!$D$12)&lt;=0),0,MAX(0,1-(N(Screener!$D$12)-Database!$H461)/W_RECD))</f>
        <v/>
      </c>
      <c r="H461">
        <f>IF($U$1="",0,N(ISNUMBER(SEARCH($U$1,Database!$AC461&amp;""))))+IF($V$1="",0,N(ISNUMBER(SEARCH($V$1,Database!$AC461&amp;""))))+IF($W$1="",0,N(ISNUMBER(SEARCH($W$1,Database!$AC461&amp;""))))+IF($X$1="",0,N(ISNUMBER(SEARCH($X$1,Database!$AC461&amp;""))))+IF($Y$1="",0,N(ISNUMBER(SEARCH($Y$1,Database!$AC461&amp;""))))+IF(Screener!$B$17="",0,N(ISNUMBER(SEARCH(LOWER(Screener!$B$17),Database!$AC461&amp;""))))</f>
        <v/>
      </c>
      <c r="I461">
        <f>IF(OR(N(Database!$BG461)&lt;=0,N(Screener!$D$13)&lt;=0),0,MAX(0,1-ABS(LOG10(N(Database!$BG461)/Screener!$D$13))/W_PEHW))</f>
        <v/>
      </c>
      <c r="J461">
        <f>IF(OR(N(Database!$S461)&lt;=0,N(Screener!$D$14)&lt;=0),0,MAX(0,1-ABS(LOG10(Database!$S461/Screener!$D$14))/0.6))</f>
        <v/>
      </c>
      <c r="K461">
        <f>IF(Database!$B461=Screener!$B$5,-999999,IF(ISNUMBER(SEARCH(","&amp;Database!$A461&amp;",",","&amp;SUBSTITUTE(Screener!$D$17," ","")&amp;",")),2000000,IF(IF(OR(Screener!$B$18="All",AND(Screener!$B$18="With A-share",(Database!$BL461="Y")),AND(Screener!$B$18="Without A-share",NOT((Database!$BL461="Y")))),1,0)=0,-999999,IF(Screener!$B$16="cornerstone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Database!BF449</f>
        <v/>
      </c>
      <c r="AF461">
        <f>Database!BL449</f>
        <v/>
      </c>
      <c r="AG461">
        <f>Database!H449</f>
        <v/>
      </c>
      <c r="AH461">
        <f>Database!BG449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IF(OR(Database!$BF462="",Screener!$D$10=""),0,IF(Database!$BF462=Screener!$D$10,1,0))</f>
        <v/>
      </c>
      <c r="F462">
        <f>IF(OR(Database!$BL462="",Screener!$D$11=""),0,IF(Database!$BL462=Screener!$D$11,1,0))</f>
        <v/>
      </c>
      <c r="G462">
        <f>IF(OR(Database!$H462="",N(Screener!$D$12)&lt;=0),0,MAX(0,1-(N(Screener!$D$12)-Database!$H462)/W_RECD))</f>
        <v/>
      </c>
      <c r="H462">
        <f>IF($U$1="",0,N(ISNUMBER(SEARCH($U$1,Database!$AC462&amp;""))))+IF($V$1="",0,N(ISNUMBER(SEARCH($V$1,Database!$AC462&amp;""))))+IF($W$1="",0,N(ISNUMBER(SEARCH($W$1,Database!$AC462&amp;""))))+IF($X$1="",0,N(ISNUMBER(SEARCH($X$1,Database!$AC462&amp;""))))+IF($Y$1="",0,N(ISNUMBER(SEARCH($Y$1,Database!$AC462&amp;""))))+IF(Screener!$B$17="",0,N(ISNUMBER(SEARCH(LOWER(Screener!$B$17),Database!$AC462&amp;""))))</f>
        <v/>
      </c>
      <c r="I462">
        <f>IF(OR(N(Database!$BG462)&lt;=0,N(Screener!$D$13)&lt;=0),0,MAX(0,1-ABS(LOG10(N(Database!$BG462)/Screener!$D$13))/W_PEHW))</f>
        <v/>
      </c>
      <c r="J462">
        <f>IF(OR(N(Database!$S462)&lt;=0,N(Screener!$D$14)&lt;=0),0,MAX(0,1-ABS(LOG10(Database!$S462/Screener!$D$14))/0.6))</f>
        <v/>
      </c>
      <c r="K462">
        <f>IF(Database!$B462=Screener!$B$5,-999999,IF(ISNUMBER(SEARCH(","&amp;Database!$A462&amp;",",","&amp;SUBSTITUTE(Screener!$D$17," ","")&amp;",")),2000000,IF(IF(OR(Screener!$B$18="All",AND(Screener!$B$18="With A-share",(Database!$BL462="Y")),AND(Screener!$B$18="Without A-share",NOT((Database!$BL462="Y")))),1,0)=0,-999999,IF(Screener!$B$16="cornerstone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Database!BF450</f>
        <v/>
      </c>
      <c r="AF462">
        <f>Database!BL450</f>
        <v/>
      </c>
      <c r="AG462">
        <f>Database!H450</f>
        <v/>
      </c>
      <c r="AH462">
        <f>Database!BG450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IF(OR(Database!$BF463="",Screener!$D$10=""),0,IF(Database!$BF463=Screener!$D$10,1,0))</f>
        <v/>
      </c>
      <c r="F463">
        <f>IF(OR(Database!$BL463="",Screener!$D$11=""),0,IF(Database!$BL463=Screener!$D$11,1,0))</f>
        <v/>
      </c>
      <c r="G463">
        <f>IF(OR(Database!$H463="",N(Screener!$D$12)&lt;=0),0,MAX(0,1-(N(Screener!$D$12)-Database!$H463)/W_RECD))</f>
        <v/>
      </c>
      <c r="H463">
        <f>IF($U$1="",0,N(ISNUMBER(SEARCH($U$1,Database!$AC463&amp;""))))+IF($V$1="",0,N(ISNUMBER(SEARCH($V$1,Database!$AC463&amp;""))))+IF($W$1="",0,N(ISNUMBER(SEARCH($W$1,Database!$AC463&amp;""))))+IF($X$1="",0,N(ISNUMBER(SEARCH($X$1,Database!$AC463&amp;""))))+IF($Y$1="",0,N(ISNUMBER(SEARCH($Y$1,Database!$AC463&amp;""))))+IF(Screener!$B$17="",0,N(ISNUMBER(SEARCH(LOWER(Screener!$B$17),Database!$AC463&amp;""))))</f>
        <v/>
      </c>
      <c r="I463">
        <f>IF(OR(N(Database!$BG463)&lt;=0,N(Screener!$D$13)&lt;=0),0,MAX(0,1-ABS(LOG10(N(Database!$BG463)/Screener!$D$13))/W_PEHW))</f>
        <v/>
      </c>
      <c r="J463">
        <f>IF(OR(N(Database!$S463)&lt;=0,N(Screener!$D$14)&lt;=0),0,MAX(0,1-ABS(LOG10(Database!$S463/Screener!$D$14))/0.6))</f>
        <v/>
      </c>
      <c r="K463">
        <f>IF(Database!$B463=Screener!$B$5,-999999,IF(ISNUMBER(SEARCH(","&amp;Database!$A463&amp;",",","&amp;SUBSTITUTE(Screener!$D$17," ","")&amp;",")),2000000,IF(IF(OR(Screener!$B$18="All",AND(Screener!$B$18="With A-share",(Database!$BL463="Y")),AND(Screener!$B$18="Without A-share",NOT((Database!$BL463="Y")))),1,0)=0,-999999,IF(Screener!$B$16="cornerstone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Database!BF451</f>
        <v/>
      </c>
      <c r="AF463">
        <f>Database!BL451</f>
        <v/>
      </c>
      <c r="AG463">
        <f>Database!H451</f>
        <v/>
      </c>
      <c r="AH463">
        <f>Database!BG451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IF(OR(Database!$BF464="",Screener!$D$10=""),0,IF(Database!$BF464=Screener!$D$10,1,0))</f>
        <v/>
      </c>
      <c r="F464">
        <f>IF(OR(Database!$BL464="",Screener!$D$11=""),0,IF(Database!$BL464=Screener!$D$11,1,0))</f>
        <v/>
      </c>
      <c r="G464">
        <f>IF(OR(Database!$H464="",N(Screener!$D$12)&lt;=0),0,MAX(0,1-(N(Screener!$D$12)-Database!$H464)/W_RECD))</f>
        <v/>
      </c>
      <c r="H464">
        <f>IF($U$1="",0,N(ISNUMBER(SEARCH($U$1,Database!$AC464&amp;""))))+IF($V$1="",0,N(ISNUMBER(SEARCH($V$1,Database!$AC464&amp;""))))+IF($W$1="",0,N(ISNUMBER(SEARCH($W$1,Database!$AC464&amp;""))))+IF($X$1="",0,N(ISNUMBER(SEARCH($X$1,Database!$AC464&amp;""))))+IF($Y$1="",0,N(ISNUMBER(SEARCH($Y$1,Database!$AC464&amp;""))))+IF(Screener!$B$17="",0,N(ISNUMBER(SEARCH(LOWER(Screener!$B$17),Database!$AC464&amp;""))))</f>
        <v/>
      </c>
      <c r="I464">
        <f>IF(OR(N(Database!$BG464)&lt;=0,N(Screener!$D$13)&lt;=0),0,MAX(0,1-ABS(LOG10(N(Database!$BG464)/Screener!$D$13))/W_PEHW))</f>
        <v/>
      </c>
      <c r="J464">
        <f>IF(OR(N(Database!$S464)&lt;=0,N(Screener!$D$14)&lt;=0),0,MAX(0,1-ABS(LOG10(Database!$S464/Screener!$D$14))/0.6))</f>
        <v/>
      </c>
      <c r="K464">
        <f>IF(Database!$B464=Screener!$B$5,-999999,IF(ISNUMBER(SEARCH(","&amp;Database!$A464&amp;",",","&amp;SUBSTITUTE(Screener!$D$17," ","")&amp;",")),2000000,IF(IF(OR(Screener!$B$18="All",AND(Screener!$B$18="With A-share",(Database!$BL464="Y")),AND(Screener!$B$18="Without A-share",NOT((Database!$BL464="Y")))),1,0)=0,-999999,IF(Screener!$B$16="cornerstone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Database!BF452</f>
        <v/>
      </c>
      <c r="AF464">
        <f>Database!BL452</f>
        <v/>
      </c>
      <c r="AG464">
        <f>Database!H452</f>
        <v/>
      </c>
      <c r="AH464">
        <f>Database!BG452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IF(OR(Database!$BF465="",Screener!$D$10=""),0,IF(Database!$BF465=Screener!$D$10,1,0))</f>
        <v/>
      </c>
      <c r="F465">
        <f>IF(OR(Database!$BL465="",Screener!$D$11=""),0,IF(Database!$BL465=Screener!$D$11,1,0))</f>
        <v/>
      </c>
      <c r="G465">
        <f>IF(OR(Database!$H465="",N(Screener!$D$12)&lt;=0),0,MAX(0,1-(N(Screener!$D$12)-Database!$H465)/W_RECD))</f>
        <v/>
      </c>
      <c r="H465">
        <f>IF($U$1="",0,N(ISNUMBER(SEARCH($U$1,Database!$AC465&amp;""))))+IF($V$1="",0,N(ISNUMBER(SEARCH($V$1,Database!$AC465&amp;""))))+IF($W$1="",0,N(ISNUMBER(SEARCH($W$1,Database!$AC465&amp;""))))+IF($X$1="",0,N(ISNUMBER(SEARCH($X$1,Database!$AC465&amp;""))))+IF($Y$1="",0,N(ISNUMBER(SEARCH($Y$1,Database!$AC465&amp;""))))+IF(Screener!$B$17="",0,N(ISNUMBER(SEARCH(LOWER(Screener!$B$17),Database!$AC465&amp;""))))</f>
        <v/>
      </c>
      <c r="I465">
        <f>IF(OR(N(Database!$BG465)&lt;=0,N(Screener!$D$13)&lt;=0),0,MAX(0,1-ABS(LOG10(N(Database!$BG465)/Screener!$D$13))/W_PEHW))</f>
        <v/>
      </c>
      <c r="J465">
        <f>IF(OR(N(Database!$S465)&lt;=0,N(Screener!$D$14)&lt;=0),0,MAX(0,1-ABS(LOG10(Database!$S465/Screener!$D$14))/0.6))</f>
        <v/>
      </c>
      <c r="K465">
        <f>IF(Database!$B465=Screener!$B$5,-999999,IF(ISNUMBER(SEARCH(","&amp;Database!$A465&amp;",",","&amp;SUBSTITUTE(Screener!$D$17," ","")&amp;",")),2000000,IF(IF(OR(Screener!$B$18="All",AND(Screener!$B$18="With A-share",(Database!$BL465="Y")),AND(Screener!$B$18="Without A-share",NOT((Database!$BL465="Y")))),1,0)=0,-999999,IF(Screener!$B$16="cornerstone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Database!BF453</f>
        <v/>
      </c>
      <c r="AF465">
        <f>Database!BL453</f>
        <v/>
      </c>
      <c r="AG465">
        <f>Database!H453</f>
        <v/>
      </c>
      <c r="AH465">
        <f>Database!BG453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IF(OR(Database!$BF466="",Screener!$D$10=""),0,IF(Database!$BF466=Screener!$D$10,1,0))</f>
        <v/>
      </c>
      <c r="F466">
        <f>IF(OR(Database!$BL466="",Screener!$D$11=""),0,IF(Database!$BL466=Screener!$D$11,1,0))</f>
        <v/>
      </c>
      <c r="G466">
        <f>IF(OR(Database!$H466="",N(Screener!$D$12)&lt;=0),0,MAX(0,1-(N(Screener!$D$12)-Database!$H466)/W_RECD))</f>
        <v/>
      </c>
      <c r="H466">
        <f>IF($U$1="",0,N(ISNUMBER(SEARCH($U$1,Database!$AC466&amp;""))))+IF($V$1="",0,N(ISNUMBER(SEARCH($V$1,Database!$AC466&amp;""))))+IF($W$1="",0,N(ISNUMBER(SEARCH($W$1,Database!$AC466&amp;""))))+IF($X$1="",0,N(ISNUMBER(SEARCH($X$1,Database!$AC466&amp;""))))+IF($Y$1="",0,N(ISNUMBER(SEARCH($Y$1,Database!$AC466&amp;""))))+IF(Screener!$B$17="",0,N(ISNUMBER(SEARCH(LOWER(Screener!$B$17),Database!$AC466&amp;""))))</f>
        <v/>
      </c>
      <c r="I466">
        <f>IF(OR(N(Database!$BG466)&lt;=0,N(Screener!$D$13)&lt;=0),0,MAX(0,1-ABS(LOG10(N(Database!$BG466)/Screener!$D$13))/W_PEHW))</f>
        <v/>
      </c>
      <c r="J466">
        <f>IF(OR(N(Database!$S466)&lt;=0,N(Screener!$D$14)&lt;=0),0,MAX(0,1-ABS(LOG10(Database!$S466/Screener!$D$14))/0.6))</f>
        <v/>
      </c>
      <c r="K466">
        <f>IF(Database!$B466=Screener!$B$5,-999999,IF(ISNUMBER(SEARCH(","&amp;Database!$A466&amp;",",","&amp;SUBSTITUTE(Screener!$D$17," ","")&amp;",")),2000000,IF(IF(OR(Screener!$B$18="All",AND(Screener!$B$18="With A-share",(Database!$BL466="Y")),AND(Screener!$B$18="Without A-share",NOT((Database!$BL466="Y")))),1,0)=0,-999999,IF(Screener!$B$16="cornerstone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Database!BF454</f>
        <v/>
      </c>
      <c r="AF466">
        <f>Database!BL454</f>
        <v/>
      </c>
      <c r="AG466">
        <f>Database!H454</f>
        <v/>
      </c>
      <c r="AH466">
        <f>Database!BG454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IF(OR(Database!$BF467="",Screener!$D$10=""),0,IF(Database!$BF467=Screener!$D$10,1,0))</f>
        <v/>
      </c>
      <c r="F467">
        <f>IF(OR(Database!$BL467="",Screener!$D$11=""),0,IF(Database!$BL467=Screener!$D$11,1,0))</f>
        <v/>
      </c>
      <c r="G467">
        <f>IF(OR(Database!$H467="",N(Screener!$D$12)&lt;=0),0,MAX(0,1-(N(Screener!$D$12)-Database!$H467)/W_RECD))</f>
        <v/>
      </c>
      <c r="H467">
        <f>IF($U$1="",0,N(ISNUMBER(SEARCH($U$1,Database!$AC467&amp;""))))+IF($V$1="",0,N(ISNUMBER(SEARCH($V$1,Database!$AC467&amp;""))))+IF($W$1="",0,N(ISNUMBER(SEARCH($W$1,Database!$AC467&amp;""))))+IF($X$1="",0,N(ISNUMBER(SEARCH($X$1,Database!$AC467&amp;""))))+IF($Y$1="",0,N(ISNUMBER(SEARCH($Y$1,Database!$AC467&amp;""))))+IF(Screener!$B$17="",0,N(ISNUMBER(SEARCH(LOWER(Screener!$B$17),Database!$AC467&amp;""))))</f>
        <v/>
      </c>
      <c r="I467">
        <f>IF(OR(N(Database!$BG467)&lt;=0,N(Screener!$D$13)&lt;=0),0,MAX(0,1-ABS(LOG10(N(Database!$BG467)/Screener!$D$13))/W_PEHW))</f>
        <v/>
      </c>
      <c r="J467">
        <f>IF(OR(N(Database!$S467)&lt;=0,N(Screener!$D$14)&lt;=0),0,MAX(0,1-ABS(LOG10(Database!$S467/Screener!$D$14))/0.6))</f>
        <v/>
      </c>
      <c r="K467">
        <f>IF(Database!$B467=Screener!$B$5,-999999,IF(ISNUMBER(SEARCH(","&amp;Database!$A467&amp;",",","&amp;SUBSTITUTE(Screener!$D$17," ","")&amp;",")),2000000,IF(IF(OR(Screener!$B$18="All",AND(Screener!$B$18="With A-share",(Database!$BL467="Y")),AND(Screener!$B$18="Without A-share",NOT((Database!$BL467="Y")))),1,0)=0,-999999,IF(Screener!$B$16="cornerstone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Database!BF455</f>
        <v/>
      </c>
      <c r="AF467">
        <f>Database!BL455</f>
        <v/>
      </c>
      <c r="AG467">
        <f>Database!H455</f>
        <v/>
      </c>
      <c r="AH467">
        <f>Database!BG455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IF(OR(Database!$BF468="",Screener!$D$10=""),0,IF(Database!$BF468=Screener!$D$10,1,0))</f>
        <v/>
      </c>
      <c r="F468">
        <f>IF(OR(Database!$BL468="",Screener!$D$11=""),0,IF(Database!$BL468=Screener!$D$11,1,0))</f>
        <v/>
      </c>
      <c r="G468">
        <f>IF(OR(Database!$H468="",N(Screener!$D$12)&lt;=0),0,MAX(0,1-(N(Screener!$D$12)-Database!$H468)/W_RECD))</f>
        <v/>
      </c>
      <c r="H468">
        <f>IF($U$1="",0,N(ISNUMBER(SEARCH($U$1,Database!$AC468&amp;""))))+IF($V$1="",0,N(ISNUMBER(SEARCH($V$1,Database!$AC468&amp;""))))+IF($W$1="",0,N(ISNUMBER(SEARCH($W$1,Database!$AC468&amp;""))))+IF($X$1="",0,N(ISNUMBER(SEARCH($X$1,Database!$AC468&amp;""))))+IF($Y$1="",0,N(ISNUMBER(SEARCH($Y$1,Database!$AC468&amp;""))))+IF(Screener!$B$17="",0,N(ISNUMBER(SEARCH(LOWER(Screener!$B$17),Database!$AC468&amp;""))))</f>
        <v/>
      </c>
      <c r="I468">
        <f>IF(OR(N(Database!$BG468)&lt;=0,N(Screener!$D$13)&lt;=0),0,MAX(0,1-ABS(LOG10(N(Database!$BG468)/Screener!$D$13))/W_PEHW))</f>
        <v/>
      </c>
      <c r="J468">
        <f>IF(OR(N(Database!$S468)&lt;=0,N(Screener!$D$14)&lt;=0),0,MAX(0,1-ABS(LOG10(Database!$S468/Screener!$D$14))/0.6))</f>
        <v/>
      </c>
      <c r="K468">
        <f>IF(Database!$B468=Screener!$B$5,-999999,IF(ISNUMBER(SEARCH(","&amp;Database!$A468&amp;",",","&amp;SUBSTITUTE(Screener!$D$17," ","")&amp;",")),2000000,IF(IF(OR(Screener!$B$18="All",AND(Screener!$B$18="With A-share",(Database!$BL468="Y")),AND(Screener!$B$18="Without A-share",NOT((Database!$BL468="Y")))),1,0)=0,-999999,IF(Screener!$B$16="cornerstone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Database!BF456</f>
        <v/>
      </c>
      <c r="AF468">
        <f>Database!BL456</f>
        <v/>
      </c>
      <c r="AG468">
        <f>Database!H456</f>
        <v/>
      </c>
      <c r="AH468">
        <f>Database!BG456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IF(OR(Database!$BF469="",Screener!$D$10=""),0,IF(Database!$BF469=Screener!$D$10,1,0))</f>
        <v/>
      </c>
      <c r="F469">
        <f>IF(OR(Database!$BL469="",Screener!$D$11=""),0,IF(Database!$BL469=Screener!$D$11,1,0))</f>
        <v/>
      </c>
      <c r="G469">
        <f>IF(OR(Database!$H469="",N(Screener!$D$12)&lt;=0),0,MAX(0,1-(N(Screener!$D$12)-Database!$H469)/W_RECD))</f>
        <v/>
      </c>
      <c r="H469">
        <f>IF($U$1="",0,N(ISNUMBER(SEARCH($U$1,Database!$AC469&amp;""))))+IF($V$1="",0,N(ISNUMBER(SEARCH($V$1,Database!$AC469&amp;""))))+IF($W$1="",0,N(ISNUMBER(SEARCH($W$1,Database!$AC469&amp;""))))+IF($X$1="",0,N(ISNUMBER(SEARCH($X$1,Database!$AC469&amp;""))))+IF($Y$1="",0,N(ISNUMBER(SEARCH($Y$1,Database!$AC469&amp;""))))+IF(Screener!$B$17="",0,N(ISNUMBER(SEARCH(LOWER(Screener!$B$17),Database!$AC469&amp;""))))</f>
        <v/>
      </c>
      <c r="I469">
        <f>IF(OR(N(Database!$BG469)&lt;=0,N(Screener!$D$13)&lt;=0),0,MAX(0,1-ABS(LOG10(N(Database!$BG469)/Screener!$D$13))/W_PEHW))</f>
        <v/>
      </c>
      <c r="J469">
        <f>IF(OR(N(Database!$S469)&lt;=0,N(Screener!$D$14)&lt;=0),0,MAX(0,1-ABS(LOG10(Database!$S469/Screener!$D$14))/0.6))</f>
        <v/>
      </c>
      <c r="K469">
        <f>IF(Database!$B469=Screener!$B$5,-999999,IF(ISNUMBER(SEARCH(","&amp;Database!$A469&amp;",",","&amp;SUBSTITUTE(Screener!$D$17," ","")&amp;",")),2000000,IF(IF(OR(Screener!$B$18="All",AND(Screener!$B$18="With A-share",(Database!$BL469="Y")),AND(Screener!$B$18="Without A-share",NOT((Database!$BL469="Y")))),1,0)=0,-999999,IF(Screener!$B$16="cornerstone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Database!BF457</f>
        <v/>
      </c>
      <c r="AF469">
        <f>Database!BL457</f>
        <v/>
      </c>
      <c r="AG469">
        <f>Database!H457</f>
        <v/>
      </c>
      <c r="AH469">
        <f>Database!BG457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IF(OR(Database!$BF470="",Screener!$D$10=""),0,IF(Database!$BF470=Screener!$D$10,1,0))</f>
        <v/>
      </c>
      <c r="F470">
        <f>IF(OR(Database!$BL470="",Screener!$D$11=""),0,IF(Database!$BL470=Screener!$D$11,1,0))</f>
        <v/>
      </c>
      <c r="G470">
        <f>IF(OR(Database!$H470="",N(Screener!$D$12)&lt;=0),0,MAX(0,1-(N(Screener!$D$12)-Database!$H470)/W_RECD))</f>
        <v/>
      </c>
      <c r="H470">
        <f>IF($U$1="",0,N(ISNUMBER(SEARCH($U$1,Database!$AC470&amp;""))))+IF($V$1="",0,N(ISNUMBER(SEARCH($V$1,Database!$AC470&amp;""))))+IF($W$1="",0,N(ISNUMBER(SEARCH($W$1,Database!$AC470&amp;""))))+IF($X$1="",0,N(ISNUMBER(SEARCH($X$1,Database!$AC470&amp;""))))+IF($Y$1="",0,N(ISNUMBER(SEARCH($Y$1,Database!$AC470&amp;""))))+IF(Screener!$B$17="",0,N(ISNUMBER(SEARCH(LOWER(Screener!$B$17),Database!$AC470&amp;""))))</f>
        <v/>
      </c>
      <c r="I470">
        <f>IF(OR(N(Database!$BG470)&lt;=0,N(Screener!$D$13)&lt;=0),0,MAX(0,1-ABS(LOG10(N(Database!$BG470)/Screener!$D$13))/W_PEHW))</f>
        <v/>
      </c>
      <c r="J470">
        <f>IF(OR(N(Database!$S470)&lt;=0,N(Screener!$D$14)&lt;=0),0,MAX(0,1-ABS(LOG10(Database!$S470/Screener!$D$14))/0.6))</f>
        <v/>
      </c>
      <c r="K470">
        <f>IF(Database!$B470=Screener!$B$5,-999999,IF(ISNUMBER(SEARCH(","&amp;Database!$A470&amp;",",","&amp;SUBSTITUTE(Screener!$D$17," ","")&amp;",")),2000000,IF(IF(OR(Screener!$B$18="All",AND(Screener!$B$18="With A-share",(Database!$BL470="Y")),AND(Screener!$B$18="Without A-share",NOT((Database!$BL470="Y")))),1,0)=0,-999999,IF(Screener!$B$16="cornerstone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Database!BF458</f>
        <v/>
      </c>
      <c r="AF470">
        <f>Database!BL458</f>
        <v/>
      </c>
      <c r="AG470">
        <f>Database!H458</f>
        <v/>
      </c>
      <c r="AH470">
        <f>Database!BG458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IF(OR(Database!$BF471="",Screener!$D$10=""),0,IF(Database!$BF471=Screener!$D$10,1,0))</f>
        <v/>
      </c>
      <c r="F471">
        <f>IF(OR(Database!$BL471="",Screener!$D$11=""),0,IF(Database!$BL471=Screener!$D$11,1,0))</f>
        <v/>
      </c>
      <c r="G471">
        <f>IF(OR(Database!$H471="",N(Screener!$D$12)&lt;=0),0,MAX(0,1-(N(Screener!$D$12)-Database!$H471)/W_RECD))</f>
        <v/>
      </c>
      <c r="H471">
        <f>IF($U$1="",0,N(ISNUMBER(SEARCH($U$1,Database!$AC471&amp;""))))+IF($V$1="",0,N(ISNUMBER(SEARCH($V$1,Database!$AC471&amp;""))))+IF($W$1="",0,N(ISNUMBER(SEARCH($W$1,Database!$AC471&amp;""))))+IF($X$1="",0,N(ISNUMBER(SEARCH($X$1,Database!$AC471&amp;""))))+IF($Y$1="",0,N(ISNUMBER(SEARCH($Y$1,Database!$AC471&amp;""))))+IF(Screener!$B$17="",0,N(ISNUMBER(SEARCH(LOWER(Screener!$B$17),Database!$AC471&amp;""))))</f>
        <v/>
      </c>
      <c r="I471">
        <f>IF(OR(N(Database!$BG471)&lt;=0,N(Screener!$D$13)&lt;=0),0,MAX(0,1-ABS(LOG10(N(Database!$BG471)/Screener!$D$13))/W_PEHW))</f>
        <v/>
      </c>
      <c r="J471">
        <f>IF(OR(N(Database!$S471)&lt;=0,N(Screener!$D$14)&lt;=0),0,MAX(0,1-ABS(LOG10(Database!$S471/Screener!$D$14))/0.6))</f>
        <v/>
      </c>
      <c r="K471">
        <f>IF(Database!$B471=Screener!$B$5,-999999,IF(ISNUMBER(SEARCH(","&amp;Database!$A471&amp;",",","&amp;SUBSTITUTE(Screener!$D$17," ","")&amp;",")),2000000,IF(IF(OR(Screener!$B$18="All",AND(Screener!$B$18="With A-share",(Database!$BL471="Y")),AND(Screener!$B$18="Without A-share",NOT((Database!$BL471="Y")))),1,0)=0,-999999,IF(Screener!$B$16="cornerstone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Database!BF459</f>
        <v/>
      </c>
      <c r="AF471">
        <f>Database!BL459</f>
        <v/>
      </c>
      <c r="AG471">
        <f>Database!H459</f>
        <v/>
      </c>
      <c r="AH471">
        <f>Database!BG459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IF(OR(Database!$BF472="",Screener!$D$10=""),0,IF(Database!$BF472=Screener!$D$10,1,0))</f>
        <v/>
      </c>
      <c r="F472">
        <f>IF(OR(Database!$BL472="",Screener!$D$11=""),0,IF(Database!$BL472=Screener!$D$11,1,0))</f>
        <v/>
      </c>
      <c r="G472">
        <f>IF(OR(Database!$H472="",N(Screener!$D$12)&lt;=0),0,MAX(0,1-(N(Screener!$D$12)-Database!$H472)/W_RECD))</f>
        <v/>
      </c>
      <c r="H472">
        <f>IF($U$1="",0,N(ISNUMBER(SEARCH($U$1,Database!$AC472&amp;""))))+IF($V$1="",0,N(ISNUMBER(SEARCH($V$1,Database!$AC472&amp;""))))+IF($W$1="",0,N(ISNUMBER(SEARCH($W$1,Database!$AC472&amp;""))))+IF($X$1="",0,N(ISNUMBER(SEARCH($X$1,Database!$AC472&amp;""))))+IF($Y$1="",0,N(ISNUMBER(SEARCH($Y$1,Database!$AC472&amp;""))))+IF(Screener!$B$17="",0,N(ISNUMBER(SEARCH(LOWER(Screener!$B$17),Database!$AC472&amp;""))))</f>
        <v/>
      </c>
      <c r="I472">
        <f>IF(OR(N(Database!$BG472)&lt;=0,N(Screener!$D$13)&lt;=0),0,MAX(0,1-ABS(LOG10(N(Database!$BG472)/Screener!$D$13))/W_PEHW))</f>
        <v/>
      </c>
      <c r="J472">
        <f>IF(OR(N(Database!$S472)&lt;=0,N(Screener!$D$14)&lt;=0),0,MAX(0,1-ABS(LOG10(Database!$S472/Screener!$D$14))/0.6))</f>
        <v/>
      </c>
      <c r="K472">
        <f>IF(Database!$B472=Screener!$B$5,-999999,IF(ISNUMBER(SEARCH(","&amp;Database!$A472&amp;",",","&amp;SUBSTITUTE(Screener!$D$17," ","")&amp;",")),2000000,IF(IF(OR(Screener!$B$18="All",AND(Screener!$B$18="With A-share",(Database!$BL472="Y")),AND(Screener!$B$18="Without A-share",NOT((Database!$BL472="Y")))),1,0)=0,-999999,IF(Screener!$B$16="cornerstone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Database!BF460</f>
        <v/>
      </c>
      <c r="AF472">
        <f>Database!BL460</f>
        <v/>
      </c>
      <c r="AG472">
        <f>Database!H460</f>
        <v/>
      </c>
      <c r="AH472">
        <f>Database!BG460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IF(OR(Database!$BF473="",Screener!$D$10=""),0,IF(Database!$BF473=Screener!$D$10,1,0))</f>
        <v/>
      </c>
      <c r="F473">
        <f>IF(OR(Database!$BL473="",Screener!$D$11=""),0,IF(Database!$BL473=Screener!$D$11,1,0))</f>
        <v/>
      </c>
      <c r="G473">
        <f>IF(OR(Database!$H473="",N(Screener!$D$12)&lt;=0),0,MAX(0,1-(N(Screener!$D$12)-Database!$H473)/W_RECD))</f>
        <v/>
      </c>
      <c r="H473">
        <f>IF($U$1="",0,N(ISNUMBER(SEARCH($U$1,Database!$AC473&amp;""))))+IF($V$1="",0,N(ISNUMBER(SEARCH($V$1,Database!$AC473&amp;""))))+IF($W$1="",0,N(ISNUMBER(SEARCH($W$1,Database!$AC473&amp;""))))+IF($X$1="",0,N(ISNUMBER(SEARCH($X$1,Database!$AC473&amp;""))))+IF($Y$1="",0,N(ISNUMBER(SEARCH($Y$1,Database!$AC473&amp;""))))+IF(Screener!$B$17="",0,N(ISNUMBER(SEARCH(LOWER(Screener!$B$17),Database!$AC473&amp;""))))</f>
        <v/>
      </c>
      <c r="I473">
        <f>IF(OR(N(Database!$BG473)&lt;=0,N(Screener!$D$13)&lt;=0),0,MAX(0,1-ABS(LOG10(N(Database!$BG473)/Screener!$D$13))/W_PEHW))</f>
        <v/>
      </c>
      <c r="J473">
        <f>IF(OR(N(Database!$S473)&lt;=0,N(Screener!$D$14)&lt;=0),0,MAX(0,1-ABS(LOG10(Database!$S473/Screener!$D$14))/0.6))</f>
        <v/>
      </c>
      <c r="K473">
        <f>IF(Database!$B473=Screener!$B$5,-999999,IF(ISNUMBER(SEARCH(","&amp;Database!$A473&amp;",",","&amp;SUBSTITUTE(Screener!$D$17," ","")&amp;",")),2000000,IF(IF(OR(Screener!$B$18="All",AND(Screener!$B$18="With A-share",(Database!$BL473="Y")),AND(Screener!$B$18="Without A-share",NOT((Database!$BL473="Y")))),1,0)=0,-999999,IF(Screener!$B$16="cornerstone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Database!BF461</f>
        <v/>
      </c>
      <c r="AF473">
        <f>Database!BL461</f>
        <v/>
      </c>
      <c r="AG473">
        <f>Database!H461</f>
        <v/>
      </c>
      <c r="AH473">
        <f>Database!BG461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IF(OR(Database!$BF474="",Screener!$D$10=""),0,IF(Database!$BF474=Screener!$D$10,1,0))</f>
        <v/>
      </c>
      <c r="F474">
        <f>IF(OR(Database!$BL474="",Screener!$D$11=""),0,IF(Database!$BL474=Screener!$D$11,1,0))</f>
        <v/>
      </c>
      <c r="G474">
        <f>IF(OR(Database!$H474="",N(Screener!$D$12)&lt;=0),0,MAX(0,1-(N(Screener!$D$12)-Database!$H474)/W_RECD))</f>
        <v/>
      </c>
      <c r="H474">
        <f>IF($U$1="",0,N(ISNUMBER(SEARCH($U$1,Database!$AC474&amp;""))))+IF($V$1="",0,N(ISNUMBER(SEARCH($V$1,Database!$AC474&amp;""))))+IF($W$1="",0,N(ISNUMBER(SEARCH($W$1,Database!$AC474&amp;""))))+IF($X$1="",0,N(ISNUMBER(SEARCH($X$1,Database!$AC474&amp;""))))+IF($Y$1="",0,N(ISNUMBER(SEARCH($Y$1,Database!$AC474&amp;""))))+IF(Screener!$B$17="",0,N(ISNUMBER(SEARCH(LOWER(Screener!$B$17),Database!$AC474&amp;""))))</f>
        <v/>
      </c>
      <c r="I474">
        <f>IF(OR(N(Database!$BG474)&lt;=0,N(Screener!$D$13)&lt;=0),0,MAX(0,1-ABS(LOG10(N(Database!$BG474)/Screener!$D$13))/W_PEHW))</f>
        <v/>
      </c>
      <c r="J474">
        <f>IF(OR(N(Database!$S474)&lt;=0,N(Screener!$D$14)&lt;=0),0,MAX(0,1-ABS(LOG10(Database!$S474/Screener!$D$14))/0.6))</f>
        <v/>
      </c>
      <c r="K474">
        <f>IF(Database!$B474=Screener!$B$5,-999999,IF(ISNUMBER(SEARCH(","&amp;Database!$A474&amp;",",","&amp;SUBSTITUTE(Screener!$D$17," ","")&amp;",")),2000000,IF(IF(OR(Screener!$B$18="All",AND(Screener!$B$18="With A-share",(Database!$BL474="Y")),AND(Screener!$B$18="Without A-share",NOT((Database!$BL474="Y")))),1,0)=0,-999999,IF(Screener!$B$16="cornerstone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Database!BF462</f>
        <v/>
      </c>
      <c r="AF474">
        <f>Database!BL462</f>
        <v/>
      </c>
      <c r="AG474">
        <f>Database!H462</f>
        <v/>
      </c>
      <c r="AH474">
        <f>Database!BG462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IF(OR(Database!$BF475="",Screener!$D$10=""),0,IF(Database!$BF475=Screener!$D$10,1,0))</f>
        <v/>
      </c>
      <c r="F475">
        <f>IF(OR(Database!$BL475="",Screener!$D$11=""),0,IF(Database!$BL475=Screener!$D$11,1,0))</f>
        <v/>
      </c>
      <c r="G475">
        <f>IF(OR(Database!$H475="",N(Screener!$D$12)&lt;=0),0,MAX(0,1-(N(Screener!$D$12)-Database!$H475)/W_RECD))</f>
        <v/>
      </c>
      <c r="H475">
        <f>IF($U$1="",0,N(ISNUMBER(SEARCH($U$1,Database!$AC475&amp;""))))+IF($V$1="",0,N(ISNUMBER(SEARCH($V$1,Database!$AC475&amp;""))))+IF($W$1="",0,N(ISNUMBER(SEARCH($W$1,Database!$AC475&amp;""))))+IF($X$1="",0,N(ISNUMBER(SEARCH($X$1,Database!$AC475&amp;""))))+IF($Y$1="",0,N(ISNUMBER(SEARCH($Y$1,Database!$AC475&amp;""))))+IF(Screener!$B$17="",0,N(ISNUMBER(SEARCH(LOWER(Screener!$B$17),Database!$AC475&amp;""))))</f>
        <v/>
      </c>
      <c r="I475">
        <f>IF(OR(N(Database!$BG475)&lt;=0,N(Screener!$D$13)&lt;=0),0,MAX(0,1-ABS(LOG10(N(Database!$BG475)/Screener!$D$13))/W_PEHW))</f>
        <v/>
      </c>
      <c r="J475">
        <f>IF(OR(N(Database!$S475)&lt;=0,N(Screener!$D$14)&lt;=0),0,MAX(0,1-ABS(LOG10(Database!$S475/Screener!$D$14))/0.6))</f>
        <v/>
      </c>
      <c r="K475">
        <f>IF(Database!$B475=Screener!$B$5,-999999,IF(ISNUMBER(SEARCH(","&amp;Database!$A475&amp;",",","&amp;SUBSTITUTE(Screener!$D$17," ","")&amp;",")),2000000,IF(IF(OR(Screener!$B$18="All",AND(Screener!$B$18="With A-share",(Database!$BL475="Y")),AND(Screener!$B$18="Without A-share",NOT((Database!$BL475="Y")))),1,0)=0,-999999,IF(Screener!$B$16="cornerstone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Database!BF463</f>
        <v/>
      </c>
      <c r="AF475">
        <f>Database!BL463</f>
        <v/>
      </c>
      <c r="AG475">
        <f>Database!H463</f>
        <v/>
      </c>
      <c r="AH475">
        <f>Database!BG463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IF(OR(Database!$BF476="",Screener!$D$10=""),0,IF(Database!$BF476=Screener!$D$10,1,0))</f>
        <v/>
      </c>
      <c r="F476">
        <f>IF(OR(Database!$BL476="",Screener!$D$11=""),0,IF(Database!$BL476=Screener!$D$11,1,0))</f>
        <v/>
      </c>
      <c r="G476">
        <f>IF(OR(Database!$H476="",N(Screener!$D$12)&lt;=0),0,MAX(0,1-(N(Screener!$D$12)-Database!$H476)/W_RECD))</f>
        <v/>
      </c>
      <c r="H476">
        <f>IF($U$1="",0,N(ISNUMBER(SEARCH($U$1,Database!$AC476&amp;""))))+IF($V$1="",0,N(ISNUMBER(SEARCH($V$1,Database!$AC476&amp;""))))+IF($W$1="",0,N(ISNUMBER(SEARCH($W$1,Database!$AC476&amp;""))))+IF($X$1="",0,N(ISNUMBER(SEARCH($X$1,Database!$AC476&amp;""))))+IF($Y$1="",0,N(ISNUMBER(SEARCH($Y$1,Database!$AC476&amp;""))))+IF(Screener!$B$17="",0,N(ISNUMBER(SEARCH(LOWER(Screener!$B$17),Database!$AC476&amp;""))))</f>
        <v/>
      </c>
      <c r="I476">
        <f>IF(OR(N(Database!$BG476)&lt;=0,N(Screener!$D$13)&lt;=0),0,MAX(0,1-ABS(LOG10(N(Database!$BG476)/Screener!$D$13))/W_PEHW))</f>
        <v/>
      </c>
      <c r="J476">
        <f>IF(OR(N(Database!$S476)&lt;=0,N(Screener!$D$14)&lt;=0),0,MAX(0,1-ABS(LOG10(Database!$S476/Screener!$D$14))/0.6))</f>
        <v/>
      </c>
      <c r="K476">
        <f>IF(Database!$B476=Screener!$B$5,-999999,IF(ISNUMBER(SEARCH(","&amp;Database!$A476&amp;",",","&amp;SUBSTITUTE(Screener!$D$17," ","")&amp;",")),2000000,IF(IF(OR(Screener!$B$18="All",AND(Screener!$B$18="With A-share",(Database!$BL476="Y")),AND(Screener!$B$18="Without A-share",NOT((Database!$BL476="Y")))),1,0)=0,-999999,IF(Screener!$B$16="cornerstone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Database!BF464</f>
        <v/>
      </c>
      <c r="AF476">
        <f>Database!BL464</f>
        <v/>
      </c>
      <c r="AG476">
        <f>Database!H464</f>
        <v/>
      </c>
      <c r="AH476">
        <f>Database!BG464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IF(OR(Database!$BF477="",Screener!$D$10=""),0,IF(Database!$BF477=Screener!$D$10,1,0))</f>
        <v/>
      </c>
      <c r="F477">
        <f>IF(OR(Database!$BL477="",Screener!$D$11=""),0,IF(Database!$BL477=Screener!$D$11,1,0))</f>
        <v/>
      </c>
      <c r="G477">
        <f>IF(OR(Database!$H477="",N(Screener!$D$12)&lt;=0),0,MAX(0,1-(N(Screener!$D$12)-Database!$H477)/W_RECD))</f>
        <v/>
      </c>
      <c r="H477">
        <f>IF($U$1="",0,N(ISNUMBER(SEARCH($U$1,Database!$AC477&amp;""))))+IF($V$1="",0,N(ISNUMBER(SEARCH($V$1,Database!$AC477&amp;""))))+IF($W$1="",0,N(ISNUMBER(SEARCH($W$1,Database!$AC477&amp;""))))+IF($X$1="",0,N(ISNUMBER(SEARCH($X$1,Database!$AC477&amp;""))))+IF($Y$1="",0,N(ISNUMBER(SEARCH($Y$1,Database!$AC477&amp;""))))+IF(Screener!$B$17="",0,N(ISNUMBER(SEARCH(LOWER(Screener!$B$17),Database!$AC477&amp;""))))</f>
        <v/>
      </c>
      <c r="I477">
        <f>IF(OR(N(Database!$BG477)&lt;=0,N(Screener!$D$13)&lt;=0),0,MAX(0,1-ABS(LOG10(N(Database!$BG477)/Screener!$D$13))/W_PEHW))</f>
        <v/>
      </c>
      <c r="J477">
        <f>IF(OR(N(Database!$S477)&lt;=0,N(Screener!$D$14)&lt;=0),0,MAX(0,1-ABS(LOG10(Database!$S477/Screener!$D$14))/0.6))</f>
        <v/>
      </c>
      <c r="K477">
        <f>IF(Database!$B477=Screener!$B$5,-999999,IF(ISNUMBER(SEARCH(","&amp;Database!$A477&amp;",",","&amp;SUBSTITUTE(Screener!$D$17," ","")&amp;",")),2000000,IF(IF(OR(Screener!$B$18="All",AND(Screener!$B$18="With A-share",(Database!$BL477="Y")),AND(Screener!$B$18="Without A-share",NOT((Database!$BL477="Y")))),1,0)=0,-999999,IF(Screener!$B$16="cornerstone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Database!BF465</f>
        <v/>
      </c>
      <c r="AF477">
        <f>Database!BL465</f>
        <v/>
      </c>
      <c r="AG477">
        <f>Database!H465</f>
        <v/>
      </c>
      <c r="AH477">
        <f>Database!BG465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IF(OR(Database!$BF478="",Screener!$D$10=""),0,IF(Database!$BF478=Screener!$D$10,1,0))</f>
        <v/>
      </c>
      <c r="F478">
        <f>IF(OR(Database!$BL478="",Screener!$D$11=""),0,IF(Database!$BL478=Screener!$D$11,1,0))</f>
        <v/>
      </c>
      <c r="G478">
        <f>IF(OR(Database!$H478="",N(Screener!$D$12)&lt;=0),0,MAX(0,1-(N(Screener!$D$12)-Database!$H478)/W_RECD))</f>
        <v/>
      </c>
      <c r="H478">
        <f>IF($U$1="",0,N(ISNUMBER(SEARCH($U$1,Database!$AC478&amp;""))))+IF($V$1="",0,N(ISNUMBER(SEARCH($V$1,Database!$AC478&amp;""))))+IF($W$1="",0,N(ISNUMBER(SEARCH($W$1,Database!$AC478&amp;""))))+IF($X$1="",0,N(ISNUMBER(SEARCH($X$1,Database!$AC478&amp;""))))+IF($Y$1="",0,N(ISNUMBER(SEARCH($Y$1,Database!$AC478&amp;""))))+IF(Screener!$B$17="",0,N(ISNUMBER(SEARCH(LOWER(Screener!$B$17),Database!$AC478&amp;""))))</f>
        <v/>
      </c>
      <c r="I478">
        <f>IF(OR(N(Database!$BG478)&lt;=0,N(Screener!$D$13)&lt;=0),0,MAX(0,1-ABS(LOG10(N(Database!$BG478)/Screener!$D$13))/W_PEHW))</f>
        <v/>
      </c>
      <c r="J478">
        <f>IF(OR(N(Database!$S478)&lt;=0,N(Screener!$D$14)&lt;=0),0,MAX(0,1-ABS(LOG10(Database!$S478/Screener!$D$14))/0.6))</f>
        <v/>
      </c>
      <c r="K478">
        <f>IF(Database!$B478=Screener!$B$5,-999999,IF(ISNUMBER(SEARCH(","&amp;Database!$A478&amp;",",","&amp;SUBSTITUTE(Screener!$D$17," ","")&amp;",")),2000000,IF(IF(OR(Screener!$B$18="All",AND(Screener!$B$18="With A-share",(Database!$BL478="Y")),AND(Screener!$B$18="Without A-share",NOT((Database!$BL478="Y")))),1,0)=0,-999999,IF(Screener!$B$16="cornerstone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Database!BF466</f>
        <v/>
      </c>
      <c r="AF478">
        <f>Database!BL466</f>
        <v/>
      </c>
      <c r="AG478">
        <f>Database!H466</f>
        <v/>
      </c>
      <c r="AH478">
        <f>Database!BG466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IF(OR(Database!$BF479="",Screener!$D$10=""),0,IF(Database!$BF479=Screener!$D$10,1,0))</f>
        <v/>
      </c>
      <c r="F479">
        <f>IF(OR(Database!$BL479="",Screener!$D$11=""),0,IF(Database!$BL479=Screener!$D$11,1,0))</f>
        <v/>
      </c>
      <c r="G479">
        <f>IF(OR(Database!$H479="",N(Screener!$D$12)&lt;=0),0,MAX(0,1-(N(Screener!$D$12)-Database!$H479)/W_RECD))</f>
        <v/>
      </c>
      <c r="H479">
        <f>IF($U$1="",0,N(ISNUMBER(SEARCH($U$1,Database!$AC479&amp;""))))+IF($V$1="",0,N(ISNUMBER(SEARCH($V$1,Database!$AC479&amp;""))))+IF($W$1="",0,N(ISNUMBER(SEARCH($W$1,Database!$AC479&amp;""))))+IF($X$1="",0,N(ISNUMBER(SEARCH($X$1,Database!$AC479&amp;""))))+IF($Y$1="",0,N(ISNUMBER(SEARCH($Y$1,Database!$AC479&amp;""))))+IF(Screener!$B$17="",0,N(ISNUMBER(SEARCH(LOWER(Screener!$B$17),Database!$AC479&amp;""))))</f>
        <v/>
      </c>
      <c r="I479">
        <f>IF(OR(N(Database!$BG479)&lt;=0,N(Screener!$D$13)&lt;=0),0,MAX(0,1-ABS(LOG10(N(Database!$BG479)/Screener!$D$13))/W_PEHW))</f>
        <v/>
      </c>
      <c r="J479">
        <f>IF(OR(N(Database!$S479)&lt;=0,N(Screener!$D$14)&lt;=0),0,MAX(0,1-ABS(LOG10(Database!$S479/Screener!$D$14))/0.6))</f>
        <v/>
      </c>
      <c r="K479">
        <f>IF(Database!$B479=Screener!$B$5,-999999,IF(ISNUMBER(SEARCH(","&amp;Database!$A479&amp;",",","&amp;SUBSTITUTE(Screener!$D$17," ","")&amp;",")),2000000,IF(IF(OR(Screener!$B$18="All",AND(Screener!$B$18="With A-share",(Database!$BL479="Y")),AND(Screener!$B$18="Without A-share",NOT((Database!$BL479="Y")))),1,0)=0,-999999,IF(Screener!$B$16="cornerstone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Database!BF467</f>
        <v/>
      </c>
      <c r="AF479">
        <f>Database!BL467</f>
        <v/>
      </c>
      <c r="AG479">
        <f>Database!H467</f>
        <v/>
      </c>
      <c r="AH479">
        <f>Database!BG467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IF(OR(Database!$BF480="",Screener!$D$10=""),0,IF(Database!$BF480=Screener!$D$10,1,0))</f>
        <v/>
      </c>
      <c r="F480">
        <f>IF(OR(Database!$BL480="",Screener!$D$11=""),0,IF(Database!$BL480=Screener!$D$11,1,0))</f>
        <v/>
      </c>
      <c r="G480">
        <f>IF(OR(Database!$H480="",N(Screener!$D$12)&lt;=0),0,MAX(0,1-(N(Screener!$D$12)-Database!$H480)/W_RECD))</f>
        <v/>
      </c>
      <c r="H480">
        <f>IF($U$1="",0,N(ISNUMBER(SEARCH($U$1,Database!$AC480&amp;""))))+IF($V$1="",0,N(ISNUMBER(SEARCH($V$1,Database!$AC480&amp;""))))+IF($W$1="",0,N(ISNUMBER(SEARCH($W$1,Database!$AC480&amp;""))))+IF($X$1="",0,N(ISNUMBER(SEARCH($X$1,Database!$AC480&amp;""))))+IF($Y$1="",0,N(ISNUMBER(SEARCH($Y$1,Database!$AC480&amp;""))))+IF(Screener!$B$17="",0,N(ISNUMBER(SEARCH(LOWER(Screener!$B$17),Database!$AC480&amp;""))))</f>
        <v/>
      </c>
      <c r="I480">
        <f>IF(OR(N(Database!$BG480)&lt;=0,N(Screener!$D$13)&lt;=0),0,MAX(0,1-ABS(LOG10(N(Database!$BG480)/Screener!$D$13))/W_PEHW))</f>
        <v/>
      </c>
      <c r="J480">
        <f>IF(OR(N(Database!$S480)&lt;=0,N(Screener!$D$14)&lt;=0),0,MAX(0,1-ABS(LOG10(Database!$S480/Screener!$D$14))/0.6))</f>
        <v/>
      </c>
      <c r="K480">
        <f>IF(Database!$B480=Screener!$B$5,-999999,IF(ISNUMBER(SEARCH(","&amp;Database!$A480&amp;",",","&amp;SUBSTITUTE(Screener!$D$17," ","")&amp;",")),2000000,IF(IF(OR(Screener!$B$18="All",AND(Screener!$B$18="With A-share",(Database!$BL480="Y")),AND(Screener!$B$18="Without A-share",NOT((Database!$BL480="Y")))),1,0)=0,-999999,IF(Screener!$B$16="cornerstone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Database!BF468</f>
        <v/>
      </c>
      <c r="AF480">
        <f>Database!BL468</f>
        <v/>
      </c>
      <c r="AG480">
        <f>Database!H468</f>
        <v/>
      </c>
      <c r="AH480">
        <f>Database!BG468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IF(OR(Database!$BF481="",Screener!$D$10=""),0,IF(Database!$BF481=Screener!$D$10,1,0))</f>
        <v/>
      </c>
      <c r="F481">
        <f>IF(OR(Database!$BL481="",Screener!$D$11=""),0,IF(Database!$BL481=Screener!$D$11,1,0))</f>
        <v/>
      </c>
      <c r="G481">
        <f>IF(OR(Database!$H481="",N(Screener!$D$12)&lt;=0),0,MAX(0,1-(N(Screener!$D$12)-Database!$H481)/W_RECD))</f>
        <v/>
      </c>
      <c r="H481">
        <f>IF($U$1="",0,N(ISNUMBER(SEARCH($U$1,Database!$AC481&amp;""))))+IF($V$1="",0,N(ISNUMBER(SEARCH($V$1,Database!$AC481&amp;""))))+IF($W$1="",0,N(ISNUMBER(SEARCH($W$1,Database!$AC481&amp;""))))+IF($X$1="",0,N(ISNUMBER(SEARCH($X$1,Database!$AC481&amp;""))))+IF($Y$1="",0,N(ISNUMBER(SEARCH($Y$1,Database!$AC481&amp;""))))+IF(Screener!$B$17="",0,N(ISNUMBER(SEARCH(LOWER(Screener!$B$17),Database!$AC481&amp;""))))</f>
        <v/>
      </c>
      <c r="I481">
        <f>IF(OR(N(Database!$BG481)&lt;=0,N(Screener!$D$13)&lt;=0),0,MAX(0,1-ABS(LOG10(N(Database!$BG481)/Screener!$D$13))/W_PEHW))</f>
        <v/>
      </c>
      <c r="J481">
        <f>IF(OR(N(Database!$S481)&lt;=0,N(Screener!$D$14)&lt;=0),0,MAX(0,1-ABS(LOG10(Database!$S481/Screener!$D$14))/0.6))</f>
        <v/>
      </c>
      <c r="K481">
        <f>IF(Database!$B481=Screener!$B$5,-999999,IF(ISNUMBER(SEARCH(","&amp;Database!$A481&amp;",",","&amp;SUBSTITUTE(Screener!$D$17," ","")&amp;",")),2000000,IF(IF(OR(Screener!$B$18="All",AND(Screener!$B$18="With A-share",(Database!$BL481="Y")),AND(Screener!$B$18="Without A-share",NOT((Database!$BL481="Y")))),1,0)=0,-999999,IF(Screener!$B$16="cornerstone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Database!BF469</f>
        <v/>
      </c>
      <c r="AF481">
        <f>Database!BL469</f>
        <v/>
      </c>
      <c r="AG481">
        <f>Database!H469</f>
        <v/>
      </c>
      <c r="AH481">
        <f>Database!BG469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IF(OR(Database!$BF482="",Screener!$D$10=""),0,IF(Database!$BF482=Screener!$D$10,1,0))</f>
        <v/>
      </c>
      <c r="F482">
        <f>IF(OR(Database!$BL482="",Screener!$D$11=""),0,IF(Database!$BL482=Screener!$D$11,1,0))</f>
        <v/>
      </c>
      <c r="G482">
        <f>IF(OR(Database!$H482="",N(Screener!$D$12)&lt;=0),0,MAX(0,1-(N(Screener!$D$12)-Database!$H482)/W_RECD))</f>
        <v/>
      </c>
      <c r="H482">
        <f>IF($U$1="",0,N(ISNUMBER(SEARCH($U$1,Database!$AC482&amp;""))))+IF($V$1="",0,N(ISNUMBER(SEARCH($V$1,Database!$AC482&amp;""))))+IF($W$1="",0,N(ISNUMBER(SEARCH($W$1,Database!$AC482&amp;""))))+IF($X$1="",0,N(ISNUMBER(SEARCH($X$1,Database!$AC482&amp;""))))+IF($Y$1="",0,N(ISNUMBER(SEARCH($Y$1,Database!$AC482&amp;""))))+IF(Screener!$B$17="",0,N(ISNUMBER(SEARCH(LOWER(Screener!$B$17),Database!$AC482&amp;""))))</f>
        <v/>
      </c>
      <c r="I482">
        <f>IF(OR(N(Database!$BG482)&lt;=0,N(Screener!$D$13)&lt;=0),0,MAX(0,1-ABS(LOG10(N(Database!$BG482)/Screener!$D$13))/W_PEHW))</f>
        <v/>
      </c>
      <c r="J482">
        <f>IF(OR(N(Database!$S482)&lt;=0,N(Screener!$D$14)&lt;=0),0,MAX(0,1-ABS(LOG10(Database!$S482/Screener!$D$14))/0.6))</f>
        <v/>
      </c>
      <c r="K482">
        <f>IF(Database!$B482=Screener!$B$5,-999999,IF(ISNUMBER(SEARCH(","&amp;Database!$A482&amp;",",","&amp;SUBSTITUTE(Screener!$D$17," ","")&amp;",")),2000000,IF(IF(OR(Screener!$B$18="All",AND(Screener!$B$18="With A-share",(Database!$BL482="Y")),AND(Screener!$B$18="Without A-share",NOT((Database!$BL482="Y")))),1,0)=0,-999999,IF(Screener!$B$16="cornerstone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Database!BF470</f>
        <v/>
      </c>
      <c r="AF482">
        <f>Database!BL470</f>
        <v/>
      </c>
      <c r="AG482">
        <f>Database!H470</f>
        <v/>
      </c>
      <c r="AH482">
        <f>Database!BG470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IF(OR(Database!$BF483="",Screener!$D$10=""),0,IF(Database!$BF483=Screener!$D$10,1,0))</f>
        <v/>
      </c>
      <c r="F483">
        <f>IF(OR(Database!$BL483="",Screener!$D$11=""),0,IF(Database!$BL483=Screener!$D$11,1,0))</f>
        <v/>
      </c>
      <c r="G483">
        <f>IF(OR(Database!$H483="",N(Screener!$D$12)&lt;=0),0,MAX(0,1-(N(Screener!$D$12)-Database!$H483)/W_RECD))</f>
        <v/>
      </c>
      <c r="H483">
        <f>IF($U$1="",0,N(ISNUMBER(SEARCH($U$1,Database!$AC483&amp;""))))+IF($V$1="",0,N(ISNUMBER(SEARCH($V$1,Database!$AC483&amp;""))))+IF($W$1="",0,N(ISNUMBER(SEARCH($W$1,Database!$AC483&amp;""))))+IF($X$1="",0,N(ISNUMBER(SEARCH($X$1,Database!$AC483&amp;""))))+IF($Y$1="",0,N(ISNUMBER(SEARCH($Y$1,Database!$AC483&amp;""))))+IF(Screener!$B$17="",0,N(ISNUMBER(SEARCH(LOWER(Screener!$B$17),Database!$AC483&amp;""))))</f>
        <v/>
      </c>
      <c r="I483">
        <f>IF(OR(N(Database!$BG483)&lt;=0,N(Screener!$D$13)&lt;=0),0,MAX(0,1-ABS(LOG10(N(Database!$BG483)/Screener!$D$13))/W_PEHW))</f>
        <v/>
      </c>
      <c r="J483">
        <f>IF(OR(N(Database!$S483)&lt;=0,N(Screener!$D$14)&lt;=0),0,MAX(0,1-ABS(LOG10(Database!$S483/Screener!$D$14))/0.6))</f>
        <v/>
      </c>
      <c r="K483">
        <f>IF(Database!$B483=Screener!$B$5,-999999,IF(ISNUMBER(SEARCH(","&amp;Database!$A483&amp;",",","&amp;SUBSTITUTE(Screener!$D$17," ","")&amp;",")),2000000,IF(IF(OR(Screener!$B$18="All",AND(Screener!$B$18="With A-share",(Database!$BL483="Y")),AND(Screener!$B$18="Without A-share",NOT((Database!$BL483="Y")))),1,0)=0,-999999,IF(Screener!$B$16="cornerstone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Database!BF471</f>
        <v/>
      </c>
      <c r="AF483">
        <f>Database!BL471</f>
        <v/>
      </c>
      <c r="AG483">
        <f>Database!H471</f>
        <v/>
      </c>
      <c r="AH483">
        <f>Database!BG471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IF(OR(Database!$BF484="",Screener!$D$10=""),0,IF(Database!$BF484=Screener!$D$10,1,0))</f>
        <v/>
      </c>
      <c r="F484">
        <f>IF(OR(Database!$BL484="",Screener!$D$11=""),0,IF(Database!$BL484=Screener!$D$11,1,0))</f>
        <v/>
      </c>
      <c r="G484">
        <f>IF(OR(Database!$H484="",N(Screener!$D$12)&lt;=0),0,MAX(0,1-(N(Screener!$D$12)-Database!$H484)/W_RECD))</f>
        <v/>
      </c>
      <c r="H484">
        <f>IF($U$1="",0,N(ISNUMBER(SEARCH($U$1,Database!$AC484&amp;""))))+IF($V$1="",0,N(ISNUMBER(SEARCH($V$1,Database!$AC484&amp;""))))+IF($W$1="",0,N(ISNUMBER(SEARCH($W$1,Database!$AC484&amp;""))))+IF($X$1="",0,N(ISNUMBER(SEARCH($X$1,Database!$AC484&amp;""))))+IF($Y$1="",0,N(ISNUMBER(SEARCH($Y$1,Database!$AC484&amp;""))))+IF(Screener!$B$17="",0,N(ISNUMBER(SEARCH(LOWER(Screener!$B$17),Database!$AC484&amp;""))))</f>
        <v/>
      </c>
      <c r="I484">
        <f>IF(OR(N(Database!$BG484)&lt;=0,N(Screener!$D$13)&lt;=0),0,MAX(0,1-ABS(LOG10(N(Database!$BG484)/Screener!$D$13))/W_PEHW))</f>
        <v/>
      </c>
      <c r="J484">
        <f>IF(OR(N(Database!$S484)&lt;=0,N(Screener!$D$14)&lt;=0),0,MAX(0,1-ABS(LOG10(Database!$S484/Screener!$D$14))/0.6))</f>
        <v/>
      </c>
      <c r="K484">
        <f>IF(Database!$B484=Screener!$B$5,-999999,IF(ISNUMBER(SEARCH(","&amp;Database!$A484&amp;",",","&amp;SUBSTITUTE(Screener!$D$17," ","")&amp;",")),2000000,IF(IF(OR(Screener!$B$18="All",AND(Screener!$B$18="With A-share",(Database!$BL484="Y")),AND(Screener!$B$18="Without A-share",NOT((Database!$BL484="Y")))),1,0)=0,-999999,IF(Screener!$B$16="cornerstone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Database!BF472</f>
        <v/>
      </c>
      <c r="AF484">
        <f>Database!BL472</f>
        <v/>
      </c>
      <c r="AG484">
        <f>Database!H472</f>
        <v/>
      </c>
      <c r="AH484">
        <f>Database!BG472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IF(OR(Database!$BF485="",Screener!$D$10=""),0,IF(Database!$BF485=Screener!$D$10,1,0))</f>
        <v/>
      </c>
      <c r="F485">
        <f>IF(OR(Database!$BL485="",Screener!$D$11=""),0,IF(Database!$BL485=Screener!$D$11,1,0))</f>
        <v/>
      </c>
      <c r="G485">
        <f>IF(OR(Database!$H485="",N(Screener!$D$12)&lt;=0),0,MAX(0,1-(N(Screener!$D$12)-Database!$H485)/W_RECD))</f>
        <v/>
      </c>
      <c r="H485">
        <f>IF($U$1="",0,N(ISNUMBER(SEARCH($U$1,Database!$AC485&amp;""))))+IF($V$1="",0,N(ISNUMBER(SEARCH($V$1,Database!$AC485&amp;""))))+IF($W$1="",0,N(ISNUMBER(SEARCH($W$1,Database!$AC485&amp;""))))+IF($X$1="",0,N(ISNUMBER(SEARCH($X$1,Database!$AC485&amp;""))))+IF($Y$1="",0,N(ISNUMBER(SEARCH($Y$1,Database!$AC485&amp;""))))+IF(Screener!$B$17="",0,N(ISNUMBER(SEARCH(LOWER(Screener!$B$17),Database!$AC485&amp;""))))</f>
        <v/>
      </c>
      <c r="I485">
        <f>IF(OR(N(Database!$BG485)&lt;=0,N(Screener!$D$13)&lt;=0),0,MAX(0,1-ABS(LOG10(N(Database!$BG485)/Screener!$D$13))/W_PEHW))</f>
        <v/>
      </c>
      <c r="J485">
        <f>IF(OR(N(Database!$S485)&lt;=0,N(Screener!$D$14)&lt;=0),0,MAX(0,1-ABS(LOG10(Database!$S485/Screener!$D$14))/0.6))</f>
        <v/>
      </c>
      <c r="K485">
        <f>IF(Database!$B485=Screener!$B$5,-999999,IF(ISNUMBER(SEARCH(","&amp;Database!$A485&amp;",",","&amp;SUBSTITUTE(Screener!$D$17," ","")&amp;",")),2000000,IF(IF(OR(Screener!$B$18="All",AND(Screener!$B$18="With A-share",(Database!$BL485="Y")),AND(Screener!$B$18="Without A-share",NOT((Database!$BL485="Y")))),1,0)=0,-999999,IF(Screener!$B$16="cornerstone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Database!BF473</f>
        <v/>
      </c>
      <c r="AF485">
        <f>Database!BL473</f>
        <v/>
      </c>
      <c r="AG485">
        <f>Database!H473</f>
        <v/>
      </c>
      <c r="AH485">
        <f>Database!BG473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IF(OR(Database!$BF486="",Screener!$D$10=""),0,IF(Database!$BF486=Screener!$D$10,1,0))</f>
        <v/>
      </c>
      <c r="F486">
        <f>IF(OR(Database!$BL486="",Screener!$D$11=""),0,IF(Database!$BL486=Screener!$D$11,1,0))</f>
        <v/>
      </c>
      <c r="G486">
        <f>IF(OR(Database!$H486="",N(Screener!$D$12)&lt;=0),0,MAX(0,1-(N(Screener!$D$12)-Database!$H486)/W_RECD))</f>
        <v/>
      </c>
      <c r="H486">
        <f>IF($U$1="",0,N(ISNUMBER(SEARCH($U$1,Database!$AC486&amp;""))))+IF($V$1="",0,N(ISNUMBER(SEARCH($V$1,Database!$AC486&amp;""))))+IF($W$1="",0,N(ISNUMBER(SEARCH($W$1,Database!$AC486&amp;""))))+IF($X$1="",0,N(ISNUMBER(SEARCH($X$1,Database!$AC486&amp;""))))+IF($Y$1="",0,N(ISNUMBER(SEARCH($Y$1,Database!$AC486&amp;""))))+IF(Screener!$B$17="",0,N(ISNUMBER(SEARCH(LOWER(Screener!$B$17),Database!$AC486&amp;""))))</f>
        <v/>
      </c>
      <c r="I486">
        <f>IF(OR(N(Database!$BG486)&lt;=0,N(Screener!$D$13)&lt;=0),0,MAX(0,1-ABS(LOG10(N(Database!$BG486)/Screener!$D$13))/W_PEHW))</f>
        <v/>
      </c>
      <c r="J486">
        <f>IF(OR(N(Database!$S486)&lt;=0,N(Screener!$D$14)&lt;=0),0,MAX(0,1-ABS(LOG10(Database!$S486/Screener!$D$14))/0.6))</f>
        <v/>
      </c>
      <c r="K486">
        <f>IF(Database!$B486=Screener!$B$5,-999999,IF(ISNUMBER(SEARCH(","&amp;Database!$A486&amp;",",","&amp;SUBSTITUTE(Screener!$D$17," ","")&amp;",")),2000000,IF(IF(OR(Screener!$B$18="All",AND(Screener!$B$18="With A-share",(Database!$BL486="Y")),AND(Screener!$B$18="Without A-share",NOT((Database!$BL486="Y")))),1,0)=0,-999999,IF(Screener!$B$16="cornerstone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Database!BF474</f>
        <v/>
      </c>
      <c r="AF486">
        <f>Database!BL474</f>
        <v/>
      </c>
      <c r="AG486">
        <f>Database!H474</f>
        <v/>
      </c>
      <c r="AH486">
        <f>Database!BG474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IF(OR(Database!$BF487="",Screener!$D$10=""),0,IF(Database!$BF487=Screener!$D$10,1,0))</f>
        <v/>
      </c>
      <c r="F487">
        <f>IF(OR(Database!$BL487="",Screener!$D$11=""),0,IF(Database!$BL487=Screener!$D$11,1,0))</f>
        <v/>
      </c>
      <c r="G487">
        <f>IF(OR(Database!$H487="",N(Screener!$D$12)&lt;=0),0,MAX(0,1-(N(Screener!$D$12)-Database!$H487)/W_RECD))</f>
        <v/>
      </c>
      <c r="H487">
        <f>IF($U$1="",0,N(ISNUMBER(SEARCH($U$1,Database!$AC487&amp;""))))+IF($V$1="",0,N(ISNUMBER(SEARCH($V$1,Database!$AC487&amp;""))))+IF($W$1="",0,N(ISNUMBER(SEARCH($W$1,Database!$AC487&amp;""))))+IF($X$1="",0,N(ISNUMBER(SEARCH($X$1,Database!$AC487&amp;""))))+IF($Y$1="",0,N(ISNUMBER(SEARCH($Y$1,Database!$AC487&amp;""))))+IF(Screener!$B$17="",0,N(ISNUMBER(SEARCH(LOWER(Screener!$B$17),Database!$AC487&amp;""))))</f>
        <v/>
      </c>
      <c r="I487">
        <f>IF(OR(N(Database!$BG487)&lt;=0,N(Screener!$D$13)&lt;=0),0,MAX(0,1-ABS(LOG10(N(Database!$BG487)/Screener!$D$13))/W_PEHW))</f>
        <v/>
      </c>
      <c r="J487">
        <f>IF(OR(N(Database!$S487)&lt;=0,N(Screener!$D$14)&lt;=0),0,MAX(0,1-ABS(LOG10(Database!$S487/Screener!$D$14))/0.6))</f>
        <v/>
      </c>
      <c r="K487">
        <f>IF(Database!$B487=Screener!$B$5,-999999,IF(ISNUMBER(SEARCH(","&amp;Database!$A487&amp;",",","&amp;SUBSTITUTE(Screener!$D$17," ","")&amp;",")),2000000,IF(IF(OR(Screener!$B$18="All",AND(Screener!$B$18="With A-share",(Database!$BL487="Y")),AND(Screener!$B$18="Without A-share",NOT((Database!$BL487="Y")))),1,0)=0,-999999,IF(Screener!$B$16="cornerstone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Database!BF475</f>
        <v/>
      </c>
      <c r="AF487">
        <f>Database!BL475</f>
        <v/>
      </c>
      <c r="AG487">
        <f>Database!H475</f>
        <v/>
      </c>
      <c r="AH487">
        <f>Database!BG475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IF(OR(Database!$BF488="",Screener!$D$10=""),0,IF(Database!$BF488=Screener!$D$10,1,0))</f>
        <v/>
      </c>
      <c r="F488">
        <f>IF(OR(Database!$BL488="",Screener!$D$11=""),0,IF(Database!$BL488=Screener!$D$11,1,0))</f>
        <v/>
      </c>
      <c r="G488">
        <f>IF(OR(Database!$H488="",N(Screener!$D$12)&lt;=0),0,MAX(0,1-(N(Screener!$D$12)-Database!$H488)/W_RECD))</f>
        <v/>
      </c>
      <c r="H488">
        <f>IF($U$1="",0,N(ISNUMBER(SEARCH($U$1,Database!$AC488&amp;""))))+IF($V$1="",0,N(ISNUMBER(SEARCH($V$1,Database!$AC488&amp;""))))+IF($W$1="",0,N(ISNUMBER(SEARCH($W$1,Database!$AC488&amp;""))))+IF($X$1="",0,N(ISNUMBER(SEARCH($X$1,Database!$AC488&amp;""))))+IF($Y$1="",0,N(ISNUMBER(SEARCH($Y$1,Database!$AC488&amp;""))))+IF(Screener!$B$17="",0,N(ISNUMBER(SEARCH(LOWER(Screener!$B$17),Database!$AC488&amp;""))))</f>
        <v/>
      </c>
      <c r="I488">
        <f>IF(OR(N(Database!$BG488)&lt;=0,N(Screener!$D$13)&lt;=0),0,MAX(0,1-ABS(LOG10(N(Database!$BG488)/Screener!$D$13))/W_PEHW))</f>
        <v/>
      </c>
      <c r="J488">
        <f>IF(OR(N(Database!$S488)&lt;=0,N(Screener!$D$14)&lt;=0),0,MAX(0,1-ABS(LOG10(Database!$S488/Screener!$D$14))/0.6))</f>
        <v/>
      </c>
      <c r="K488">
        <f>IF(Database!$B488=Screener!$B$5,-999999,IF(ISNUMBER(SEARCH(","&amp;Database!$A488&amp;",",","&amp;SUBSTITUTE(Screener!$D$17," ","")&amp;",")),2000000,IF(IF(OR(Screener!$B$18="All",AND(Screener!$B$18="With A-share",(Database!$BL488="Y")),AND(Screener!$B$18="Without A-share",NOT((Database!$BL488="Y")))),1,0)=0,-999999,IF(Screener!$B$16="cornerstone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Database!BF476</f>
        <v/>
      </c>
      <c r="AF488">
        <f>Database!BL476</f>
        <v/>
      </c>
      <c r="AG488">
        <f>Database!H476</f>
        <v/>
      </c>
      <c r="AH488">
        <f>Database!BG476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IF(OR(Database!$BF489="",Screener!$D$10=""),0,IF(Database!$BF489=Screener!$D$10,1,0))</f>
        <v/>
      </c>
      <c r="F489">
        <f>IF(OR(Database!$BL489="",Screener!$D$11=""),0,IF(Database!$BL489=Screener!$D$11,1,0))</f>
        <v/>
      </c>
      <c r="G489">
        <f>IF(OR(Database!$H489="",N(Screener!$D$12)&lt;=0),0,MAX(0,1-(N(Screener!$D$12)-Database!$H489)/W_RECD))</f>
        <v/>
      </c>
      <c r="H489">
        <f>IF($U$1="",0,N(ISNUMBER(SEARCH($U$1,Database!$AC489&amp;""))))+IF($V$1="",0,N(ISNUMBER(SEARCH($V$1,Database!$AC489&amp;""))))+IF($W$1="",0,N(ISNUMBER(SEARCH($W$1,Database!$AC489&amp;""))))+IF($X$1="",0,N(ISNUMBER(SEARCH($X$1,Database!$AC489&amp;""))))+IF($Y$1="",0,N(ISNUMBER(SEARCH($Y$1,Database!$AC489&amp;""))))+IF(Screener!$B$17="",0,N(ISNUMBER(SEARCH(LOWER(Screener!$B$17),Database!$AC489&amp;""))))</f>
        <v/>
      </c>
      <c r="I489">
        <f>IF(OR(N(Database!$BG489)&lt;=0,N(Screener!$D$13)&lt;=0),0,MAX(0,1-ABS(LOG10(N(Database!$BG489)/Screener!$D$13))/W_PEHW))</f>
        <v/>
      </c>
      <c r="J489">
        <f>IF(OR(N(Database!$S489)&lt;=0,N(Screener!$D$14)&lt;=0),0,MAX(0,1-ABS(LOG10(Database!$S489/Screener!$D$14))/0.6))</f>
        <v/>
      </c>
      <c r="K489">
        <f>IF(Database!$B489=Screener!$B$5,-999999,IF(ISNUMBER(SEARCH(","&amp;Database!$A489&amp;",",","&amp;SUBSTITUTE(Screener!$D$17," ","")&amp;",")),2000000,IF(IF(OR(Screener!$B$18="All",AND(Screener!$B$18="With A-share",(Database!$BL489="Y")),AND(Screener!$B$18="Without A-share",NOT((Database!$BL489="Y")))),1,0)=0,-999999,IF(Screener!$B$16="cornerstone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Database!BF477</f>
        <v/>
      </c>
      <c r="AF489">
        <f>Database!BL477</f>
        <v/>
      </c>
      <c r="AG489">
        <f>Database!H477</f>
        <v/>
      </c>
      <c r="AH489">
        <f>Database!BG477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IF(OR(Database!$BF490="",Screener!$D$10=""),0,IF(Database!$BF490=Screener!$D$10,1,0))</f>
        <v/>
      </c>
      <c r="F490">
        <f>IF(OR(Database!$BL490="",Screener!$D$11=""),0,IF(Database!$BL490=Screener!$D$11,1,0))</f>
        <v/>
      </c>
      <c r="G490">
        <f>IF(OR(Database!$H490="",N(Screener!$D$12)&lt;=0),0,MAX(0,1-(N(Screener!$D$12)-Database!$H490)/W_RECD))</f>
        <v/>
      </c>
      <c r="H490">
        <f>IF($U$1="",0,N(ISNUMBER(SEARCH($U$1,Database!$AC490&amp;""))))+IF($V$1="",0,N(ISNUMBER(SEARCH($V$1,Database!$AC490&amp;""))))+IF($W$1="",0,N(ISNUMBER(SEARCH($W$1,Database!$AC490&amp;""))))+IF($X$1="",0,N(ISNUMBER(SEARCH($X$1,Database!$AC490&amp;""))))+IF($Y$1="",0,N(ISNUMBER(SEARCH($Y$1,Database!$AC490&amp;""))))+IF(Screener!$B$17="",0,N(ISNUMBER(SEARCH(LOWER(Screener!$B$17),Database!$AC490&amp;""))))</f>
        <v/>
      </c>
      <c r="I490">
        <f>IF(OR(N(Database!$BG490)&lt;=0,N(Screener!$D$13)&lt;=0),0,MAX(0,1-ABS(LOG10(N(Database!$BG490)/Screener!$D$13))/W_PEHW))</f>
        <v/>
      </c>
      <c r="J490">
        <f>IF(OR(N(Database!$S490)&lt;=0,N(Screener!$D$14)&lt;=0),0,MAX(0,1-ABS(LOG10(Database!$S490/Screener!$D$14))/0.6))</f>
        <v/>
      </c>
      <c r="K490">
        <f>IF(Database!$B490=Screener!$B$5,-999999,IF(ISNUMBER(SEARCH(","&amp;Database!$A490&amp;",",","&amp;SUBSTITUTE(Screener!$D$17," ","")&amp;",")),2000000,IF(IF(OR(Screener!$B$18="All",AND(Screener!$B$18="With A-share",(Database!$BL490="Y")),AND(Screener!$B$18="Without A-share",NOT((Database!$BL490="Y")))),1,0)=0,-999999,IF(Screener!$B$16="cornerstone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Database!BF478</f>
        <v/>
      </c>
      <c r="AF490">
        <f>Database!BL478</f>
        <v/>
      </c>
      <c r="AG490">
        <f>Database!H478</f>
        <v/>
      </c>
      <c r="AH490">
        <f>Database!BG478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IF(OR(Database!$BF491="",Screener!$D$10=""),0,IF(Database!$BF491=Screener!$D$10,1,0))</f>
        <v/>
      </c>
      <c r="F491">
        <f>IF(OR(Database!$BL491="",Screener!$D$11=""),0,IF(Database!$BL491=Screener!$D$11,1,0))</f>
        <v/>
      </c>
      <c r="G491">
        <f>IF(OR(Database!$H491="",N(Screener!$D$12)&lt;=0),0,MAX(0,1-(N(Screener!$D$12)-Database!$H491)/W_RECD))</f>
        <v/>
      </c>
      <c r="H491">
        <f>IF($U$1="",0,N(ISNUMBER(SEARCH($U$1,Database!$AC491&amp;""))))+IF($V$1="",0,N(ISNUMBER(SEARCH($V$1,Database!$AC491&amp;""))))+IF($W$1="",0,N(ISNUMBER(SEARCH($W$1,Database!$AC491&amp;""))))+IF($X$1="",0,N(ISNUMBER(SEARCH($X$1,Database!$AC491&amp;""))))+IF($Y$1="",0,N(ISNUMBER(SEARCH($Y$1,Database!$AC491&amp;""))))+IF(Screener!$B$17="",0,N(ISNUMBER(SEARCH(LOWER(Screener!$B$17),Database!$AC491&amp;""))))</f>
        <v/>
      </c>
      <c r="I491">
        <f>IF(OR(N(Database!$BG491)&lt;=0,N(Screener!$D$13)&lt;=0),0,MAX(0,1-ABS(LOG10(N(Database!$BG491)/Screener!$D$13))/W_PEHW))</f>
        <v/>
      </c>
      <c r="J491">
        <f>IF(OR(N(Database!$S491)&lt;=0,N(Screener!$D$14)&lt;=0),0,MAX(0,1-ABS(LOG10(Database!$S491/Screener!$D$14))/0.6))</f>
        <v/>
      </c>
      <c r="K491">
        <f>IF(Database!$B491=Screener!$B$5,-999999,IF(ISNUMBER(SEARCH(","&amp;Database!$A491&amp;",",","&amp;SUBSTITUTE(Screener!$D$17," ","")&amp;",")),2000000,IF(IF(OR(Screener!$B$18="All",AND(Screener!$B$18="With A-share",(Database!$BL491="Y")),AND(Screener!$B$18="Without A-share",NOT((Database!$BL491="Y")))),1,0)=0,-999999,IF(Screener!$B$16="cornerstone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Database!BF479</f>
        <v/>
      </c>
      <c r="AF491">
        <f>Database!BL479</f>
        <v/>
      </c>
      <c r="AG491">
        <f>Database!H479</f>
        <v/>
      </c>
      <c r="AH491">
        <f>Database!BG479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IF(OR(Database!$BF492="",Screener!$D$10=""),0,IF(Database!$BF492=Screener!$D$10,1,0))</f>
        <v/>
      </c>
      <c r="F492">
        <f>IF(OR(Database!$BL492="",Screener!$D$11=""),0,IF(Database!$BL492=Screener!$D$11,1,0))</f>
        <v/>
      </c>
      <c r="G492">
        <f>IF(OR(Database!$H492="",N(Screener!$D$12)&lt;=0),0,MAX(0,1-(N(Screener!$D$12)-Database!$H492)/W_RECD))</f>
        <v/>
      </c>
      <c r="H492">
        <f>IF($U$1="",0,N(ISNUMBER(SEARCH($U$1,Database!$AC492&amp;""))))+IF($V$1="",0,N(ISNUMBER(SEARCH($V$1,Database!$AC492&amp;""))))+IF($W$1="",0,N(ISNUMBER(SEARCH($W$1,Database!$AC492&amp;""))))+IF($X$1="",0,N(ISNUMBER(SEARCH($X$1,Database!$AC492&amp;""))))+IF($Y$1="",0,N(ISNUMBER(SEARCH($Y$1,Database!$AC492&amp;""))))+IF(Screener!$B$17="",0,N(ISNUMBER(SEARCH(LOWER(Screener!$B$17),Database!$AC492&amp;""))))</f>
        <v/>
      </c>
      <c r="I492">
        <f>IF(OR(N(Database!$BG492)&lt;=0,N(Screener!$D$13)&lt;=0),0,MAX(0,1-ABS(LOG10(N(Database!$BG492)/Screener!$D$13))/W_PEHW))</f>
        <v/>
      </c>
      <c r="J492">
        <f>IF(OR(N(Database!$S492)&lt;=0,N(Screener!$D$14)&lt;=0),0,MAX(0,1-ABS(LOG10(Database!$S492/Screener!$D$14))/0.6))</f>
        <v/>
      </c>
      <c r="K492">
        <f>IF(Database!$B492=Screener!$B$5,-999999,IF(ISNUMBER(SEARCH(","&amp;Database!$A492&amp;",",","&amp;SUBSTITUTE(Screener!$D$17," ","")&amp;",")),2000000,IF(IF(OR(Screener!$B$18="All",AND(Screener!$B$18="With A-share",(Database!$BL492="Y")),AND(Screener!$B$18="Without A-share",NOT((Database!$BL492="Y")))),1,0)=0,-999999,IF(Screener!$B$16="cornerstone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Database!BF480</f>
        <v/>
      </c>
      <c r="AF492">
        <f>Database!BL480</f>
        <v/>
      </c>
      <c r="AG492">
        <f>Database!H480</f>
        <v/>
      </c>
      <c r="AH492">
        <f>Database!BG480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IF(OR(Database!$BF493="",Screener!$D$10=""),0,IF(Database!$BF493=Screener!$D$10,1,0))</f>
        <v/>
      </c>
      <c r="F493">
        <f>IF(OR(Database!$BL493="",Screener!$D$11=""),0,IF(Database!$BL493=Screener!$D$11,1,0))</f>
        <v/>
      </c>
      <c r="G493">
        <f>IF(OR(Database!$H493="",N(Screener!$D$12)&lt;=0),0,MAX(0,1-(N(Screener!$D$12)-Database!$H493)/W_RECD))</f>
        <v/>
      </c>
      <c r="H493">
        <f>IF($U$1="",0,N(ISNUMBER(SEARCH($U$1,Database!$AC493&amp;""))))+IF($V$1="",0,N(ISNUMBER(SEARCH($V$1,Database!$AC493&amp;""))))+IF($W$1="",0,N(ISNUMBER(SEARCH($W$1,Database!$AC493&amp;""))))+IF($X$1="",0,N(ISNUMBER(SEARCH($X$1,Database!$AC493&amp;""))))+IF($Y$1="",0,N(ISNUMBER(SEARCH($Y$1,Database!$AC493&amp;""))))+IF(Screener!$B$17="",0,N(ISNUMBER(SEARCH(LOWER(Screener!$B$17),Database!$AC493&amp;""))))</f>
        <v/>
      </c>
      <c r="I493">
        <f>IF(OR(N(Database!$BG493)&lt;=0,N(Screener!$D$13)&lt;=0),0,MAX(0,1-ABS(LOG10(N(Database!$BG493)/Screener!$D$13))/W_PEHW))</f>
        <v/>
      </c>
      <c r="J493">
        <f>IF(OR(N(Database!$S493)&lt;=0,N(Screener!$D$14)&lt;=0),0,MAX(0,1-ABS(LOG10(Database!$S493/Screener!$D$14))/0.6))</f>
        <v/>
      </c>
      <c r="K493">
        <f>IF(Database!$B493=Screener!$B$5,-999999,IF(ISNUMBER(SEARCH(","&amp;Database!$A493&amp;",",","&amp;SUBSTITUTE(Screener!$D$17," ","")&amp;",")),2000000,IF(IF(OR(Screener!$B$18="All",AND(Screener!$B$18="With A-share",(Database!$BL493="Y")),AND(Screener!$B$18="Without A-share",NOT((Database!$BL493="Y")))),1,0)=0,-999999,IF(Screener!$B$16="cornerstone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Database!BF481</f>
        <v/>
      </c>
      <c r="AF493">
        <f>Database!BL481</f>
        <v/>
      </c>
      <c r="AG493">
        <f>Database!H481</f>
        <v/>
      </c>
      <c r="AH493">
        <f>Database!BG481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IF(OR(Database!$BF494="",Screener!$D$10=""),0,IF(Database!$BF494=Screener!$D$10,1,0))</f>
        <v/>
      </c>
      <c r="F494">
        <f>IF(OR(Database!$BL494="",Screener!$D$11=""),0,IF(Database!$BL494=Screener!$D$11,1,0))</f>
        <v/>
      </c>
      <c r="G494">
        <f>IF(OR(Database!$H494="",N(Screener!$D$12)&lt;=0),0,MAX(0,1-(N(Screener!$D$12)-Database!$H494)/W_RECD))</f>
        <v/>
      </c>
      <c r="H494">
        <f>IF($U$1="",0,N(ISNUMBER(SEARCH($U$1,Database!$AC494&amp;""))))+IF($V$1="",0,N(ISNUMBER(SEARCH($V$1,Database!$AC494&amp;""))))+IF($W$1="",0,N(ISNUMBER(SEARCH($W$1,Database!$AC494&amp;""))))+IF($X$1="",0,N(ISNUMBER(SEARCH($X$1,Database!$AC494&amp;""))))+IF($Y$1="",0,N(ISNUMBER(SEARCH($Y$1,Database!$AC494&amp;""))))+IF(Screener!$B$17="",0,N(ISNUMBER(SEARCH(LOWER(Screener!$B$17),Database!$AC494&amp;""))))</f>
        <v/>
      </c>
      <c r="I494">
        <f>IF(OR(N(Database!$BG494)&lt;=0,N(Screener!$D$13)&lt;=0),0,MAX(0,1-ABS(LOG10(N(Database!$BG494)/Screener!$D$13))/W_PEHW))</f>
        <v/>
      </c>
      <c r="J494">
        <f>IF(OR(N(Database!$S494)&lt;=0,N(Screener!$D$14)&lt;=0),0,MAX(0,1-ABS(LOG10(Database!$S494/Screener!$D$14))/0.6))</f>
        <v/>
      </c>
      <c r="K494">
        <f>IF(Database!$B494=Screener!$B$5,-999999,IF(ISNUMBER(SEARCH(","&amp;Database!$A494&amp;",",","&amp;SUBSTITUTE(Screener!$D$17," ","")&amp;",")),2000000,IF(IF(OR(Screener!$B$18="All",AND(Screener!$B$18="With A-share",(Database!$BL494="Y")),AND(Screener!$B$18="Without A-share",NOT((Database!$BL494="Y")))),1,0)=0,-999999,IF(Screener!$B$16="cornerstone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Database!BF482</f>
        <v/>
      </c>
      <c r="AF494">
        <f>Database!BL482</f>
        <v/>
      </c>
      <c r="AG494">
        <f>Database!H482</f>
        <v/>
      </c>
      <c r="AH494">
        <f>Database!BG482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IF(OR(Database!$BF495="",Screener!$D$10=""),0,IF(Database!$BF495=Screener!$D$10,1,0))</f>
        <v/>
      </c>
      <c r="F495">
        <f>IF(OR(Database!$BL495="",Screener!$D$11=""),0,IF(Database!$BL495=Screener!$D$11,1,0))</f>
        <v/>
      </c>
      <c r="G495">
        <f>IF(OR(Database!$H495="",N(Screener!$D$12)&lt;=0),0,MAX(0,1-(N(Screener!$D$12)-Database!$H495)/W_RECD))</f>
        <v/>
      </c>
      <c r="H495">
        <f>IF($U$1="",0,N(ISNUMBER(SEARCH($U$1,Database!$AC495&amp;""))))+IF($V$1="",0,N(ISNUMBER(SEARCH($V$1,Database!$AC495&amp;""))))+IF($W$1="",0,N(ISNUMBER(SEARCH($W$1,Database!$AC495&amp;""))))+IF($X$1="",0,N(ISNUMBER(SEARCH($X$1,Database!$AC495&amp;""))))+IF($Y$1="",0,N(ISNUMBER(SEARCH($Y$1,Database!$AC495&amp;""))))+IF(Screener!$B$17="",0,N(ISNUMBER(SEARCH(LOWER(Screener!$B$17),Database!$AC495&amp;""))))</f>
        <v/>
      </c>
      <c r="I495">
        <f>IF(OR(N(Database!$BG495)&lt;=0,N(Screener!$D$13)&lt;=0),0,MAX(0,1-ABS(LOG10(N(Database!$BG495)/Screener!$D$13))/W_PEHW))</f>
        <v/>
      </c>
      <c r="J495">
        <f>IF(OR(N(Database!$S495)&lt;=0,N(Screener!$D$14)&lt;=0),0,MAX(0,1-ABS(LOG10(Database!$S495/Screener!$D$14))/0.6))</f>
        <v/>
      </c>
      <c r="K495">
        <f>IF(Database!$B495=Screener!$B$5,-999999,IF(ISNUMBER(SEARCH(","&amp;Database!$A495&amp;",",","&amp;SUBSTITUTE(Screener!$D$17," ","")&amp;",")),2000000,IF(IF(OR(Screener!$B$18="All",AND(Screener!$B$18="With A-share",(Database!$BL495="Y")),AND(Screener!$B$18="Without A-share",NOT((Database!$BL495="Y")))),1,0)=0,-999999,IF(Screener!$B$16="cornerstone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Database!BF483</f>
        <v/>
      </c>
      <c r="AF495">
        <f>Database!BL483</f>
        <v/>
      </c>
      <c r="AG495">
        <f>Database!H483</f>
        <v/>
      </c>
      <c r="AH495">
        <f>Database!BG483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IF(OR(Database!$BF496="",Screener!$D$10=""),0,IF(Database!$BF496=Screener!$D$10,1,0))</f>
        <v/>
      </c>
      <c r="F496">
        <f>IF(OR(Database!$BL496="",Screener!$D$11=""),0,IF(Database!$BL496=Screener!$D$11,1,0))</f>
        <v/>
      </c>
      <c r="G496">
        <f>IF(OR(Database!$H496="",N(Screener!$D$12)&lt;=0),0,MAX(0,1-(N(Screener!$D$12)-Database!$H496)/W_RECD))</f>
        <v/>
      </c>
      <c r="H496">
        <f>IF($U$1="",0,N(ISNUMBER(SEARCH($U$1,Database!$AC496&amp;""))))+IF($V$1="",0,N(ISNUMBER(SEARCH($V$1,Database!$AC496&amp;""))))+IF($W$1="",0,N(ISNUMBER(SEARCH($W$1,Database!$AC496&amp;""))))+IF($X$1="",0,N(ISNUMBER(SEARCH($X$1,Database!$AC496&amp;""))))+IF($Y$1="",0,N(ISNUMBER(SEARCH($Y$1,Database!$AC496&amp;""))))+IF(Screener!$B$17="",0,N(ISNUMBER(SEARCH(LOWER(Screener!$B$17),Database!$AC496&amp;""))))</f>
        <v/>
      </c>
      <c r="I496">
        <f>IF(OR(N(Database!$BG496)&lt;=0,N(Screener!$D$13)&lt;=0),0,MAX(0,1-ABS(LOG10(N(Database!$BG496)/Screener!$D$13))/W_PEHW))</f>
        <v/>
      </c>
      <c r="J496">
        <f>IF(OR(N(Database!$S496)&lt;=0,N(Screener!$D$14)&lt;=0),0,MAX(0,1-ABS(LOG10(Database!$S496/Screener!$D$14))/0.6))</f>
        <v/>
      </c>
      <c r="K496">
        <f>IF(Database!$B496=Screener!$B$5,-999999,IF(ISNUMBER(SEARCH(","&amp;Database!$A496&amp;",",","&amp;SUBSTITUTE(Screener!$D$17," ","")&amp;",")),2000000,IF(IF(OR(Screener!$B$18="All",AND(Screener!$B$18="With A-share",(Database!$BL496="Y")),AND(Screener!$B$18="Without A-share",NOT((Database!$BL496="Y")))),1,0)=0,-999999,IF(Screener!$B$16="cornerstone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Database!BF484</f>
        <v/>
      </c>
      <c r="AF496">
        <f>Database!BL484</f>
        <v/>
      </c>
      <c r="AG496">
        <f>Database!H484</f>
        <v/>
      </c>
      <c r="AH496">
        <f>Database!BG484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IF(OR(Database!$BF497="",Screener!$D$10=""),0,IF(Database!$BF497=Screener!$D$10,1,0))</f>
        <v/>
      </c>
      <c r="F497">
        <f>IF(OR(Database!$BL497="",Screener!$D$11=""),0,IF(Database!$BL497=Screener!$D$11,1,0))</f>
        <v/>
      </c>
      <c r="G497">
        <f>IF(OR(Database!$H497="",N(Screener!$D$12)&lt;=0),0,MAX(0,1-(N(Screener!$D$12)-Database!$H497)/W_RECD))</f>
        <v/>
      </c>
      <c r="H497">
        <f>IF($U$1="",0,N(ISNUMBER(SEARCH($U$1,Database!$AC497&amp;""))))+IF($V$1="",0,N(ISNUMBER(SEARCH($V$1,Database!$AC497&amp;""))))+IF($W$1="",0,N(ISNUMBER(SEARCH($W$1,Database!$AC497&amp;""))))+IF($X$1="",0,N(ISNUMBER(SEARCH($X$1,Database!$AC497&amp;""))))+IF($Y$1="",0,N(ISNUMBER(SEARCH($Y$1,Database!$AC497&amp;""))))+IF(Screener!$B$17="",0,N(ISNUMBER(SEARCH(LOWER(Screener!$B$17),Database!$AC497&amp;""))))</f>
        <v/>
      </c>
      <c r="I497">
        <f>IF(OR(N(Database!$BG497)&lt;=0,N(Screener!$D$13)&lt;=0),0,MAX(0,1-ABS(LOG10(N(Database!$BG497)/Screener!$D$13))/W_PEHW))</f>
        <v/>
      </c>
      <c r="J497">
        <f>IF(OR(N(Database!$S497)&lt;=0,N(Screener!$D$14)&lt;=0),0,MAX(0,1-ABS(LOG10(Database!$S497/Screener!$D$14))/0.6))</f>
        <v/>
      </c>
      <c r="K497">
        <f>IF(Database!$B497=Screener!$B$5,-999999,IF(ISNUMBER(SEARCH(","&amp;Database!$A497&amp;",",","&amp;SUBSTITUTE(Screener!$D$17," ","")&amp;",")),2000000,IF(IF(OR(Screener!$B$18="All",AND(Screener!$B$18="With A-share",(Database!$BL497="Y")),AND(Screener!$B$18="Without A-share",NOT((Database!$BL497="Y")))),1,0)=0,-999999,IF(Screener!$B$16="cornerstone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Database!BF485</f>
        <v/>
      </c>
      <c r="AF497">
        <f>Database!BL485</f>
        <v/>
      </c>
      <c r="AG497">
        <f>Database!H485</f>
        <v/>
      </c>
      <c r="AH497">
        <f>Database!BG485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IF(OR(Database!$BF498="",Screener!$D$10=""),0,IF(Database!$BF498=Screener!$D$10,1,0))</f>
        <v/>
      </c>
      <c r="F498">
        <f>IF(OR(Database!$BL498="",Screener!$D$11=""),0,IF(Database!$BL498=Screener!$D$11,1,0))</f>
        <v/>
      </c>
      <c r="G498">
        <f>IF(OR(Database!$H498="",N(Screener!$D$12)&lt;=0),0,MAX(0,1-(N(Screener!$D$12)-Database!$H498)/W_RECD))</f>
        <v/>
      </c>
      <c r="H498">
        <f>IF($U$1="",0,N(ISNUMBER(SEARCH($U$1,Database!$AC498&amp;""))))+IF($V$1="",0,N(ISNUMBER(SEARCH($V$1,Database!$AC498&amp;""))))+IF($W$1="",0,N(ISNUMBER(SEARCH($W$1,Database!$AC498&amp;""))))+IF($X$1="",0,N(ISNUMBER(SEARCH($X$1,Database!$AC498&amp;""))))+IF($Y$1="",0,N(ISNUMBER(SEARCH($Y$1,Database!$AC498&amp;""))))+IF(Screener!$B$17="",0,N(ISNUMBER(SEARCH(LOWER(Screener!$B$17),Database!$AC498&amp;""))))</f>
        <v/>
      </c>
      <c r="I498">
        <f>IF(OR(N(Database!$BG498)&lt;=0,N(Screener!$D$13)&lt;=0),0,MAX(0,1-ABS(LOG10(N(Database!$BG498)/Screener!$D$13))/W_PEHW))</f>
        <v/>
      </c>
      <c r="J498">
        <f>IF(OR(N(Database!$S498)&lt;=0,N(Screener!$D$14)&lt;=0),0,MAX(0,1-ABS(LOG10(Database!$S498/Screener!$D$14))/0.6))</f>
        <v/>
      </c>
      <c r="K498">
        <f>IF(Database!$B498=Screener!$B$5,-999999,IF(ISNUMBER(SEARCH(","&amp;Database!$A498&amp;",",","&amp;SUBSTITUTE(Screener!$D$17," ","")&amp;",")),2000000,IF(IF(OR(Screener!$B$18="All",AND(Screener!$B$18="With A-share",(Database!$BL498="Y")),AND(Screener!$B$18="Without A-share",NOT((Database!$BL498="Y")))),1,0)=0,-999999,IF(Screener!$B$16="cornerstone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Database!BF486</f>
        <v/>
      </c>
      <c r="AF498">
        <f>Database!BL486</f>
        <v/>
      </c>
      <c r="AG498">
        <f>Database!H486</f>
        <v/>
      </c>
      <c r="AH498">
        <f>Database!BG486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IF(OR(Database!$BF499="",Screener!$D$10=""),0,IF(Database!$BF499=Screener!$D$10,1,0))</f>
        <v/>
      </c>
      <c r="F499">
        <f>IF(OR(Database!$BL499="",Screener!$D$11=""),0,IF(Database!$BL499=Screener!$D$11,1,0))</f>
        <v/>
      </c>
      <c r="G499">
        <f>IF(OR(Database!$H499="",N(Screener!$D$12)&lt;=0),0,MAX(0,1-(N(Screener!$D$12)-Database!$H499)/W_RECD))</f>
        <v/>
      </c>
      <c r="H499">
        <f>IF($U$1="",0,N(ISNUMBER(SEARCH($U$1,Database!$AC499&amp;""))))+IF($V$1="",0,N(ISNUMBER(SEARCH($V$1,Database!$AC499&amp;""))))+IF($W$1="",0,N(ISNUMBER(SEARCH($W$1,Database!$AC499&amp;""))))+IF($X$1="",0,N(ISNUMBER(SEARCH($X$1,Database!$AC499&amp;""))))+IF($Y$1="",0,N(ISNUMBER(SEARCH($Y$1,Database!$AC499&amp;""))))+IF(Screener!$B$17="",0,N(ISNUMBER(SEARCH(LOWER(Screener!$B$17),Database!$AC499&amp;""))))</f>
        <v/>
      </c>
      <c r="I499">
        <f>IF(OR(N(Database!$BG499)&lt;=0,N(Screener!$D$13)&lt;=0),0,MAX(0,1-ABS(LOG10(N(Database!$BG499)/Screener!$D$13))/W_PEHW))</f>
        <v/>
      </c>
      <c r="J499">
        <f>IF(OR(N(Database!$S499)&lt;=0,N(Screener!$D$14)&lt;=0),0,MAX(0,1-ABS(LOG10(Database!$S499/Screener!$D$14))/0.6))</f>
        <v/>
      </c>
      <c r="K499">
        <f>IF(Database!$B499=Screener!$B$5,-999999,IF(ISNUMBER(SEARCH(","&amp;Database!$A499&amp;",",","&amp;SUBSTITUTE(Screener!$D$17," ","")&amp;",")),2000000,IF(IF(OR(Screener!$B$18="All",AND(Screener!$B$18="With A-share",(Database!$BL499="Y")),AND(Screener!$B$18="Without A-share",NOT((Database!$BL499="Y")))),1,0)=0,-999999,IF(Screener!$B$16="cornerstone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Database!BF487</f>
        <v/>
      </c>
      <c r="AF499">
        <f>Database!BL487</f>
        <v/>
      </c>
      <c r="AG499">
        <f>Database!H487</f>
        <v/>
      </c>
      <c r="AH499">
        <f>Database!BG487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IF(OR(Database!$BF500="",Screener!$D$10=""),0,IF(Database!$BF500=Screener!$D$10,1,0))</f>
        <v/>
      </c>
      <c r="F500">
        <f>IF(OR(Database!$BL500="",Screener!$D$11=""),0,IF(Database!$BL500=Screener!$D$11,1,0))</f>
        <v/>
      </c>
      <c r="G500">
        <f>IF(OR(Database!$H500="",N(Screener!$D$12)&lt;=0),0,MAX(0,1-(N(Screener!$D$12)-Database!$H500)/W_RECD))</f>
        <v/>
      </c>
      <c r="H500">
        <f>IF($U$1="",0,N(ISNUMBER(SEARCH($U$1,Database!$AC500&amp;""))))+IF($V$1="",0,N(ISNUMBER(SEARCH($V$1,Database!$AC500&amp;""))))+IF($W$1="",0,N(ISNUMBER(SEARCH($W$1,Database!$AC500&amp;""))))+IF($X$1="",0,N(ISNUMBER(SEARCH($X$1,Database!$AC500&amp;""))))+IF($Y$1="",0,N(ISNUMBER(SEARCH($Y$1,Database!$AC500&amp;""))))+IF(Screener!$B$17="",0,N(ISNUMBER(SEARCH(LOWER(Screener!$B$17),Database!$AC500&amp;""))))</f>
        <v/>
      </c>
      <c r="I500">
        <f>IF(OR(N(Database!$BG500)&lt;=0,N(Screener!$D$13)&lt;=0),0,MAX(0,1-ABS(LOG10(N(Database!$BG500)/Screener!$D$13))/W_PEHW))</f>
        <v/>
      </c>
      <c r="J500">
        <f>IF(OR(N(Database!$S500)&lt;=0,N(Screener!$D$14)&lt;=0),0,MAX(0,1-ABS(LOG10(Database!$S500/Screener!$D$14))/0.6))</f>
        <v/>
      </c>
      <c r="K500">
        <f>IF(Database!$B500=Screener!$B$5,-999999,IF(ISNUMBER(SEARCH(","&amp;Database!$A500&amp;",",","&amp;SUBSTITUTE(Screener!$D$17," ","")&amp;",")),2000000,IF(IF(OR(Screener!$B$18="All",AND(Screener!$B$18="With A-share",(Database!$BL500="Y")),AND(Screener!$B$18="Without A-share",NOT((Database!$BL500="Y")))),1,0)=0,-999999,IF(Screener!$B$16="cornerstone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Database!BF488</f>
        <v/>
      </c>
      <c r="AF500">
        <f>Database!BL488</f>
        <v/>
      </c>
      <c r="AG500">
        <f>Database!H488</f>
        <v/>
      </c>
      <c r="AH500">
        <f>Database!BG488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IF(OR(Database!$BF501="",Screener!$D$10=""),0,IF(Database!$BF501=Screener!$D$10,1,0))</f>
        <v/>
      </c>
      <c r="F501">
        <f>IF(OR(Database!$BL501="",Screener!$D$11=""),0,IF(Database!$BL501=Screener!$D$11,1,0))</f>
        <v/>
      </c>
      <c r="G501">
        <f>IF(OR(Database!$H501="",N(Screener!$D$12)&lt;=0),0,MAX(0,1-(N(Screener!$D$12)-Database!$H501)/W_RECD))</f>
        <v/>
      </c>
      <c r="H501">
        <f>IF($U$1="",0,N(ISNUMBER(SEARCH($U$1,Database!$AC501&amp;""))))+IF($V$1="",0,N(ISNUMBER(SEARCH($V$1,Database!$AC501&amp;""))))+IF($W$1="",0,N(ISNUMBER(SEARCH($W$1,Database!$AC501&amp;""))))+IF($X$1="",0,N(ISNUMBER(SEARCH($X$1,Database!$AC501&amp;""))))+IF($Y$1="",0,N(ISNUMBER(SEARCH($Y$1,Database!$AC501&amp;""))))+IF(Screener!$B$17="",0,N(ISNUMBER(SEARCH(LOWER(Screener!$B$17),Database!$AC501&amp;""))))</f>
        <v/>
      </c>
      <c r="I501">
        <f>IF(OR(N(Database!$BG501)&lt;=0,N(Screener!$D$13)&lt;=0),0,MAX(0,1-ABS(LOG10(N(Database!$BG501)/Screener!$D$13))/W_PEHW))</f>
        <v/>
      </c>
      <c r="J501">
        <f>IF(OR(N(Database!$S501)&lt;=0,N(Screener!$D$14)&lt;=0),0,MAX(0,1-ABS(LOG10(Database!$S501/Screener!$D$14))/0.6))</f>
        <v/>
      </c>
      <c r="K501">
        <f>IF(Database!$B501=Screener!$B$5,-999999,IF(ISNUMBER(SEARCH(","&amp;Database!$A501&amp;",",","&amp;SUBSTITUTE(Screener!$D$17," ","")&amp;",")),2000000,IF(IF(OR(Screener!$B$18="All",AND(Screener!$B$18="With A-share",(Database!$BL501="Y")),AND(Screener!$B$18="Without A-share",NOT((Database!$BL501="Y")))),1,0)=0,-999999,IF(Screener!$B$16="cornerstone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Database!BF489</f>
        <v/>
      </c>
      <c r="AF501">
        <f>Database!BL489</f>
        <v/>
      </c>
      <c r="AG501">
        <f>Database!H489</f>
        <v/>
      </c>
      <c r="AH501">
        <f>Database!BG489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IF(OR(Database!$BF502="",Screener!$D$10=""),0,IF(Database!$BF502=Screener!$D$10,1,0))</f>
        <v/>
      </c>
      <c r="F502">
        <f>IF(OR(Database!$BL502="",Screener!$D$11=""),0,IF(Database!$BL502=Screener!$D$11,1,0))</f>
        <v/>
      </c>
      <c r="G502">
        <f>IF(OR(Database!$H502="",N(Screener!$D$12)&lt;=0),0,MAX(0,1-(N(Screener!$D$12)-Database!$H502)/W_RECD))</f>
        <v/>
      </c>
      <c r="H502">
        <f>IF($U$1="",0,N(ISNUMBER(SEARCH($U$1,Database!$AC502&amp;""))))+IF($V$1="",0,N(ISNUMBER(SEARCH($V$1,Database!$AC502&amp;""))))+IF($W$1="",0,N(ISNUMBER(SEARCH($W$1,Database!$AC502&amp;""))))+IF($X$1="",0,N(ISNUMBER(SEARCH($X$1,Database!$AC502&amp;""))))+IF($Y$1="",0,N(ISNUMBER(SEARCH($Y$1,Database!$AC502&amp;""))))+IF(Screener!$B$17="",0,N(ISNUMBER(SEARCH(LOWER(Screener!$B$17),Database!$AC502&amp;""))))</f>
        <v/>
      </c>
      <c r="I502">
        <f>IF(OR(N(Database!$BG502)&lt;=0,N(Screener!$D$13)&lt;=0),0,MAX(0,1-ABS(LOG10(N(Database!$BG502)/Screener!$D$13))/W_PEHW))</f>
        <v/>
      </c>
      <c r="J502">
        <f>IF(OR(N(Database!$S502)&lt;=0,N(Screener!$D$14)&lt;=0),0,MAX(0,1-ABS(LOG10(Database!$S502/Screener!$D$14))/0.6))</f>
        <v/>
      </c>
      <c r="K502">
        <f>IF(Database!$B502=Screener!$B$5,-999999,IF(ISNUMBER(SEARCH(","&amp;Database!$A502&amp;",",","&amp;SUBSTITUTE(Screener!$D$17," ","")&amp;",")),2000000,IF(IF(OR(Screener!$B$18="All",AND(Screener!$B$18="With A-share",(Database!$BL502="Y")),AND(Screener!$B$18="Without A-share",NOT((Database!$BL502="Y")))),1,0)=0,-999999,IF(Screener!$B$16="cornerstone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Database!BF490</f>
        <v/>
      </c>
      <c r="AF502">
        <f>Database!BL490</f>
        <v/>
      </c>
      <c r="AG502">
        <f>Database!H490</f>
        <v/>
      </c>
      <c r="AH502">
        <f>Database!BG490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IF(OR(Database!$BF503="",Screener!$D$10=""),0,IF(Database!$BF503=Screener!$D$10,1,0))</f>
        <v/>
      </c>
      <c r="F503">
        <f>IF(OR(Database!$BL503="",Screener!$D$11=""),0,IF(Database!$BL503=Screener!$D$11,1,0))</f>
        <v/>
      </c>
      <c r="G503">
        <f>IF(OR(Database!$H503="",N(Screener!$D$12)&lt;=0),0,MAX(0,1-(N(Screener!$D$12)-Database!$H503)/W_RECD))</f>
        <v/>
      </c>
      <c r="H503">
        <f>IF($U$1="",0,N(ISNUMBER(SEARCH($U$1,Database!$AC503&amp;""))))+IF($V$1="",0,N(ISNUMBER(SEARCH($V$1,Database!$AC503&amp;""))))+IF($W$1="",0,N(ISNUMBER(SEARCH($W$1,Database!$AC503&amp;""))))+IF($X$1="",0,N(ISNUMBER(SEARCH($X$1,Database!$AC503&amp;""))))+IF($Y$1="",0,N(ISNUMBER(SEARCH($Y$1,Database!$AC503&amp;""))))+IF(Screener!$B$17="",0,N(ISNUMBER(SEARCH(LOWER(Screener!$B$17),Database!$AC503&amp;""))))</f>
        <v/>
      </c>
      <c r="I503">
        <f>IF(OR(N(Database!$BG503)&lt;=0,N(Screener!$D$13)&lt;=0),0,MAX(0,1-ABS(LOG10(N(Database!$BG503)/Screener!$D$13))/W_PEHW))</f>
        <v/>
      </c>
      <c r="J503">
        <f>IF(OR(N(Database!$S503)&lt;=0,N(Screener!$D$14)&lt;=0),0,MAX(0,1-ABS(LOG10(Database!$S503/Screener!$D$14))/0.6))</f>
        <v/>
      </c>
      <c r="K503">
        <f>IF(Database!$B503=Screener!$B$5,-999999,IF(ISNUMBER(SEARCH(","&amp;Database!$A503&amp;",",","&amp;SUBSTITUTE(Screener!$D$17," ","")&amp;",")),2000000,IF(IF(OR(Screener!$B$18="All",AND(Screener!$B$18="With A-share",(Database!$BL503="Y")),AND(Screener!$B$18="Without A-share",NOT((Database!$BL503="Y")))),1,0)=0,-999999,IF(Screener!$B$16="cornerstone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Database!BF491</f>
        <v/>
      </c>
      <c r="AF503">
        <f>Database!BL491</f>
        <v/>
      </c>
      <c r="AG503">
        <f>Database!H491</f>
        <v/>
      </c>
      <c r="AH503">
        <f>Database!BG491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IF(OR(Database!$BF504="",Screener!$D$10=""),0,IF(Database!$BF504=Screener!$D$10,1,0))</f>
        <v/>
      </c>
      <c r="F504">
        <f>IF(OR(Database!$BL504="",Screener!$D$11=""),0,IF(Database!$BL504=Screener!$D$11,1,0))</f>
        <v/>
      </c>
      <c r="G504">
        <f>IF(OR(Database!$H504="",N(Screener!$D$12)&lt;=0),0,MAX(0,1-(N(Screener!$D$12)-Database!$H504)/W_RECD))</f>
        <v/>
      </c>
      <c r="H504">
        <f>IF($U$1="",0,N(ISNUMBER(SEARCH($U$1,Database!$AC504&amp;""))))+IF($V$1="",0,N(ISNUMBER(SEARCH($V$1,Database!$AC504&amp;""))))+IF($W$1="",0,N(ISNUMBER(SEARCH($W$1,Database!$AC504&amp;""))))+IF($X$1="",0,N(ISNUMBER(SEARCH($X$1,Database!$AC504&amp;""))))+IF($Y$1="",0,N(ISNUMBER(SEARCH($Y$1,Database!$AC504&amp;""))))+IF(Screener!$B$17="",0,N(ISNUMBER(SEARCH(LOWER(Screener!$B$17),Database!$AC504&amp;""))))</f>
        <v/>
      </c>
      <c r="I504">
        <f>IF(OR(N(Database!$BG504)&lt;=0,N(Screener!$D$13)&lt;=0),0,MAX(0,1-ABS(LOG10(N(Database!$BG504)/Screener!$D$13))/W_PEHW))</f>
        <v/>
      </c>
      <c r="J504">
        <f>IF(OR(N(Database!$S504)&lt;=0,N(Screener!$D$14)&lt;=0),0,MAX(0,1-ABS(LOG10(Database!$S504/Screener!$D$14))/0.6))</f>
        <v/>
      </c>
      <c r="K504">
        <f>IF(Database!$B504=Screener!$B$5,-999999,IF(ISNUMBER(SEARCH(","&amp;Database!$A504&amp;",",","&amp;SUBSTITUTE(Screener!$D$17," ","")&amp;",")),2000000,IF(IF(OR(Screener!$B$18="All",AND(Screener!$B$18="With A-share",(Database!$BL504="Y")),AND(Screener!$B$18="Without A-share",NOT((Database!$BL504="Y")))),1,0)=0,-999999,IF(Screener!$B$16="cornerstone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Database!BF492</f>
        <v/>
      </c>
      <c r="AF504">
        <f>Database!BL492</f>
        <v/>
      </c>
      <c r="AG504">
        <f>Database!H492</f>
        <v/>
      </c>
      <c r="AH504">
        <f>Database!BG492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IF(OR(Database!$BF505="",Screener!$D$10=""),0,IF(Database!$BF505=Screener!$D$10,1,0))</f>
        <v/>
      </c>
      <c r="F505">
        <f>IF(OR(Database!$BL505="",Screener!$D$11=""),0,IF(Database!$BL505=Screener!$D$11,1,0))</f>
        <v/>
      </c>
      <c r="G505">
        <f>IF(OR(Database!$H505="",N(Screener!$D$12)&lt;=0),0,MAX(0,1-(N(Screener!$D$12)-Database!$H505)/W_RECD))</f>
        <v/>
      </c>
      <c r="H505">
        <f>IF($U$1="",0,N(ISNUMBER(SEARCH($U$1,Database!$AC505&amp;""))))+IF($V$1="",0,N(ISNUMBER(SEARCH($V$1,Database!$AC505&amp;""))))+IF($W$1="",0,N(ISNUMBER(SEARCH($W$1,Database!$AC505&amp;""))))+IF($X$1="",0,N(ISNUMBER(SEARCH($X$1,Database!$AC505&amp;""))))+IF($Y$1="",0,N(ISNUMBER(SEARCH($Y$1,Database!$AC505&amp;""))))+IF(Screener!$B$17="",0,N(ISNUMBER(SEARCH(LOWER(Screener!$B$17),Database!$AC505&amp;""))))</f>
        <v/>
      </c>
      <c r="I505">
        <f>IF(OR(N(Database!$BG505)&lt;=0,N(Screener!$D$13)&lt;=0),0,MAX(0,1-ABS(LOG10(N(Database!$BG505)/Screener!$D$13))/W_PEHW))</f>
        <v/>
      </c>
      <c r="J505">
        <f>IF(OR(N(Database!$S505)&lt;=0,N(Screener!$D$14)&lt;=0),0,MAX(0,1-ABS(LOG10(Database!$S505/Screener!$D$14))/0.6))</f>
        <v/>
      </c>
      <c r="K505">
        <f>IF(Database!$B505=Screener!$B$5,-999999,IF(ISNUMBER(SEARCH(","&amp;Database!$A505&amp;",",","&amp;SUBSTITUTE(Screener!$D$17," ","")&amp;",")),2000000,IF(IF(OR(Screener!$B$18="All",AND(Screener!$B$18="With A-share",(Database!$BL505="Y")),AND(Screener!$B$18="Without A-share",NOT((Database!$BL505="Y")))),1,0)=0,-999999,IF(Screener!$B$16="cornerstone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Database!BF493</f>
        <v/>
      </c>
      <c r="AF505">
        <f>Database!BL493</f>
        <v/>
      </c>
      <c r="AG505">
        <f>Database!H493</f>
        <v/>
      </c>
      <c r="AH505">
        <f>Database!BG493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IF(OR(Database!$BF506="",Screener!$D$10=""),0,IF(Database!$BF506=Screener!$D$10,1,0))</f>
        <v/>
      </c>
      <c r="F506">
        <f>IF(OR(Database!$BL506="",Screener!$D$11=""),0,IF(Database!$BL506=Screener!$D$11,1,0))</f>
        <v/>
      </c>
      <c r="G506">
        <f>IF(OR(Database!$H506="",N(Screener!$D$12)&lt;=0),0,MAX(0,1-(N(Screener!$D$12)-Database!$H506)/W_RECD))</f>
        <v/>
      </c>
      <c r="H506">
        <f>IF($U$1="",0,N(ISNUMBER(SEARCH($U$1,Database!$AC506&amp;""))))+IF($V$1="",0,N(ISNUMBER(SEARCH($V$1,Database!$AC506&amp;""))))+IF($W$1="",0,N(ISNUMBER(SEARCH($W$1,Database!$AC506&amp;""))))+IF($X$1="",0,N(ISNUMBER(SEARCH($X$1,Database!$AC506&amp;""))))+IF($Y$1="",0,N(ISNUMBER(SEARCH($Y$1,Database!$AC506&amp;""))))+IF(Screener!$B$17="",0,N(ISNUMBER(SEARCH(LOWER(Screener!$B$17),Database!$AC506&amp;""))))</f>
        <v/>
      </c>
      <c r="I506">
        <f>IF(OR(N(Database!$BG506)&lt;=0,N(Screener!$D$13)&lt;=0),0,MAX(0,1-ABS(LOG10(N(Database!$BG506)/Screener!$D$13))/W_PEHW))</f>
        <v/>
      </c>
      <c r="J506">
        <f>IF(OR(N(Database!$S506)&lt;=0,N(Screener!$D$14)&lt;=0),0,MAX(0,1-ABS(LOG10(Database!$S506/Screener!$D$14))/0.6))</f>
        <v/>
      </c>
      <c r="K506">
        <f>IF(Database!$B506=Screener!$B$5,-999999,IF(ISNUMBER(SEARCH(","&amp;Database!$A506&amp;",",","&amp;SUBSTITUTE(Screener!$D$17," ","")&amp;",")),2000000,IF(IF(OR(Screener!$B$18="All",AND(Screener!$B$18="With A-share",(Database!$BL506="Y")),AND(Screener!$B$18="Without A-share",NOT((Database!$BL506="Y")))),1,0)=0,-999999,IF(Screener!$B$16="cornerstone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Database!BF494</f>
        <v/>
      </c>
      <c r="AF506">
        <f>Database!BL494</f>
        <v/>
      </c>
      <c r="AG506">
        <f>Database!H494</f>
        <v/>
      </c>
      <c r="AH506">
        <f>Database!BG494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IF(OR(Database!$BF507="",Screener!$D$10=""),0,IF(Database!$BF507=Screener!$D$10,1,0))</f>
        <v/>
      </c>
      <c r="F507">
        <f>IF(OR(Database!$BL507="",Screener!$D$11=""),0,IF(Database!$BL507=Screener!$D$11,1,0))</f>
        <v/>
      </c>
      <c r="G507">
        <f>IF(OR(Database!$H507="",N(Screener!$D$12)&lt;=0),0,MAX(0,1-(N(Screener!$D$12)-Database!$H507)/W_RECD))</f>
        <v/>
      </c>
      <c r="H507">
        <f>IF($U$1="",0,N(ISNUMBER(SEARCH($U$1,Database!$AC507&amp;""))))+IF($V$1="",0,N(ISNUMBER(SEARCH($V$1,Database!$AC507&amp;""))))+IF($W$1="",0,N(ISNUMBER(SEARCH($W$1,Database!$AC507&amp;""))))+IF($X$1="",0,N(ISNUMBER(SEARCH($X$1,Database!$AC507&amp;""))))+IF($Y$1="",0,N(ISNUMBER(SEARCH($Y$1,Database!$AC507&amp;""))))+IF(Screener!$B$17="",0,N(ISNUMBER(SEARCH(LOWER(Screener!$B$17),Database!$AC507&amp;""))))</f>
        <v/>
      </c>
      <c r="I507">
        <f>IF(OR(N(Database!$BG507)&lt;=0,N(Screener!$D$13)&lt;=0),0,MAX(0,1-ABS(LOG10(N(Database!$BG507)/Screener!$D$13))/W_PEHW))</f>
        <v/>
      </c>
      <c r="J507">
        <f>IF(OR(N(Database!$S507)&lt;=0,N(Screener!$D$14)&lt;=0),0,MAX(0,1-ABS(LOG10(Database!$S507/Screener!$D$14))/0.6))</f>
        <v/>
      </c>
      <c r="K507">
        <f>IF(Database!$B507=Screener!$B$5,-999999,IF(ISNUMBER(SEARCH(","&amp;Database!$A507&amp;",",","&amp;SUBSTITUTE(Screener!$D$17," ","")&amp;",")),2000000,IF(IF(OR(Screener!$B$18="All",AND(Screener!$B$18="With A-share",(Database!$BL507="Y")),AND(Screener!$B$18="Without A-share",NOT((Database!$BL507="Y")))),1,0)=0,-999999,IF(Screener!$B$16="cornerstone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Database!BF495</f>
        <v/>
      </c>
      <c r="AF507">
        <f>Database!BL495</f>
        <v/>
      </c>
      <c r="AG507">
        <f>Database!H495</f>
        <v/>
      </c>
      <c r="AH507">
        <f>Database!BG495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IF(OR(Database!$BF508="",Screener!$D$10=""),0,IF(Database!$BF508=Screener!$D$10,1,0))</f>
        <v/>
      </c>
      <c r="F508">
        <f>IF(OR(Database!$BL508="",Screener!$D$11=""),0,IF(Database!$BL508=Screener!$D$11,1,0))</f>
        <v/>
      </c>
      <c r="G508">
        <f>IF(OR(Database!$H508="",N(Screener!$D$12)&lt;=0),0,MAX(0,1-(N(Screener!$D$12)-Database!$H508)/W_RECD))</f>
        <v/>
      </c>
      <c r="H508">
        <f>IF($U$1="",0,N(ISNUMBER(SEARCH($U$1,Database!$AC508&amp;""))))+IF($V$1="",0,N(ISNUMBER(SEARCH($V$1,Database!$AC508&amp;""))))+IF($W$1="",0,N(ISNUMBER(SEARCH($W$1,Database!$AC508&amp;""))))+IF($X$1="",0,N(ISNUMBER(SEARCH($X$1,Database!$AC508&amp;""))))+IF($Y$1="",0,N(ISNUMBER(SEARCH($Y$1,Database!$AC508&amp;""))))+IF(Screener!$B$17="",0,N(ISNUMBER(SEARCH(LOWER(Screener!$B$17),Database!$AC508&amp;""))))</f>
        <v/>
      </c>
      <c r="I508">
        <f>IF(OR(N(Database!$BG508)&lt;=0,N(Screener!$D$13)&lt;=0),0,MAX(0,1-ABS(LOG10(N(Database!$BG508)/Screener!$D$13))/W_PEHW))</f>
        <v/>
      </c>
      <c r="J508">
        <f>IF(OR(N(Database!$S508)&lt;=0,N(Screener!$D$14)&lt;=0),0,MAX(0,1-ABS(LOG10(Database!$S508/Screener!$D$14))/0.6))</f>
        <v/>
      </c>
      <c r="K508">
        <f>IF(Database!$B508=Screener!$B$5,-999999,IF(ISNUMBER(SEARCH(","&amp;Database!$A508&amp;",",","&amp;SUBSTITUTE(Screener!$D$17," ","")&amp;",")),2000000,IF(IF(OR(Screener!$B$18="All",AND(Screener!$B$18="With A-share",(Database!$BL508="Y")),AND(Screener!$B$18="Without A-share",NOT((Database!$BL508="Y")))),1,0)=0,-999999,IF(Screener!$B$16="cornerstone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Database!BF496</f>
        <v/>
      </c>
      <c r="AF508">
        <f>Database!BL496</f>
        <v/>
      </c>
      <c r="AG508">
        <f>Database!H496</f>
        <v/>
      </c>
      <c r="AH508">
        <f>Database!BG496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IF(OR(Database!$BF509="",Screener!$D$10=""),0,IF(Database!$BF509=Screener!$D$10,1,0))</f>
        <v/>
      </c>
      <c r="F509">
        <f>IF(OR(Database!$BL509="",Screener!$D$11=""),0,IF(Database!$BL509=Screener!$D$11,1,0))</f>
        <v/>
      </c>
      <c r="G509">
        <f>IF(OR(Database!$H509="",N(Screener!$D$12)&lt;=0),0,MAX(0,1-(N(Screener!$D$12)-Database!$H509)/W_RECD))</f>
        <v/>
      </c>
      <c r="H509">
        <f>IF($U$1="",0,N(ISNUMBER(SEARCH($U$1,Database!$AC509&amp;""))))+IF($V$1="",0,N(ISNUMBER(SEARCH($V$1,Database!$AC509&amp;""))))+IF($W$1="",0,N(ISNUMBER(SEARCH($W$1,Database!$AC509&amp;""))))+IF($X$1="",0,N(ISNUMBER(SEARCH($X$1,Database!$AC509&amp;""))))+IF($Y$1="",0,N(ISNUMBER(SEARCH($Y$1,Database!$AC509&amp;""))))+IF(Screener!$B$17="",0,N(ISNUMBER(SEARCH(LOWER(Screener!$B$17),Database!$AC509&amp;""))))</f>
        <v/>
      </c>
      <c r="I509">
        <f>IF(OR(N(Database!$BG509)&lt;=0,N(Screener!$D$13)&lt;=0),0,MAX(0,1-ABS(LOG10(N(Database!$BG509)/Screener!$D$13))/W_PEHW))</f>
        <v/>
      </c>
      <c r="J509">
        <f>IF(OR(N(Database!$S509)&lt;=0,N(Screener!$D$14)&lt;=0),0,MAX(0,1-ABS(LOG10(Database!$S509/Screener!$D$14))/0.6))</f>
        <v/>
      </c>
      <c r="K509">
        <f>IF(Database!$B509=Screener!$B$5,-999999,IF(ISNUMBER(SEARCH(","&amp;Database!$A509&amp;",",","&amp;SUBSTITUTE(Screener!$D$17," ","")&amp;",")),2000000,IF(IF(OR(Screener!$B$18="All",AND(Screener!$B$18="With A-share",(Database!$BL509="Y")),AND(Screener!$B$18="Without A-share",NOT((Database!$BL509="Y")))),1,0)=0,-999999,IF(Screener!$B$16="cornerstone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Database!BF497</f>
        <v/>
      </c>
      <c r="AF509">
        <f>Database!BL497</f>
        <v/>
      </c>
      <c r="AG509">
        <f>Database!H497</f>
        <v/>
      </c>
      <c r="AH509">
        <f>Database!BG497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IF(OR(Database!$BF510="",Screener!$D$10=""),0,IF(Database!$BF510=Screener!$D$10,1,0))</f>
        <v/>
      </c>
      <c r="F510">
        <f>IF(OR(Database!$BL510="",Screener!$D$11=""),0,IF(Database!$BL510=Screener!$D$11,1,0))</f>
        <v/>
      </c>
      <c r="G510">
        <f>IF(OR(Database!$H510="",N(Screener!$D$12)&lt;=0),0,MAX(0,1-(N(Screener!$D$12)-Database!$H510)/W_RECD))</f>
        <v/>
      </c>
      <c r="H510">
        <f>IF($U$1="",0,N(ISNUMBER(SEARCH($U$1,Database!$AC510&amp;""))))+IF($V$1="",0,N(ISNUMBER(SEARCH($V$1,Database!$AC510&amp;""))))+IF($W$1="",0,N(ISNUMBER(SEARCH($W$1,Database!$AC510&amp;""))))+IF($X$1="",0,N(ISNUMBER(SEARCH($X$1,Database!$AC510&amp;""))))+IF($Y$1="",0,N(ISNUMBER(SEARCH($Y$1,Database!$AC510&amp;""))))+IF(Screener!$B$17="",0,N(ISNUMBER(SEARCH(LOWER(Screener!$B$17),Database!$AC510&amp;""))))</f>
        <v/>
      </c>
      <c r="I510">
        <f>IF(OR(N(Database!$BG510)&lt;=0,N(Screener!$D$13)&lt;=0),0,MAX(0,1-ABS(LOG10(N(Database!$BG510)/Screener!$D$13))/W_PEHW))</f>
        <v/>
      </c>
      <c r="J510">
        <f>IF(OR(N(Database!$S510)&lt;=0,N(Screener!$D$14)&lt;=0),0,MAX(0,1-ABS(LOG10(Database!$S510/Screener!$D$14))/0.6))</f>
        <v/>
      </c>
      <c r="K510">
        <f>IF(Database!$B510=Screener!$B$5,-999999,IF(ISNUMBER(SEARCH(","&amp;Database!$A510&amp;",",","&amp;SUBSTITUTE(Screener!$D$17," ","")&amp;",")),2000000,IF(IF(OR(Screener!$B$18="All",AND(Screener!$B$18="With A-share",(Database!$BL510="Y")),AND(Screener!$B$18="Without A-share",NOT((Database!$BL510="Y")))),1,0)=0,-999999,IF(Screener!$B$16="cornerstone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Database!BF498</f>
        <v/>
      </c>
      <c r="AF510">
        <f>Database!BL498</f>
        <v/>
      </c>
      <c r="AG510">
        <f>Database!H498</f>
        <v/>
      </c>
      <c r="AH510">
        <f>Database!BG498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IF(OR(Database!$BF511="",Screener!$D$10=""),0,IF(Database!$BF511=Screener!$D$10,1,0))</f>
        <v/>
      </c>
      <c r="F511">
        <f>IF(OR(Database!$BL511="",Screener!$D$11=""),0,IF(Database!$BL511=Screener!$D$11,1,0))</f>
        <v/>
      </c>
      <c r="G511">
        <f>IF(OR(Database!$H511="",N(Screener!$D$12)&lt;=0),0,MAX(0,1-(N(Screener!$D$12)-Database!$H511)/W_RECD))</f>
        <v/>
      </c>
      <c r="H511">
        <f>IF($U$1="",0,N(ISNUMBER(SEARCH($U$1,Database!$AC511&amp;""))))+IF($V$1="",0,N(ISNUMBER(SEARCH($V$1,Database!$AC511&amp;""))))+IF($W$1="",0,N(ISNUMBER(SEARCH($W$1,Database!$AC511&amp;""))))+IF($X$1="",0,N(ISNUMBER(SEARCH($X$1,Database!$AC511&amp;""))))+IF($Y$1="",0,N(ISNUMBER(SEARCH($Y$1,Database!$AC511&amp;""))))+IF(Screener!$B$17="",0,N(ISNUMBER(SEARCH(LOWER(Screener!$B$17),Database!$AC511&amp;""))))</f>
        <v/>
      </c>
      <c r="I511">
        <f>IF(OR(N(Database!$BG511)&lt;=0,N(Screener!$D$13)&lt;=0),0,MAX(0,1-ABS(LOG10(N(Database!$BG511)/Screener!$D$13))/W_PEHW))</f>
        <v/>
      </c>
      <c r="J511">
        <f>IF(OR(N(Database!$S511)&lt;=0,N(Screener!$D$14)&lt;=0),0,MAX(0,1-ABS(LOG10(Database!$S511/Screener!$D$14))/0.6))</f>
        <v/>
      </c>
      <c r="K511">
        <f>IF(Database!$B511=Screener!$B$5,-999999,IF(ISNUMBER(SEARCH(","&amp;Database!$A511&amp;",",","&amp;SUBSTITUTE(Screener!$D$17," ","")&amp;",")),2000000,IF(IF(OR(Screener!$B$18="All",AND(Screener!$B$18="With A-share",(Database!$BL511="Y")),AND(Screener!$B$18="Without A-share",NOT((Database!$BL511="Y")))),1,0)=0,-999999,IF(Screener!$B$16="cornerstone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Database!BF499</f>
        <v/>
      </c>
      <c r="AF511">
        <f>Database!BL499</f>
        <v/>
      </c>
      <c r="AG511">
        <f>Database!H499</f>
        <v/>
      </c>
      <c r="AH511">
        <f>Database!BG499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IF(OR(Database!$BF512="",Screener!$D$10=""),0,IF(Database!$BF512=Screener!$D$10,1,0))</f>
        <v/>
      </c>
      <c r="F512">
        <f>IF(OR(Database!$BL512="",Screener!$D$11=""),0,IF(Database!$BL512=Screener!$D$11,1,0))</f>
        <v/>
      </c>
      <c r="G512">
        <f>IF(OR(Database!$H512="",N(Screener!$D$12)&lt;=0),0,MAX(0,1-(N(Screener!$D$12)-Database!$H512)/W_RECD))</f>
        <v/>
      </c>
      <c r="H512">
        <f>IF($U$1="",0,N(ISNUMBER(SEARCH($U$1,Database!$AC512&amp;""))))+IF($V$1="",0,N(ISNUMBER(SEARCH($V$1,Database!$AC512&amp;""))))+IF($W$1="",0,N(ISNUMBER(SEARCH($W$1,Database!$AC512&amp;""))))+IF($X$1="",0,N(ISNUMBER(SEARCH($X$1,Database!$AC512&amp;""))))+IF($Y$1="",0,N(ISNUMBER(SEARCH($Y$1,Database!$AC512&amp;""))))+IF(Screener!$B$17="",0,N(ISNUMBER(SEARCH(LOWER(Screener!$B$17),Database!$AC512&amp;""))))</f>
        <v/>
      </c>
      <c r="I512">
        <f>IF(OR(N(Database!$BG512)&lt;=0,N(Screener!$D$13)&lt;=0),0,MAX(0,1-ABS(LOG10(N(Database!$BG512)/Screener!$D$13))/W_PEHW))</f>
        <v/>
      </c>
      <c r="J512">
        <f>IF(OR(N(Database!$S512)&lt;=0,N(Screener!$D$14)&lt;=0),0,MAX(0,1-ABS(LOG10(Database!$S512/Screener!$D$14))/0.6))</f>
        <v/>
      </c>
      <c r="K512">
        <f>IF(Database!$B512=Screener!$B$5,-999999,IF(ISNUMBER(SEARCH(","&amp;Database!$A512&amp;",",","&amp;SUBSTITUTE(Screener!$D$17," ","")&amp;",")),2000000,IF(IF(OR(Screener!$B$18="All",AND(Screener!$B$18="With A-share",(Database!$BL512="Y")),AND(Screener!$B$18="Without A-share",NOT((Database!$BL512="Y")))),1,0)=0,-999999,IF(Screener!$B$16="cornerstone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Database!BF500</f>
        <v/>
      </c>
      <c r="AF512">
        <f>Database!BL500</f>
        <v/>
      </c>
      <c r="AG512">
        <f>Database!H500</f>
        <v/>
      </c>
      <c r="AH512">
        <f>Database!BG500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IF(OR(Database!$BF513="",Screener!$D$10=""),0,IF(Database!$BF513=Screener!$D$10,1,0))</f>
        <v/>
      </c>
      <c r="F513">
        <f>IF(OR(Database!$BL513="",Screener!$D$11=""),0,IF(Database!$BL513=Screener!$D$11,1,0))</f>
        <v/>
      </c>
      <c r="G513">
        <f>IF(OR(Database!$H513="",N(Screener!$D$12)&lt;=0),0,MAX(0,1-(N(Screener!$D$12)-Database!$H513)/W_RECD))</f>
        <v/>
      </c>
      <c r="H513">
        <f>IF($U$1="",0,N(ISNUMBER(SEARCH($U$1,Database!$AC513&amp;""))))+IF($V$1="",0,N(ISNUMBER(SEARCH($V$1,Database!$AC513&amp;""))))+IF($W$1="",0,N(ISNUMBER(SEARCH($W$1,Database!$AC513&amp;""))))+IF($X$1="",0,N(ISNUMBER(SEARCH($X$1,Database!$AC513&amp;""))))+IF($Y$1="",0,N(ISNUMBER(SEARCH($Y$1,Database!$AC513&amp;""))))+IF(Screener!$B$17="",0,N(ISNUMBER(SEARCH(LOWER(Screener!$B$17),Database!$AC513&amp;""))))</f>
        <v/>
      </c>
      <c r="I513">
        <f>IF(OR(N(Database!$BG513)&lt;=0,N(Screener!$D$13)&lt;=0),0,MAX(0,1-ABS(LOG10(N(Database!$BG513)/Screener!$D$13))/W_PEHW))</f>
        <v/>
      </c>
      <c r="J513">
        <f>IF(OR(N(Database!$S513)&lt;=0,N(Screener!$D$14)&lt;=0),0,MAX(0,1-ABS(LOG10(Database!$S513/Screener!$D$14))/0.6))</f>
        <v/>
      </c>
      <c r="K513">
        <f>IF(Database!$B513=Screener!$B$5,-999999,IF(ISNUMBER(SEARCH(","&amp;Database!$A513&amp;",",","&amp;SUBSTITUTE(Screener!$D$17," ","")&amp;",")),2000000,IF(IF(OR(Screener!$B$18="All",AND(Screener!$B$18="With A-share",(Database!$BL513="Y")),AND(Screener!$B$18="Without A-share",NOT((Database!$BL513="Y")))),1,0)=0,-999999,IF(Screener!$B$16="cornerstone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Database!BF501</f>
        <v/>
      </c>
      <c r="AF513">
        <f>Database!BL501</f>
        <v/>
      </c>
      <c r="AG513">
        <f>Database!H501</f>
        <v/>
      </c>
      <c r="AH513">
        <f>Database!BG501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IF(OR(Database!$BF514="",Screener!$D$10=""),0,IF(Database!$BF514=Screener!$D$10,1,0))</f>
        <v/>
      </c>
      <c r="F514">
        <f>IF(OR(Database!$BL514="",Screener!$D$11=""),0,IF(Database!$BL514=Screener!$D$11,1,0))</f>
        <v/>
      </c>
      <c r="G514">
        <f>IF(OR(Database!$H514="",N(Screener!$D$12)&lt;=0),0,MAX(0,1-(N(Screener!$D$12)-Database!$H514)/W_RECD))</f>
        <v/>
      </c>
      <c r="H514">
        <f>IF($U$1="",0,N(ISNUMBER(SEARCH($U$1,Database!$AC514&amp;""))))+IF($V$1="",0,N(ISNUMBER(SEARCH($V$1,Database!$AC514&amp;""))))+IF($W$1="",0,N(ISNUMBER(SEARCH($W$1,Database!$AC514&amp;""))))+IF($X$1="",0,N(ISNUMBER(SEARCH($X$1,Database!$AC514&amp;""))))+IF($Y$1="",0,N(ISNUMBER(SEARCH($Y$1,Database!$AC514&amp;""))))+IF(Screener!$B$17="",0,N(ISNUMBER(SEARCH(LOWER(Screener!$B$17),Database!$AC514&amp;""))))</f>
        <v/>
      </c>
      <c r="I514">
        <f>IF(OR(N(Database!$BG514)&lt;=0,N(Screener!$D$13)&lt;=0),0,MAX(0,1-ABS(LOG10(N(Database!$BG514)/Screener!$D$13))/W_PEHW))</f>
        <v/>
      </c>
      <c r="J514">
        <f>IF(OR(N(Database!$S514)&lt;=0,N(Screener!$D$14)&lt;=0),0,MAX(0,1-ABS(LOG10(Database!$S514/Screener!$D$14))/0.6))</f>
        <v/>
      </c>
      <c r="K514">
        <f>IF(Database!$B514=Screener!$B$5,-999999,IF(ISNUMBER(SEARCH(","&amp;Database!$A514&amp;",",","&amp;SUBSTITUTE(Screener!$D$17," ","")&amp;",")),2000000,IF(IF(OR(Screener!$B$18="All",AND(Screener!$B$18="With A-share",(Database!$BL514="Y")),AND(Screener!$B$18="Without A-share",NOT((Database!$BL514="Y")))),1,0)=0,-999999,IF(Screener!$B$16="cornerstone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Database!BF502</f>
        <v/>
      </c>
      <c r="AF514">
        <f>Database!BL502</f>
        <v/>
      </c>
      <c r="AG514">
        <f>Database!H502</f>
        <v/>
      </c>
      <c r="AH514">
        <f>Database!BG502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IF(OR(Database!$BF515="",Screener!$D$10=""),0,IF(Database!$BF515=Screener!$D$10,1,0))</f>
        <v/>
      </c>
      <c r="F515">
        <f>IF(OR(Database!$BL515="",Screener!$D$11=""),0,IF(Database!$BL515=Screener!$D$11,1,0))</f>
        <v/>
      </c>
      <c r="G515">
        <f>IF(OR(Database!$H515="",N(Screener!$D$12)&lt;=0),0,MAX(0,1-(N(Screener!$D$12)-Database!$H515)/W_RECD))</f>
        <v/>
      </c>
      <c r="H515">
        <f>IF($U$1="",0,N(ISNUMBER(SEARCH($U$1,Database!$AC515&amp;""))))+IF($V$1="",0,N(ISNUMBER(SEARCH($V$1,Database!$AC515&amp;""))))+IF($W$1="",0,N(ISNUMBER(SEARCH($W$1,Database!$AC515&amp;""))))+IF($X$1="",0,N(ISNUMBER(SEARCH($X$1,Database!$AC515&amp;""))))+IF($Y$1="",0,N(ISNUMBER(SEARCH($Y$1,Database!$AC515&amp;""))))+IF(Screener!$B$17="",0,N(ISNUMBER(SEARCH(LOWER(Screener!$B$17),Database!$AC515&amp;""))))</f>
        <v/>
      </c>
      <c r="I515">
        <f>IF(OR(N(Database!$BG515)&lt;=0,N(Screener!$D$13)&lt;=0),0,MAX(0,1-ABS(LOG10(N(Database!$BG515)/Screener!$D$13))/W_PEHW))</f>
        <v/>
      </c>
      <c r="J515">
        <f>IF(OR(N(Database!$S515)&lt;=0,N(Screener!$D$14)&lt;=0),0,MAX(0,1-ABS(LOG10(Database!$S515/Screener!$D$14))/0.6))</f>
        <v/>
      </c>
      <c r="K515">
        <f>IF(Database!$B515=Screener!$B$5,-999999,IF(ISNUMBER(SEARCH(","&amp;Database!$A515&amp;",",","&amp;SUBSTITUTE(Screener!$D$17," ","")&amp;",")),2000000,IF(IF(OR(Screener!$B$18="All",AND(Screener!$B$18="With A-share",(Database!$BL515="Y")),AND(Screener!$B$18="Without A-share",NOT((Database!$BL515="Y")))),1,0)=0,-999999,IF(Screener!$B$16="cornerstone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Database!BF503</f>
        <v/>
      </c>
      <c r="AF515">
        <f>Database!BL503</f>
        <v/>
      </c>
      <c r="AG515">
        <f>Database!H503</f>
        <v/>
      </c>
      <c r="AH515">
        <f>Database!BG503</f>
        <v/>
      </c>
    </row>
    <row r="516">
      <c r="A516">
        <f>Database!B516</f>
        <v/>
      </c>
      <c r="B516">
        <f>IF(AND(Screener!$D$8&lt;&gt;"",Database!$E516=Screener!$D$8),1,0)</f>
        <v/>
      </c>
      <c r="C516">
        <f>IF(AND(Screener!$D$7&lt;&gt;"",Database!$D516=Screener!$D$7),1,0)</f>
        <v/>
      </c>
      <c r="D516">
        <f>IF(OR(N(Database!$I516)&lt;=0,N(Screener!$D$9)&lt;=0),0,MAX(0,1-ABS(LOG10(N(Database!$I516)/Screener!$D$9))/W_SIZEHW))</f>
        <v/>
      </c>
      <c r="E516">
        <f>IF(OR(Database!$BF516="",Screener!$D$10=""),0,IF(Database!$BF516=Screener!$D$10,1,0))</f>
        <v/>
      </c>
      <c r="F516">
        <f>IF(OR(Database!$BL516="",Screener!$D$11=""),0,IF(Database!$BL516=Screener!$D$11,1,0))</f>
        <v/>
      </c>
      <c r="G516">
        <f>IF(OR(Database!$H516="",N(Screener!$D$12)&lt;=0),0,MAX(0,1-(N(Screener!$D$12)-Database!$H516)/W_RECD))</f>
        <v/>
      </c>
      <c r="H516">
        <f>IF($U$1="",0,N(ISNUMBER(SEARCH($U$1,Database!$AC516&amp;""))))+IF($V$1="",0,N(ISNUMBER(SEARCH($V$1,Database!$AC516&amp;""))))+IF($W$1="",0,N(ISNUMBER(SEARCH($W$1,Database!$AC516&amp;""))))+IF($X$1="",0,N(ISNUMBER(SEARCH($X$1,Database!$AC516&amp;""))))+IF($Y$1="",0,N(ISNUMBER(SEARCH($Y$1,Database!$AC516&amp;""))))+IF(Screener!$B$17="",0,N(ISNUMBER(SEARCH(LOWER(Screener!$B$17),Database!$AC516&amp;""))))</f>
        <v/>
      </c>
      <c r="I516">
        <f>IF(OR(N(Database!$BG516)&lt;=0,N(Screener!$D$13)&lt;=0),0,MAX(0,1-ABS(LOG10(N(Database!$BG516)/Screener!$D$13))/W_PEHW))</f>
        <v/>
      </c>
      <c r="J516">
        <f>IF(OR(N(Database!$S516)&lt;=0,N(Screener!$D$14)&lt;=0),0,MAX(0,1-ABS(LOG10(Database!$S516/Screener!$D$14))/0.6))</f>
        <v/>
      </c>
      <c r="K516">
        <f>IF(Database!$B516=Screener!$B$5,-999999,IF(ISNUMBER(SEARCH(","&amp;Database!$A516&amp;",",","&amp;SUBSTITUTE(Screener!$D$17," ","")&amp;",")),2000000,IF(IF(OR(Screener!$B$18="All",AND(Screener!$B$18="With A-share",(Database!$BL516="Y")),AND(Screener!$B$18="Without A-share",NOT((Database!$BL516="Y")))),1,0)=0,-999999,IF(Screener!$B$16="cornerstone overlap first",H516*100000,IF(Screener!$B$16="demand-similar first",J516*100000,0))+W_SUB*B516+W_SEC*C516*(1-B516)+W_SIZE*D516+W_PROF*E516+W_AH*F516+W_REC*G516+W_CS*H516+W_PE*I516)))+ROW()/1000000</f>
        <v/>
      </c>
      <c r="AA516">
        <f>Database!B504</f>
        <v/>
      </c>
      <c r="AB516">
        <f>Database!D504</f>
        <v/>
      </c>
      <c r="AC516">
        <f>Database!E504</f>
        <v/>
      </c>
      <c r="AD516">
        <f>Database!I504</f>
        <v/>
      </c>
      <c r="AE516">
        <f>Database!BF504</f>
        <v/>
      </c>
      <c r="AF516">
        <f>Database!BL504</f>
        <v/>
      </c>
      <c r="AG516">
        <f>Database!H504</f>
        <v/>
      </c>
      <c r="AH516">
        <f>Database!BG504</f>
        <v/>
      </c>
    </row>
    <row r="517">
      <c r="A517">
        <f>Database!B517</f>
        <v/>
      </c>
      <c r="B517">
        <f>IF(AND(Screener!$D$8&lt;&gt;"",Database!$E517=Screener!$D$8),1,0)</f>
        <v/>
      </c>
      <c r="C517">
        <f>IF(AND(Screener!$D$7&lt;&gt;"",Database!$D517=Screener!$D$7),1,0)</f>
        <v/>
      </c>
      <c r="D517">
        <f>IF(OR(N(Database!$I517)&lt;=0,N(Screener!$D$9)&lt;=0),0,MAX(0,1-ABS(LOG10(N(Database!$I517)/Screener!$D$9))/W_SIZEHW))</f>
        <v/>
      </c>
      <c r="E517">
        <f>IF(OR(Database!$BF517="",Screener!$D$10=""),0,IF(Database!$BF517=Screener!$D$10,1,0))</f>
        <v/>
      </c>
      <c r="F517">
        <f>IF(OR(Database!$BL517="",Screener!$D$11=""),0,IF(Database!$BL517=Screener!$D$11,1,0))</f>
        <v/>
      </c>
      <c r="G517">
        <f>IF(OR(Database!$H517="",N(Screener!$D$12)&lt;=0),0,MAX(0,1-(N(Screener!$D$12)-Database!$H517)/W_RECD))</f>
        <v/>
      </c>
      <c r="H517">
        <f>IF($U$1="",0,N(ISNUMBER(SEARCH($U$1,Database!$AC517&amp;""))))+IF($V$1="",0,N(ISNUMBER(SEARCH($V$1,Database!$AC517&amp;""))))+IF($W$1="",0,N(ISNUMBER(SEARCH($W$1,Database!$AC517&amp;""))))+IF($X$1="",0,N(ISNUMBER(SEARCH($X$1,Database!$AC517&amp;""))))+IF($Y$1="",0,N(ISNUMBER(SEARCH($Y$1,Database!$AC517&amp;""))))+IF(Screener!$B$17="",0,N(ISNUMBER(SEARCH(LOWER(Screener!$B$17),Database!$AC517&amp;""))))</f>
        <v/>
      </c>
      <c r="I517">
        <f>IF(OR(N(Database!$BG517)&lt;=0,N(Screener!$D$13)&lt;=0),0,MAX(0,1-ABS(LOG10(N(Database!$BG517)/Screener!$D$13))/W_PEHW))</f>
        <v/>
      </c>
      <c r="J517">
        <f>IF(OR(N(Database!$S517)&lt;=0,N(Screener!$D$14)&lt;=0),0,MAX(0,1-ABS(LOG10(Database!$S517/Screener!$D$14))/0.6))</f>
        <v/>
      </c>
      <c r="K517">
        <f>IF(Database!$B517=Screener!$B$5,-999999,IF(ISNUMBER(SEARCH(","&amp;Database!$A517&amp;",",","&amp;SUBSTITUTE(Screener!$D$17," ","")&amp;",")),2000000,IF(IF(OR(Screener!$B$18="All",AND(Screener!$B$18="With A-share",(Database!$BL517="Y")),AND(Screener!$B$18="Without A-share",NOT((Database!$BL517="Y")))),1,0)=0,-999999,IF(Screener!$B$16="cornerstone overlap first",H517*100000,IF(Screener!$B$16="demand-similar first",J517*100000,0))+W_SUB*B517+W_SEC*C517*(1-B517)+W_SIZE*D517+W_PROF*E517+W_AH*F517+W_REC*G517+W_CS*H517+W_PE*I517)))+ROW()/1000000</f>
        <v/>
      </c>
      <c r="AA517">
        <f>Database!B505</f>
        <v/>
      </c>
      <c r="AB517">
        <f>Database!D505</f>
        <v/>
      </c>
      <c r="AC517">
        <f>Database!E505</f>
        <v/>
      </c>
      <c r="AD517">
        <f>Database!I505</f>
        <v/>
      </c>
      <c r="AE517">
        <f>Database!BF505</f>
        <v/>
      </c>
      <c r="AF517">
        <f>Database!BL505</f>
        <v/>
      </c>
      <c r="AG517">
        <f>Database!H505</f>
        <v/>
      </c>
      <c r="AH517">
        <f>Database!BG505</f>
        <v/>
      </c>
    </row>
    <row r="518">
      <c r="A518">
        <f>Database!B518</f>
        <v/>
      </c>
      <c r="B518">
        <f>IF(AND(Screener!$D$8&lt;&gt;"",Database!$E518=Screener!$D$8),1,0)</f>
        <v/>
      </c>
      <c r="C518">
        <f>IF(AND(Screener!$D$7&lt;&gt;"",Database!$D518=Screener!$D$7),1,0)</f>
        <v/>
      </c>
      <c r="D518">
        <f>IF(OR(N(Database!$I518)&lt;=0,N(Screener!$D$9)&lt;=0),0,MAX(0,1-ABS(LOG10(N(Database!$I518)/Screener!$D$9))/W_SIZEHW))</f>
        <v/>
      </c>
      <c r="E518">
        <f>IF(OR(Database!$BF518="",Screener!$D$10=""),0,IF(Database!$BF518=Screener!$D$10,1,0))</f>
        <v/>
      </c>
      <c r="F518">
        <f>IF(OR(Database!$BL518="",Screener!$D$11=""),0,IF(Database!$BL518=Screener!$D$11,1,0))</f>
        <v/>
      </c>
      <c r="G518">
        <f>IF(OR(Database!$H518="",N(Screener!$D$12)&lt;=0),0,MAX(0,1-(N(Screener!$D$12)-Database!$H518)/W_RECD))</f>
        <v/>
      </c>
      <c r="H518">
        <f>IF($U$1="",0,N(ISNUMBER(SEARCH($U$1,Database!$AC518&amp;""))))+IF($V$1="",0,N(ISNUMBER(SEARCH($V$1,Database!$AC518&amp;""))))+IF($W$1="",0,N(ISNUMBER(SEARCH($W$1,Database!$AC518&amp;""))))+IF($X$1="",0,N(ISNUMBER(SEARCH($X$1,Database!$AC518&amp;""))))+IF($Y$1="",0,N(ISNUMBER(SEARCH($Y$1,Database!$AC518&amp;""))))+IF(Screener!$B$17="",0,N(ISNUMBER(SEARCH(LOWER(Screener!$B$17),Database!$AC518&amp;""))))</f>
        <v/>
      </c>
      <c r="I518">
        <f>IF(OR(N(Database!$BG518)&lt;=0,N(Screener!$D$13)&lt;=0),0,MAX(0,1-ABS(LOG10(N(Database!$BG518)/Screener!$D$13))/W_PEHW))</f>
        <v/>
      </c>
      <c r="J518">
        <f>IF(OR(N(Database!$S518)&lt;=0,N(Screener!$D$14)&lt;=0),0,MAX(0,1-ABS(LOG10(Database!$S518/Screener!$D$14))/0.6))</f>
        <v/>
      </c>
      <c r="K518">
        <f>IF(Database!$B518=Screener!$B$5,-999999,IF(ISNUMBER(SEARCH(","&amp;Database!$A518&amp;",",","&amp;SUBSTITUTE(Screener!$D$17," ","")&amp;",")),2000000,IF(IF(OR(Screener!$B$18="All",AND(Screener!$B$18="With A-share",(Database!$BL518="Y")),AND(Screener!$B$18="Without A-share",NOT((Database!$BL518="Y")))),1,0)=0,-999999,IF(Screener!$B$16="cornerstone overlap first",H518*100000,IF(Screener!$B$16="demand-similar first",J518*100000,0))+W_SUB*B518+W_SEC*C518*(1-B518)+W_SIZE*D518+W_PROF*E518+W_AH*F518+W_REC*G518+W_CS*H518+W_PE*I518)))+ROW()/1000000</f>
        <v/>
      </c>
      <c r="AA518">
        <f>Database!B506</f>
        <v/>
      </c>
      <c r="AB518">
        <f>Database!D506</f>
        <v/>
      </c>
      <c r="AC518">
        <f>Database!E506</f>
        <v/>
      </c>
      <c r="AD518">
        <f>Database!I506</f>
        <v/>
      </c>
      <c r="AE518">
        <f>Database!BF506</f>
        <v/>
      </c>
      <c r="AF518">
        <f>Database!BL506</f>
        <v/>
      </c>
      <c r="AG518">
        <f>Database!H506</f>
        <v/>
      </c>
      <c r="AH518">
        <f>Database!BG506</f>
        <v/>
      </c>
    </row>
    <row r="519">
      <c r="A519">
        <f>Database!B519</f>
        <v/>
      </c>
      <c r="B519">
        <f>IF(AND(Screener!$D$8&lt;&gt;"",Database!$E519=Screener!$D$8),1,0)</f>
        <v/>
      </c>
      <c r="C519">
        <f>IF(AND(Screener!$D$7&lt;&gt;"",Database!$D519=Screener!$D$7),1,0)</f>
        <v/>
      </c>
      <c r="D519">
        <f>IF(OR(N(Database!$I519)&lt;=0,N(Screener!$D$9)&lt;=0),0,MAX(0,1-ABS(LOG10(N(Database!$I519)/Screener!$D$9))/W_SIZEHW))</f>
        <v/>
      </c>
      <c r="E519">
        <f>IF(OR(Database!$BF519="",Screener!$D$10=""),0,IF(Database!$BF519=Screener!$D$10,1,0))</f>
        <v/>
      </c>
      <c r="F519">
        <f>IF(OR(Database!$BL519="",Screener!$D$11=""),0,IF(Database!$BL519=Screener!$D$11,1,0))</f>
        <v/>
      </c>
      <c r="G519">
        <f>IF(OR(Database!$H519="",N(Screener!$D$12)&lt;=0),0,MAX(0,1-(N(Screener!$D$12)-Database!$H519)/W_RECD))</f>
        <v/>
      </c>
      <c r="H519">
        <f>IF($U$1="",0,N(ISNUMBER(SEARCH($U$1,Database!$AC519&amp;""))))+IF($V$1="",0,N(ISNUMBER(SEARCH($V$1,Database!$AC519&amp;""))))+IF($W$1="",0,N(ISNUMBER(SEARCH($W$1,Database!$AC519&amp;""))))+IF($X$1="",0,N(ISNUMBER(SEARCH($X$1,Database!$AC519&amp;""))))+IF($Y$1="",0,N(ISNUMBER(SEARCH($Y$1,Database!$AC519&amp;""))))+IF(Screener!$B$17="",0,N(ISNUMBER(SEARCH(LOWER(Screener!$B$17),Database!$AC519&amp;""))))</f>
        <v/>
      </c>
      <c r="I519">
        <f>IF(OR(N(Database!$BG519)&lt;=0,N(Screener!$D$13)&lt;=0),0,MAX(0,1-ABS(LOG10(N(Database!$BG519)/Screener!$D$13))/W_PEHW))</f>
        <v/>
      </c>
      <c r="J519">
        <f>IF(OR(N(Database!$S519)&lt;=0,N(Screener!$D$14)&lt;=0),0,MAX(0,1-ABS(LOG10(Database!$S519/Screener!$D$14))/0.6))</f>
        <v/>
      </c>
      <c r="K519">
        <f>IF(Database!$B519=Screener!$B$5,-999999,IF(ISNUMBER(SEARCH(","&amp;Database!$A519&amp;",",","&amp;SUBSTITUTE(Screener!$D$17," ","")&amp;",")),2000000,IF(IF(OR(Screener!$B$18="All",AND(Screener!$B$18="With A-share",(Database!$BL519="Y")),AND(Screener!$B$18="Without A-share",NOT((Database!$BL519="Y")))),1,0)=0,-999999,IF(Screener!$B$16="cornerstone overlap first",H519*100000,IF(Screener!$B$16="demand-similar first",J519*100000,0))+W_SUB*B519+W_SEC*C519*(1-B519)+W_SIZE*D519+W_PROF*E519+W_AH*F519+W_REC*G519+W_CS*H519+W_PE*I519)))+ROW()/1000000</f>
        <v/>
      </c>
      <c r="AA519">
        <f>Database!B507</f>
        <v/>
      </c>
      <c r="AB519">
        <f>Database!D507</f>
        <v/>
      </c>
      <c r="AC519">
        <f>Database!E507</f>
        <v/>
      </c>
      <c r="AD519">
        <f>Database!I507</f>
        <v/>
      </c>
      <c r="AE519">
        <f>Database!BF507</f>
        <v/>
      </c>
      <c r="AF519">
        <f>Database!BL507</f>
        <v/>
      </c>
      <c r="AG519">
        <f>Database!H507</f>
        <v/>
      </c>
      <c r="AH519">
        <f>Database!BG507</f>
        <v/>
      </c>
    </row>
    <row r="520">
      <c r="A520">
        <f>Database!B520</f>
        <v/>
      </c>
      <c r="B520">
        <f>IF(AND(Screener!$D$8&lt;&gt;"",Database!$E520=Screener!$D$8),1,0)</f>
        <v/>
      </c>
      <c r="C520">
        <f>IF(AND(Screener!$D$7&lt;&gt;"",Database!$D520=Screener!$D$7),1,0)</f>
        <v/>
      </c>
      <c r="D520">
        <f>IF(OR(N(Database!$I520)&lt;=0,N(Screener!$D$9)&lt;=0),0,MAX(0,1-ABS(LOG10(N(Database!$I520)/Screener!$D$9))/W_SIZEHW))</f>
        <v/>
      </c>
      <c r="E520">
        <f>IF(OR(Database!$BF520="",Screener!$D$10=""),0,IF(Database!$BF520=Screener!$D$10,1,0))</f>
        <v/>
      </c>
      <c r="F520">
        <f>IF(OR(Database!$BL520="",Screener!$D$11=""),0,IF(Database!$BL520=Screener!$D$11,1,0))</f>
        <v/>
      </c>
      <c r="G520">
        <f>IF(OR(Database!$H520="",N(Screener!$D$12)&lt;=0),0,MAX(0,1-(N(Screener!$D$12)-Database!$H520)/W_RECD))</f>
        <v/>
      </c>
      <c r="H520">
        <f>IF($U$1="",0,N(ISNUMBER(SEARCH($U$1,Database!$AC520&amp;""))))+IF($V$1="",0,N(ISNUMBER(SEARCH($V$1,Database!$AC520&amp;""))))+IF($W$1="",0,N(ISNUMBER(SEARCH($W$1,Database!$AC520&amp;""))))+IF($X$1="",0,N(ISNUMBER(SEARCH($X$1,Database!$AC520&amp;""))))+IF($Y$1="",0,N(ISNUMBER(SEARCH($Y$1,Database!$AC520&amp;""))))+IF(Screener!$B$17="",0,N(ISNUMBER(SEARCH(LOWER(Screener!$B$17),Database!$AC520&amp;""))))</f>
        <v/>
      </c>
      <c r="I520">
        <f>IF(OR(N(Database!$BG520)&lt;=0,N(Screener!$D$13)&lt;=0),0,MAX(0,1-ABS(LOG10(N(Database!$BG520)/Screener!$D$13))/W_PEHW))</f>
        <v/>
      </c>
      <c r="J520">
        <f>IF(OR(N(Database!$S520)&lt;=0,N(Screener!$D$14)&lt;=0),0,MAX(0,1-ABS(LOG10(Database!$S520/Screener!$D$14))/0.6))</f>
        <v/>
      </c>
      <c r="K520">
        <f>IF(Database!$B520=Screener!$B$5,-999999,IF(ISNUMBER(SEARCH(","&amp;Database!$A520&amp;",",","&amp;SUBSTITUTE(Screener!$D$17," ","")&amp;",")),2000000,IF(IF(OR(Screener!$B$18="All",AND(Screener!$B$18="With A-share",(Database!$BL520="Y")),AND(Screener!$B$18="Without A-share",NOT((Database!$BL520="Y")))),1,0)=0,-999999,IF(Screener!$B$16="cornerstone overlap first",H520*100000,IF(Screener!$B$16="demand-similar first",J520*100000,0))+W_SUB*B520+W_SEC*C520*(1-B520)+W_SIZE*D520+W_PROF*E520+W_AH*F520+W_REC*G520+W_CS*H520+W_PE*I520)))+ROW()/1000000</f>
        <v/>
      </c>
      <c r="AA520">
        <f>Database!B508</f>
        <v/>
      </c>
      <c r="AB520">
        <f>Database!D508</f>
        <v/>
      </c>
      <c r="AC520">
        <f>Database!E508</f>
        <v/>
      </c>
      <c r="AD520">
        <f>Database!I508</f>
        <v/>
      </c>
      <c r="AE520">
        <f>Database!BF508</f>
        <v/>
      </c>
      <c r="AF520">
        <f>Database!BL508</f>
        <v/>
      </c>
      <c r="AG520">
        <f>Database!H508</f>
        <v/>
      </c>
      <c r="AH520">
        <f>Database!BG508</f>
        <v/>
      </c>
    </row>
    <row r="521">
      <c r="A521">
        <f>Database!B521</f>
        <v/>
      </c>
      <c r="B521">
        <f>IF(AND(Screener!$D$8&lt;&gt;"",Database!$E521=Screener!$D$8),1,0)</f>
        <v/>
      </c>
      <c r="C521">
        <f>IF(AND(Screener!$D$7&lt;&gt;"",Database!$D521=Screener!$D$7),1,0)</f>
        <v/>
      </c>
      <c r="D521">
        <f>IF(OR(N(Database!$I521)&lt;=0,N(Screener!$D$9)&lt;=0),0,MAX(0,1-ABS(LOG10(N(Database!$I521)/Screener!$D$9))/W_SIZEHW))</f>
        <v/>
      </c>
      <c r="E521">
        <f>IF(OR(Database!$BF521="",Screener!$D$10=""),0,IF(Database!$BF521=Screener!$D$10,1,0))</f>
        <v/>
      </c>
      <c r="F521">
        <f>IF(OR(Database!$BL521="",Screener!$D$11=""),0,IF(Database!$BL521=Screener!$D$11,1,0))</f>
        <v/>
      </c>
      <c r="G521">
        <f>IF(OR(Database!$H521="",N(Screener!$D$12)&lt;=0),0,MAX(0,1-(N(Screener!$D$12)-Database!$H521)/W_RECD))</f>
        <v/>
      </c>
      <c r="H521">
        <f>IF($U$1="",0,N(ISNUMBER(SEARCH($U$1,Database!$AC521&amp;""))))+IF($V$1="",0,N(ISNUMBER(SEARCH($V$1,Database!$AC521&amp;""))))+IF($W$1="",0,N(ISNUMBER(SEARCH($W$1,Database!$AC521&amp;""))))+IF($X$1="",0,N(ISNUMBER(SEARCH($X$1,Database!$AC521&amp;""))))+IF($Y$1="",0,N(ISNUMBER(SEARCH($Y$1,Database!$AC521&amp;""))))+IF(Screener!$B$17="",0,N(ISNUMBER(SEARCH(LOWER(Screener!$B$17),Database!$AC521&amp;""))))</f>
        <v/>
      </c>
      <c r="I521">
        <f>IF(OR(N(Database!$BG521)&lt;=0,N(Screener!$D$13)&lt;=0),0,MAX(0,1-ABS(LOG10(N(Database!$BG521)/Screener!$D$13))/W_PEHW))</f>
        <v/>
      </c>
      <c r="J521">
        <f>IF(OR(N(Database!$S521)&lt;=0,N(Screener!$D$14)&lt;=0),0,MAX(0,1-ABS(LOG10(Database!$S521/Screener!$D$14))/0.6))</f>
        <v/>
      </c>
      <c r="K521">
        <f>IF(Database!$B521=Screener!$B$5,-999999,IF(ISNUMBER(SEARCH(","&amp;Database!$A521&amp;",",","&amp;SUBSTITUTE(Screener!$D$17," ","")&amp;",")),2000000,IF(IF(OR(Screener!$B$18="All",AND(Screener!$B$18="With A-share",(Database!$BL521="Y")),AND(Screener!$B$18="Without A-share",NOT((Database!$BL521="Y")))),1,0)=0,-999999,IF(Screener!$B$16="cornerstone overlap first",H521*100000,IF(Screener!$B$16="demand-similar first",J521*100000,0))+W_SUB*B521+W_SEC*C521*(1-B521)+W_SIZE*D521+W_PROF*E521+W_AH*F521+W_REC*G521+W_CS*H521+W_PE*I521)))+ROW()/1000000</f>
        <v/>
      </c>
      <c r="AA521">
        <f>Database!B509</f>
        <v/>
      </c>
      <c r="AB521">
        <f>Database!D509</f>
        <v/>
      </c>
      <c r="AC521">
        <f>Database!E509</f>
        <v/>
      </c>
      <c r="AD521">
        <f>Database!I509</f>
        <v/>
      </c>
      <c r="AE521">
        <f>Database!BF509</f>
        <v/>
      </c>
      <c r="AF521">
        <f>Database!BL509</f>
        <v/>
      </c>
      <c r="AG521">
        <f>Database!H509</f>
        <v/>
      </c>
      <c r="AH521">
        <f>Database!BG509</f>
        <v/>
      </c>
    </row>
    <row r="522">
      <c r="A522">
        <f>Database!B522</f>
        <v/>
      </c>
      <c r="B522">
        <f>IF(AND(Screener!$D$8&lt;&gt;"",Database!$E522=Screener!$D$8),1,0)</f>
        <v/>
      </c>
      <c r="C522">
        <f>IF(AND(Screener!$D$7&lt;&gt;"",Database!$D522=Screener!$D$7),1,0)</f>
        <v/>
      </c>
      <c r="D522">
        <f>IF(OR(N(Database!$I522)&lt;=0,N(Screener!$D$9)&lt;=0),0,MAX(0,1-ABS(LOG10(N(Database!$I522)/Screener!$D$9))/W_SIZEHW))</f>
        <v/>
      </c>
      <c r="E522">
        <f>IF(OR(Database!$BF522="",Screener!$D$10=""),0,IF(Database!$BF522=Screener!$D$10,1,0))</f>
        <v/>
      </c>
      <c r="F522">
        <f>IF(OR(Database!$BL522="",Screener!$D$11=""),0,IF(Database!$BL522=Screener!$D$11,1,0))</f>
        <v/>
      </c>
      <c r="G522">
        <f>IF(OR(Database!$H522="",N(Screener!$D$12)&lt;=0),0,MAX(0,1-(N(Screener!$D$12)-Database!$H522)/W_RECD))</f>
        <v/>
      </c>
      <c r="H522">
        <f>IF($U$1="",0,N(ISNUMBER(SEARCH($U$1,Database!$AC522&amp;""))))+IF($V$1="",0,N(ISNUMBER(SEARCH($V$1,Database!$AC522&amp;""))))+IF($W$1="",0,N(ISNUMBER(SEARCH($W$1,Database!$AC522&amp;""))))+IF($X$1="",0,N(ISNUMBER(SEARCH($X$1,Database!$AC522&amp;""))))+IF($Y$1="",0,N(ISNUMBER(SEARCH($Y$1,Database!$AC522&amp;""))))+IF(Screener!$B$17="",0,N(ISNUMBER(SEARCH(LOWER(Screener!$B$17),Database!$AC522&amp;""))))</f>
        <v/>
      </c>
      <c r="I522">
        <f>IF(OR(N(Database!$BG522)&lt;=0,N(Screener!$D$13)&lt;=0),0,MAX(0,1-ABS(LOG10(N(Database!$BG522)/Screener!$D$13))/W_PEHW))</f>
        <v/>
      </c>
      <c r="J522">
        <f>IF(OR(N(Database!$S522)&lt;=0,N(Screener!$D$14)&lt;=0),0,MAX(0,1-ABS(LOG10(Database!$S522/Screener!$D$14))/0.6))</f>
        <v/>
      </c>
      <c r="K522">
        <f>IF(Database!$B522=Screener!$B$5,-999999,IF(ISNUMBER(SEARCH(","&amp;Database!$A522&amp;",",","&amp;SUBSTITUTE(Screener!$D$17," ","")&amp;",")),2000000,IF(IF(OR(Screener!$B$18="All",AND(Screener!$B$18="With A-share",(Database!$BL522="Y")),AND(Screener!$B$18="Without A-share",NOT((Database!$BL522="Y")))),1,0)=0,-999999,IF(Screener!$B$16="cornerstone overlap first",H522*100000,IF(Screener!$B$16="demand-similar first",J522*100000,0))+W_SUB*B522+W_SEC*C522*(1-B522)+W_SIZE*D522+W_PROF*E522+W_AH*F522+W_REC*G522+W_CS*H522+W_PE*I522)))+ROW()/1000000</f>
        <v/>
      </c>
      <c r="AA522">
        <f>Database!B510</f>
        <v/>
      </c>
      <c r="AB522">
        <f>Database!D510</f>
        <v/>
      </c>
      <c r="AC522">
        <f>Database!E510</f>
        <v/>
      </c>
      <c r="AD522">
        <f>Database!I510</f>
        <v/>
      </c>
      <c r="AE522">
        <f>Database!BF510</f>
        <v/>
      </c>
      <c r="AF522">
        <f>Database!BL510</f>
        <v/>
      </c>
      <c r="AG522">
        <f>Database!H510</f>
        <v/>
      </c>
      <c r="AH522">
        <f>Database!BG510</f>
        <v/>
      </c>
    </row>
    <row r="523">
      <c r="A523">
        <f>Database!B523</f>
        <v/>
      </c>
      <c r="B523">
        <f>IF(AND(Screener!$D$8&lt;&gt;"",Database!$E523=Screener!$D$8),1,0)</f>
        <v/>
      </c>
      <c r="C523">
        <f>IF(AND(Screener!$D$7&lt;&gt;"",Database!$D523=Screener!$D$7),1,0)</f>
        <v/>
      </c>
      <c r="D523">
        <f>IF(OR(N(Database!$I523)&lt;=0,N(Screener!$D$9)&lt;=0),0,MAX(0,1-ABS(LOG10(N(Database!$I523)/Screener!$D$9))/W_SIZEHW))</f>
        <v/>
      </c>
      <c r="E523">
        <f>IF(OR(Database!$BF523="",Screener!$D$10=""),0,IF(Database!$BF523=Screener!$D$10,1,0))</f>
        <v/>
      </c>
      <c r="F523">
        <f>IF(OR(Database!$BL523="",Screener!$D$11=""),0,IF(Database!$BL523=Screener!$D$11,1,0))</f>
        <v/>
      </c>
      <c r="G523">
        <f>IF(OR(Database!$H523="",N(Screener!$D$12)&lt;=0),0,MAX(0,1-(N(Screener!$D$12)-Database!$H523)/W_RECD))</f>
        <v/>
      </c>
      <c r="H523">
        <f>IF($U$1="",0,N(ISNUMBER(SEARCH($U$1,Database!$AC523&amp;""))))+IF($V$1="",0,N(ISNUMBER(SEARCH($V$1,Database!$AC523&amp;""))))+IF($W$1="",0,N(ISNUMBER(SEARCH($W$1,Database!$AC523&amp;""))))+IF($X$1="",0,N(ISNUMBER(SEARCH($X$1,Database!$AC523&amp;""))))+IF($Y$1="",0,N(ISNUMBER(SEARCH($Y$1,Database!$AC523&amp;""))))+IF(Screener!$B$17="",0,N(ISNUMBER(SEARCH(LOWER(Screener!$B$17),Database!$AC523&amp;""))))</f>
        <v/>
      </c>
      <c r="I523">
        <f>IF(OR(N(Database!$BG523)&lt;=0,N(Screener!$D$13)&lt;=0),0,MAX(0,1-ABS(LOG10(N(Database!$BG523)/Screener!$D$13))/W_PEHW))</f>
        <v/>
      </c>
      <c r="J523">
        <f>IF(OR(N(Database!$S523)&lt;=0,N(Screener!$D$14)&lt;=0),0,MAX(0,1-ABS(LOG10(Database!$S523/Screener!$D$14))/0.6))</f>
        <v/>
      </c>
      <c r="K523">
        <f>IF(Database!$B523=Screener!$B$5,-999999,IF(ISNUMBER(SEARCH(","&amp;Database!$A523&amp;",",","&amp;SUBSTITUTE(Screener!$D$17," ","")&amp;",")),2000000,IF(IF(OR(Screener!$B$18="All",AND(Screener!$B$18="With A-share",(Database!$BL523="Y")),AND(Screener!$B$18="Without A-share",NOT((Database!$BL523="Y")))),1,0)=0,-999999,IF(Screener!$B$16="cornerstone overlap first",H523*100000,IF(Screener!$B$16="demand-similar first",J523*100000,0))+W_SUB*B523+W_SEC*C523*(1-B523)+W_SIZE*D523+W_PROF*E523+W_AH*F523+W_REC*G523+W_CS*H523+W_PE*I523)))+ROW()/1000000</f>
        <v/>
      </c>
      <c r="AA523">
        <f>Database!B511</f>
        <v/>
      </c>
      <c r="AB523">
        <f>Database!D511</f>
        <v/>
      </c>
      <c r="AC523">
        <f>Database!E511</f>
        <v/>
      </c>
      <c r="AD523">
        <f>Database!I511</f>
        <v/>
      </c>
      <c r="AE523">
        <f>Database!BF511</f>
        <v/>
      </c>
      <c r="AF523">
        <f>Database!BL511</f>
        <v/>
      </c>
      <c r="AG523">
        <f>Database!H511</f>
        <v/>
      </c>
      <c r="AH523">
        <f>Database!BG511</f>
        <v/>
      </c>
    </row>
    <row r="524">
      <c r="AA524">
        <f>Database!B512</f>
        <v/>
      </c>
      <c r="AB524">
        <f>Database!D512</f>
        <v/>
      </c>
      <c r="AC524">
        <f>Database!E512</f>
        <v/>
      </c>
      <c r="AD524">
        <f>Database!I512</f>
        <v/>
      </c>
      <c r="AE524">
        <f>Database!BF512</f>
        <v/>
      </c>
      <c r="AF524">
        <f>Database!BL512</f>
        <v/>
      </c>
      <c r="AG524">
        <f>Database!H512</f>
        <v/>
      </c>
      <c r="AH524">
        <f>Database!BG512</f>
        <v/>
      </c>
    </row>
    <row r="525">
      <c r="AA525">
        <f>Database!B513</f>
        <v/>
      </c>
      <c r="AB525">
        <f>Database!D513</f>
        <v/>
      </c>
      <c r="AC525">
        <f>Database!E513</f>
        <v/>
      </c>
      <c r="AD525">
        <f>Database!I513</f>
        <v/>
      </c>
      <c r="AE525">
        <f>Database!BF513</f>
        <v/>
      </c>
      <c r="AF525">
        <f>Database!BL513</f>
        <v/>
      </c>
      <c r="AG525">
        <f>Database!H513</f>
        <v/>
      </c>
      <c r="AH525">
        <f>Database!BG513</f>
        <v/>
      </c>
    </row>
    <row r="526">
      <c r="AA526">
        <f>Database!B514</f>
        <v/>
      </c>
      <c r="AB526">
        <f>Database!D514</f>
        <v/>
      </c>
      <c r="AC526">
        <f>Database!E514</f>
        <v/>
      </c>
      <c r="AD526">
        <f>Database!I514</f>
        <v/>
      </c>
      <c r="AE526">
        <f>Database!BF514</f>
        <v/>
      </c>
      <c r="AF526">
        <f>Database!BL514</f>
        <v/>
      </c>
      <c r="AG526">
        <f>Database!H514</f>
        <v/>
      </c>
      <c r="AH526">
        <f>Database!BG514</f>
        <v/>
      </c>
    </row>
    <row r="527">
      <c r="AA527">
        <f>Database!B515</f>
        <v/>
      </c>
      <c r="AB527">
        <f>Database!D515</f>
        <v/>
      </c>
      <c r="AC527">
        <f>Database!E515</f>
        <v/>
      </c>
      <c r="AD527">
        <f>Database!I515</f>
        <v/>
      </c>
      <c r="AE527">
        <f>Database!BF515</f>
        <v/>
      </c>
      <c r="AF527">
        <f>Database!BL515</f>
        <v/>
      </c>
      <c r="AG527">
        <f>Database!H515</f>
        <v/>
      </c>
      <c r="AH527">
        <f>Database!BG515</f>
        <v/>
      </c>
    </row>
    <row r="528">
      <c r="AA528">
        <f>Database!B516</f>
        <v/>
      </c>
      <c r="AB528">
        <f>Database!D516</f>
        <v/>
      </c>
      <c r="AC528">
        <f>Database!E516</f>
        <v/>
      </c>
      <c r="AD528">
        <f>Database!I516</f>
        <v/>
      </c>
      <c r="AE528">
        <f>Database!BF516</f>
        <v/>
      </c>
      <c r="AF528">
        <f>Database!BL516</f>
        <v/>
      </c>
      <c r="AG528">
        <f>Database!H516</f>
        <v/>
      </c>
      <c r="AH528">
        <f>Database!BG516</f>
        <v/>
      </c>
    </row>
    <row r="529">
      <c r="AA529">
        <f>Database!B517</f>
        <v/>
      </c>
      <c r="AB529">
        <f>Database!D517</f>
        <v/>
      </c>
      <c r="AC529">
        <f>Database!E517</f>
        <v/>
      </c>
      <c r="AD529">
        <f>Database!I517</f>
        <v/>
      </c>
      <c r="AE529">
        <f>Database!BF517</f>
        <v/>
      </c>
      <c r="AF529">
        <f>Database!BL517</f>
        <v/>
      </c>
      <c r="AG529">
        <f>Database!H517</f>
        <v/>
      </c>
      <c r="AH529">
        <f>Database!BG517</f>
        <v/>
      </c>
    </row>
    <row r="530">
      <c r="AA530">
        <f>Database!B518</f>
        <v/>
      </c>
      <c r="AB530">
        <f>Database!D518</f>
        <v/>
      </c>
      <c r="AC530">
        <f>Database!E518</f>
        <v/>
      </c>
      <c r="AD530">
        <f>Database!I518</f>
        <v/>
      </c>
      <c r="AE530">
        <f>Database!BF518</f>
        <v/>
      </c>
      <c r="AF530">
        <f>Database!BL518</f>
        <v/>
      </c>
      <c r="AG530">
        <f>Database!H518</f>
        <v/>
      </c>
      <c r="AH530">
        <f>Database!BG518</f>
        <v/>
      </c>
    </row>
    <row r="531">
      <c r="AA531">
        <f>Database!B519</f>
        <v/>
      </c>
      <c r="AB531">
        <f>Database!D519</f>
        <v/>
      </c>
      <c r="AC531">
        <f>Database!E519</f>
        <v/>
      </c>
      <c r="AD531">
        <f>Database!I519</f>
        <v/>
      </c>
      <c r="AE531">
        <f>Database!BF519</f>
        <v/>
      </c>
      <c r="AF531">
        <f>Database!BL519</f>
        <v/>
      </c>
      <c r="AG531">
        <f>Database!H519</f>
        <v/>
      </c>
      <c r="AH531">
        <f>Database!BG519</f>
        <v/>
      </c>
    </row>
    <row r="532">
      <c r="AA532">
        <f>Database!B520</f>
        <v/>
      </c>
      <c r="AB532">
        <f>Database!D520</f>
        <v/>
      </c>
      <c r="AC532">
        <f>Database!E520</f>
        <v/>
      </c>
      <c r="AD532">
        <f>Database!I520</f>
        <v/>
      </c>
      <c r="AE532">
        <f>Database!BF520</f>
        <v/>
      </c>
      <c r="AF532">
        <f>Database!BL520</f>
        <v/>
      </c>
      <c r="AG532">
        <f>Database!H520</f>
        <v/>
      </c>
      <c r="AH532">
        <f>Database!BG520</f>
        <v/>
      </c>
    </row>
    <row r="533">
      <c r="AA533">
        <f>Database!B521</f>
        <v/>
      </c>
      <c r="AB533">
        <f>Database!D521</f>
        <v/>
      </c>
      <c r="AC533">
        <f>Database!E521</f>
        <v/>
      </c>
      <c r="AD533">
        <f>Database!I521</f>
        <v/>
      </c>
      <c r="AE533">
        <f>Database!BF521</f>
        <v/>
      </c>
      <c r="AF533">
        <f>Database!BL521</f>
        <v/>
      </c>
      <c r="AG533">
        <f>Database!H521</f>
        <v/>
      </c>
      <c r="AH533">
        <f>Database!BG521</f>
        <v/>
      </c>
    </row>
    <row r="534">
      <c r="AA534">
        <f>Database!B522</f>
        <v/>
      </c>
      <c r="AB534">
        <f>Database!D522</f>
        <v/>
      </c>
      <c r="AC534">
        <f>Database!E522</f>
        <v/>
      </c>
      <c r="AD534">
        <f>Database!I522</f>
        <v/>
      </c>
      <c r="AE534">
        <f>Database!BF522</f>
        <v/>
      </c>
      <c r="AF534">
        <f>Database!BL522</f>
        <v/>
      </c>
      <c r="AG534">
        <f>Database!H522</f>
        <v/>
      </c>
      <c r="AH534">
        <f>Database!BG522</f>
        <v/>
      </c>
    </row>
    <row r="535">
      <c r="AA535">
        <f>Database!B523</f>
        <v/>
      </c>
      <c r="AB535">
        <f>Database!D523</f>
        <v/>
      </c>
      <c r="AC535">
        <f>Database!E523</f>
        <v/>
      </c>
      <c r="AD535">
        <f>Database!I523</f>
        <v/>
      </c>
      <c r="AE535">
        <f>Database!BF523</f>
        <v/>
      </c>
      <c r="AF535">
        <f>Database!BL523</f>
        <v/>
      </c>
      <c r="AG535">
        <f>Database!H523</f>
        <v/>
      </c>
      <c r="AH535">
        <f>Database!BG523</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519 Main Board IPOs 2021-2026 plus the pipeline. Data as of 2026-09-24.</t>
        </is>
      </c>
    </row>
    <row r="3"/>
    <row r="4">
      <c r="A4" s="71" t="inlineStr"/>
      <c r="B4" s="71" t="inlineStr"/>
    </row>
    <row r="5">
      <c r="A5" s="169" t="inlineStr">
        <is>
          <t>Blue cells</t>
        </is>
      </c>
      <c r="B5" s="71" t="inlineStr">
        <is>
          <t>Inputs. Everything else calculates.</t>
        </is>
      </c>
    </row>
    <row r="6">
      <c r="A6" s="169" t="inlineStr">
        <is>
          <t>Screener</t>
        </is>
      </c>
      <c r="B6" s="71" t="inlineStr">
        <is>
          <t>Pick a deal, or type your own terms; comps rank same-subsector first.</t>
        </is>
      </c>
    </row>
    <row r="7">
      <c r="A7" s="169" t="inlineStr">
        <is>
          <t>Database</t>
        </is>
      </c>
      <c r="B7" s="71" t="inlineStr">
        <is>
          <t>One row per deal. The last column says why any cell is blank.</t>
        </is>
      </c>
    </row>
    <row r="8">
      <c r="A8" s="169" t="inlineStr">
        <is>
          <t>CS League, SM League</t>
        </is>
      </c>
      <c r="B8" s="71" t="inlineStr">
        <is>
          <t>One row per cornerstone investor or stabilising manager, with how their deals traded. Read together: who anchored the deal, who defended it.</t>
        </is>
      </c>
    </row>
    <row r="9">
      <c r="A9" s="169" t="inlineStr">
        <is>
          <t>Analogs</t>
        </is>
      </c>
      <c r="B9" s="71" t="inlineStr">
        <is>
          <t>Day-1 history by subscription bucket, subsector and year.</t>
        </is>
      </c>
    </row>
    <row r="10">
      <c r="A10" s="169" t="inlineStr">
        <is>
          <t>Eff. free float</t>
        </is>
      </c>
      <c r="B10" s="71" t="inlineStr">
        <is>
          <t>Deal size x (1 - cornerstone %) / market cap: what can trade on day 1 while cornerstones are locked up.</t>
        </is>
      </c>
    </row>
    <row r="11">
      <c r="A11" s="169" t="inlineStr">
        <is>
          <t>Money and signs</t>
        </is>
      </c>
      <c r="B11" s="71" t="inlineStr">
        <is>
          <t>HK$ millions. Day-1 + = closed above the offer. A premium + = A above H.</t>
        </is>
      </c>
    </row>
    <row r="12">
      <c r="A12" s="169" t="inlineStr">
        <is>
          <t>Subscription</t>
        </is>
      </c>
      <c r="B12" s="71" t="inlineStr">
        <is>
          <t>Filing basis: 10x = ten times the shares on offer. Bloomberg CP036/CP037 override the scrape where the desk paste has them.</t>
        </is>
      </c>
    </row>
    <row r="13">
      <c r="A13" s="169" t="inlineStr">
        <is>
          <t>Ex-pop columns</t>
        </is>
      </c>
      <c r="B13" s="71" t="inlineStr">
        <is>
          <t>Teal headers. 1w/1m/3m ex-pop run from the day-1 close; alpha 1m ex-pop nets the index over the same window.</t>
        </is>
      </c>
    </row>
    <row r="14">
      <c r="A14" s="169" t="inlineStr">
        <is>
          <t>P/E and P/S at IPO</t>
        </is>
      </c>
      <c r="B14" s="71" t="inlineStr">
        <is>
          <t>Trailing, never forward: market cap at the offer price over the last full pre-IPO fiscal year's net income or revenue. Loss-makers read n/m on P/E; use P/S.</t>
        </is>
      </c>
    </row>
    <row r="15">
      <c r="A15" s="169" t="inlineStr">
        <is>
          <t>Two at-IPO P/E columns</t>
        </is>
      </c>
      <c r="B15" s="71"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9" t="inlineStr">
        <is>
          <t>P/E today, P/S today</t>
        </is>
      </c>
      <c r="B16" s="71" t="inlineStr">
        <is>
          <t>Bloomberg. P/E today is the desk paste; P/S today resolves on the terminal and reads 'run on terminal' elsewhere.</t>
        </is>
      </c>
    </row>
    <row r="17">
      <c r="A17" s="169" t="inlineStr">
        <is>
          <t>A-share mkt cap now</t>
        </is>
      </c>
      <c r="B17" s="71" t="inlineStr">
        <is>
          <t>From the A-share quote for A/H pairs, Bloomberg on the terminal where the quote had none. Non-A/H rows read N/A.</t>
        </is>
      </c>
    </row>
    <row r="18">
      <c r="A18" s="169" t="inlineStr">
        <is>
          <t>Force-include</t>
        </is>
      </c>
      <c r="B18" s="71" t="inlineStr">
        <is>
          <t>Type codes, comma-separated, on the Screener; those deals pin to the top.</t>
        </is>
      </c>
    </row>
    <row r="19">
      <c r="A19" s="169" t="inlineStr">
        <is>
          <t>Not captured</t>
        </is>
      </c>
      <c r="B19" s="71" t="inlineStr">
        <is>
          <t>Underwriting fee splits.</t>
        </is>
      </c>
    </row>
    <row r="20">
      <c r="A20" s="169" t="inlineStr">
        <is>
          <t>Judgment</t>
        </is>
      </c>
      <c r="B20" s="71" t="inlineStr">
        <is>
          <t>Sector and subsector are analyst-assigned.</t>
        </is>
      </c>
    </row>
    <row r="21"/>
    <row r="22">
      <c r="A22" s="169" t="inlineStr">
        <is>
          <t>SCREENER WEIGHTS (edit to re-tune)</t>
        </is>
      </c>
    </row>
    <row r="23">
      <c r="A23" s="169" t="inlineStr">
        <is>
          <t>W_SUB</t>
        </is>
      </c>
      <c r="B23" s="7" t="n">
        <v>1000</v>
      </c>
      <c r="C23" s="2" t="inlineStr">
        <is>
          <t>same subsector</t>
        </is>
      </c>
    </row>
    <row r="24">
      <c r="A24" s="169" t="inlineStr">
        <is>
          <t>W_SEC</t>
        </is>
      </c>
      <c r="B24" s="7" t="n">
        <v>300</v>
      </c>
      <c r="C24" s="2" t="inlineStr">
        <is>
          <t>same sector</t>
        </is>
      </c>
    </row>
    <row r="25">
      <c r="A25" s="169" t="inlineStr">
        <is>
          <t>W_SIZE</t>
        </is>
      </c>
      <c r="B25" s="7" t="n">
        <v>200</v>
      </c>
      <c r="C25" s="2" t="inlineStr">
        <is>
          <t>size proximity</t>
        </is>
      </c>
    </row>
    <row r="26">
      <c r="A26" s="169" t="inlineStr">
        <is>
          <t>W_PROF</t>
        </is>
      </c>
      <c r="B26" s="7" t="n">
        <v>80</v>
      </c>
      <c r="C26" s="2" t="inlineStr">
        <is>
          <t>profitability match</t>
        </is>
      </c>
    </row>
    <row r="27">
      <c r="A27" s="169" t="inlineStr">
        <is>
          <t>W_AH</t>
        </is>
      </c>
      <c r="B27" s="7" t="n">
        <v>50</v>
      </c>
      <c r="C27" s="2" t="inlineStr">
        <is>
          <t>H-share match</t>
        </is>
      </c>
    </row>
    <row r="28">
      <c r="A28" s="169" t="inlineStr">
        <is>
          <t>W_REC</t>
        </is>
      </c>
      <c r="B28" s="7" t="n">
        <v>80</v>
      </c>
      <c r="C28" s="2" t="inlineStr">
        <is>
          <t>recency</t>
        </is>
      </c>
    </row>
    <row r="29">
      <c r="A29" s="169" t="inlineStr">
        <is>
          <t>W_CS</t>
        </is>
      </c>
      <c r="B29" s="7" t="n">
        <v>12</v>
      </c>
      <c r="C29" s="2" t="inlineStr">
        <is>
          <t>shares a cornerstone investor with the target</t>
        </is>
      </c>
    </row>
    <row r="30">
      <c r="A30" s="169" t="inlineStr">
        <is>
          <t>W_PE</t>
        </is>
      </c>
      <c r="B30" s="7" t="n">
        <v>150</v>
      </c>
      <c r="C30" s="2" t="inlineStr">
        <is>
          <t>P/E proximity</t>
        </is>
      </c>
    </row>
    <row r="31">
      <c r="A31" s="169" t="inlineStr">
        <is>
          <t>W_PEHW</t>
        </is>
      </c>
      <c r="B31" s="7" t="n">
        <v>0.6</v>
      </c>
      <c r="C31" s="2" t="inlineStr">
        <is>
          <t>P/E log half-width</t>
        </is>
      </c>
    </row>
    <row r="32">
      <c r="A32" s="169" t="inlineStr">
        <is>
          <t>W_SIZEHW</t>
        </is>
      </c>
      <c r="B32" s="7" t="n">
        <v>1.5</v>
      </c>
      <c r="C32" s="2" t="inlineStr">
        <is>
          <t>size log half-width</t>
        </is>
      </c>
    </row>
    <row r="33">
      <c r="A33" s="169" t="inlineStr">
        <is>
          <t>W_RECD</t>
        </is>
      </c>
      <c r="B33" s="7" t="n">
        <v>1825</v>
      </c>
      <c r="C33" s="2" t="inlineStr">
        <is>
          <t>recency horizon (days)</t>
        </is>
      </c>
    </row>
    <row r="34"/>
    <row r="35">
      <c r="A35" s="169"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9" t="inlineStr">
        <is>
          <t>WHERE EACH DATABASE COLUMN COMES FROM</t>
        </is>
      </c>
    </row>
    <row r="40">
      <c r="A40" s="12" t="inlineStr">
        <is>
          <t>Column</t>
        </is>
      </c>
      <c r="B40" s="12" t="inlineStr">
        <is>
          <t>Source and method</t>
        </is>
      </c>
    </row>
    <row r="41" ht="26" customHeight="1">
      <c r="A41" s="173" t="inlineStr">
        <is>
          <t>Code / Name / date</t>
        </is>
      </c>
      <c r="B41" s="190" t="inlineStr">
        <is>
          <t>HKEX Allotment Results announcement. Every IPO files one, so the roster comes from the filings themselves.</t>
        </is>
      </c>
    </row>
    <row r="42" ht="26" customHeight="1">
      <c r="A42" s="173" t="inlineStr">
        <is>
          <t>Name (CN)</t>
        </is>
      </c>
      <c r="B42" s="190" t="inlineStr">
        <is>
          <t>HKEX bilingual securities feed.</t>
        </is>
      </c>
    </row>
    <row r="43" ht="26" customHeight="1">
      <c r="A43" s="173" t="inlineStr">
        <is>
          <t>Sector / Subsector</t>
        </is>
      </c>
      <c r="B43" s="190" t="inlineStr">
        <is>
          <t>Analyst-assigned against data/taxonomy.json. New deals get a provisional keyword label until relabelled.</t>
        </is>
      </c>
    </row>
    <row r="44" ht="26" customHeight="1">
      <c r="A44" s="173" t="inlineStr">
        <is>
          <t>Deal size</t>
        </is>
      </c>
      <c r="B44" s="190" t="inlineStr">
        <is>
          <t>Stated gross proceeds, else final price x offer shares, else net proceeds; the basis is printed beside it. From the final-price announcement and the prospectus.</t>
        </is>
      </c>
    </row>
    <row r="45" ht="26" customHeight="1">
      <c r="A45" s="173" t="inlineStr">
        <is>
          <t>Range low / Max-cap</t>
        </is>
      </c>
      <c r="B45" s="190" t="inlineStr">
        <is>
          <t>Prospectus indicative range; the cap is the maximum offer price. A fixed-price offer has no range and is labelled as such.</t>
        </is>
      </c>
    </row>
    <row r="46" ht="26" customHeight="1">
      <c r="A46" s="173" t="inlineStr">
        <is>
          <t>Final px</t>
        </is>
      </c>
      <c r="B46" s="190" t="inlineStr">
        <is>
          <t>Allotment Results announcement (the struck price).</t>
        </is>
      </c>
    </row>
    <row r="47" ht="26" customHeight="1">
      <c r="A47" s="173" t="inlineStr">
        <is>
          <t>% of cap</t>
        </is>
      </c>
      <c r="B47" s="190" t="inlineStr">
        <is>
          <t>Final price / cap. Fixed-price offers are 100% by definition.</t>
        </is>
      </c>
    </row>
    <row r="48" ht="26" customHeight="1">
      <c r="A48" s="173" t="inlineStr">
        <is>
          <t>Mkt cap at IPO</t>
        </is>
      </c>
      <c r="B48" s="190"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73" t="inlineStr">
        <is>
          <t>Public / Intl sub</t>
        </is>
      </c>
      <c r="B49" s="190" t="inlineStr">
        <is>
          <t>Allotment Results, subscription section, per tranche. Under-subscription is kept as data.</t>
        </is>
      </c>
    </row>
    <row r="50" ht="26" customHeight="1">
      <c r="A50" s="173" t="inlineStr">
        <is>
          <t>Cornerstone % / investors</t>
        </is>
      </c>
      <c r="B50" s="190" t="inlineStr">
        <is>
          <t>Prospectus cornerstone section, filled from AAStocks where the filing text did not survive extraction.</t>
        </is>
      </c>
    </row>
    <row r="51" ht="26" customHeight="1">
      <c r="A51" s="173" t="inlineStr">
        <is>
          <t>Greenshoe size</t>
        </is>
      </c>
      <c r="B51" s="190" t="inlineStr">
        <is>
          <t>Over-allocated shares / offer shares, from the prospectus.</t>
        </is>
      </c>
    </row>
    <row r="52" ht="26" customHeight="1">
      <c r="A52" s="173" t="inlineStr">
        <is>
          <t>Shoe outcome</t>
        </is>
      </c>
      <c r="B52" s="190" t="inlineStr">
        <is>
          <t>The end-of-stabilisation notice filed about 30 days after listing.</t>
        </is>
      </c>
    </row>
    <row r="53" ht="26" customHeight="1">
      <c r="A53" s="173" t="inlineStr">
        <is>
          <t>Day-1</t>
        </is>
      </c>
      <c r="B53" s="190" t="inlineStr">
        <is>
          <t>Listing-day close vs the offer price, from the local session list; AAStocks where the price feed has no listing-day bar.</t>
        </is>
      </c>
    </row>
    <row r="54" ht="26" customHeight="1">
      <c r="A54" s="173" t="inlineStr">
        <is>
          <t>1-week / 1-month / 3-month</t>
        </is>
      </c>
      <c r="B54" s="190" t="inlineStr">
        <is>
          <t>Close 5 / 21 / 63 trading days after the debut, vs the offer price.</t>
        </is>
      </c>
    </row>
    <row r="55" ht="26" customHeight="1">
      <c r="A55" s="173" t="inlineStr">
        <is>
          <t>1m ex-pop</t>
        </is>
      </c>
      <c r="B55" s="190" t="inlineStr">
        <is>
          <t>Same horizon measured from the day-1 close, so the debut pop is stripped out.</t>
        </is>
      </c>
    </row>
    <row r="56" ht="26" customHeight="1">
      <c r="A56" s="173" t="inlineStr">
        <is>
          <t>Alpha / Index</t>
        </is>
      </c>
      <c r="B56" s="190" t="inlineStr">
        <is>
          <t>The sector index over the same window, anchored at the close before the listing. Index named per row; map on the Taxonomy tab.</t>
        </is>
      </c>
    </row>
    <row r="57" ht="26" customHeight="1">
      <c r="A57" s="173" t="inlineStr">
        <is>
          <t>Since IPO</t>
        </is>
      </c>
      <c r="B57" s="190" t="inlineStr">
        <is>
          <t>Latest close vs the offer price.</t>
        </is>
      </c>
    </row>
    <row r="58" ht="26" customHeight="1">
      <c r="A58" s="173" t="inlineStr">
        <is>
          <t>Revenue / NI</t>
        </is>
      </c>
      <c r="B58" s="190" t="inlineStr">
        <is>
          <t>Prospectus financial information, latest full year, converted to HK$ at a fixed rate.</t>
        </is>
      </c>
    </row>
    <row r="59" ht="26" customHeight="1">
      <c r="A59" s="173" t="inlineStr">
        <is>
          <t>P/E at IPO</t>
        </is>
      </c>
      <c r="B59" s="190" t="inlineStr">
        <is>
          <t>Market cap / latest FY net income. Loss-makers read n/m and carry P/S instead.</t>
        </is>
      </c>
    </row>
    <row r="60" ht="26" customHeight="1">
      <c r="A60" s="173" t="inlineStr">
        <is>
          <t>A prem vs H at IPO</t>
        </is>
      </c>
      <c r="B60" s="190" t="inlineStr">
        <is>
          <t>A-share close on the last session before the H listing, in HK$ at that day's rate, over the H offer price, minus 1. Checked by hand on CATL.</t>
        </is>
      </c>
    </row>
    <row r="61" ht="26" customHeight="1">
      <c r="A61" s="173" t="inlineStr">
        <is>
          <t>A premium (today)</t>
        </is>
      </c>
      <c r="B61" s="190" t="inlineStr">
        <is>
          <t>Latest A and H closes, same conversion.</t>
        </is>
      </c>
    </row>
    <row r="62" ht="26" customHeight="1">
      <c r="A62" s="173" t="inlineStr">
        <is>
          <t>Sponsors / Bookrunners</t>
        </is>
      </c>
      <c r="B62" s="190" t="inlineStr">
        <is>
          <t>Prospectus cover page. The AAStocks columns beside them are the same facts from the deal's AAStocks page.</t>
        </is>
      </c>
    </row>
    <row r="63" ht="26" customHeight="1">
      <c r="A63" s="173" t="inlineStr">
        <is>
          <t>Prospectus / Allotment / Stabilisation</t>
        </is>
      </c>
      <c r="B63" s="190"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2026-09-24T14:18:22Z</dcterms:created>
  <dcterms:modified xmlns:dcterms="http://purl.org/dc/terms/" xmlns:xsi="http://www.w3.org/2001/XMLSchema-instance" xsi:type="dcterms:W3CDTF">2026-09-24T14:32:36Z</dcterms:modified>
</cp:coreProperties>
</file>